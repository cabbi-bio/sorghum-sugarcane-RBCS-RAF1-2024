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44" i="1" l="1"/>
  <c r="U44" i="1" s="1"/>
  <c r="CX44" i="1"/>
  <c r="CV44" i="1"/>
  <c r="BK44" i="1"/>
  <c r="BJ44" i="1"/>
  <c r="BH44" i="1"/>
  <c r="BL44" i="1" s="1"/>
  <c r="BM44" i="1" s="1"/>
  <c r="BF44" i="1"/>
  <c r="BG44" i="1" s="1"/>
  <c r="BB44" i="1"/>
  <c r="AV44" i="1"/>
  <c r="AP44" i="1"/>
  <c r="BC44" i="1" s="1"/>
  <c r="AK44" i="1"/>
  <c r="AI44" i="1" s="1"/>
  <c r="AA44" i="1"/>
  <c r="Z44" i="1"/>
  <c r="Y44" i="1" s="1"/>
  <c r="R44" i="1"/>
  <c r="CY43" i="1"/>
  <c r="CX43" i="1"/>
  <c r="CV43" i="1"/>
  <c r="CW43" i="1" s="1"/>
  <c r="AX43" i="1" s="1"/>
  <c r="BK43" i="1"/>
  <c r="BJ43" i="1"/>
  <c r="BG43" i="1"/>
  <c r="BB43" i="1"/>
  <c r="AV43" i="1"/>
  <c r="AP43" i="1"/>
  <c r="BC43" i="1" s="1"/>
  <c r="BF43" i="1" s="1"/>
  <c r="AK43" i="1"/>
  <c r="AI43" i="1" s="1"/>
  <c r="AA43" i="1"/>
  <c r="Z43" i="1"/>
  <c r="Y43" i="1" s="1"/>
  <c r="U43" i="1"/>
  <c r="R43" i="1"/>
  <c r="CY42" i="1"/>
  <c r="CX42" i="1"/>
  <c r="CV42" i="1"/>
  <c r="CW42" i="1" s="1"/>
  <c r="AX42" i="1" s="1"/>
  <c r="BK42" i="1"/>
  <c r="BJ42" i="1"/>
  <c r="BF42" i="1"/>
  <c r="BI42" i="1" s="1"/>
  <c r="BC42" i="1"/>
  <c r="BB42" i="1"/>
  <c r="AV42" i="1"/>
  <c r="AP42" i="1"/>
  <c r="AK42" i="1"/>
  <c r="AI42" i="1" s="1"/>
  <c r="AA42" i="1"/>
  <c r="Z42" i="1"/>
  <c r="R42" i="1"/>
  <c r="CY41" i="1"/>
  <c r="CX41" i="1"/>
  <c r="CV41" i="1"/>
  <c r="CW41" i="1" s="1"/>
  <c r="AX41" i="1" s="1"/>
  <c r="AZ41" i="1" s="1"/>
  <c r="BK41" i="1"/>
  <c r="BJ41" i="1"/>
  <c r="BB41" i="1"/>
  <c r="AV41" i="1"/>
  <c r="AP41" i="1"/>
  <c r="BC41" i="1" s="1"/>
  <c r="BF41" i="1" s="1"/>
  <c r="AK41" i="1"/>
  <c r="AI41" i="1"/>
  <c r="AA41" i="1"/>
  <c r="Y41" i="1" s="1"/>
  <c r="Z41" i="1"/>
  <c r="R41" i="1"/>
  <c r="CY40" i="1"/>
  <c r="CX40" i="1"/>
  <c r="CV40" i="1"/>
  <c r="BK40" i="1"/>
  <c r="BJ40" i="1"/>
  <c r="BF40" i="1"/>
  <c r="BG40" i="1" s="1"/>
  <c r="BB40" i="1"/>
  <c r="AV40" i="1"/>
  <c r="AP40" i="1"/>
  <c r="BC40" i="1" s="1"/>
  <c r="AK40" i="1"/>
  <c r="AI40" i="1" s="1"/>
  <c r="AA40" i="1"/>
  <c r="Z40" i="1"/>
  <c r="R40" i="1"/>
  <c r="CY39" i="1"/>
  <c r="CX39" i="1"/>
  <c r="CW39" i="1"/>
  <c r="AX39" i="1" s="1"/>
  <c r="CV39" i="1"/>
  <c r="U39" i="1" s="1"/>
  <c r="BK39" i="1"/>
  <c r="BJ39" i="1"/>
  <c r="BF39" i="1"/>
  <c r="BI39" i="1" s="1"/>
  <c r="BB39" i="1"/>
  <c r="AV39" i="1"/>
  <c r="AP39" i="1"/>
  <c r="BC39" i="1" s="1"/>
  <c r="AK39" i="1"/>
  <c r="AI39" i="1" s="1"/>
  <c r="AA39" i="1"/>
  <c r="Z39" i="1"/>
  <c r="Y39" i="1" s="1"/>
  <c r="R39" i="1"/>
  <c r="CY38" i="1"/>
  <c r="CX38" i="1"/>
  <c r="CV38" i="1"/>
  <c r="CW38" i="1" s="1"/>
  <c r="AX38" i="1" s="1"/>
  <c r="AZ38" i="1" s="1"/>
  <c r="BK38" i="1"/>
  <c r="BJ38" i="1"/>
  <c r="BF38" i="1"/>
  <c r="BI38" i="1" s="1"/>
  <c r="BB38" i="1"/>
  <c r="AV38" i="1"/>
  <c r="AP38" i="1"/>
  <c r="BC38" i="1" s="1"/>
  <c r="AK38" i="1"/>
  <c r="AI38" i="1" s="1"/>
  <c r="AA38" i="1"/>
  <c r="Z38" i="1"/>
  <c r="Y38" i="1" s="1"/>
  <c r="R38" i="1"/>
  <c r="CY37" i="1"/>
  <c r="CX37" i="1"/>
  <c r="CV37" i="1"/>
  <c r="BK37" i="1"/>
  <c r="BJ37" i="1"/>
  <c r="BF37" i="1"/>
  <c r="BI37" i="1" s="1"/>
  <c r="BB37" i="1"/>
  <c r="AV37" i="1"/>
  <c r="AP37" i="1"/>
  <c r="BC37" i="1" s="1"/>
  <c r="AK37" i="1"/>
  <c r="AI37" i="1" s="1"/>
  <c r="AA37" i="1"/>
  <c r="Z37" i="1"/>
  <c r="Y37" i="1" s="1"/>
  <c r="R37" i="1"/>
  <c r="CY36" i="1"/>
  <c r="CX36" i="1"/>
  <c r="CV36" i="1"/>
  <c r="CW36" i="1" s="1"/>
  <c r="AX36" i="1" s="1"/>
  <c r="AZ36" i="1" s="1"/>
  <c r="BK36" i="1"/>
  <c r="BJ36" i="1"/>
  <c r="BI36" i="1"/>
  <c r="BF36" i="1"/>
  <c r="BG36" i="1" s="1"/>
  <c r="BB36" i="1"/>
  <c r="AV36" i="1"/>
  <c r="AP36" i="1"/>
  <c r="BC36" i="1" s="1"/>
  <c r="AK36" i="1"/>
  <c r="AI36" i="1" s="1"/>
  <c r="AA36" i="1"/>
  <c r="Z36" i="1"/>
  <c r="Y36" i="1" s="1"/>
  <c r="R36" i="1"/>
  <c r="CY35" i="1"/>
  <c r="CX35" i="1"/>
  <c r="CV35" i="1"/>
  <c r="U35" i="1" s="1"/>
  <c r="BK35" i="1"/>
  <c r="BJ35" i="1"/>
  <c r="BG35" i="1"/>
  <c r="BF35" i="1"/>
  <c r="BI35" i="1" s="1"/>
  <c r="BB35" i="1"/>
  <c r="AV35" i="1"/>
  <c r="AP35" i="1"/>
  <c r="BC35" i="1" s="1"/>
  <c r="AK35" i="1"/>
  <c r="AI35" i="1" s="1"/>
  <c r="AA35" i="1"/>
  <c r="Z35" i="1"/>
  <c r="Y35" i="1" s="1"/>
  <c r="R35" i="1"/>
  <c r="CY34" i="1"/>
  <c r="CX34" i="1"/>
  <c r="CV34" i="1"/>
  <c r="BK34" i="1"/>
  <c r="BJ34" i="1"/>
  <c r="BB34" i="1"/>
  <c r="AV34" i="1"/>
  <c r="AP34" i="1"/>
  <c r="BC34" i="1" s="1"/>
  <c r="BF34" i="1" s="1"/>
  <c r="AK34" i="1"/>
  <c r="AI34" i="1" s="1"/>
  <c r="AA34" i="1"/>
  <c r="Z34" i="1"/>
  <c r="Y34" i="1" s="1"/>
  <c r="R34" i="1"/>
  <c r="CY33" i="1"/>
  <c r="CX33" i="1"/>
  <c r="CV33" i="1"/>
  <c r="BK33" i="1"/>
  <c r="BJ33" i="1"/>
  <c r="BF33" i="1"/>
  <c r="BI33" i="1" s="1"/>
  <c r="BB33" i="1"/>
  <c r="AV33" i="1"/>
  <c r="AP33" i="1"/>
  <c r="BC33" i="1" s="1"/>
  <c r="AK33" i="1"/>
  <c r="AI33" i="1"/>
  <c r="P33" i="1" s="1"/>
  <c r="AA33" i="1"/>
  <c r="Y33" i="1" s="1"/>
  <c r="Z33" i="1"/>
  <c r="R33" i="1"/>
  <c r="CY32" i="1"/>
  <c r="CX32" i="1"/>
  <c r="CV32" i="1"/>
  <c r="BK32" i="1"/>
  <c r="BJ32" i="1"/>
  <c r="BB32" i="1"/>
  <c r="AV32" i="1"/>
  <c r="AP32" i="1"/>
  <c r="BC32" i="1" s="1"/>
  <c r="BF32" i="1" s="1"/>
  <c r="BG32" i="1" s="1"/>
  <c r="AK32" i="1"/>
  <c r="AI32" i="1" s="1"/>
  <c r="AA32" i="1"/>
  <c r="Z32" i="1"/>
  <c r="Y32" i="1" s="1"/>
  <c r="R32" i="1"/>
  <c r="CY31" i="1"/>
  <c r="CX31" i="1"/>
  <c r="CW31" i="1"/>
  <c r="AX31" i="1" s="1"/>
  <c r="CV31" i="1"/>
  <c r="BK31" i="1"/>
  <c r="BJ31" i="1"/>
  <c r="BF31" i="1"/>
  <c r="BG31" i="1" s="1"/>
  <c r="BB31" i="1"/>
  <c r="AV31" i="1"/>
  <c r="AP31" i="1"/>
  <c r="BC31" i="1" s="1"/>
  <c r="AK31" i="1"/>
  <c r="AI31" i="1" s="1"/>
  <c r="AA31" i="1"/>
  <c r="Z31" i="1"/>
  <c r="Y31" i="1" s="1"/>
  <c r="U31" i="1"/>
  <c r="R31" i="1"/>
  <c r="CY30" i="1"/>
  <c r="CX30" i="1"/>
  <c r="CV30" i="1"/>
  <c r="CW30" i="1" s="1"/>
  <c r="BK30" i="1"/>
  <c r="BJ30" i="1"/>
  <c r="BC30" i="1"/>
  <c r="BF30" i="1" s="1"/>
  <c r="BH30" i="1" s="1"/>
  <c r="BL30" i="1" s="1"/>
  <c r="BM30" i="1" s="1"/>
  <c r="BB30" i="1"/>
  <c r="AX30" i="1"/>
  <c r="AZ30" i="1" s="1"/>
  <c r="AV30" i="1"/>
  <c r="AP30" i="1"/>
  <c r="AK30" i="1"/>
  <c r="AI30" i="1" s="1"/>
  <c r="AJ30" i="1" s="1"/>
  <c r="AA30" i="1"/>
  <c r="Z30" i="1"/>
  <c r="Y30" i="1" s="1"/>
  <c r="R30" i="1"/>
  <c r="CY29" i="1"/>
  <c r="CX29" i="1"/>
  <c r="CV29" i="1"/>
  <c r="BK29" i="1"/>
  <c r="BJ29" i="1"/>
  <c r="BF29" i="1"/>
  <c r="BH29" i="1" s="1"/>
  <c r="BL29" i="1" s="1"/>
  <c r="BM29" i="1" s="1"/>
  <c r="BB29" i="1"/>
  <c r="AV29" i="1"/>
  <c r="AP29" i="1"/>
  <c r="BC29" i="1" s="1"/>
  <c r="AK29" i="1"/>
  <c r="AI29" i="1"/>
  <c r="P29" i="1" s="1"/>
  <c r="AA29" i="1"/>
  <c r="Y29" i="1" s="1"/>
  <c r="Z29" i="1"/>
  <c r="R29" i="1"/>
  <c r="CY28" i="1"/>
  <c r="CX28" i="1"/>
  <c r="CV28" i="1"/>
  <c r="BK28" i="1"/>
  <c r="BJ28" i="1"/>
  <c r="BB28" i="1"/>
  <c r="AV28" i="1"/>
  <c r="AP28" i="1"/>
  <c r="BC28" i="1" s="1"/>
  <c r="BF28" i="1" s="1"/>
  <c r="AK28" i="1"/>
  <c r="AI28" i="1" s="1"/>
  <c r="L28" i="1" s="1"/>
  <c r="AY28" i="1" s="1"/>
  <c r="AJ28" i="1"/>
  <c r="AA28" i="1"/>
  <c r="Z28" i="1"/>
  <c r="R28" i="1"/>
  <c r="P28" i="1"/>
  <c r="CY27" i="1"/>
  <c r="CX27" i="1"/>
  <c r="CV27" i="1"/>
  <c r="CW27" i="1" s="1"/>
  <c r="AX27" i="1" s="1"/>
  <c r="BK27" i="1"/>
  <c r="BJ27" i="1"/>
  <c r="BF27" i="1"/>
  <c r="BI27" i="1" s="1"/>
  <c r="BB27" i="1"/>
  <c r="AV27" i="1"/>
  <c r="AP27" i="1"/>
  <c r="BC27" i="1" s="1"/>
  <c r="AK27" i="1"/>
  <c r="AI27" i="1" s="1"/>
  <c r="AA27" i="1"/>
  <c r="Z27" i="1"/>
  <c r="Y27" i="1" s="1"/>
  <c r="R27" i="1"/>
  <c r="CY26" i="1"/>
  <c r="CX26" i="1"/>
  <c r="CV26" i="1"/>
  <c r="CW26" i="1" s="1"/>
  <c r="AX26" i="1" s="1"/>
  <c r="AZ26" i="1" s="1"/>
  <c r="BK26" i="1"/>
  <c r="BJ26" i="1"/>
  <c r="BB26" i="1"/>
  <c r="AV26" i="1"/>
  <c r="AP26" i="1"/>
  <c r="BC26" i="1" s="1"/>
  <c r="BF26" i="1" s="1"/>
  <c r="AK26" i="1"/>
  <c r="AI26" i="1" s="1"/>
  <c r="AA26" i="1"/>
  <c r="Y26" i="1" s="1"/>
  <c r="Z26" i="1"/>
  <c r="R26" i="1"/>
  <c r="CY25" i="1"/>
  <c r="CX25" i="1"/>
  <c r="CV25" i="1"/>
  <c r="CW25" i="1" s="1"/>
  <c r="AX25" i="1" s="1"/>
  <c r="BK25" i="1"/>
  <c r="BJ25" i="1"/>
  <c r="BF25" i="1"/>
  <c r="BI25" i="1" s="1"/>
  <c r="BB25" i="1"/>
  <c r="AV25" i="1"/>
  <c r="AP25" i="1"/>
  <c r="BC25" i="1" s="1"/>
  <c r="AK25" i="1"/>
  <c r="AI25" i="1"/>
  <c r="M25" i="1" s="1"/>
  <c r="AA25" i="1"/>
  <c r="Y25" i="1" s="1"/>
  <c r="Z25" i="1"/>
  <c r="R25" i="1"/>
  <c r="CY24" i="1"/>
  <c r="U24" i="1" s="1"/>
  <c r="CX24" i="1"/>
  <c r="CV24" i="1"/>
  <c r="BK24" i="1"/>
  <c r="BJ24" i="1"/>
  <c r="BB24" i="1"/>
  <c r="AV24" i="1"/>
  <c r="AP24" i="1"/>
  <c r="BC24" i="1" s="1"/>
  <c r="BF24" i="1" s="1"/>
  <c r="AK24" i="1"/>
  <c r="AI24" i="1" s="1"/>
  <c r="AA24" i="1"/>
  <c r="Z24" i="1"/>
  <c r="Y24" i="1" s="1"/>
  <c r="R24" i="1"/>
  <c r="CY23" i="1"/>
  <c r="CX23" i="1"/>
  <c r="CV23" i="1"/>
  <c r="CW23" i="1" s="1"/>
  <c r="AX23" i="1" s="1"/>
  <c r="BK23" i="1"/>
  <c r="BJ23" i="1"/>
  <c r="BH23" i="1"/>
  <c r="BL23" i="1" s="1"/>
  <c r="BM23" i="1" s="1"/>
  <c r="BG23" i="1"/>
  <c r="BF23" i="1"/>
  <c r="BI23" i="1" s="1"/>
  <c r="BB23" i="1"/>
  <c r="AV23" i="1"/>
  <c r="AP23" i="1"/>
  <c r="BC23" i="1" s="1"/>
  <c r="AK23" i="1"/>
  <c r="AI23" i="1" s="1"/>
  <c r="AA23" i="1"/>
  <c r="Z23" i="1"/>
  <c r="Y23" i="1" s="1"/>
  <c r="U23" i="1"/>
  <c r="R23" i="1"/>
  <c r="CY22" i="1"/>
  <c r="CX22" i="1"/>
  <c r="CV22" i="1"/>
  <c r="BK22" i="1"/>
  <c r="BJ22" i="1"/>
  <c r="BB22" i="1"/>
  <c r="AV22" i="1"/>
  <c r="AP22" i="1"/>
  <c r="BC22" i="1" s="1"/>
  <c r="BF22" i="1" s="1"/>
  <c r="AK22" i="1"/>
  <c r="AI22" i="1" s="1"/>
  <c r="AA22" i="1"/>
  <c r="Z22" i="1"/>
  <c r="Y22" i="1" s="1"/>
  <c r="R22" i="1"/>
  <c r="CY21" i="1"/>
  <c r="CX21" i="1"/>
  <c r="CV21" i="1"/>
  <c r="BK21" i="1"/>
  <c r="BJ21" i="1"/>
  <c r="BF21" i="1"/>
  <c r="BI21" i="1" s="1"/>
  <c r="BB21" i="1"/>
  <c r="AV21" i="1"/>
  <c r="AP21" i="1"/>
  <c r="BC21" i="1" s="1"/>
  <c r="AK21" i="1"/>
  <c r="AI21" i="1" s="1"/>
  <c r="M21" i="1" s="1"/>
  <c r="AA21" i="1"/>
  <c r="Z21" i="1"/>
  <c r="Y21" i="1" s="1"/>
  <c r="R21" i="1"/>
  <c r="CY20" i="1"/>
  <c r="CX20" i="1"/>
  <c r="CV20" i="1"/>
  <c r="CW20" i="1" s="1"/>
  <c r="AX20" i="1" s="1"/>
  <c r="AZ20" i="1" s="1"/>
  <c r="BK20" i="1"/>
  <c r="BJ20" i="1"/>
  <c r="BB20" i="1"/>
  <c r="AV20" i="1"/>
  <c r="AP20" i="1"/>
  <c r="BC20" i="1" s="1"/>
  <c r="BF20" i="1" s="1"/>
  <c r="AK20" i="1"/>
  <c r="AI20" i="1" s="1"/>
  <c r="AA20" i="1"/>
  <c r="Z20" i="1"/>
  <c r="Y20" i="1" s="1"/>
  <c r="R20" i="1"/>
  <c r="CY19" i="1"/>
  <c r="CX19" i="1"/>
  <c r="CV19" i="1"/>
  <c r="U19" i="1" s="1"/>
  <c r="BK19" i="1"/>
  <c r="BJ19" i="1"/>
  <c r="BG19" i="1"/>
  <c r="BF19" i="1"/>
  <c r="BI19" i="1" s="1"/>
  <c r="BB19" i="1"/>
  <c r="AV19" i="1"/>
  <c r="AP19" i="1"/>
  <c r="BC19" i="1" s="1"/>
  <c r="AK19" i="1"/>
  <c r="AI19" i="1" s="1"/>
  <c r="AA19" i="1"/>
  <c r="Z19" i="1"/>
  <c r="R19" i="1"/>
  <c r="CY18" i="1"/>
  <c r="CX18" i="1"/>
  <c r="CV18" i="1"/>
  <c r="BK18" i="1"/>
  <c r="BJ18" i="1"/>
  <c r="BB18" i="1"/>
  <c r="AV18" i="1"/>
  <c r="AP18" i="1"/>
  <c r="BC18" i="1" s="1"/>
  <c r="BF18" i="1" s="1"/>
  <c r="AK18" i="1"/>
  <c r="AI18" i="1" s="1"/>
  <c r="AA18" i="1"/>
  <c r="Z18" i="1"/>
  <c r="Y18" i="1" s="1"/>
  <c r="R18" i="1"/>
  <c r="CY17" i="1"/>
  <c r="CX17" i="1"/>
  <c r="CV17" i="1"/>
  <c r="BK17" i="1"/>
  <c r="BJ17" i="1"/>
  <c r="BF17" i="1"/>
  <c r="BI17" i="1" s="1"/>
  <c r="BB17" i="1"/>
  <c r="AV17" i="1"/>
  <c r="AP17" i="1"/>
  <c r="BC17" i="1" s="1"/>
  <c r="AK17" i="1"/>
  <c r="AI17" i="1" s="1"/>
  <c r="M17" i="1" s="1"/>
  <c r="AA17" i="1"/>
  <c r="Z17" i="1"/>
  <c r="Y17" i="1" s="1"/>
  <c r="R17" i="1"/>
  <c r="AJ43" i="1" l="1"/>
  <c r="P43" i="1"/>
  <c r="L43" i="1"/>
  <c r="AY43" i="1" s="1"/>
  <c r="M43" i="1"/>
  <c r="K43" i="1"/>
  <c r="J43" i="1" s="1"/>
  <c r="AC43" i="1" s="1"/>
  <c r="K23" i="1"/>
  <c r="J23" i="1" s="1"/>
  <c r="P23" i="1"/>
  <c r="M23" i="1"/>
  <c r="L23" i="1"/>
  <c r="AY23" i="1" s="1"/>
  <c r="BA23" i="1" s="1"/>
  <c r="K35" i="1"/>
  <c r="J35" i="1" s="1"/>
  <c r="AC35" i="1" s="1"/>
  <c r="M35" i="1"/>
  <c r="L35" i="1"/>
  <c r="AY35" i="1" s="1"/>
  <c r="P35" i="1"/>
  <c r="M44" i="1"/>
  <c r="P44" i="1"/>
  <c r="K19" i="1"/>
  <c r="J19" i="1" s="1"/>
  <c r="M19" i="1"/>
  <c r="AJ19" i="1"/>
  <c r="L19" i="1"/>
  <c r="AY19" i="1" s="1"/>
  <c r="P19" i="1"/>
  <c r="P27" i="1"/>
  <c r="M27" i="1"/>
  <c r="AJ27" i="1"/>
  <c r="L27" i="1"/>
  <c r="AY27" i="1" s="1"/>
  <c r="K27" i="1"/>
  <c r="J27" i="1" s="1"/>
  <c r="AC27" i="1" s="1"/>
  <c r="K31" i="1"/>
  <c r="J31" i="1" s="1"/>
  <c r="AC31" i="1" s="1"/>
  <c r="M31" i="1"/>
  <c r="P31" i="1"/>
  <c r="AJ31" i="1"/>
  <c r="L31" i="1"/>
  <c r="AY31" i="1" s="1"/>
  <c r="AZ27" i="1"/>
  <c r="CW19" i="1"/>
  <c r="AX19" i="1" s="1"/>
  <c r="CW22" i="1"/>
  <c r="AX22" i="1" s="1"/>
  <c r="AZ22" i="1" s="1"/>
  <c r="U27" i="1"/>
  <c r="V27" i="1" s="1"/>
  <c r="W27" i="1" s="1"/>
  <c r="X27" i="1" s="1"/>
  <c r="AB27" i="1" s="1"/>
  <c r="L29" i="1"/>
  <c r="AY29" i="1" s="1"/>
  <c r="CW35" i="1"/>
  <c r="AX35" i="1" s="1"/>
  <c r="Y42" i="1"/>
  <c r="BH42" i="1"/>
  <c r="BL42" i="1" s="1"/>
  <c r="BM42" i="1" s="1"/>
  <c r="BH38" i="1"/>
  <c r="BL38" i="1" s="1"/>
  <c r="BM38" i="1" s="1"/>
  <c r="BH40" i="1"/>
  <c r="BL40" i="1" s="1"/>
  <c r="BM40" i="1" s="1"/>
  <c r="BI44" i="1"/>
  <c r="AZ35" i="1"/>
  <c r="CW18" i="1"/>
  <c r="AX18" i="1" s="1"/>
  <c r="AZ18" i="1" s="1"/>
  <c r="Y19" i="1"/>
  <c r="CW21" i="1"/>
  <c r="AX21" i="1" s="1"/>
  <c r="AZ21" i="1" s="1"/>
  <c r="CW24" i="1"/>
  <c r="AX24" i="1" s="1"/>
  <c r="AZ24" i="1" s="1"/>
  <c r="Y28" i="1"/>
  <c r="CW34" i="1"/>
  <c r="AX34" i="1" s="1"/>
  <c r="AZ34" i="1" s="1"/>
  <c r="BH36" i="1"/>
  <c r="BL36" i="1" s="1"/>
  <c r="BM36" i="1" s="1"/>
  <c r="BG39" i="1"/>
  <c r="Y40" i="1"/>
  <c r="BI40" i="1"/>
  <c r="AZ42" i="1"/>
  <c r="CW44" i="1"/>
  <c r="AX44" i="1" s="1"/>
  <c r="AZ44" i="1" s="1"/>
  <c r="AZ19" i="1"/>
  <c r="CW17" i="1"/>
  <c r="AX17" i="1" s="1"/>
  <c r="AZ17" i="1" s="1"/>
  <c r="AZ23" i="1"/>
  <c r="CW33" i="1"/>
  <c r="AX33" i="1" s="1"/>
  <c r="AZ33" i="1" s="1"/>
  <c r="CW37" i="1"/>
  <c r="AX37" i="1" s="1"/>
  <c r="AZ37" i="1" s="1"/>
  <c r="CW40" i="1"/>
  <c r="AX40" i="1" s="1"/>
  <c r="AZ40" i="1" s="1"/>
  <c r="BI18" i="1"/>
  <c r="BH18" i="1"/>
  <c r="BL18" i="1" s="1"/>
  <c r="BM18" i="1" s="1"/>
  <c r="BG18" i="1"/>
  <c r="BG24" i="1"/>
  <c r="BI24" i="1"/>
  <c r="BH24" i="1"/>
  <c r="BL24" i="1" s="1"/>
  <c r="BM24" i="1" s="1"/>
  <c r="P26" i="1"/>
  <c r="K26" i="1"/>
  <c r="J26" i="1" s="1"/>
  <c r="M26" i="1"/>
  <c r="L26" i="1"/>
  <c r="AY26" i="1" s="1"/>
  <c r="BA26" i="1" s="1"/>
  <c r="AJ26" i="1"/>
  <c r="AE27" i="1"/>
  <c r="AC23" i="1"/>
  <c r="P18" i="1"/>
  <c r="M18" i="1"/>
  <c r="L18" i="1"/>
  <c r="AY18" i="1" s="1"/>
  <c r="BA18" i="1" s="1"/>
  <c r="AJ18" i="1"/>
  <c r="K18" i="1"/>
  <c r="J18" i="1" s="1"/>
  <c r="M24" i="1"/>
  <c r="L24" i="1"/>
  <c r="AY24" i="1" s="1"/>
  <c r="BA24" i="1" s="1"/>
  <c r="K24" i="1"/>
  <c r="J24" i="1" s="1"/>
  <c r="AJ24" i="1"/>
  <c r="P24" i="1"/>
  <c r="BG26" i="1"/>
  <c r="BI26" i="1"/>
  <c r="BH26" i="1"/>
  <c r="BL26" i="1" s="1"/>
  <c r="BM26" i="1" s="1"/>
  <c r="AC19" i="1"/>
  <c r="BI22" i="1"/>
  <c r="BH22" i="1"/>
  <c r="BL22" i="1" s="1"/>
  <c r="BM22" i="1" s="1"/>
  <c r="BG22" i="1"/>
  <c r="AZ25" i="1"/>
  <c r="BA19" i="1"/>
  <c r="M20" i="1"/>
  <c r="L20" i="1"/>
  <c r="AY20" i="1" s="1"/>
  <c r="BA20" i="1" s="1"/>
  <c r="K20" i="1"/>
  <c r="J20" i="1" s="1"/>
  <c r="AJ20" i="1"/>
  <c r="P20" i="1"/>
  <c r="P22" i="1"/>
  <c r="M22" i="1"/>
  <c r="L22" i="1"/>
  <c r="AY22" i="1" s="1"/>
  <c r="BA22" i="1" s="1"/>
  <c r="K22" i="1"/>
  <c r="J22" i="1" s="1"/>
  <c r="AJ22" i="1"/>
  <c r="BG20" i="1"/>
  <c r="BI20" i="1"/>
  <c r="BH20" i="1"/>
  <c r="BL20" i="1" s="1"/>
  <c r="BM20" i="1" s="1"/>
  <c r="AD27" i="1"/>
  <c r="AF27" i="1" s="1"/>
  <c r="BG28" i="1"/>
  <c r="BH28" i="1"/>
  <c r="BL28" i="1" s="1"/>
  <c r="BM28" i="1" s="1"/>
  <c r="BI28" i="1"/>
  <c r="P34" i="1"/>
  <c r="M34" i="1"/>
  <c r="L34" i="1"/>
  <c r="AY34" i="1" s="1"/>
  <c r="BA34" i="1" s="1"/>
  <c r="V35" i="1"/>
  <c r="W35" i="1" s="1"/>
  <c r="P17" i="1"/>
  <c r="P21" i="1"/>
  <c r="P25" i="1"/>
  <c r="M28" i="1"/>
  <c r="K28" i="1"/>
  <c r="J28" i="1" s="1"/>
  <c r="AJ29" i="1"/>
  <c r="BI29" i="1"/>
  <c r="BG29" i="1"/>
  <c r="K30" i="1"/>
  <c r="J30" i="1" s="1"/>
  <c r="M32" i="1"/>
  <c r="L32" i="1"/>
  <c r="AY32" i="1" s="1"/>
  <c r="K32" i="1"/>
  <c r="J32" i="1" s="1"/>
  <c r="AJ32" i="1"/>
  <c r="P32" i="1"/>
  <c r="AJ34" i="1"/>
  <c r="K39" i="1"/>
  <c r="J39" i="1" s="1"/>
  <c r="AJ39" i="1"/>
  <c r="P39" i="1"/>
  <c r="L39" i="1"/>
  <c r="AY39" i="1" s="1"/>
  <c r="BA39" i="1" s="1"/>
  <c r="P30" i="1"/>
  <c r="M30" i="1"/>
  <c r="L30" i="1"/>
  <c r="AY30" i="1" s="1"/>
  <c r="BA30" i="1" s="1"/>
  <c r="AJ17" i="1"/>
  <c r="V19" i="1"/>
  <c r="W19" i="1" s="1"/>
  <c r="S19" i="1" s="1"/>
  <c r="Q19" i="1" s="1"/>
  <c r="T19" i="1" s="1"/>
  <c r="N19" i="1" s="1"/>
  <c r="O19" i="1" s="1"/>
  <c r="BH19" i="1"/>
  <c r="BL19" i="1" s="1"/>
  <c r="BM19" i="1" s="1"/>
  <c r="AJ21" i="1"/>
  <c r="V23" i="1"/>
  <c r="W23" i="1" s="1"/>
  <c r="AJ25" i="1"/>
  <c r="AD31" i="1"/>
  <c r="CW32" i="1"/>
  <c r="AX32" i="1" s="1"/>
  <c r="AZ32" i="1" s="1"/>
  <c r="M39" i="1"/>
  <c r="AZ39" i="1"/>
  <c r="M40" i="1"/>
  <c r="L40" i="1"/>
  <c r="AY40" i="1" s="1"/>
  <c r="BA40" i="1" s="1"/>
  <c r="K40" i="1"/>
  <c r="J40" i="1" s="1"/>
  <c r="AJ40" i="1"/>
  <c r="P40" i="1"/>
  <c r="M36" i="1"/>
  <c r="L36" i="1"/>
  <c r="AY36" i="1" s="1"/>
  <c r="BA36" i="1" s="1"/>
  <c r="K36" i="1"/>
  <c r="J36" i="1" s="1"/>
  <c r="AJ36" i="1"/>
  <c r="P36" i="1"/>
  <c r="K17" i="1"/>
  <c r="J17" i="1" s="1"/>
  <c r="U18" i="1"/>
  <c r="K21" i="1"/>
  <c r="J21" i="1" s="1"/>
  <c r="U22" i="1"/>
  <c r="K25" i="1"/>
  <c r="J25" i="1" s="1"/>
  <c r="U26" i="1"/>
  <c r="K34" i="1"/>
  <c r="J34" i="1" s="1"/>
  <c r="M37" i="1"/>
  <c r="L37" i="1"/>
  <c r="AY37" i="1" s="1"/>
  <c r="BA37" i="1" s="1"/>
  <c r="K37" i="1"/>
  <c r="J37" i="1" s="1"/>
  <c r="AJ37" i="1"/>
  <c r="P37" i="1"/>
  <c r="BA43" i="1"/>
  <c r="L17" i="1"/>
  <c r="AY17" i="1" s="1"/>
  <c r="BA17" i="1" s="1"/>
  <c r="L21" i="1"/>
  <c r="AY21" i="1" s="1"/>
  <c r="BA21" i="1" s="1"/>
  <c r="L25" i="1"/>
  <c r="AY25" i="1" s="1"/>
  <c r="BA25" i="1" s="1"/>
  <c r="S27" i="1"/>
  <c r="Q27" i="1" s="1"/>
  <c r="T27" i="1" s="1"/>
  <c r="N27" i="1" s="1"/>
  <c r="O27" i="1" s="1"/>
  <c r="CW29" i="1"/>
  <c r="AX29" i="1" s="1"/>
  <c r="AZ29" i="1" s="1"/>
  <c r="U29" i="1"/>
  <c r="V31" i="1"/>
  <c r="W31" i="1" s="1"/>
  <c r="P38" i="1"/>
  <c r="M38" i="1"/>
  <c r="L38" i="1"/>
  <c r="AY38" i="1" s="1"/>
  <c r="BA38" i="1" s="1"/>
  <c r="AJ38" i="1"/>
  <c r="M41" i="1"/>
  <c r="L41" i="1"/>
  <c r="AY41" i="1" s="1"/>
  <c r="BA41" i="1" s="1"/>
  <c r="K41" i="1"/>
  <c r="J41" i="1" s="1"/>
  <c r="AJ41" i="1"/>
  <c r="P41" i="1"/>
  <c r="P42" i="1"/>
  <c r="M42" i="1"/>
  <c r="L42" i="1"/>
  <c r="AY42" i="1" s="1"/>
  <c r="BA42" i="1" s="1"/>
  <c r="AJ42" i="1"/>
  <c r="U17" i="1"/>
  <c r="BG17" i="1"/>
  <c r="U21" i="1"/>
  <c r="BG21" i="1"/>
  <c r="U25" i="1"/>
  <c r="BG25" i="1"/>
  <c r="CW28" i="1"/>
  <c r="AX28" i="1" s="1"/>
  <c r="AZ28" i="1" s="1"/>
  <c r="U28" i="1"/>
  <c r="AZ31" i="1"/>
  <c r="M33" i="1"/>
  <c r="L33" i="1"/>
  <c r="AY33" i="1" s="1"/>
  <c r="BA33" i="1" s="1"/>
  <c r="K33" i="1"/>
  <c r="J33" i="1" s="1"/>
  <c r="AJ33" i="1"/>
  <c r="BI34" i="1"/>
  <c r="BH34" i="1"/>
  <c r="BL34" i="1" s="1"/>
  <c r="BM34" i="1" s="1"/>
  <c r="BG34" i="1"/>
  <c r="BA35" i="1"/>
  <c r="S43" i="1"/>
  <c r="Q43" i="1" s="1"/>
  <c r="T43" i="1" s="1"/>
  <c r="N43" i="1" s="1"/>
  <c r="O43" i="1" s="1"/>
  <c r="BH17" i="1"/>
  <c r="BL17" i="1" s="1"/>
  <c r="BM17" i="1" s="1"/>
  <c r="BH21" i="1"/>
  <c r="BL21" i="1" s="1"/>
  <c r="BM21" i="1" s="1"/>
  <c r="AJ23" i="1"/>
  <c r="BH25" i="1"/>
  <c r="BL25" i="1" s="1"/>
  <c r="BM25" i="1" s="1"/>
  <c r="BA27" i="1"/>
  <c r="BG27" i="1"/>
  <c r="BI30" i="1"/>
  <c r="BG30" i="1"/>
  <c r="BH32" i="1"/>
  <c r="BL32" i="1" s="1"/>
  <c r="BM32" i="1" s="1"/>
  <c r="BI41" i="1"/>
  <c r="BH41" i="1"/>
  <c r="BL41" i="1" s="1"/>
  <c r="BM41" i="1" s="1"/>
  <c r="BG41" i="1"/>
  <c r="BI43" i="1"/>
  <c r="BH43" i="1"/>
  <c r="BL43" i="1" s="1"/>
  <c r="BM43" i="1" s="1"/>
  <c r="U20" i="1"/>
  <c r="BH27" i="1"/>
  <c r="BL27" i="1" s="1"/>
  <c r="BM27" i="1" s="1"/>
  <c r="M29" i="1"/>
  <c r="K29" i="1"/>
  <c r="J29" i="1" s="1"/>
  <c r="BA31" i="1"/>
  <c r="BI31" i="1"/>
  <c r="BH31" i="1"/>
  <c r="BL31" i="1" s="1"/>
  <c r="BM31" i="1" s="1"/>
  <c r="BI32" i="1"/>
  <c r="K38" i="1"/>
  <c r="J38" i="1" s="1"/>
  <c r="K42" i="1"/>
  <c r="J42" i="1" s="1"/>
  <c r="V43" i="1"/>
  <c r="W43" i="1" s="1"/>
  <c r="AZ43" i="1"/>
  <c r="BH35" i="1"/>
  <c r="BL35" i="1" s="1"/>
  <c r="BM35" i="1" s="1"/>
  <c r="BH39" i="1"/>
  <c r="BL39" i="1" s="1"/>
  <c r="BM39" i="1" s="1"/>
  <c r="U30" i="1"/>
  <c r="U34" i="1"/>
  <c r="U38" i="1"/>
  <c r="BG38" i="1"/>
  <c r="U42" i="1"/>
  <c r="BG42" i="1"/>
  <c r="AJ44" i="1"/>
  <c r="U33" i="1"/>
  <c r="BG33" i="1"/>
  <c r="U37" i="1"/>
  <c r="BG37" i="1"/>
  <c r="U41" i="1"/>
  <c r="K44" i="1"/>
  <c r="J44" i="1" s="1"/>
  <c r="V44" i="1" s="1"/>
  <c r="W44" i="1" s="1"/>
  <c r="BH33" i="1"/>
  <c r="BL33" i="1" s="1"/>
  <c r="BM33" i="1" s="1"/>
  <c r="AJ35" i="1"/>
  <c r="BH37" i="1"/>
  <c r="BL37" i="1" s="1"/>
  <c r="BM37" i="1" s="1"/>
  <c r="L44" i="1"/>
  <c r="AY44" i="1" s="1"/>
  <c r="BA44" i="1" s="1"/>
  <c r="U32" i="1"/>
  <c r="U36" i="1"/>
  <c r="U40" i="1"/>
  <c r="X44" i="1" l="1"/>
  <c r="AB44" i="1" s="1"/>
  <c r="AE44" i="1"/>
  <c r="AD44" i="1"/>
  <c r="AC22" i="1"/>
  <c r="V33" i="1"/>
  <c r="W33" i="1" s="1"/>
  <c r="AC37" i="1"/>
  <c r="V18" i="1"/>
  <c r="W18" i="1" s="1"/>
  <c r="S18" i="1" s="1"/>
  <c r="Q18" i="1" s="1"/>
  <c r="T18" i="1" s="1"/>
  <c r="N18" i="1" s="1"/>
  <c r="O18" i="1" s="1"/>
  <c r="AC39" i="1"/>
  <c r="AC30" i="1"/>
  <c r="AC20" i="1"/>
  <c r="AC26" i="1"/>
  <c r="V40" i="1"/>
  <c r="W40" i="1" s="1"/>
  <c r="AC33" i="1"/>
  <c r="AD19" i="1"/>
  <c r="BA29" i="1"/>
  <c r="V25" i="1"/>
  <c r="W25" i="1" s="1"/>
  <c r="AC24" i="1"/>
  <c r="V36" i="1"/>
  <c r="W36" i="1" s="1"/>
  <c r="AC44" i="1"/>
  <c r="S44" i="1"/>
  <c r="Q44" i="1" s="1"/>
  <c r="T44" i="1" s="1"/>
  <c r="N44" i="1" s="1"/>
  <c r="O44" i="1" s="1"/>
  <c r="V42" i="1"/>
  <c r="W42" i="1" s="1"/>
  <c r="V21" i="1"/>
  <c r="W21" i="1" s="1"/>
  <c r="S21" i="1" s="1"/>
  <c r="Q21" i="1" s="1"/>
  <c r="T21" i="1" s="1"/>
  <c r="N21" i="1" s="1"/>
  <c r="O21" i="1" s="1"/>
  <c r="X31" i="1"/>
  <c r="AB31" i="1" s="1"/>
  <c r="AE31" i="1"/>
  <c r="AF31" i="1" s="1"/>
  <c r="AC34" i="1"/>
  <c r="AC40" i="1"/>
  <c r="X23" i="1"/>
  <c r="AB23" i="1" s="1"/>
  <c r="AE23" i="1"/>
  <c r="AF23" i="1" s="1"/>
  <c r="AD23" i="1"/>
  <c r="V20" i="1"/>
  <c r="W20" i="1" s="1"/>
  <c r="S20" i="1" s="1"/>
  <c r="Q20" i="1" s="1"/>
  <c r="T20" i="1" s="1"/>
  <c r="N20" i="1" s="1"/>
  <c r="O20" i="1" s="1"/>
  <c r="AC41" i="1"/>
  <c r="AC17" i="1"/>
  <c r="V32" i="1"/>
  <c r="W32" i="1" s="1"/>
  <c r="V41" i="1"/>
  <c r="W41" i="1" s="1"/>
  <c r="S41" i="1" s="1"/>
  <c r="Q41" i="1" s="1"/>
  <c r="T41" i="1" s="1"/>
  <c r="N41" i="1" s="1"/>
  <c r="O41" i="1" s="1"/>
  <c r="X43" i="1"/>
  <c r="AB43" i="1" s="1"/>
  <c r="AE43" i="1"/>
  <c r="AD43" i="1"/>
  <c r="V39" i="1"/>
  <c r="W39" i="1" s="1"/>
  <c r="V26" i="1"/>
  <c r="W26" i="1" s="1"/>
  <c r="S26" i="1" s="1"/>
  <c r="Q26" i="1" s="1"/>
  <c r="T26" i="1" s="1"/>
  <c r="N26" i="1" s="1"/>
  <c r="O26" i="1" s="1"/>
  <c r="AC36" i="1"/>
  <c r="S36" i="1"/>
  <c r="Q36" i="1" s="1"/>
  <c r="T36" i="1" s="1"/>
  <c r="N36" i="1" s="1"/>
  <c r="O36" i="1" s="1"/>
  <c r="AC28" i="1"/>
  <c r="AC18" i="1"/>
  <c r="S23" i="1"/>
  <c r="Q23" i="1" s="1"/>
  <c r="T23" i="1" s="1"/>
  <c r="N23" i="1" s="1"/>
  <c r="O23" i="1" s="1"/>
  <c r="X35" i="1"/>
  <c r="AB35" i="1" s="1"/>
  <c r="AE35" i="1"/>
  <c r="AD35" i="1"/>
  <c r="V38" i="1"/>
  <c r="W38" i="1" s="1"/>
  <c r="V17" i="1"/>
  <c r="W17" i="1" s="1"/>
  <c r="S17" i="1" s="1"/>
  <c r="Q17" i="1" s="1"/>
  <c r="T17" i="1" s="1"/>
  <c r="N17" i="1" s="1"/>
  <c r="O17" i="1" s="1"/>
  <c r="V29" i="1"/>
  <c r="W29" i="1" s="1"/>
  <c r="AC25" i="1"/>
  <c r="S25" i="1"/>
  <c r="Q25" i="1" s="1"/>
  <c r="T25" i="1" s="1"/>
  <c r="N25" i="1" s="1"/>
  <c r="O25" i="1" s="1"/>
  <c r="AC32" i="1"/>
  <c r="S32" i="1"/>
  <c r="Q32" i="1" s="1"/>
  <c r="T32" i="1" s="1"/>
  <c r="N32" i="1" s="1"/>
  <c r="O32" i="1" s="1"/>
  <c r="V24" i="1"/>
  <c r="W24" i="1" s="1"/>
  <c r="S24" i="1" s="1"/>
  <c r="Q24" i="1" s="1"/>
  <c r="T24" i="1" s="1"/>
  <c r="N24" i="1" s="1"/>
  <c r="O24" i="1" s="1"/>
  <c r="V37" i="1"/>
  <c r="W37" i="1" s="1"/>
  <c r="V34" i="1"/>
  <c r="W34" i="1" s="1"/>
  <c r="S34" i="1" s="1"/>
  <c r="Q34" i="1" s="1"/>
  <c r="T34" i="1" s="1"/>
  <c r="N34" i="1" s="1"/>
  <c r="O34" i="1" s="1"/>
  <c r="AC42" i="1"/>
  <c r="S42" i="1"/>
  <c r="Q42" i="1" s="1"/>
  <c r="T42" i="1" s="1"/>
  <c r="N42" i="1" s="1"/>
  <c r="O42" i="1" s="1"/>
  <c r="AC29" i="1"/>
  <c r="V28" i="1"/>
  <c r="W28" i="1" s="1"/>
  <c r="V22" i="1"/>
  <c r="W22" i="1" s="1"/>
  <c r="S22" i="1" s="1"/>
  <c r="Q22" i="1" s="1"/>
  <c r="T22" i="1" s="1"/>
  <c r="N22" i="1" s="1"/>
  <c r="O22" i="1" s="1"/>
  <c r="X19" i="1"/>
  <c r="AB19" i="1" s="1"/>
  <c r="AE19" i="1"/>
  <c r="AF19" i="1" s="1"/>
  <c r="BA32" i="1"/>
  <c r="V30" i="1"/>
  <c r="W30" i="1" s="1"/>
  <c r="AC38" i="1"/>
  <c r="S38" i="1"/>
  <c r="Q38" i="1" s="1"/>
  <c r="T38" i="1" s="1"/>
  <c r="N38" i="1" s="1"/>
  <c r="O38" i="1" s="1"/>
  <c r="S35" i="1"/>
  <c r="Q35" i="1" s="1"/>
  <c r="T35" i="1" s="1"/>
  <c r="N35" i="1" s="1"/>
  <c r="O35" i="1" s="1"/>
  <c r="BA28" i="1"/>
  <c r="AC21" i="1"/>
  <c r="S31" i="1"/>
  <c r="Q31" i="1" s="1"/>
  <c r="T31" i="1" s="1"/>
  <c r="N31" i="1" s="1"/>
  <c r="O31" i="1" s="1"/>
  <c r="AE28" i="1" l="1"/>
  <c r="X28" i="1"/>
  <c r="AB28" i="1" s="1"/>
  <c r="AD28" i="1"/>
  <c r="AE29" i="1"/>
  <c r="X29" i="1"/>
  <c r="AB29" i="1" s="1"/>
  <c r="AD29" i="1"/>
  <c r="X40" i="1"/>
  <c r="AB40" i="1" s="1"/>
  <c r="AE40" i="1"/>
  <c r="AF40" i="1" s="1"/>
  <c r="AD40" i="1"/>
  <c r="X39" i="1"/>
  <c r="AB39" i="1" s="1"/>
  <c r="AE39" i="1"/>
  <c r="AD39" i="1"/>
  <c r="S29" i="1"/>
  <c r="Q29" i="1" s="1"/>
  <c r="T29" i="1" s="1"/>
  <c r="N29" i="1" s="1"/>
  <c r="O29" i="1" s="1"/>
  <c r="AE24" i="1"/>
  <c r="X24" i="1"/>
  <c r="AB24" i="1" s="1"/>
  <c r="AD24" i="1"/>
  <c r="AE17" i="1"/>
  <c r="X17" i="1"/>
  <c r="AB17" i="1" s="1"/>
  <c r="AD17" i="1"/>
  <c r="S40" i="1"/>
  <c r="Q40" i="1" s="1"/>
  <c r="T40" i="1" s="1"/>
  <c r="N40" i="1" s="1"/>
  <c r="O40" i="1" s="1"/>
  <c r="X42" i="1"/>
  <c r="AB42" i="1" s="1"/>
  <c r="AE42" i="1"/>
  <c r="AD42" i="1"/>
  <c r="X18" i="1"/>
  <c r="AB18" i="1" s="1"/>
  <c r="AE18" i="1"/>
  <c r="AD18" i="1"/>
  <c r="AE33" i="1"/>
  <c r="X33" i="1"/>
  <c r="AB33" i="1" s="1"/>
  <c r="AD33" i="1"/>
  <c r="X30" i="1"/>
  <c r="AB30" i="1" s="1"/>
  <c r="AE30" i="1"/>
  <c r="AD30" i="1"/>
  <c r="S39" i="1"/>
  <c r="Q39" i="1" s="1"/>
  <c r="T39" i="1" s="1"/>
  <c r="N39" i="1" s="1"/>
  <c r="O39" i="1" s="1"/>
  <c r="X38" i="1"/>
  <c r="AB38" i="1" s="1"/>
  <c r="AE38" i="1"/>
  <c r="AD38" i="1"/>
  <c r="S28" i="1"/>
  <c r="Q28" i="1" s="1"/>
  <c r="T28" i="1" s="1"/>
  <c r="N28" i="1" s="1"/>
  <c r="O28" i="1" s="1"/>
  <c r="AF43" i="1"/>
  <c r="AE25" i="1"/>
  <c r="AF25" i="1" s="1"/>
  <c r="X25" i="1"/>
  <c r="AB25" i="1" s="1"/>
  <c r="AD25" i="1"/>
  <c r="AE37" i="1"/>
  <c r="X37" i="1"/>
  <c r="AB37" i="1" s="1"/>
  <c r="AD37" i="1"/>
  <c r="S37" i="1"/>
  <c r="Q37" i="1" s="1"/>
  <c r="T37" i="1" s="1"/>
  <c r="N37" i="1" s="1"/>
  <c r="O37" i="1" s="1"/>
  <c r="AE20" i="1"/>
  <c r="X20" i="1"/>
  <c r="AB20" i="1" s="1"/>
  <c r="AD20" i="1"/>
  <c r="AE21" i="1"/>
  <c r="X21" i="1"/>
  <c r="AB21" i="1" s="1"/>
  <c r="AD21" i="1"/>
  <c r="X22" i="1"/>
  <c r="AB22" i="1" s="1"/>
  <c r="AE22" i="1"/>
  <c r="AF22" i="1" s="1"/>
  <c r="AD22" i="1"/>
  <c r="X34" i="1"/>
  <c r="AB34" i="1" s="1"/>
  <c r="AE34" i="1"/>
  <c r="AD34" i="1"/>
  <c r="AF35" i="1"/>
  <c r="AE41" i="1"/>
  <c r="X41" i="1"/>
  <c r="AB41" i="1" s="1"/>
  <c r="AD41" i="1"/>
  <c r="X36" i="1"/>
  <c r="AB36" i="1" s="1"/>
  <c r="AD36" i="1"/>
  <c r="AE36" i="1"/>
  <c r="S33" i="1"/>
  <c r="Q33" i="1" s="1"/>
  <c r="T33" i="1" s="1"/>
  <c r="N33" i="1" s="1"/>
  <c r="O33" i="1" s="1"/>
  <c r="S30" i="1"/>
  <c r="Q30" i="1" s="1"/>
  <c r="T30" i="1" s="1"/>
  <c r="N30" i="1" s="1"/>
  <c r="O30" i="1" s="1"/>
  <c r="AF44" i="1"/>
  <c r="X26" i="1"/>
  <c r="AB26" i="1" s="1"/>
  <c r="AE26" i="1"/>
  <c r="AD26" i="1"/>
  <c r="X32" i="1"/>
  <c r="AB32" i="1" s="1"/>
  <c r="AE32" i="1"/>
  <c r="AF32" i="1" s="1"/>
  <c r="AD32" i="1"/>
  <c r="AF30" i="1" l="1"/>
  <c r="AF41" i="1"/>
  <c r="AF38" i="1"/>
  <c r="AF33" i="1"/>
  <c r="AF39" i="1"/>
  <c r="AF37" i="1"/>
  <c r="AF21" i="1"/>
  <c r="AF18" i="1"/>
  <c r="AF17" i="1"/>
  <c r="AF29" i="1"/>
  <c r="AF36" i="1"/>
  <c r="AF34" i="1"/>
  <c r="AF26" i="1"/>
  <c r="AF20" i="1"/>
  <c r="AF42" i="1"/>
  <c r="AF24" i="1"/>
  <c r="AF28" i="1"/>
</calcChain>
</file>

<file path=xl/sharedStrings.xml><?xml version="1.0" encoding="utf-8"?>
<sst xmlns="http://schemas.openxmlformats.org/spreadsheetml/2006/main" count="1336" uniqueCount="539">
  <si>
    <t>File opened</t>
  </si>
  <si>
    <t>2023-11-16 09:08:01</t>
  </si>
  <si>
    <t>Console s/n</t>
  </si>
  <si>
    <t>68C-812062</t>
  </si>
  <si>
    <t>Console ver</t>
  </si>
  <si>
    <t>Bluestem v.2.1.08</t>
  </si>
  <si>
    <t>Scripts ver</t>
  </si>
  <si>
    <t>2022.05  2.1.08, Aug 2022</t>
  </si>
  <si>
    <t>Head s/n</t>
  </si>
  <si>
    <t>68H-712052</t>
  </si>
  <si>
    <t>Head ver</t>
  </si>
  <si>
    <t>1.4.22</t>
  </si>
  <si>
    <t>Head cal</t>
  </si>
  <si>
    <t>{"oxygen": "21", "co2azero": "0.884511", "co2aspan1": "0.998745", "co2aspan2": "-0.0206825", "co2aspan2a": "0.292025", "co2aspan2b": "0.289895", "co2aspanconc1": "2490", "co2aspanconc2": "303.6", "co2bzero": "0.888327", "co2bspan1": "0.998975", "co2bspan2": "-0.0218624", "co2bspan2a": "0.292018", "co2bspan2b": "0.289854", "co2bspanconc1": "2490", "co2bspanconc2": "303.6", "h2oazero": "1.01698", "h2oaspan1": "1.01138", "h2oaspan2": "0", "h2oaspan2a": "0.0735416", "h2oaspan2b": "0.0743788", "h2oaspanconc1": "12.1", "h2oaspanconc2": "0", "h2obzero": "1.02816", "h2obspan1": "1.02006", "h2obspan2": "0", "h2obspan2a": "0.0734461", "h2obspan2b": "0.0749195", "h2obspanconc1": "12.1", "h2obspanconc2": "0", "tazero": "-0.152895", "tbzero": "-0.115759", "flowmeterzero": "0.995458", "flowazero": "0.33092", "flowbzero": "0.27125", "chamberpressurezero": "2.66957", "ssa_ref": "29140.5", "ssb_ref": "29296.1"}</t>
  </si>
  <si>
    <t>CO2 rangematch</t>
  </si>
  <si>
    <t>Thu Nov  2 09:36</t>
  </si>
  <si>
    <t>H2O rangematch</t>
  </si>
  <si>
    <t>Thu Nov  2 09:42</t>
  </si>
  <si>
    <t>Chamber type</t>
  </si>
  <si>
    <t>6800-01A</t>
  </si>
  <si>
    <t>Chamber s/n</t>
  </si>
  <si>
    <t>MPF-281815</t>
  </si>
  <si>
    <t>Chamber rev</t>
  </si>
  <si>
    <t>0</t>
  </si>
  <si>
    <t>Chamber cal</t>
  </si>
  <si>
    <t>Fluorometer</t>
  </si>
  <si>
    <t>Flr. Version</t>
  </si>
  <si>
    <t>09:08:01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</si>
  <si>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</si>
  <si>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</si>
  <si>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</si>
  <si>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</si>
  <si>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</si>
  <si>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</si>
  <si>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</si>
  <si>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</si>
  <si>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</si>
  <si>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</si>
  <si>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</si>
  <si>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</si>
  <si>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</si>
  <si>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</si>
  <si>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</si>
  <si>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</si>
  <si>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</si>
  <si>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</si>
  <si>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</si>
  <si>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</si>
  <si>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</si>
  <si>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</si>
  <si>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</si>
  <si>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</si>
  <si>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</si>
  <si>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</si>
  <si>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</si>
  <si>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</si>
  <si>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</si>
  <si>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</si>
  <si>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</si>
  <si>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</si>
  <si>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</si>
  <si>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</si>
  <si>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</si>
  <si>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</si>
  <si>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</si>
  <si>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</si>
  <si>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</si>
  <si>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</si>
  <si>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</si>
  <si>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</si>
  <si>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</si>
  <si>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</si>
  <si>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</si>
  <si>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</si>
  <si>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</si>
  <si>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</si>
  <si>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</si>
  <si>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</si>
  <si>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</si>
  <si>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</si>
  <si>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</si>
  <si>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2.1299 65.0854 370.366 620.946 863.812 1051.77 1238.95 1404.9</t>
  </si>
  <si>
    <t>Fs_true</t>
  </si>
  <si>
    <t>-0.0514083 99.2801 401.72 600.821 800.964 1000.48 1201.26 1401.32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</si>
  <si>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</si>
  <si>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</si>
  <si>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</si>
  <si>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</si>
  <si>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</si>
  <si>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</si>
  <si>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</si>
  <si>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</si>
  <si>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</si>
  <si>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</si>
  <si>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</si>
  <si>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</si>
  <si>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</si>
  <si>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</si>
  <si>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</si>
  <si>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</si>
  <si>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</si>
  <si>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</si>
  <si>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</si>
  <si>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</si>
  <si>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</si>
  <si>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</si>
  <si>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</si>
  <si>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</si>
  <si>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</si>
  <si>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</si>
  <si>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</si>
  <si>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</si>
  <si>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</si>
  <si>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</si>
  <si>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</si>
  <si>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</si>
  <si>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</si>
  <si>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</si>
  <si>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</si>
  <si>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</si>
  <si>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</si>
  <si>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</si>
  <si>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</si>
  <si>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</si>
  <si>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</si>
  <si>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</si>
  <si>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</si>
  <si>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</si>
  <si>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</si>
  <si>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</si>
  <si>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</si>
  <si>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</si>
  <si>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</si>
  <si>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</si>
  <si>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</si>
  <si>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</si>
  <si>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</si>
  <si>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</si>
  <si>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</si>
  <si>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</si>
  <si>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</si>
  <si>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</si>
  <si>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</si>
  <si>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</si>
  <si>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</si>
  <si>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</si>
  <si>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</si>
  <si>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</si>
  <si>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</si>
  <si>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</si>
  <si>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</si>
  <si>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</si>
  <si>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</si>
  <si>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</si>
  <si>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</si>
  <si>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</si>
  <si>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</si>
  <si>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</si>
  <si>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</si>
  <si>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</si>
  <si>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</si>
  <si>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</si>
  <si>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</si>
  <si>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</si>
  <si>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</si>
  <si>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</si>
  <si>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</si>
  <si>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</si>
  <si>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</si>
  <si>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</si>
  <si>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</si>
  <si>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</si>
  <si>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</si>
  <si>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</si>
  <si>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</si>
  <si>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</si>
  <si>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</si>
  <si>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</si>
  <si>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</si>
  <si>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</si>
  <si>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</si>
  <si>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</si>
  <si>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</si>
  <si>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</si>
  <si>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</si>
  <si>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</si>
  <si>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</si>
  <si>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</si>
  <si>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</si>
  <si>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</si>
  <si>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</si>
  <si>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</si>
  <si>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</si>
  <si>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</si>
  <si>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</si>
  <si>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</si>
  <si>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</si>
  <si>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</si>
  <si>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</si>
  <si>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</si>
  <si>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</si>
  <si>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</si>
  <si>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</si>
  <si>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</si>
  <si>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</si>
  <si>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</si>
  <si>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</si>
  <si>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</si>
  <si>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</si>
  <si>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</si>
  <si>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</si>
  <si>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</si>
  <si>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</si>
  <si>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</si>
  <si>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</si>
  <si>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</si>
  <si>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</si>
  <si>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</si>
  <si>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</si>
  <si>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</si>
  <si>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</si>
  <si>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</si>
  <si>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</si>
  <si>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</si>
  <si>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</si>
  <si>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</si>
  <si>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</si>
  <si>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</si>
  <si>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</si>
  <si>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</si>
  <si>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</si>
  <si>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</si>
  <si>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</si>
  <si>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</si>
  <si>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</si>
  <si>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</si>
  <si>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</si>
  <si>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</si>
  <si>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</si>
  <si>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</si>
  <si>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</si>
  <si>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</si>
  <si>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</si>
  <si>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</si>
  <si>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</si>
  <si>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</si>
  <si>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</si>
  <si>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</si>
  <si>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</si>
  <si>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</si>
  <si>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</si>
  <si>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</si>
  <si>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</si>
  <si>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</si>
  <si>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</si>
  <si>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</si>
  <si>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</si>
  <si>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</si>
  <si>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</si>
  <si>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</si>
  <si>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</si>
  <si>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</si>
  <si>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</si>
  <si>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</si>
  <si>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</si>
  <si>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</si>
  <si>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</si>
  <si>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</si>
  <si>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</si>
  <si>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</si>
  <si>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</si>
  <si>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</si>
  <si>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</si>
  <si>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</si>
  <si>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</si>
  <si>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</si>
  <si>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</si>
  <si>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</si>
  <si>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</si>
  <si>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</si>
  <si>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</si>
  <si>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</si>
  <si>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</si>
  <si>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</si>
  <si>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</si>
  <si>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</si>
  <si>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</si>
  <si>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</si>
  <si>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</si>
  <si>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</si>
  <si>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</si>
  <si>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</si>
  <si>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</si>
  <si>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</si>
  <si>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</si>
  <si>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</si>
  <si>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</si>
  <si>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</si>
  <si>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</si>
  <si>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</si>
  <si>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</si>
  <si>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</si>
  <si>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</si>
  <si>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</si>
  <si>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</si>
  <si>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</si>
  <si>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</si>
  <si>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</si>
  <si>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</si>
  <si>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</si>
  <si>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</si>
  <si>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</si>
  <si>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</si>
  <si>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</si>
  <si>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</si>
  <si>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</si>
  <si>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</si>
  <si>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</si>
  <si>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</si>
  <si>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</si>
  <si>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</si>
  <si>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</si>
  <si>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</si>
  <si>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</si>
  <si>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</si>
  <si>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</si>
  <si>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</si>
  <si>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</si>
  <si>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</si>
  <si>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</si>
  <si>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</si>
  <si>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</si>
  <si>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</si>
  <si>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</si>
  <si>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</si>
  <si>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</si>
  <si>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</si>
  <si>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</si>
  <si>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</si>
  <si>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</si>
  <si>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</si>
  <si>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</si>
  <si>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</si>
  <si>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</si>
  <si>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</si>
  <si>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</si>
  <si>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</si>
  <si>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</si>
  <si>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</si>
  <si>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</si>
  <si>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</si>
  <si>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</si>
  <si>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</si>
  <si>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</si>
  <si>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</si>
  <si>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</si>
  <si>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</si>
  <si>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</si>
  <si>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</si>
  <si>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</si>
  <si>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</si>
  <si>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</si>
  <si>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</si>
  <si>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</si>
  <si>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</si>
  <si>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</si>
  <si>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</si>
  <si>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</si>
  <si>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</si>
  <si>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</si>
  <si>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</si>
  <si>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</si>
  <si>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</si>
  <si>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</si>
  <si>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</si>
  <si>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</si>
  <si>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</si>
  <si>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</si>
  <si>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</si>
  <si>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</si>
  <si>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</si>
  <si>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</si>
  <si>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</si>
  <si>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</si>
  <si>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</si>
  <si>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</si>
  <si>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</si>
  <si>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</si>
  <si>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</si>
  <si>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</si>
  <si>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</si>
  <si>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</si>
  <si>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</si>
  <si>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</si>
  <si>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</si>
  <si>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</si>
  <si>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</si>
  <si>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</si>
  <si>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</si>
  <si>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</si>
  <si>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</si>
  <si>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</si>
  <si>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</si>
  <si>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</si>
  <si>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</si>
  <si>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</si>
  <si>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</si>
  <si>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</si>
  <si>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</si>
  <si>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</si>
  <si>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09:19:20</t>
  </si>
  <si>
    <t>09:19:20</t>
  </si>
  <si>
    <t>none</t>
  </si>
  <si>
    <t>25</t>
  </si>
  <si>
    <t>5</t>
  </si>
  <si>
    <t>MPF-279-20231102-15_16_57</t>
  </si>
  <si>
    <t>MPF-280-20231116-09_18_38</t>
  </si>
  <si>
    <t>DARK-281-20231116-09_18_45</t>
  </si>
  <si>
    <t>0: Broadleaf</t>
  </si>
  <si>
    <t>09:18:43</t>
  </si>
  <si>
    <t>2/2</t>
  </si>
  <si>
    <t>11111111</t>
  </si>
  <si>
    <t>oooooooo</t>
  </si>
  <si>
    <t>off</t>
  </si>
  <si>
    <t>20231116 09:21:23</t>
  </si>
  <si>
    <t>09:21:23</t>
  </si>
  <si>
    <t>-</t>
  </si>
  <si>
    <t>09:20:47</t>
  </si>
  <si>
    <t>20231116 09:23:22</t>
  </si>
  <si>
    <t>09:23:22</t>
  </si>
  <si>
    <t>MPF-282-20231116-09_22_39</t>
  </si>
  <si>
    <t>DARK-283-20231116-09_22_47</t>
  </si>
  <si>
    <t>09:22:49</t>
  </si>
  <si>
    <t>20231116 09:25:45</t>
  </si>
  <si>
    <t>09:25:45</t>
  </si>
  <si>
    <t>09:25:12</t>
  </si>
  <si>
    <t>20231116 09:27:42</t>
  </si>
  <si>
    <t>09:27:42</t>
  </si>
  <si>
    <t>MPF-284-20231116-09_26_59</t>
  </si>
  <si>
    <t>DARK-285-20231116-09_27_06</t>
  </si>
  <si>
    <t>09:27:09</t>
  </si>
  <si>
    <t>20231116 09:30:37</t>
  </si>
  <si>
    <t>09:30:37</t>
  </si>
  <si>
    <t>09:29:30</t>
  </si>
  <si>
    <t>20231116 09:32:25</t>
  </si>
  <si>
    <t>09:32:25</t>
  </si>
  <si>
    <t>MPF-286-20231116-09_31_42</t>
  </si>
  <si>
    <t>DARK-287-20231116-09_31_49</t>
  </si>
  <si>
    <t>09:31:51</t>
  </si>
  <si>
    <t>20231116 09:35:15</t>
  </si>
  <si>
    <t>09:35:15</t>
  </si>
  <si>
    <t>09:33:52</t>
  </si>
  <si>
    <t>20231116 09:38:01</t>
  </si>
  <si>
    <t>09:38:01</t>
  </si>
  <si>
    <t>MPF-288-20231116-09_37_18</t>
  </si>
  <si>
    <t>DARK-289-20231116-09_37_26</t>
  </si>
  <si>
    <t>09:36:51</t>
  </si>
  <si>
    <t>20231116 09:40:59</t>
  </si>
  <si>
    <t>09:40:59</t>
  </si>
  <si>
    <t>09:39:41</t>
  </si>
  <si>
    <t>20231116 09:43:00</t>
  </si>
  <si>
    <t>09:43:00</t>
  </si>
  <si>
    <t>MPF-290-20231116-09_42_18</t>
  </si>
  <si>
    <t>DARK-291-20231116-09_42_25</t>
  </si>
  <si>
    <t>09:42:25</t>
  </si>
  <si>
    <t>20231116 09:44:40</t>
  </si>
  <si>
    <t>09:44:40</t>
  </si>
  <si>
    <t>09:45:03</t>
  </si>
  <si>
    <t>20231116 09:46:34</t>
  </si>
  <si>
    <t>09:46:34</t>
  </si>
  <si>
    <t>MPF-292-20231116-09_45_51</t>
  </si>
  <si>
    <t>DARK-293-20231116-09_45_58</t>
  </si>
  <si>
    <t>09:46:54</t>
  </si>
  <si>
    <t>20231116 09:48:59</t>
  </si>
  <si>
    <t>09:48:59</t>
  </si>
  <si>
    <t>09:48:26</t>
  </si>
  <si>
    <t>20231116 10:07:55</t>
  </si>
  <si>
    <t>10:07:55</t>
  </si>
  <si>
    <t>3</t>
  </si>
  <si>
    <t>MPF-294-20231116-10_07_13</t>
  </si>
  <si>
    <t>DARK-295-20231116-10_07_20</t>
  </si>
  <si>
    <t>10:07:20</t>
  </si>
  <si>
    <t>20231116 10:10:30</t>
  </si>
  <si>
    <t>10:10:30</t>
  </si>
  <si>
    <t>10:10:47</t>
  </si>
  <si>
    <t>20231116 10:12:39</t>
  </si>
  <si>
    <t>10:12:39</t>
  </si>
  <si>
    <t>MPF-296-20231116-10_11_57</t>
  </si>
  <si>
    <t>DARK-297-20231116-10_12_04</t>
  </si>
  <si>
    <t>10:12:14</t>
  </si>
  <si>
    <t>20231116 10:14:56</t>
  </si>
  <si>
    <t>10:14:56</t>
  </si>
  <si>
    <t>10:14:16</t>
  </si>
  <si>
    <t>20231116 10:17:55</t>
  </si>
  <si>
    <t>10:17:55</t>
  </si>
  <si>
    <t>MPF-298-20231116-10_17_12</t>
  </si>
  <si>
    <t>DARK-299-20231116-10_17_19</t>
  </si>
  <si>
    <t>10:16:34</t>
  </si>
  <si>
    <t>20231116 10:21:04</t>
  </si>
  <si>
    <t>10:21:04</t>
  </si>
  <si>
    <t>MPF-300-20231116-10_20_21</t>
  </si>
  <si>
    <t>DARK-301-20231116-10_20_28</t>
  </si>
  <si>
    <t>10:19:40</t>
  </si>
  <si>
    <t>20231116 10:24:21</t>
  </si>
  <si>
    <t>10:24:21</t>
  </si>
  <si>
    <t>MPF-302-20231116-10_23_39</t>
  </si>
  <si>
    <t>DARK-303-20231116-10_23_46</t>
  </si>
  <si>
    <t>10:22:52</t>
  </si>
  <si>
    <t>20231116 10:27:46</t>
  </si>
  <si>
    <t>10:27:46</t>
  </si>
  <si>
    <t>MPF-304-20231116-10_27_03</t>
  </si>
  <si>
    <t>DARK-305-20231116-10_27_10</t>
  </si>
  <si>
    <t>10:26:07</t>
  </si>
  <si>
    <t>20231116 10:31:01</t>
  </si>
  <si>
    <t>10:31:01</t>
  </si>
  <si>
    <t>MPF-306-20231116-10_30_19</t>
  </si>
  <si>
    <t>DARK-307-20231116-10_30_26</t>
  </si>
  <si>
    <t>10:29:33</t>
  </si>
  <si>
    <t>20231116 10:34:07</t>
  </si>
  <si>
    <t>10:34:07</t>
  </si>
  <si>
    <t>MPF-308-20231116-10_33_25</t>
  </si>
  <si>
    <t>DARK-309-20231116-10_33_32</t>
  </si>
  <si>
    <t>10:32:36</t>
  </si>
  <si>
    <t>20231116 10:37:08</t>
  </si>
  <si>
    <t>10:37:08</t>
  </si>
  <si>
    <t>10:35:40</t>
  </si>
  <si>
    <t>20231116 10:39:13</t>
  </si>
  <si>
    <t>10:39:13</t>
  </si>
  <si>
    <t>MPF-310-20231116-10_38_30</t>
  </si>
  <si>
    <t>DARK-311-20231116-10_38_37</t>
  </si>
  <si>
    <t>10:38:38</t>
  </si>
  <si>
    <t>20231116 10:41:25</t>
  </si>
  <si>
    <t>10:41:25</t>
  </si>
  <si>
    <t>10:40:47</t>
  </si>
  <si>
    <t>20231116 10:43:25</t>
  </si>
  <si>
    <t>10:43:25</t>
  </si>
  <si>
    <t>MPF-312-20231116-10_42_42</t>
  </si>
  <si>
    <t>DARK-313-20231116-10_42_49</t>
  </si>
  <si>
    <t>10:42:49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</si>
</sst>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44"/>
  <sheetViews>
    <sheetView tabSelected="1" topLeftCell="A8" workbookViewId="0">
      <selection activeCell="A45" sqref="A45"/>
    </sheetView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1700147960.5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1700147960.5</v>
      </c>
      <c r="J17">
        <f t="shared" ref="J17:J44" si="0">(K17)/1000</f>
        <v>4.7629950591252931E-3</v>
      </c>
      <c r="K17">
        <f t="shared" ref="K17:K44" si="1">1000*DK17*AI17*(DG17-DH17)/(100*CZ17*(1000-AI17*DG17))</f>
        <v>4.7629950591252932</v>
      </c>
      <c r="L17">
        <f t="shared" ref="L17:L44" si="2">DK17*AI17*(DF17-DE17*(1000-AI17*DH17)/(1000-AI17*DG17))/(100*CZ17)</f>
        <v>54.641580129696663</v>
      </c>
      <c r="M17">
        <f t="shared" ref="M17:M44" si="3">DE17 - IF(AI17&gt;1, L17*CZ17*100/(AK17*DS17), 0)</f>
        <v>383.32299999999998</v>
      </c>
      <c r="N17">
        <f t="shared" ref="N17:N44" si="4">((T17-J17/2)*M17-L17)/(T17+J17/2)</f>
        <v>100.46189650398037</v>
      </c>
      <c r="O17">
        <f t="shared" ref="O17:O44" si="5">N17*(DL17+DM17)/1000</f>
        <v>10.01686269301632</v>
      </c>
      <c r="P17">
        <f t="shared" ref="P17:P44" si="6">(DE17 - IF(AI17&gt;1, L17*CZ17*100/(AK17*DS17), 0))*(DL17+DM17)/1000</f>
        <v>38.220399889852395</v>
      </c>
      <c r="Q17">
        <f t="shared" ref="Q17:Q44" si="7">2/((1/S17-1/R17)+SIGN(S17)*SQRT((1/S17-1/R17)*(1/S17-1/R17) + 4*DA17/((DA17+1)*(DA17+1))*(2*1/S17*1/R17-1/R17*1/R17)))</f>
        <v>0.33247424693261329</v>
      </c>
      <c r="R17">
        <f t="shared" ref="R17:R44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2.9451536187953113</v>
      </c>
      <c r="S17">
        <f t="shared" ref="S17:S44" si="9">J17*(1000-(1000*0.61365*EXP(17.502*W17/(240.97+W17))/(DL17+DM17)+DG17)/2)/(1000*0.61365*EXP(17.502*W17/(240.97+W17))/(DL17+DM17)-DG17)</f>
        <v>0.31294160386012515</v>
      </c>
      <c r="T17">
        <f t="shared" ref="T17:T44" si="10">1/((DA17+1)/(Q17/1.6)+1/(R17/1.37)) + DA17/((DA17+1)/(Q17/1.6) + DA17/(R17/1.37))</f>
        <v>0.19724773740885071</v>
      </c>
      <c r="U17">
        <f t="shared" ref="U17:U44" si="11">(CV17*CY17)</f>
        <v>344.37759864386425</v>
      </c>
      <c r="V17">
        <f t="shared" ref="V17:V44" si="12">(DN17+(U17+2*0.95*0.0000000567*(((DN17+$B$7)+273)^4-(DN17+273)^4)-44100*J17)/(1.84*29.3*R17+8*0.95*0.0000000567*(DN17+273)^3))</f>
        <v>30.866683020825285</v>
      </c>
      <c r="W17">
        <f t="shared" ref="W17:W44" si="13">($C$7*DO17+$D$7*DP17+$E$7*V17)</f>
        <v>29.971699999999998</v>
      </c>
      <c r="X17">
        <f t="shared" ref="X17:X44" si="14">0.61365*EXP(17.502*W17/(240.97+W17))</f>
        <v>4.2535291921332545</v>
      </c>
      <c r="Y17">
        <f t="shared" ref="Y17:Y44" si="15">(Z17/AA17*100)</f>
        <v>65.175317093192703</v>
      </c>
      <c r="Z17">
        <f t="shared" ref="Z17:Z44" si="16">DG17*(DL17+DM17)/1000</f>
        <v>2.7895628330112401</v>
      </c>
      <c r="AA17">
        <f t="shared" ref="AA17:AA44" si="17">0.61365*EXP(17.502*DN17/(240.97+DN17))</f>
        <v>4.2800909261745632</v>
      </c>
      <c r="AB17">
        <f t="shared" ref="AB17:AB44" si="18">(X17-DG17*(DL17+DM17)/1000)</f>
        <v>1.4639663591220144</v>
      </c>
      <c r="AC17">
        <f t="shared" ref="AC17:AC44" si="19">(-J17*44100)</f>
        <v>-210.04808210742542</v>
      </c>
      <c r="AD17">
        <f t="shared" ref="AD17:AD44" si="20">2*29.3*R17*0.92*(DN17-W17)</f>
        <v>17.211656813580326</v>
      </c>
      <c r="AE17">
        <f t="shared" ref="AE17:AE44" si="21">2*0.95*0.0000000567*(((DN17+$B$7)+273)^4-(W17+273)^4)</f>
        <v>1.2997660728412481</v>
      </c>
      <c r="AF17">
        <f t="shared" ref="AF17:AF44" si="22">U17+AE17+AC17+AD17</f>
        <v>152.8409394228604</v>
      </c>
      <c r="AG17">
        <v>19</v>
      </c>
      <c r="AH17">
        <v>4</v>
      </c>
      <c r="AI17">
        <f t="shared" ref="AI17:AI44" si="23">IF(AG17*$H$13&gt;=AK17,1,(AK17/(AK17-AG17*$H$13)))</f>
        <v>1</v>
      </c>
      <c r="AJ17">
        <f t="shared" ref="AJ17:AJ44" si="24">(AI17-1)*100</f>
        <v>0</v>
      </c>
      <c r="AK17">
        <f t="shared" ref="AK17:AK44" si="25">MAX(0,($B$13+$C$13*DS17)/(1+$D$13*DS17)*DL17/(DN17+273)*$E$13)</f>
        <v>52262.693387924446</v>
      </c>
      <c r="AL17" t="s">
        <v>415</v>
      </c>
      <c r="AM17">
        <v>7163.32</v>
      </c>
      <c r="AN17">
        <v>295.04692307692312</v>
      </c>
      <c r="AO17">
        <v>723.15082041179414</v>
      </c>
      <c r="AP17">
        <f t="shared" ref="AP17:AP44" si="26">1-AN17/AO17</f>
        <v>0.59199808013920208</v>
      </c>
      <c r="AQ17">
        <v>-3.795255127542589</v>
      </c>
      <c r="AR17" t="s">
        <v>416</v>
      </c>
      <c r="AS17">
        <v>7236.06</v>
      </c>
      <c r="AT17">
        <v>691.14304000000004</v>
      </c>
      <c r="AU17">
        <v>1076.704026805626</v>
      </c>
      <c r="AV17">
        <f t="shared" ref="AV17:AV44" si="27">1-AT17/AU17</f>
        <v>0.35809375390701503</v>
      </c>
      <c r="AW17">
        <v>0.5</v>
      </c>
      <c r="AX17">
        <f t="shared" ref="AX17:AX44" si="28">CW17</f>
        <v>1513.2185993219321</v>
      </c>
      <c r="AY17">
        <f t="shared" ref="AY17:AY44" si="29">L17</f>
        <v>54.641580129696663</v>
      </c>
      <c r="AZ17">
        <f t="shared" ref="AZ17:AZ44" si="30">AV17*AW17*AX17</f>
        <v>270.93706435655298</v>
      </c>
      <c r="BA17">
        <f t="shared" ref="BA17:BA44" si="31">(AY17-AQ17)/AX17</f>
        <v>3.8617576656422667E-2</v>
      </c>
      <c r="BB17">
        <f t="shared" ref="BB17:BB44" si="32">(AO17-AU17)/AU17</f>
        <v>-0.32836619683011337</v>
      </c>
      <c r="BC17">
        <f t="shared" ref="BC17:BC44" si="33">AN17/(AP17+AN17/AU17)</f>
        <v>340.69062160934226</v>
      </c>
      <c r="BD17" t="s">
        <v>417</v>
      </c>
      <c r="BE17">
        <v>515.53</v>
      </c>
      <c r="BF17">
        <f t="shared" ref="BF17:BF44" si="34">IF(BE17&lt;&gt;0, BE17, BC17)</f>
        <v>515.53</v>
      </c>
      <c r="BG17">
        <f t="shared" ref="BG17:BG44" si="35">1-BF17/AU17</f>
        <v>0.5211961809695479</v>
      </c>
      <c r="BH17">
        <f t="shared" ref="BH17:BH44" si="36">(AU17-AT17)/(AU17-BF17)</f>
        <v>0.68706135421191328</v>
      </c>
      <c r="BI17">
        <f t="shared" ref="BI17:BI44" si="37">(AO17-AU17)/(AO17-BF17)</f>
        <v>-1.7028793436640701</v>
      </c>
      <c r="BJ17">
        <f t="shared" ref="BJ17:BJ44" si="38">(AU17-AT17)/(AU17-AN17)</f>
        <v>0.49326102835425167</v>
      </c>
      <c r="BK17">
        <f t="shared" ref="BK17:BK44" si="39">(AO17-AU17)/(AO17-AN17)</f>
        <v>-0.82585841566697016</v>
      </c>
      <c r="BL17">
        <f t="shared" ref="BL17:BL44" si="40">(BH17*BF17/AT17)</f>
        <v>0.51248543273599001</v>
      </c>
      <c r="BM17">
        <f t="shared" ref="BM17:BM44" si="41">(1-BL17)</f>
        <v>0.48751456726400999</v>
      </c>
      <c r="BN17">
        <v>280</v>
      </c>
      <c r="BO17">
        <v>290.00000000000011</v>
      </c>
      <c r="BP17">
        <v>965.26</v>
      </c>
      <c r="BQ17">
        <v>285</v>
      </c>
      <c r="BR17">
        <v>7236.06</v>
      </c>
      <c r="BS17">
        <v>967.81</v>
      </c>
      <c r="BT17">
        <v>-2.5499999999999998</v>
      </c>
      <c r="BU17">
        <v>300.00000000000011</v>
      </c>
      <c r="BV17">
        <v>38.1</v>
      </c>
      <c r="BW17">
        <v>1076.704026805626</v>
      </c>
      <c r="BX17">
        <v>1.431623973737753</v>
      </c>
      <c r="BY17">
        <v>-78.79770332025771</v>
      </c>
      <c r="BZ17">
        <v>0.86836414209583035</v>
      </c>
      <c r="CA17">
        <v>0.9966110872338485</v>
      </c>
      <c r="CB17">
        <v>-7.1367595105673023E-3</v>
      </c>
      <c r="CC17">
        <v>289.99999999999989</v>
      </c>
      <c r="CD17">
        <v>976.88</v>
      </c>
      <c r="CE17">
        <v>825</v>
      </c>
      <c r="CF17">
        <v>7229.34</v>
      </c>
      <c r="CG17">
        <v>967.71</v>
      </c>
      <c r="CH17">
        <v>9.17</v>
      </c>
      <c r="CV17">
        <f t="shared" ref="CV17:CV44" si="42">$B$11*DT17+$C$11*DU17+$F$11*EF17*(1-EI17)</f>
        <v>1800.04</v>
      </c>
      <c r="CW17">
        <f t="shared" ref="CW17:CW44" si="43">CV17*CX17</f>
        <v>1513.2185993219321</v>
      </c>
      <c r="CX17">
        <f t="shared" ref="CX17:CX44" si="44">($B$11*$D$9+$C$11*$D$9+$F$11*((ES17+EK17)/MAX(ES17+EK17+ET17, 0.1)*$I$9+ET17/MAX(ES17+EK17+ET17, 0.1)*$J$9))/($B$11+$C$11+$F$11)</f>
        <v>0.84065831832733273</v>
      </c>
      <c r="CY17">
        <f t="shared" ref="CY17:CY44" si="45">($B$11*$K$9+$C$11*$K$9+$F$11*((ES17+EK17)/MAX(ES17+EK17+ET17, 0.1)*$P$9+ET17/MAX(ES17+EK17+ET17, 0.1)*$Q$9))/($B$11+$C$11+$F$11)</f>
        <v>0.19131663665466558</v>
      </c>
      <c r="CZ17">
        <v>5.9</v>
      </c>
      <c r="DA17">
        <v>0.5</v>
      </c>
      <c r="DB17" t="s">
        <v>418</v>
      </c>
      <c r="DC17">
        <v>2</v>
      </c>
      <c r="DD17">
        <v>1700147960.5</v>
      </c>
      <c r="DE17">
        <v>383.32299999999998</v>
      </c>
      <c r="DF17">
        <v>449.95699999999999</v>
      </c>
      <c r="DG17">
        <v>27.9773</v>
      </c>
      <c r="DH17">
        <v>22.513999999999999</v>
      </c>
      <c r="DI17">
        <v>383.06599999999997</v>
      </c>
      <c r="DJ17">
        <v>29.8689</v>
      </c>
      <c r="DK17">
        <v>499.98099999999999</v>
      </c>
      <c r="DL17">
        <v>99.608199999999997</v>
      </c>
      <c r="DM17">
        <v>9.9878800000000004E-2</v>
      </c>
      <c r="DN17">
        <v>30.080100000000002</v>
      </c>
      <c r="DO17">
        <v>29.971699999999998</v>
      </c>
      <c r="DP17">
        <v>999.9</v>
      </c>
      <c r="DQ17">
        <v>0</v>
      </c>
      <c r="DR17">
        <v>0</v>
      </c>
      <c r="DS17">
        <v>10025.6</v>
      </c>
      <c r="DT17">
        <v>0</v>
      </c>
      <c r="DU17">
        <v>219.715</v>
      </c>
      <c r="DV17">
        <v>-66.633499999999998</v>
      </c>
      <c r="DW17">
        <v>394.35599999999999</v>
      </c>
      <c r="DX17">
        <v>460.32</v>
      </c>
      <c r="DY17">
        <v>5.46326</v>
      </c>
      <c r="DZ17">
        <v>449.95699999999999</v>
      </c>
      <c r="EA17">
        <v>22.513999999999999</v>
      </c>
      <c r="EB17">
        <v>2.7867700000000002</v>
      </c>
      <c r="EC17">
        <v>2.2425799999999998</v>
      </c>
      <c r="ED17">
        <v>22.805900000000001</v>
      </c>
      <c r="EE17">
        <v>19.2698</v>
      </c>
      <c r="EF17">
        <v>1800.04</v>
      </c>
      <c r="EG17">
        <v>0.97799400000000003</v>
      </c>
      <c r="EH17">
        <v>2.20062E-2</v>
      </c>
      <c r="EI17">
        <v>0</v>
      </c>
      <c r="EJ17">
        <v>691.14599999999996</v>
      </c>
      <c r="EK17">
        <v>5.0010300000000001</v>
      </c>
      <c r="EL17">
        <v>12957.4</v>
      </c>
      <c r="EM17">
        <v>14701.4</v>
      </c>
      <c r="EN17">
        <v>49</v>
      </c>
      <c r="EO17">
        <v>50.625</v>
      </c>
      <c r="EP17">
        <v>50.5</v>
      </c>
      <c r="EQ17">
        <v>49.561999999999998</v>
      </c>
      <c r="ER17">
        <v>50.5</v>
      </c>
      <c r="ES17">
        <v>1755.54</v>
      </c>
      <c r="ET17">
        <v>39.5</v>
      </c>
      <c r="EU17">
        <v>0</v>
      </c>
      <c r="EV17">
        <v>1700147957.4000001</v>
      </c>
      <c r="EW17">
        <v>0</v>
      </c>
      <c r="EX17">
        <v>691.14304000000004</v>
      </c>
      <c r="EY17">
        <v>-1.0955384597788489</v>
      </c>
      <c r="EZ17">
        <v>-270.50769195579699</v>
      </c>
      <c r="FA17">
        <v>12988.664000000001</v>
      </c>
      <c r="FB17">
        <v>15</v>
      </c>
      <c r="FC17">
        <v>1700147923.5</v>
      </c>
      <c r="FD17" t="s">
        <v>419</v>
      </c>
      <c r="FE17">
        <v>1700147918.5</v>
      </c>
      <c r="FF17">
        <v>1700147923.5</v>
      </c>
      <c r="FG17">
        <v>2</v>
      </c>
      <c r="FH17">
        <v>-0.29799999999999999</v>
      </c>
      <c r="FI17">
        <v>-0.105</v>
      </c>
      <c r="FJ17">
        <v>0.29899999999999999</v>
      </c>
      <c r="FK17">
        <v>-1.8919999999999999</v>
      </c>
      <c r="FL17">
        <v>450</v>
      </c>
      <c r="FM17">
        <v>22</v>
      </c>
      <c r="FN17">
        <v>0.04</v>
      </c>
      <c r="FO17">
        <v>0.01</v>
      </c>
      <c r="FP17">
        <v>54.638059465369118</v>
      </c>
      <c r="FQ17">
        <v>-0.5820311309733881</v>
      </c>
      <c r="FR17">
        <v>5.5806144473906999E-2</v>
      </c>
      <c r="FS17">
        <v>1</v>
      </c>
      <c r="FT17">
        <v>0.33401686355297783</v>
      </c>
      <c r="FU17">
        <v>1.504399817136564E-2</v>
      </c>
      <c r="FV17">
        <v>2.1124838849685798E-3</v>
      </c>
      <c r="FW17">
        <v>1</v>
      </c>
      <c r="FX17">
        <v>2</v>
      </c>
      <c r="FY17">
        <v>2</v>
      </c>
      <c r="FZ17" t="s">
        <v>420</v>
      </c>
      <c r="GA17">
        <v>2.8978799999999998</v>
      </c>
      <c r="GB17">
        <v>2.8181099999999999</v>
      </c>
      <c r="GC17">
        <v>8.7611700000000001E-2</v>
      </c>
      <c r="GD17">
        <v>9.9026699999999995E-2</v>
      </c>
      <c r="GE17">
        <v>0.13923099999999999</v>
      </c>
      <c r="GF17">
        <v>0.11380800000000001</v>
      </c>
      <c r="GG17">
        <v>25258.400000000001</v>
      </c>
      <c r="GH17">
        <v>25069.200000000001</v>
      </c>
      <c r="GI17">
        <v>24572.6</v>
      </c>
      <c r="GJ17">
        <v>24861.7</v>
      </c>
      <c r="GK17">
        <v>28150.400000000001</v>
      </c>
      <c r="GL17">
        <v>28650.2</v>
      </c>
      <c r="GM17">
        <v>33286.800000000003</v>
      </c>
      <c r="GN17">
        <v>33264.699999999997</v>
      </c>
      <c r="GO17">
        <v>1.9015500000000001</v>
      </c>
      <c r="GP17">
        <v>2.5450699999999999</v>
      </c>
      <c r="GQ17">
        <v>5.9015999999999999E-2</v>
      </c>
      <c r="GR17">
        <v>0</v>
      </c>
      <c r="GS17">
        <v>29.0105</v>
      </c>
      <c r="GT17">
        <v>999.9</v>
      </c>
      <c r="GU17">
        <v>60.5</v>
      </c>
      <c r="GV17">
        <v>31.6</v>
      </c>
      <c r="GW17">
        <v>28.3551</v>
      </c>
      <c r="GX17">
        <v>62.9</v>
      </c>
      <c r="GY17">
        <v>-8.0007999999999999</v>
      </c>
      <c r="GZ17">
        <v>3</v>
      </c>
      <c r="HA17">
        <v>0.60745400000000005</v>
      </c>
      <c r="HB17">
        <v>2.7156799999999999</v>
      </c>
      <c r="HC17">
        <v>20.190899999999999</v>
      </c>
      <c r="HD17">
        <v>5.2309200000000002</v>
      </c>
      <c r="HE17">
        <v>11.9201</v>
      </c>
      <c r="HF17">
        <v>4.9597499999999997</v>
      </c>
      <c r="HG17">
        <v>3.28898</v>
      </c>
      <c r="HH17">
        <v>9999</v>
      </c>
      <c r="HI17">
        <v>9999</v>
      </c>
      <c r="HJ17">
        <v>9999</v>
      </c>
      <c r="HK17">
        <v>999.9</v>
      </c>
      <c r="HL17">
        <v>1.8806499999999999</v>
      </c>
      <c r="HM17">
        <v>1.87775</v>
      </c>
      <c r="HN17">
        <v>1.88568</v>
      </c>
      <c r="HO17">
        <v>1.88354</v>
      </c>
      <c r="HP17">
        <v>1.8809499999999999</v>
      </c>
      <c r="HQ17">
        <v>1.8800399999999999</v>
      </c>
      <c r="HR17">
        <v>1.8811899999999999</v>
      </c>
      <c r="HS17">
        <v>1.8806499999999999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0.25700000000000001</v>
      </c>
      <c r="IH17">
        <v>-1.8915999999999999</v>
      </c>
      <c r="II17">
        <v>-2.6530702260922249E-2</v>
      </c>
      <c r="IJ17">
        <v>8.9935118796959448E-4</v>
      </c>
      <c r="IK17">
        <v>-5.3495398746875769E-7</v>
      </c>
      <c r="IL17">
        <v>3.209454383910538E-10</v>
      </c>
      <c r="IM17">
        <v>-1.891660000000005</v>
      </c>
      <c r="IN17">
        <v>0</v>
      </c>
      <c r="IO17">
        <v>0</v>
      </c>
      <c r="IP17">
        <v>0</v>
      </c>
      <c r="IQ17">
        <v>1</v>
      </c>
      <c r="IR17">
        <v>2101</v>
      </c>
      <c r="IS17">
        <v>1</v>
      </c>
      <c r="IT17">
        <v>21</v>
      </c>
      <c r="IU17">
        <v>0.7</v>
      </c>
      <c r="IV17">
        <v>0.6</v>
      </c>
      <c r="IW17">
        <v>1.65527</v>
      </c>
      <c r="IX17">
        <v>2.4511699999999998</v>
      </c>
      <c r="IY17">
        <v>2.34375</v>
      </c>
      <c r="IZ17">
        <v>2.9296899999999999</v>
      </c>
      <c r="JA17">
        <v>3.0480999999999998</v>
      </c>
      <c r="JB17">
        <v>2.3706100000000001</v>
      </c>
      <c r="JC17">
        <v>38.771700000000003</v>
      </c>
      <c r="JD17">
        <v>15.173999999999999</v>
      </c>
      <c r="JE17">
        <v>18</v>
      </c>
      <c r="JF17">
        <v>469.79399999999998</v>
      </c>
      <c r="JG17">
        <v>1224.8900000000001</v>
      </c>
      <c r="JH17">
        <v>25.6783</v>
      </c>
      <c r="JI17">
        <v>34.640500000000003</v>
      </c>
      <c r="JJ17">
        <v>30.0001</v>
      </c>
      <c r="JK17">
        <v>34.4452</v>
      </c>
      <c r="JL17">
        <v>34.334800000000001</v>
      </c>
      <c r="JM17">
        <v>33.2393</v>
      </c>
      <c r="JN17">
        <v>18.6736</v>
      </c>
      <c r="JO17">
        <v>99.627499999999998</v>
      </c>
      <c r="JP17">
        <v>25.696400000000001</v>
      </c>
      <c r="JQ17">
        <v>450</v>
      </c>
      <c r="JR17">
        <v>22.487200000000001</v>
      </c>
      <c r="JS17">
        <v>99.276700000000005</v>
      </c>
      <c r="JT17">
        <v>99.205100000000002</v>
      </c>
    </row>
    <row r="18" spans="1:280" x14ac:dyDescent="0.25">
      <c r="A18">
        <v>2</v>
      </c>
      <c r="B18">
        <v>1700148083</v>
      </c>
      <c r="C18">
        <v>122.5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1700148083</v>
      </c>
      <c r="J18">
        <f t="shared" si="0"/>
        <v>3.9586275220161579E-3</v>
      </c>
      <c r="K18">
        <f t="shared" si="1"/>
        <v>3.9586275220161578</v>
      </c>
      <c r="L18">
        <f t="shared" si="2"/>
        <v>58.496575963599312</v>
      </c>
      <c r="M18">
        <f t="shared" si="3"/>
        <v>1416.77</v>
      </c>
      <c r="N18">
        <f t="shared" si="4"/>
        <v>1020.4586680370153</v>
      </c>
      <c r="O18">
        <f t="shared" si="5"/>
        <v>101.74012820262962</v>
      </c>
      <c r="P18">
        <f t="shared" si="6"/>
        <v>141.25252295707</v>
      </c>
      <c r="Q18">
        <f t="shared" si="7"/>
        <v>0.26663802236689083</v>
      </c>
      <c r="R18">
        <f t="shared" si="8"/>
        <v>2.9383789037695704</v>
      </c>
      <c r="S18">
        <f t="shared" si="9"/>
        <v>0.25388838827288868</v>
      </c>
      <c r="T18">
        <f t="shared" si="10"/>
        <v>0.15977493222647099</v>
      </c>
      <c r="U18">
        <f t="shared" si="11"/>
        <v>344.37569864385671</v>
      </c>
      <c r="V18">
        <f t="shared" si="12"/>
        <v>31.130879378586101</v>
      </c>
      <c r="W18">
        <f t="shared" si="13"/>
        <v>30.060099999999998</v>
      </c>
      <c r="X18">
        <f t="shared" si="14"/>
        <v>4.2751793911137552</v>
      </c>
      <c r="Y18">
        <f t="shared" si="15"/>
        <v>64.647375004958647</v>
      </c>
      <c r="Z18">
        <f t="shared" si="16"/>
        <v>2.7756190052836001</v>
      </c>
      <c r="AA18">
        <f t="shared" si="17"/>
        <v>4.2934751876169788</v>
      </c>
      <c r="AB18">
        <f t="shared" si="18"/>
        <v>1.4995603858301552</v>
      </c>
      <c r="AC18">
        <f t="shared" si="19"/>
        <v>-174.57547372091256</v>
      </c>
      <c r="AD18">
        <f t="shared" si="20"/>
        <v>11.785992929425976</v>
      </c>
      <c r="AE18">
        <f t="shared" si="21"/>
        <v>0.89272109297879665</v>
      </c>
      <c r="AF18">
        <f t="shared" si="22"/>
        <v>182.47893894534892</v>
      </c>
      <c r="AG18">
        <v>19</v>
      </c>
      <c r="AH18">
        <v>4</v>
      </c>
      <c r="AI18">
        <f t="shared" si="23"/>
        <v>1</v>
      </c>
      <c r="AJ18">
        <f t="shared" si="24"/>
        <v>0</v>
      </c>
      <c r="AK18">
        <f t="shared" si="25"/>
        <v>52061.737214551111</v>
      </c>
      <c r="AL18" t="s">
        <v>426</v>
      </c>
      <c r="AM18" t="s">
        <v>426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426</v>
      </c>
      <c r="AS18" t="s">
        <v>426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1513.2101993219283</v>
      </c>
      <c r="AY18">
        <f t="shared" si="29"/>
        <v>58.496575963599312</v>
      </c>
      <c r="AZ18" t="e">
        <f t="shared" si="30"/>
        <v>#DIV/0!</v>
      </c>
      <c r="BA18">
        <f t="shared" si="31"/>
        <v>3.8657270476905134E-2</v>
      </c>
      <c r="BB18" t="e">
        <f t="shared" si="32"/>
        <v>#DIV/0!</v>
      </c>
      <c r="BC18" t="e">
        <f t="shared" si="33"/>
        <v>#DIV/0!</v>
      </c>
      <c r="BD18" t="s">
        <v>426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280</v>
      </c>
      <c r="BO18">
        <v>290.00000000000011</v>
      </c>
      <c r="BP18">
        <v>965.26</v>
      </c>
      <c r="BQ18">
        <v>285</v>
      </c>
      <c r="BR18">
        <v>7236.06</v>
      </c>
      <c r="BS18">
        <v>967.81</v>
      </c>
      <c r="BT18">
        <v>-2.5499999999999998</v>
      </c>
      <c r="BU18">
        <v>300.00000000000011</v>
      </c>
      <c r="BV18">
        <v>38.1</v>
      </c>
      <c r="BW18">
        <v>1076.704026805626</v>
      </c>
      <c r="BX18">
        <v>1.431623973737753</v>
      </c>
      <c r="BY18">
        <v>-78.79770332025771</v>
      </c>
      <c r="BZ18">
        <v>0.86836414209583035</v>
      </c>
      <c r="CA18">
        <v>0.9966110872338485</v>
      </c>
      <c r="CB18">
        <v>-7.1367595105673023E-3</v>
      </c>
      <c r="CC18">
        <v>289.99999999999989</v>
      </c>
      <c r="CD18">
        <v>976.88</v>
      </c>
      <c r="CE18">
        <v>825</v>
      </c>
      <c r="CF18">
        <v>7229.34</v>
      </c>
      <c r="CG18">
        <v>967.71</v>
      </c>
      <c r="CH18">
        <v>9.17</v>
      </c>
      <c r="CV18">
        <f t="shared" si="42"/>
        <v>1800.03</v>
      </c>
      <c r="CW18">
        <f t="shared" si="43"/>
        <v>1513.2101993219283</v>
      </c>
      <c r="CX18">
        <f t="shared" si="44"/>
        <v>0.84065832198459378</v>
      </c>
      <c r="CY18">
        <f t="shared" si="45"/>
        <v>0.19131664396918757</v>
      </c>
      <c r="CZ18">
        <v>5.9</v>
      </c>
      <c r="DA18">
        <v>0.5</v>
      </c>
      <c r="DB18" t="s">
        <v>418</v>
      </c>
      <c r="DC18">
        <v>2</v>
      </c>
      <c r="DD18">
        <v>1700148083</v>
      </c>
      <c r="DE18">
        <v>1416.77</v>
      </c>
      <c r="DF18">
        <v>1492.42</v>
      </c>
      <c r="DG18">
        <v>27.839600000000001</v>
      </c>
      <c r="DH18">
        <v>23.298100000000002</v>
      </c>
      <c r="DI18">
        <v>1415.97</v>
      </c>
      <c r="DJ18">
        <v>29.7301</v>
      </c>
      <c r="DK18">
        <v>499.96</v>
      </c>
      <c r="DL18">
        <v>99.600099999999998</v>
      </c>
      <c r="DM18">
        <v>0.10029100000000001</v>
      </c>
      <c r="DN18">
        <v>30.134499999999999</v>
      </c>
      <c r="DO18">
        <v>30.060099999999998</v>
      </c>
      <c r="DP18">
        <v>999.9</v>
      </c>
      <c r="DQ18">
        <v>0</v>
      </c>
      <c r="DR18">
        <v>0</v>
      </c>
      <c r="DS18">
        <v>9988.1200000000008</v>
      </c>
      <c r="DT18">
        <v>0</v>
      </c>
      <c r="DU18">
        <v>203.42699999999999</v>
      </c>
      <c r="DV18">
        <v>-75.656000000000006</v>
      </c>
      <c r="DW18">
        <v>1457.34</v>
      </c>
      <c r="DX18">
        <v>1528.02</v>
      </c>
      <c r="DY18">
        <v>4.5415599999999996</v>
      </c>
      <c r="DZ18">
        <v>1492.42</v>
      </c>
      <c r="EA18">
        <v>23.298100000000002</v>
      </c>
      <c r="EB18">
        <v>2.7728299999999999</v>
      </c>
      <c r="EC18">
        <v>2.3204899999999999</v>
      </c>
      <c r="ED18">
        <v>22.723199999999999</v>
      </c>
      <c r="EE18">
        <v>19.819299999999998</v>
      </c>
      <c r="EF18">
        <v>1800.03</v>
      </c>
      <c r="EG18">
        <v>0.97799700000000001</v>
      </c>
      <c r="EH18">
        <v>2.2002600000000001E-2</v>
      </c>
      <c r="EI18">
        <v>0</v>
      </c>
      <c r="EJ18">
        <v>684.572</v>
      </c>
      <c r="EK18">
        <v>5.0010300000000001</v>
      </c>
      <c r="EL18">
        <v>12621.7</v>
      </c>
      <c r="EM18">
        <v>14701.3</v>
      </c>
      <c r="EN18">
        <v>49.25</v>
      </c>
      <c r="EO18">
        <v>50.875</v>
      </c>
      <c r="EP18">
        <v>50.686999999999998</v>
      </c>
      <c r="EQ18">
        <v>49.75</v>
      </c>
      <c r="ER18">
        <v>50.686999999999998</v>
      </c>
      <c r="ES18">
        <v>1755.53</v>
      </c>
      <c r="ET18">
        <v>39.5</v>
      </c>
      <c r="EU18">
        <v>0</v>
      </c>
      <c r="EV18">
        <v>120.2000000476837</v>
      </c>
      <c r="EW18">
        <v>0</v>
      </c>
      <c r="EX18">
        <v>684.82619230769239</v>
      </c>
      <c r="EY18">
        <v>-3.8686153853383711</v>
      </c>
      <c r="EZ18">
        <v>-47.035897427970163</v>
      </c>
      <c r="FA18">
        <v>12626.623076923081</v>
      </c>
      <c r="FB18">
        <v>15</v>
      </c>
      <c r="FC18">
        <v>1700148047</v>
      </c>
      <c r="FD18" t="s">
        <v>427</v>
      </c>
      <c r="FE18">
        <v>1700148044</v>
      </c>
      <c r="FF18">
        <v>1700148047</v>
      </c>
      <c r="FG18">
        <v>3</v>
      </c>
      <c r="FH18">
        <v>-0.29099999999999998</v>
      </c>
      <c r="FI18">
        <v>1E-3</v>
      </c>
      <c r="FJ18">
        <v>0.90800000000000003</v>
      </c>
      <c r="FK18">
        <v>-1.891</v>
      </c>
      <c r="FL18">
        <v>1498</v>
      </c>
      <c r="FM18">
        <v>22</v>
      </c>
      <c r="FN18">
        <v>0.04</v>
      </c>
      <c r="FO18">
        <v>0.02</v>
      </c>
      <c r="FP18">
        <v>58.407163316625223</v>
      </c>
      <c r="FQ18">
        <v>0.69166363238557249</v>
      </c>
      <c r="FR18">
        <v>6.1161322228796812E-2</v>
      </c>
      <c r="FS18">
        <v>1</v>
      </c>
      <c r="FT18">
        <v>0.27067635264771872</v>
      </c>
      <c r="FU18">
        <v>-2.3287307249539958E-2</v>
      </c>
      <c r="FV18">
        <v>1.714086176630441E-3</v>
      </c>
      <c r="FW18">
        <v>1</v>
      </c>
      <c r="FX18">
        <v>2</v>
      </c>
      <c r="FY18">
        <v>2</v>
      </c>
      <c r="FZ18" t="s">
        <v>420</v>
      </c>
      <c r="GA18">
        <v>2.8978000000000002</v>
      </c>
      <c r="GB18">
        <v>2.81819</v>
      </c>
      <c r="GC18">
        <v>0.21293200000000001</v>
      </c>
      <c r="GD18">
        <v>0.219558</v>
      </c>
      <c r="GE18">
        <v>0.13875999999999999</v>
      </c>
      <c r="GF18">
        <v>0.116498</v>
      </c>
      <c r="GG18">
        <v>21784.7</v>
      </c>
      <c r="GH18">
        <v>21708.5</v>
      </c>
      <c r="GI18">
        <v>24571.9</v>
      </c>
      <c r="GJ18">
        <v>24858.3</v>
      </c>
      <c r="GK18">
        <v>28164.9</v>
      </c>
      <c r="GL18">
        <v>28558.1</v>
      </c>
      <c r="GM18">
        <v>33285.599999999999</v>
      </c>
      <c r="GN18">
        <v>33258.800000000003</v>
      </c>
      <c r="GO18">
        <v>1.90052</v>
      </c>
      <c r="GP18">
        <v>2.54562</v>
      </c>
      <c r="GQ18">
        <v>7.0810300000000007E-2</v>
      </c>
      <c r="GR18">
        <v>0</v>
      </c>
      <c r="GS18">
        <v>28.9068</v>
      </c>
      <c r="GT18">
        <v>999.9</v>
      </c>
      <c r="GU18">
        <v>59.8</v>
      </c>
      <c r="GV18">
        <v>31.9</v>
      </c>
      <c r="GW18">
        <v>28.507999999999999</v>
      </c>
      <c r="GX18">
        <v>63.23</v>
      </c>
      <c r="GY18">
        <v>-8.1810899999999993</v>
      </c>
      <c r="GZ18">
        <v>3</v>
      </c>
      <c r="HA18">
        <v>0.60849600000000004</v>
      </c>
      <c r="HB18">
        <v>2.8005100000000001</v>
      </c>
      <c r="HC18">
        <v>20.189499999999999</v>
      </c>
      <c r="HD18">
        <v>5.2322600000000001</v>
      </c>
      <c r="HE18">
        <v>11.9201</v>
      </c>
      <c r="HF18">
        <v>4.9593499999999997</v>
      </c>
      <c r="HG18">
        <v>3.2885300000000002</v>
      </c>
      <c r="HH18">
        <v>9999</v>
      </c>
      <c r="HI18">
        <v>9999</v>
      </c>
      <c r="HJ18">
        <v>9999</v>
      </c>
      <c r="HK18">
        <v>999.9</v>
      </c>
      <c r="HL18">
        <v>1.8806499999999999</v>
      </c>
      <c r="HM18">
        <v>1.87775</v>
      </c>
      <c r="HN18">
        <v>1.88568</v>
      </c>
      <c r="HO18">
        <v>1.8835200000000001</v>
      </c>
      <c r="HP18">
        <v>1.8809499999999999</v>
      </c>
      <c r="HQ18">
        <v>1.88005</v>
      </c>
      <c r="HR18">
        <v>1.8811800000000001</v>
      </c>
      <c r="HS18">
        <v>1.8806400000000001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0.8</v>
      </c>
      <c r="IH18">
        <v>-1.8905000000000001</v>
      </c>
      <c r="II18">
        <v>-0.31742850780258802</v>
      </c>
      <c r="IJ18">
        <v>8.9935118796959448E-4</v>
      </c>
      <c r="IK18">
        <v>-5.3495398746875769E-7</v>
      </c>
      <c r="IL18">
        <v>3.209454383910538E-10</v>
      </c>
      <c r="IM18">
        <v>-1.890505000000001</v>
      </c>
      <c r="IN18">
        <v>0</v>
      </c>
      <c r="IO18">
        <v>0</v>
      </c>
      <c r="IP18">
        <v>0</v>
      </c>
      <c r="IQ18">
        <v>1</v>
      </c>
      <c r="IR18">
        <v>2101</v>
      </c>
      <c r="IS18">
        <v>1</v>
      </c>
      <c r="IT18">
        <v>21</v>
      </c>
      <c r="IU18">
        <v>0.7</v>
      </c>
      <c r="IV18">
        <v>0.6</v>
      </c>
      <c r="IW18">
        <v>4.22729</v>
      </c>
      <c r="IX18">
        <v>1.2206999999999999E-3</v>
      </c>
      <c r="IY18">
        <v>2.34375</v>
      </c>
      <c r="IZ18">
        <v>2.9296899999999999</v>
      </c>
      <c r="JA18">
        <v>3.0480999999999998</v>
      </c>
      <c r="JB18">
        <v>2.34497</v>
      </c>
      <c r="JC18">
        <v>39.018799999999999</v>
      </c>
      <c r="JD18">
        <v>15.1652</v>
      </c>
      <c r="JE18">
        <v>18</v>
      </c>
      <c r="JF18">
        <v>469.58600000000001</v>
      </c>
      <c r="JG18">
        <v>1227.45</v>
      </c>
      <c r="JH18">
        <v>25.809100000000001</v>
      </c>
      <c r="JI18">
        <v>34.647500000000001</v>
      </c>
      <c r="JJ18">
        <v>30.000399999999999</v>
      </c>
      <c r="JK18">
        <v>34.506999999999998</v>
      </c>
      <c r="JL18">
        <v>34.421199999999999</v>
      </c>
      <c r="JM18">
        <v>91.365600000000001</v>
      </c>
      <c r="JN18">
        <v>16.236899999999999</v>
      </c>
      <c r="JO18">
        <v>100</v>
      </c>
      <c r="JP18">
        <v>25.7455</v>
      </c>
      <c r="JQ18">
        <v>1500</v>
      </c>
      <c r="JR18">
        <v>23.373899999999999</v>
      </c>
      <c r="JS18">
        <v>99.273399999999995</v>
      </c>
      <c r="JT18">
        <v>99.1892</v>
      </c>
    </row>
    <row r="19" spans="1:280" x14ac:dyDescent="0.25">
      <c r="A19">
        <v>3</v>
      </c>
      <c r="B19">
        <v>1700148202.5</v>
      </c>
      <c r="C19">
        <v>242</v>
      </c>
      <c r="D19" t="s">
        <v>428</v>
      </c>
      <c r="E19" t="s">
        <v>429</v>
      </c>
      <c r="F19" t="s">
        <v>412</v>
      </c>
      <c r="G19" t="s">
        <v>413</v>
      </c>
      <c r="H19" t="s">
        <v>414</v>
      </c>
      <c r="I19">
        <v>1700148202.5</v>
      </c>
      <c r="J19">
        <f t="shared" si="0"/>
        <v>3.5829772394001874E-3</v>
      </c>
      <c r="K19">
        <f t="shared" si="1"/>
        <v>3.5829772394001873</v>
      </c>
      <c r="L19">
        <f t="shared" si="2"/>
        <v>59.048159227094779</v>
      </c>
      <c r="M19">
        <f t="shared" si="3"/>
        <v>1175.3499999999999</v>
      </c>
      <c r="N19">
        <f t="shared" si="4"/>
        <v>749.04006176089081</v>
      </c>
      <c r="O19">
        <f t="shared" si="5"/>
        <v>74.674528240359834</v>
      </c>
      <c r="P19">
        <f t="shared" si="6"/>
        <v>117.17491660055498</v>
      </c>
      <c r="Q19">
        <f t="shared" si="7"/>
        <v>0.24377201582074548</v>
      </c>
      <c r="R19">
        <f t="shared" si="8"/>
        <v>2.9419310673478485</v>
      </c>
      <c r="S19">
        <f t="shared" si="9"/>
        <v>0.23308049561215002</v>
      </c>
      <c r="T19">
        <f t="shared" si="10"/>
        <v>0.14659682197591825</v>
      </c>
      <c r="U19">
        <f t="shared" si="11"/>
        <v>344.39599864428288</v>
      </c>
      <c r="V19">
        <f t="shared" si="12"/>
        <v>31.104373657833662</v>
      </c>
      <c r="W19">
        <f t="shared" si="13"/>
        <v>29.994700000000002</v>
      </c>
      <c r="X19">
        <f t="shared" si="14"/>
        <v>4.2591529457230788</v>
      </c>
      <c r="Y19">
        <f t="shared" si="15"/>
        <v>65.224583912174623</v>
      </c>
      <c r="Z19">
        <f t="shared" si="16"/>
        <v>2.7807446558451696</v>
      </c>
      <c r="AA19">
        <f t="shared" si="17"/>
        <v>4.2633382829846225</v>
      </c>
      <c r="AB19">
        <f t="shared" si="18"/>
        <v>1.4784082898779092</v>
      </c>
      <c r="AC19">
        <f t="shared" si="19"/>
        <v>-158.00929625754827</v>
      </c>
      <c r="AD19">
        <f t="shared" si="20"/>
        <v>2.7121521297187359</v>
      </c>
      <c r="AE19">
        <f t="shared" si="21"/>
        <v>0.20499091886871926</v>
      </c>
      <c r="AF19">
        <f t="shared" si="22"/>
        <v>189.30384543532205</v>
      </c>
      <c r="AG19">
        <v>19</v>
      </c>
      <c r="AH19">
        <v>4</v>
      </c>
      <c r="AI19">
        <f t="shared" si="23"/>
        <v>1</v>
      </c>
      <c r="AJ19">
        <f t="shared" si="24"/>
        <v>0</v>
      </c>
      <c r="AK19">
        <f t="shared" si="25"/>
        <v>52183.050174551128</v>
      </c>
      <c r="AL19" t="s">
        <v>415</v>
      </c>
      <c r="AM19">
        <v>7163.32</v>
      </c>
      <c r="AN19">
        <v>295.04692307692312</v>
      </c>
      <c r="AO19">
        <v>723.15082041179414</v>
      </c>
      <c r="AP19">
        <f t="shared" si="26"/>
        <v>0.59199808013920208</v>
      </c>
      <c r="AQ19">
        <v>-3.795255127542589</v>
      </c>
      <c r="AR19" t="s">
        <v>430</v>
      </c>
      <c r="AS19">
        <v>7234.2</v>
      </c>
      <c r="AT19">
        <v>682.48365384615386</v>
      </c>
      <c r="AU19">
        <v>1108.295987465533</v>
      </c>
      <c r="AV19">
        <f t="shared" si="27"/>
        <v>0.38420452517664783</v>
      </c>
      <c r="AW19">
        <v>0.5</v>
      </c>
      <c r="AX19">
        <f t="shared" si="28"/>
        <v>1513.3022993221414</v>
      </c>
      <c r="AY19">
        <f t="shared" si="29"/>
        <v>59.048159227094779</v>
      </c>
      <c r="AZ19">
        <f t="shared" si="30"/>
        <v>290.70879567989635</v>
      </c>
      <c r="BA19">
        <f t="shared" si="31"/>
        <v>4.1527336859784741E-2</v>
      </c>
      <c r="BB19">
        <f t="shared" si="32"/>
        <v>-0.34751110841291982</v>
      </c>
      <c r="BC19">
        <f t="shared" si="33"/>
        <v>343.79146441253795</v>
      </c>
      <c r="BD19" t="s">
        <v>431</v>
      </c>
      <c r="BE19">
        <v>518.88</v>
      </c>
      <c r="BF19">
        <f t="shared" si="34"/>
        <v>518.88</v>
      </c>
      <c r="BG19">
        <f t="shared" si="35"/>
        <v>0.53182181847776766</v>
      </c>
      <c r="BH19">
        <f t="shared" si="36"/>
        <v>0.72243091920590152</v>
      </c>
      <c r="BI19">
        <f t="shared" si="37"/>
        <v>-1.8854634561966122</v>
      </c>
      <c r="BJ19">
        <f t="shared" si="38"/>
        <v>0.52359400368877074</v>
      </c>
      <c r="BK19">
        <f t="shared" si="39"/>
        <v>-0.89965349404999928</v>
      </c>
      <c r="BL19">
        <f t="shared" si="40"/>
        <v>0.54925118461820099</v>
      </c>
      <c r="BM19">
        <f t="shared" si="41"/>
        <v>0.45074881538179901</v>
      </c>
      <c r="BN19">
        <v>282</v>
      </c>
      <c r="BO19">
        <v>290.00000000000011</v>
      </c>
      <c r="BP19">
        <v>982.14</v>
      </c>
      <c r="BQ19">
        <v>295</v>
      </c>
      <c r="BR19">
        <v>7234.2</v>
      </c>
      <c r="BS19">
        <v>984.58</v>
      </c>
      <c r="BT19">
        <v>-2.44</v>
      </c>
      <c r="BU19">
        <v>300.00000000000011</v>
      </c>
      <c r="BV19">
        <v>38.1</v>
      </c>
      <c r="BW19">
        <v>1108.295987465533</v>
      </c>
      <c r="BX19">
        <v>1.5897894278768909</v>
      </c>
      <c r="BY19">
        <v>-89.495239327715197</v>
      </c>
      <c r="BZ19">
        <v>0.96404714838789607</v>
      </c>
      <c r="CA19">
        <v>0.99676148464325331</v>
      </c>
      <c r="CB19">
        <v>-7.1349873192436044E-3</v>
      </c>
      <c r="CC19">
        <v>289.99999999999989</v>
      </c>
      <c r="CD19">
        <v>991.45</v>
      </c>
      <c r="CE19">
        <v>825</v>
      </c>
      <c r="CF19">
        <v>7227.41</v>
      </c>
      <c r="CG19">
        <v>984.47</v>
      </c>
      <c r="CH19">
        <v>6.98</v>
      </c>
      <c r="CV19">
        <f t="shared" si="42"/>
        <v>1800.14</v>
      </c>
      <c r="CW19">
        <f t="shared" si="43"/>
        <v>1513.3022993221414</v>
      </c>
      <c r="CX19">
        <f t="shared" si="44"/>
        <v>0.8406581151033482</v>
      </c>
      <c r="CY19">
        <f t="shared" si="45"/>
        <v>0.19131623020669664</v>
      </c>
      <c r="CZ19">
        <v>5.9</v>
      </c>
      <c r="DA19">
        <v>0.5</v>
      </c>
      <c r="DB19" t="s">
        <v>418</v>
      </c>
      <c r="DC19">
        <v>2</v>
      </c>
      <c r="DD19">
        <v>1700148202.5</v>
      </c>
      <c r="DE19">
        <v>1175.3499999999999</v>
      </c>
      <c r="DF19">
        <v>1250.02</v>
      </c>
      <c r="DG19">
        <v>27.892900000000001</v>
      </c>
      <c r="DH19">
        <v>23.781600000000001</v>
      </c>
      <c r="DI19">
        <v>1174.82</v>
      </c>
      <c r="DJ19">
        <v>29.791</v>
      </c>
      <c r="DK19">
        <v>499.84</v>
      </c>
      <c r="DL19">
        <v>99.593999999999994</v>
      </c>
      <c r="DM19">
        <v>9.9637299999999998E-2</v>
      </c>
      <c r="DN19">
        <v>30.011800000000001</v>
      </c>
      <c r="DO19">
        <v>29.994700000000002</v>
      </c>
      <c r="DP19">
        <v>999.9</v>
      </c>
      <c r="DQ19">
        <v>0</v>
      </c>
      <c r="DR19">
        <v>0</v>
      </c>
      <c r="DS19">
        <v>10008.799999999999</v>
      </c>
      <c r="DT19">
        <v>0</v>
      </c>
      <c r="DU19">
        <v>204.22499999999999</v>
      </c>
      <c r="DV19">
        <v>-74.669700000000006</v>
      </c>
      <c r="DW19">
        <v>1209.08</v>
      </c>
      <c r="DX19">
        <v>1280.47</v>
      </c>
      <c r="DY19">
        <v>4.1112599999999997</v>
      </c>
      <c r="DZ19">
        <v>1250.02</v>
      </c>
      <c r="EA19">
        <v>23.781600000000001</v>
      </c>
      <c r="EB19">
        <v>2.7779699999999998</v>
      </c>
      <c r="EC19">
        <v>2.3685100000000001</v>
      </c>
      <c r="ED19">
        <v>22.753699999999998</v>
      </c>
      <c r="EE19">
        <v>20.150099999999998</v>
      </c>
      <c r="EF19">
        <v>1800.14</v>
      </c>
      <c r="EG19">
        <v>0.97800100000000001</v>
      </c>
      <c r="EH19">
        <v>2.1999000000000001E-2</v>
      </c>
      <c r="EI19">
        <v>0</v>
      </c>
      <c r="EJ19">
        <v>682.43499999999995</v>
      </c>
      <c r="EK19">
        <v>5.0010300000000001</v>
      </c>
      <c r="EL19">
        <v>12633.1</v>
      </c>
      <c r="EM19">
        <v>14702.2</v>
      </c>
      <c r="EN19">
        <v>49.375</v>
      </c>
      <c r="EO19">
        <v>50.936999999999998</v>
      </c>
      <c r="EP19">
        <v>50.811999999999998</v>
      </c>
      <c r="EQ19">
        <v>49.811999999999998</v>
      </c>
      <c r="ER19">
        <v>50.811999999999998</v>
      </c>
      <c r="ES19">
        <v>1755.65</v>
      </c>
      <c r="ET19">
        <v>39.49</v>
      </c>
      <c r="EU19">
        <v>0</v>
      </c>
      <c r="EV19">
        <v>240.20000004768369</v>
      </c>
      <c r="EW19">
        <v>0</v>
      </c>
      <c r="EX19">
        <v>682.48365384615386</v>
      </c>
      <c r="EY19">
        <v>0.21439315039398449</v>
      </c>
      <c r="EZ19">
        <v>-11.258119566836379</v>
      </c>
      <c r="FA19">
        <v>12632.25</v>
      </c>
      <c r="FB19">
        <v>15</v>
      </c>
      <c r="FC19">
        <v>1700148169</v>
      </c>
      <c r="FD19" t="s">
        <v>432</v>
      </c>
      <c r="FE19">
        <v>1700148169</v>
      </c>
      <c r="FF19">
        <v>1700148167</v>
      </c>
      <c r="FG19">
        <v>4</v>
      </c>
      <c r="FH19">
        <v>1.4E-2</v>
      </c>
      <c r="FI19">
        <v>-8.0000000000000002E-3</v>
      </c>
      <c r="FJ19">
        <v>0.60899999999999999</v>
      </c>
      <c r="FK19">
        <v>-1.8979999999999999</v>
      </c>
      <c r="FL19">
        <v>1250</v>
      </c>
      <c r="FM19">
        <v>24</v>
      </c>
      <c r="FN19">
        <v>0.04</v>
      </c>
      <c r="FO19">
        <v>0.04</v>
      </c>
      <c r="FP19">
        <v>59.063926844705001</v>
      </c>
      <c r="FQ19">
        <v>-0.67157938203958867</v>
      </c>
      <c r="FR19">
        <v>6.5306004775613199E-2</v>
      </c>
      <c r="FS19">
        <v>1</v>
      </c>
      <c r="FT19">
        <v>0.24516231395726351</v>
      </c>
      <c r="FU19">
        <v>2.8330468451454489E-3</v>
      </c>
      <c r="FV19">
        <v>7.8067508586222043E-4</v>
      </c>
      <c r="FW19">
        <v>1</v>
      </c>
      <c r="FX19">
        <v>2</v>
      </c>
      <c r="FY19">
        <v>2</v>
      </c>
      <c r="FZ19" t="s">
        <v>420</v>
      </c>
      <c r="GA19">
        <v>2.89758</v>
      </c>
      <c r="GB19">
        <v>2.81772</v>
      </c>
      <c r="GC19">
        <v>0.189999</v>
      </c>
      <c r="GD19">
        <v>0.197299</v>
      </c>
      <c r="GE19">
        <v>0.13894500000000001</v>
      </c>
      <c r="GF19">
        <v>0.118145</v>
      </c>
      <c r="GG19">
        <v>22424.5</v>
      </c>
      <c r="GH19">
        <v>22330.2</v>
      </c>
      <c r="GI19">
        <v>24575.599999999999</v>
      </c>
      <c r="GJ19">
        <v>24859.200000000001</v>
      </c>
      <c r="GK19">
        <v>28162.5</v>
      </c>
      <c r="GL19">
        <v>28504.3</v>
      </c>
      <c r="GM19">
        <v>33290.199999999997</v>
      </c>
      <c r="GN19">
        <v>33258.5</v>
      </c>
      <c r="GO19">
        <v>1.9001999999999999</v>
      </c>
      <c r="GP19">
        <v>2.5471300000000001</v>
      </c>
      <c r="GQ19">
        <v>8.1729099999999999E-2</v>
      </c>
      <c r="GR19">
        <v>0</v>
      </c>
      <c r="GS19">
        <v>28.6632</v>
      </c>
      <c r="GT19">
        <v>999.9</v>
      </c>
      <c r="GU19">
        <v>59.2</v>
      </c>
      <c r="GV19">
        <v>32.299999999999997</v>
      </c>
      <c r="GW19">
        <v>28.869599999999998</v>
      </c>
      <c r="GX19">
        <v>63.24</v>
      </c>
      <c r="GY19">
        <v>-7.8525600000000004</v>
      </c>
      <c r="GZ19">
        <v>3</v>
      </c>
      <c r="HA19">
        <v>0.60203799999999996</v>
      </c>
      <c r="HB19">
        <v>2.34476</v>
      </c>
      <c r="HC19">
        <v>20.1965</v>
      </c>
      <c r="HD19">
        <v>5.2294200000000002</v>
      </c>
      <c r="HE19">
        <v>11.9201</v>
      </c>
      <c r="HF19">
        <v>4.9592999999999998</v>
      </c>
      <c r="HG19">
        <v>3.2881499999999999</v>
      </c>
      <c r="HH19">
        <v>9999</v>
      </c>
      <c r="HI19">
        <v>9999</v>
      </c>
      <c r="HJ19">
        <v>9999</v>
      </c>
      <c r="HK19">
        <v>999.9</v>
      </c>
      <c r="HL19">
        <v>1.8806499999999999</v>
      </c>
      <c r="HM19">
        <v>1.87775</v>
      </c>
      <c r="HN19">
        <v>1.88568</v>
      </c>
      <c r="HO19">
        <v>1.88354</v>
      </c>
      <c r="HP19">
        <v>1.88096</v>
      </c>
      <c r="HQ19">
        <v>1.88008</v>
      </c>
      <c r="HR19">
        <v>1.8812500000000001</v>
      </c>
      <c r="HS19">
        <v>1.8806499999999999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0.53</v>
      </c>
      <c r="IH19">
        <v>-1.8980999999999999</v>
      </c>
      <c r="II19">
        <v>-0.30468515775723221</v>
      </c>
      <c r="IJ19">
        <v>8.9935118796959448E-4</v>
      </c>
      <c r="IK19">
        <v>-5.3495398746875769E-7</v>
      </c>
      <c r="IL19">
        <v>3.209454383910538E-10</v>
      </c>
      <c r="IM19">
        <v>-1.898105000000001</v>
      </c>
      <c r="IN19">
        <v>0</v>
      </c>
      <c r="IO19">
        <v>0</v>
      </c>
      <c r="IP19">
        <v>0</v>
      </c>
      <c r="IQ19">
        <v>1</v>
      </c>
      <c r="IR19">
        <v>2101</v>
      </c>
      <c r="IS19">
        <v>1</v>
      </c>
      <c r="IT19">
        <v>21</v>
      </c>
      <c r="IU19">
        <v>0.6</v>
      </c>
      <c r="IV19">
        <v>0.6</v>
      </c>
      <c r="IW19">
        <v>3.7109399999999999</v>
      </c>
      <c r="IX19">
        <v>2.4255399999999998</v>
      </c>
      <c r="IY19">
        <v>2.34375</v>
      </c>
      <c r="IZ19">
        <v>2.9284699999999999</v>
      </c>
      <c r="JA19">
        <v>3.0480999999999998</v>
      </c>
      <c r="JB19">
        <v>2.323</v>
      </c>
      <c r="JC19">
        <v>39.217300000000002</v>
      </c>
      <c r="JD19">
        <v>15.138999999999999</v>
      </c>
      <c r="JE19">
        <v>18</v>
      </c>
      <c r="JF19">
        <v>469.37299999999999</v>
      </c>
      <c r="JG19">
        <v>1230.1300000000001</v>
      </c>
      <c r="JH19">
        <v>25.813199999999998</v>
      </c>
      <c r="JI19">
        <v>34.609499999999997</v>
      </c>
      <c r="JJ19">
        <v>29.999700000000001</v>
      </c>
      <c r="JK19">
        <v>34.506999999999998</v>
      </c>
      <c r="JL19">
        <v>34.443399999999997</v>
      </c>
      <c r="JM19">
        <v>74.382999999999996</v>
      </c>
      <c r="JN19">
        <v>15.088800000000001</v>
      </c>
      <c r="JO19">
        <v>100</v>
      </c>
      <c r="JP19">
        <v>25.812899999999999</v>
      </c>
      <c r="JQ19">
        <v>1250</v>
      </c>
      <c r="JR19">
        <v>23.7105</v>
      </c>
      <c r="JS19">
        <v>99.287700000000001</v>
      </c>
      <c r="JT19">
        <v>99.190100000000001</v>
      </c>
    </row>
    <row r="20" spans="1:280" x14ac:dyDescent="0.25">
      <c r="A20">
        <v>4</v>
      </c>
      <c r="B20">
        <v>1700148345</v>
      </c>
      <c r="C20">
        <v>384.5</v>
      </c>
      <c r="D20" t="s">
        <v>433</v>
      </c>
      <c r="E20" t="s">
        <v>434</v>
      </c>
      <c r="F20" t="s">
        <v>412</v>
      </c>
      <c r="G20" t="s">
        <v>413</v>
      </c>
      <c r="H20" t="s">
        <v>414</v>
      </c>
      <c r="I20">
        <v>1700148345</v>
      </c>
      <c r="J20">
        <f t="shared" si="0"/>
        <v>3.3151366727806972E-3</v>
      </c>
      <c r="K20">
        <f t="shared" si="1"/>
        <v>3.3151366727806972</v>
      </c>
      <c r="L20">
        <f t="shared" si="2"/>
        <v>58.857658397543005</v>
      </c>
      <c r="M20">
        <f t="shared" si="3"/>
        <v>926.899</v>
      </c>
      <c r="N20">
        <f t="shared" si="4"/>
        <v>477.72273098537136</v>
      </c>
      <c r="O20">
        <f t="shared" si="5"/>
        <v>47.620617628972177</v>
      </c>
      <c r="P20">
        <f t="shared" si="6"/>
        <v>92.395651277955011</v>
      </c>
      <c r="Q20">
        <f t="shared" si="7"/>
        <v>0.2258947858653047</v>
      </c>
      <c r="R20">
        <f t="shared" si="8"/>
        <v>2.9390668214740048</v>
      </c>
      <c r="S20">
        <f t="shared" si="9"/>
        <v>0.21667346648344674</v>
      </c>
      <c r="T20">
        <f t="shared" si="10"/>
        <v>0.13621804873542304</v>
      </c>
      <c r="U20">
        <f t="shared" si="11"/>
        <v>344.35229864410962</v>
      </c>
      <c r="V20">
        <f t="shared" si="12"/>
        <v>31.137338884992214</v>
      </c>
      <c r="W20">
        <f t="shared" si="13"/>
        <v>29.976900000000001</v>
      </c>
      <c r="X20">
        <f t="shared" si="14"/>
        <v>4.2548000829832118</v>
      </c>
      <c r="Y20">
        <f t="shared" si="15"/>
        <v>65.428159127657608</v>
      </c>
      <c r="Z20">
        <f t="shared" si="16"/>
        <v>2.7834855453075003</v>
      </c>
      <c r="AA20">
        <f t="shared" si="17"/>
        <v>4.2542623580110366</v>
      </c>
      <c r="AB20">
        <f t="shared" si="18"/>
        <v>1.4713145376757115</v>
      </c>
      <c r="AC20">
        <f t="shared" si="19"/>
        <v>-146.19752726962875</v>
      </c>
      <c r="AD20">
        <f t="shared" si="20"/>
        <v>-0.34859213505478787</v>
      </c>
      <c r="AE20">
        <f t="shared" si="21"/>
        <v>-2.6365933640191495E-2</v>
      </c>
      <c r="AF20">
        <f t="shared" si="22"/>
        <v>197.77981330578589</v>
      </c>
      <c r="AG20">
        <v>19</v>
      </c>
      <c r="AH20">
        <v>4</v>
      </c>
      <c r="AI20">
        <f t="shared" si="23"/>
        <v>1</v>
      </c>
      <c r="AJ20">
        <f t="shared" si="24"/>
        <v>0</v>
      </c>
      <c r="AK20">
        <f t="shared" si="25"/>
        <v>52108.258778450101</v>
      </c>
      <c r="AL20" t="s">
        <v>426</v>
      </c>
      <c r="AM20" t="s">
        <v>426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426</v>
      </c>
      <c r="AS20" t="s">
        <v>426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1513.109099322055</v>
      </c>
      <c r="AY20">
        <f t="shared" si="29"/>
        <v>58.857658397543005</v>
      </c>
      <c r="AZ20" t="e">
        <f t="shared" si="30"/>
        <v>#DIV/0!</v>
      </c>
      <c r="BA20">
        <f t="shared" si="31"/>
        <v>3.8898489490225154E-2</v>
      </c>
      <c r="BB20" t="e">
        <f t="shared" si="32"/>
        <v>#DIV/0!</v>
      </c>
      <c r="BC20" t="e">
        <f t="shared" si="33"/>
        <v>#DIV/0!</v>
      </c>
      <c r="BD20" t="s">
        <v>426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BN20">
        <v>282</v>
      </c>
      <c r="BO20">
        <v>290.00000000000011</v>
      </c>
      <c r="BP20">
        <v>982.14</v>
      </c>
      <c r="BQ20">
        <v>295</v>
      </c>
      <c r="BR20">
        <v>7234.2</v>
      </c>
      <c r="BS20">
        <v>984.58</v>
      </c>
      <c r="BT20">
        <v>-2.44</v>
      </c>
      <c r="BU20">
        <v>300.00000000000011</v>
      </c>
      <c r="BV20">
        <v>38.1</v>
      </c>
      <c r="BW20">
        <v>1108.295987465533</v>
      </c>
      <c r="BX20">
        <v>1.5897894278768909</v>
      </c>
      <c r="BY20">
        <v>-89.495239327715197</v>
      </c>
      <c r="BZ20">
        <v>0.96404714838789607</v>
      </c>
      <c r="CA20">
        <v>0.99676148464325331</v>
      </c>
      <c r="CB20">
        <v>-7.1349873192436044E-3</v>
      </c>
      <c r="CC20">
        <v>289.99999999999989</v>
      </c>
      <c r="CD20">
        <v>991.45</v>
      </c>
      <c r="CE20">
        <v>825</v>
      </c>
      <c r="CF20">
        <v>7227.41</v>
      </c>
      <c r="CG20">
        <v>984.47</v>
      </c>
      <c r="CH20">
        <v>6.98</v>
      </c>
      <c r="CV20">
        <f t="shared" si="42"/>
        <v>1799.91</v>
      </c>
      <c r="CW20">
        <f t="shared" si="43"/>
        <v>1513.109099322055</v>
      </c>
      <c r="CX20">
        <f t="shared" si="44"/>
        <v>0.84065819919999052</v>
      </c>
      <c r="CY20">
        <f t="shared" si="45"/>
        <v>0.19131639839998091</v>
      </c>
      <c r="CZ20">
        <v>5.9</v>
      </c>
      <c r="DA20">
        <v>0.5</v>
      </c>
      <c r="DB20" t="s">
        <v>418</v>
      </c>
      <c r="DC20">
        <v>2</v>
      </c>
      <c r="DD20">
        <v>1700148345</v>
      </c>
      <c r="DE20">
        <v>926.899</v>
      </c>
      <c r="DF20">
        <v>999.98599999999999</v>
      </c>
      <c r="DG20">
        <v>27.923500000000001</v>
      </c>
      <c r="DH20">
        <v>24.1204</v>
      </c>
      <c r="DI20">
        <v>926.55399999999997</v>
      </c>
      <c r="DJ20">
        <v>29.821999999999999</v>
      </c>
      <c r="DK20">
        <v>499.93799999999999</v>
      </c>
      <c r="DL20">
        <v>99.582700000000003</v>
      </c>
      <c r="DM20">
        <v>9.9845000000000003E-2</v>
      </c>
      <c r="DN20">
        <v>29.974699999999999</v>
      </c>
      <c r="DO20">
        <v>29.976900000000001</v>
      </c>
      <c r="DP20">
        <v>999.9</v>
      </c>
      <c r="DQ20">
        <v>0</v>
      </c>
      <c r="DR20">
        <v>0</v>
      </c>
      <c r="DS20">
        <v>9993.75</v>
      </c>
      <c r="DT20">
        <v>0</v>
      </c>
      <c r="DU20">
        <v>193.733</v>
      </c>
      <c r="DV20">
        <v>-73.087500000000006</v>
      </c>
      <c r="DW20">
        <v>953.524</v>
      </c>
      <c r="DX20">
        <v>1024.7</v>
      </c>
      <c r="DY20">
        <v>3.8031600000000001</v>
      </c>
      <c r="DZ20">
        <v>999.98599999999999</v>
      </c>
      <c r="EA20">
        <v>24.1204</v>
      </c>
      <c r="EB20">
        <v>2.7806999999999999</v>
      </c>
      <c r="EC20">
        <v>2.4019699999999999</v>
      </c>
      <c r="ED20">
        <v>22.77</v>
      </c>
      <c r="EE20">
        <v>20.377099999999999</v>
      </c>
      <c r="EF20">
        <v>1799.91</v>
      </c>
      <c r="EG20">
        <v>0.97800100000000001</v>
      </c>
      <c r="EH20">
        <v>2.1999000000000001E-2</v>
      </c>
      <c r="EI20">
        <v>0</v>
      </c>
      <c r="EJ20">
        <v>680.03399999999999</v>
      </c>
      <c r="EK20">
        <v>5.0010300000000001</v>
      </c>
      <c r="EL20">
        <v>12547.3</v>
      </c>
      <c r="EM20">
        <v>14700.4</v>
      </c>
      <c r="EN20">
        <v>49.5</v>
      </c>
      <c r="EO20">
        <v>51.125</v>
      </c>
      <c r="EP20">
        <v>51</v>
      </c>
      <c r="EQ20">
        <v>49.936999999999998</v>
      </c>
      <c r="ER20">
        <v>50.936999999999998</v>
      </c>
      <c r="ES20">
        <v>1755.42</v>
      </c>
      <c r="ET20">
        <v>39.49</v>
      </c>
      <c r="EU20">
        <v>0</v>
      </c>
      <c r="EV20">
        <v>140.39999985694891</v>
      </c>
      <c r="EW20">
        <v>0</v>
      </c>
      <c r="EX20">
        <v>680.44668000000001</v>
      </c>
      <c r="EY20">
        <v>9.3846230854502267E-3</v>
      </c>
      <c r="EZ20">
        <v>-15.092307641832701</v>
      </c>
      <c r="FA20">
        <v>12549.987999999999</v>
      </c>
      <c r="FB20">
        <v>15</v>
      </c>
      <c r="FC20">
        <v>1700148312</v>
      </c>
      <c r="FD20" t="s">
        <v>435</v>
      </c>
      <c r="FE20">
        <v>1700148309.5</v>
      </c>
      <c r="FF20">
        <v>1700148312</v>
      </c>
      <c r="FG20">
        <v>5</v>
      </c>
      <c r="FH20">
        <v>0.02</v>
      </c>
      <c r="FI20">
        <v>0</v>
      </c>
      <c r="FJ20">
        <v>0.4</v>
      </c>
      <c r="FK20">
        <v>-1.8979999999999999</v>
      </c>
      <c r="FL20">
        <v>1000</v>
      </c>
      <c r="FM20">
        <v>24</v>
      </c>
      <c r="FN20">
        <v>0.03</v>
      </c>
      <c r="FO20">
        <v>0.03</v>
      </c>
      <c r="FP20">
        <v>58.872743118141408</v>
      </c>
      <c r="FQ20">
        <v>-0.53675844235498626</v>
      </c>
      <c r="FR20">
        <v>5.93895186528966E-2</v>
      </c>
      <c r="FS20">
        <v>1</v>
      </c>
      <c r="FT20">
        <v>0.2201556373344031</v>
      </c>
      <c r="FU20">
        <v>3.044041657799252E-2</v>
      </c>
      <c r="FV20">
        <v>2.5314155326982401E-3</v>
      </c>
      <c r="FW20">
        <v>1</v>
      </c>
      <c r="FX20">
        <v>2</v>
      </c>
      <c r="FY20">
        <v>2</v>
      </c>
      <c r="FZ20" t="s">
        <v>420</v>
      </c>
      <c r="GA20">
        <v>2.8979400000000002</v>
      </c>
      <c r="GB20">
        <v>2.8178000000000001</v>
      </c>
      <c r="GC20">
        <v>0.16347500000000001</v>
      </c>
      <c r="GD20">
        <v>0.17160800000000001</v>
      </c>
      <c r="GE20">
        <v>0.13903599999999999</v>
      </c>
      <c r="GF20">
        <v>0.119287</v>
      </c>
      <c r="GG20">
        <v>23163.200000000001</v>
      </c>
      <c r="GH20">
        <v>23046.7</v>
      </c>
      <c r="GI20">
        <v>24578.6</v>
      </c>
      <c r="GJ20">
        <v>24859.3</v>
      </c>
      <c r="GK20">
        <v>28163</v>
      </c>
      <c r="GL20">
        <v>28465.9</v>
      </c>
      <c r="GM20">
        <v>33294.6</v>
      </c>
      <c r="GN20">
        <v>33257.1</v>
      </c>
      <c r="GO20">
        <v>1.9009</v>
      </c>
      <c r="GP20">
        <v>2.5472000000000001</v>
      </c>
      <c r="GQ20">
        <v>7.2483000000000006E-2</v>
      </c>
      <c r="GR20">
        <v>0</v>
      </c>
      <c r="GS20">
        <v>28.796199999999999</v>
      </c>
      <c r="GT20">
        <v>999.9</v>
      </c>
      <c r="GU20">
        <v>58.5</v>
      </c>
      <c r="GV20">
        <v>32.700000000000003</v>
      </c>
      <c r="GW20">
        <v>29.182600000000001</v>
      </c>
      <c r="GX20">
        <v>63.22</v>
      </c>
      <c r="GY20">
        <v>-7.5160299999999998</v>
      </c>
      <c r="GZ20">
        <v>3</v>
      </c>
      <c r="HA20">
        <v>0.59441100000000002</v>
      </c>
      <c r="HB20">
        <v>1.21621</v>
      </c>
      <c r="HC20">
        <v>20.208400000000001</v>
      </c>
      <c r="HD20">
        <v>5.2321200000000001</v>
      </c>
      <c r="HE20">
        <v>11.9201</v>
      </c>
      <c r="HF20">
        <v>4.9591500000000002</v>
      </c>
      <c r="HG20">
        <v>3.2881800000000001</v>
      </c>
      <c r="HH20">
        <v>9999</v>
      </c>
      <c r="HI20">
        <v>9999</v>
      </c>
      <c r="HJ20">
        <v>9999</v>
      </c>
      <c r="HK20">
        <v>999.9</v>
      </c>
      <c r="HL20">
        <v>1.8806499999999999</v>
      </c>
      <c r="HM20">
        <v>1.8777699999999999</v>
      </c>
      <c r="HN20">
        <v>1.88568</v>
      </c>
      <c r="HO20">
        <v>1.88354</v>
      </c>
      <c r="HP20">
        <v>1.8809800000000001</v>
      </c>
      <c r="HQ20">
        <v>1.88008</v>
      </c>
      <c r="HR20">
        <v>1.8812500000000001</v>
      </c>
      <c r="HS20">
        <v>1.8806499999999999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0.34499999999999997</v>
      </c>
      <c r="IH20">
        <v>-1.8985000000000001</v>
      </c>
      <c r="II20">
        <v>-0.28453128189669907</v>
      </c>
      <c r="IJ20">
        <v>8.9935118796959448E-4</v>
      </c>
      <c r="IK20">
        <v>-5.3495398746875769E-7</v>
      </c>
      <c r="IL20">
        <v>3.209454383910538E-10</v>
      </c>
      <c r="IM20">
        <v>-1.8984380952380879</v>
      </c>
      <c r="IN20">
        <v>0</v>
      </c>
      <c r="IO20">
        <v>0</v>
      </c>
      <c r="IP20">
        <v>0</v>
      </c>
      <c r="IQ20">
        <v>1</v>
      </c>
      <c r="IR20">
        <v>2101</v>
      </c>
      <c r="IS20">
        <v>1</v>
      </c>
      <c r="IT20">
        <v>21</v>
      </c>
      <c r="IU20">
        <v>0.6</v>
      </c>
      <c r="IV20">
        <v>0.6</v>
      </c>
      <c r="IW20">
        <v>3.1347700000000001</v>
      </c>
      <c r="IX20">
        <v>2.4328599999999998</v>
      </c>
      <c r="IY20">
        <v>2.34375</v>
      </c>
      <c r="IZ20">
        <v>2.9272499999999999</v>
      </c>
      <c r="JA20">
        <v>3.0480999999999998</v>
      </c>
      <c r="JB20">
        <v>2.3742700000000001</v>
      </c>
      <c r="JC20">
        <v>39.541600000000003</v>
      </c>
      <c r="JD20">
        <v>15.121499999999999</v>
      </c>
      <c r="JE20">
        <v>18</v>
      </c>
      <c r="JF20">
        <v>469.65100000000001</v>
      </c>
      <c r="JG20">
        <v>1230.1199999999999</v>
      </c>
      <c r="JH20">
        <v>25.468599999999999</v>
      </c>
      <c r="JI20">
        <v>34.559199999999997</v>
      </c>
      <c r="JJ20">
        <v>29.996600000000001</v>
      </c>
      <c r="JK20">
        <v>34.482799999999997</v>
      </c>
      <c r="JL20">
        <v>34.438000000000002</v>
      </c>
      <c r="JM20">
        <v>62.859099999999998</v>
      </c>
      <c r="JN20">
        <v>14.536300000000001</v>
      </c>
      <c r="JO20">
        <v>100</v>
      </c>
      <c r="JP20">
        <v>25.668900000000001</v>
      </c>
      <c r="JQ20">
        <v>1000</v>
      </c>
      <c r="JR20">
        <v>23.9666</v>
      </c>
      <c r="JS20">
        <v>99.300299999999993</v>
      </c>
      <c r="JT20">
        <v>99.188000000000002</v>
      </c>
    </row>
    <row r="21" spans="1:280" x14ac:dyDescent="0.25">
      <c r="A21">
        <v>5</v>
      </c>
      <c r="B21">
        <v>1700148462</v>
      </c>
      <c r="C21">
        <v>501.5</v>
      </c>
      <c r="D21" t="s">
        <v>436</v>
      </c>
      <c r="E21" t="s">
        <v>437</v>
      </c>
      <c r="F21" t="s">
        <v>412</v>
      </c>
      <c r="G21" t="s">
        <v>413</v>
      </c>
      <c r="H21" t="s">
        <v>414</v>
      </c>
      <c r="I21">
        <v>1700148462</v>
      </c>
      <c r="J21">
        <f t="shared" si="0"/>
        <v>3.4951280158292473E-3</v>
      </c>
      <c r="K21">
        <f t="shared" si="1"/>
        <v>3.4951280158292475</v>
      </c>
      <c r="L21">
        <f t="shared" si="2"/>
        <v>57.266717540042194</v>
      </c>
      <c r="M21">
        <f t="shared" si="3"/>
        <v>679.62099999999998</v>
      </c>
      <c r="N21">
        <f t="shared" si="4"/>
        <v>270.36824376487897</v>
      </c>
      <c r="O21">
        <f t="shared" si="5"/>
        <v>26.947733038354858</v>
      </c>
      <c r="P21">
        <f t="shared" si="6"/>
        <v>67.738152307511498</v>
      </c>
      <c r="Q21">
        <f t="shared" si="7"/>
        <v>0.23926066761169257</v>
      </c>
      <c r="R21">
        <f t="shared" si="8"/>
        <v>2.9431647991720262</v>
      </c>
      <c r="S21">
        <f t="shared" si="9"/>
        <v>0.22895633587048184</v>
      </c>
      <c r="T21">
        <f t="shared" si="10"/>
        <v>0.14398653070157325</v>
      </c>
      <c r="U21">
        <f t="shared" si="11"/>
        <v>344.36309864449822</v>
      </c>
      <c r="V21">
        <f t="shared" si="12"/>
        <v>31.133150763190599</v>
      </c>
      <c r="W21">
        <f t="shared" si="13"/>
        <v>29.977</v>
      </c>
      <c r="X21">
        <f t="shared" si="14"/>
        <v>4.2548245264347511</v>
      </c>
      <c r="Y21">
        <f t="shared" si="15"/>
        <v>65.347465690519073</v>
      </c>
      <c r="Z21">
        <f t="shared" si="16"/>
        <v>2.7870557730400503</v>
      </c>
      <c r="AA21">
        <f t="shared" si="17"/>
        <v>4.2649791290137351</v>
      </c>
      <c r="AB21">
        <f t="shared" si="18"/>
        <v>1.4677687533947008</v>
      </c>
      <c r="AC21">
        <f t="shared" si="19"/>
        <v>-154.13514549806982</v>
      </c>
      <c r="AD21">
        <f t="shared" si="20"/>
        <v>6.5848838770978082</v>
      </c>
      <c r="AE21">
        <f t="shared" si="21"/>
        <v>0.4974654924207606</v>
      </c>
      <c r="AF21">
        <f t="shared" si="22"/>
        <v>197.31030251594697</v>
      </c>
      <c r="AG21">
        <v>19</v>
      </c>
      <c r="AH21">
        <v>4</v>
      </c>
      <c r="AI21">
        <f t="shared" si="23"/>
        <v>1</v>
      </c>
      <c r="AJ21">
        <f t="shared" si="24"/>
        <v>0</v>
      </c>
      <c r="AK21">
        <f t="shared" si="25"/>
        <v>52216.270566037892</v>
      </c>
      <c r="AL21" t="s">
        <v>415</v>
      </c>
      <c r="AM21">
        <v>7163.32</v>
      </c>
      <c r="AN21">
        <v>295.04692307692312</v>
      </c>
      <c r="AO21">
        <v>723.15082041179414</v>
      </c>
      <c r="AP21">
        <f t="shared" si="26"/>
        <v>0.59199808013920208</v>
      </c>
      <c r="AQ21">
        <v>-3.795255127542589</v>
      </c>
      <c r="AR21" t="s">
        <v>438</v>
      </c>
      <c r="AS21">
        <v>7232.6</v>
      </c>
      <c r="AT21">
        <v>679.21888461538458</v>
      </c>
      <c r="AU21">
        <v>1080.4864751500741</v>
      </c>
      <c r="AV21">
        <f t="shared" si="27"/>
        <v>0.37137678236921523</v>
      </c>
      <c r="AW21">
        <v>0.5</v>
      </c>
      <c r="AX21">
        <f t="shared" si="28"/>
        <v>1513.1591993222492</v>
      </c>
      <c r="AY21">
        <f t="shared" si="29"/>
        <v>57.266717540042194</v>
      </c>
      <c r="AZ21">
        <f t="shared" si="30"/>
        <v>280.97609732833746</v>
      </c>
      <c r="BA21">
        <f t="shared" si="31"/>
        <v>4.0353964536537015E-2</v>
      </c>
      <c r="BB21">
        <f t="shared" si="32"/>
        <v>-0.33071737865913392</v>
      </c>
      <c r="BC21">
        <f t="shared" si="33"/>
        <v>341.06841905755277</v>
      </c>
      <c r="BD21" t="s">
        <v>439</v>
      </c>
      <c r="BE21">
        <v>518.35</v>
      </c>
      <c r="BF21">
        <f t="shared" si="34"/>
        <v>518.35</v>
      </c>
      <c r="BG21">
        <f t="shared" si="35"/>
        <v>0.52026238928349022</v>
      </c>
      <c r="BH21">
        <f t="shared" si="36"/>
        <v>0.71382592710704773</v>
      </c>
      <c r="BI21">
        <f t="shared" si="37"/>
        <v>-1.7447960121438146</v>
      </c>
      <c r="BJ21">
        <f t="shared" si="38"/>
        <v>0.51088284193933475</v>
      </c>
      <c r="BK21">
        <f t="shared" si="39"/>
        <v>-0.83469376701040676</v>
      </c>
      <c r="BL21">
        <f t="shared" si="40"/>
        <v>0.54476057379567933</v>
      </c>
      <c r="BM21">
        <f t="shared" si="41"/>
        <v>0.45523942620432067</v>
      </c>
      <c r="BN21">
        <v>284</v>
      </c>
      <c r="BO21">
        <v>290.00000000000011</v>
      </c>
      <c r="BP21">
        <v>963.87</v>
      </c>
      <c r="BQ21">
        <v>275</v>
      </c>
      <c r="BR21">
        <v>7232.6</v>
      </c>
      <c r="BS21">
        <v>967.3</v>
      </c>
      <c r="BT21">
        <v>-3.43</v>
      </c>
      <c r="BU21">
        <v>300.00000000000011</v>
      </c>
      <c r="BV21">
        <v>38.1</v>
      </c>
      <c r="BW21">
        <v>1080.4864751500741</v>
      </c>
      <c r="BX21">
        <v>1.767136750240619</v>
      </c>
      <c r="BY21">
        <v>-81.86140854596087</v>
      </c>
      <c r="BZ21">
        <v>1.0712947546898139</v>
      </c>
      <c r="CA21">
        <v>0.99522756569507531</v>
      </c>
      <c r="CB21">
        <v>-7.1331094549499383E-3</v>
      </c>
      <c r="CC21">
        <v>289.99999999999989</v>
      </c>
      <c r="CD21">
        <v>976.09</v>
      </c>
      <c r="CE21">
        <v>805</v>
      </c>
      <c r="CF21">
        <v>7225.71</v>
      </c>
      <c r="CG21">
        <v>967.19</v>
      </c>
      <c r="CH21">
        <v>8.9</v>
      </c>
      <c r="CV21">
        <f t="shared" si="42"/>
        <v>1799.97</v>
      </c>
      <c r="CW21">
        <f t="shared" si="43"/>
        <v>1513.1591993222492</v>
      </c>
      <c r="CX21">
        <f t="shared" si="44"/>
        <v>0.84065801059031486</v>
      </c>
      <c r="CY21">
        <f t="shared" si="45"/>
        <v>0.19131602118062979</v>
      </c>
      <c r="CZ21">
        <v>5.9</v>
      </c>
      <c r="DA21">
        <v>0.5</v>
      </c>
      <c r="DB21" t="s">
        <v>418</v>
      </c>
      <c r="DC21">
        <v>2</v>
      </c>
      <c r="DD21">
        <v>1700148462</v>
      </c>
      <c r="DE21">
        <v>679.62099999999998</v>
      </c>
      <c r="DF21">
        <v>750.01400000000001</v>
      </c>
      <c r="DG21">
        <v>27.962700000000002</v>
      </c>
      <c r="DH21">
        <v>23.9529</v>
      </c>
      <c r="DI21">
        <v>679.39099999999996</v>
      </c>
      <c r="DJ21">
        <v>29.860499999999998</v>
      </c>
      <c r="DK21">
        <v>499.89100000000002</v>
      </c>
      <c r="DL21">
        <v>99.570899999999995</v>
      </c>
      <c r="DM21">
        <v>9.9581500000000003E-2</v>
      </c>
      <c r="DN21">
        <v>30.0185</v>
      </c>
      <c r="DO21">
        <v>29.977</v>
      </c>
      <c r="DP21">
        <v>999.9</v>
      </c>
      <c r="DQ21">
        <v>0</v>
      </c>
      <c r="DR21">
        <v>0</v>
      </c>
      <c r="DS21">
        <v>10018.1</v>
      </c>
      <c r="DT21">
        <v>0</v>
      </c>
      <c r="DU21">
        <v>194.67699999999999</v>
      </c>
      <c r="DV21">
        <v>-70.392899999999997</v>
      </c>
      <c r="DW21">
        <v>699.17200000000003</v>
      </c>
      <c r="DX21">
        <v>768.42</v>
      </c>
      <c r="DY21">
        <v>4.00983</v>
      </c>
      <c r="DZ21">
        <v>750.01400000000001</v>
      </c>
      <c r="EA21">
        <v>23.9529</v>
      </c>
      <c r="EB21">
        <v>2.7842699999999998</v>
      </c>
      <c r="EC21">
        <v>2.3850099999999999</v>
      </c>
      <c r="ED21">
        <v>22.7911</v>
      </c>
      <c r="EE21">
        <v>20.2623</v>
      </c>
      <c r="EF21">
        <v>1799.97</v>
      </c>
      <c r="EG21">
        <v>0.97800500000000001</v>
      </c>
      <c r="EH21">
        <v>2.1995399999999998E-2</v>
      </c>
      <c r="EI21">
        <v>0</v>
      </c>
      <c r="EJ21">
        <v>679.20600000000002</v>
      </c>
      <c r="EK21">
        <v>5.0010300000000001</v>
      </c>
      <c r="EL21">
        <v>12525</v>
      </c>
      <c r="EM21">
        <v>14700.9</v>
      </c>
      <c r="EN21">
        <v>49.625</v>
      </c>
      <c r="EO21">
        <v>51.311999999999998</v>
      </c>
      <c r="EP21">
        <v>51.125</v>
      </c>
      <c r="EQ21">
        <v>50.061999999999998</v>
      </c>
      <c r="ER21">
        <v>51.061999999999998</v>
      </c>
      <c r="ES21">
        <v>1755.49</v>
      </c>
      <c r="ET21">
        <v>39.479999999999997</v>
      </c>
      <c r="EU21">
        <v>0</v>
      </c>
      <c r="EV21">
        <v>257.39999985694891</v>
      </c>
      <c r="EW21">
        <v>0</v>
      </c>
      <c r="EX21">
        <v>679.21888461538458</v>
      </c>
      <c r="EY21">
        <v>-0.30772649903250537</v>
      </c>
      <c r="EZ21">
        <v>8.8752136875570606</v>
      </c>
      <c r="FA21">
        <v>12525.792307692311</v>
      </c>
      <c r="FB21">
        <v>15</v>
      </c>
      <c r="FC21">
        <v>1700148429</v>
      </c>
      <c r="FD21" t="s">
        <v>440</v>
      </c>
      <c r="FE21">
        <v>1700148429</v>
      </c>
      <c r="FF21">
        <v>1700148426.5</v>
      </c>
      <c r="FG21">
        <v>6</v>
      </c>
      <c r="FH21">
        <v>4.9000000000000002E-2</v>
      </c>
      <c r="FI21">
        <v>1E-3</v>
      </c>
      <c r="FJ21">
        <v>0.27400000000000002</v>
      </c>
      <c r="FK21">
        <v>-1.8979999999999999</v>
      </c>
      <c r="FL21">
        <v>750</v>
      </c>
      <c r="FM21">
        <v>24</v>
      </c>
      <c r="FN21">
        <v>0.06</v>
      </c>
      <c r="FO21">
        <v>0.03</v>
      </c>
      <c r="FP21">
        <v>57.24047241047974</v>
      </c>
      <c r="FQ21">
        <v>0.49593751091256938</v>
      </c>
      <c r="FR21">
        <v>4.7049097487612053E-2</v>
      </c>
      <c r="FS21">
        <v>1</v>
      </c>
      <c r="FT21">
        <v>0.2340784925297078</v>
      </c>
      <c r="FU21">
        <v>4.5627728526158047E-2</v>
      </c>
      <c r="FV21">
        <v>3.3320348733733079E-3</v>
      </c>
      <c r="FW21">
        <v>1</v>
      </c>
      <c r="FX21">
        <v>2</v>
      </c>
      <c r="FY21">
        <v>2</v>
      </c>
      <c r="FZ21" t="s">
        <v>420</v>
      </c>
      <c r="GA21">
        <v>2.8978100000000002</v>
      </c>
      <c r="GB21">
        <v>2.8177500000000002</v>
      </c>
      <c r="GC21">
        <v>0.132963</v>
      </c>
      <c r="GD21">
        <v>0.142149</v>
      </c>
      <c r="GE21">
        <v>0.13914000000000001</v>
      </c>
      <c r="GF21">
        <v>0.118702</v>
      </c>
      <c r="GG21">
        <v>24009.1</v>
      </c>
      <c r="GH21">
        <v>23864.2</v>
      </c>
      <c r="GI21">
        <v>24578.799999999999</v>
      </c>
      <c r="GJ21">
        <v>24856.2</v>
      </c>
      <c r="GK21">
        <v>28159.1</v>
      </c>
      <c r="GL21">
        <v>28480.2</v>
      </c>
      <c r="GM21">
        <v>33294.1</v>
      </c>
      <c r="GN21">
        <v>33251.599999999999</v>
      </c>
      <c r="GO21">
        <v>1.9005300000000001</v>
      </c>
      <c r="GP21">
        <v>2.5460500000000001</v>
      </c>
      <c r="GQ21">
        <v>7.2181200000000001E-2</v>
      </c>
      <c r="GR21">
        <v>0</v>
      </c>
      <c r="GS21">
        <v>28.801100000000002</v>
      </c>
      <c r="GT21">
        <v>999.9</v>
      </c>
      <c r="GU21">
        <v>57.9</v>
      </c>
      <c r="GV21">
        <v>33</v>
      </c>
      <c r="GW21">
        <v>29.376000000000001</v>
      </c>
      <c r="GX21">
        <v>62.83</v>
      </c>
      <c r="GY21">
        <v>-7.2636200000000004</v>
      </c>
      <c r="GZ21">
        <v>3</v>
      </c>
      <c r="HA21">
        <v>0.59818300000000002</v>
      </c>
      <c r="HB21">
        <v>2.5115500000000002</v>
      </c>
      <c r="HC21">
        <v>20.194700000000001</v>
      </c>
      <c r="HD21">
        <v>5.2319699999999996</v>
      </c>
      <c r="HE21">
        <v>11.9201</v>
      </c>
      <c r="HF21">
        <v>4.9591500000000002</v>
      </c>
      <c r="HG21">
        <v>3.2881999999999998</v>
      </c>
      <c r="HH21">
        <v>9999</v>
      </c>
      <c r="HI21">
        <v>9999</v>
      </c>
      <c r="HJ21">
        <v>9999</v>
      </c>
      <c r="HK21">
        <v>999.9</v>
      </c>
      <c r="HL21">
        <v>1.8806700000000001</v>
      </c>
      <c r="HM21">
        <v>1.8777900000000001</v>
      </c>
      <c r="HN21">
        <v>1.88568</v>
      </c>
      <c r="HO21">
        <v>1.88354</v>
      </c>
      <c r="HP21">
        <v>1.8809899999999999</v>
      </c>
      <c r="HQ21">
        <v>1.8801099999999999</v>
      </c>
      <c r="HR21">
        <v>1.88124</v>
      </c>
      <c r="HS21">
        <v>1.8806499999999999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0.23</v>
      </c>
      <c r="IH21">
        <v>-1.8977999999999999</v>
      </c>
      <c r="II21">
        <v>-0.23516651550117959</v>
      </c>
      <c r="IJ21">
        <v>8.9935118796959448E-4</v>
      </c>
      <c r="IK21">
        <v>-5.3495398746875769E-7</v>
      </c>
      <c r="IL21">
        <v>3.209454383910538E-10</v>
      </c>
      <c r="IM21">
        <v>-1.897750000000002</v>
      </c>
      <c r="IN21">
        <v>0</v>
      </c>
      <c r="IO21">
        <v>0</v>
      </c>
      <c r="IP21">
        <v>0</v>
      </c>
      <c r="IQ21">
        <v>1</v>
      </c>
      <c r="IR21">
        <v>2101</v>
      </c>
      <c r="IS21">
        <v>1</v>
      </c>
      <c r="IT21">
        <v>21</v>
      </c>
      <c r="IU21">
        <v>0.6</v>
      </c>
      <c r="IV21">
        <v>0.6</v>
      </c>
      <c r="IW21">
        <v>2.5061</v>
      </c>
      <c r="IX21">
        <v>2.4401899999999999</v>
      </c>
      <c r="IY21">
        <v>2.34375</v>
      </c>
      <c r="IZ21">
        <v>2.9260299999999999</v>
      </c>
      <c r="JA21">
        <v>3.0480999999999998</v>
      </c>
      <c r="JB21">
        <v>2.3303199999999999</v>
      </c>
      <c r="JC21">
        <v>39.792499999999997</v>
      </c>
      <c r="JD21">
        <v>15.086399999999999</v>
      </c>
      <c r="JE21">
        <v>18</v>
      </c>
      <c r="JF21">
        <v>469.44400000000002</v>
      </c>
      <c r="JG21">
        <v>1228.53</v>
      </c>
      <c r="JH21">
        <v>25.685600000000001</v>
      </c>
      <c r="JI21">
        <v>34.562399999999997</v>
      </c>
      <c r="JJ21">
        <v>30.0002</v>
      </c>
      <c r="JK21">
        <v>34.488100000000003</v>
      </c>
      <c r="JL21">
        <v>34.443399999999997</v>
      </c>
      <c r="JM21">
        <v>50.261499999999998</v>
      </c>
      <c r="JN21">
        <v>16.069400000000002</v>
      </c>
      <c r="JO21">
        <v>100</v>
      </c>
      <c r="JP21">
        <v>25.695699999999999</v>
      </c>
      <c r="JQ21">
        <v>750</v>
      </c>
      <c r="JR21">
        <v>23.8294</v>
      </c>
      <c r="JS21">
        <v>99.299700000000001</v>
      </c>
      <c r="JT21">
        <v>99.173299999999998</v>
      </c>
    </row>
    <row r="22" spans="1:280" x14ac:dyDescent="0.25">
      <c r="A22">
        <v>6</v>
      </c>
      <c r="B22">
        <v>1700148637</v>
      </c>
      <c r="C22">
        <v>676.5</v>
      </c>
      <c r="D22" t="s">
        <v>441</v>
      </c>
      <c r="E22" t="s">
        <v>442</v>
      </c>
      <c r="F22" t="s">
        <v>412</v>
      </c>
      <c r="G22" t="s">
        <v>413</v>
      </c>
      <c r="H22" t="s">
        <v>414</v>
      </c>
      <c r="I22">
        <v>1700148637</v>
      </c>
      <c r="J22">
        <f t="shared" si="0"/>
        <v>4.2204026560719015E-3</v>
      </c>
      <c r="K22">
        <f t="shared" si="1"/>
        <v>4.2204026560719017</v>
      </c>
      <c r="L22">
        <f t="shared" si="2"/>
        <v>56.331095782776366</v>
      </c>
      <c r="M22">
        <f t="shared" si="3"/>
        <v>530.86800000000005</v>
      </c>
      <c r="N22">
        <f t="shared" si="4"/>
        <v>201.11961889753476</v>
      </c>
      <c r="O22">
        <f t="shared" si="5"/>
        <v>20.044596229820968</v>
      </c>
      <c r="P22">
        <f t="shared" si="6"/>
        <v>52.908984064622402</v>
      </c>
      <c r="Q22">
        <f t="shared" si="7"/>
        <v>0.29414508019444047</v>
      </c>
      <c r="R22">
        <f t="shared" si="8"/>
        <v>2.9388656094235208</v>
      </c>
      <c r="S22">
        <f t="shared" si="9"/>
        <v>0.27871338572925269</v>
      </c>
      <c r="T22">
        <f t="shared" si="10"/>
        <v>0.17551484812383544</v>
      </c>
      <c r="U22">
        <f t="shared" si="11"/>
        <v>344.37249864349832</v>
      </c>
      <c r="V22">
        <f t="shared" si="12"/>
        <v>31.049784896532714</v>
      </c>
      <c r="W22">
        <f t="shared" si="13"/>
        <v>29.982600000000001</v>
      </c>
      <c r="X22">
        <f t="shared" si="14"/>
        <v>4.2561935550582763</v>
      </c>
      <c r="Y22">
        <f t="shared" si="15"/>
        <v>65.275103597047817</v>
      </c>
      <c r="Z22">
        <f t="shared" si="16"/>
        <v>2.8004482840144802</v>
      </c>
      <c r="AA22">
        <f t="shared" si="17"/>
        <v>4.290224189151858</v>
      </c>
      <c r="AB22">
        <f t="shared" si="18"/>
        <v>1.4557452710437961</v>
      </c>
      <c r="AC22">
        <f t="shared" si="19"/>
        <v>-186.11975713277084</v>
      </c>
      <c r="AD22">
        <f t="shared" si="20"/>
        <v>21.975645023377915</v>
      </c>
      <c r="AE22">
        <f t="shared" si="21"/>
        <v>1.6635060454765691</v>
      </c>
      <c r="AF22">
        <f t="shared" si="22"/>
        <v>181.89189257958199</v>
      </c>
      <c r="AG22">
        <v>19</v>
      </c>
      <c r="AH22">
        <v>4</v>
      </c>
      <c r="AI22">
        <f t="shared" si="23"/>
        <v>1</v>
      </c>
      <c r="AJ22">
        <f t="shared" si="24"/>
        <v>0</v>
      </c>
      <c r="AK22">
        <f t="shared" si="25"/>
        <v>52077.00137860937</v>
      </c>
      <c r="AL22" t="s">
        <v>426</v>
      </c>
      <c r="AM22" t="s">
        <v>426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426</v>
      </c>
      <c r="AS22" t="s">
        <v>426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1513.1936993217491</v>
      </c>
      <c r="AY22">
        <f t="shared" si="29"/>
        <v>56.331095782776366</v>
      </c>
      <c r="AZ22" t="e">
        <f t="shared" si="30"/>
        <v>#DIV/0!</v>
      </c>
      <c r="BA22">
        <f t="shared" si="31"/>
        <v>3.7226625915786828E-2</v>
      </c>
      <c r="BB22" t="e">
        <f t="shared" si="32"/>
        <v>#DIV/0!</v>
      </c>
      <c r="BC22" t="e">
        <f t="shared" si="33"/>
        <v>#DIV/0!</v>
      </c>
      <c r="BD22" t="s">
        <v>426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BN22">
        <v>284</v>
      </c>
      <c r="BO22">
        <v>290.00000000000011</v>
      </c>
      <c r="BP22">
        <v>963.87</v>
      </c>
      <c r="BQ22">
        <v>275</v>
      </c>
      <c r="BR22">
        <v>7232.6</v>
      </c>
      <c r="BS22">
        <v>967.3</v>
      </c>
      <c r="BT22">
        <v>-3.43</v>
      </c>
      <c r="BU22">
        <v>300.00000000000011</v>
      </c>
      <c r="BV22">
        <v>38.1</v>
      </c>
      <c r="BW22">
        <v>1080.4864751500741</v>
      </c>
      <c r="BX22">
        <v>1.767136750240619</v>
      </c>
      <c r="BY22">
        <v>-81.86140854596087</v>
      </c>
      <c r="BZ22">
        <v>1.0712947546898139</v>
      </c>
      <c r="CA22">
        <v>0.99522756569507531</v>
      </c>
      <c r="CB22">
        <v>-7.1331094549499383E-3</v>
      </c>
      <c r="CC22">
        <v>289.99999999999989</v>
      </c>
      <c r="CD22">
        <v>976.09</v>
      </c>
      <c r="CE22">
        <v>805</v>
      </c>
      <c r="CF22">
        <v>7225.71</v>
      </c>
      <c r="CG22">
        <v>967.19</v>
      </c>
      <c r="CH22">
        <v>8.9</v>
      </c>
      <c r="CV22">
        <f t="shared" si="42"/>
        <v>1800.01</v>
      </c>
      <c r="CW22">
        <f t="shared" si="43"/>
        <v>1513.1936993217491</v>
      </c>
      <c r="CX22">
        <f t="shared" si="44"/>
        <v>0.84065849596488307</v>
      </c>
      <c r="CY22">
        <f t="shared" si="45"/>
        <v>0.19131699192976612</v>
      </c>
      <c r="CZ22">
        <v>5.9</v>
      </c>
      <c r="DA22">
        <v>0.5</v>
      </c>
      <c r="DB22" t="s">
        <v>418</v>
      </c>
      <c r="DC22">
        <v>2</v>
      </c>
      <c r="DD22">
        <v>1700148637</v>
      </c>
      <c r="DE22">
        <v>530.86800000000005</v>
      </c>
      <c r="DF22">
        <v>599.97900000000004</v>
      </c>
      <c r="DG22">
        <v>28.098600000000001</v>
      </c>
      <c r="DH22">
        <v>23.258700000000001</v>
      </c>
      <c r="DI22">
        <v>530.78499999999997</v>
      </c>
      <c r="DJ22">
        <v>29.999600000000001</v>
      </c>
      <c r="DK22">
        <v>500.02499999999998</v>
      </c>
      <c r="DL22">
        <v>99.565100000000001</v>
      </c>
      <c r="DM22">
        <v>9.9946800000000002E-2</v>
      </c>
      <c r="DN22">
        <v>30.121300000000002</v>
      </c>
      <c r="DO22">
        <v>29.982600000000001</v>
      </c>
      <c r="DP22">
        <v>999.9</v>
      </c>
      <c r="DQ22">
        <v>0</v>
      </c>
      <c r="DR22">
        <v>0</v>
      </c>
      <c r="DS22">
        <v>9994.3799999999992</v>
      </c>
      <c r="DT22">
        <v>0</v>
      </c>
      <c r="DU22">
        <v>194.52099999999999</v>
      </c>
      <c r="DV22">
        <v>-69.110900000000001</v>
      </c>
      <c r="DW22">
        <v>546.21600000000001</v>
      </c>
      <c r="DX22">
        <v>614.26599999999996</v>
      </c>
      <c r="DY22">
        <v>4.8398899999999996</v>
      </c>
      <c r="DZ22">
        <v>599.97900000000004</v>
      </c>
      <c r="EA22">
        <v>23.258700000000001</v>
      </c>
      <c r="EB22">
        <v>2.7976399999999999</v>
      </c>
      <c r="EC22">
        <v>2.31575</v>
      </c>
      <c r="ED22">
        <v>22.870100000000001</v>
      </c>
      <c r="EE22">
        <v>19.7864</v>
      </c>
      <c r="EF22">
        <v>1800.01</v>
      </c>
      <c r="EG22">
        <v>0.977989</v>
      </c>
      <c r="EH22">
        <v>2.2010600000000002E-2</v>
      </c>
      <c r="EI22">
        <v>0</v>
      </c>
      <c r="EJ22">
        <v>678.87699999999995</v>
      </c>
      <c r="EK22">
        <v>5.0010300000000001</v>
      </c>
      <c r="EL22">
        <v>12532.2</v>
      </c>
      <c r="EM22">
        <v>14701.1</v>
      </c>
      <c r="EN22">
        <v>50</v>
      </c>
      <c r="EO22">
        <v>51.561999999999998</v>
      </c>
      <c r="EP22">
        <v>51.436999999999998</v>
      </c>
      <c r="EQ22">
        <v>50.5</v>
      </c>
      <c r="ER22">
        <v>51.375</v>
      </c>
      <c r="ES22">
        <v>1755.5</v>
      </c>
      <c r="ET22">
        <v>39.51</v>
      </c>
      <c r="EU22">
        <v>0</v>
      </c>
      <c r="EV22">
        <v>173</v>
      </c>
      <c r="EW22">
        <v>0</v>
      </c>
      <c r="EX22">
        <v>678.77444000000003</v>
      </c>
      <c r="EY22">
        <v>0.48538462849855452</v>
      </c>
      <c r="EZ22">
        <v>43.369230799167461</v>
      </c>
      <c r="FA22">
        <v>12529.564</v>
      </c>
      <c r="FB22">
        <v>15</v>
      </c>
      <c r="FC22">
        <v>1700148570</v>
      </c>
      <c r="FD22" t="s">
        <v>443</v>
      </c>
      <c r="FE22">
        <v>1700148570</v>
      </c>
      <c r="FF22">
        <v>1700148561.5</v>
      </c>
      <c r="FG22">
        <v>7</v>
      </c>
      <c r="FH22">
        <v>-5.7000000000000002E-2</v>
      </c>
      <c r="FI22">
        <v>-3.0000000000000001E-3</v>
      </c>
      <c r="FJ22">
        <v>0.124</v>
      </c>
      <c r="FK22">
        <v>-1.901</v>
      </c>
      <c r="FL22">
        <v>600</v>
      </c>
      <c r="FM22">
        <v>24</v>
      </c>
      <c r="FN22">
        <v>0.04</v>
      </c>
      <c r="FO22">
        <v>0.01</v>
      </c>
      <c r="FP22">
        <v>56.283060284789713</v>
      </c>
      <c r="FQ22">
        <v>0.62128631016635394</v>
      </c>
      <c r="FR22">
        <v>4.8473195526616858E-2</v>
      </c>
      <c r="FS22">
        <v>1</v>
      </c>
      <c r="FT22">
        <v>0.29903477605280931</v>
      </c>
      <c r="FU22">
        <v>-1.7097862286056191E-2</v>
      </c>
      <c r="FV22">
        <v>1.51124858387526E-3</v>
      </c>
      <c r="FW22">
        <v>1</v>
      </c>
      <c r="FX22">
        <v>2</v>
      </c>
      <c r="FY22">
        <v>2</v>
      </c>
      <c r="FZ22" t="s">
        <v>420</v>
      </c>
      <c r="GA22">
        <v>2.8980100000000002</v>
      </c>
      <c r="GB22">
        <v>2.8178999999999998</v>
      </c>
      <c r="GC22">
        <v>0.111757</v>
      </c>
      <c r="GD22">
        <v>0.121909</v>
      </c>
      <c r="GE22">
        <v>0.13955600000000001</v>
      </c>
      <c r="GF22">
        <v>0.11630500000000001</v>
      </c>
      <c r="GG22">
        <v>24593.5</v>
      </c>
      <c r="GH22">
        <v>24422</v>
      </c>
      <c r="GI22">
        <v>24575.9</v>
      </c>
      <c r="GJ22">
        <v>24850.9</v>
      </c>
      <c r="GK22">
        <v>28142.1</v>
      </c>
      <c r="GL22">
        <v>28549.8</v>
      </c>
      <c r="GM22">
        <v>33289.599999999999</v>
      </c>
      <c r="GN22">
        <v>33241.9</v>
      </c>
      <c r="GO22">
        <v>1.9011</v>
      </c>
      <c r="GP22">
        <v>2.54575</v>
      </c>
      <c r="GQ22">
        <v>6.2096899999999997E-2</v>
      </c>
      <c r="GR22">
        <v>0</v>
      </c>
      <c r="GS22">
        <v>28.9712</v>
      </c>
      <c r="GT22">
        <v>999.9</v>
      </c>
      <c r="GU22">
        <v>57.1</v>
      </c>
      <c r="GV22">
        <v>33.5</v>
      </c>
      <c r="GW22">
        <v>29.7989</v>
      </c>
      <c r="GX22">
        <v>63.09</v>
      </c>
      <c r="GY22">
        <v>-7.1634599999999997</v>
      </c>
      <c r="GZ22">
        <v>3</v>
      </c>
      <c r="HA22">
        <v>0.60545499999999997</v>
      </c>
      <c r="HB22">
        <v>2.5725799999999999</v>
      </c>
      <c r="HC22">
        <v>20.193999999999999</v>
      </c>
      <c r="HD22">
        <v>5.2351099999999997</v>
      </c>
      <c r="HE22">
        <v>11.9201</v>
      </c>
      <c r="HF22">
        <v>4.9597499999999997</v>
      </c>
      <c r="HG22">
        <v>3.28898</v>
      </c>
      <c r="HH22">
        <v>9999</v>
      </c>
      <c r="HI22">
        <v>9999</v>
      </c>
      <c r="HJ22">
        <v>9999</v>
      </c>
      <c r="HK22">
        <v>999.9</v>
      </c>
      <c r="HL22">
        <v>1.8806799999999999</v>
      </c>
      <c r="HM22">
        <v>1.87782</v>
      </c>
      <c r="HN22">
        <v>1.8856999999999999</v>
      </c>
      <c r="HO22">
        <v>1.8835500000000001</v>
      </c>
      <c r="HP22">
        <v>1.8810800000000001</v>
      </c>
      <c r="HQ22">
        <v>1.8801699999999999</v>
      </c>
      <c r="HR22">
        <v>1.8812599999999999</v>
      </c>
      <c r="HS22">
        <v>1.88069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8.3000000000000004E-2</v>
      </c>
      <c r="IH22">
        <v>-1.901</v>
      </c>
      <c r="II22">
        <v>-0.29189170627644517</v>
      </c>
      <c r="IJ22">
        <v>8.9935118796959448E-4</v>
      </c>
      <c r="IK22">
        <v>-5.3495398746875769E-7</v>
      </c>
      <c r="IL22">
        <v>3.209454383910538E-10</v>
      </c>
      <c r="IM22">
        <v>-1.9009899999999971</v>
      </c>
      <c r="IN22">
        <v>0</v>
      </c>
      <c r="IO22">
        <v>0</v>
      </c>
      <c r="IP22">
        <v>0</v>
      </c>
      <c r="IQ22">
        <v>1</v>
      </c>
      <c r="IR22">
        <v>2101</v>
      </c>
      <c r="IS22">
        <v>1</v>
      </c>
      <c r="IT22">
        <v>21</v>
      </c>
      <c r="IU22">
        <v>1.1000000000000001</v>
      </c>
      <c r="IV22">
        <v>1.3</v>
      </c>
      <c r="IW22">
        <v>2.1020500000000002</v>
      </c>
      <c r="IX22">
        <v>2.4462899999999999</v>
      </c>
      <c r="IY22">
        <v>2.34375</v>
      </c>
      <c r="IZ22">
        <v>2.9247999999999998</v>
      </c>
      <c r="JA22">
        <v>3.0480999999999998</v>
      </c>
      <c r="JB22">
        <v>2.33521</v>
      </c>
      <c r="JC22">
        <v>40.298200000000001</v>
      </c>
      <c r="JD22">
        <v>15.051399999999999</v>
      </c>
      <c r="JE22">
        <v>18</v>
      </c>
      <c r="JF22">
        <v>470.21199999999999</v>
      </c>
      <c r="JG22">
        <v>1228.98</v>
      </c>
      <c r="JH22">
        <v>25.790600000000001</v>
      </c>
      <c r="JI22">
        <v>34.631599999999999</v>
      </c>
      <c r="JJ22">
        <v>30.000599999999999</v>
      </c>
      <c r="JK22">
        <v>34.539900000000003</v>
      </c>
      <c r="JL22">
        <v>34.4878</v>
      </c>
      <c r="JM22">
        <v>42.162799999999997</v>
      </c>
      <c r="JN22">
        <v>19.546800000000001</v>
      </c>
      <c r="JO22">
        <v>99.255300000000005</v>
      </c>
      <c r="JP22">
        <v>25.7973</v>
      </c>
      <c r="JQ22">
        <v>600</v>
      </c>
      <c r="JR22">
        <v>23.170200000000001</v>
      </c>
      <c r="JS22">
        <v>99.287199999999999</v>
      </c>
      <c r="JT22">
        <v>99.1477</v>
      </c>
    </row>
    <row r="23" spans="1:280" x14ac:dyDescent="0.25">
      <c r="A23">
        <v>7</v>
      </c>
      <c r="B23">
        <v>1700148745</v>
      </c>
      <c r="C23">
        <v>784.5</v>
      </c>
      <c r="D23" t="s">
        <v>444</v>
      </c>
      <c r="E23" t="s">
        <v>445</v>
      </c>
      <c r="F23" t="s">
        <v>412</v>
      </c>
      <c r="G23" t="s">
        <v>413</v>
      </c>
      <c r="H23" t="s">
        <v>414</v>
      </c>
      <c r="I23">
        <v>1700148745</v>
      </c>
      <c r="J23">
        <f t="shared" si="0"/>
        <v>4.3020220874311005E-3</v>
      </c>
      <c r="K23">
        <f t="shared" si="1"/>
        <v>4.3020220874311006</v>
      </c>
      <c r="L23">
        <f t="shared" si="2"/>
        <v>53.996201014340713</v>
      </c>
      <c r="M23">
        <f t="shared" si="3"/>
        <v>434.13900000000001</v>
      </c>
      <c r="N23">
        <f t="shared" si="4"/>
        <v>127.70147181682468</v>
      </c>
      <c r="O23">
        <f t="shared" si="5"/>
        <v>12.727673569995016</v>
      </c>
      <c r="P23">
        <f t="shared" si="6"/>
        <v>43.269505021288801</v>
      </c>
      <c r="Q23">
        <f t="shared" si="7"/>
        <v>0.30228247840921019</v>
      </c>
      <c r="R23">
        <f t="shared" si="8"/>
        <v>2.9404533814198741</v>
      </c>
      <c r="S23">
        <f t="shared" si="9"/>
        <v>0.28601879129922742</v>
      </c>
      <c r="T23">
        <f t="shared" si="10"/>
        <v>0.18015001752992216</v>
      </c>
      <c r="U23">
        <f t="shared" si="11"/>
        <v>344.32821181200256</v>
      </c>
      <c r="V23">
        <f t="shared" si="12"/>
        <v>31.074222331345357</v>
      </c>
      <c r="W23">
        <f t="shared" si="13"/>
        <v>30.004100000000001</v>
      </c>
      <c r="X23">
        <f t="shared" si="14"/>
        <v>4.2614532140369183</v>
      </c>
      <c r="Y23">
        <f t="shared" si="15"/>
        <v>65.453553782556398</v>
      </c>
      <c r="Z23">
        <f t="shared" si="16"/>
        <v>2.8155741271802404</v>
      </c>
      <c r="AA23">
        <f t="shared" si="17"/>
        <v>4.3016367553301604</v>
      </c>
      <c r="AB23">
        <f t="shared" si="18"/>
        <v>1.445879086856678</v>
      </c>
      <c r="AC23">
        <f t="shared" si="19"/>
        <v>-189.71917405571153</v>
      </c>
      <c r="AD23">
        <f t="shared" si="20"/>
        <v>25.918955661304057</v>
      </c>
      <c r="AE23">
        <f t="shared" si="21"/>
        <v>1.9616043833199197</v>
      </c>
      <c r="AF23">
        <f t="shared" si="22"/>
        <v>182.48959780091502</v>
      </c>
      <c r="AG23">
        <v>19</v>
      </c>
      <c r="AH23">
        <v>4</v>
      </c>
      <c r="AI23">
        <f t="shared" si="23"/>
        <v>1</v>
      </c>
      <c r="AJ23">
        <f t="shared" si="24"/>
        <v>0</v>
      </c>
      <c r="AK23">
        <f t="shared" si="25"/>
        <v>52113.930151043431</v>
      </c>
      <c r="AL23" t="s">
        <v>415</v>
      </c>
      <c r="AM23">
        <v>7163.32</v>
      </c>
      <c r="AN23">
        <v>295.04692307692312</v>
      </c>
      <c r="AO23">
        <v>723.15082041179414</v>
      </c>
      <c r="AP23">
        <f t="shared" si="26"/>
        <v>0.59199808013920208</v>
      </c>
      <c r="AQ23">
        <v>-3.795255127542589</v>
      </c>
      <c r="AR23" t="s">
        <v>446</v>
      </c>
      <c r="AS23">
        <v>7230.39</v>
      </c>
      <c r="AT23">
        <v>678.548</v>
      </c>
      <c r="AU23">
        <v>1053.1176065406919</v>
      </c>
      <c r="AV23">
        <f t="shared" si="27"/>
        <v>0.35567690086493553</v>
      </c>
      <c r="AW23">
        <v>0.5</v>
      </c>
      <c r="AX23">
        <f t="shared" si="28"/>
        <v>1513.0002059060012</v>
      </c>
      <c r="AY23">
        <f t="shared" si="29"/>
        <v>53.996201014340713</v>
      </c>
      <c r="AZ23">
        <f t="shared" si="30"/>
        <v>269.0696121223279</v>
      </c>
      <c r="BA23">
        <f t="shared" si="31"/>
        <v>3.8196595027743002E-2</v>
      </c>
      <c r="BB23">
        <f t="shared" si="32"/>
        <v>-0.31332377702124004</v>
      </c>
      <c r="BC23">
        <f t="shared" si="33"/>
        <v>338.29321176879142</v>
      </c>
      <c r="BD23" t="s">
        <v>447</v>
      </c>
      <c r="BE23">
        <v>513.41</v>
      </c>
      <c r="BF23">
        <f t="shared" si="34"/>
        <v>513.41</v>
      </c>
      <c r="BG23">
        <f t="shared" si="35"/>
        <v>0.51248559817885631</v>
      </c>
      <c r="BH23">
        <f t="shared" si="36"/>
        <v>0.6940232118304428</v>
      </c>
      <c r="BI23">
        <f t="shared" si="37"/>
        <v>-1.573212050382268</v>
      </c>
      <c r="BJ23">
        <f t="shared" si="38"/>
        <v>0.49410907809969951</v>
      </c>
      <c r="BK23">
        <f t="shared" si="39"/>
        <v>-0.77076333147883358</v>
      </c>
      <c r="BL23">
        <f t="shared" si="40"/>
        <v>0.5251190146988387</v>
      </c>
      <c r="BM23">
        <f t="shared" si="41"/>
        <v>0.4748809853011613</v>
      </c>
      <c r="BN23">
        <v>286</v>
      </c>
      <c r="BO23">
        <v>290.00000000000011</v>
      </c>
      <c r="BP23">
        <v>944.76</v>
      </c>
      <c r="BQ23">
        <v>275</v>
      </c>
      <c r="BR23">
        <v>7230.39</v>
      </c>
      <c r="BS23">
        <v>947.69</v>
      </c>
      <c r="BT23">
        <v>-2.93</v>
      </c>
      <c r="BU23">
        <v>300.00000000000011</v>
      </c>
      <c r="BV23">
        <v>38.1</v>
      </c>
      <c r="BW23">
        <v>1053.1176065406919</v>
      </c>
      <c r="BX23">
        <v>2.0880135684285279</v>
      </c>
      <c r="BY23">
        <v>-76.230816637520164</v>
      </c>
      <c r="BZ23">
        <v>1.2654323306809689</v>
      </c>
      <c r="CA23">
        <v>0.99234338660649046</v>
      </c>
      <c r="CB23">
        <v>-7.1310031145717422E-3</v>
      </c>
      <c r="CC23">
        <v>289.99999999999989</v>
      </c>
      <c r="CD23">
        <v>956.52</v>
      </c>
      <c r="CE23">
        <v>845</v>
      </c>
      <c r="CF23">
        <v>7222.8</v>
      </c>
      <c r="CG23">
        <v>947.58</v>
      </c>
      <c r="CH23">
        <v>8.94</v>
      </c>
      <c r="CV23">
        <f t="shared" si="42"/>
        <v>1799.78</v>
      </c>
      <c r="CW23">
        <f t="shared" si="43"/>
        <v>1513.0002059060012</v>
      </c>
      <c r="CX23">
        <f t="shared" si="44"/>
        <v>0.84065841708764466</v>
      </c>
      <c r="CY23">
        <f t="shared" si="45"/>
        <v>0.19131683417528952</v>
      </c>
      <c r="CZ23">
        <v>5.9</v>
      </c>
      <c r="DA23">
        <v>0.5</v>
      </c>
      <c r="DB23" t="s">
        <v>418</v>
      </c>
      <c r="DC23">
        <v>2</v>
      </c>
      <c r="DD23">
        <v>1700148745</v>
      </c>
      <c r="DE23">
        <v>434.13900000000001</v>
      </c>
      <c r="DF23">
        <v>500.06799999999998</v>
      </c>
      <c r="DG23">
        <v>28.249700000000001</v>
      </c>
      <c r="DH23">
        <v>23.315999999999999</v>
      </c>
      <c r="DI23">
        <v>434.11200000000002</v>
      </c>
      <c r="DJ23">
        <v>30.1523</v>
      </c>
      <c r="DK23">
        <v>499.92700000000002</v>
      </c>
      <c r="DL23">
        <v>99.567599999999999</v>
      </c>
      <c r="DM23">
        <v>9.9799200000000005E-2</v>
      </c>
      <c r="DN23">
        <v>30.1676</v>
      </c>
      <c r="DO23">
        <v>30.004100000000001</v>
      </c>
      <c r="DP23">
        <v>999.9</v>
      </c>
      <c r="DQ23">
        <v>0</v>
      </c>
      <c r="DR23">
        <v>0</v>
      </c>
      <c r="DS23">
        <v>10003.1</v>
      </c>
      <c r="DT23">
        <v>0</v>
      </c>
      <c r="DU23">
        <v>194.947</v>
      </c>
      <c r="DV23">
        <v>-65.929599999999994</v>
      </c>
      <c r="DW23">
        <v>446.75900000000001</v>
      </c>
      <c r="DX23">
        <v>512.00599999999997</v>
      </c>
      <c r="DY23">
        <v>4.9337499999999999</v>
      </c>
      <c r="DZ23">
        <v>500.06799999999998</v>
      </c>
      <c r="EA23">
        <v>23.315999999999999</v>
      </c>
      <c r="EB23">
        <v>2.8127599999999999</v>
      </c>
      <c r="EC23">
        <v>2.32152</v>
      </c>
      <c r="ED23">
        <v>22.959199999999999</v>
      </c>
      <c r="EE23">
        <v>19.826499999999999</v>
      </c>
      <c r="EF23">
        <v>1799.78</v>
      </c>
      <c r="EG23">
        <v>0.977989</v>
      </c>
      <c r="EH23">
        <v>2.2010600000000002E-2</v>
      </c>
      <c r="EI23">
        <v>0</v>
      </c>
      <c r="EJ23">
        <v>678.476</v>
      </c>
      <c r="EK23">
        <v>5.0010300000000001</v>
      </c>
      <c r="EL23">
        <v>12525.5</v>
      </c>
      <c r="EM23">
        <v>14699.3</v>
      </c>
      <c r="EN23">
        <v>50.125</v>
      </c>
      <c r="EO23">
        <v>51.75</v>
      </c>
      <c r="EP23">
        <v>51.686999999999998</v>
      </c>
      <c r="EQ23">
        <v>50.625</v>
      </c>
      <c r="ER23">
        <v>51.561999999999998</v>
      </c>
      <c r="ES23">
        <v>1755.27</v>
      </c>
      <c r="ET23">
        <v>39.5</v>
      </c>
      <c r="EU23">
        <v>0</v>
      </c>
      <c r="EV23">
        <v>281</v>
      </c>
      <c r="EW23">
        <v>0</v>
      </c>
      <c r="EX23">
        <v>678.548</v>
      </c>
      <c r="EY23">
        <v>0.68161538084484152</v>
      </c>
      <c r="EZ23">
        <v>11.57692306468876</v>
      </c>
      <c r="FA23">
        <v>12526.804</v>
      </c>
      <c r="FB23">
        <v>15</v>
      </c>
      <c r="FC23">
        <v>1700148711.5</v>
      </c>
      <c r="FD23" t="s">
        <v>448</v>
      </c>
      <c r="FE23">
        <v>1700148711.5</v>
      </c>
      <c r="FF23">
        <v>1700148709.5</v>
      </c>
      <c r="FG23">
        <v>8</v>
      </c>
      <c r="FH23">
        <v>2E-3</v>
      </c>
      <c r="FI23">
        <v>-2E-3</v>
      </c>
      <c r="FJ23">
        <v>6.6000000000000003E-2</v>
      </c>
      <c r="FK23">
        <v>-1.903</v>
      </c>
      <c r="FL23">
        <v>500</v>
      </c>
      <c r="FM23">
        <v>23</v>
      </c>
      <c r="FN23">
        <v>0.04</v>
      </c>
      <c r="FO23">
        <v>0.03</v>
      </c>
      <c r="FP23">
        <v>53.885984580318379</v>
      </c>
      <c r="FQ23">
        <v>0.28006506369286599</v>
      </c>
      <c r="FR23">
        <v>3.040477183303843E-2</v>
      </c>
      <c r="FS23">
        <v>1</v>
      </c>
      <c r="FT23">
        <v>0.29588740027080113</v>
      </c>
      <c r="FU23">
        <v>4.8694980484770958E-2</v>
      </c>
      <c r="FV23">
        <v>3.6603363278888221E-3</v>
      </c>
      <c r="FW23">
        <v>1</v>
      </c>
      <c r="FX23">
        <v>2</v>
      </c>
      <c r="FY23">
        <v>2</v>
      </c>
      <c r="FZ23" t="s">
        <v>420</v>
      </c>
      <c r="GA23">
        <v>2.8975900000000001</v>
      </c>
      <c r="GB23">
        <v>2.8178299999999998</v>
      </c>
      <c r="GC23">
        <v>9.6336699999999997E-2</v>
      </c>
      <c r="GD23">
        <v>0.10698000000000001</v>
      </c>
      <c r="GE23">
        <v>0.14002200000000001</v>
      </c>
      <c r="GF23">
        <v>0.116491</v>
      </c>
      <c r="GG23">
        <v>25017.4</v>
      </c>
      <c r="GH23">
        <v>24832.9</v>
      </c>
      <c r="GI23">
        <v>24573.200000000001</v>
      </c>
      <c r="GJ23">
        <v>24846.9</v>
      </c>
      <c r="GK23">
        <v>28124.3</v>
      </c>
      <c r="GL23">
        <v>28538.7</v>
      </c>
      <c r="GM23">
        <v>33286.199999999997</v>
      </c>
      <c r="GN23">
        <v>33235.800000000003</v>
      </c>
      <c r="GO23">
        <v>1.89957</v>
      </c>
      <c r="GP23">
        <v>2.5411800000000002</v>
      </c>
      <c r="GQ23">
        <v>5.9086800000000002E-2</v>
      </c>
      <c r="GR23">
        <v>0</v>
      </c>
      <c r="GS23">
        <v>29.041799999999999</v>
      </c>
      <c r="GT23">
        <v>999.9</v>
      </c>
      <c r="GU23">
        <v>56.6</v>
      </c>
      <c r="GV23">
        <v>33.700000000000003</v>
      </c>
      <c r="GW23">
        <v>29.869299999999999</v>
      </c>
      <c r="GX23">
        <v>63.18</v>
      </c>
      <c r="GY23">
        <v>-6.8790100000000001</v>
      </c>
      <c r="GZ23">
        <v>3</v>
      </c>
      <c r="HA23">
        <v>0.61465400000000003</v>
      </c>
      <c r="HB23">
        <v>2.9439600000000001</v>
      </c>
      <c r="HC23">
        <v>20.187200000000001</v>
      </c>
      <c r="HD23">
        <v>5.2313700000000001</v>
      </c>
      <c r="HE23">
        <v>11.9201</v>
      </c>
      <c r="HF23">
        <v>4.9592000000000001</v>
      </c>
      <c r="HG23">
        <v>3.2881300000000002</v>
      </c>
      <c r="HH23">
        <v>9999</v>
      </c>
      <c r="HI23">
        <v>9999</v>
      </c>
      <c r="HJ23">
        <v>9999</v>
      </c>
      <c r="HK23">
        <v>999.9</v>
      </c>
      <c r="HL23">
        <v>1.88069</v>
      </c>
      <c r="HM23">
        <v>1.8778600000000001</v>
      </c>
      <c r="HN23">
        <v>1.8857999999999999</v>
      </c>
      <c r="HO23">
        <v>1.88354</v>
      </c>
      <c r="HP23">
        <v>1.8810899999999999</v>
      </c>
      <c r="HQ23">
        <v>1.8801699999999999</v>
      </c>
      <c r="HR23">
        <v>1.8812599999999999</v>
      </c>
      <c r="HS23">
        <v>1.8807400000000001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2.7E-2</v>
      </c>
      <c r="IH23">
        <v>-1.9026000000000001</v>
      </c>
      <c r="II23">
        <v>-0.28963426695679573</v>
      </c>
      <c r="IJ23">
        <v>8.9935118796959448E-4</v>
      </c>
      <c r="IK23">
        <v>-5.3495398746875769E-7</v>
      </c>
      <c r="IL23">
        <v>3.209454383910538E-10</v>
      </c>
      <c r="IM23">
        <v>-1.9025449999999999</v>
      </c>
      <c r="IN23">
        <v>0</v>
      </c>
      <c r="IO23">
        <v>0</v>
      </c>
      <c r="IP23">
        <v>0</v>
      </c>
      <c r="IQ23">
        <v>1</v>
      </c>
      <c r="IR23">
        <v>2101</v>
      </c>
      <c r="IS23">
        <v>1</v>
      </c>
      <c r="IT23">
        <v>21</v>
      </c>
      <c r="IU23">
        <v>0.6</v>
      </c>
      <c r="IV23">
        <v>0.6</v>
      </c>
      <c r="IW23">
        <v>1.8176300000000001</v>
      </c>
      <c r="IX23">
        <v>2.4523899999999998</v>
      </c>
      <c r="IY23">
        <v>2.34375</v>
      </c>
      <c r="IZ23">
        <v>2.9260299999999999</v>
      </c>
      <c r="JA23">
        <v>3.0480999999999998</v>
      </c>
      <c r="JB23">
        <v>2.3779300000000001</v>
      </c>
      <c r="JC23">
        <v>40.553100000000001</v>
      </c>
      <c r="JD23">
        <v>15.0251</v>
      </c>
      <c r="JE23">
        <v>18</v>
      </c>
      <c r="JF23">
        <v>469.69900000000001</v>
      </c>
      <c r="JG23">
        <v>1223.3699999999999</v>
      </c>
      <c r="JH23">
        <v>25.543099999999999</v>
      </c>
      <c r="JI23">
        <v>34.709400000000002</v>
      </c>
      <c r="JJ23">
        <v>30.000399999999999</v>
      </c>
      <c r="JK23">
        <v>34.604999999999997</v>
      </c>
      <c r="JL23">
        <v>34.543799999999997</v>
      </c>
      <c r="JM23">
        <v>36.472200000000001</v>
      </c>
      <c r="JN23">
        <v>19.619800000000001</v>
      </c>
      <c r="JO23">
        <v>99.248199999999997</v>
      </c>
      <c r="JP23">
        <v>25.543900000000001</v>
      </c>
      <c r="JQ23">
        <v>500</v>
      </c>
      <c r="JR23">
        <v>23.194199999999999</v>
      </c>
      <c r="JS23">
        <v>99.276600000000002</v>
      </c>
      <c r="JT23">
        <v>99.130399999999995</v>
      </c>
    </row>
    <row r="24" spans="1:280" x14ac:dyDescent="0.25">
      <c r="A24">
        <v>8</v>
      </c>
      <c r="B24">
        <v>1700148915.5</v>
      </c>
      <c r="C24">
        <v>955</v>
      </c>
      <c r="D24" t="s">
        <v>449</v>
      </c>
      <c r="E24" t="s">
        <v>450</v>
      </c>
      <c r="F24" t="s">
        <v>412</v>
      </c>
      <c r="G24" t="s">
        <v>413</v>
      </c>
      <c r="H24" t="s">
        <v>414</v>
      </c>
      <c r="I24">
        <v>1700148915.5</v>
      </c>
      <c r="J24">
        <f t="shared" si="0"/>
        <v>5.2140732730906435E-3</v>
      </c>
      <c r="K24">
        <f t="shared" si="1"/>
        <v>5.2140732730906434</v>
      </c>
      <c r="L24">
        <f t="shared" si="2"/>
        <v>50.896417595139198</v>
      </c>
      <c r="M24">
        <f t="shared" si="3"/>
        <v>337.95299999999997</v>
      </c>
      <c r="N24">
        <f t="shared" si="4"/>
        <v>102.89276552786296</v>
      </c>
      <c r="O24">
        <f t="shared" si="5"/>
        <v>10.255538838111834</v>
      </c>
      <c r="P24">
        <f t="shared" si="6"/>
        <v>33.684487914923992</v>
      </c>
      <c r="Q24">
        <f t="shared" si="7"/>
        <v>0.37569411971262423</v>
      </c>
      <c r="R24">
        <f t="shared" si="8"/>
        <v>2.9405298174884673</v>
      </c>
      <c r="S24">
        <f t="shared" si="9"/>
        <v>0.35091966363509758</v>
      </c>
      <c r="T24">
        <f t="shared" si="10"/>
        <v>0.2214143909700961</v>
      </c>
      <c r="U24">
        <f t="shared" si="11"/>
        <v>344.36689864451318</v>
      </c>
      <c r="V24">
        <f t="shared" si="12"/>
        <v>30.938229047631083</v>
      </c>
      <c r="W24">
        <f t="shared" si="13"/>
        <v>29.961600000000001</v>
      </c>
      <c r="X24">
        <f t="shared" si="14"/>
        <v>4.2510616763702762</v>
      </c>
      <c r="Y24">
        <f t="shared" si="15"/>
        <v>65.244044520531659</v>
      </c>
      <c r="Z24">
        <f t="shared" si="16"/>
        <v>2.8226542952951998</v>
      </c>
      <c r="AA24">
        <f t="shared" si="17"/>
        <v>4.3263018349620221</v>
      </c>
      <c r="AB24">
        <f t="shared" si="18"/>
        <v>1.4284073810750764</v>
      </c>
      <c r="AC24">
        <f t="shared" si="19"/>
        <v>-229.94063134329738</v>
      </c>
      <c r="AD24">
        <f t="shared" si="20"/>
        <v>48.462573164197671</v>
      </c>
      <c r="AE24">
        <f t="shared" si="21"/>
        <v>3.668699340672934</v>
      </c>
      <c r="AF24">
        <f t="shared" si="22"/>
        <v>166.55753980608642</v>
      </c>
      <c r="AG24">
        <v>19</v>
      </c>
      <c r="AH24">
        <v>4</v>
      </c>
      <c r="AI24">
        <f t="shared" si="23"/>
        <v>1</v>
      </c>
      <c r="AJ24">
        <f t="shared" si="24"/>
        <v>0</v>
      </c>
      <c r="AK24">
        <f t="shared" si="25"/>
        <v>52099.047436945824</v>
      </c>
      <c r="AL24" t="s">
        <v>426</v>
      </c>
      <c r="AM24" t="s">
        <v>426</v>
      </c>
      <c r="AN24">
        <v>0</v>
      </c>
      <c r="AO24">
        <v>0</v>
      </c>
      <c r="AP24" t="e">
        <f t="shared" si="26"/>
        <v>#DIV/0!</v>
      </c>
      <c r="AQ24">
        <v>0</v>
      </c>
      <c r="AR24" t="s">
        <v>426</v>
      </c>
      <c r="AS24" t="s">
        <v>426</v>
      </c>
      <c r="AT24">
        <v>0</v>
      </c>
      <c r="AU24">
        <v>0</v>
      </c>
      <c r="AV24" t="e">
        <f t="shared" si="27"/>
        <v>#DIV/0!</v>
      </c>
      <c r="AW24">
        <v>0.5</v>
      </c>
      <c r="AX24">
        <f t="shared" si="28"/>
        <v>1513.1759993222565</v>
      </c>
      <c r="AY24">
        <f t="shared" si="29"/>
        <v>50.896417595139198</v>
      </c>
      <c r="AZ24" t="e">
        <f t="shared" si="30"/>
        <v>#DIV/0!</v>
      </c>
      <c r="BA24">
        <f t="shared" si="31"/>
        <v>3.3635490926326769E-2</v>
      </c>
      <c r="BB24" t="e">
        <f t="shared" si="32"/>
        <v>#DIV/0!</v>
      </c>
      <c r="BC24" t="e">
        <f t="shared" si="33"/>
        <v>#DIV/0!</v>
      </c>
      <c r="BD24" t="s">
        <v>426</v>
      </c>
      <c r="BE24">
        <v>0</v>
      </c>
      <c r="BF24" t="e">
        <f t="shared" si="34"/>
        <v>#DIV/0!</v>
      </c>
      <c r="BG24" t="e">
        <f t="shared" si="35"/>
        <v>#DIV/0!</v>
      </c>
      <c r="BH24" t="e">
        <f t="shared" si="36"/>
        <v>#DIV/0!</v>
      </c>
      <c r="BI24" t="e">
        <f t="shared" si="37"/>
        <v>#DIV/0!</v>
      </c>
      <c r="BJ24" t="e">
        <f t="shared" si="38"/>
        <v>#DIV/0!</v>
      </c>
      <c r="BK24" t="e">
        <f t="shared" si="39"/>
        <v>#DIV/0!</v>
      </c>
      <c r="BL24" t="e">
        <f t="shared" si="40"/>
        <v>#DIV/0!</v>
      </c>
      <c r="BM24" t="e">
        <f t="shared" si="41"/>
        <v>#DIV/0!</v>
      </c>
      <c r="BN24">
        <v>286</v>
      </c>
      <c r="BO24">
        <v>290.00000000000011</v>
      </c>
      <c r="BP24">
        <v>944.76</v>
      </c>
      <c r="BQ24">
        <v>275</v>
      </c>
      <c r="BR24">
        <v>7230.39</v>
      </c>
      <c r="BS24">
        <v>947.69</v>
      </c>
      <c r="BT24">
        <v>-2.93</v>
      </c>
      <c r="BU24">
        <v>300.00000000000011</v>
      </c>
      <c r="BV24">
        <v>38.1</v>
      </c>
      <c r="BW24">
        <v>1053.1176065406919</v>
      </c>
      <c r="BX24">
        <v>2.0880135684285279</v>
      </c>
      <c r="BY24">
        <v>-76.230816637520164</v>
      </c>
      <c r="BZ24">
        <v>1.2654323306809689</v>
      </c>
      <c r="CA24">
        <v>0.99234338660649046</v>
      </c>
      <c r="CB24">
        <v>-7.1310031145717422E-3</v>
      </c>
      <c r="CC24">
        <v>289.99999999999989</v>
      </c>
      <c r="CD24">
        <v>956.52</v>
      </c>
      <c r="CE24">
        <v>845</v>
      </c>
      <c r="CF24">
        <v>7222.8</v>
      </c>
      <c r="CG24">
        <v>947.58</v>
      </c>
      <c r="CH24">
        <v>8.94</v>
      </c>
      <c r="CV24">
        <f t="shared" si="42"/>
        <v>1799.99</v>
      </c>
      <c r="CW24">
        <f t="shared" si="43"/>
        <v>1513.1759993222565</v>
      </c>
      <c r="CX24">
        <f t="shared" si="44"/>
        <v>0.8406580032790496</v>
      </c>
      <c r="CY24">
        <f t="shared" si="45"/>
        <v>0.19131600655809933</v>
      </c>
      <c r="CZ24">
        <v>5.9</v>
      </c>
      <c r="DA24">
        <v>0.5</v>
      </c>
      <c r="DB24" t="s">
        <v>418</v>
      </c>
      <c r="DC24">
        <v>2</v>
      </c>
      <c r="DD24">
        <v>1700148915.5</v>
      </c>
      <c r="DE24">
        <v>337.95299999999997</v>
      </c>
      <c r="DF24">
        <v>400.08</v>
      </c>
      <c r="DG24">
        <v>28.319400000000002</v>
      </c>
      <c r="DH24">
        <v>22.341999999999999</v>
      </c>
      <c r="DI24">
        <v>337.98599999999999</v>
      </c>
      <c r="DJ24">
        <v>30.2227</v>
      </c>
      <c r="DK24">
        <v>500.08100000000002</v>
      </c>
      <c r="DL24">
        <v>99.571899999999999</v>
      </c>
      <c r="DM24">
        <v>0.10020800000000001</v>
      </c>
      <c r="DN24">
        <v>30.267299999999999</v>
      </c>
      <c r="DO24">
        <v>29.961600000000001</v>
      </c>
      <c r="DP24">
        <v>999.9</v>
      </c>
      <c r="DQ24">
        <v>0</v>
      </c>
      <c r="DR24">
        <v>0</v>
      </c>
      <c r="DS24">
        <v>10003.1</v>
      </c>
      <c r="DT24">
        <v>0</v>
      </c>
      <c r="DU24">
        <v>209.791</v>
      </c>
      <c r="DV24">
        <v>-62.127000000000002</v>
      </c>
      <c r="DW24">
        <v>347.80200000000002</v>
      </c>
      <c r="DX24">
        <v>409.22300000000001</v>
      </c>
      <c r="DY24">
        <v>5.9774500000000002</v>
      </c>
      <c r="DZ24">
        <v>400.08</v>
      </c>
      <c r="EA24">
        <v>22.341999999999999</v>
      </c>
      <c r="EB24">
        <v>2.81982</v>
      </c>
      <c r="EC24">
        <v>2.2246299999999999</v>
      </c>
      <c r="ED24">
        <v>23.000599999999999</v>
      </c>
      <c r="EE24">
        <v>19.140799999999999</v>
      </c>
      <c r="EF24">
        <v>1799.99</v>
      </c>
      <c r="EG24">
        <v>0.97800799999999999</v>
      </c>
      <c r="EH24">
        <v>2.1991799999999999E-2</v>
      </c>
      <c r="EI24">
        <v>0</v>
      </c>
      <c r="EJ24">
        <v>679.22299999999996</v>
      </c>
      <c r="EK24">
        <v>5.0010300000000001</v>
      </c>
      <c r="EL24">
        <v>12574.5</v>
      </c>
      <c r="EM24">
        <v>14701.1</v>
      </c>
      <c r="EN24">
        <v>50.186999999999998</v>
      </c>
      <c r="EO24">
        <v>51.875</v>
      </c>
      <c r="EP24">
        <v>51.686999999999998</v>
      </c>
      <c r="EQ24">
        <v>50.561999999999998</v>
      </c>
      <c r="ER24">
        <v>51.436999999999998</v>
      </c>
      <c r="ES24">
        <v>1755.51</v>
      </c>
      <c r="ET24">
        <v>39.479999999999997</v>
      </c>
      <c r="EU24">
        <v>0</v>
      </c>
      <c r="EV24">
        <v>168.79999995231631</v>
      </c>
      <c r="EW24">
        <v>0</v>
      </c>
      <c r="EX24">
        <v>679.27930769230784</v>
      </c>
      <c r="EY24">
        <v>1.7470769161212969</v>
      </c>
      <c r="EZ24">
        <v>-7.5213635888587121E-2</v>
      </c>
      <c r="FA24">
        <v>12573.23076923077</v>
      </c>
      <c r="FB24">
        <v>15</v>
      </c>
      <c r="FC24">
        <v>1700148832.5</v>
      </c>
      <c r="FD24" t="s">
        <v>451</v>
      </c>
      <c r="FE24">
        <v>1700148832</v>
      </c>
      <c r="FF24">
        <v>1700148832.5</v>
      </c>
      <c r="FG24">
        <v>9</v>
      </c>
      <c r="FH24">
        <v>2E-3</v>
      </c>
      <c r="FI24">
        <v>-1E-3</v>
      </c>
      <c r="FJ24">
        <v>7.0000000000000001E-3</v>
      </c>
      <c r="FK24">
        <v>-1.903</v>
      </c>
      <c r="FL24">
        <v>400</v>
      </c>
      <c r="FM24">
        <v>23</v>
      </c>
      <c r="FN24">
        <v>0.05</v>
      </c>
      <c r="FO24">
        <v>0.02</v>
      </c>
      <c r="FP24">
        <v>50.722212481590901</v>
      </c>
      <c r="FQ24">
        <v>0.69605449592054858</v>
      </c>
      <c r="FR24">
        <v>5.755485002563257E-2</v>
      </c>
      <c r="FS24">
        <v>1</v>
      </c>
      <c r="FT24">
        <v>0.36934786222160282</v>
      </c>
      <c r="FU24">
        <v>3.371653331354315E-2</v>
      </c>
      <c r="FV24">
        <v>2.8910550004342252E-3</v>
      </c>
      <c r="FW24">
        <v>1</v>
      </c>
      <c r="FX24">
        <v>2</v>
      </c>
      <c r="FY24">
        <v>2</v>
      </c>
      <c r="FZ24" t="s">
        <v>420</v>
      </c>
      <c r="GA24">
        <v>2.8976999999999999</v>
      </c>
      <c r="GB24">
        <v>2.8182399999999999</v>
      </c>
      <c r="GC24">
        <v>7.9312300000000002E-2</v>
      </c>
      <c r="GD24">
        <v>9.0487100000000001E-2</v>
      </c>
      <c r="GE24">
        <v>0.14021400000000001</v>
      </c>
      <c r="GF24">
        <v>0.113084</v>
      </c>
      <c r="GG24">
        <v>25481.4</v>
      </c>
      <c r="GH24">
        <v>25283.9</v>
      </c>
      <c r="GI24">
        <v>24566.7</v>
      </c>
      <c r="GJ24">
        <v>24840.1</v>
      </c>
      <c r="GK24">
        <v>28110.799999999999</v>
      </c>
      <c r="GL24">
        <v>28640.400000000001</v>
      </c>
      <c r="GM24">
        <v>33276.9</v>
      </c>
      <c r="GN24">
        <v>33225.4</v>
      </c>
      <c r="GO24">
        <v>1.8996500000000001</v>
      </c>
      <c r="GP24">
        <v>2.5361199999999999</v>
      </c>
      <c r="GQ24">
        <v>5.1110999999999997E-2</v>
      </c>
      <c r="GR24">
        <v>0</v>
      </c>
      <c r="GS24">
        <v>29.129200000000001</v>
      </c>
      <c r="GT24">
        <v>999.9</v>
      </c>
      <c r="GU24">
        <v>56</v>
      </c>
      <c r="GV24">
        <v>34.1</v>
      </c>
      <c r="GW24">
        <v>30.219799999999999</v>
      </c>
      <c r="GX24">
        <v>62.920099999999998</v>
      </c>
      <c r="GY24">
        <v>-6.7267599999999996</v>
      </c>
      <c r="GZ24">
        <v>3</v>
      </c>
      <c r="HA24">
        <v>0.625915</v>
      </c>
      <c r="HB24">
        <v>2.5915300000000001</v>
      </c>
      <c r="HC24">
        <v>20.193000000000001</v>
      </c>
      <c r="HD24">
        <v>5.2295699999999998</v>
      </c>
      <c r="HE24">
        <v>11.9201</v>
      </c>
      <c r="HF24">
        <v>4.9596999999999998</v>
      </c>
      <c r="HG24">
        <v>3.2889499999999998</v>
      </c>
      <c r="HH24">
        <v>9999</v>
      </c>
      <c r="HI24">
        <v>9999</v>
      </c>
      <c r="HJ24">
        <v>9999</v>
      </c>
      <c r="HK24">
        <v>999.9</v>
      </c>
      <c r="HL24">
        <v>1.8807400000000001</v>
      </c>
      <c r="HM24">
        <v>1.8778999999999999</v>
      </c>
      <c r="HN24">
        <v>1.8858200000000001</v>
      </c>
      <c r="HO24">
        <v>1.88361</v>
      </c>
      <c r="HP24">
        <v>1.8811</v>
      </c>
      <c r="HQ24">
        <v>1.88019</v>
      </c>
      <c r="HR24">
        <v>1.8812599999999999</v>
      </c>
      <c r="HS24">
        <v>1.88079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-3.3000000000000002E-2</v>
      </c>
      <c r="IH24">
        <v>-1.9033</v>
      </c>
      <c r="II24">
        <v>-0.28805098099221899</v>
      </c>
      <c r="IJ24">
        <v>8.9935118796959448E-4</v>
      </c>
      <c r="IK24">
        <v>-5.3495398746875769E-7</v>
      </c>
      <c r="IL24">
        <v>3.209454383910538E-10</v>
      </c>
      <c r="IM24">
        <v>-1.903295</v>
      </c>
      <c r="IN24">
        <v>0</v>
      </c>
      <c r="IO24">
        <v>0</v>
      </c>
      <c r="IP24">
        <v>0</v>
      </c>
      <c r="IQ24">
        <v>1</v>
      </c>
      <c r="IR24">
        <v>2101</v>
      </c>
      <c r="IS24">
        <v>1</v>
      </c>
      <c r="IT24">
        <v>21</v>
      </c>
      <c r="IU24">
        <v>1.4</v>
      </c>
      <c r="IV24">
        <v>1.4</v>
      </c>
      <c r="IW24">
        <v>1.5185500000000001</v>
      </c>
      <c r="IX24">
        <v>2.4658199999999999</v>
      </c>
      <c r="IY24">
        <v>2.34375</v>
      </c>
      <c r="IZ24">
        <v>2.9247999999999998</v>
      </c>
      <c r="JA24">
        <v>3.0480999999999998</v>
      </c>
      <c r="JB24">
        <v>2.3303199999999999</v>
      </c>
      <c r="JC24">
        <v>40.938000000000002</v>
      </c>
      <c r="JD24">
        <v>14.9726</v>
      </c>
      <c r="JE24">
        <v>18</v>
      </c>
      <c r="JF24">
        <v>470.637</v>
      </c>
      <c r="JG24">
        <v>1218.1600000000001</v>
      </c>
      <c r="JH24">
        <v>25.832599999999999</v>
      </c>
      <c r="JI24">
        <v>34.8461</v>
      </c>
      <c r="JJ24">
        <v>30.000299999999999</v>
      </c>
      <c r="JK24">
        <v>34.723399999999998</v>
      </c>
      <c r="JL24">
        <v>34.654000000000003</v>
      </c>
      <c r="JM24">
        <v>30.4968</v>
      </c>
      <c r="JN24">
        <v>24.149799999999999</v>
      </c>
      <c r="JO24">
        <v>97.736500000000007</v>
      </c>
      <c r="JP24">
        <v>25.846699999999998</v>
      </c>
      <c r="JQ24">
        <v>400</v>
      </c>
      <c r="JR24">
        <v>22.253699999999998</v>
      </c>
      <c r="JS24">
        <v>99.249499999999998</v>
      </c>
      <c r="JT24">
        <v>99.101200000000006</v>
      </c>
    </row>
    <row r="25" spans="1:280" x14ac:dyDescent="0.25">
      <c r="A25">
        <v>9</v>
      </c>
      <c r="B25">
        <v>1700149081.5</v>
      </c>
      <c r="C25">
        <v>1121</v>
      </c>
      <c r="D25" t="s">
        <v>452</v>
      </c>
      <c r="E25" t="s">
        <v>453</v>
      </c>
      <c r="F25" t="s">
        <v>412</v>
      </c>
      <c r="G25" t="s">
        <v>413</v>
      </c>
      <c r="H25" t="s">
        <v>414</v>
      </c>
      <c r="I25">
        <v>1700149081.5</v>
      </c>
      <c r="J25">
        <f t="shared" si="0"/>
        <v>5.9476881041607118E-3</v>
      </c>
      <c r="K25">
        <f t="shared" si="1"/>
        <v>5.9476881041607115</v>
      </c>
      <c r="L25">
        <f t="shared" si="2"/>
        <v>44.353899754835219</v>
      </c>
      <c r="M25">
        <f t="shared" si="3"/>
        <v>245.928</v>
      </c>
      <c r="N25">
        <f t="shared" si="4"/>
        <v>69.024491977373387</v>
      </c>
      <c r="O25">
        <f t="shared" si="5"/>
        <v>6.8797780136155309</v>
      </c>
      <c r="P25">
        <f t="shared" si="6"/>
        <v>24.512024628693602</v>
      </c>
      <c r="Q25">
        <f t="shared" si="7"/>
        <v>0.43855043772011987</v>
      </c>
      <c r="R25">
        <f t="shared" si="8"/>
        <v>2.9388713576273391</v>
      </c>
      <c r="S25">
        <f t="shared" si="9"/>
        <v>0.40516984995830224</v>
      </c>
      <c r="T25">
        <f t="shared" si="10"/>
        <v>0.2560182093392811</v>
      </c>
      <c r="U25">
        <f t="shared" si="11"/>
        <v>344.37189864384163</v>
      </c>
      <c r="V25">
        <f t="shared" si="12"/>
        <v>30.825089439128135</v>
      </c>
      <c r="W25">
        <f t="shared" si="13"/>
        <v>29.9435</v>
      </c>
      <c r="X25">
        <f t="shared" si="14"/>
        <v>4.2466428136190011</v>
      </c>
      <c r="Y25">
        <f t="shared" si="15"/>
        <v>65.254907300763747</v>
      </c>
      <c r="Z25">
        <f t="shared" si="16"/>
        <v>2.8354960860370801</v>
      </c>
      <c r="AA25">
        <f t="shared" si="17"/>
        <v>4.3452610743405247</v>
      </c>
      <c r="AB25">
        <f t="shared" si="18"/>
        <v>1.4111467275819209</v>
      </c>
      <c r="AC25">
        <f t="shared" si="19"/>
        <v>-262.29304539348738</v>
      </c>
      <c r="AD25">
        <f t="shared" si="20"/>
        <v>63.392017096225018</v>
      </c>
      <c r="AE25">
        <f t="shared" si="21"/>
        <v>4.8029756865889768</v>
      </c>
      <c r="AF25">
        <f t="shared" si="22"/>
        <v>150.27384603316824</v>
      </c>
      <c r="AG25">
        <v>18</v>
      </c>
      <c r="AH25">
        <v>4</v>
      </c>
      <c r="AI25">
        <f t="shared" si="23"/>
        <v>1</v>
      </c>
      <c r="AJ25">
        <f t="shared" si="24"/>
        <v>0</v>
      </c>
      <c r="AK25">
        <f t="shared" si="25"/>
        <v>52039.140335838681</v>
      </c>
      <c r="AL25" t="s">
        <v>415</v>
      </c>
      <c r="AM25">
        <v>7163.32</v>
      </c>
      <c r="AN25">
        <v>295.04692307692312</v>
      </c>
      <c r="AO25">
        <v>723.15082041179414</v>
      </c>
      <c r="AP25">
        <f t="shared" si="26"/>
        <v>0.59199808013920208</v>
      </c>
      <c r="AQ25">
        <v>-3.795255127542589</v>
      </c>
      <c r="AR25" t="s">
        <v>454</v>
      </c>
      <c r="AS25">
        <v>7234.89</v>
      </c>
      <c r="AT25">
        <v>686.54326923076928</v>
      </c>
      <c r="AU25">
        <v>988.82712100246874</v>
      </c>
      <c r="AV25">
        <f t="shared" si="27"/>
        <v>0.30569939411172842</v>
      </c>
      <c r="AW25">
        <v>0.5</v>
      </c>
      <c r="AX25">
        <f t="shared" si="28"/>
        <v>1513.1933993219209</v>
      </c>
      <c r="AY25">
        <f t="shared" si="29"/>
        <v>44.353899754835219</v>
      </c>
      <c r="AZ25">
        <f t="shared" si="30"/>
        <v>231.29115267328896</v>
      </c>
      <c r="BA25">
        <f t="shared" si="31"/>
        <v>3.1819564441633162E-2</v>
      </c>
      <c r="BB25">
        <f t="shared" si="32"/>
        <v>-0.26867820971711726</v>
      </c>
      <c r="BC25">
        <f t="shared" si="33"/>
        <v>331.37236813168823</v>
      </c>
      <c r="BD25" t="s">
        <v>455</v>
      </c>
      <c r="BE25">
        <v>513.80999999999995</v>
      </c>
      <c r="BF25">
        <f t="shared" si="34"/>
        <v>513.80999999999995</v>
      </c>
      <c r="BG25">
        <f t="shared" si="35"/>
        <v>0.48038439775084085</v>
      </c>
      <c r="BH25">
        <f t="shared" si="36"/>
        <v>0.63636411911588431</v>
      </c>
      <c r="BI25">
        <f t="shared" si="37"/>
        <v>-1.269108910856769</v>
      </c>
      <c r="BJ25">
        <f t="shared" si="38"/>
        <v>0.4357055053971714</v>
      </c>
      <c r="BK25">
        <f t="shared" si="39"/>
        <v>-0.62058837175887127</v>
      </c>
      <c r="BL25">
        <f t="shared" si="40"/>
        <v>0.47625584969944157</v>
      </c>
      <c r="BM25">
        <f t="shared" si="41"/>
        <v>0.52374415030055843</v>
      </c>
      <c r="BN25">
        <v>288</v>
      </c>
      <c r="BO25">
        <v>290.00000000000011</v>
      </c>
      <c r="BP25">
        <v>902.55</v>
      </c>
      <c r="BQ25">
        <v>295</v>
      </c>
      <c r="BR25">
        <v>7234.89</v>
      </c>
      <c r="BS25">
        <v>905.08</v>
      </c>
      <c r="BT25">
        <v>-2.5299999999999998</v>
      </c>
      <c r="BU25">
        <v>300.00000000000011</v>
      </c>
      <c r="BV25">
        <v>38.1</v>
      </c>
      <c r="BW25">
        <v>988.82712100246874</v>
      </c>
      <c r="BX25">
        <v>1.2588639109501669</v>
      </c>
      <c r="BY25">
        <v>-60.591782823936853</v>
      </c>
      <c r="BZ25">
        <v>0.76346122089323976</v>
      </c>
      <c r="CA25">
        <v>0.99557433815152796</v>
      </c>
      <c r="CB25">
        <v>-7.1350740823136836E-3</v>
      </c>
      <c r="CC25">
        <v>289.99999999999989</v>
      </c>
      <c r="CD25">
        <v>913.08</v>
      </c>
      <c r="CE25">
        <v>805</v>
      </c>
      <c r="CF25">
        <v>7228.47</v>
      </c>
      <c r="CG25">
        <v>905</v>
      </c>
      <c r="CH25">
        <v>8.08</v>
      </c>
      <c r="CV25">
        <f t="shared" si="42"/>
        <v>1800.01</v>
      </c>
      <c r="CW25">
        <f t="shared" si="43"/>
        <v>1513.1933993219209</v>
      </c>
      <c r="CX25">
        <f t="shared" si="44"/>
        <v>0.84065832929923767</v>
      </c>
      <c r="CY25">
        <f t="shared" si="45"/>
        <v>0.19131665859847535</v>
      </c>
      <c r="CZ25">
        <v>5.9</v>
      </c>
      <c r="DA25">
        <v>0.5</v>
      </c>
      <c r="DB25" t="s">
        <v>418</v>
      </c>
      <c r="DC25">
        <v>2</v>
      </c>
      <c r="DD25">
        <v>1700149081.5</v>
      </c>
      <c r="DE25">
        <v>245.928</v>
      </c>
      <c r="DF25">
        <v>300.00099999999998</v>
      </c>
      <c r="DG25">
        <v>28.448399999999999</v>
      </c>
      <c r="DH25">
        <v>21.628599999999999</v>
      </c>
      <c r="DI25">
        <v>246.01</v>
      </c>
      <c r="DJ25">
        <v>30.350100000000001</v>
      </c>
      <c r="DK25">
        <v>499.91300000000001</v>
      </c>
      <c r="DL25">
        <v>99.571700000000007</v>
      </c>
      <c r="DM25">
        <v>9.9848699999999999E-2</v>
      </c>
      <c r="DN25">
        <v>30.343599999999999</v>
      </c>
      <c r="DO25">
        <v>29.9435</v>
      </c>
      <c r="DP25">
        <v>999.9</v>
      </c>
      <c r="DQ25">
        <v>0</v>
      </c>
      <c r="DR25">
        <v>0</v>
      </c>
      <c r="DS25">
        <v>9993.75</v>
      </c>
      <c r="DT25">
        <v>0</v>
      </c>
      <c r="DU25">
        <v>213.15600000000001</v>
      </c>
      <c r="DV25">
        <v>-54.073</v>
      </c>
      <c r="DW25">
        <v>253.12899999999999</v>
      </c>
      <c r="DX25">
        <v>306.63299999999998</v>
      </c>
      <c r="DY25">
        <v>6.8198299999999996</v>
      </c>
      <c r="DZ25">
        <v>300.00099999999998</v>
      </c>
      <c r="EA25">
        <v>21.628599999999999</v>
      </c>
      <c r="EB25">
        <v>2.8326600000000002</v>
      </c>
      <c r="EC25">
        <v>2.1535899999999999</v>
      </c>
      <c r="ED25">
        <v>23.075600000000001</v>
      </c>
      <c r="EE25">
        <v>18.621200000000002</v>
      </c>
      <c r="EF25">
        <v>1800.01</v>
      </c>
      <c r="EG25">
        <v>0.97799400000000003</v>
      </c>
      <c r="EH25">
        <v>2.20062E-2</v>
      </c>
      <c r="EI25">
        <v>0</v>
      </c>
      <c r="EJ25">
        <v>686.53899999999999</v>
      </c>
      <c r="EK25">
        <v>5.0010300000000001</v>
      </c>
      <c r="EL25">
        <v>12647.7</v>
      </c>
      <c r="EM25">
        <v>14701.2</v>
      </c>
      <c r="EN25">
        <v>49</v>
      </c>
      <c r="EO25">
        <v>50.811999999999998</v>
      </c>
      <c r="EP25">
        <v>50.5</v>
      </c>
      <c r="EQ25">
        <v>49.5</v>
      </c>
      <c r="ER25">
        <v>50.436999999999998</v>
      </c>
      <c r="ES25">
        <v>1755.51</v>
      </c>
      <c r="ET25">
        <v>39.5</v>
      </c>
      <c r="EU25">
        <v>0</v>
      </c>
      <c r="EV25">
        <v>334.39999985694891</v>
      </c>
      <c r="EW25">
        <v>0</v>
      </c>
      <c r="EX25">
        <v>686.54326923076928</v>
      </c>
      <c r="EY25">
        <v>0.93138462496558383</v>
      </c>
      <c r="EZ25">
        <v>-8.082051271124822</v>
      </c>
      <c r="FA25">
        <v>12647.30769230769</v>
      </c>
      <c r="FB25">
        <v>15</v>
      </c>
      <c r="FC25">
        <v>1700149011.5</v>
      </c>
      <c r="FD25" t="s">
        <v>456</v>
      </c>
      <c r="FE25">
        <v>1700149011.5</v>
      </c>
      <c r="FF25">
        <v>1700149011</v>
      </c>
      <c r="FG25">
        <v>10</v>
      </c>
      <c r="FH25">
        <v>1.2E-2</v>
      </c>
      <c r="FI25">
        <v>2E-3</v>
      </c>
      <c r="FJ25">
        <v>-4.4999999999999998E-2</v>
      </c>
      <c r="FK25">
        <v>-1.9019999999999999</v>
      </c>
      <c r="FL25">
        <v>300</v>
      </c>
      <c r="FM25">
        <v>22</v>
      </c>
      <c r="FN25">
        <v>0.03</v>
      </c>
      <c r="FO25">
        <v>0.01</v>
      </c>
      <c r="FP25">
        <v>44.232689239825433</v>
      </c>
      <c r="FQ25">
        <v>0.63232653004693318</v>
      </c>
      <c r="FR25">
        <v>5.1119513631527072E-2</v>
      </c>
      <c r="FS25">
        <v>1</v>
      </c>
      <c r="FT25">
        <v>0.43765440035852521</v>
      </c>
      <c r="FU25">
        <v>8.2542620778700351E-3</v>
      </c>
      <c r="FV25">
        <v>1.8573903195110259E-3</v>
      </c>
      <c r="FW25">
        <v>1</v>
      </c>
      <c r="FX25">
        <v>2</v>
      </c>
      <c r="FY25">
        <v>2</v>
      </c>
      <c r="FZ25" t="s">
        <v>420</v>
      </c>
      <c r="GA25">
        <v>2.8969999999999998</v>
      </c>
      <c r="GB25">
        <v>2.8178000000000001</v>
      </c>
      <c r="GC25">
        <v>6.1008399999999997E-2</v>
      </c>
      <c r="GD25">
        <v>7.2001700000000002E-2</v>
      </c>
      <c r="GE25">
        <v>0.14057700000000001</v>
      </c>
      <c r="GF25">
        <v>0.110539</v>
      </c>
      <c r="GG25">
        <v>25982.6</v>
      </c>
      <c r="GH25">
        <v>25791.4</v>
      </c>
      <c r="GI25">
        <v>24562.3</v>
      </c>
      <c r="GJ25">
        <v>24834.9</v>
      </c>
      <c r="GK25">
        <v>28094.400000000001</v>
      </c>
      <c r="GL25">
        <v>28716</v>
      </c>
      <c r="GM25">
        <v>33270.6</v>
      </c>
      <c r="GN25">
        <v>33217.300000000003</v>
      </c>
      <c r="GO25">
        <v>1.8989799999999999</v>
      </c>
      <c r="GP25">
        <v>2.5335800000000002</v>
      </c>
      <c r="GQ25">
        <v>4.4144700000000002E-2</v>
      </c>
      <c r="GR25">
        <v>0</v>
      </c>
      <c r="GS25">
        <v>29.224599999999999</v>
      </c>
      <c r="GT25">
        <v>999.9</v>
      </c>
      <c r="GU25">
        <v>55.2</v>
      </c>
      <c r="GV25">
        <v>34.5</v>
      </c>
      <c r="GW25">
        <v>30.454599999999999</v>
      </c>
      <c r="GX25">
        <v>63.0901</v>
      </c>
      <c r="GY25">
        <v>-6.4102600000000001</v>
      </c>
      <c r="GZ25">
        <v>3</v>
      </c>
      <c r="HA25">
        <v>0.63637999999999995</v>
      </c>
      <c r="HB25">
        <v>2.4540899999999999</v>
      </c>
      <c r="HC25">
        <v>20.1479</v>
      </c>
      <c r="HD25">
        <v>5.2348100000000004</v>
      </c>
      <c r="HE25">
        <v>11.9201</v>
      </c>
      <c r="HF25">
        <v>4.9598000000000004</v>
      </c>
      <c r="HG25">
        <v>3.2888299999999999</v>
      </c>
      <c r="HH25">
        <v>9999</v>
      </c>
      <c r="HI25">
        <v>9999</v>
      </c>
      <c r="HJ25">
        <v>9999</v>
      </c>
      <c r="HK25">
        <v>999.9</v>
      </c>
      <c r="HL25">
        <v>1.8811</v>
      </c>
      <c r="HM25">
        <v>1.8782000000000001</v>
      </c>
      <c r="HN25">
        <v>1.8861399999999999</v>
      </c>
      <c r="HO25">
        <v>1.8839900000000001</v>
      </c>
      <c r="HP25">
        <v>1.8814599999999999</v>
      </c>
      <c r="HQ25">
        <v>1.8805099999999999</v>
      </c>
      <c r="HR25">
        <v>1.8816999999999999</v>
      </c>
      <c r="HS25">
        <v>1.8811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-8.2000000000000003E-2</v>
      </c>
      <c r="IH25">
        <v>-1.9016999999999999</v>
      </c>
      <c r="II25">
        <v>-0.27563467954840931</v>
      </c>
      <c r="IJ25">
        <v>8.9935118796959448E-4</v>
      </c>
      <c r="IK25">
        <v>-5.3495398746875769E-7</v>
      </c>
      <c r="IL25">
        <v>3.209454383910538E-10</v>
      </c>
      <c r="IM25">
        <v>-1.9016549999999981</v>
      </c>
      <c r="IN25">
        <v>0</v>
      </c>
      <c r="IO25">
        <v>0</v>
      </c>
      <c r="IP25">
        <v>0</v>
      </c>
      <c r="IQ25">
        <v>1</v>
      </c>
      <c r="IR25">
        <v>2101</v>
      </c>
      <c r="IS25">
        <v>1</v>
      </c>
      <c r="IT25">
        <v>21</v>
      </c>
      <c r="IU25">
        <v>1.2</v>
      </c>
      <c r="IV25">
        <v>1.2</v>
      </c>
      <c r="IW25">
        <v>1.2023900000000001</v>
      </c>
      <c r="IX25">
        <v>2.4706999999999999</v>
      </c>
      <c r="IY25">
        <v>2.34375</v>
      </c>
      <c r="IZ25">
        <v>2.9247999999999998</v>
      </c>
      <c r="JA25">
        <v>3.0480999999999998</v>
      </c>
      <c r="JB25">
        <v>2.3046899999999999</v>
      </c>
      <c r="JC25">
        <v>41.3001</v>
      </c>
      <c r="JD25">
        <v>23.886099999999999</v>
      </c>
      <c r="JE25">
        <v>18</v>
      </c>
      <c r="JF25">
        <v>471.108</v>
      </c>
      <c r="JG25">
        <v>1216.78</v>
      </c>
      <c r="JH25">
        <v>26.0886</v>
      </c>
      <c r="JI25">
        <v>34.973500000000001</v>
      </c>
      <c r="JJ25">
        <v>30.0001</v>
      </c>
      <c r="JK25">
        <v>34.845399999999998</v>
      </c>
      <c r="JL25">
        <v>34.772300000000001</v>
      </c>
      <c r="JM25">
        <v>24.18</v>
      </c>
      <c r="JN25">
        <v>26.903099999999998</v>
      </c>
      <c r="JO25">
        <v>93.301500000000004</v>
      </c>
      <c r="JP25">
        <v>26.098299999999998</v>
      </c>
      <c r="JQ25">
        <v>300</v>
      </c>
      <c r="JR25">
        <v>21.5139</v>
      </c>
      <c r="JS25">
        <v>99.231200000000001</v>
      </c>
      <c r="JT25">
        <v>99.078400000000002</v>
      </c>
    </row>
    <row r="26" spans="1:280" x14ac:dyDescent="0.25">
      <c r="A26">
        <v>10</v>
      </c>
      <c r="B26">
        <v>1700149259.5999999</v>
      </c>
      <c r="C26">
        <v>1299.099999904633</v>
      </c>
      <c r="D26" t="s">
        <v>457</v>
      </c>
      <c r="E26" t="s">
        <v>458</v>
      </c>
      <c r="F26" t="s">
        <v>412</v>
      </c>
      <c r="G26" t="s">
        <v>413</v>
      </c>
      <c r="H26" t="s">
        <v>414</v>
      </c>
      <c r="I26">
        <v>1700149259.5999999</v>
      </c>
      <c r="J26">
        <f t="shared" si="0"/>
        <v>6.7359319795601861E-3</v>
      </c>
      <c r="K26">
        <f t="shared" si="1"/>
        <v>6.7359319795601857</v>
      </c>
      <c r="L26">
        <f t="shared" si="2"/>
        <v>33.286424675351299</v>
      </c>
      <c r="M26">
        <f t="shared" si="3"/>
        <v>159.453</v>
      </c>
      <c r="N26">
        <f t="shared" si="4"/>
        <v>43.706017169107938</v>
      </c>
      <c r="O26">
        <f t="shared" si="5"/>
        <v>4.3560945097499024</v>
      </c>
      <c r="P26">
        <f t="shared" si="6"/>
        <v>15.892373244068999</v>
      </c>
      <c r="Q26">
        <f t="shared" si="7"/>
        <v>0.50799392614341576</v>
      </c>
      <c r="R26">
        <f t="shared" si="8"/>
        <v>2.9361485498087245</v>
      </c>
      <c r="S26">
        <f t="shared" si="9"/>
        <v>0.46373827296354747</v>
      </c>
      <c r="T26">
        <f t="shared" si="10"/>
        <v>0.29349065094271709</v>
      </c>
      <c r="U26">
        <f t="shared" si="11"/>
        <v>344.371298644185</v>
      </c>
      <c r="V26">
        <f t="shared" si="12"/>
        <v>30.704191487546129</v>
      </c>
      <c r="W26">
        <f t="shared" si="13"/>
        <v>29.951499999999999</v>
      </c>
      <c r="X26">
        <f t="shared" si="14"/>
        <v>4.2485954082196713</v>
      </c>
      <c r="Y26">
        <f t="shared" si="15"/>
        <v>65.334731998576615</v>
      </c>
      <c r="Z26">
        <f t="shared" si="16"/>
        <v>2.8524603820307997</v>
      </c>
      <c r="AA26">
        <f t="shared" si="17"/>
        <v>4.3659173226469248</v>
      </c>
      <c r="AB26">
        <f t="shared" si="18"/>
        <v>1.3961350261888716</v>
      </c>
      <c r="AC26">
        <f t="shared" si="19"/>
        <v>-297.05460029860421</v>
      </c>
      <c r="AD26">
        <f t="shared" si="20"/>
        <v>75.173649929150315</v>
      </c>
      <c r="AE26">
        <f t="shared" si="21"/>
        <v>5.7034704278213884</v>
      </c>
      <c r="AF26">
        <f t="shared" si="22"/>
        <v>128.19381870255251</v>
      </c>
      <c r="AG26">
        <v>18</v>
      </c>
      <c r="AH26">
        <v>4</v>
      </c>
      <c r="AI26">
        <f t="shared" si="23"/>
        <v>1</v>
      </c>
      <c r="AJ26">
        <f t="shared" si="24"/>
        <v>0</v>
      </c>
      <c r="AK26">
        <f t="shared" si="25"/>
        <v>51948.086526723586</v>
      </c>
      <c r="AL26" t="s">
        <v>426</v>
      </c>
      <c r="AM26" t="s">
        <v>426</v>
      </c>
      <c r="AN26">
        <v>0</v>
      </c>
      <c r="AO26">
        <v>0</v>
      </c>
      <c r="AP26" t="e">
        <f t="shared" si="26"/>
        <v>#DIV/0!</v>
      </c>
      <c r="AQ26">
        <v>0</v>
      </c>
      <c r="AR26" t="s">
        <v>426</v>
      </c>
      <c r="AS26" t="s">
        <v>426</v>
      </c>
      <c r="AT26">
        <v>0</v>
      </c>
      <c r="AU26">
        <v>0</v>
      </c>
      <c r="AV26" t="e">
        <f t="shared" si="27"/>
        <v>#DIV/0!</v>
      </c>
      <c r="AW26">
        <v>0.5</v>
      </c>
      <c r="AX26">
        <f t="shared" si="28"/>
        <v>1513.1930993220924</v>
      </c>
      <c r="AY26">
        <f t="shared" si="29"/>
        <v>33.286424675351299</v>
      </c>
      <c r="AZ26" t="e">
        <f t="shared" si="30"/>
        <v>#DIV/0!</v>
      </c>
      <c r="BA26">
        <f t="shared" si="31"/>
        <v>2.1997473217571211E-2</v>
      </c>
      <c r="BB26" t="e">
        <f t="shared" si="32"/>
        <v>#DIV/0!</v>
      </c>
      <c r="BC26" t="e">
        <f t="shared" si="33"/>
        <v>#DIV/0!</v>
      </c>
      <c r="BD26" t="s">
        <v>426</v>
      </c>
      <c r="BE26">
        <v>0</v>
      </c>
      <c r="BF26" t="e">
        <f t="shared" si="34"/>
        <v>#DIV/0!</v>
      </c>
      <c r="BG26" t="e">
        <f t="shared" si="35"/>
        <v>#DIV/0!</v>
      </c>
      <c r="BH26" t="e">
        <f t="shared" si="36"/>
        <v>#DIV/0!</v>
      </c>
      <c r="BI26" t="e">
        <f t="shared" si="37"/>
        <v>#DIV/0!</v>
      </c>
      <c r="BJ26" t="e">
        <f t="shared" si="38"/>
        <v>#DIV/0!</v>
      </c>
      <c r="BK26" t="e">
        <f t="shared" si="39"/>
        <v>#DIV/0!</v>
      </c>
      <c r="BL26" t="e">
        <f t="shared" si="40"/>
        <v>#DIV/0!</v>
      </c>
      <c r="BM26" t="e">
        <f t="shared" si="41"/>
        <v>#DIV/0!</v>
      </c>
      <c r="BN26">
        <v>288</v>
      </c>
      <c r="BO26">
        <v>290.00000000000011</v>
      </c>
      <c r="BP26">
        <v>902.55</v>
      </c>
      <c r="BQ26">
        <v>295</v>
      </c>
      <c r="BR26">
        <v>7234.89</v>
      </c>
      <c r="BS26">
        <v>905.08</v>
      </c>
      <c r="BT26">
        <v>-2.5299999999999998</v>
      </c>
      <c r="BU26">
        <v>300.00000000000011</v>
      </c>
      <c r="BV26">
        <v>38.1</v>
      </c>
      <c r="BW26">
        <v>988.82712100246874</v>
      </c>
      <c r="BX26">
        <v>1.2588639109501669</v>
      </c>
      <c r="BY26">
        <v>-60.591782823936853</v>
      </c>
      <c r="BZ26">
        <v>0.76346122089323976</v>
      </c>
      <c r="CA26">
        <v>0.99557433815152796</v>
      </c>
      <c r="CB26">
        <v>-7.1350740823136836E-3</v>
      </c>
      <c r="CC26">
        <v>289.99999999999989</v>
      </c>
      <c r="CD26">
        <v>913.08</v>
      </c>
      <c r="CE26">
        <v>805</v>
      </c>
      <c r="CF26">
        <v>7228.47</v>
      </c>
      <c r="CG26">
        <v>905</v>
      </c>
      <c r="CH26">
        <v>8.08</v>
      </c>
      <c r="CV26">
        <f t="shared" si="42"/>
        <v>1800.01</v>
      </c>
      <c r="CW26">
        <f t="shared" si="43"/>
        <v>1513.1930993220924</v>
      </c>
      <c r="CX26">
        <f t="shared" si="44"/>
        <v>0.84065816263359228</v>
      </c>
      <c r="CY26">
        <f t="shared" si="45"/>
        <v>0.19131632526718462</v>
      </c>
      <c r="CZ26">
        <v>5.9</v>
      </c>
      <c r="DA26">
        <v>0.5</v>
      </c>
      <c r="DB26" t="s">
        <v>418</v>
      </c>
      <c r="DC26">
        <v>2</v>
      </c>
      <c r="DD26">
        <v>1700149259.5999999</v>
      </c>
      <c r="DE26">
        <v>159.453</v>
      </c>
      <c r="DF26">
        <v>200.00299999999999</v>
      </c>
      <c r="DG26">
        <v>28.619599999999998</v>
      </c>
      <c r="DH26">
        <v>20.8978</v>
      </c>
      <c r="DI26">
        <v>159.709</v>
      </c>
      <c r="DJ26">
        <v>30.521000000000001</v>
      </c>
      <c r="DK26">
        <v>499.94299999999998</v>
      </c>
      <c r="DL26">
        <v>99.567999999999998</v>
      </c>
      <c r="DM26">
        <v>0.100073</v>
      </c>
      <c r="DN26">
        <v>30.426400000000001</v>
      </c>
      <c r="DO26">
        <v>29.951499999999999</v>
      </c>
      <c r="DP26">
        <v>999.9</v>
      </c>
      <c r="DQ26">
        <v>0</v>
      </c>
      <c r="DR26">
        <v>0</v>
      </c>
      <c r="DS26">
        <v>9978.75</v>
      </c>
      <c r="DT26">
        <v>0</v>
      </c>
      <c r="DU26">
        <v>214.35400000000001</v>
      </c>
      <c r="DV26">
        <v>-40.550199999999997</v>
      </c>
      <c r="DW26">
        <v>164.15100000000001</v>
      </c>
      <c r="DX26">
        <v>204.27199999999999</v>
      </c>
      <c r="DY26">
        <v>7.7218200000000001</v>
      </c>
      <c r="DZ26">
        <v>200.00299999999999</v>
      </c>
      <c r="EA26">
        <v>20.8978</v>
      </c>
      <c r="EB26">
        <v>2.8496000000000001</v>
      </c>
      <c r="EC26">
        <v>2.0807500000000001</v>
      </c>
      <c r="ED26">
        <v>23.174299999999999</v>
      </c>
      <c r="EE26">
        <v>18.072600000000001</v>
      </c>
      <c r="EF26">
        <v>1800.01</v>
      </c>
      <c r="EG26">
        <v>0.97800200000000004</v>
      </c>
      <c r="EH26">
        <v>2.1998199999999999E-2</v>
      </c>
      <c r="EI26">
        <v>0</v>
      </c>
      <c r="EJ26">
        <v>704.35400000000004</v>
      </c>
      <c r="EK26">
        <v>5.0010300000000001</v>
      </c>
      <c r="EL26">
        <v>12925.1</v>
      </c>
      <c r="EM26">
        <v>14701.2</v>
      </c>
      <c r="EN26">
        <v>48.25</v>
      </c>
      <c r="EO26">
        <v>50.125</v>
      </c>
      <c r="EP26">
        <v>49.686999999999998</v>
      </c>
      <c r="EQ26">
        <v>48.875</v>
      </c>
      <c r="ER26">
        <v>49.75</v>
      </c>
      <c r="ES26">
        <v>1755.52</v>
      </c>
      <c r="ET26">
        <v>39.49</v>
      </c>
      <c r="EU26">
        <v>0</v>
      </c>
      <c r="EV26">
        <v>176</v>
      </c>
      <c r="EW26">
        <v>0</v>
      </c>
      <c r="EX26">
        <v>704.62388461538467</v>
      </c>
      <c r="EY26">
        <v>-0.92160684413639582</v>
      </c>
      <c r="EZ26">
        <v>-2.3726495153742122</v>
      </c>
      <c r="FA26">
        <v>12925.66923076923</v>
      </c>
      <c r="FB26">
        <v>15</v>
      </c>
      <c r="FC26">
        <v>1700149181.5</v>
      </c>
      <c r="FD26" t="s">
        <v>459</v>
      </c>
      <c r="FE26">
        <v>1700149179</v>
      </c>
      <c r="FF26">
        <v>1700149181.5</v>
      </c>
      <c r="FG26">
        <v>11</v>
      </c>
      <c r="FH26">
        <v>-0.112</v>
      </c>
      <c r="FI26">
        <v>0</v>
      </c>
      <c r="FJ26">
        <v>-0.22600000000000001</v>
      </c>
      <c r="FK26">
        <v>-1.901</v>
      </c>
      <c r="FL26">
        <v>200</v>
      </c>
      <c r="FM26">
        <v>22</v>
      </c>
      <c r="FN26">
        <v>0.05</v>
      </c>
      <c r="FO26">
        <v>0.02</v>
      </c>
      <c r="FP26">
        <v>33.220126693150142</v>
      </c>
      <c r="FQ26">
        <v>0.61603377377204804</v>
      </c>
      <c r="FR26">
        <v>4.9112506734561523E-2</v>
      </c>
      <c r="FS26">
        <v>1</v>
      </c>
      <c r="FT26">
        <v>0.50611533514672646</v>
      </c>
      <c r="FU26">
        <v>-1.2591669485625711E-3</v>
      </c>
      <c r="FV26">
        <v>4.9604578626147343E-4</v>
      </c>
      <c r="FW26">
        <v>1</v>
      </c>
      <c r="FX26">
        <v>2</v>
      </c>
      <c r="FY26">
        <v>2</v>
      </c>
      <c r="FZ26" t="s">
        <v>420</v>
      </c>
      <c r="GA26">
        <v>2.8968400000000001</v>
      </c>
      <c r="GB26">
        <v>2.8178999999999998</v>
      </c>
      <c r="GC26">
        <v>4.1613299999999999E-2</v>
      </c>
      <c r="GD26">
        <v>5.0971599999999999E-2</v>
      </c>
      <c r="GE26">
        <v>0.141073</v>
      </c>
      <c r="GF26">
        <v>0.107895</v>
      </c>
      <c r="GG26">
        <v>26514.5</v>
      </c>
      <c r="GH26">
        <v>26369.5</v>
      </c>
      <c r="GI26">
        <v>24558.9</v>
      </c>
      <c r="GJ26">
        <v>24830.2</v>
      </c>
      <c r="GK26">
        <v>28075</v>
      </c>
      <c r="GL26">
        <v>28795.3</v>
      </c>
      <c r="GM26">
        <v>33266.199999999997</v>
      </c>
      <c r="GN26">
        <v>33209.800000000003</v>
      </c>
      <c r="GO26">
        <v>1.89795</v>
      </c>
      <c r="GP26">
        <v>2.5295700000000001</v>
      </c>
      <c r="GQ26">
        <v>3.95328E-2</v>
      </c>
      <c r="GR26">
        <v>0</v>
      </c>
      <c r="GS26">
        <v>29.307700000000001</v>
      </c>
      <c r="GT26">
        <v>999.9</v>
      </c>
      <c r="GU26">
        <v>54</v>
      </c>
      <c r="GV26">
        <v>35</v>
      </c>
      <c r="GW26">
        <v>30.635899999999999</v>
      </c>
      <c r="GX26">
        <v>63.1892</v>
      </c>
      <c r="GY26">
        <v>-6.0256400000000001</v>
      </c>
      <c r="GZ26">
        <v>3</v>
      </c>
      <c r="HA26">
        <v>0.64523900000000001</v>
      </c>
      <c r="HB26">
        <v>2.3767200000000002</v>
      </c>
      <c r="HC26">
        <v>20.1477</v>
      </c>
      <c r="HD26">
        <v>5.2346599999999999</v>
      </c>
      <c r="HE26">
        <v>11.9201</v>
      </c>
      <c r="HF26">
        <v>4.9596999999999998</v>
      </c>
      <c r="HG26">
        <v>3.28898</v>
      </c>
      <c r="HH26">
        <v>9999</v>
      </c>
      <c r="HI26">
        <v>9999</v>
      </c>
      <c r="HJ26">
        <v>9999</v>
      </c>
      <c r="HK26">
        <v>999.9</v>
      </c>
      <c r="HL26">
        <v>1.8812599999999999</v>
      </c>
      <c r="HM26">
        <v>1.8784000000000001</v>
      </c>
      <c r="HN26">
        <v>1.8863399999999999</v>
      </c>
      <c r="HO26">
        <v>1.88415</v>
      </c>
      <c r="HP26">
        <v>1.88168</v>
      </c>
      <c r="HQ26">
        <v>1.8806799999999999</v>
      </c>
      <c r="HR26">
        <v>1.8818699999999999</v>
      </c>
      <c r="HS26">
        <v>1.88127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-0.25600000000000001</v>
      </c>
      <c r="IH26">
        <v>-1.9014</v>
      </c>
      <c r="II26">
        <v>-0.38730998851656268</v>
      </c>
      <c r="IJ26">
        <v>8.9935118796959448E-4</v>
      </c>
      <c r="IK26">
        <v>-5.3495398746875769E-7</v>
      </c>
      <c r="IL26">
        <v>3.209454383910538E-10</v>
      </c>
      <c r="IM26">
        <v>-1.9013952380952399</v>
      </c>
      <c r="IN26">
        <v>0</v>
      </c>
      <c r="IO26">
        <v>0</v>
      </c>
      <c r="IP26">
        <v>0</v>
      </c>
      <c r="IQ26">
        <v>1</v>
      </c>
      <c r="IR26">
        <v>2101</v>
      </c>
      <c r="IS26">
        <v>1</v>
      </c>
      <c r="IT26">
        <v>21</v>
      </c>
      <c r="IU26">
        <v>1.3</v>
      </c>
      <c r="IV26">
        <v>1.3</v>
      </c>
      <c r="IW26">
        <v>0.86792000000000002</v>
      </c>
      <c r="IX26">
        <v>2.48169</v>
      </c>
      <c r="IY26">
        <v>2.34375</v>
      </c>
      <c r="IZ26">
        <v>2.9223599999999998</v>
      </c>
      <c r="JA26">
        <v>3.0480999999999998</v>
      </c>
      <c r="JB26">
        <v>2.3718300000000001</v>
      </c>
      <c r="JC26">
        <v>42.244500000000002</v>
      </c>
      <c r="JD26">
        <v>23.886099999999999</v>
      </c>
      <c r="JE26">
        <v>18</v>
      </c>
      <c r="JF26">
        <v>471.30900000000003</v>
      </c>
      <c r="JG26">
        <v>1213.28</v>
      </c>
      <c r="JH26">
        <v>26.3992</v>
      </c>
      <c r="JI26">
        <v>35.084899999999998</v>
      </c>
      <c r="JJ26">
        <v>30</v>
      </c>
      <c r="JK26">
        <v>34.962299999999999</v>
      </c>
      <c r="JL26">
        <v>34.890500000000003</v>
      </c>
      <c r="JM26">
        <v>17.4621</v>
      </c>
      <c r="JN26">
        <v>29.365600000000001</v>
      </c>
      <c r="JO26">
        <v>87.538600000000002</v>
      </c>
      <c r="JP26">
        <v>26.433800000000002</v>
      </c>
      <c r="JQ26">
        <v>200</v>
      </c>
      <c r="JR26">
        <v>20.799099999999999</v>
      </c>
      <c r="JS26">
        <v>99.217799999999997</v>
      </c>
      <c r="JT26">
        <v>99.057599999999994</v>
      </c>
    </row>
    <row r="27" spans="1:280" x14ac:dyDescent="0.25">
      <c r="A27">
        <v>11</v>
      </c>
      <c r="B27">
        <v>1700149380.5999999</v>
      </c>
      <c r="C27">
        <v>1420.099999904633</v>
      </c>
      <c r="D27" t="s">
        <v>460</v>
      </c>
      <c r="E27" t="s">
        <v>461</v>
      </c>
      <c r="F27" t="s">
        <v>412</v>
      </c>
      <c r="G27" t="s">
        <v>413</v>
      </c>
      <c r="H27" t="s">
        <v>414</v>
      </c>
      <c r="I27">
        <v>1700149380.5999999</v>
      </c>
      <c r="J27">
        <f t="shared" si="0"/>
        <v>7.0629457153282777E-3</v>
      </c>
      <c r="K27">
        <f t="shared" si="1"/>
        <v>7.0629457153282775</v>
      </c>
      <c r="L27">
        <f t="shared" si="2"/>
        <v>21.054509411760939</v>
      </c>
      <c r="M27">
        <f t="shared" si="3"/>
        <v>94.402900000000002</v>
      </c>
      <c r="N27">
        <f t="shared" si="4"/>
        <v>25.081878985312969</v>
      </c>
      <c r="O27">
        <f t="shared" si="5"/>
        <v>2.4997874154250264</v>
      </c>
      <c r="P27">
        <f t="shared" si="6"/>
        <v>9.4086723541650414</v>
      </c>
      <c r="Q27">
        <f t="shared" si="7"/>
        <v>0.53862588930121202</v>
      </c>
      <c r="R27">
        <f t="shared" si="8"/>
        <v>2.9394179140262908</v>
      </c>
      <c r="S27">
        <f t="shared" si="9"/>
        <v>0.48919975388673004</v>
      </c>
      <c r="T27">
        <f t="shared" si="10"/>
        <v>0.30981174759531249</v>
      </c>
      <c r="U27">
        <f t="shared" si="11"/>
        <v>344.35289864376631</v>
      </c>
      <c r="V27">
        <f t="shared" si="12"/>
        <v>30.667411439903333</v>
      </c>
      <c r="W27">
        <f t="shared" si="13"/>
        <v>29.994700000000002</v>
      </c>
      <c r="X27">
        <f t="shared" si="14"/>
        <v>4.2591529457230788</v>
      </c>
      <c r="Y27">
        <f t="shared" si="15"/>
        <v>65.593925823319935</v>
      </c>
      <c r="Z27">
        <f t="shared" si="16"/>
        <v>2.8716897469198401</v>
      </c>
      <c r="AA27">
        <f t="shared" si="17"/>
        <v>4.3779812091974195</v>
      </c>
      <c r="AB27">
        <f t="shared" si="18"/>
        <v>1.3874631988032387</v>
      </c>
      <c r="AC27">
        <f t="shared" si="19"/>
        <v>-311.47590604597707</v>
      </c>
      <c r="AD27">
        <f t="shared" si="20"/>
        <v>76.049704329014432</v>
      </c>
      <c r="AE27">
        <f t="shared" si="21"/>
        <v>5.7661262919301315</v>
      </c>
      <c r="AF27">
        <f t="shared" si="22"/>
        <v>114.69282321873378</v>
      </c>
      <c r="AG27">
        <v>18</v>
      </c>
      <c r="AH27">
        <v>4</v>
      </c>
      <c r="AI27">
        <f t="shared" si="23"/>
        <v>1</v>
      </c>
      <c r="AJ27">
        <f t="shared" si="24"/>
        <v>0</v>
      </c>
      <c r="AK27">
        <f t="shared" si="25"/>
        <v>52031.950236364937</v>
      </c>
      <c r="AL27" t="s">
        <v>415</v>
      </c>
      <c r="AM27">
        <v>7163.32</v>
      </c>
      <c r="AN27">
        <v>295.04692307692312</v>
      </c>
      <c r="AO27">
        <v>723.15082041179414</v>
      </c>
      <c r="AP27">
        <f t="shared" si="26"/>
        <v>0.59199808013920208</v>
      </c>
      <c r="AQ27">
        <v>-3.795255127542589</v>
      </c>
      <c r="AR27" t="s">
        <v>462</v>
      </c>
      <c r="AS27">
        <v>7241.05</v>
      </c>
      <c r="AT27">
        <v>732.38373076923074</v>
      </c>
      <c r="AU27">
        <v>893.55761522309842</v>
      </c>
      <c r="AV27">
        <f t="shared" si="27"/>
        <v>0.18037324253974008</v>
      </c>
      <c r="AW27">
        <v>0.5</v>
      </c>
      <c r="AX27">
        <f t="shared" si="28"/>
        <v>1513.1093993218831</v>
      </c>
      <c r="AY27">
        <f t="shared" si="29"/>
        <v>21.054509411760939</v>
      </c>
      <c r="AZ27">
        <f t="shared" si="30"/>
        <v>136.46222433652321</v>
      </c>
      <c r="BA27">
        <f t="shared" si="31"/>
        <v>1.6422979429273409E-2</v>
      </c>
      <c r="BB27">
        <f t="shared" si="32"/>
        <v>-0.19070599579497521</v>
      </c>
      <c r="BC27">
        <f t="shared" si="33"/>
        <v>319.94102640758376</v>
      </c>
      <c r="BD27" t="s">
        <v>463</v>
      </c>
      <c r="BE27">
        <v>517.71</v>
      </c>
      <c r="BF27">
        <f t="shared" si="34"/>
        <v>517.71</v>
      </c>
      <c r="BG27">
        <f t="shared" si="35"/>
        <v>0.42061934095795139</v>
      </c>
      <c r="BH27">
        <f t="shared" si="36"/>
        <v>0.42882774274940366</v>
      </c>
      <c r="BI27">
        <f t="shared" si="37"/>
        <v>-0.82946901433577724</v>
      </c>
      <c r="BJ27">
        <f t="shared" si="38"/>
        <v>0.26929157084215283</v>
      </c>
      <c r="BK27">
        <f t="shared" si="39"/>
        <v>-0.39805008987808593</v>
      </c>
      <c r="BL27">
        <f t="shared" si="40"/>
        <v>0.30313127035961857</v>
      </c>
      <c r="BM27">
        <f t="shared" si="41"/>
        <v>0.69686872964038149</v>
      </c>
      <c r="BN27">
        <v>290</v>
      </c>
      <c r="BO27">
        <v>290.00000000000011</v>
      </c>
      <c r="BP27">
        <v>851.65</v>
      </c>
      <c r="BQ27">
        <v>265</v>
      </c>
      <c r="BR27">
        <v>7241.05</v>
      </c>
      <c r="BS27">
        <v>853.01</v>
      </c>
      <c r="BT27">
        <v>-1.36</v>
      </c>
      <c r="BU27">
        <v>300.00000000000011</v>
      </c>
      <c r="BV27">
        <v>38.1</v>
      </c>
      <c r="BW27">
        <v>893.55761522309842</v>
      </c>
      <c r="BX27">
        <v>1.1208435844779729</v>
      </c>
      <c r="BY27">
        <v>-29.357329151010951</v>
      </c>
      <c r="BZ27">
        <v>0.68028071088598741</v>
      </c>
      <c r="CA27">
        <v>0.98518777585567419</v>
      </c>
      <c r="CB27">
        <v>-7.1401292547274824E-3</v>
      </c>
      <c r="CC27">
        <v>289.99999999999989</v>
      </c>
      <c r="CD27">
        <v>854.47</v>
      </c>
      <c r="CE27">
        <v>855</v>
      </c>
      <c r="CF27">
        <v>7233.38</v>
      </c>
      <c r="CG27">
        <v>852.97</v>
      </c>
      <c r="CH27">
        <v>1.5</v>
      </c>
      <c r="CV27">
        <f t="shared" si="42"/>
        <v>1799.91</v>
      </c>
      <c r="CW27">
        <f t="shared" si="43"/>
        <v>1513.1093993218831</v>
      </c>
      <c r="CX27">
        <f t="shared" si="44"/>
        <v>0.8406583658748954</v>
      </c>
      <c r="CY27">
        <f t="shared" si="45"/>
        <v>0.191316731749791</v>
      </c>
      <c r="CZ27">
        <v>5.9</v>
      </c>
      <c r="DA27">
        <v>0.5</v>
      </c>
      <c r="DB27" t="s">
        <v>418</v>
      </c>
      <c r="DC27">
        <v>2</v>
      </c>
      <c r="DD27">
        <v>1700149380.5999999</v>
      </c>
      <c r="DE27">
        <v>94.402900000000002</v>
      </c>
      <c r="DF27">
        <v>120.038</v>
      </c>
      <c r="DG27">
        <v>28.813400000000001</v>
      </c>
      <c r="DH27">
        <v>20.718</v>
      </c>
      <c r="DI27">
        <v>94.770600000000002</v>
      </c>
      <c r="DJ27">
        <v>30.7121</v>
      </c>
      <c r="DK27">
        <v>499.92200000000003</v>
      </c>
      <c r="DL27">
        <v>99.565100000000001</v>
      </c>
      <c r="DM27">
        <v>9.99776E-2</v>
      </c>
      <c r="DN27">
        <v>30.474599999999999</v>
      </c>
      <c r="DO27">
        <v>29.994700000000002</v>
      </c>
      <c r="DP27">
        <v>999.9</v>
      </c>
      <c r="DQ27">
        <v>0</v>
      </c>
      <c r="DR27">
        <v>0</v>
      </c>
      <c r="DS27">
        <v>9997.5</v>
      </c>
      <c r="DT27">
        <v>0</v>
      </c>
      <c r="DU27">
        <v>214.97300000000001</v>
      </c>
      <c r="DV27">
        <v>-25.6355</v>
      </c>
      <c r="DW27">
        <v>97.203699999999998</v>
      </c>
      <c r="DX27">
        <v>122.578</v>
      </c>
      <c r="DY27">
        <v>8.0953199999999992</v>
      </c>
      <c r="DZ27">
        <v>120.038</v>
      </c>
      <c r="EA27">
        <v>20.718</v>
      </c>
      <c r="EB27">
        <v>2.8688099999999999</v>
      </c>
      <c r="EC27">
        <v>2.0627900000000001</v>
      </c>
      <c r="ED27">
        <v>23.285399999999999</v>
      </c>
      <c r="EE27">
        <v>17.934799999999999</v>
      </c>
      <c r="EF27">
        <v>1799.91</v>
      </c>
      <c r="EG27">
        <v>0.97799499999999995</v>
      </c>
      <c r="EH27">
        <v>2.2005400000000001E-2</v>
      </c>
      <c r="EI27">
        <v>0</v>
      </c>
      <c r="EJ27">
        <v>732.43499999999995</v>
      </c>
      <c r="EK27">
        <v>5.0010300000000001</v>
      </c>
      <c r="EL27">
        <v>13389.5</v>
      </c>
      <c r="EM27">
        <v>14700.3</v>
      </c>
      <c r="EN27">
        <v>47.875</v>
      </c>
      <c r="EO27">
        <v>49.811999999999998</v>
      </c>
      <c r="EP27">
        <v>49.311999999999998</v>
      </c>
      <c r="EQ27">
        <v>48.561999999999998</v>
      </c>
      <c r="ER27">
        <v>49.436999999999998</v>
      </c>
      <c r="ES27">
        <v>1755.41</v>
      </c>
      <c r="ET27">
        <v>39.5</v>
      </c>
      <c r="EU27">
        <v>0</v>
      </c>
      <c r="EV27">
        <v>297.20000004768372</v>
      </c>
      <c r="EW27">
        <v>0</v>
      </c>
      <c r="EX27">
        <v>732.38373076923074</v>
      </c>
      <c r="EY27">
        <v>-0.92140170199512628</v>
      </c>
      <c r="EZ27">
        <v>-14.109401855429409</v>
      </c>
      <c r="FA27">
        <v>13390.98846153846</v>
      </c>
      <c r="FB27">
        <v>15</v>
      </c>
      <c r="FC27">
        <v>1700149345.0999999</v>
      </c>
      <c r="FD27" t="s">
        <v>464</v>
      </c>
      <c r="FE27">
        <v>1700149338.0999999</v>
      </c>
      <c r="FF27">
        <v>1700149345.0999999</v>
      </c>
      <c r="FG27">
        <v>12</v>
      </c>
      <c r="FH27">
        <v>-6.0999999999999999E-2</v>
      </c>
      <c r="FI27">
        <v>3.0000000000000001E-3</v>
      </c>
      <c r="FJ27">
        <v>-0.34699999999999998</v>
      </c>
      <c r="FK27">
        <v>-1.899</v>
      </c>
      <c r="FL27">
        <v>120</v>
      </c>
      <c r="FM27">
        <v>21</v>
      </c>
      <c r="FN27">
        <v>0.05</v>
      </c>
      <c r="FO27">
        <v>0.01</v>
      </c>
      <c r="FP27">
        <v>21.010433082550371</v>
      </c>
      <c r="FQ27">
        <v>0.33187727384209231</v>
      </c>
      <c r="FR27">
        <v>2.7328101292301388E-2</v>
      </c>
      <c r="FS27">
        <v>1</v>
      </c>
      <c r="FT27">
        <v>0.53410848249267173</v>
      </c>
      <c r="FU27">
        <v>4.9391672246141903E-2</v>
      </c>
      <c r="FV27">
        <v>3.671402342021738E-3</v>
      </c>
      <c r="FW27">
        <v>1</v>
      </c>
      <c r="FX27">
        <v>2</v>
      </c>
      <c r="FY27">
        <v>2</v>
      </c>
      <c r="FZ27" t="s">
        <v>420</v>
      </c>
      <c r="GA27">
        <v>2.89662</v>
      </c>
      <c r="GB27">
        <v>2.8179599999999998</v>
      </c>
      <c r="GC27">
        <v>2.5457799999999999E-2</v>
      </c>
      <c r="GD27">
        <v>3.1935499999999999E-2</v>
      </c>
      <c r="GE27">
        <v>0.14164199999999999</v>
      </c>
      <c r="GF27">
        <v>0.107224</v>
      </c>
      <c r="GG27">
        <v>26956.7</v>
      </c>
      <c r="GH27">
        <v>26892.799999999999</v>
      </c>
      <c r="GI27">
        <v>24555.599999999999</v>
      </c>
      <c r="GJ27">
        <v>24826.3</v>
      </c>
      <c r="GK27">
        <v>28052.9</v>
      </c>
      <c r="GL27">
        <v>28811.4</v>
      </c>
      <c r="GM27">
        <v>33261.699999999997</v>
      </c>
      <c r="GN27">
        <v>33203.199999999997</v>
      </c>
      <c r="GO27">
        <v>1.897</v>
      </c>
      <c r="GP27">
        <v>2.5243500000000001</v>
      </c>
      <c r="GQ27">
        <v>3.6455700000000001E-2</v>
      </c>
      <c r="GR27">
        <v>0</v>
      </c>
      <c r="GS27">
        <v>29.401199999999999</v>
      </c>
      <c r="GT27">
        <v>999.9</v>
      </c>
      <c r="GU27">
        <v>52.9</v>
      </c>
      <c r="GV27">
        <v>35.299999999999997</v>
      </c>
      <c r="GW27">
        <v>30.511500000000002</v>
      </c>
      <c r="GX27">
        <v>63.089199999999998</v>
      </c>
      <c r="GY27">
        <v>-5.81731</v>
      </c>
      <c r="GZ27">
        <v>3</v>
      </c>
      <c r="HA27">
        <v>0.65293400000000001</v>
      </c>
      <c r="HB27">
        <v>2.6835599999999999</v>
      </c>
      <c r="HC27">
        <v>20.142499999999998</v>
      </c>
      <c r="HD27">
        <v>5.2319699999999996</v>
      </c>
      <c r="HE27">
        <v>11.9201</v>
      </c>
      <c r="HF27">
        <v>4.9592000000000001</v>
      </c>
      <c r="HG27">
        <v>3.28823</v>
      </c>
      <c r="HH27">
        <v>9999</v>
      </c>
      <c r="HI27">
        <v>9999</v>
      </c>
      <c r="HJ27">
        <v>9999</v>
      </c>
      <c r="HK27">
        <v>999.9</v>
      </c>
      <c r="HL27">
        <v>1.88127</v>
      </c>
      <c r="HM27">
        <v>1.8784700000000001</v>
      </c>
      <c r="HN27">
        <v>1.88642</v>
      </c>
      <c r="HO27">
        <v>1.8841600000000001</v>
      </c>
      <c r="HP27">
        <v>1.8816999999999999</v>
      </c>
      <c r="HQ27">
        <v>1.8806799999999999</v>
      </c>
      <c r="HR27">
        <v>1.8818600000000001</v>
      </c>
      <c r="HS27">
        <v>1.88137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-0.36799999999999999</v>
      </c>
      <c r="IH27">
        <v>-1.8987000000000001</v>
      </c>
      <c r="II27">
        <v>-0.44835580380741041</v>
      </c>
      <c r="IJ27">
        <v>8.9935118796959448E-4</v>
      </c>
      <c r="IK27">
        <v>-5.3495398746875769E-7</v>
      </c>
      <c r="IL27">
        <v>3.209454383910538E-10</v>
      </c>
      <c r="IM27">
        <v>-1.8987000000000049</v>
      </c>
      <c r="IN27">
        <v>0</v>
      </c>
      <c r="IO27">
        <v>0</v>
      </c>
      <c r="IP27">
        <v>0</v>
      </c>
      <c r="IQ27">
        <v>1</v>
      </c>
      <c r="IR27">
        <v>2101</v>
      </c>
      <c r="IS27">
        <v>1</v>
      </c>
      <c r="IT27">
        <v>21</v>
      </c>
      <c r="IU27">
        <v>0.7</v>
      </c>
      <c r="IV27">
        <v>0.6</v>
      </c>
      <c r="IW27">
        <v>0.58593799999999996</v>
      </c>
      <c r="IX27">
        <v>2.49878</v>
      </c>
      <c r="IY27">
        <v>2.34375</v>
      </c>
      <c r="IZ27">
        <v>2.9199199999999998</v>
      </c>
      <c r="JA27">
        <v>3.0480999999999998</v>
      </c>
      <c r="JB27">
        <v>2.4243199999999998</v>
      </c>
      <c r="JC27">
        <v>42.697400000000002</v>
      </c>
      <c r="JD27">
        <v>23.877400000000002</v>
      </c>
      <c r="JE27">
        <v>18</v>
      </c>
      <c r="JF27">
        <v>471.29599999999999</v>
      </c>
      <c r="JG27">
        <v>1207.25</v>
      </c>
      <c r="JH27">
        <v>26.318100000000001</v>
      </c>
      <c r="JI27">
        <v>35.163400000000003</v>
      </c>
      <c r="JJ27">
        <v>30.000299999999999</v>
      </c>
      <c r="JK27">
        <v>35.044499999999999</v>
      </c>
      <c r="JL27">
        <v>34.972099999999998</v>
      </c>
      <c r="JM27">
        <v>11.8157</v>
      </c>
      <c r="JN27">
        <v>29.0504</v>
      </c>
      <c r="JO27">
        <v>83.362200000000001</v>
      </c>
      <c r="JP27">
        <v>26.3184</v>
      </c>
      <c r="JQ27">
        <v>120</v>
      </c>
      <c r="JR27">
        <v>20.617999999999999</v>
      </c>
      <c r="JS27">
        <v>99.204300000000003</v>
      </c>
      <c r="JT27">
        <v>99.039599999999993</v>
      </c>
    </row>
    <row r="28" spans="1:280" x14ac:dyDescent="0.25">
      <c r="A28">
        <v>12</v>
      </c>
      <c r="B28">
        <v>1700149480.0999999</v>
      </c>
      <c r="C28">
        <v>1519.599999904633</v>
      </c>
      <c r="D28" t="s">
        <v>465</v>
      </c>
      <c r="E28" t="s">
        <v>466</v>
      </c>
      <c r="F28" t="s">
        <v>412</v>
      </c>
      <c r="G28" t="s">
        <v>413</v>
      </c>
      <c r="H28" t="s">
        <v>414</v>
      </c>
      <c r="I28">
        <v>1700149480.0999999</v>
      </c>
      <c r="J28">
        <f t="shared" si="0"/>
        <v>7.3107774237757646E-3</v>
      </c>
      <c r="K28">
        <f t="shared" si="1"/>
        <v>7.3107774237757646</v>
      </c>
      <c r="L28">
        <f t="shared" si="2"/>
        <v>12.677515090527521</v>
      </c>
      <c r="M28">
        <f t="shared" si="3"/>
        <v>54.5642</v>
      </c>
      <c r="N28">
        <f t="shared" si="4"/>
        <v>13.817750869779156</v>
      </c>
      <c r="O28">
        <f t="shared" si="5"/>
        <v>1.3770912466576593</v>
      </c>
      <c r="P28">
        <f t="shared" si="6"/>
        <v>5.4379242258026599</v>
      </c>
      <c r="Q28">
        <f t="shared" si="7"/>
        <v>0.5527349054496693</v>
      </c>
      <c r="R28">
        <f t="shared" si="8"/>
        <v>2.9391255616006271</v>
      </c>
      <c r="S28">
        <f t="shared" si="9"/>
        <v>0.50081426955189112</v>
      </c>
      <c r="T28">
        <f t="shared" si="10"/>
        <v>0.31726636253674739</v>
      </c>
      <c r="U28">
        <f t="shared" si="11"/>
        <v>344.3667986434757</v>
      </c>
      <c r="V28">
        <f t="shared" si="12"/>
        <v>30.654203520306091</v>
      </c>
      <c r="W28">
        <f t="shared" si="13"/>
        <v>29.981999999999999</v>
      </c>
      <c r="X28">
        <f t="shared" si="14"/>
        <v>4.2560468550599557</v>
      </c>
      <c r="Y28">
        <f t="shared" si="15"/>
        <v>64.98025679097708</v>
      </c>
      <c r="Z28">
        <f t="shared" si="16"/>
        <v>2.8531058556471298</v>
      </c>
      <c r="AA28">
        <f t="shared" si="17"/>
        <v>4.3907272709382417</v>
      </c>
      <c r="AB28">
        <f t="shared" si="18"/>
        <v>1.4029409994128259</v>
      </c>
      <c r="AC28">
        <f t="shared" si="19"/>
        <v>-322.40528438851123</v>
      </c>
      <c r="AD28">
        <f t="shared" si="20"/>
        <v>86.103978196329166</v>
      </c>
      <c r="AE28">
        <f t="shared" si="21"/>
        <v>6.5303274566159306</v>
      </c>
      <c r="AF28">
        <f t="shared" si="22"/>
        <v>114.59581990790954</v>
      </c>
      <c r="AG28">
        <v>18</v>
      </c>
      <c r="AH28">
        <v>4</v>
      </c>
      <c r="AI28">
        <f t="shared" si="23"/>
        <v>1</v>
      </c>
      <c r="AJ28">
        <f t="shared" si="24"/>
        <v>0</v>
      </c>
      <c r="AK28">
        <f t="shared" si="25"/>
        <v>52014.912880775104</v>
      </c>
      <c r="AL28" t="s">
        <v>426</v>
      </c>
      <c r="AM28" t="s">
        <v>426</v>
      </c>
      <c r="AN28">
        <v>0</v>
      </c>
      <c r="AO28">
        <v>0</v>
      </c>
      <c r="AP28" t="e">
        <f t="shared" si="26"/>
        <v>#DIV/0!</v>
      </c>
      <c r="AQ28">
        <v>0</v>
      </c>
      <c r="AR28" t="s">
        <v>426</v>
      </c>
      <c r="AS28" t="s">
        <v>426</v>
      </c>
      <c r="AT28">
        <v>0</v>
      </c>
      <c r="AU28">
        <v>0</v>
      </c>
      <c r="AV28" t="e">
        <f t="shared" si="27"/>
        <v>#DIV/0!</v>
      </c>
      <c r="AW28">
        <v>0.5</v>
      </c>
      <c r="AX28">
        <f t="shared" si="28"/>
        <v>1513.1684993217377</v>
      </c>
      <c r="AY28">
        <f t="shared" si="29"/>
        <v>12.677515090527521</v>
      </c>
      <c r="AZ28" t="e">
        <f t="shared" si="30"/>
        <v>#DIV/0!</v>
      </c>
      <c r="BA28">
        <f t="shared" si="31"/>
        <v>8.3781251699398228E-3</v>
      </c>
      <c r="BB28" t="e">
        <f t="shared" si="32"/>
        <v>#DIV/0!</v>
      </c>
      <c r="BC28" t="e">
        <f t="shared" si="33"/>
        <v>#DIV/0!</v>
      </c>
      <c r="BD28" t="s">
        <v>426</v>
      </c>
      <c r="BE28">
        <v>0</v>
      </c>
      <c r="BF28" t="e">
        <f t="shared" si="34"/>
        <v>#DIV/0!</v>
      </c>
      <c r="BG28" t="e">
        <f t="shared" si="35"/>
        <v>#DIV/0!</v>
      </c>
      <c r="BH28" t="e">
        <f t="shared" si="36"/>
        <v>#DIV/0!</v>
      </c>
      <c r="BI28" t="e">
        <f t="shared" si="37"/>
        <v>#DIV/0!</v>
      </c>
      <c r="BJ28" t="e">
        <f t="shared" si="38"/>
        <v>#DIV/0!</v>
      </c>
      <c r="BK28" t="e">
        <f t="shared" si="39"/>
        <v>#DIV/0!</v>
      </c>
      <c r="BL28" t="e">
        <f t="shared" si="40"/>
        <v>#DIV/0!</v>
      </c>
      <c r="BM28" t="e">
        <f t="shared" si="41"/>
        <v>#DIV/0!</v>
      </c>
      <c r="BN28">
        <v>290</v>
      </c>
      <c r="BO28">
        <v>290.00000000000011</v>
      </c>
      <c r="BP28">
        <v>851.65</v>
      </c>
      <c r="BQ28">
        <v>265</v>
      </c>
      <c r="BR28">
        <v>7241.05</v>
      </c>
      <c r="BS28">
        <v>853.01</v>
      </c>
      <c r="BT28">
        <v>-1.36</v>
      </c>
      <c r="BU28">
        <v>300.00000000000011</v>
      </c>
      <c r="BV28">
        <v>38.1</v>
      </c>
      <c r="BW28">
        <v>893.55761522309842</v>
      </c>
      <c r="BX28">
        <v>1.1208435844779729</v>
      </c>
      <c r="BY28">
        <v>-29.357329151010951</v>
      </c>
      <c r="BZ28">
        <v>0.68028071088598741</v>
      </c>
      <c r="CA28">
        <v>0.98518777585567419</v>
      </c>
      <c r="CB28">
        <v>-7.1401292547274824E-3</v>
      </c>
      <c r="CC28">
        <v>289.99999999999989</v>
      </c>
      <c r="CD28">
        <v>854.47</v>
      </c>
      <c r="CE28">
        <v>855</v>
      </c>
      <c r="CF28">
        <v>7233.38</v>
      </c>
      <c r="CG28">
        <v>852.97</v>
      </c>
      <c r="CH28">
        <v>1.5</v>
      </c>
      <c r="CV28">
        <f t="shared" si="42"/>
        <v>1799.98</v>
      </c>
      <c r="CW28">
        <f t="shared" si="43"/>
        <v>1513.1684993217377</v>
      </c>
      <c r="CX28">
        <f t="shared" si="44"/>
        <v>0.84065850693993138</v>
      </c>
      <c r="CY28">
        <f t="shared" si="45"/>
        <v>0.19131701387986294</v>
      </c>
      <c r="CZ28">
        <v>5.9</v>
      </c>
      <c r="DA28">
        <v>0.5</v>
      </c>
      <c r="DB28" t="s">
        <v>418</v>
      </c>
      <c r="DC28">
        <v>2</v>
      </c>
      <c r="DD28">
        <v>1700149480.0999999</v>
      </c>
      <c r="DE28">
        <v>54.5642</v>
      </c>
      <c r="DF28">
        <v>69.994100000000003</v>
      </c>
      <c r="DG28">
        <v>28.6281</v>
      </c>
      <c r="DH28">
        <v>20.2485</v>
      </c>
      <c r="DI28">
        <v>54.922199999999997</v>
      </c>
      <c r="DJ28">
        <v>30.527100000000001</v>
      </c>
      <c r="DK28">
        <v>500.00900000000001</v>
      </c>
      <c r="DL28">
        <v>99.561099999999996</v>
      </c>
      <c r="DM28">
        <v>9.9927299999999997E-2</v>
      </c>
      <c r="DN28">
        <v>30.525400000000001</v>
      </c>
      <c r="DO28">
        <v>29.981999999999999</v>
      </c>
      <c r="DP28">
        <v>999.9</v>
      </c>
      <c r="DQ28">
        <v>0</v>
      </c>
      <c r="DR28">
        <v>0</v>
      </c>
      <c r="DS28">
        <v>9996.25</v>
      </c>
      <c r="DT28">
        <v>0</v>
      </c>
      <c r="DU28">
        <v>202.66399999999999</v>
      </c>
      <c r="DV28">
        <v>-15.4724</v>
      </c>
      <c r="DW28">
        <v>56.128500000000003</v>
      </c>
      <c r="DX28">
        <v>71.440700000000007</v>
      </c>
      <c r="DY28">
        <v>8.3798499999999994</v>
      </c>
      <c r="DZ28">
        <v>69.994100000000003</v>
      </c>
      <c r="EA28">
        <v>20.2485</v>
      </c>
      <c r="EB28">
        <v>2.8502700000000001</v>
      </c>
      <c r="EC28">
        <v>2.0159600000000002</v>
      </c>
      <c r="ED28">
        <v>23.1782</v>
      </c>
      <c r="EE28">
        <v>17.5703</v>
      </c>
      <c r="EF28">
        <v>1799.98</v>
      </c>
      <c r="EG28">
        <v>0.97799100000000005</v>
      </c>
      <c r="EH28">
        <v>2.2009000000000001E-2</v>
      </c>
      <c r="EI28">
        <v>0</v>
      </c>
      <c r="EJ28">
        <v>755.10400000000004</v>
      </c>
      <c r="EK28">
        <v>5.0010300000000001</v>
      </c>
      <c r="EL28">
        <v>13758.9</v>
      </c>
      <c r="EM28">
        <v>14700.9</v>
      </c>
      <c r="EN28">
        <v>47.625</v>
      </c>
      <c r="EO28">
        <v>49.561999999999998</v>
      </c>
      <c r="EP28">
        <v>49</v>
      </c>
      <c r="EQ28">
        <v>48.311999999999998</v>
      </c>
      <c r="ER28">
        <v>49.186999999999998</v>
      </c>
      <c r="ES28">
        <v>1755.47</v>
      </c>
      <c r="ET28">
        <v>39.51</v>
      </c>
      <c r="EU28">
        <v>0</v>
      </c>
      <c r="EV28">
        <v>97.400000095367432</v>
      </c>
      <c r="EW28">
        <v>0</v>
      </c>
      <c r="EX28">
        <v>755.07428000000004</v>
      </c>
      <c r="EY28">
        <v>-3.2501538412692401</v>
      </c>
      <c r="EZ28">
        <v>-112.77692316433151</v>
      </c>
      <c r="FA28">
        <v>13761.064</v>
      </c>
      <c r="FB28">
        <v>15</v>
      </c>
      <c r="FC28">
        <v>1700149503.0999999</v>
      </c>
      <c r="FD28" t="s">
        <v>467</v>
      </c>
      <c r="FE28">
        <v>1700149496.0999999</v>
      </c>
      <c r="FF28">
        <v>1700149503.0999999</v>
      </c>
      <c r="FG28">
        <v>13</v>
      </c>
      <c r="FH28">
        <v>0.03</v>
      </c>
      <c r="FI28">
        <v>0</v>
      </c>
      <c r="FJ28">
        <v>-0.35799999999999998</v>
      </c>
      <c r="FK28">
        <v>-1.899</v>
      </c>
      <c r="FL28">
        <v>70</v>
      </c>
      <c r="FM28">
        <v>20</v>
      </c>
      <c r="FN28">
        <v>7.0000000000000007E-2</v>
      </c>
      <c r="FO28">
        <v>0.01</v>
      </c>
      <c r="FP28">
        <v>12.71157648454834</v>
      </c>
      <c r="FQ28">
        <v>0.12608700158943811</v>
      </c>
      <c r="FR28">
        <v>2.0141252547384511E-2</v>
      </c>
      <c r="FS28">
        <v>1</v>
      </c>
      <c r="FT28">
        <v>0.54989620863825783</v>
      </c>
      <c r="FU28">
        <v>1.4857727119683721E-2</v>
      </c>
      <c r="FV28">
        <v>1.165643422323474E-3</v>
      </c>
      <c r="FW28">
        <v>1</v>
      </c>
      <c r="FX28">
        <v>2</v>
      </c>
      <c r="FY28">
        <v>2</v>
      </c>
      <c r="FZ28" t="s">
        <v>420</v>
      </c>
      <c r="GA28">
        <v>2.8967499999999999</v>
      </c>
      <c r="GB28">
        <v>2.8178999999999998</v>
      </c>
      <c r="GC28">
        <v>1.4945699999999999E-2</v>
      </c>
      <c r="GD28">
        <v>1.9003099999999998E-2</v>
      </c>
      <c r="GE28">
        <v>0.141042</v>
      </c>
      <c r="GF28">
        <v>0.105504</v>
      </c>
      <c r="GG28">
        <v>27244.3</v>
      </c>
      <c r="GH28">
        <v>27249.8</v>
      </c>
      <c r="GI28">
        <v>24553.4</v>
      </c>
      <c r="GJ28">
        <v>24825.200000000001</v>
      </c>
      <c r="GK28">
        <v>28070</v>
      </c>
      <c r="GL28">
        <v>28865.5</v>
      </c>
      <c r="GM28">
        <v>33258.400000000001</v>
      </c>
      <c r="GN28">
        <v>33201.4</v>
      </c>
      <c r="GO28">
        <v>1.8970199999999999</v>
      </c>
      <c r="GP28">
        <v>2.5220500000000001</v>
      </c>
      <c r="GQ28">
        <v>3.5673400000000001E-2</v>
      </c>
      <c r="GR28">
        <v>0</v>
      </c>
      <c r="GS28">
        <v>29.401199999999999</v>
      </c>
      <c r="GT28">
        <v>999.9</v>
      </c>
      <c r="GU28">
        <v>51.8</v>
      </c>
      <c r="GV28">
        <v>35.5</v>
      </c>
      <c r="GW28">
        <v>30.209199999999999</v>
      </c>
      <c r="GX28">
        <v>62.929200000000002</v>
      </c>
      <c r="GY28">
        <v>-5.6570499999999999</v>
      </c>
      <c r="GZ28">
        <v>3</v>
      </c>
      <c r="HA28">
        <v>0.654756</v>
      </c>
      <c r="HB28">
        <v>2.3551000000000002</v>
      </c>
      <c r="HC28">
        <v>20.1479</v>
      </c>
      <c r="HD28">
        <v>5.2348100000000004</v>
      </c>
      <c r="HE28">
        <v>11.920400000000001</v>
      </c>
      <c r="HF28">
        <v>4.9596499999999999</v>
      </c>
      <c r="HG28">
        <v>3.2890000000000001</v>
      </c>
      <c r="HH28">
        <v>9999</v>
      </c>
      <c r="HI28">
        <v>9999</v>
      </c>
      <c r="HJ28">
        <v>9999</v>
      </c>
      <c r="HK28">
        <v>999.9</v>
      </c>
      <c r="HL28">
        <v>1.88127</v>
      </c>
      <c r="HM28">
        <v>1.8784700000000001</v>
      </c>
      <c r="HN28">
        <v>1.88642</v>
      </c>
      <c r="HO28">
        <v>1.8841600000000001</v>
      </c>
      <c r="HP28">
        <v>1.88171</v>
      </c>
      <c r="HQ28">
        <v>1.8807199999999999</v>
      </c>
      <c r="HR28">
        <v>1.8818699999999999</v>
      </c>
      <c r="HS28">
        <v>1.8813899999999999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-0.35799999999999998</v>
      </c>
      <c r="IH28">
        <v>-1.899</v>
      </c>
      <c r="II28">
        <v>-0.44835580380741041</v>
      </c>
      <c r="IJ28">
        <v>8.9935118796959448E-4</v>
      </c>
      <c r="IK28">
        <v>-5.3495398746875769E-7</v>
      </c>
      <c r="IL28">
        <v>3.209454383910538E-10</v>
      </c>
      <c r="IM28">
        <v>-1.8987000000000049</v>
      </c>
      <c r="IN28">
        <v>0</v>
      </c>
      <c r="IO28">
        <v>0</v>
      </c>
      <c r="IP28">
        <v>0</v>
      </c>
      <c r="IQ28">
        <v>1</v>
      </c>
      <c r="IR28">
        <v>2101</v>
      </c>
      <c r="IS28">
        <v>1</v>
      </c>
      <c r="IT28">
        <v>21</v>
      </c>
      <c r="IU28">
        <v>2.4</v>
      </c>
      <c r="IV28">
        <v>2.2000000000000002</v>
      </c>
      <c r="IW28">
        <v>0.40649400000000002</v>
      </c>
      <c r="IX28">
        <v>2.50854</v>
      </c>
      <c r="IY28">
        <v>2.34375</v>
      </c>
      <c r="IZ28">
        <v>2.9199199999999998</v>
      </c>
      <c r="JA28">
        <v>3.0480999999999998</v>
      </c>
      <c r="JB28">
        <v>2.3864700000000001</v>
      </c>
      <c r="JC28">
        <v>43.0199</v>
      </c>
      <c r="JD28">
        <v>23.877400000000002</v>
      </c>
      <c r="JE28">
        <v>18</v>
      </c>
      <c r="JF28">
        <v>471.678</v>
      </c>
      <c r="JG28">
        <v>1204.98</v>
      </c>
      <c r="JH28">
        <v>26.644300000000001</v>
      </c>
      <c r="JI28">
        <v>35.207500000000003</v>
      </c>
      <c r="JJ28">
        <v>30.000299999999999</v>
      </c>
      <c r="JK28">
        <v>35.093400000000003</v>
      </c>
      <c r="JL28">
        <v>35.027200000000001</v>
      </c>
      <c r="JM28">
        <v>8.2240300000000008</v>
      </c>
      <c r="JN28">
        <v>29.578199999999999</v>
      </c>
      <c r="JO28">
        <v>78.751599999999996</v>
      </c>
      <c r="JP28">
        <v>26.645199999999999</v>
      </c>
      <c r="JQ28">
        <v>70</v>
      </c>
      <c r="JR28">
        <v>20.273299999999999</v>
      </c>
      <c r="JS28">
        <v>99.194900000000004</v>
      </c>
      <c r="JT28">
        <v>99.034800000000004</v>
      </c>
    </row>
    <row r="29" spans="1:280" x14ac:dyDescent="0.25">
      <c r="A29">
        <v>13</v>
      </c>
      <c r="B29">
        <v>1700149594.0999999</v>
      </c>
      <c r="C29">
        <v>1633.599999904633</v>
      </c>
      <c r="D29" t="s">
        <v>468</v>
      </c>
      <c r="E29" t="s">
        <v>469</v>
      </c>
      <c r="F29" t="s">
        <v>412</v>
      </c>
      <c r="G29" t="s">
        <v>413</v>
      </c>
      <c r="H29" t="s">
        <v>414</v>
      </c>
      <c r="I29">
        <v>1700149594.0999999</v>
      </c>
      <c r="J29">
        <f t="shared" si="0"/>
        <v>7.5061792206236122E-3</v>
      </c>
      <c r="K29">
        <f t="shared" si="1"/>
        <v>7.5061792206236122</v>
      </c>
      <c r="L29">
        <f t="shared" si="2"/>
        <v>5.5660572916657722</v>
      </c>
      <c r="M29">
        <f t="shared" si="3"/>
        <v>23.228100000000001</v>
      </c>
      <c r="N29">
        <f t="shared" si="4"/>
        <v>5.9531459131567654</v>
      </c>
      <c r="O29">
        <f t="shared" si="5"/>
        <v>0.59327273370521483</v>
      </c>
      <c r="P29">
        <f t="shared" si="6"/>
        <v>2.3148430404372</v>
      </c>
      <c r="Q29">
        <f t="shared" si="7"/>
        <v>0.57415263228381486</v>
      </c>
      <c r="R29">
        <f t="shared" si="8"/>
        <v>2.9408133778676393</v>
      </c>
      <c r="S29">
        <f t="shared" si="9"/>
        <v>0.51837617223485744</v>
      </c>
      <c r="T29">
        <f t="shared" si="10"/>
        <v>0.32854368781454335</v>
      </c>
      <c r="U29">
        <f t="shared" si="11"/>
        <v>344.37829864455841</v>
      </c>
      <c r="V29">
        <f t="shared" si="12"/>
        <v>30.601289625193349</v>
      </c>
      <c r="W29">
        <f t="shared" si="13"/>
        <v>29.963799999999999</v>
      </c>
      <c r="X29">
        <f t="shared" si="14"/>
        <v>4.2515990487516921</v>
      </c>
      <c r="Y29">
        <f t="shared" si="15"/>
        <v>65.147053164580242</v>
      </c>
      <c r="Z29">
        <f t="shared" si="16"/>
        <v>2.8600366559856001</v>
      </c>
      <c r="AA29">
        <f t="shared" si="17"/>
        <v>4.3901243679592419</v>
      </c>
      <c r="AB29">
        <f t="shared" si="18"/>
        <v>1.3915623927660921</v>
      </c>
      <c r="AC29">
        <f t="shared" si="19"/>
        <v>-331.02250362950127</v>
      </c>
      <c r="AD29">
        <f t="shared" si="20"/>
        <v>88.658437158794115</v>
      </c>
      <c r="AE29">
        <f t="shared" si="21"/>
        <v>6.7195200661581476</v>
      </c>
      <c r="AF29">
        <f t="shared" si="22"/>
        <v>108.73375224000942</v>
      </c>
      <c r="AG29">
        <v>17</v>
      </c>
      <c r="AH29">
        <v>3</v>
      </c>
      <c r="AI29">
        <f t="shared" si="23"/>
        <v>1</v>
      </c>
      <c r="AJ29">
        <f t="shared" si="24"/>
        <v>0</v>
      </c>
      <c r="AK29">
        <f t="shared" si="25"/>
        <v>52062.836051618571</v>
      </c>
      <c r="AL29" t="s">
        <v>415</v>
      </c>
      <c r="AM29">
        <v>7163.32</v>
      </c>
      <c r="AN29">
        <v>295.04692307692312</v>
      </c>
      <c r="AO29">
        <v>723.15082041179414</v>
      </c>
      <c r="AP29">
        <f t="shared" si="26"/>
        <v>0.59199808013920208</v>
      </c>
      <c r="AQ29">
        <v>-3.795255127542589</v>
      </c>
      <c r="AR29" t="s">
        <v>470</v>
      </c>
      <c r="AS29">
        <v>7243.5</v>
      </c>
      <c r="AT29">
        <v>779.25915999999995</v>
      </c>
      <c r="AU29">
        <v>853.42110382895282</v>
      </c>
      <c r="AV29">
        <f t="shared" si="27"/>
        <v>8.6899589776041952E-2</v>
      </c>
      <c r="AW29">
        <v>0.5</v>
      </c>
      <c r="AX29">
        <f t="shared" si="28"/>
        <v>1513.2263993222789</v>
      </c>
      <c r="AY29">
        <f t="shared" si="29"/>
        <v>5.5660572916657722</v>
      </c>
      <c r="AZ29">
        <f t="shared" si="30"/>
        <v>65.749376669691543</v>
      </c>
      <c r="BA29">
        <f t="shared" si="31"/>
        <v>6.1863263972932033E-3</v>
      </c>
      <c r="BB29">
        <f t="shared" si="32"/>
        <v>-0.15264478793961034</v>
      </c>
      <c r="BC29">
        <f t="shared" si="33"/>
        <v>314.64266919992377</v>
      </c>
      <c r="BD29" t="s">
        <v>471</v>
      </c>
      <c r="BE29">
        <v>554.01</v>
      </c>
      <c r="BF29">
        <f t="shared" si="34"/>
        <v>554.01</v>
      </c>
      <c r="BG29">
        <f t="shared" si="35"/>
        <v>0.35083630166352486</v>
      </c>
      <c r="BH29">
        <f t="shared" si="36"/>
        <v>0.24769269703277272</v>
      </c>
      <c r="BI29">
        <f t="shared" si="37"/>
        <v>-0.77018831468358517</v>
      </c>
      <c r="BJ29">
        <f t="shared" si="38"/>
        <v>0.13281764520177144</v>
      </c>
      <c r="BK29">
        <f t="shared" si="39"/>
        <v>-0.30429595298745621</v>
      </c>
      <c r="BL29">
        <f t="shared" si="40"/>
        <v>0.17609575623484028</v>
      </c>
      <c r="BM29">
        <f t="shared" si="41"/>
        <v>0.82390424376515969</v>
      </c>
      <c r="BN29">
        <v>292</v>
      </c>
      <c r="BO29">
        <v>290.00000000000011</v>
      </c>
      <c r="BP29">
        <v>831.43</v>
      </c>
      <c r="BQ29">
        <v>275</v>
      </c>
      <c r="BR29">
        <v>7243.5</v>
      </c>
      <c r="BS29">
        <v>831.12</v>
      </c>
      <c r="BT29">
        <v>0.31</v>
      </c>
      <c r="BU29">
        <v>300.00000000000011</v>
      </c>
      <c r="BV29">
        <v>38</v>
      </c>
      <c r="BW29">
        <v>853.42110382895282</v>
      </c>
      <c r="BX29">
        <v>1.217676333635582</v>
      </c>
      <c r="BY29">
        <v>-16.155377730229311</v>
      </c>
      <c r="BZ29">
        <v>0.73934482138006929</v>
      </c>
      <c r="CA29">
        <v>0.94460529618420042</v>
      </c>
      <c r="CB29">
        <v>-7.1428307007786393E-3</v>
      </c>
      <c r="CC29">
        <v>289.99999999999989</v>
      </c>
      <c r="CD29">
        <v>829.71</v>
      </c>
      <c r="CE29">
        <v>775</v>
      </c>
      <c r="CF29">
        <v>7237.57</v>
      </c>
      <c r="CG29">
        <v>831.1</v>
      </c>
      <c r="CH29">
        <v>-1.39</v>
      </c>
      <c r="CV29">
        <f t="shared" si="42"/>
        <v>1800.05</v>
      </c>
      <c r="CW29">
        <f t="shared" si="43"/>
        <v>1513.2263993222789</v>
      </c>
      <c r="CX29">
        <f t="shared" si="44"/>
        <v>0.84065798134622871</v>
      </c>
      <c r="CY29">
        <f t="shared" si="45"/>
        <v>0.19131596269245765</v>
      </c>
      <c r="CZ29">
        <v>5.9</v>
      </c>
      <c r="DA29">
        <v>0.5</v>
      </c>
      <c r="DB29" t="s">
        <v>418</v>
      </c>
      <c r="DC29">
        <v>2</v>
      </c>
      <c r="DD29">
        <v>1700149594.0999999</v>
      </c>
      <c r="DE29">
        <v>23.228100000000001</v>
      </c>
      <c r="DF29">
        <v>30.001000000000001</v>
      </c>
      <c r="DG29">
        <v>28.698799999999999</v>
      </c>
      <c r="DH29">
        <v>20.096699999999998</v>
      </c>
      <c r="DI29">
        <v>23.613099999999999</v>
      </c>
      <c r="DJ29">
        <v>30.596800000000002</v>
      </c>
      <c r="DK29">
        <v>500.05799999999999</v>
      </c>
      <c r="DL29">
        <v>99.557000000000002</v>
      </c>
      <c r="DM29">
        <v>0.100012</v>
      </c>
      <c r="DN29">
        <v>30.523</v>
      </c>
      <c r="DO29">
        <v>29.963799999999999</v>
      </c>
      <c r="DP29">
        <v>999.9</v>
      </c>
      <c r="DQ29">
        <v>0</v>
      </c>
      <c r="DR29">
        <v>0</v>
      </c>
      <c r="DS29">
        <v>10006.200000000001</v>
      </c>
      <c r="DT29">
        <v>0</v>
      </c>
      <c r="DU29">
        <v>215.76300000000001</v>
      </c>
      <c r="DV29">
        <v>-6.7853500000000002</v>
      </c>
      <c r="DW29">
        <v>23.901499999999999</v>
      </c>
      <c r="DX29">
        <v>30.616199999999999</v>
      </c>
      <c r="DY29">
        <v>8.6010799999999996</v>
      </c>
      <c r="DZ29">
        <v>30.001000000000001</v>
      </c>
      <c r="EA29">
        <v>20.096699999999998</v>
      </c>
      <c r="EB29">
        <v>2.8570600000000002</v>
      </c>
      <c r="EC29">
        <v>2.0007600000000001</v>
      </c>
      <c r="ED29">
        <v>23.217500000000001</v>
      </c>
      <c r="EE29">
        <v>17.450399999999998</v>
      </c>
      <c r="EF29">
        <v>1800.05</v>
      </c>
      <c r="EG29">
        <v>0.97800600000000004</v>
      </c>
      <c r="EH29">
        <v>2.1993800000000001E-2</v>
      </c>
      <c r="EI29">
        <v>0</v>
      </c>
      <c r="EJ29">
        <v>779.22299999999996</v>
      </c>
      <c r="EK29">
        <v>5.0010300000000001</v>
      </c>
      <c r="EL29">
        <v>14179.9</v>
      </c>
      <c r="EM29">
        <v>14701.5</v>
      </c>
      <c r="EN29">
        <v>47.311999999999998</v>
      </c>
      <c r="EO29">
        <v>49.25</v>
      </c>
      <c r="EP29">
        <v>48.686999999999998</v>
      </c>
      <c r="EQ29">
        <v>48.061999999999998</v>
      </c>
      <c r="ER29">
        <v>48.936999999999998</v>
      </c>
      <c r="ES29">
        <v>1755.57</v>
      </c>
      <c r="ET29">
        <v>39.479999999999997</v>
      </c>
      <c r="EU29">
        <v>0</v>
      </c>
      <c r="EV29">
        <v>211.4000000953674</v>
      </c>
      <c r="EW29">
        <v>0</v>
      </c>
      <c r="EX29">
        <v>779.25915999999995</v>
      </c>
      <c r="EY29">
        <v>-0.96069231198243832</v>
      </c>
      <c r="EZ29">
        <v>-21.738461561689331</v>
      </c>
      <c r="FA29">
        <v>14182.312</v>
      </c>
      <c r="FB29">
        <v>15</v>
      </c>
      <c r="FC29">
        <v>1700149614.0999999</v>
      </c>
      <c r="FD29" t="s">
        <v>472</v>
      </c>
      <c r="FE29">
        <v>1700149610.0999999</v>
      </c>
      <c r="FF29">
        <v>1700149614.0999999</v>
      </c>
      <c r="FG29">
        <v>14</v>
      </c>
      <c r="FH29">
        <v>6.0000000000000001E-3</v>
      </c>
      <c r="FI29">
        <v>1E-3</v>
      </c>
      <c r="FJ29">
        <v>-0.38500000000000001</v>
      </c>
      <c r="FK29">
        <v>-1.8979999999999999</v>
      </c>
      <c r="FL29">
        <v>30</v>
      </c>
      <c r="FM29">
        <v>20</v>
      </c>
      <c r="FN29">
        <v>0.11</v>
      </c>
      <c r="FO29">
        <v>0.01</v>
      </c>
      <c r="FP29">
        <v>5.5674472893715086</v>
      </c>
      <c r="FQ29">
        <v>9.427167978955539E-2</v>
      </c>
      <c r="FR29">
        <v>2.3255093604392821E-2</v>
      </c>
      <c r="FS29">
        <v>1</v>
      </c>
      <c r="FT29">
        <v>0.57218376200084387</v>
      </c>
      <c r="FU29">
        <v>1.696254284470873E-3</v>
      </c>
      <c r="FV29">
        <v>7.2193150096778839E-4</v>
      </c>
      <c r="FW29">
        <v>1</v>
      </c>
      <c r="FX29">
        <v>2</v>
      </c>
      <c r="FY29">
        <v>2</v>
      </c>
      <c r="FZ29" t="s">
        <v>420</v>
      </c>
      <c r="GA29">
        <v>2.89683</v>
      </c>
      <c r="GB29">
        <v>2.8180700000000001</v>
      </c>
      <c r="GC29">
        <v>6.4627799999999996E-3</v>
      </c>
      <c r="GD29">
        <v>8.2270399999999997E-3</v>
      </c>
      <c r="GE29">
        <v>0.14124500000000001</v>
      </c>
      <c r="GF29">
        <v>0.104936</v>
      </c>
      <c r="GG29">
        <v>27479</v>
      </c>
      <c r="GH29">
        <v>27546.5</v>
      </c>
      <c r="GI29">
        <v>24554.1</v>
      </c>
      <c r="GJ29">
        <v>24823.7</v>
      </c>
      <c r="GK29">
        <v>28064.3</v>
      </c>
      <c r="GL29">
        <v>28881.1</v>
      </c>
      <c r="GM29">
        <v>33259.4</v>
      </c>
      <c r="GN29">
        <v>33198.300000000003</v>
      </c>
      <c r="GO29">
        <v>1.8974299999999999</v>
      </c>
      <c r="GP29">
        <v>2.5232999999999999</v>
      </c>
      <c r="GQ29">
        <v>3.81395E-2</v>
      </c>
      <c r="GR29">
        <v>0</v>
      </c>
      <c r="GS29">
        <v>29.3428</v>
      </c>
      <c r="GT29">
        <v>999.9</v>
      </c>
      <c r="GU29">
        <v>50.6</v>
      </c>
      <c r="GV29">
        <v>35.799999999999997</v>
      </c>
      <c r="GW29">
        <v>30.003</v>
      </c>
      <c r="GX29">
        <v>63.289200000000001</v>
      </c>
      <c r="GY29">
        <v>-5.5528899999999997</v>
      </c>
      <c r="GZ29">
        <v>3</v>
      </c>
      <c r="HA29">
        <v>0.65494200000000002</v>
      </c>
      <c r="HB29">
        <v>2.1204299999999998</v>
      </c>
      <c r="HC29">
        <v>20.1511</v>
      </c>
      <c r="HD29">
        <v>5.2340600000000004</v>
      </c>
      <c r="HE29">
        <v>11.9201</v>
      </c>
      <c r="HF29">
        <v>4.9598000000000004</v>
      </c>
      <c r="HG29">
        <v>3.28898</v>
      </c>
      <c r="HH29">
        <v>9999</v>
      </c>
      <c r="HI29">
        <v>9999</v>
      </c>
      <c r="HJ29">
        <v>9999</v>
      </c>
      <c r="HK29">
        <v>999.9</v>
      </c>
      <c r="HL29">
        <v>1.88127</v>
      </c>
      <c r="HM29">
        <v>1.87849</v>
      </c>
      <c r="HN29">
        <v>1.8864099999999999</v>
      </c>
      <c r="HO29">
        <v>1.8841600000000001</v>
      </c>
      <c r="HP29">
        <v>1.88171</v>
      </c>
      <c r="HQ29">
        <v>1.8807100000000001</v>
      </c>
      <c r="HR29">
        <v>1.8818699999999999</v>
      </c>
      <c r="HS29">
        <v>1.8813899999999999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-0.38500000000000001</v>
      </c>
      <c r="IH29">
        <v>-1.8979999999999999</v>
      </c>
      <c r="II29">
        <v>-0.41843290259854898</v>
      </c>
      <c r="IJ29">
        <v>8.9935118796959448E-4</v>
      </c>
      <c r="IK29">
        <v>-5.3495398746875769E-7</v>
      </c>
      <c r="IL29">
        <v>3.209454383910538E-10</v>
      </c>
      <c r="IM29">
        <v>-1.89903</v>
      </c>
      <c r="IN29">
        <v>0</v>
      </c>
      <c r="IO29">
        <v>0</v>
      </c>
      <c r="IP29">
        <v>0</v>
      </c>
      <c r="IQ29">
        <v>1</v>
      </c>
      <c r="IR29">
        <v>2101</v>
      </c>
      <c r="IS29">
        <v>1</v>
      </c>
      <c r="IT29">
        <v>21</v>
      </c>
      <c r="IU29">
        <v>1.6</v>
      </c>
      <c r="IV29">
        <v>1.5</v>
      </c>
      <c r="IW29">
        <v>0.26489299999999999</v>
      </c>
      <c r="IX29">
        <v>2.5293000000000001</v>
      </c>
      <c r="IY29">
        <v>2.34375</v>
      </c>
      <c r="IZ29">
        <v>2.9186999999999999</v>
      </c>
      <c r="JA29">
        <v>3.0480999999999998</v>
      </c>
      <c r="JB29">
        <v>2.3559600000000001</v>
      </c>
      <c r="JC29">
        <v>43.290399999999998</v>
      </c>
      <c r="JD29">
        <v>23.868600000000001</v>
      </c>
      <c r="JE29">
        <v>18</v>
      </c>
      <c r="JF29">
        <v>472.17899999999997</v>
      </c>
      <c r="JG29">
        <v>1207.55</v>
      </c>
      <c r="JH29">
        <v>26.8263</v>
      </c>
      <c r="JI29">
        <v>35.224699999999999</v>
      </c>
      <c r="JJ29">
        <v>30</v>
      </c>
      <c r="JK29">
        <v>35.1248</v>
      </c>
      <c r="JL29">
        <v>35.064900000000002</v>
      </c>
      <c r="JM29">
        <v>5.3680300000000001</v>
      </c>
      <c r="JN29">
        <v>29.200600000000001</v>
      </c>
      <c r="JO29">
        <v>74.920400000000001</v>
      </c>
      <c r="JP29">
        <v>26.842600000000001</v>
      </c>
      <c r="JQ29">
        <v>30</v>
      </c>
      <c r="JR29">
        <v>20.081</v>
      </c>
      <c r="JS29">
        <v>99.197900000000004</v>
      </c>
      <c r="JT29">
        <v>99.026799999999994</v>
      </c>
    </row>
    <row r="30" spans="1:280" x14ac:dyDescent="0.25">
      <c r="A30">
        <v>14</v>
      </c>
      <c r="B30">
        <v>1700149739.5999999</v>
      </c>
      <c r="C30">
        <v>1779.099999904633</v>
      </c>
      <c r="D30" t="s">
        <v>473</v>
      </c>
      <c r="E30" t="s">
        <v>474</v>
      </c>
      <c r="F30" t="s">
        <v>412</v>
      </c>
      <c r="G30" t="s">
        <v>413</v>
      </c>
      <c r="H30" t="s">
        <v>414</v>
      </c>
      <c r="I30">
        <v>1700149739.5999999</v>
      </c>
      <c r="J30">
        <f t="shared" si="0"/>
        <v>7.6137043681062926E-3</v>
      </c>
      <c r="K30">
        <f t="shared" si="1"/>
        <v>7.6137043681062924</v>
      </c>
      <c r="L30">
        <f t="shared" si="2"/>
        <v>1.8310989349161724</v>
      </c>
      <c r="M30">
        <f t="shared" si="3"/>
        <v>7.7624599999999999</v>
      </c>
      <c r="N30">
        <f t="shared" si="4"/>
        <v>2.2330347231297925</v>
      </c>
      <c r="O30">
        <f t="shared" si="5"/>
        <v>0.22253841228648771</v>
      </c>
      <c r="P30">
        <f t="shared" si="6"/>
        <v>0.77358650357939995</v>
      </c>
      <c r="Q30">
        <f t="shared" si="7"/>
        <v>0.59242774686061639</v>
      </c>
      <c r="R30">
        <f t="shared" si="8"/>
        <v>2.9346290126934038</v>
      </c>
      <c r="S30">
        <f t="shared" si="9"/>
        <v>0.53312827383384787</v>
      </c>
      <c r="T30">
        <f t="shared" si="10"/>
        <v>0.33803699521039482</v>
      </c>
      <c r="U30">
        <f t="shared" si="11"/>
        <v>344.39789864429048</v>
      </c>
      <c r="V30">
        <f t="shared" si="12"/>
        <v>30.606406409310186</v>
      </c>
      <c r="W30">
        <f t="shared" si="13"/>
        <v>29.994299999999999</v>
      </c>
      <c r="X30">
        <f t="shared" si="14"/>
        <v>4.2590550859729133</v>
      </c>
      <c r="Y30">
        <f t="shared" si="15"/>
        <v>65.635034500245325</v>
      </c>
      <c r="Z30">
        <f t="shared" si="16"/>
        <v>2.8868553420419998</v>
      </c>
      <c r="AA30">
        <f t="shared" si="17"/>
        <v>4.3983451277552224</v>
      </c>
      <c r="AB30">
        <f t="shared" si="18"/>
        <v>1.3721997439309135</v>
      </c>
      <c r="AC30">
        <f t="shared" si="19"/>
        <v>-335.76436263348751</v>
      </c>
      <c r="AD30">
        <f t="shared" si="20"/>
        <v>88.820059233168678</v>
      </c>
      <c r="AE30">
        <f t="shared" si="21"/>
        <v>6.7480651318632496</v>
      </c>
      <c r="AF30">
        <f t="shared" si="22"/>
        <v>104.2016603758349</v>
      </c>
      <c r="AG30">
        <v>18</v>
      </c>
      <c r="AH30">
        <v>4</v>
      </c>
      <c r="AI30">
        <f t="shared" si="23"/>
        <v>1</v>
      </c>
      <c r="AJ30">
        <f t="shared" si="24"/>
        <v>0</v>
      </c>
      <c r="AK30">
        <f t="shared" si="25"/>
        <v>51882.92666101241</v>
      </c>
      <c r="AL30" t="s">
        <v>426</v>
      </c>
      <c r="AM30" t="s">
        <v>426</v>
      </c>
      <c r="AN30">
        <v>0</v>
      </c>
      <c r="AO30">
        <v>0</v>
      </c>
      <c r="AP30" t="e">
        <f t="shared" si="26"/>
        <v>#DIV/0!</v>
      </c>
      <c r="AQ30">
        <v>0</v>
      </c>
      <c r="AR30" t="s">
        <v>426</v>
      </c>
      <c r="AS30" t="s">
        <v>426</v>
      </c>
      <c r="AT30">
        <v>0</v>
      </c>
      <c r="AU30">
        <v>0</v>
      </c>
      <c r="AV30" t="e">
        <f t="shared" si="27"/>
        <v>#DIV/0!</v>
      </c>
      <c r="AW30">
        <v>0.5</v>
      </c>
      <c r="AX30">
        <f t="shared" si="28"/>
        <v>1513.3106993221452</v>
      </c>
      <c r="AY30">
        <f t="shared" si="29"/>
        <v>1.8310989349161724</v>
      </c>
      <c r="AZ30" t="e">
        <f t="shared" si="30"/>
        <v>#DIV/0!</v>
      </c>
      <c r="BA30">
        <f t="shared" si="31"/>
        <v>1.2099953669371223E-3</v>
      </c>
      <c r="BB30" t="e">
        <f t="shared" si="32"/>
        <v>#DIV/0!</v>
      </c>
      <c r="BC30" t="e">
        <f t="shared" si="33"/>
        <v>#DIV/0!</v>
      </c>
      <c r="BD30" t="s">
        <v>426</v>
      </c>
      <c r="BE30">
        <v>0</v>
      </c>
      <c r="BF30" t="e">
        <f t="shared" si="34"/>
        <v>#DIV/0!</v>
      </c>
      <c r="BG30" t="e">
        <f t="shared" si="35"/>
        <v>#DIV/0!</v>
      </c>
      <c r="BH30" t="e">
        <f t="shared" si="36"/>
        <v>#DIV/0!</v>
      </c>
      <c r="BI30" t="e">
        <f t="shared" si="37"/>
        <v>#DIV/0!</v>
      </c>
      <c r="BJ30" t="e">
        <f t="shared" si="38"/>
        <v>#DIV/0!</v>
      </c>
      <c r="BK30" t="e">
        <f t="shared" si="39"/>
        <v>#DIV/0!</v>
      </c>
      <c r="BL30" t="e">
        <f t="shared" si="40"/>
        <v>#DIV/0!</v>
      </c>
      <c r="BM30" t="e">
        <f t="shared" si="41"/>
        <v>#DIV/0!</v>
      </c>
      <c r="BN30">
        <v>292</v>
      </c>
      <c r="BO30">
        <v>290.00000000000011</v>
      </c>
      <c r="BP30">
        <v>831.43</v>
      </c>
      <c r="BQ30">
        <v>275</v>
      </c>
      <c r="BR30">
        <v>7243.5</v>
      </c>
      <c r="BS30">
        <v>831.12</v>
      </c>
      <c r="BT30">
        <v>0.31</v>
      </c>
      <c r="BU30">
        <v>300.00000000000011</v>
      </c>
      <c r="BV30">
        <v>38</v>
      </c>
      <c r="BW30">
        <v>853.42110382895282</v>
      </c>
      <c r="BX30">
        <v>1.217676333635582</v>
      </c>
      <c r="BY30">
        <v>-16.155377730229311</v>
      </c>
      <c r="BZ30">
        <v>0.73934482138006929</v>
      </c>
      <c r="CA30">
        <v>0.94460529618420042</v>
      </c>
      <c r="CB30">
        <v>-7.1428307007786393E-3</v>
      </c>
      <c r="CC30">
        <v>289.99999999999989</v>
      </c>
      <c r="CD30">
        <v>829.71</v>
      </c>
      <c r="CE30">
        <v>775</v>
      </c>
      <c r="CF30">
        <v>7237.57</v>
      </c>
      <c r="CG30">
        <v>831.1</v>
      </c>
      <c r="CH30">
        <v>-1.39</v>
      </c>
      <c r="CV30">
        <f t="shared" si="42"/>
        <v>1800.15</v>
      </c>
      <c r="CW30">
        <f t="shared" si="43"/>
        <v>1513.3106993221452</v>
      </c>
      <c r="CX30">
        <f t="shared" si="44"/>
        <v>0.84065811144746005</v>
      </c>
      <c r="CY30">
        <f t="shared" si="45"/>
        <v>0.19131622289492012</v>
      </c>
      <c r="CZ30">
        <v>5.9</v>
      </c>
      <c r="DA30">
        <v>0.5</v>
      </c>
      <c r="DB30" t="s">
        <v>418</v>
      </c>
      <c r="DC30">
        <v>2</v>
      </c>
      <c r="DD30">
        <v>1700149739.5999999</v>
      </c>
      <c r="DE30">
        <v>7.7624599999999999</v>
      </c>
      <c r="DF30">
        <v>9.9930699999999995</v>
      </c>
      <c r="DG30">
        <v>28.9678</v>
      </c>
      <c r="DH30">
        <v>20.243200000000002</v>
      </c>
      <c r="DI30">
        <v>8.1111500000000003</v>
      </c>
      <c r="DJ30">
        <v>30.866399999999999</v>
      </c>
      <c r="DK30">
        <v>499.96100000000001</v>
      </c>
      <c r="DL30">
        <v>99.557299999999998</v>
      </c>
      <c r="DM30">
        <v>0.10009</v>
      </c>
      <c r="DN30">
        <v>30.555700000000002</v>
      </c>
      <c r="DO30">
        <v>29.994299999999999</v>
      </c>
      <c r="DP30">
        <v>999.9</v>
      </c>
      <c r="DQ30">
        <v>0</v>
      </c>
      <c r="DR30">
        <v>0</v>
      </c>
      <c r="DS30">
        <v>9971.25</v>
      </c>
      <c r="DT30">
        <v>0</v>
      </c>
      <c r="DU30">
        <v>218.72399999999999</v>
      </c>
      <c r="DV30">
        <v>-2.23061</v>
      </c>
      <c r="DW30">
        <v>7.9940300000000004</v>
      </c>
      <c r="DX30">
        <v>10.1995</v>
      </c>
      <c r="DY30">
        <v>8.7246100000000002</v>
      </c>
      <c r="DZ30">
        <v>9.9930699999999995</v>
      </c>
      <c r="EA30">
        <v>20.243200000000002</v>
      </c>
      <c r="EB30">
        <v>2.8839600000000001</v>
      </c>
      <c r="EC30">
        <v>2.0153599999999998</v>
      </c>
      <c r="ED30">
        <v>23.372699999999998</v>
      </c>
      <c r="EE30">
        <v>17.5655</v>
      </c>
      <c r="EF30">
        <v>1800.15</v>
      </c>
      <c r="EG30">
        <v>0.97800299999999996</v>
      </c>
      <c r="EH30">
        <v>2.19974E-2</v>
      </c>
      <c r="EI30">
        <v>0</v>
      </c>
      <c r="EJ30">
        <v>791.94399999999996</v>
      </c>
      <c r="EK30">
        <v>5.0010300000000001</v>
      </c>
      <c r="EL30">
        <v>14377.6</v>
      </c>
      <c r="EM30">
        <v>14702.3</v>
      </c>
      <c r="EN30">
        <v>47</v>
      </c>
      <c r="EO30">
        <v>48.936999999999998</v>
      </c>
      <c r="EP30">
        <v>48.375</v>
      </c>
      <c r="EQ30">
        <v>47.75</v>
      </c>
      <c r="ER30">
        <v>48.625</v>
      </c>
      <c r="ES30">
        <v>1755.66</v>
      </c>
      <c r="ET30">
        <v>39.49</v>
      </c>
      <c r="EU30">
        <v>0</v>
      </c>
      <c r="EV30">
        <v>143.60000014305109</v>
      </c>
      <c r="EW30">
        <v>0</v>
      </c>
      <c r="EX30">
        <v>792.02684615384601</v>
      </c>
      <c r="EY30">
        <v>0.41141879740619858</v>
      </c>
      <c r="EZ30">
        <v>72.820512750305923</v>
      </c>
      <c r="FA30">
        <v>14372.36153846154</v>
      </c>
      <c r="FB30">
        <v>15</v>
      </c>
      <c r="FC30">
        <v>1700149706.0999999</v>
      </c>
      <c r="FD30" t="s">
        <v>475</v>
      </c>
      <c r="FE30">
        <v>1700149702.0999999</v>
      </c>
      <c r="FF30">
        <v>1700149706.0999999</v>
      </c>
      <c r="FG30">
        <v>15</v>
      </c>
      <c r="FH30">
        <v>5.6000000000000001E-2</v>
      </c>
      <c r="FI30">
        <v>-1E-3</v>
      </c>
      <c r="FJ30">
        <v>-0.34699999999999998</v>
      </c>
      <c r="FK30">
        <v>-1.899</v>
      </c>
      <c r="FL30">
        <v>10</v>
      </c>
      <c r="FM30">
        <v>20</v>
      </c>
      <c r="FN30">
        <v>0.38</v>
      </c>
      <c r="FO30">
        <v>0.01</v>
      </c>
      <c r="FP30">
        <v>1.854254180283579</v>
      </c>
      <c r="FQ30">
        <v>3.2671149255316813E-2</v>
      </c>
      <c r="FR30">
        <v>3.2503890342921699E-2</v>
      </c>
      <c r="FS30">
        <v>1</v>
      </c>
      <c r="FT30">
        <v>0.59236059270111219</v>
      </c>
      <c r="FU30">
        <v>3.0717155595476869E-2</v>
      </c>
      <c r="FV30">
        <v>3.4073558042180272E-3</v>
      </c>
      <c r="FW30">
        <v>1</v>
      </c>
      <c r="FX30">
        <v>2</v>
      </c>
      <c r="FY30">
        <v>2</v>
      </c>
      <c r="FZ30" t="s">
        <v>420</v>
      </c>
      <c r="GA30">
        <v>2.8966099999999999</v>
      </c>
      <c r="GB30">
        <v>2.81785</v>
      </c>
      <c r="GC30">
        <v>2.2225600000000002E-3</v>
      </c>
      <c r="GD30">
        <v>2.7468200000000001E-3</v>
      </c>
      <c r="GE30">
        <v>0.14208399999999999</v>
      </c>
      <c r="GF30">
        <v>0.105466</v>
      </c>
      <c r="GG30">
        <v>27597.200000000001</v>
      </c>
      <c r="GH30">
        <v>27698.799999999999</v>
      </c>
      <c r="GI30">
        <v>24555.200000000001</v>
      </c>
      <c r="GJ30">
        <v>24824.1</v>
      </c>
      <c r="GK30">
        <v>28037.599999999999</v>
      </c>
      <c r="GL30">
        <v>28863.8</v>
      </c>
      <c r="GM30">
        <v>33260.400000000001</v>
      </c>
      <c r="GN30">
        <v>33198.1</v>
      </c>
      <c r="GO30">
        <v>1.8965700000000001</v>
      </c>
      <c r="GP30">
        <v>2.5214500000000002</v>
      </c>
      <c r="GQ30">
        <v>3.8620099999999997E-2</v>
      </c>
      <c r="GR30">
        <v>0</v>
      </c>
      <c r="GS30">
        <v>29.365500000000001</v>
      </c>
      <c r="GT30">
        <v>999.9</v>
      </c>
      <c r="GU30">
        <v>49.3</v>
      </c>
      <c r="GV30">
        <v>36.200000000000003</v>
      </c>
      <c r="GW30">
        <v>29.8825</v>
      </c>
      <c r="GX30">
        <v>63.0092</v>
      </c>
      <c r="GY30">
        <v>-5.3205099999999996</v>
      </c>
      <c r="GZ30">
        <v>3</v>
      </c>
      <c r="HA30">
        <v>0.655775</v>
      </c>
      <c r="HB30">
        <v>2.52258</v>
      </c>
      <c r="HC30">
        <v>20.144400000000001</v>
      </c>
      <c r="HD30">
        <v>5.2280699999999998</v>
      </c>
      <c r="HE30">
        <v>11.9201</v>
      </c>
      <c r="HF30">
        <v>4.9587000000000003</v>
      </c>
      <c r="HG30">
        <v>3.2881300000000002</v>
      </c>
      <c r="HH30">
        <v>9999</v>
      </c>
      <c r="HI30">
        <v>9999</v>
      </c>
      <c r="HJ30">
        <v>9999</v>
      </c>
      <c r="HK30">
        <v>999.9</v>
      </c>
      <c r="HL30">
        <v>1.8812899999999999</v>
      </c>
      <c r="HM30">
        <v>1.8785099999999999</v>
      </c>
      <c r="HN30">
        <v>1.8864099999999999</v>
      </c>
      <c r="HO30">
        <v>1.8841600000000001</v>
      </c>
      <c r="HP30">
        <v>1.88171</v>
      </c>
      <c r="HQ30">
        <v>1.88076</v>
      </c>
      <c r="HR30">
        <v>1.8818699999999999</v>
      </c>
      <c r="HS30">
        <v>1.88141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-0.34899999999999998</v>
      </c>
      <c r="IH30">
        <v>-1.8986000000000001</v>
      </c>
      <c r="II30">
        <v>-0.35595666875047072</v>
      </c>
      <c r="IJ30">
        <v>8.9935118796959448E-4</v>
      </c>
      <c r="IK30">
        <v>-5.3495398746875769E-7</v>
      </c>
      <c r="IL30">
        <v>3.209454383910538E-10</v>
      </c>
      <c r="IM30">
        <v>-1.8985299999999969</v>
      </c>
      <c r="IN30">
        <v>0</v>
      </c>
      <c r="IO30">
        <v>0</v>
      </c>
      <c r="IP30">
        <v>0</v>
      </c>
      <c r="IQ30">
        <v>1</v>
      </c>
      <c r="IR30">
        <v>2101</v>
      </c>
      <c r="IS30">
        <v>1</v>
      </c>
      <c r="IT30">
        <v>21</v>
      </c>
      <c r="IU30">
        <v>0.6</v>
      </c>
      <c r="IV30">
        <v>0.6</v>
      </c>
      <c r="IW30">
        <v>0.19409199999999999</v>
      </c>
      <c r="IX30">
        <v>2.5463900000000002</v>
      </c>
      <c r="IY30">
        <v>2.34375</v>
      </c>
      <c r="IZ30">
        <v>2.9186999999999999</v>
      </c>
      <c r="JA30">
        <v>3.0480999999999998</v>
      </c>
      <c r="JB30">
        <v>2.3290999999999999</v>
      </c>
      <c r="JC30">
        <v>43.59</v>
      </c>
      <c r="JD30">
        <v>23.8598</v>
      </c>
      <c r="JE30">
        <v>18</v>
      </c>
      <c r="JF30">
        <v>471.72800000000001</v>
      </c>
      <c r="JG30">
        <v>1205.28</v>
      </c>
      <c r="JH30">
        <v>26.599799999999998</v>
      </c>
      <c r="JI30">
        <v>35.211799999999997</v>
      </c>
      <c r="JJ30">
        <v>30.0001</v>
      </c>
      <c r="JK30">
        <v>35.139699999999998</v>
      </c>
      <c r="JL30">
        <v>35.086399999999998</v>
      </c>
      <c r="JM30">
        <v>3.95566</v>
      </c>
      <c r="JN30">
        <v>27.855699999999999</v>
      </c>
      <c r="JO30">
        <v>70.848399999999998</v>
      </c>
      <c r="JP30">
        <v>26.601700000000001</v>
      </c>
      <c r="JQ30">
        <v>10</v>
      </c>
      <c r="JR30">
        <v>20.148900000000001</v>
      </c>
      <c r="JS30">
        <v>99.201400000000007</v>
      </c>
      <c r="JT30">
        <v>99.027100000000004</v>
      </c>
    </row>
    <row r="31" spans="1:280" x14ac:dyDescent="0.25">
      <c r="A31">
        <v>15</v>
      </c>
      <c r="B31">
        <v>1700150875.5999999</v>
      </c>
      <c r="C31">
        <v>2915.099999904633</v>
      </c>
      <c r="D31" t="s">
        <v>476</v>
      </c>
      <c r="E31" t="s">
        <v>477</v>
      </c>
      <c r="F31" t="s">
        <v>412</v>
      </c>
      <c r="G31" t="s">
        <v>478</v>
      </c>
      <c r="H31" t="s">
        <v>31</v>
      </c>
      <c r="I31">
        <v>1700150875.5999999</v>
      </c>
      <c r="J31">
        <f t="shared" si="0"/>
        <v>4.3723916459765116E-3</v>
      </c>
      <c r="K31">
        <f t="shared" si="1"/>
        <v>4.3723916459765118</v>
      </c>
      <c r="L31">
        <f t="shared" si="2"/>
        <v>53.198266902099817</v>
      </c>
      <c r="M31">
        <f t="shared" si="3"/>
        <v>404.30399999999997</v>
      </c>
      <c r="N31">
        <f t="shared" si="4"/>
        <v>91.91442583904572</v>
      </c>
      <c r="O31">
        <f t="shared" si="5"/>
        <v>9.153927573126726</v>
      </c>
      <c r="P31">
        <f t="shared" si="6"/>
        <v>40.265382715944</v>
      </c>
      <c r="Q31">
        <f t="shared" si="7"/>
        <v>0.28931694396628388</v>
      </c>
      <c r="R31">
        <f t="shared" si="8"/>
        <v>3.378723060809885</v>
      </c>
      <c r="S31">
        <f t="shared" si="9"/>
        <v>0.27622464105170996</v>
      </c>
      <c r="T31">
        <f t="shared" si="10"/>
        <v>0.17376731505127108</v>
      </c>
      <c r="U31">
        <f t="shared" si="11"/>
        <v>344.35479864377385</v>
      </c>
      <c r="V31">
        <f t="shared" si="12"/>
        <v>30.531545540602057</v>
      </c>
      <c r="W31">
        <f t="shared" si="13"/>
        <v>30.004100000000001</v>
      </c>
      <c r="X31">
        <f t="shared" si="14"/>
        <v>4.2614532140369183</v>
      </c>
      <c r="Y31">
        <f t="shared" si="15"/>
        <v>65.250100130711587</v>
      </c>
      <c r="Z31">
        <f t="shared" si="16"/>
        <v>2.74041909925025</v>
      </c>
      <c r="AA31">
        <f t="shared" si="17"/>
        <v>4.1998695691815549</v>
      </c>
      <c r="AB31">
        <f t="shared" si="18"/>
        <v>1.5210341147866684</v>
      </c>
      <c r="AC31">
        <f t="shared" si="19"/>
        <v>-192.82247158756417</v>
      </c>
      <c r="AD31">
        <f t="shared" si="20"/>
        <v>-46.121321310089598</v>
      </c>
      <c r="AE31">
        <f t="shared" si="21"/>
        <v>-3.0315271640373989</v>
      </c>
      <c r="AF31">
        <f t="shared" si="22"/>
        <v>102.37947858208267</v>
      </c>
      <c r="AG31">
        <v>43</v>
      </c>
      <c r="AH31">
        <v>9</v>
      </c>
      <c r="AI31">
        <f t="shared" si="23"/>
        <v>1</v>
      </c>
      <c r="AJ31">
        <f t="shared" si="24"/>
        <v>0</v>
      </c>
      <c r="AK31">
        <f t="shared" si="25"/>
        <v>52246.048906127609</v>
      </c>
      <c r="AL31" t="s">
        <v>415</v>
      </c>
      <c r="AM31">
        <v>7163.32</v>
      </c>
      <c r="AN31">
        <v>295.04692307692312</v>
      </c>
      <c r="AO31">
        <v>723.15082041179414</v>
      </c>
      <c r="AP31">
        <f t="shared" si="26"/>
        <v>0.59199808013920208</v>
      </c>
      <c r="AQ31">
        <v>-3.795255127542589</v>
      </c>
      <c r="AR31" t="s">
        <v>479</v>
      </c>
      <c r="AS31">
        <v>7248.17</v>
      </c>
      <c r="AT31">
        <v>619.01056000000005</v>
      </c>
      <c r="AU31">
        <v>874.98617814369197</v>
      </c>
      <c r="AV31">
        <f t="shared" si="27"/>
        <v>0.29254818480304623</v>
      </c>
      <c r="AW31">
        <v>0.5</v>
      </c>
      <c r="AX31">
        <f t="shared" si="28"/>
        <v>1513.1177993218869</v>
      </c>
      <c r="AY31">
        <f t="shared" si="29"/>
        <v>53.198266902099817</v>
      </c>
      <c r="AZ31">
        <f t="shared" si="30"/>
        <v>221.32993279239898</v>
      </c>
      <c r="BA31">
        <f t="shared" si="31"/>
        <v>3.7666282199035929E-2</v>
      </c>
      <c r="BB31">
        <f t="shared" si="32"/>
        <v>-0.17352886425477126</v>
      </c>
      <c r="BC31">
        <f t="shared" si="33"/>
        <v>317.5279357846307</v>
      </c>
      <c r="BD31" t="s">
        <v>480</v>
      </c>
      <c r="BE31">
        <v>409.3</v>
      </c>
      <c r="BF31">
        <f t="shared" si="34"/>
        <v>409.3</v>
      </c>
      <c r="BG31">
        <f t="shared" si="35"/>
        <v>0.5322211822038817</v>
      </c>
      <c r="BH31">
        <f t="shared" si="36"/>
        <v>0.54967407270719593</v>
      </c>
      <c r="BI31">
        <f t="shared" si="37"/>
        <v>-0.48378193669425262</v>
      </c>
      <c r="BJ31">
        <f t="shared" si="38"/>
        <v>0.44138349992228282</v>
      </c>
      <c r="BK31">
        <f t="shared" si="39"/>
        <v>-0.35466941244202066</v>
      </c>
      <c r="BL31">
        <f t="shared" si="40"/>
        <v>0.36345357009588863</v>
      </c>
      <c r="BM31">
        <f t="shared" si="41"/>
        <v>0.63654642990411137</v>
      </c>
      <c r="BN31">
        <v>294</v>
      </c>
      <c r="BO31">
        <v>290.00000000000011</v>
      </c>
      <c r="BP31">
        <v>806.07</v>
      </c>
      <c r="BQ31">
        <v>275</v>
      </c>
      <c r="BR31">
        <v>7248.17</v>
      </c>
      <c r="BS31">
        <v>806.68</v>
      </c>
      <c r="BT31">
        <v>-0.61</v>
      </c>
      <c r="BU31">
        <v>300.00000000000011</v>
      </c>
      <c r="BV31">
        <v>38</v>
      </c>
      <c r="BW31">
        <v>874.98617814369197</v>
      </c>
      <c r="BX31">
        <v>1.334777374580953</v>
      </c>
      <c r="BY31">
        <v>-49.509271420592079</v>
      </c>
      <c r="BZ31">
        <v>0.81095384741085497</v>
      </c>
      <c r="CA31">
        <v>0.9925436403280794</v>
      </c>
      <c r="CB31">
        <v>-7.1480569521690743E-3</v>
      </c>
      <c r="CC31">
        <v>289.99999999999989</v>
      </c>
      <c r="CD31">
        <v>815.32</v>
      </c>
      <c r="CE31">
        <v>785</v>
      </c>
      <c r="CF31">
        <v>7242.09</v>
      </c>
      <c r="CG31">
        <v>806.62</v>
      </c>
      <c r="CH31">
        <v>8.6999999999999993</v>
      </c>
      <c r="CV31">
        <f t="shared" si="42"/>
        <v>1799.92</v>
      </c>
      <c r="CW31">
        <f t="shared" si="43"/>
        <v>1513.1177993218869</v>
      </c>
      <c r="CX31">
        <f t="shared" si="44"/>
        <v>0.84065836221714674</v>
      </c>
      <c r="CY31">
        <f t="shared" si="45"/>
        <v>0.19131672443429365</v>
      </c>
      <c r="CZ31">
        <v>4.16</v>
      </c>
      <c r="DA31">
        <v>0.5</v>
      </c>
      <c r="DB31" t="s">
        <v>418</v>
      </c>
      <c r="DC31">
        <v>2</v>
      </c>
      <c r="DD31">
        <v>1700150875.5999999</v>
      </c>
      <c r="DE31">
        <v>404.30399999999997</v>
      </c>
      <c r="DF31">
        <v>450.04700000000003</v>
      </c>
      <c r="DG31">
        <v>27.516500000000001</v>
      </c>
      <c r="DH31">
        <v>23.977900000000002</v>
      </c>
      <c r="DI31">
        <v>404.89100000000002</v>
      </c>
      <c r="DJ31">
        <v>29.442799999999998</v>
      </c>
      <c r="DK31">
        <v>499.87700000000001</v>
      </c>
      <c r="DL31">
        <v>99.492099999999994</v>
      </c>
      <c r="DM31">
        <v>9.9748500000000004E-2</v>
      </c>
      <c r="DN31">
        <v>29.750900000000001</v>
      </c>
      <c r="DO31">
        <v>30.004100000000001</v>
      </c>
      <c r="DP31">
        <v>999.9</v>
      </c>
      <c r="DQ31">
        <v>0</v>
      </c>
      <c r="DR31">
        <v>0</v>
      </c>
      <c r="DS31">
        <v>10023.1</v>
      </c>
      <c r="DT31">
        <v>0</v>
      </c>
      <c r="DU31">
        <v>247.22399999999999</v>
      </c>
      <c r="DV31">
        <v>-45.742199999999997</v>
      </c>
      <c r="DW31">
        <v>415.74400000000003</v>
      </c>
      <c r="DX31">
        <v>461.10300000000001</v>
      </c>
      <c r="DY31">
        <v>3.5386500000000001</v>
      </c>
      <c r="DZ31">
        <v>450.04700000000003</v>
      </c>
      <c r="EA31">
        <v>23.977900000000002</v>
      </c>
      <c r="EB31">
        <v>2.7376800000000001</v>
      </c>
      <c r="EC31">
        <v>2.3856099999999998</v>
      </c>
      <c r="ED31">
        <v>22.513000000000002</v>
      </c>
      <c r="EE31">
        <v>20.266400000000001</v>
      </c>
      <c r="EF31">
        <v>1799.92</v>
      </c>
      <c r="EG31">
        <v>0.97799499999999995</v>
      </c>
      <c r="EH31">
        <v>2.2004699999999999E-2</v>
      </c>
      <c r="EI31">
        <v>0</v>
      </c>
      <c r="EJ31">
        <v>618.904</v>
      </c>
      <c r="EK31">
        <v>5.0010300000000001</v>
      </c>
      <c r="EL31">
        <v>11408.8</v>
      </c>
      <c r="EM31">
        <v>14700.4</v>
      </c>
      <c r="EN31">
        <v>47.625</v>
      </c>
      <c r="EO31">
        <v>49.5</v>
      </c>
      <c r="EP31">
        <v>49.125</v>
      </c>
      <c r="EQ31">
        <v>48.561999999999998</v>
      </c>
      <c r="ER31">
        <v>49.25</v>
      </c>
      <c r="ES31">
        <v>1755.42</v>
      </c>
      <c r="ET31">
        <v>39.5</v>
      </c>
      <c r="EU31">
        <v>0</v>
      </c>
      <c r="EV31">
        <v>1279.400000095367</v>
      </c>
      <c r="EW31">
        <v>0</v>
      </c>
      <c r="EX31">
        <v>619.01056000000005</v>
      </c>
      <c r="EY31">
        <v>-1.6090769272284691</v>
      </c>
      <c r="EZ31">
        <v>81.09999980374657</v>
      </c>
      <c r="FA31">
        <v>11405.608</v>
      </c>
      <c r="FB31">
        <v>15</v>
      </c>
      <c r="FC31">
        <v>1700150840.5999999</v>
      </c>
      <c r="FD31" t="s">
        <v>481</v>
      </c>
      <c r="FE31">
        <v>1700150840.5999999</v>
      </c>
      <c r="FF31">
        <v>1700150835.0999999</v>
      </c>
      <c r="FG31">
        <v>17</v>
      </c>
      <c r="FH31">
        <v>-0.378</v>
      </c>
      <c r="FI31">
        <v>-1.2E-2</v>
      </c>
      <c r="FJ31">
        <v>-0.55800000000000005</v>
      </c>
      <c r="FK31">
        <v>-1.9259999999999999</v>
      </c>
      <c r="FL31">
        <v>450</v>
      </c>
      <c r="FM31">
        <v>24</v>
      </c>
      <c r="FN31">
        <v>0.04</v>
      </c>
      <c r="FO31">
        <v>0.03</v>
      </c>
      <c r="FP31">
        <v>53.23283046117551</v>
      </c>
      <c r="FQ31">
        <v>-0.15546184516040859</v>
      </c>
      <c r="FR31">
        <v>3.9946742196950873E-2</v>
      </c>
      <c r="FS31">
        <v>1</v>
      </c>
      <c r="FT31">
        <v>0.28297367672866652</v>
      </c>
      <c r="FU31">
        <v>4.0122769534868138E-2</v>
      </c>
      <c r="FV31">
        <v>3.236464626519938E-3</v>
      </c>
      <c r="FW31">
        <v>1</v>
      </c>
      <c r="FX31">
        <v>2</v>
      </c>
      <c r="FY31">
        <v>2</v>
      </c>
      <c r="FZ31" t="s">
        <v>420</v>
      </c>
      <c r="GA31">
        <v>2.8963999999999999</v>
      </c>
      <c r="GB31">
        <v>2.8179500000000002</v>
      </c>
      <c r="GC31">
        <v>9.1167200000000004E-2</v>
      </c>
      <c r="GD31">
        <v>9.8758100000000001E-2</v>
      </c>
      <c r="GE31">
        <v>0.13750299999999999</v>
      </c>
      <c r="GF31">
        <v>0.118518</v>
      </c>
      <c r="GG31">
        <v>25144</v>
      </c>
      <c r="GH31">
        <v>25022.1</v>
      </c>
      <c r="GI31">
        <v>24558.2</v>
      </c>
      <c r="GJ31">
        <v>24809.7</v>
      </c>
      <c r="GK31">
        <v>28189.9</v>
      </c>
      <c r="GL31">
        <v>28417.599999999999</v>
      </c>
      <c r="GM31">
        <v>33263.1</v>
      </c>
      <c r="GN31">
        <v>33169.300000000003</v>
      </c>
      <c r="GO31">
        <v>1.8473200000000001</v>
      </c>
      <c r="GP31">
        <v>2.51728</v>
      </c>
      <c r="GQ31">
        <v>4.8793900000000001E-2</v>
      </c>
      <c r="GR31">
        <v>0</v>
      </c>
      <c r="GS31">
        <v>29.209499999999998</v>
      </c>
      <c r="GT31">
        <v>999.9</v>
      </c>
      <c r="GU31">
        <v>47.3</v>
      </c>
      <c r="GV31">
        <v>38.4</v>
      </c>
      <c r="GW31">
        <v>32.341299999999997</v>
      </c>
      <c r="GX31">
        <v>63.019399999999997</v>
      </c>
      <c r="GY31">
        <v>-5.6730799999999997</v>
      </c>
      <c r="GZ31">
        <v>3</v>
      </c>
      <c r="HA31">
        <v>0.658582</v>
      </c>
      <c r="HB31">
        <v>3.0138600000000002</v>
      </c>
      <c r="HC31">
        <v>20.137899999999998</v>
      </c>
      <c r="HD31">
        <v>5.2319699999999996</v>
      </c>
      <c r="HE31">
        <v>11.920400000000001</v>
      </c>
      <c r="HF31">
        <v>4.9592000000000001</v>
      </c>
      <c r="HG31">
        <v>3.2883300000000002</v>
      </c>
      <c r="HH31">
        <v>9999</v>
      </c>
      <c r="HI31">
        <v>9999</v>
      </c>
      <c r="HJ31">
        <v>9999</v>
      </c>
      <c r="HK31">
        <v>999.9</v>
      </c>
      <c r="HL31">
        <v>1.88127</v>
      </c>
      <c r="HM31">
        <v>1.8785099999999999</v>
      </c>
      <c r="HN31">
        <v>1.8864399999999999</v>
      </c>
      <c r="HO31">
        <v>1.88419</v>
      </c>
      <c r="HP31">
        <v>1.88171</v>
      </c>
      <c r="HQ31">
        <v>1.88076</v>
      </c>
      <c r="HR31">
        <v>1.8818699999999999</v>
      </c>
      <c r="HS31">
        <v>1.88141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-0.58699999999999997</v>
      </c>
      <c r="IH31">
        <v>-1.9262999999999999</v>
      </c>
      <c r="II31">
        <v>-0.88389491943987863</v>
      </c>
      <c r="IJ31">
        <v>8.9935118796959448E-4</v>
      </c>
      <c r="IK31">
        <v>-5.3495398746875769E-7</v>
      </c>
      <c r="IL31">
        <v>3.209454383910538E-10</v>
      </c>
      <c r="IM31">
        <v>-1.926315000000006</v>
      </c>
      <c r="IN31">
        <v>0</v>
      </c>
      <c r="IO31">
        <v>0</v>
      </c>
      <c r="IP31">
        <v>0</v>
      </c>
      <c r="IQ31">
        <v>1</v>
      </c>
      <c r="IR31">
        <v>2101</v>
      </c>
      <c r="IS31">
        <v>1</v>
      </c>
      <c r="IT31">
        <v>21</v>
      </c>
      <c r="IU31">
        <v>0.6</v>
      </c>
      <c r="IV31">
        <v>0.7</v>
      </c>
      <c r="IW31">
        <v>1.6870099999999999</v>
      </c>
      <c r="IX31">
        <v>2.50244</v>
      </c>
      <c r="IY31">
        <v>2.34375</v>
      </c>
      <c r="IZ31">
        <v>2.9186999999999999</v>
      </c>
      <c r="JA31">
        <v>3.0480999999999998</v>
      </c>
      <c r="JB31">
        <v>2.4072300000000002</v>
      </c>
      <c r="JC31">
        <v>44.922199999999997</v>
      </c>
      <c r="JD31">
        <v>23.8248</v>
      </c>
      <c r="JE31">
        <v>18</v>
      </c>
      <c r="JF31">
        <v>440.06299999999999</v>
      </c>
      <c r="JG31">
        <v>1199.6500000000001</v>
      </c>
      <c r="JH31">
        <v>25.323</v>
      </c>
      <c r="JI31">
        <v>35.211799999999997</v>
      </c>
      <c r="JJ31">
        <v>30.000399999999999</v>
      </c>
      <c r="JK31">
        <v>35.152700000000003</v>
      </c>
      <c r="JL31">
        <v>35.108899999999998</v>
      </c>
      <c r="JM31">
        <v>33.876899999999999</v>
      </c>
      <c r="JN31">
        <v>20.5748</v>
      </c>
      <c r="JO31">
        <v>72.655600000000007</v>
      </c>
      <c r="JP31">
        <v>25.324000000000002</v>
      </c>
      <c r="JQ31">
        <v>450</v>
      </c>
      <c r="JR31">
        <v>23.962299999999999</v>
      </c>
      <c r="JS31">
        <v>99.211299999999994</v>
      </c>
      <c r="JT31">
        <v>98.953500000000005</v>
      </c>
    </row>
    <row r="32" spans="1:280" x14ac:dyDescent="0.25">
      <c r="A32">
        <v>16</v>
      </c>
      <c r="B32">
        <v>1700151030.0999999</v>
      </c>
      <c r="C32">
        <v>3069.599999904633</v>
      </c>
      <c r="D32" t="s">
        <v>482</v>
      </c>
      <c r="E32" t="s">
        <v>483</v>
      </c>
      <c r="F32" t="s">
        <v>412</v>
      </c>
      <c r="G32" t="s">
        <v>478</v>
      </c>
      <c r="H32" t="s">
        <v>31</v>
      </c>
      <c r="I32">
        <v>1700151030.0999999</v>
      </c>
      <c r="J32">
        <f t="shared" si="0"/>
        <v>1.9473335960468201E-3</v>
      </c>
      <c r="K32">
        <f t="shared" si="1"/>
        <v>1.9473335960468201</v>
      </c>
      <c r="L32">
        <f t="shared" si="2"/>
        <v>58.441698499617637</v>
      </c>
      <c r="M32">
        <f t="shared" si="3"/>
        <v>1311.2080000000001</v>
      </c>
      <c r="N32">
        <f t="shared" si="4"/>
        <v>512.89002390268854</v>
      </c>
      <c r="O32">
        <f t="shared" si="5"/>
        <v>51.075505045093045</v>
      </c>
      <c r="P32">
        <f t="shared" si="6"/>
        <v>130.57499209981282</v>
      </c>
      <c r="Q32">
        <f t="shared" si="7"/>
        <v>0.12277597579161727</v>
      </c>
      <c r="R32">
        <f t="shared" si="8"/>
        <v>3.3733135574007918</v>
      </c>
      <c r="S32">
        <f t="shared" si="9"/>
        <v>0.1203464277351695</v>
      </c>
      <c r="T32">
        <f t="shared" si="10"/>
        <v>7.543079823432601E-2</v>
      </c>
      <c r="U32">
        <f t="shared" si="11"/>
        <v>344.32509864434758</v>
      </c>
      <c r="V32">
        <f t="shared" si="12"/>
        <v>30.943357268764736</v>
      </c>
      <c r="W32">
        <f t="shared" si="13"/>
        <v>30.000900000000001</v>
      </c>
      <c r="X32">
        <f t="shared" si="14"/>
        <v>4.2606700224521363</v>
      </c>
      <c r="Y32">
        <f t="shared" si="15"/>
        <v>64.94797125942813</v>
      </c>
      <c r="Z32">
        <f t="shared" si="16"/>
        <v>2.7056602483010201</v>
      </c>
      <c r="AA32">
        <f t="shared" si="17"/>
        <v>4.165888781180759</v>
      </c>
      <c r="AB32">
        <f t="shared" si="18"/>
        <v>1.5550097741511162</v>
      </c>
      <c r="AC32">
        <f t="shared" si="19"/>
        <v>-85.87741158566476</v>
      </c>
      <c r="AD32">
        <f t="shared" si="20"/>
        <v>-71.126259686128222</v>
      </c>
      <c r="AE32">
        <f t="shared" si="21"/>
        <v>-4.6792395640583386</v>
      </c>
      <c r="AF32">
        <f t="shared" si="22"/>
        <v>182.64218780849626</v>
      </c>
      <c r="AG32">
        <v>44</v>
      </c>
      <c r="AH32">
        <v>9</v>
      </c>
      <c r="AI32">
        <f t="shared" si="23"/>
        <v>1</v>
      </c>
      <c r="AJ32">
        <f t="shared" si="24"/>
        <v>0</v>
      </c>
      <c r="AK32">
        <f t="shared" si="25"/>
        <v>52147.443271200907</v>
      </c>
      <c r="AL32" t="s">
        <v>426</v>
      </c>
      <c r="AM32" t="s">
        <v>426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426</v>
      </c>
      <c r="AS32" t="s">
        <v>426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1512.9911993221738</v>
      </c>
      <c r="AY32">
        <f t="shared" si="29"/>
        <v>58.441698499617637</v>
      </c>
      <c r="AZ32" t="e">
        <f t="shared" si="30"/>
        <v>#DIV/0!</v>
      </c>
      <c r="BA32">
        <f t="shared" si="31"/>
        <v>3.8626595135384634E-2</v>
      </c>
      <c r="BB32" t="e">
        <f t="shared" si="32"/>
        <v>#DIV/0!</v>
      </c>
      <c r="BC32" t="e">
        <f t="shared" si="33"/>
        <v>#DIV/0!</v>
      </c>
      <c r="BD32" t="s">
        <v>426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294</v>
      </c>
      <c r="BO32">
        <v>290.00000000000011</v>
      </c>
      <c r="BP32">
        <v>806.07</v>
      </c>
      <c r="BQ32">
        <v>275</v>
      </c>
      <c r="BR32">
        <v>7248.17</v>
      </c>
      <c r="BS32">
        <v>806.68</v>
      </c>
      <c r="BT32">
        <v>-0.61</v>
      </c>
      <c r="BU32">
        <v>300.00000000000011</v>
      </c>
      <c r="BV32">
        <v>38</v>
      </c>
      <c r="BW32">
        <v>874.98617814369197</v>
      </c>
      <c r="BX32">
        <v>1.334777374580953</v>
      </c>
      <c r="BY32">
        <v>-49.509271420592079</v>
      </c>
      <c r="BZ32">
        <v>0.81095384741085497</v>
      </c>
      <c r="CA32">
        <v>0.9925436403280794</v>
      </c>
      <c r="CB32">
        <v>-7.1480569521690743E-3</v>
      </c>
      <c r="CC32">
        <v>289.99999999999989</v>
      </c>
      <c r="CD32">
        <v>815.32</v>
      </c>
      <c r="CE32">
        <v>785</v>
      </c>
      <c r="CF32">
        <v>7242.09</v>
      </c>
      <c r="CG32">
        <v>806.62</v>
      </c>
      <c r="CH32">
        <v>8.6999999999999993</v>
      </c>
      <c r="CV32">
        <f t="shared" si="42"/>
        <v>1799.77</v>
      </c>
      <c r="CW32">
        <f t="shared" si="43"/>
        <v>1512.9911993221738</v>
      </c>
      <c r="CX32">
        <f t="shared" si="44"/>
        <v>0.8406580837119042</v>
      </c>
      <c r="CY32">
        <f t="shared" si="45"/>
        <v>0.19131616742380836</v>
      </c>
      <c r="CZ32">
        <v>4.16</v>
      </c>
      <c r="DA32">
        <v>0.5</v>
      </c>
      <c r="DB32" t="s">
        <v>418</v>
      </c>
      <c r="DC32">
        <v>2</v>
      </c>
      <c r="DD32">
        <v>1700151030.0999999</v>
      </c>
      <c r="DE32">
        <v>1311.2080000000001</v>
      </c>
      <c r="DF32">
        <v>1361.97</v>
      </c>
      <c r="DG32">
        <v>27.169699999999999</v>
      </c>
      <c r="DH32">
        <v>25.5931</v>
      </c>
      <c r="DI32">
        <v>1311.67</v>
      </c>
      <c r="DJ32">
        <v>29.1007</v>
      </c>
      <c r="DK32">
        <v>499.86099999999999</v>
      </c>
      <c r="DL32">
        <v>99.483800000000002</v>
      </c>
      <c r="DM32">
        <v>9.99366E-2</v>
      </c>
      <c r="DN32">
        <v>29.6098</v>
      </c>
      <c r="DO32">
        <v>30.000900000000001</v>
      </c>
      <c r="DP32">
        <v>999.9</v>
      </c>
      <c r="DQ32">
        <v>0</v>
      </c>
      <c r="DR32">
        <v>0</v>
      </c>
      <c r="DS32">
        <v>9999.3799999999992</v>
      </c>
      <c r="DT32">
        <v>0</v>
      </c>
      <c r="DU32">
        <v>242.75299999999999</v>
      </c>
      <c r="DV32">
        <v>-50.203699999999998</v>
      </c>
      <c r="DW32">
        <v>1348.41</v>
      </c>
      <c r="DX32">
        <v>1397.74</v>
      </c>
      <c r="DY32">
        <v>1.5812900000000001</v>
      </c>
      <c r="DZ32">
        <v>1361.97</v>
      </c>
      <c r="EA32">
        <v>25.5931</v>
      </c>
      <c r="EB32">
        <v>2.7034099999999999</v>
      </c>
      <c r="EC32">
        <v>2.5461</v>
      </c>
      <c r="ED32">
        <v>22.305900000000001</v>
      </c>
      <c r="EE32">
        <v>21.324200000000001</v>
      </c>
      <c r="EF32">
        <v>1799.77</v>
      </c>
      <c r="EG32">
        <v>0.97800299999999996</v>
      </c>
      <c r="EH32">
        <v>2.19974E-2</v>
      </c>
      <c r="EI32">
        <v>0</v>
      </c>
      <c r="EJ32">
        <v>605.197</v>
      </c>
      <c r="EK32">
        <v>5.0010300000000001</v>
      </c>
      <c r="EL32">
        <v>11165.5</v>
      </c>
      <c r="EM32">
        <v>14699.2</v>
      </c>
      <c r="EN32">
        <v>48.25</v>
      </c>
      <c r="EO32">
        <v>50.061999999999998</v>
      </c>
      <c r="EP32">
        <v>49.75</v>
      </c>
      <c r="EQ32">
        <v>49.186999999999998</v>
      </c>
      <c r="ER32">
        <v>49.811999999999998</v>
      </c>
      <c r="ES32">
        <v>1755.29</v>
      </c>
      <c r="ET32">
        <v>39.479999999999997</v>
      </c>
      <c r="EU32">
        <v>0</v>
      </c>
      <c r="EV32">
        <v>152.5999999046326</v>
      </c>
      <c r="EW32">
        <v>0</v>
      </c>
      <c r="EX32">
        <v>605.17080769230768</v>
      </c>
      <c r="EY32">
        <v>0.66820514590112867</v>
      </c>
      <c r="EZ32">
        <v>0.84444445189403594</v>
      </c>
      <c r="FA32">
        <v>11169.365384615379</v>
      </c>
      <c r="FB32">
        <v>15</v>
      </c>
      <c r="FC32">
        <v>1700151047.0999999</v>
      </c>
      <c r="FD32" t="s">
        <v>484</v>
      </c>
      <c r="FE32">
        <v>1700151047.0999999</v>
      </c>
      <c r="FF32">
        <v>1700151047.0999999</v>
      </c>
      <c r="FG32">
        <v>18</v>
      </c>
      <c r="FH32">
        <v>-0.61899999999999999</v>
      </c>
      <c r="FI32">
        <v>-4.0000000000000001E-3</v>
      </c>
      <c r="FJ32">
        <v>-0.46200000000000002</v>
      </c>
      <c r="FK32">
        <v>-1.931</v>
      </c>
      <c r="FL32">
        <v>1361</v>
      </c>
      <c r="FM32">
        <v>26</v>
      </c>
      <c r="FN32">
        <v>0.06</v>
      </c>
      <c r="FO32">
        <v>7.0000000000000007E-2</v>
      </c>
      <c r="FP32">
        <v>57.819016891284079</v>
      </c>
      <c r="FQ32">
        <v>-0.1188357274598742</v>
      </c>
      <c r="FR32">
        <v>3.8681747712181247E-2</v>
      </c>
      <c r="FS32">
        <v>1</v>
      </c>
      <c r="FT32">
        <v>0.12453917097784591</v>
      </c>
      <c r="FU32">
        <v>-4.2262166456306038E-2</v>
      </c>
      <c r="FV32">
        <v>3.6880316191923558E-3</v>
      </c>
      <c r="FW32">
        <v>1</v>
      </c>
      <c r="FX32">
        <v>2</v>
      </c>
      <c r="FY32">
        <v>2</v>
      </c>
      <c r="FZ32" t="s">
        <v>420</v>
      </c>
      <c r="GA32">
        <v>2.8963299999999998</v>
      </c>
      <c r="GB32">
        <v>2.81793</v>
      </c>
      <c r="GC32">
        <v>0.20280000000000001</v>
      </c>
      <c r="GD32">
        <v>0.207423</v>
      </c>
      <c r="GE32">
        <v>0.13639899999999999</v>
      </c>
      <c r="GF32">
        <v>0.123919</v>
      </c>
      <c r="GG32">
        <v>22052.3</v>
      </c>
      <c r="GH32">
        <v>22000.799999999999</v>
      </c>
      <c r="GI32">
        <v>24558.400000000001</v>
      </c>
      <c r="GJ32">
        <v>24808.5</v>
      </c>
      <c r="GK32">
        <v>28226.400000000001</v>
      </c>
      <c r="GL32">
        <v>28241.200000000001</v>
      </c>
      <c r="GM32">
        <v>33263.4</v>
      </c>
      <c r="GN32">
        <v>33166.9</v>
      </c>
      <c r="GO32">
        <v>1.84568</v>
      </c>
      <c r="GP32">
        <v>2.5213000000000001</v>
      </c>
      <c r="GQ32">
        <v>5.21615E-2</v>
      </c>
      <c r="GR32">
        <v>0</v>
      </c>
      <c r="GS32">
        <v>29.151499999999999</v>
      </c>
      <c r="GT32">
        <v>999.9</v>
      </c>
      <c r="GU32">
        <v>46.4</v>
      </c>
      <c r="GV32">
        <v>38.6</v>
      </c>
      <c r="GW32">
        <v>32.074800000000003</v>
      </c>
      <c r="GX32">
        <v>63.029400000000003</v>
      </c>
      <c r="GY32">
        <v>-5.8894200000000003</v>
      </c>
      <c r="GZ32">
        <v>3</v>
      </c>
      <c r="HA32">
        <v>0.66471000000000002</v>
      </c>
      <c r="HB32">
        <v>4.1061800000000002</v>
      </c>
      <c r="HC32">
        <v>20.116</v>
      </c>
      <c r="HD32">
        <v>5.2307699999999997</v>
      </c>
      <c r="HE32">
        <v>11.9208</v>
      </c>
      <c r="HF32">
        <v>4.9589499999999997</v>
      </c>
      <c r="HG32">
        <v>3.28823</v>
      </c>
      <c r="HH32">
        <v>9999</v>
      </c>
      <c r="HI32">
        <v>9999</v>
      </c>
      <c r="HJ32">
        <v>9999</v>
      </c>
      <c r="HK32">
        <v>999.9</v>
      </c>
      <c r="HL32">
        <v>1.8813</v>
      </c>
      <c r="HM32">
        <v>1.8785000000000001</v>
      </c>
      <c r="HN32">
        <v>1.8864399999999999</v>
      </c>
      <c r="HO32">
        <v>1.8841600000000001</v>
      </c>
      <c r="HP32">
        <v>1.88171</v>
      </c>
      <c r="HQ32">
        <v>1.8807400000000001</v>
      </c>
      <c r="HR32">
        <v>1.8818699999999999</v>
      </c>
      <c r="HS32">
        <v>1.88141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-0.46200000000000002</v>
      </c>
      <c r="IH32">
        <v>-1.931</v>
      </c>
      <c r="II32">
        <v>-0.88389491943987863</v>
      </c>
      <c r="IJ32">
        <v>8.9935118796959448E-4</v>
      </c>
      <c r="IK32">
        <v>-5.3495398746875769E-7</v>
      </c>
      <c r="IL32">
        <v>3.209454383910538E-10</v>
      </c>
      <c r="IM32">
        <v>-1.926315000000006</v>
      </c>
      <c r="IN32">
        <v>0</v>
      </c>
      <c r="IO32">
        <v>0</v>
      </c>
      <c r="IP32">
        <v>0</v>
      </c>
      <c r="IQ32">
        <v>1</v>
      </c>
      <c r="IR32">
        <v>2101</v>
      </c>
      <c r="IS32">
        <v>1</v>
      </c>
      <c r="IT32">
        <v>21</v>
      </c>
      <c r="IU32">
        <v>3.2</v>
      </c>
      <c r="IV32">
        <v>3.2</v>
      </c>
      <c r="IW32">
        <v>4.0234399999999999</v>
      </c>
      <c r="IX32">
        <v>2.4414100000000002E-3</v>
      </c>
      <c r="IY32">
        <v>2.34375</v>
      </c>
      <c r="IZ32">
        <v>2.9186999999999999</v>
      </c>
      <c r="JA32">
        <v>3.0480999999999998</v>
      </c>
      <c r="JB32">
        <v>2.4279799999999998</v>
      </c>
      <c r="JC32">
        <v>45.091700000000003</v>
      </c>
      <c r="JD32">
        <v>23.8248</v>
      </c>
      <c r="JE32">
        <v>18</v>
      </c>
      <c r="JF32">
        <v>439.05</v>
      </c>
      <c r="JG32">
        <v>1205.69</v>
      </c>
      <c r="JH32">
        <v>24.020099999999999</v>
      </c>
      <c r="JI32">
        <v>35.221499999999999</v>
      </c>
      <c r="JJ32">
        <v>30</v>
      </c>
      <c r="JK32">
        <v>35.155900000000003</v>
      </c>
      <c r="JL32">
        <v>35.118600000000001</v>
      </c>
      <c r="JM32">
        <v>100</v>
      </c>
      <c r="JN32">
        <v>13.839600000000001</v>
      </c>
      <c r="JO32">
        <v>70.0441</v>
      </c>
      <c r="JP32">
        <v>24.025600000000001</v>
      </c>
      <c r="JQ32">
        <v>1500</v>
      </c>
      <c r="JR32">
        <v>25.649799999999999</v>
      </c>
      <c r="JS32">
        <v>99.212199999999996</v>
      </c>
      <c r="JT32">
        <v>98.947400000000002</v>
      </c>
    </row>
    <row r="33" spans="1:280" x14ac:dyDescent="0.25">
      <c r="A33">
        <v>17</v>
      </c>
      <c r="B33">
        <v>1700151159.5</v>
      </c>
      <c r="C33">
        <v>3199</v>
      </c>
      <c r="D33" t="s">
        <v>485</v>
      </c>
      <c r="E33" t="s">
        <v>486</v>
      </c>
      <c r="F33" t="s">
        <v>412</v>
      </c>
      <c r="G33" t="s">
        <v>478</v>
      </c>
      <c r="H33" t="s">
        <v>31</v>
      </c>
      <c r="I33">
        <v>1700151159.5</v>
      </c>
      <c r="J33">
        <f t="shared" si="0"/>
        <v>2.3447583800955138E-3</v>
      </c>
      <c r="K33">
        <f t="shared" si="1"/>
        <v>2.3447583800955138</v>
      </c>
      <c r="L33">
        <f t="shared" si="2"/>
        <v>56.838658364177327</v>
      </c>
      <c r="M33">
        <f t="shared" si="3"/>
        <v>1200.47</v>
      </c>
      <c r="N33">
        <f t="shared" si="4"/>
        <v>553.19132494887538</v>
      </c>
      <c r="O33">
        <f t="shared" si="5"/>
        <v>55.084126696648013</v>
      </c>
      <c r="P33">
        <f t="shared" si="6"/>
        <v>119.537018375399</v>
      </c>
      <c r="Q33">
        <f t="shared" si="7"/>
        <v>0.14862874138976126</v>
      </c>
      <c r="R33">
        <f t="shared" si="8"/>
        <v>3.3714694733069623</v>
      </c>
      <c r="S33">
        <f t="shared" si="9"/>
        <v>0.14508232117483297</v>
      </c>
      <c r="T33">
        <f t="shared" si="10"/>
        <v>9.0988034486517308E-2</v>
      </c>
      <c r="U33">
        <f t="shared" si="11"/>
        <v>344.36109864345309</v>
      </c>
      <c r="V33">
        <f t="shared" si="12"/>
        <v>30.784000035403025</v>
      </c>
      <c r="W33">
        <f t="shared" si="13"/>
        <v>29.985800000000001</v>
      </c>
      <c r="X33">
        <f t="shared" si="14"/>
        <v>4.2569760294780696</v>
      </c>
      <c r="Y33">
        <f t="shared" si="15"/>
        <v>65.168108960527348</v>
      </c>
      <c r="Z33">
        <f t="shared" si="16"/>
        <v>2.7039341865089899</v>
      </c>
      <c r="AA33">
        <f t="shared" si="17"/>
        <v>4.1491677902557775</v>
      </c>
      <c r="AB33">
        <f t="shared" si="18"/>
        <v>1.5530418429690798</v>
      </c>
      <c r="AC33">
        <f t="shared" si="19"/>
        <v>-103.40384456221216</v>
      </c>
      <c r="AD33">
        <f t="shared" si="20"/>
        <v>-81.029794828787914</v>
      </c>
      <c r="AE33">
        <f t="shared" si="21"/>
        <v>-5.3314448374393733</v>
      </c>
      <c r="AF33">
        <f t="shared" si="22"/>
        <v>154.59601441501363</v>
      </c>
      <c r="AG33">
        <v>43</v>
      </c>
      <c r="AH33">
        <v>9</v>
      </c>
      <c r="AI33">
        <f t="shared" si="23"/>
        <v>1</v>
      </c>
      <c r="AJ33">
        <f t="shared" si="24"/>
        <v>0</v>
      </c>
      <c r="AK33">
        <f t="shared" si="25"/>
        <v>52117.440933836973</v>
      </c>
      <c r="AL33" t="s">
        <v>415</v>
      </c>
      <c r="AM33">
        <v>7163.32</v>
      </c>
      <c r="AN33">
        <v>295.04692307692312</v>
      </c>
      <c r="AO33">
        <v>723.15082041179414</v>
      </c>
      <c r="AP33">
        <f t="shared" si="26"/>
        <v>0.59199808013920208</v>
      </c>
      <c r="AQ33">
        <v>-3.795255127542589</v>
      </c>
      <c r="AR33" t="s">
        <v>487</v>
      </c>
      <c r="AS33">
        <v>7242.75</v>
      </c>
      <c r="AT33">
        <v>605.77092307692305</v>
      </c>
      <c r="AU33">
        <v>883.93080621223339</v>
      </c>
      <c r="AV33">
        <f t="shared" si="27"/>
        <v>0.31468513279593024</v>
      </c>
      <c r="AW33">
        <v>0.5</v>
      </c>
      <c r="AX33">
        <f t="shared" si="28"/>
        <v>1513.1432993217265</v>
      </c>
      <c r="AY33">
        <f t="shared" si="29"/>
        <v>56.838658364177327</v>
      </c>
      <c r="AZ33">
        <f t="shared" si="30"/>
        <v>238.08185004316476</v>
      </c>
      <c r="BA33">
        <f t="shared" si="31"/>
        <v>4.0071494562940173E-2</v>
      </c>
      <c r="BB33">
        <f t="shared" si="32"/>
        <v>-0.1818920493216023</v>
      </c>
      <c r="BC33">
        <f t="shared" si="33"/>
        <v>318.69825530819344</v>
      </c>
      <c r="BD33" t="s">
        <v>488</v>
      </c>
      <c r="BE33">
        <v>412.77</v>
      </c>
      <c r="BF33">
        <f t="shared" si="34"/>
        <v>412.77</v>
      </c>
      <c r="BG33">
        <f t="shared" si="35"/>
        <v>0.53302905940253753</v>
      </c>
      <c r="BH33">
        <f t="shared" si="36"/>
        <v>0.59037143893928601</v>
      </c>
      <c r="BI33">
        <f t="shared" si="37"/>
        <v>-0.51800876609297652</v>
      </c>
      <c r="BJ33">
        <f t="shared" si="38"/>
        <v>0.47235098650406843</v>
      </c>
      <c r="BK33">
        <f t="shared" si="39"/>
        <v>-0.37556300421781508</v>
      </c>
      <c r="BL33">
        <f t="shared" si="40"/>
        <v>0.40227685015516124</v>
      </c>
      <c r="BM33">
        <f t="shared" si="41"/>
        <v>0.59772314984483876</v>
      </c>
      <c r="BN33">
        <v>296</v>
      </c>
      <c r="BO33">
        <v>290.00000000000011</v>
      </c>
      <c r="BP33">
        <v>805.23</v>
      </c>
      <c r="BQ33">
        <v>295</v>
      </c>
      <c r="BR33">
        <v>7242.75</v>
      </c>
      <c r="BS33">
        <v>806.6</v>
      </c>
      <c r="BT33">
        <v>-1.37</v>
      </c>
      <c r="BU33">
        <v>300.00000000000011</v>
      </c>
      <c r="BV33">
        <v>38.1</v>
      </c>
      <c r="BW33">
        <v>883.93080621223339</v>
      </c>
      <c r="BX33">
        <v>1.3568793069628069</v>
      </c>
      <c r="BY33">
        <v>-56.010380493594788</v>
      </c>
      <c r="BZ33">
        <v>0.82379449211194322</v>
      </c>
      <c r="CA33">
        <v>0.9939794501175313</v>
      </c>
      <c r="CB33">
        <v>-7.1432258064516212E-3</v>
      </c>
      <c r="CC33">
        <v>289.99999999999989</v>
      </c>
      <c r="CD33">
        <v>814.31</v>
      </c>
      <c r="CE33">
        <v>885</v>
      </c>
      <c r="CF33">
        <v>7235.31</v>
      </c>
      <c r="CG33">
        <v>806.52</v>
      </c>
      <c r="CH33">
        <v>7.79</v>
      </c>
      <c r="CV33">
        <f t="shared" si="42"/>
        <v>1799.95</v>
      </c>
      <c r="CW33">
        <f t="shared" si="43"/>
        <v>1513.1432993217265</v>
      </c>
      <c r="CX33">
        <f t="shared" si="44"/>
        <v>0.84065851791534574</v>
      </c>
      <c r="CY33">
        <f t="shared" si="45"/>
        <v>0.19131703583069146</v>
      </c>
      <c r="CZ33">
        <v>4.16</v>
      </c>
      <c r="DA33">
        <v>0.5</v>
      </c>
      <c r="DB33" t="s">
        <v>418</v>
      </c>
      <c r="DC33">
        <v>2</v>
      </c>
      <c r="DD33">
        <v>1700151159.5</v>
      </c>
      <c r="DE33">
        <v>1200.47</v>
      </c>
      <c r="DF33">
        <v>1250.0999999999999</v>
      </c>
      <c r="DG33">
        <v>27.154699999999998</v>
      </c>
      <c r="DH33">
        <v>25.256900000000002</v>
      </c>
      <c r="DI33">
        <v>1201.05</v>
      </c>
      <c r="DJ33">
        <v>29.084</v>
      </c>
      <c r="DK33">
        <v>500.017</v>
      </c>
      <c r="DL33">
        <v>99.475200000000001</v>
      </c>
      <c r="DM33">
        <v>9.9981700000000007E-2</v>
      </c>
      <c r="DN33">
        <v>29.54</v>
      </c>
      <c r="DO33">
        <v>29.985800000000001</v>
      </c>
      <c r="DP33">
        <v>999.9</v>
      </c>
      <c r="DQ33">
        <v>0</v>
      </c>
      <c r="DR33">
        <v>0</v>
      </c>
      <c r="DS33">
        <v>9991.8799999999992</v>
      </c>
      <c r="DT33">
        <v>0</v>
      </c>
      <c r="DU33">
        <v>234.88300000000001</v>
      </c>
      <c r="DV33">
        <v>-49.632800000000003</v>
      </c>
      <c r="DW33">
        <v>1233.98</v>
      </c>
      <c r="DX33">
        <v>1282.5</v>
      </c>
      <c r="DY33">
        <v>1.8978299999999999</v>
      </c>
      <c r="DZ33">
        <v>1250.0999999999999</v>
      </c>
      <c r="EA33">
        <v>25.256900000000002</v>
      </c>
      <c r="EB33">
        <v>2.7012200000000002</v>
      </c>
      <c r="EC33">
        <v>2.5124399999999998</v>
      </c>
      <c r="ED33">
        <v>22.2926</v>
      </c>
      <c r="EE33">
        <v>21.107299999999999</v>
      </c>
      <c r="EF33">
        <v>1799.95</v>
      </c>
      <c r="EG33">
        <v>0.97799100000000005</v>
      </c>
      <c r="EH33">
        <v>2.2009000000000001E-2</v>
      </c>
      <c r="EI33">
        <v>0</v>
      </c>
      <c r="EJ33">
        <v>605.81799999999998</v>
      </c>
      <c r="EK33">
        <v>5.0010300000000001</v>
      </c>
      <c r="EL33">
        <v>11203.6</v>
      </c>
      <c r="EM33">
        <v>14700.7</v>
      </c>
      <c r="EN33">
        <v>48.625</v>
      </c>
      <c r="EO33">
        <v>50.436999999999998</v>
      </c>
      <c r="EP33">
        <v>50.186999999999998</v>
      </c>
      <c r="EQ33">
        <v>49.436999999999998</v>
      </c>
      <c r="ER33">
        <v>50.186999999999998</v>
      </c>
      <c r="ES33">
        <v>1755.44</v>
      </c>
      <c r="ET33">
        <v>39.51</v>
      </c>
      <c r="EU33">
        <v>0</v>
      </c>
      <c r="EV33">
        <v>282.20000004768372</v>
      </c>
      <c r="EW33">
        <v>0</v>
      </c>
      <c r="EX33">
        <v>605.77092307692305</v>
      </c>
      <c r="EY33">
        <v>-1.612649582748751</v>
      </c>
      <c r="EZ33">
        <v>-61.788034173668763</v>
      </c>
      <c r="FA33">
        <v>11208.526923076921</v>
      </c>
      <c r="FB33">
        <v>15</v>
      </c>
      <c r="FC33">
        <v>1700151134</v>
      </c>
      <c r="FD33" t="s">
        <v>489</v>
      </c>
      <c r="FE33">
        <v>1700151133</v>
      </c>
      <c r="FF33">
        <v>1700151134</v>
      </c>
      <c r="FG33">
        <v>19</v>
      </c>
      <c r="FH33">
        <v>6.7000000000000004E-2</v>
      </c>
      <c r="FI33">
        <v>1E-3</v>
      </c>
      <c r="FJ33">
        <v>-0.52400000000000002</v>
      </c>
      <c r="FK33">
        <v>-1.929</v>
      </c>
      <c r="FL33">
        <v>1250</v>
      </c>
      <c r="FM33">
        <v>25</v>
      </c>
      <c r="FN33">
        <v>7.0000000000000007E-2</v>
      </c>
      <c r="FO33">
        <v>0.05</v>
      </c>
      <c r="FP33">
        <v>56.857099966192273</v>
      </c>
      <c r="FQ33">
        <v>-0.69302328378229527</v>
      </c>
      <c r="FR33">
        <v>8.1568618400037776E-2</v>
      </c>
      <c r="FS33">
        <v>1</v>
      </c>
      <c r="FT33">
        <v>0.14056151670157299</v>
      </c>
      <c r="FU33">
        <v>3.0725180593237689E-2</v>
      </c>
      <c r="FV33">
        <v>2.4284349858279082E-3</v>
      </c>
      <c r="FW33">
        <v>1</v>
      </c>
      <c r="FX33">
        <v>2</v>
      </c>
      <c r="FY33">
        <v>2</v>
      </c>
      <c r="FZ33" t="s">
        <v>420</v>
      </c>
      <c r="GA33">
        <v>2.8967000000000001</v>
      </c>
      <c r="GB33">
        <v>2.81792</v>
      </c>
      <c r="GC33">
        <v>0.192112</v>
      </c>
      <c r="GD33">
        <v>0.196856</v>
      </c>
      <c r="GE33">
        <v>0.13633000000000001</v>
      </c>
      <c r="GF33">
        <v>0.122793</v>
      </c>
      <c r="GG33">
        <v>22349</v>
      </c>
      <c r="GH33">
        <v>22292.7</v>
      </c>
      <c r="GI33">
        <v>24558.7</v>
      </c>
      <c r="GJ33">
        <v>24806.2</v>
      </c>
      <c r="GK33">
        <v>28228.6</v>
      </c>
      <c r="GL33">
        <v>28274.400000000001</v>
      </c>
      <c r="GM33">
        <v>33263.199999999997</v>
      </c>
      <c r="GN33">
        <v>33163.1</v>
      </c>
      <c r="GO33">
        <v>1.84673</v>
      </c>
      <c r="GP33">
        <v>2.5186299999999999</v>
      </c>
      <c r="GQ33">
        <v>6.3665200000000005E-2</v>
      </c>
      <c r="GR33">
        <v>0</v>
      </c>
      <c r="GS33">
        <v>28.948899999999998</v>
      </c>
      <c r="GT33">
        <v>999.9</v>
      </c>
      <c r="GU33">
        <v>45.8</v>
      </c>
      <c r="GV33">
        <v>38.799999999999997</v>
      </c>
      <c r="GW33">
        <v>32.007199999999997</v>
      </c>
      <c r="GX33">
        <v>63.029400000000003</v>
      </c>
      <c r="GY33">
        <v>-5.8653899999999997</v>
      </c>
      <c r="GZ33">
        <v>3</v>
      </c>
      <c r="HA33">
        <v>0.66074699999999997</v>
      </c>
      <c r="HB33">
        <v>3.15232</v>
      </c>
      <c r="HC33">
        <v>20.136500000000002</v>
      </c>
      <c r="HD33">
        <v>5.2343599999999997</v>
      </c>
      <c r="HE33">
        <v>11.9213</v>
      </c>
      <c r="HF33">
        <v>4.9598000000000004</v>
      </c>
      <c r="HG33">
        <v>3.2890000000000001</v>
      </c>
      <c r="HH33">
        <v>9999</v>
      </c>
      <c r="HI33">
        <v>9999</v>
      </c>
      <c r="HJ33">
        <v>9999</v>
      </c>
      <c r="HK33">
        <v>999.9</v>
      </c>
      <c r="HL33">
        <v>1.88134</v>
      </c>
      <c r="HM33">
        <v>1.8785099999999999</v>
      </c>
      <c r="HN33">
        <v>1.8864399999999999</v>
      </c>
      <c r="HO33">
        <v>1.88418</v>
      </c>
      <c r="HP33">
        <v>1.88171</v>
      </c>
      <c r="HQ33">
        <v>1.88076</v>
      </c>
      <c r="HR33">
        <v>1.8818699999999999</v>
      </c>
      <c r="HS33">
        <v>1.88141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-0.57999999999999996</v>
      </c>
      <c r="IH33">
        <v>-1.9293</v>
      </c>
      <c r="II33">
        <v>-1.439635015534406</v>
      </c>
      <c r="IJ33">
        <v>8.9935118796959448E-4</v>
      </c>
      <c r="IK33">
        <v>-5.3495398746875769E-7</v>
      </c>
      <c r="IL33">
        <v>3.209454383910538E-10</v>
      </c>
      <c r="IM33">
        <v>-1.929264999999994</v>
      </c>
      <c r="IN33">
        <v>0</v>
      </c>
      <c r="IO33">
        <v>0</v>
      </c>
      <c r="IP33">
        <v>0</v>
      </c>
      <c r="IQ33">
        <v>1</v>
      </c>
      <c r="IR33">
        <v>2101</v>
      </c>
      <c r="IS33">
        <v>1</v>
      </c>
      <c r="IT33">
        <v>21</v>
      </c>
      <c r="IU33">
        <v>0.4</v>
      </c>
      <c r="IV33">
        <v>0.4</v>
      </c>
      <c r="IW33">
        <v>3.77441</v>
      </c>
      <c r="IX33">
        <v>2.4536099999999998</v>
      </c>
      <c r="IY33">
        <v>2.34375</v>
      </c>
      <c r="IZ33">
        <v>2.9174799999999999</v>
      </c>
      <c r="JA33">
        <v>3.0480999999999998</v>
      </c>
      <c r="JB33">
        <v>2.34009</v>
      </c>
      <c r="JC33">
        <v>45.205100000000002</v>
      </c>
      <c r="JD33">
        <v>23.8248</v>
      </c>
      <c r="JE33">
        <v>18</v>
      </c>
      <c r="JF33">
        <v>439.798</v>
      </c>
      <c r="JG33">
        <v>1201.8699999999999</v>
      </c>
      <c r="JH33">
        <v>24.752199999999998</v>
      </c>
      <c r="JI33">
        <v>35.2376</v>
      </c>
      <c r="JJ33">
        <v>30.0001</v>
      </c>
      <c r="JK33">
        <v>35.168799999999997</v>
      </c>
      <c r="JL33">
        <v>35.122700000000002</v>
      </c>
      <c r="JM33">
        <v>75.639899999999997</v>
      </c>
      <c r="JN33">
        <v>14.940200000000001</v>
      </c>
      <c r="JO33">
        <v>68.934299999999993</v>
      </c>
      <c r="JP33">
        <v>24.7622</v>
      </c>
      <c r="JQ33">
        <v>1250</v>
      </c>
      <c r="JR33">
        <v>25.209399999999999</v>
      </c>
      <c r="JS33">
        <v>99.212400000000002</v>
      </c>
      <c r="JT33">
        <v>98.936899999999994</v>
      </c>
    </row>
    <row r="34" spans="1:280" x14ac:dyDescent="0.25">
      <c r="A34">
        <v>18</v>
      </c>
      <c r="B34">
        <v>1700151296</v>
      </c>
      <c r="C34">
        <v>3335.5</v>
      </c>
      <c r="D34" t="s">
        <v>490</v>
      </c>
      <c r="E34" t="s">
        <v>491</v>
      </c>
      <c r="F34" t="s">
        <v>412</v>
      </c>
      <c r="G34" t="s">
        <v>478</v>
      </c>
      <c r="H34" t="s">
        <v>31</v>
      </c>
      <c r="I34">
        <v>1700151296</v>
      </c>
      <c r="J34">
        <f t="shared" si="0"/>
        <v>2.5333992013032635E-3</v>
      </c>
      <c r="K34">
        <f t="shared" si="1"/>
        <v>2.5333992013032636</v>
      </c>
      <c r="L34">
        <f t="shared" si="2"/>
        <v>56.740442747812331</v>
      </c>
      <c r="M34">
        <f t="shared" si="3"/>
        <v>950.90099999999995</v>
      </c>
      <c r="N34">
        <f t="shared" si="4"/>
        <v>360.07850725428563</v>
      </c>
      <c r="O34">
        <f t="shared" si="5"/>
        <v>35.854348357589792</v>
      </c>
      <c r="P34">
        <f t="shared" si="6"/>
        <v>94.684728526447486</v>
      </c>
      <c r="Q34">
        <f t="shared" si="7"/>
        <v>0.16175709124991622</v>
      </c>
      <c r="R34">
        <f t="shared" si="8"/>
        <v>3.3726775652682828</v>
      </c>
      <c r="S34">
        <f t="shared" si="9"/>
        <v>0.15756746596517102</v>
      </c>
      <c r="T34">
        <f t="shared" si="10"/>
        <v>9.8847049127578149E-2</v>
      </c>
      <c r="U34">
        <f t="shared" si="11"/>
        <v>344.39089864391701</v>
      </c>
      <c r="V34">
        <f t="shared" si="12"/>
        <v>30.808751080026557</v>
      </c>
      <c r="W34">
        <f t="shared" si="13"/>
        <v>30.0124</v>
      </c>
      <c r="X34">
        <f t="shared" si="14"/>
        <v>4.2634852019889324</v>
      </c>
      <c r="Y34">
        <f t="shared" si="15"/>
        <v>65.266567562868104</v>
      </c>
      <c r="Z34">
        <f t="shared" si="16"/>
        <v>2.7186507054727498</v>
      </c>
      <c r="AA34">
        <f t="shared" si="17"/>
        <v>4.1654568441246829</v>
      </c>
      <c r="AB34">
        <f t="shared" si="18"/>
        <v>1.5448344965161827</v>
      </c>
      <c r="AC34">
        <f t="shared" si="19"/>
        <v>-111.72290477747393</v>
      </c>
      <c r="AD34">
        <f t="shared" si="20"/>
        <v>-73.531159448251756</v>
      </c>
      <c r="AE34">
        <f t="shared" si="21"/>
        <v>-4.8385974463353119</v>
      </c>
      <c r="AF34">
        <f t="shared" si="22"/>
        <v>154.298236971856</v>
      </c>
      <c r="AG34">
        <v>43</v>
      </c>
      <c r="AH34">
        <v>9</v>
      </c>
      <c r="AI34">
        <f t="shared" si="23"/>
        <v>1</v>
      </c>
      <c r="AJ34">
        <f t="shared" si="24"/>
        <v>0</v>
      </c>
      <c r="AK34">
        <f t="shared" si="25"/>
        <v>52133.108512838509</v>
      </c>
      <c r="AL34" t="s">
        <v>426</v>
      </c>
      <c r="AM34" t="s">
        <v>426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426</v>
      </c>
      <c r="AS34" t="s">
        <v>426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1513.2773993219585</v>
      </c>
      <c r="AY34">
        <f t="shared" si="29"/>
        <v>56.740442747812331</v>
      </c>
      <c r="AZ34" t="e">
        <f t="shared" si="30"/>
        <v>#DIV/0!</v>
      </c>
      <c r="BA34">
        <f t="shared" si="31"/>
        <v>3.7495070482936932E-2</v>
      </c>
      <c r="BB34" t="e">
        <f t="shared" si="32"/>
        <v>#DIV/0!</v>
      </c>
      <c r="BC34" t="e">
        <f t="shared" si="33"/>
        <v>#DIV/0!</v>
      </c>
      <c r="BD34" t="s">
        <v>426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BN34">
        <v>296</v>
      </c>
      <c r="BO34">
        <v>290.00000000000011</v>
      </c>
      <c r="BP34">
        <v>805.23</v>
      </c>
      <c r="BQ34">
        <v>295</v>
      </c>
      <c r="BR34">
        <v>7242.75</v>
      </c>
      <c r="BS34">
        <v>806.6</v>
      </c>
      <c r="BT34">
        <v>-1.37</v>
      </c>
      <c r="BU34">
        <v>300.00000000000011</v>
      </c>
      <c r="BV34">
        <v>38.1</v>
      </c>
      <c r="BW34">
        <v>883.93080621223339</v>
      </c>
      <c r="BX34">
        <v>1.3568793069628069</v>
      </c>
      <c r="BY34">
        <v>-56.010380493594788</v>
      </c>
      <c r="BZ34">
        <v>0.82379449211194322</v>
      </c>
      <c r="CA34">
        <v>0.9939794501175313</v>
      </c>
      <c r="CB34">
        <v>-7.1432258064516212E-3</v>
      </c>
      <c r="CC34">
        <v>289.99999999999989</v>
      </c>
      <c r="CD34">
        <v>814.31</v>
      </c>
      <c r="CE34">
        <v>885</v>
      </c>
      <c r="CF34">
        <v>7235.31</v>
      </c>
      <c r="CG34">
        <v>806.52</v>
      </c>
      <c r="CH34">
        <v>7.79</v>
      </c>
      <c r="CV34">
        <f t="shared" si="42"/>
        <v>1800.11</v>
      </c>
      <c r="CW34">
        <f t="shared" si="43"/>
        <v>1513.2773993219585</v>
      </c>
      <c r="CX34">
        <f t="shared" si="44"/>
        <v>0.84065829272764359</v>
      </c>
      <c r="CY34">
        <f t="shared" si="45"/>
        <v>0.19131658545528718</v>
      </c>
      <c r="CZ34">
        <v>4.16</v>
      </c>
      <c r="DA34">
        <v>0.5</v>
      </c>
      <c r="DB34" t="s">
        <v>418</v>
      </c>
      <c r="DC34">
        <v>2</v>
      </c>
      <c r="DD34">
        <v>1700151296</v>
      </c>
      <c r="DE34">
        <v>950.90099999999995</v>
      </c>
      <c r="DF34">
        <v>1000.11</v>
      </c>
      <c r="DG34">
        <v>27.302900000000001</v>
      </c>
      <c r="DH34">
        <v>25.252800000000001</v>
      </c>
      <c r="DI34">
        <v>951.60299999999995</v>
      </c>
      <c r="DJ34">
        <v>29.234500000000001</v>
      </c>
      <c r="DK34">
        <v>500.03399999999999</v>
      </c>
      <c r="DL34">
        <v>99.473799999999997</v>
      </c>
      <c r="DM34">
        <v>9.98975E-2</v>
      </c>
      <c r="DN34">
        <v>29.608000000000001</v>
      </c>
      <c r="DO34">
        <v>30.0124</v>
      </c>
      <c r="DP34">
        <v>999.9</v>
      </c>
      <c r="DQ34">
        <v>0</v>
      </c>
      <c r="DR34">
        <v>0</v>
      </c>
      <c r="DS34">
        <v>9997.5</v>
      </c>
      <c r="DT34">
        <v>0</v>
      </c>
      <c r="DU34">
        <v>247.77099999999999</v>
      </c>
      <c r="DV34">
        <v>-49.205599999999997</v>
      </c>
      <c r="DW34">
        <v>977.59299999999996</v>
      </c>
      <c r="DX34">
        <v>1026.02</v>
      </c>
      <c r="DY34">
        <v>2.0501299999999998</v>
      </c>
      <c r="DZ34">
        <v>1000.11</v>
      </c>
      <c r="EA34">
        <v>25.252800000000001</v>
      </c>
      <c r="EB34">
        <v>2.7159200000000001</v>
      </c>
      <c r="EC34">
        <v>2.5119899999999999</v>
      </c>
      <c r="ED34">
        <v>22.381799999999998</v>
      </c>
      <c r="EE34">
        <v>21.104399999999998</v>
      </c>
      <c r="EF34">
        <v>1800.11</v>
      </c>
      <c r="EG34">
        <v>0.97799800000000003</v>
      </c>
      <c r="EH34">
        <v>2.2001799999999998E-2</v>
      </c>
      <c r="EI34">
        <v>0</v>
      </c>
      <c r="EJ34">
        <v>603.29600000000005</v>
      </c>
      <c r="EK34">
        <v>5.0010300000000001</v>
      </c>
      <c r="EL34">
        <v>11179.1</v>
      </c>
      <c r="EM34">
        <v>14702</v>
      </c>
      <c r="EN34">
        <v>49.125</v>
      </c>
      <c r="EO34">
        <v>50.811999999999998</v>
      </c>
      <c r="EP34">
        <v>50.436999999999998</v>
      </c>
      <c r="EQ34">
        <v>49.75</v>
      </c>
      <c r="ER34">
        <v>50.5</v>
      </c>
      <c r="ES34">
        <v>1755.61</v>
      </c>
      <c r="ET34">
        <v>39.5</v>
      </c>
      <c r="EU34">
        <v>0</v>
      </c>
      <c r="EV34">
        <v>134.4000000953674</v>
      </c>
      <c r="EW34">
        <v>0</v>
      </c>
      <c r="EX34">
        <v>603.6002400000001</v>
      </c>
      <c r="EY34">
        <v>-2.0273846129603932</v>
      </c>
      <c r="EZ34">
        <v>-14.50000017117774</v>
      </c>
      <c r="FA34">
        <v>11182.956</v>
      </c>
      <c r="FB34">
        <v>15</v>
      </c>
      <c r="FC34">
        <v>1700151256</v>
      </c>
      <c r="FD34" t="s">
        <v>492</v>
      </c>
      <c r="FE34">
        <v>1700151256</v>
      </c>
      <c r="FF34">
        <v>1700151253</v>
      </c>
      <c r="FG34">
        <v>20</v>
      </c>
      <c r="FH34">
        <v>0.09</v>
      </c>
      <c r="FI34">
        <v>-2E-3</v>
      </c>
      <c r="FJ34">
        <v>-0.66400000000000003</v>
      </c>
      <c r="FK34">
        <v>-1.9319999999999999</v>
      </c>
      <c r="FL34">
        <v>1000</v>
      </c>
      <c r="FM34">
        <v>25</v>
      </c>
      <c r="FN34">
        <v>0.06</v>
      </c>
      <c r="FO34">
        <v>0.04</v>
      </c>
      <c r="FP34">
        <v>56.508796617246063</v>
      </c>
      <c r="FQ34">
        <v>0.23764847318395529</v>
      </c>
      <c r="FR34">
        <v>7.0282205272277548E-2</v>
      </c>
      <c r="FS34">
        <v>1</v>
      </c>
      <c r="FT34">
        <v>0.1623292396494318</v>
      </c>
      <c r="FU34">
        <v>4.720608712508044E-2</v>
      </c>
      <c r="FV34">
        <v>4.5113379705713002E-3</v>
      </c>
      <c r="FW34">
        <v>1</v>
      </c>
      <c r="FX34">
        <v>2</v>
      </c>
      <c r="FY34">
        <v>2</v>
      </c>
      <c r="FZ34" t="s">
        <v>420</v>
      </c>
      <c r="GA34">
        <v>2.8967499999999999</v>
      </c>
      <c r="GB34">
        <v>2.8178800000000002</v>
      </c>
      <c r="GC34">
        <v>0.16588</v>
      </c>
      <c r="GD34">
        <v>0.17121900000000001</v>
      </c>
      <c r="GE34">
        <v>0.13680700000000001</v>
      </c>
      <c r="GF34">
        <v>0.12277399999999999</v>
      </c>
      <c r="GG34">
        <v>23075.8</v>
      </c>
      <c r="GH34">
        <v>23005.599999999999</v>
      </c>
      <c r="GI34">
        <v>24558.3</v>
      </c>
      <c r="GJ34">
        <v>24806</v>
      </c>
      <c r="GK34">
        <v>28212.400000000001</v>
      </c>
      <c r="GL34">
        <v>28273.5</v>
      </c>
      <c r="GM34">
        <v>33262.6</v>
      </c>
      <c r="GN34">
        <v>33161.4</v>
      </c>
      <c r="GO34">
        <v>1.8470200000000001</v>
      </c>
      <c r="GP34">
        <v>2.5177800000000001</v>
      </c>
      <c r="GQ34">
        <v>6.3225600000000007E-2</v>
      </c>
      <c r="GR34">
        <v>0</v>
      </c>
      <c r="GS34">
        <v>28.982700000000001</v>
      </c>
      <c r="GT34">
        <v>999.9</v>
      </c>
      <c r="GU34">
        <v>45.2</v>
      </c>
      <c r="GV34">
        <v>39.1</v>
      </c>
      <c r="GW34">
        <v>32.098500000000001</v>
      </c>
      <c r="GX34">
        <v>63.039400000000001</v>
      </c>
      <c r="GY34">
        <v>-5.7051299999999996</v>
      </c>
      <c r="GZ34">
        <v>3</v>
      </c>
      <c r="HA34">
        <v>0.66108699999999998</v>
      </c>
      <c r="HB34">
        <v>3.2232500000000002</v>
      </c>
      <c r="HC34">
        <v>20.135000000000002</v>
      </c>
      <c r="HD34">
        <v>5.23421</v>
      </c>
      <c r="HE34">
        <v>11.9214</v>
      </c>
      <c r="HF34">
        <v>4.9596999999999998</v>
      </c>
      <c r="HG34">
        <v>3.2890000000000001</v>
      </c>
      <c r="HH34">
        <v>9999</v>
      </c>
      <c r="HI34">
        <v>9999</v>
      </c>
      <c r="HJ34">
        <v>9999</v>
      </c>
      <c r="HK34">
        <v>999.9</v>
      </c>
      <c r="HL34">
        <v>1.88134</v>
      </c>
      <c r="HM34">
        <v>1.8785099999999999</v>
      </c>
      <c r="HN34">
        <v>1.8864399999999999</v>
      </c>
      <c r="HO34">
        <v>1.8842099999999999</v>
      </c>
      <c r="HP34">
        <v>1.88171</v>
      </c>
      <c r="HQ34">
        <v>1.8807799999999999</v>
      </c>
      <c r="HR34">
        <v>1.8818699999999999</v>
      </c>
      <c r="HS34">
        <v>1.88141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-0.70199999999999996</v>
      </c>
      <c r="IH34">
        <v>-1.9316</v>
      </c>
      <c r="II34">
        <v>-1.349909099990412</v>
      </c>
      <c r="IJ34">
        <v>8.9935118796959448E-4</v>
      </c>
      <c r="IK34">
        <v>-5.3495398746875769E-7</v>
      </c>
      <c r="IL34">
        <v>3.209454383910538E-10</v>
      </c>
      <c r="IM34">
        <v>-1.931640000000002</v>
      </c>
      <c r="IN34">
        <v>0</v>
      </c>
      <c r="IO34">
        <v>0</v>
      </c>
      <c r="IP34">
        <v>0</v>
      </c>
      <c r="IQ34">
        <v>1</v>
      </c>
      <c r="IR34">
        <v>2101</v>
      </c>
      <c r="IS34">
        <v>1</v>
      </c>
      <c r="IT34">
        <v>21</v>
      </c>
      <c r="IU34">
        <v>0.7</v>
      </c>
      <c r="IV34">
        <v>0.7</v>
      </c>
      <c r="IW34">
        <v>3.1860400000000002</v>
      </c>
      <c r="IX34">
        <v>2.4572799999999999</v>
      </c>
      <c r="IY34">
        <v>2.34375</v>
      </c>
      <c r="IZ34">
        <v>2.9174799999999999</v>
      </c>
      <c r="JA34">
        <v>3.0480999999999998</v>
      </c>
      <c r="JB34">
        <v>2.3754900000000001</v>
      </c>
      <c r="JC34">
        <v>45.375799999999998</v>
      </c>
      <c r="JD34">
        <v>23.816099999999999</v>
      </c>
      <c r="JE34">
        <v>18</v>
      </c>
      <c r="JF34">
        <v>440.00900000000001</v>
      </c>
      <c r="JG34">
        <v>1200.82</v>
      </c>
      <c r="JH34">
        <v>24.831800000000001</v>
      </c>
      <c r="JI34">
        <v>35.2376</v>
      </c>
      <c r="JJ34">
        <v>30.000399999999999</v>
      </c>
      <c r="JK34">
        <v>35.1721</v>
      </c>
      <c r="JL34">
        <v>35.131599999999999</v>
      </c>
      <c r="JM34">
        <v>63.873199999999997</v>
      </c>
      <c r="JN34">
        <v>14.845000000000001</v>
      </c>
      <c r="JO34">
        <v>67.440299999999993</v>
      </c>
      <c r="JP34">
        <v>24.825099999999999</v>
      </c>
      <c r="JQ34">
        <v>1000</v>
      </c>
      <c r="JR34">
        <v>25.136900000000001</v>
      </c>
      <c r="JS34">
        <v>99.210599999999999</v>
      </c>
      <c r="JT34">
        <v>98.933599999999998</v>
      </c>
    </row>
    <row r="35" spans="1:280" x14ac:dyDescent="0.25">
      <c r="A35">
        <v>19</v>
      </c>
      <c r="B35">
        <v>1700151475</v>
      </c>
      <c r="C35">
        <v>3514.5</v>
      </c>
      <c r="D35" t="s">
        <v>493</v>
      </c>
      <c r="E35" t="s">
        <v>494</v>
      </c>
      <c r="F35" t="s">
        <v>412</v>
      </c>
      <c r="G35" t="s">
        <v>478</v>
      </c>
      <c r="H35" t="s">
        <v>31</v>
      </c>
      <c r="I35">
        <v>1700151475</v>
      </c>
      <c r="J35">
        <f t="shared" si="0"/>
        <v>3.0794656441926098E-3</v>
      </c>
      <c r="K35">
        <f t="shared" si="1"/>
        <v>3.0794656441926098</v>
      </c>
      <c r="L35">
        <f t="shared" si="2"/>
        <v>56.057566583306311</v>
      </c>
      <c r="M35">
        <f t="shared" si="3"/>
        <v>701.59</v>
      </c>
      <c r="N35">
        <f t="shared" si="4"/>
        <v>222.94901575392052</v>
      </c>
      <c r="O35">
        <f t="shared" si="5"/>
        <v>22.198706521591362</v>
      </c>
      <c r="P35">
        <f t="shared" si="6"/>
        <v>69.856287348105994</v>
      </c>
      <c r="Q35">
        <f t="shared" si="7"/>
        <v>0.19748258143174</v>
      </c>
      <c r="R35">
        <f t="shared" si="8"/>
        <v>3.3761562083898506</v>
      </c>
      <c r="S35">
        <f t="shared" si="9"/>
        <v>0.19128236478280763</v>
      </c>
      <c r="T35">
        <f t="shared" si="10"/>
        <v>0.12009232711593075</v>
      </c>
      <c r="U35">
        <f t="shared" si="11"/>
        <v>344.35799864413224</v>
      </c>
      <c r="V35">
        <f t="shared" si="12"/>
        <v>30.718237854433831</v>
      </c>
      <c r="W35">
        <f t="shared" si="13"/>
        <v>29.979299999999999</v>
      </c>
      <c r="X35">
        <f t="shared" si="14"/>
        <v>4.2553867595987294</v>
      </c>
      <c r="Y35">
        <f t="shared" si="15"/>
        <v>64.891526219355953</v>
      </c>
      <c r="Z35">
        <f t="shared" si="16"/>
        <v>2.7084831592534799</v>
      </c>
      <c r="AA35">
        <f t="shared" si="17"/>
        <v>4.1738626243708055</v>
      </c>
      <c r="AB35">
        <f t="shared" si="18"/>
        <v>1.5469036003452494</v>
      </c>
      <c r="AC35">
        <f t="shared" si="19"/>
        <v>-135.80443490889408</v>
      </c>
      <c r="AD35">
        <f t="shared" si="20"/>
        <v>-61.211756658307401</v>
      </c>
      <c r="AE35">
        <f t="shared" si="21"/>
        <v>-4.0238264406269986</v>
      </c>
      <c r="AF35">
        <f t="shared" si="22"/>
        <v>143.31798063630379</v>
      </c>
      <c r="AG35">
        <v>43</v>
      </c>
      <c r="AH35">
        <v>9</v>
      </c>
      <c r="AI35">
        <f t="shared" si="23"/>
        <v>1</v>
      </c>
      <c r="AJ35">
        <f t="shared" si="24"/>
        <v>0</v>
      </c>
      <c r="AK35">
        <f t="shared" si="25"/>
        <v>52205.90311700516</v>
      </c>
      <c r="AL35" t="s">
        <v>415</v>
      </c>
      <c r="AM35">
        <v>7163.32</v>
      </c>
      <c r="AN35">
        <v>295.04692307692312</v>
      </c>
      <c r="AO35">
        <v>723.15082041179414</v>
      </c>
      <c r="AP35">
        <f t="shared" si="26"/>
        <v>0.59199808013920208</v>
      </c>
      <c r="AQ35">
        <v>-3.795255127542589</v>
      </c>
      <c r="AR35" t="s">
        <v>495</v>
      </c>
      <c r="AS35">
        <v>7238.85</v>
      </c>
      <c r="AT35">
        <v>603.60423076923075</v>
      </c>
      <c r="AU35">
        <v>865.23929577030208</v>
      </c>
      <c r="AV35">
        <f t="shared" si="27"/>
        <v>0.30238463079528055</v>
      </c>
      <c r="AW35">
        <v>0.5</v>
      </c>
      <c r="AX35">
        <f t="shared" si="28"/>
        <v>1513.1342993220662</v>
      </c>
      <c r="AY35">
        <f t="shared" si="29"/>
        <v>56.057566583306311</v>
      </c>
      <c r="AZ35">
        <f t="shared" si="30"/>
        <v>228.77427822208927</v>
      </c>
      <c r="BA35">
        <f t="shared" si="31"/>
        <v>3.9555525069826868E-2</v>
      </c>
      <c r="BB35">
        <f t="shared" si="32"/>
        <v>-0.16421870348827594</v>
      </c>
      <c r="BC35">
        <f t="shared" si="33"/>
        <v>316.23516835096314</v>
      </c>
      <c r="BD35" t="s">
        <v>496</v>
      </c>
      <c r="BE35">
        <v>407.37</v>
      </c>
      <c r="BF35">
        <f t="shared" si="34"/>
        <v>407.37</v>
      </c>
      <c r="BG35">
        <f t="shared" si="35"/>
        <v>0.52918227131914053</v>
      </c>
      <c r="BH35">
        <f t="shared" si="36"/>
        <v>0.57141867213634912</v>
      </c>
      <c r="BI35">
        <f t="shared" si="37"/>
        <v>-0.4499591684296006</v>
      </c>
      <c r="BJ35">
        <f t="shared" si="38"/>
        <v>0.4588540245903388</v>
      </c>
      <c r="BK35">
        <f t="shared" si="39"/>
        <v>-0.3319018496282542</v>
      </c>
      <c r="BL35">
        <f t="shared" si="40"/>
        <v>0.38564809953623447</v>
      </c>
      <c r="BM35">
        <f t="shared" si="41"/>
        <v>0.61435190046376553</v>
      </c>
      <c r="BN35">
        <v>298</v>
      </c>
      <c r="BO35">
        <v>290.00000000000011</v>
      </c>
      <c r="BP35">
        <v>792.65</v>
      </c>
      <c r="BQ35">
        <v>295</v>
      </c>
      <c r="BR35">
        <v>7238.85</v>
      </c>
      <c r="BS35">
        <v>794.81</v>
      </c>
      <c r="BT35">
        <v>-2.16</v>
      </c>
      <c r="BU35">
        <v>300.00000000000011</v>
      </c>
      <c r="BV35">
        <v>38.1</v>
      </c>
      <c r="BW35">
        <v>865.23929577030208</v>
      </c>
      <c r="BX35">
        <v>1.4171340605842091</v>
      </c>
      <c r="BY35">
        <v>-50.986001485342257</v>
      </c>
      <c r="BZ35">
        <v>0.85990206740254871</v>
      </c>
      <c r="CA35">
        <v>0.99209851159697238</v>
      </c>
      <c r="CB35">
        <v>-7.1394206896551833E-3</v>
      </c>
      <c r="CC35">
        <v>289.99999999999989</v>
      </c>
      <c r="CD35">
        <v>802.27</v>
      </c>
      <c r="CE35">
        <v>795</v>
      </c>
      <c r="CF35">
        <v>7232.6</v>
      </c>
      <c r="CG35">
        <v>794.74</v>
      </c>
      <c r="CH35">
        <v>7.53</v>
      </c>
      <c r="CV35">
        <f t="shared" si="42"/>
        <v>1799.94</v>
      </c>
      <c r="CW35">
        <f t="shared" si="43"/>
        <v>1513.1342993220662</v>
      </c>
      <c r="CX35">
        <f t="shared" si="44"/>
        <v>0.84065818822964444</v>
      </c>
      <c r="CY35">
        <f t="shared" si="45"/>
        <v>0.19131637645928878</v>
      </c>
      <c r="CZ35">
        <v>4.16</v>
      </c>
      <c r="DA35">
        <v>0.5</v>
      </c>
      <c r="DB35" t="s">
        <v>418</v>
      </c>
      <c r="DC35">
        <v>2</v>
      </c>
      <c r="DD35">
        <v>1700151475</v>
      </c>
      <c r="DE35">
        <v>701.59</v>
      </c>
      <c r="DF35">
        <v>750.029</v>
      </c>
      <c r="DG35">
        <v>27.202200000000001</v>
      </c>
      <c r="DH35">
        <v>24.709700000000002</v>
      </c>
      <c r="DI35">
        <v>702.351</v>
      </c>
      <c r="DJ35">
        <v>29.135400000000001</v>
      </c>
      <c r="DK35">
        <v>499.98399999999998</v>
      </c>
      <c r="DL35">
        <v>99.468699999999998</v>
      </c>
      <c r="DM35">
        <v>9.9833400000000003E-2</v>
      </c>
      <c r="DN35">
        <v>29.643000000000001</v>
      </c>
      <c r="DO35">
        <v>29.979299999999999</v>
      </c>
      <c r="DP35">
        <v>999.9</v>
      </c>
      <c r="DQ35">
        <v>0</v>
      </c>
      <c r="DR35">
        <v>0</v>
      </c>
      <c r="DS35">
        <v>10013.799999999999</v>
      </c>
      <c r="DT35">
        <v>0</v>
      </c>
      <c r="DU35">
        <v>253.99</v>
      </c>
      <c r="DV35">
        <v>-48.438899999999997</v>
      </c>
      <c r="DW35">
        <v>721.20899999999995</v>
      </c>
      <c r="DX35">
        <v>769.03200000000004</v>
      </c>
      <c r="DY35">
        <v>2.4924499999999998</v>
      </c>
      <c r="DZ35">
        <v>750.029</v>
      </c>
      <c r="EA35">
        <v>24.709700000000002</v>
      </c>
      <c r="EB35">
        <v>2.7057699999999998</v>
      </c>
      <c r="EC35">
        <v>2.4578500000000001</v>
      </c>
      <c r="ED35">
        <v>22.3202</v>
      </c>
      <c r="EE35">
        <v>20.75</v>
      </c>
      <c r="EF35">
        <v>1799.94</v>
      </c>
      <c r="EG35">
        <v>0.97800200000000004</v>
      </c>
      <c r="EH35">
        <v>2.1998199999999999E-2</v>
      </c>
      <c r="EI35">
        <v>0</v>
      </c>
      <c r="EJ35">
        <v>603.49300000000005</v>
      </c>
      <c r="EK35">
        <v>5.0010300000000001</v>
      </c>
      <c r="EL35">
        <v>11196.2</v>
      </c>
      <c r="EM35">
        <v>14700.6</v>
      </c>
      <c r="EN35">
        <v>49.5</v>
      </c>
      <c r="EO35">
        <v>51.186999999999998</v>
      </c>
      <c r="EP35">
        <v>51</v>
      </c>
      <c r="EQ35">
        <v>50.061999999999998</v>
      </c>
      <c r="ER35">
        <v>50.936999999999998</v>
      </c>
      <c r="ES35">
        <v>1755.45</v>
      </c>
      <c r="ET35">
        <v>39.49</v>
      </c>
      <c r="EU35">
        <v>0</v>
      </c>
      <c r="EV35">
        <v>313.79999995231628</v>
      </c>
      <c r="EW35">
        <v>0</v>
      </c>
      <c r="EX35">
        <v>603.60423076923075</v>
      </c>
      <c r="EY35">
        <v>-1.9029743654932689</v>
      </c>
      <c r="EZ35">
        <v>-21.7401709185656</v>
      </c>
      <c r="FA35">
        <v>11199.48846153846</v>
      </c>
      <c r="FB35">
        <v>15</v>
      </c>
      <c r="FC35">
        <v>1700151394</v>
      </c>
      <c r="FD35" t="s">
        <v>497</v>
      </c>
      <c r="FE35">
        <v>1700151394</v>
      </c>
      <c r="FF35">
        <v>1700151392.5</v>
      </c>
      <c r="FG35">
        <v>21</v>
      </c>
      <c r="FH35">
        <v>0.11</v>
      </c>
      <c r="FI35">
        <v>-2E-3</v>
      </c>
      <c r="FJ35">
        <v>-0.73</v>
      </c>
      <c r="FK35">
        <v>-1.9330000000000001</v>
      </c>
      <c r="FL35">
        <v>750</v>
      </c>
      <c r="FM35">
        <v>25</v>
      </c>
      <c r="FN35">
        <v>0.06</v>
      </c>
      <c r="FO35">
        <v>7.0000000000000007E-2</v>
      </c>
      <c r="FP35">
        <v>55.951905253279818</v>
      </c>
      <c r="FQ35">
        <v>0.52851014236649385</v>
      </c>
      <c r="FR35">
        <v>5.5060786294741378E-2</v>
      </c>
      <c r="FS35">
        <v>1</v>
      </c>
      <c r="FT35">
        <v>0.19719067426339831</v>
      </c>
      <c r="FU35">
        <v>4.8550967876895133E-2</v>
      </c>
      <c r="FV35">
        <v>4.4098202735241877E-3</v>
      </c>
      <c r="FW35">
        <v>1</v>
      </c>
      <c r="FX35">
        <v>2</v>
      </c>
      <c r="FY35">
        <v>2</v>
      </c>
      <c r="FZ35" t="s">
        <v>420</v>
      </c>
      <c r="GA35">
        <v>2.89655</v>
      </c>
      <c r="GB35">
        <v>2.8179599999999998</v>
      </c>
      <c r="GC35">
        <v>0.135654</v>
      </c>
      <c r="GD35">
        <v>0.14180300000000001</v>
      </c>
      <c r="GE35">
        <v>0.13647599999999999</v>
      </c>
      <c r="GF35">
        <v>0.120949</v>
      </c>
      <c r="GG35">
        <v>23911.4</v>
      </c>
      <c r="GH35">
        <v>23820</v>
      </c>
      <c r="GI35">
        <v>24556.7</v>
      </c>
      <c r="GJ35">
        <v>24802.799999999999</v>
      </c>
      <c r="GK35">
        <v>28221.3</v>
      </c>
      <c r="GL35">
        <v>28327.8</v>
      </c>
      <c r="GM35">
        <v>33260.1</v>
      </c>
      <c r="GN35">
        <v>33155.9</v>
      </c>
      <c r="GO35">
        <v>1.8470800000000001</v>
      </c>
      <c r="GP35">
        <v>2.5163799999999998</v>
      </c>
      <c r="GQ35">
        <v>6.0617900000000002E-2</v>
      </c>
      <c r="GR35">
        <v>0</v>
      </c>
      <c r="GS35">
        <v>28.992000000000001</v>
      </c>
      <c r="GT35">
        <v>999.9</v>
      </c>
      <c r="GU35">
        <v>44.4</v>
      </c>
      <c r="GV35">
        <v>39.299999999999997</v>
      </c>
      <c r="GW35">
        <v>31.8766</v>
      </c>
      <c r="GX35">
        <v>62.7194</v>
      </c>
      <c r="GY35">
        <v>-5.4847799999999998</v>
      </c>
      <c r="GZ35">
        <v>3</v>
      </c>
      <c r="HA35">
        <v>0.66297300000000003</v>
      </c>
      <c r="HB35">
        <v>2.9544700000000002</v>
      </c>
      <c r="HC35">
        <v>20.139900000000001</v>
      </c>
      <c r="HD35">
        <v>5.2304700000000004</v>
      </c>
      <c r="HE35">
        <v>11.920199999999999</v>
      </c>
      <c r="HF35">
        <v>4.9596499999999999</v>
      </c>
      <c r="HG35">
        <v>3.28898</v>
      </c>
      <c r="HH35">
        <v>9999</v>
      </c>
      <c r="HI35">
        <v>9999</v>
      </c>
      <c r="HJ35">
        <v>9999</v>
      </c>
      <c r="HK35">
        <v>999.9</v>
      </c>
      <c r="HL35">
        <v>1.8813200000000001</v>
      </c>
      <c r="HM35">
        <v>1.8785099999999999</v>
      </c>
      <c r="HN35">
        <v>1.8864399999999999</v>
      </c>
      <c r="HO35">
        <v>1.88418</v>
      </c>
      <c r="HP35">
        <v>1.8817200000000001</v>
      </c>
      <c r="HQ35">
        <v>1.88079</v>
      </c>
      <c r="HR35">
        <v>1.88188</v>
      </c>
      <c r="HS35">
        <v>1.88141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-0.76100000000000001</v>
      </c>
      <c r="IH35">
        <v>-1.9332</v>
      </c>
      <c r="II35">
        <v>-1.239654008804405</v>
      </c>
      <c r="IJ35">
        <v>8.9935118796959448E-4</v>
      </c>
      <c r="IK35">
        <v>-5.3495398746875769E-7</v>
      </c>
      <c r="IL35">
        <v>3.209454383910538E-10</v>
      </c>
      <c r="IM35">
        <v>-1.9331700000000001</v>
      </c>
      <c r="IN35">
        <v>0</v>
      </c>
      <c r="IO35">
        <v>0</v>
      </c>
      <c r="IP35">
        <v>0</v>
      </c>
      <c r="IQ35">
        <v>1</v>
      </c>
      <c r="IR35">
        <v>2101</v>
      </c>
      <c r="IS35">
        <v>1</v>
      </c>
      <c r="IT35">
        <v>21</v>
      </c>
      <c r="IU35">
        <v>1.4</v>
      </c>
      <c r="IV35">
        <v>1.4</v>
      </c>
      <c r="IW35">
        <v>2.5451700000000002</v>
      </c>
      <c r="IX35">
        <v>2.4682599999999999</v>
      </c>
      <c r="IY35">
        <v>2.34375</v>
      </c>
      <c r="IZ35">
        <v>2.9162599999999999</v>
      </c>
      <c r="JA35">
        <v>3.0480999999999998</v>
      </c>
      <c r="JB35">
        <v>2.36328</v>
      </c>
      <c r="JC35">
        <v>45.547199999999997</v>
      </c>
      <c r="JD35">
        <v>23.816099999999999</v>
      </c>
      <c r="JE35">
        <v>18</v>
      </c>
      <c r="JF35">
        <v>440.24200000000002</v>
      </c>
      <c r="JG35">
        <v>1199.24</v>
      </c>
      <c r="JH35">
        <v>25.020700000000001</v>
      </c>
      <c r="JI35">
        <v>35.270000000000003</v>
      </c>
      <c r="JJ35">
        <v>30.0001</v>
      </c>
      <c r="JK35">
        <v>35.201300000000003</v>
      </c>
      <c r="JL35">
        <v>35.155799999999999</v>
      </c>
      <c r="JM35">
        <v>51.042400000000001</v>
      </c>
      <c r="JN35">
        <v>16.162199999999999</v>
      </c>
      <c r="JO35">
        <v>65.187399999999997</v>
      </c>
      <c r="JP35">
        <v>25.0276</v>
      </c>
      <c r="JQ35">
        <v>750</v>
      </c>
      <c r="JR35">
        <v>24.781300000000002</v>
      </c>
      <c r="JS35">
        <v>99.203500000000005</v>
      </c>
      <c r="JT35">
        <v>98.918899999999994</v>
      </c>
    </row>
    <row r="36" spans="1:280" x14ac:dyDescent="0.25">
      <c r="A36">
        <v>20</v>
      </c>
      <c r="B36">
        <v>1700151664</v>
      </c>
      <c r="C36">
        <v>3703.5</v>
      </c>
      <c r="D36" t="s">
        <v>498</v>
      </c>
      <c r="E36" t="s">
        <v>499</v>
      </c>
      <c r="F36" t="s">
        <v>412</v>
      </c>
      <c r="G36" t="s">
        <v>478</v>
      </c>
      <c r="H36" t="s">
        <v>31</v>
      </c>
      <c r="I36">
        <v>1700151664</v>
      </c>
      <c r="J36">
        <f t="shared" si="0"/>
        <v>3.5754634885381414E-3</v>
      </c>
      <c r="K36">
        <f t="shared" si="1"/>
        <v>3.5754634885381416</v>
      </c>
      <c r="L36">
        <f t="shared" si="2"/>
        <v>55.220873847535785</v>
      </c>
      <c r="M36">
        <f t="shared" si="3"/>
        <v>552.38599999999997</v>
      </c>
      <c r="N36">
        <f t="shared" si="4"/>
        <v>149.2771787090675</v>
      </c>
      <c r="O36">
        <f t="shared" si="5"/>
        <v>14.862670489561452</v>
      </c>
      <c r="P36">
        <f t="shared" si="6"/>
        <v>54.997898352885997</v>
      </c>
      <c r="Q36">
        <f t="shared" si="7"/>
        <v>0.23146991864910701</v>
      </c>
      <c r="R36">
        <f t="shared" si="8"/>
        <v>3.3673629726159211</v>
      </c>
      <c r="S36">
        <f t="shared" si="9"/>
        <v>0.2229799035390358</v>
      </c>
      <c r="T36">
        <f t="shared" si="10"/>
        <v>0.14009928933095539</v>
      </c>
      <c r="U36">
        <f t="shared" si="11"/>
        <v>344.3953986446262</v>
      </c>
      <c r="V36">
        <f t="shared" si="12"/>
        <v>30.725946531456568</v>
      </c>
      <c r="W36">
        <f t="shared" si="13"/>
        <v>29.9969</v>
      </c>
      <c r="X36">
        <f t="shared" si="14"/>
        <v>4.259691209377328</v>
      </c>
      <c r="Y36">
        <f t="shared" si="15"/>
        <v>64.7058109677468</v>
      </c>
      <c r="Z36">
        <f t="shared" si="16"/>
        <v>2.7191395205103999</v>
      </c>
      <c r="AA36">
        <f t="shared" si="17"/>
        <v>4.2023111677957017</v>
      </c>
      <c r="AB36">
        <f t="shared" si="18"/>
        <v>1.5405516888669282</v>
      </c>
      <c r="AC36">
        <f t="shared" si="19"/>
        <v>-157.67793984453203</v>
      </c>
      <c r="AD36">
        <f t="shared" si="20"/>
        <v>-42.825586201544212</v>
      </c>
      <c r="AE36">
        <f t="shared" si="21"/>
        <v>-2.8244372532701125</v>
      </c>
      <c r="AF36">
        <f t="shared" si="22"/>
        <v>141.06743534527985</v>
      </c>
      <c r="AG36">
        <v>43</v>
      </c>
      <c r="AH36">
        <v>9</v>
      </c>
      <c r="AI36">
        <f t="shared" si="23"/>
        <v>1</v>
      </c>
      <c r="AJ36">
        <f t="shared" si="24"/>
        <v>0</v>
      </c>
      <c r="AK36">
        <f t="shared" si="25"/>
        <v>51986.071242726044</v>
      </c>
      <c r="AL36" t="s">
        <v>415</v>
      </c>
      <c r="AM36">
        <v>7163.32</v>
      </c>
      <c r="AN36">
        <v>295.04692307692312</v>
      </c>
      <c r="AO36">
        <v>723.15082041179414</v>
      </c>
      <c r="AP36">
        <f t="shared" si="26"/>
        <v>0.59199808013920208</v>
      </c>
      <c r="AQ36">
        <v>-3.795255127542589</v>
      </c>
      <c r="AR36" t="s">
        <v>500</v>
      </c>
      <c r="AS36">
        <v>7237.17</v>
      </c>
      <c r="AT36">
        <v>602.70834615384615</v>
      </c>
      <c r="AU36">
        <v>858.43197237033803</v>
      </c>
      <c r="AV36">
        <f t="shared" si="27"/>
        <v>0.29789620429721086</v>
      </c>
      <c r="AW36">
        <v>0.5</v>
      </c>
      <c r="AX36">
        <f t="shared" si="28"/>
        <v>1513.3019993223131</v>
      </c>
      <c r="AY36">
        <f t="shared" si="29"/>
        <v>55.220873847535785</v>
      </c>
      <c r="AZ36">
        <f t="shared" si="30"/>
        <v>225.40346077674872</v>
      </c>
      <c r="BA36">
        <f t="shared" si="31"/>
        <v>3.8998249524223837E-2</v>
      </c>
      <c r="BB36">
        <f t="shared" si="32"/>
        <v>-0.15759099883593566</v>
      </c>
      <c r="BC36">
        <f t="shared" si="33"/>
        <v>315.32127041338418</v>
      </c>
      <c r="BD36" t="s">
        <v>501</v>
      </c>
      <c r="BE36">
        <v>406.15</v>
      </c>
      <c r="BF36">
        <f t="shared" si="34"/>
        <v>406.15</v>
      </c>
      <c r="BG36">
        <f t="shared" si="35"/>
        <v>0.52686990574393255</v>
      </c>
      <c r="BH36">
        <f t="shared" si="36"/>
        <v>0.5654075153079503</v>
      </c>
      <c r="BI36">
        <f t="shared" si="37"/>
        <v>-0.42675331812330758</v>
      </c>
      <c r="BJ36">
        <f t="shared" si="38"/>
        <v>0.45390559536007358</v>
      </c>
      <c r="BK36">
        <f t="shared" si="39"/>
        <v>-0.31600074841814485</v>
      </c>
      <c r="BL36">
        <f t="shared" si="40"/>
        <v>0.38101390798345852</v>
      </c>
      <c r="BM36">
        <f t="shared" si="41"/>
        <v>0.61898609201654153</v>
      </c>
      <c r="BN36">
        <v>300</v>
      </c>
      <c r="BO36">
        <v>290.00000000000011</v>
      </c>
      <c r="BP36">
        <v>788.31</v>
      </c>
      <c r="BQ36">
        <v>295</v>
      </c>
      <c r="BR36">
        <v>7237.17</v>
      </c>
      <c r="BS36">
        <v>789.81</v>
      </c>
      <c r="BT36">
        <v>-1.5</v>
      </c>
      <c r="BU36">
        <v>300.00000000000011</v>
      </c>
      <c r="BV36">
        <v>38.1</v>
      </c>
      <c r="BW36">
        <v>858.43197237033803</v>
      </c>
      <c r="BX36">
        <v>1.2493312244239601</v>
      </c>
      <c r="BY36">
        <v>-49.66009467704373</v>
      </c>
      <c r="BZ36">
        <v>0.75790347762630006</v>
      </c>
      <c r="CA36">
        <v>0.99352040983120027</v>
      </c>
      <c r="CB36">
        <v>-7.1378182424916576E-3</v>
      </c>
      <c r="CC36">
        <v>289.99999999999989</v>
      </c>
      <c r="CD36">
        <v>797.77</v>
      </c>
      <c r="CE36">
        <v>845</v>
      </c>
      <c r="CF36">
        <v>7229.97</v>
      </c>
      <c r="CG36">
        <v>789.75</v>
      </c>
      <c r="CH36">
        <v>8.02</v>
      </c>
      <c r="CV36">
        <f t="shared" si="42"/>
        <v>1800.14</v>
      </c>
      <c r="CW36">
        <f t="shared" si="43"/>
        <v>1513.3019993223131</v>
      </c>
      <c r="CX36">
        <f t="shared" si="44"/>
        <v>0.84065794844973896</v>
      </c>
      <c r="CY36">
        <f t="shared" si="45"/>
        <v>0.19131589689947792</v>
      </c>
      <c r="CZ36">
        <v>4.16</v>
      </c>
      <c r="DA36">
        <v>0.5</v>
      </c>
      <c r="DB36" t="s">
        <v>418</v>
      </c>
      <c r="DC36">
        <v>2</v>
      </c>
      <c r="DD36">
        <v>1700151664</v>
      </c>
      <c r="DE36">
        <v>552.38599999999997</v>
      </c>
      <c r="DF36">
        <v>599.96900000000005</v>
      </c>
      <c r="DG36">
        <v>27.310400000000001</v>
      </c>
      <c r="DH36">
        <v>24.417100000000001</v>
      </c>
      <c r="DI36">
        <v>553.15</v>
      </c>
      <c r="DJ36">
        <v>29.242799999999999</v>
      </c>
      <c r="DK36">
        <v>500.04199999999997</v>
      </c>
      <c r="DL36">
        <v>99.464100000000002</v>
      </c>
      <c r="DM36">
        <v>0.100151</v>
      </c>
      <c r="DN36">
        <v>29.760999999999999</v>
      </c>
      <c r="DO36">
        <v>29.9969</v>
      </c>
      <c r="DP36">
        <v>999.9</v>
      </c>
      <c r="DQ36">
        <v>0</v>
      </c>
      <c r="DR36">
        <v>0</v>
      </c>
      <c r="DS36">
        <v>9974.3799999999992</v>
      </c>
      <c r="DT36">
        <v>0</v>
      </c>
      <c r="DU36">
        <v>264.75200000000001</v>
      </c>
      <c r="DV36">
        <v>-47.582799999999999</v>
      </c>
      <c r="DW36">
        <v>567.89499999999998</v>
      </c>
      <c r="DX36">
        <v>614.98500000000001</v>
      </c>
      <c r="DY36">
        <v>2.8932099999999998</v>
      </c>
      <c r="DZ36">
        <v>599.96900000000005</v>
      </c>
      <c r="EA36">
        <v>24.417100000000001</v>
      </c>
      <c r="EB36">
        <v>2.7164000000000001</v>
      </c>
      <c r="EC36">
        <v>2.4286300000000001</v>
      </c>
      <c r="ED36">
        <v>22.384699999999999</v>
      </c>
      <c r="EE36">
        <v>20.555900000000001</v>
      </c>
      <c r="EF36">
        <v>1800.14</v>
      </c>
      <c r="EG36">
        <v>0.97800900000000002</v>
      </c>
      <c r="EH36">
        <v>2.1991E-2</v>
      </c>
      <c r="EI36">
        <v>0</v>
      </c>
      <c r="EJ36">
        <v>602.63800000000003</v>
      </c>
      <c r="EK36">
        <v>5.0010300000000001</v>
      </c>
      <c r="EL36">
        <v>11198.2</v>
      </c>
      <c r="EM36">
        <v>14702.3</v>
      </c>
      <c r="EN36">
        <v>49.75</v>
      </c>
      <c r="EO36">
        <v>51.5</v>
      </c>
      <c r="EP36">
        <v>51.375</v>
      </c>
      <c r="EQ36">
        <v>50.375</v>
      </c>
      <c r="ER36">
        <v>51.311999999999998</v>
      </c>
      <c r="ES36">
        <v>1755.66</v>
      </c>
      <c r="ET36">
        <v>39.479999999999997</v>
      </c>
      <c r="EU36">
        <v>0</v>
      </c>
      <c r="EV36">
        <v>187.20000004768369</v>
      </c>
      <c r="EW36">
        <v>0</v>
      </c>
      <c r="EX36">
        <v>602.70834615384615</v>
      </c>
      <c r="EY36">
        <v>0.29788033266589159</v>
      </c>
      <c r="EZ36">
        <v>24.581196598332841</v>
      </c>
      <c r="FA36">
        <v>11196.52307692308</v>
      </c>
      <c r="FB36">
        <v>15</v>
      </c>
      <c r="FC36">
        <v>1700151580.5</v>
      </c>
      <c r="FD36" t="s">
        <v>502</v>
      </c>
      <c r="FE36">
        <v>1700151580.5</v>
      </c>
      <c r="FF36">
        <v>1700151574</v>
      </c>
      <c r="FG36">
        <v>22</v>
      </c>
      <c r="FH36">
        <v>8.7999999999999995E-2</v>
      </c>
      <c r="FI36">
        <v>1E-3</v>
      </c>
      <c r="FJ36">
        <v>-0.73499999999999999</v>
      </c>
      <c r="FK36">
        <v>-1.9319999999999999</v>
      </c>
      <c r="FL36">
        <v>600</v>
      </c>
      <c r="FM36">
        <v>25</v>
      </c>
      <c r="FN36">
        <v>0.05</v>
      </c>
      <c r="FO36">
        <v>0.09</v>
      </c>
      <c r="FP36">
        <v>55.183570396790451</v>
      </c>
      <c r="FQ36">
        <v>0.53145901993952471</v>
      </c>
      <c r="FR36">
        <v>7.3329581869433835E-2</v>
      </c>
      <c r="FS36">
        <v>1</v>
      </c>
      <c r="FT36">
        <v>0.22870248642595589</v>
      </c>
      <c r="FU36">
        <v>-6.59826243211713E-3</v>
      </c>
      <c r="FV36">
        <v>1.022060485536491E-3</v>
      </c>
      <c r="FW36">
        <v>1</v>
      </c>
      <c r="FX36">
        <v>2</v>
      </c>
      <c r="FY36">
        <v>2</v>
      </c>
      <c r="FZ36" t="s">
        <v>420</v>
      </c>
      <c r="GA36">
        <v>2.89662</v>
      </c>
      <c r="GB36">
        <v>2.81793</v>
      </c>
      <c r="GC36">
        <v>0.114812</v>
      </c>
      <c r="GD36">
        <v>0.12161</v>
      </c>
      <c r="GE36">
        <v>0.13680400000000001</v>
      </c>
      <c r="GF36">
        <v>0.119951</v>
      </c>
      <c r="GG36">
        <v>24487.5</v>
      </c>
      <c r="GH36">
        <v>24378.799999999999</v>
      </c>
      <c r="GI36">
        <v>24556</v>
      </c>
      <c r="GJ36">
        <v>24801</v>
      </c>
      <c r="GK36">
        <v>28209.5</v>
      </c>
      <c r="GL36">
        <v>28356.9</v>
      </c>
      <c r="GM36">
        <v>33258.699999999997</v>
      </c>
      <c r="GN36">
        <v>33152.199999999997</v>
      </c>
      <c r="GO36">
        <v>1.8468500000000001</v>
      </c>
      <c r="GP36">
        <v>2.5150000000000001</v>
      </c>
      <c r="GQ36">
        <v>5.4888399999999997E-2</v>
      </c>
      <c r="GR36">
        <v>0</v>
      </c>
      <c r="GS36">
        <v>29.103000000000002</v>
      </c>
      <c r="GT36">
        <v>999.9</v>
      </c>
      <c r="GU36">
        <v>43.5</v>
      </c>
      <c r="GV36">
        <v>39.6</v>
      </c>
      <c r="GW36">
        <v>31.735199999999999</v>
      </c>
      <c r="GX36">
        <v>63.109400000000001</v>
      </c>
      <c r="GY36">
        <v>-5.3084899999999999</v>
      </c>
      <c r="GZ36">
        <v>3</v>
      </c>
      <c r="HA36">
        <v>0.66712099999999996</v>
      </c>
      <c r="HB36">
        <v>3.2202899999999999</v>
      </c>
      <c r="HC36">
        <v>20.135100000000001</v>
      </c>
      <c r="HD36">
        <v>5.2336099999999997</v>
      </c>
      <c r="HE36">
        <v>11.920500000000001</v>
      </c>
      <c r="HF36">
        <v>4.9597499999999997</v>
      </c>
      <c r="HG36">
        <v>3.2888299999999999</v>
      </c>
      <c r="HH36">
        <v>9999</v>
      </c>
      <c r="HI36">
        <v>9999</v>
      </c>
      <c r="HJ36">
        <v>9999</v>
      </c>
      <c r="HK36">
        <v>999.9</v>
      </c>
      <c r="HL36">
        <v>1.8813500000000001</v>
      </c>
      <c r="HM36">
        <v>1.8785099999999999</v>
      </c>
      <c r="HN36">
        <v>1.8864399999999999</v>
      </c>
      <c r="HO36">
        <v>1.8842699999999999</v>
      </c>
      <c r="HP36">
        <v>1.88175</v>
      </c>
      <c r="HQ36">
        <v>1.8808</v>
      </c>
      <c r="HR36">
        <v>1.88188</v>
      </c>
      <c r="HS36">
        <v>1.88141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-0.76400000000000001</v>
      </c>
      <c r="IH36">
        <v>-1.9323999999999999</v>
      </c>
      <c r="II36">
        <v>-1.1519521444034599</v>
      </c>
      <c r="IJ36">
        <v>8.9935118796959448E-4</v>
      </c>
      <c r="IK36">
        <v>-5.3495398746875769E-7</v>
      </c>
      <c r="IL36">
        <v>3.209454383910538E-10</v>
      </c>
      <c r="IM36">
        <v>-1.9325000000000001</v>
      </c>
      <c r="IN36">
        <v>0</v>
      </c>
      <c r="IO36">
        <v>0</v>
      </c>
      <c r="IP36">
        <v>0</v>
      </c>
      <c r="IQ36">
        <v>1</v>
      </c>
      <c r="IR36">
        <v>2101</v>
      </c>
      <c r="IS36">
        <v>1</v>
      </c>
      <c r="IT36">
        <v>21</v>
      </c>
      <c r="IU36">
        <v>1.4</v>
      </c>
      <c r="IV36">
        <v>1.5</v>
      </c>
      <c r="IW36">
        <v>2.1325699999999999</v>
      </c>
      <c r="IX36">
        <v>2.47437</v>
      </c>
      <c r="IY36">
        <v>2.34375</v>
      </c>
      <c r="IZ36">
        <v>2.9162599999999999</v>
      </c>
      <c r="JA36">
        <v>3.0480999999999998</v>
      </c>
      <c r="JB36">
        <v>2.3645</v>
      </c>
      <c r="JC36">
        <v>45.747999999999998</v>
      </c>
      <c r="JD36">
        <v>23.807300000000001</v>
      </c>
      <c r="JE36">
        <v>18</v>
      </c>
      <c r="JF36">
        <v>440.315</v>
      </c>
      <c r="JG36">
        <v>1197.8599999999999</v>
      </c>
      <c r="JH36">
        <v>24.975100000000001</v>
      </c>
      <c r="JI36">
        <v>35.305599999999998</v>
      </c>
      <c r="JJ36">
        <v>30.000399999999999</v>
      </c>
      <c r="JK36">
        <v>35.232300000000002</v>
      </c>
      <c r="JL36">
        <v>35.186599999999999</v>
      </c>
      <c r="JM36">
        <v>42.795900000000003</v>
      </c>
      <c r="JN36">
        <v>16.216799999999999</v>
      </c>
      <c r="JO36">
        <v>62.566899999999997</v>
      </c>
      <c r="JP36">
        <v>24.976199999999999</v>
      </c>
      <c r="JQ36">
        <v>600</v>
      </c>
      <c r="JR36">
        <v>24.506599999999999</v>
      </c>
      <c r="JS36">
        <v>99.1999</v>
      </c>
      <c r="JT36">
        <v>98.909300000000002</v>
      </c>
    </row>
    <row r="37" spans="1:280" x14ac:dyDescent="0.25">
      <c r="A37">
        <v>21</v>
      </c>
      <c r="B37">
        <v>1700151861.5</v>
      </c>
      <c r="C37">
        <v>3901</v>
      </c>
      <c r="D37" t="s">
        <v>503</v>
      </c>
      <c r="E37" t="s">
        <v>504</v>
      </c>
      <c r="F37" t="s">
        <v>412</v>
      </c>
      <c r="G37" t="s">
        <v>478</v>
      </c>
      <c r="H37" t="s">
        <v>31</v>
      </c>
      <c r="I37">
        <v>1700151861.5</v>
      </c>
      <c r="J37">
        <f t="shared" si="0"/>
        <v>4.1457006673164066E-3</v>
      </c>
      <c r="K37">
        <f t="shared" si="1"/>
        <v>4.1457006673164063</v>
      </c>
      <c r="L37">
        <f t="shared" si="2"/>
        <v>53.714960509705186</v>
      </c>
      <c r="M37">
        <f t="shared" si="3"/>
        <v>453.75</v>
      </c>
      <c r="N37">
        <f t="shared" si="4"/>
        <v>122.55327436617169</v>
      </c>
      <c r="O37">
        <f t="shared" si="5"/>
        <v>12.200456046318832</v>
      </c>
      <c r="P37">
        <f t="shared" si="6"/>
        <v>45.171840243750005</v>
      </c>
      <c r="Q37">
        <f t="shared" si="7"/>
        <v>0.27554972832513291</v>
      </c>
      <c r="R37">
        <f t="shared" si="8"/>
        <v>3.3709599945385751</v>
      </c>
      <c r="S37">
        <f t="shared" si="9"/>
        <v>0.26362009103857786</v>
      </c>
      <c r="T37">
        <f t="shared" si="10"/>
        <v>0.16579134603212084</v>
      </c>
      <c r="U37">
        <f t="shared" si="11"/>
        <v>344.39469864393209</v>
      </c>
      <c r="V37">
        <f t="shared" si="12"/>
        <v>30.622632093132253</v>
      </c>
      <c r="W37">
        <f t="shared" si="13"/>
        <v>29.953499999999998</v>
      </c>
      <c r="X37">
        <f t="shared" si="14"/>
        <v>4.2490836791104245</v>
      </c>
      <c r="Y37">
        <f t="shared" si="15"/>
        <v>65.06263567073411</v>
      </c>
      <c r="Z37">
        <f t="shared" si="16"/>
        <v>2.7384637951670001</v>
      </c>
      <c r="AA37">
        <f t="shared" si="17"/>
        <v>4.2089653561311096</v>
      </c>
      <c r="AB37">
        <f t="shared" si="18"/>
        <v>1.5106198839434244</v>
      </c>
      <c r="AC37">
        <f t="shared" si="19"/>
        <v>-182.82539942865353</v>
      </c>
      <c r="AD37">
        <f t="shared" si="20"/>
        <v>-29.986307212217852</v>
      </c>
      <c r="AE37">
        <f t="shared" si="21"/>
        <v>-1.9753938714245307</v>
      </c>
      <c r="AF37">
        <f t="shared" si="22"/>
        <v>129.60759813163617</v>
      </c>
      <c r="AG37">
        <v>42</v>
      </c>
      <c r="AH37">
        <v>8</v>
      </c>
      <c r="AI37">
        <f t="shared" si="23"/>
        <v>1</v>
      </c>
      <c r="AJ37">
        <f t="shared" si="24"/>
        <v>0</v>
      </c>
      <c r="AK37">
        <f t="shared" si="25"/>
        <v>52062.62753422057</v>
      </c>
      <c r="AL37" t="s">
        <v>415</v>
      </c>
      <c r="AM37">
        <v>7163.32</v>
      </c>
      <c r="AN37">
        <v>295.04692307692312</v>
      </c>
      <c r="AO37">
        <v>723.15082041179414</v>
      </c>
      <c r="AP37">
        <f t="shared" si="26"/>
        <v>0.59199808013920208</v>
      </c>
      <c r="AQ37">
        <v>-3.795255127542589</v>
      </c>
      <c r="AR37" t="s">
        <v>505</v>
      </c>
      <c r="AS37">
        <v>7236.01</v>
      </c>
      <c r="AT37">
        <v>603.26876923076929</v>
      </c>
      <c r="AU37">
        <v>851.24431265473061</v>
      </c>
      <c r="AV37">
        <f t="shared" si="27"/>
        <v>0.29130948628674314</v>
      </c>
      <c r="AW37">
        <v>0.5</v>
      </c>
      <c r="AX37">
        <f t="shared" si="28"/>
        <v>1513.2941993219661</v>
      </c>
      <c r="AY37">
        <f t="shared" si="29"/>
        <v>53.714960509705186</v>
      </c>
      <c r="AZ37">
        <f t="shared" si="30"/>
        <v>220.4184779025951</v>
      </c>
      <c r="BA37">
        <f t="shared" si="31"/>
        <v>3.8003327880999825E-2</v>
      </c>
      <c r="BB37">
        <f t="shared" si="32"/>
        <v>-0.15047794192416752</v>
      </c>
      <c r="BC37">
        <f t="shared" si="33"/>
        <v>314.34630540688414</v>
      </c>
      <c r="BD37" t="s">
        <v>506</v>
      </c>
      <c r="BE37">
        <v>409.99</v>
      </c>
      <c r="BF37">
        <f t="shared" si="34"/>
        <v>409.99</v>
      </c>
      <c r="BG37">
        <f t="shared" si="35"/>
        <v>0.5183638893029594</v>
      </c>
      <c r="BH37">
        <f t="shared" si="36"/>
        <v>0.56197874176471874</v>
      </c>
      <c r="BI37">
        <f t="shared" si="37"/>
        <v>-0.40903422105772547</v>
      </c>
      <c r="BJ37">
        <f t="shared" si="38"/>
        <v>0.44584089762124196</v>
      </c>
      <c r="BK37">
        <f t="shared" si="39"/>
        <v>-0.29921122662132482</v>
      </c>
      <c r="BL37">
        <f t="shared" si="40"/>
        <v>0.38192871252047134</v>
      </c>
      <c r="BM37">
        <f t="shared" si="41"/>
        <v>0.61807128747952866</v>
      </c>
      <c r="BN37">
        <v>302</v>
      </c>
      <c r="BO37">
        <v>290.00000000000011</v>
      </c>
      <c r="BP37">
        <v>783.41</v>
      </c>
      <c r="BQ37">
        <v>275</v>
      </c>
      <c r="BR37">
        <v>7236.01</v>
      </c>
      <c r="BS37">
        <v>785.06</v>
      </c>
      <c r="BT37">
        <v>-1.65</v>
      </c>
      <c r="BU37">
        <v>300.00000000000011</v>
      </c>
      <c r="BV37">
        <v>38.1</v>
      </c>
      <c r="BW37">
        <v>851.24431265473061</v>
      </c>
      <c r="BX37">
        <v>1.5134733649497421</v>
      </c>
      <c r="BY37">
        <v>-47.894226380708851</v>
      </c>
      <c r="BZ37">
        <v>0.91795074834302504</v>
      </c>
      <c r="CA37">
        <v>0.98981909710585969</v>
      </c>
      <c r="CB37">
        <v>-7.1363296996662939E-3</v>
      </c>
      <c r="CC37">
        <v>289.99999999999989</v>
      </c>
      <c r="CD37">
        <v>793.19</v>
      </c>
      <c r="CE37">
        <v>875</v>
      </c>
      <c r="CF37">
        <v>7227.98</v>
      </c>
      <c r="CG37">
        <v>784.98</v>
      </c>
      <c r="CH37">
        <v>8.2100000000000009</v>
      </c>
      <c r="CV37">
        <f t="shared" si="42"/>
        <v>1800.13</v>
      </c>
      <c r="CW37">
        <f t="shared" si="43"/>
        <v>1513.2941993219661</v>
      </c>
      <c r="CX37">
        <f t="shared" si="44"/>
        <v>0.84065828541381227</v>
      </c>
      <c r="CY37">
        <f t="shared" si="45"/>
        <v>0.19131657082762471</v>
      </c>
      <c r="CZ37">
        <v>4.16</v>
      </c>
      <c r="DA37">
        <v>0.5</v>
      </c>
      <c r="DB37" t="s">
        <v>418</v>
      </c>
      <c r="DC37">
        <v>2</v>
      </c>
      <c r="DD37">
        <v>1700151861.5</v>
      </c>
      <c r="DE37">
        <v>453.75</v>
      </c>
      <c r="DF37">
        <v>500.01499999999999</v>
      </c>
      <c r="DG37">
        <v>27.5078</v>
      </c>
      <c r="DH37">
        <v>24.152799999999999</v>
      </c>
      <c r="DI37">
        <v>454.49200000000002</v>
      </c>
      <c r="DJ37">
        <v>29.444700000000001</v>
      </c>
      <c r="DK37">
        <v>499.90199999999999</v>
      </c>
      <c r="DL37">
        <v>99.452200000000005</v>
      </c>
      <c r="DM37">
        <v>0.100065</v>
      </c>
      <c r="DN37">
        <v>29.788499999999999</v>
      </c>
      <c r="DO37">
        <v>29.953499999999998</v>
      </c>
      <c r="DP37">
        <v>999.9</v>
      </c>
      <c r="DQ37">
        <v>0</v>
      </c>
      <c r="DR37">
        <v>0</v>
      </c>
      <c r="DS37">
        <v>9991.8799999999992</v>
      </c>
      <c r="DT37">
        <v>0</v>
      </c>
      <c r="DU37">
        <v>260.03800000000001</v>
      </c>
      <c r="DV37">
        <v>-46.265000000000001</v>
      </c>
      <c r="DW37">
        <v>466.58499999999998</v>
      </c>
      <c r="DX37">
        <v>512.39099999999996</v>
      </c>
      <c r="DY37">
        <v>3.3549500000000001</v>
      </c>
      <c r="DZ37">
        <v>500.01499999999999</v>
      </c>
      <c r="EA37">
        <v>24.152799999999999</v>
      </c>
      <c r="EB37">
        <v>2.7357100000000001</v>
      </c>
      <c r="EC37">
        <v>2.40205</v>
      </c>
      <c r="ED37">
        <v>22.501200000000001</v>
      </c>
      <c r="EE37">
        <v>20.377600000000001</v>
      </c>
      <c r="EF37">
        <v>1800.13</v>
      </c>
      <c r="EG37">
        <v>0.97799400000000003</v>
      </c>
      <c r="EH37">
        <v>2.20062E-2</v>
      </c>
      <c r="EI37">
        <v>0</v>
      </c>
      <c r="EJ37">
        <v>603.32100000000003</v>
      </c>
      <c r="EK37">
        <v>5.0010300000000001</v>
      </c>
      <c r="EL37">
        <v>11216.1</v>
      </c>
      <c r="EM37">
        <v>14702.1</v>
      </c>
      <c r="EN37">
        <v>50.186999999999998</v>
      </c>
      <c r="EO37">
        <v>51.875</v>
      </c>
      <c r="EP37">
        <v>51.686999999999998</v>
      </c>
      <c r="EQ37">
        <v>50.686999999999998</v>
      </c>
      <c r="ER37">
        <v>51.5</v>
      </c>
      <c r="ES37">
        <v>1755.63</v>
      </c>
      <c r="ET37">
        <v>39.5</v>
      </c>
      <c r="EU37">
        <v>0</v>
      </c>
      <c r="EV37">
        <v>195.5999999046326</v>
      </c>
      <c r="EW37">
        <v>0</v>
      </c>
      <c r="EX37">
        <v>603.26876923076929</v>
      </c>
      <c r="EY37">
        <v>7.3025646040624503E-2</v>
      </c>
      <c r="EZ37">
        <v>-9.5692308293259032</v>
      </c>
      <c r="FA37">
        <v>11216.24230769231</v>
      </c>
      <c r="FB37">
        <v>15</v>
      </c>
      <c r="FC37">
        <v>1700151772.5</v>
      </c>
      <c r="FD37" t="s">
        <v>507</v>
      </c>
      <c r="FE37">
        <v>1700151771.5</v>
      </c>
      <c r="FF37">
        <v>1700151772.5</v>
      </c>
      <c r="FG37">
        <v>23</v>
      </c>
      <c r="FH37">
        <v>8.2000000000000003E-2</v>
      </c>
      <c r="FI37">
        <v>-4.0000000000000001E-3</v>
      </c>
      <c r="FJ37">
        <v>-0.71399999999999997</v>
      </c>
      <c r="FK37">
        <v>-1.9370000000000001</v>
      </c>
      <c r="FL37">
        <v>500</v>
      </c>
      <c r="FM37">
        <v>25</v>
      </c>
      <c r="FN37">
        <v>0.09</v>
      </c>
      <c r="FO37">
        <v>0.04</v>
      </c>
      <c r="FP37">
        <v>53.591085130793473</v>
      </c>
      <c r="FQ37">
        <v>0.57378310506589369</v>
      </c>
      <c r="FR37">
        <v>5.2167567336370707E-2</v>
      </c>
      <c r="FS37">
        <v>1</v>
      </c>
      <c r="FT37">
        <v>0.27203193854614349</v>
      </c>
      <c r="FU37">
        <v>-1.0839053880312369E-2</v>
      </c>
      <c r="FV37">
        <v>1.004289541841332E-3</v>
      </c>
      <c r="FW37">
        <v>1</v>
      </c>
      <c r="FX37">
        <v>2</v>
      </c>
      <c r="FY37">
        <v>2</v>
      </c>
      <c r="FZ37" t="s">
        <v>420</v>
      </c>
      <c r="GA37">
        <v>2.89608</v>
      </c>
      <c r="GB37">
        <v>2.8180000000000001</v>
      </c>
      <c r="GC37">
        <v>9.9423399999999995E-2</v>
      </c>
      <c r="GD37">
        <v>0.106681</v>
      </c>
      <c r="GE37">
        <v>0.137408</v>
      </c>
      <c r="GF37">
        <v>0.11902699999999999</v>
      </c>
      <c r="GG37">
        <v>24910.6</v>
      </c>
      <c r="GH37">
        <v>24787.7</v>
      </c>
      <c r="GI37">
        <v>24553.599999999999</v>
      </c>
      <c r="GJ37">
        <v>24795.9</v>
      </c>
      <c r="GK37">
        <v>28187.599999999999</v>
      </c>
      <c r="GL37">
        <v>28380.3</v>
      </c>
      <c r="GM37">
        <v>33255.699999999997</v>
      </c>
      <c r="GN37">
        <v>33144.400000000001</v>
      </c>
      <c r="GO37">
        <v>1.84667</v>
      </c>
      <c r="GP37">
        <v>2.5126200000000001</v>
      </c>
      <c r="GQ37">
        <v>4.7534699999999999E-2</v>
      </c>
      <c r="GR37">
        <v>0</v>
      </c>
      <c r="GS37">
        <v>29.179400000000001</v>
      </c>
      <c r="GT37">
        <v>999.9</v>
      </c>
      <c r="GU37">
        <v>42.5</v>
      </c>
      <c r="GV37">
        <v>39.9</v>
      </c>
      <c r="GW37">
        <v>31.513300000000001</v>
      </c>
      <c r="GX37">
        <v>62.939500000000002</v>
      </c>
      <c r="GY37">
        <v>-5.0921500000000002</v>
      </c>
      <c r="GZ37">
        <v>3</v>
      </c>
      <c r="HA37">
        <v>0.67382600000000004</v>
      </c>
      <c r="HB37">
        <v>3.0948799999999999</v>
      </c>
      <c r="HC37">
        <v>20.1373</v>
      </c>
      <c r="HD37">
        <v>5.2337600000000002</v>
      </c>
      <c r="HE37">
        <v>11.9201</v>
      </c>
      <c r="HF37">
        <v>4.9596499999999999</v>
      </c>
      <c r="HG37">
        <v>3.2889300000000001</v>
      </c>
      <c r="HH37">
        <v>9999</v>
      </c>
      <c r="HI37">
        <v>9999</v>
      </c>
      <c r="HJ37">
        <v>9999</v>
      </c>
      <c r="HK37">
        <v>999.9</v>
      </c>
      <c r="HL37">
        <v>1.88137</v>
      </c>
      <c r="HM37">
        <v>1.8785099999999999</v>
      </c>
      <c r="HN37">
        <v>1.8864399999999999</v>
      </c>
      <c r="HO37">
        <v>1.88418</v>
      </c>
      <c r="HP37">
        <v>1.8817299999999999</v>
      </c>
      <c r="HQ37">
        <v>1.88079</v>
      </c>
      <c r="HR37">
        <v>1.8818699999999999</v>
      </c>
      <c r="HS37">
        <v>1.88141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-0.74199999999999999</v>
      </c>
      <c r="IH37">
        <v>-1.9369000000000001</v>
      </c>
      <c r="II37">
        <v>-1.070362186775095</v>
      </c>
      <c r="IJ37">
        <v>8.9935118796959448E-4</v>
      </c>
      <c r="IK37">
        <v>-5.3495398746875769E-7</v>
      </c>
      <c r="IL37">
        <v>3.209454383910538E-10</v>
      </c>
      <c r="IM37">
        <v>-1.936869999999999</v>
      </c>
      <c r="IN37">
        <v>0</v>
      </c>
      <c r="IO37">
        <v>0</v>
      </c>
      <c r="IP37">
        <v>0</v>
      </c>
      <c r="IQ37">
        <v>1</v>
      </c>
      <c r="IR37">
        <v>2101</v>
      </c>
      <c r="IS37">
        <v>1</v>
      </c>
      <c r="IT37">
        <v>21</v>
      </c>
      <c r="IU37">
        <v>1.5</v>
      </c>
      <c r="IV37">
        <v>1.5</v>
      </c>
      <c r="IW37">
        <v>1.8432599999999999</v>
      </c>
      <c r="IX37">
        <v>2.47681</v>
      </c>
      <c r="IY37">
        <v>2.34375</v>
      </c>
      <c r="IZ37">
        <v>2.9174799999999999</v>
      </c>
      <c r="JA37">
        <v>3.0480999999999998</v>
      </c>
      <c r="JB37">
        <v>2.4133300000000002</v>
      </c>
      <c r="JC37">
        <v>45.9499</v>
      </c>
      <c r="JD37">
        <v>23.816099999999999</v>
      </c>
      <c r="JE37">
        <v>18</v>
      </c>
      <c r="JF37">
        <v>440.71199999999999</v>
      </c>
      <c r="JG37">
        <v>1195.68</v>
      </c>
      <c r="JH37">
        <v>24.9621</v>
      </c>
      <c r="JI37">
        <v>35.3932</v>
      </c>
      <c r="JJ37">
        <v>30.0001</v>
      </c>
      <c r="JK37">
        <v>35.305500000000002</v>
      </c>
      <c r="JL37">
        <v>35.2515</v>
      </c>
      <c r="JM37">
        <v>37.001300000000001</v>
      </c>
      <c r="JN37">
        <v>16.047599999999999</v>
      </c>
      <c r="JO37">
        <v>59.845999999999997</v>
      </c>
      <c r="JP37">
        <v>24.9925</v>
      </c>
      <c r="JQ37">
        <v>500</v>
      </c>
      <c r="JR37">
        <v>24.153099999999998</v>
      </c>
      <c r="JS37">
        <v>99.190600000000003</v>
      </c>
      <c r="JT37">
        <v>98.8874</v>
      </c>
    </row>
    <row r="38" spans="1:280" x14ac:dyDescent="0.25">
      <c r="A38">
        <v>22</v>
      </c>
      <c r="B38">
        <v>1700152066</v>
      </c>
      <c r="C38">
        <v>4105.5</v>
      </c>
      <c r="D38" t="s">
        <v>508</v>
      </c>
      <c r="E38" t="s">
        <v>509</v>
      </c>
      <c r="F38" t="s">
        <v>412</v>
      </c>
      <c r="G38" t="s">
        <v>478</v>
      </c>
      <c r="H38" t="s">
        <v>31</v>
      </c>
      <c r="I38">
        <v>1700152066</v>
      </c>
      <c r="J38">
        <f t="shared" si="0"/>
        <v>4.6004745186174903E-3</v>
      </c>
      <c r="K38">
        <f t="shared" si="1"/>
        <v>4.6004745186174905</v>
      </c>
      <c r="L38">
        <f t="shared" si="2"/>
        <v>49.697731190780686</v>
      </c>
      <c r="M38">
        <f t="shared" si="3"/>
        <v>357.33600000000001</v>
      </c>
      <c r="N38">
        <f t="shared" si="4"/>
        <v>83.277831727756933</v>
      </c>
      <c r="O38">
        <f t="shared" si="5"/>
        <v>8.2903702737606721</v>
      </c>
      <c r="P38">
        <f t="shared" si="6"/>
        <v>35.573065372656004</v>
      </c>
      <c r="Q38">
        <f t="shared" si="7"/>
        <v>0.30893201364082951</v>
      </c>
      <c r="R38">
        <f t="shared" si="8"/>
        <v>3.3689948179927942</v>
      </c>
      <c r="S38">
        <f t="shared" si="9"/>
        <v>0.29401259141516251</v>
      </c>
      <c r="T38">
        <f t="shared" si="10"/>
        <v>0.1850382634576769</v>
      </c>
      <c r="U38">
        <f t="shared" si="11"/>
        <v>344.3484986440946</v>
      </c>
      <c r="V38">
        <f t="shared" si="12"/>
        <v>30.581624900885881</v>
      </c>
      <c r="W38">
        <f t="shared" si="13"/>
        <v>29.963799999999999</v>
      </c>
      <c r="X38">
        <f t="shared" si="14"/>
        <v>4.2515990487516921</v>
      </c>
      <c r="Y38">
        <f t="shared" si="15"/>
        <v>65.071300107852394</v>
      </c>
      <c r="Z38">
        <f t="shared" si="16"/>
        <v>2.7486757376568001</v>
      </c>
      <c r="AA38">
        <f t="shared" si="17"/>
        <v>4.2240983860795911</v>
      </c>
      <c r="AB38">
        <f t="shared" si="18"/>
        <v>1.5029233110948921</v>
      </c>
      <c r="AC38">
        <f t="shared" si="19"/>
        <v>-202.88092627103131</v>
      </c>
      <c r="AD38">
        <f t="shared" si="20"/>
        <v>-20.505942170059107</v>
      </c>
      <c r="AE38">
        <f t="shared" si="21"/>
        <v>-1.3521349632151876</v>
      </c>
      <c r="AF38">
        <f t="shared" si="22"/>
        <v>119.609495239789</v>
      </c>
      <c r="AG38">
        <v>42</v>
      </c>
      <c r="AH38">
        <v>8</v>
      </c>
      <c r="AI38">
        <f t="shared" si="23"/>
        <v>1</v>
      </c>
      <c r="AJ38">
        <f t="shared" si="24"/>
        <v>0</v>
      </c>
      <c r="AK38">
        <f t="shared" si="25"/>
        <v>52007.332189993962</v>
      </c>
      <c r="AL38" t="s">
        <v>415</v>
      </c>
      <c r="AM38">
        <v>7163.32</v>
      </c>
      <c r="AN38">
        <v>295.04692307692312</v>
      </c>
      <c r="AO38">
        <v>723.15082041179414</v>
      </c>
      <c r="AP38">
        <f t="shared" si="26"/>
        <v>0.59199808013920208</v>
      </c>
      <c r="AQ38">
        <v>-3.795255127542589</v>
      </c>
      <c r="AR38" t="s">
        <v>510</v>
      </c>
      <c r="AS38">
        <v>7238.82</v>
      </c>
      <c r="AT38">
        <v>608.63984000000005</v>
      </c>
      <c r="AU38">
        <v>838.52454875479884</v>
      </c>
      <c r="AV38">
        <f t="shared" si="27"/>
        <v>0.27415382065578808</v>
      </c>
      <c r="AW38">
        <v>0.5</v>
      </c>
      <c r="AX38">
        <f t="shared" si="28"/>
        <v>1513.0922993220474</v>
      </c>
      <c r="AY38">
        <f t="shared" si="29"/>
        <v>49.697731190780686</v>
      </c>
      <c r="AZ38">
        <f t="shared" si="30"/>
        <v>207.4100174319953</v>
      </c>
      <c r="BA38">
        <f t="shared" si="31"/>
        <v>3.5353419181560319E-2</v>
      </c>
      <c r="BB38">
        <f t="shared" si="32"/>
        <v>-0.13759135437875208</v>
      </c>
      <c r="BC38">
        <f t="shared" si="33"/>
        <v>312.59525043376664</v>
      </c>
      <c r="BD38" t="s">
        <v>511</v>
      </c>
      <c r="BE38">
        <v>411.11</v>
      </c>
      <c r="BF38">
        <f t="shared" si="34"/>
        <v>411.11</v>
      </c>
      <c r="BG38">
        <f t="shared" si="35"/>
        <v>0.50972216542676718</v>
      </c>
      <c r="BH38">
        <f t="shared" si="36"/>
        <v>0.53784951734687003</v>
      </c>
      <c r="BI38">
        <f t="shared" si="37"/>
        <v>-0.36973921614085059</v>
      </c>
      <c r="BJ38">
        <f t="shared" si="38"/>
        <v>0.42298835847761951</v>
      </c>
      <c r="BK38">
        <f t="shared" si="39"/>
        <v>-0.26949936466651031</v>
      </c>
      <c r="BL38">
        <f t="shared" si="40"/>
        <v>0.36329418573137068</v>
      </c>
      <c r="BM38">
        <f t="shared" si="41"/>
        <v>0.63670581426862927</v>
      </c>
      <c r="BN38">
        <v>304</v>
      </c>
      <c r="BO38">
        <v>290.00000000000011</v>
      </c>
      <c r="BP38">
        <v>775.79</v>
      </c>
      <c r="BQ38">
        <v>295</v>
      </c>
      <c r="BR38">
        <v>7238.82</v>
      </c>
      <c r="BS38">
        <v>777.25</v>
      </c>
      <c r="BT38">
        <v>-1.46</v>
      </c>
      <c r="BU38">
        <v>300.00000000000011</v>
      </c>
      <c r="BV38">
        <v>38.1</v>
      </c>
      <c r="BW38">
        <v>838.52454875479884</v>
      </c>
      <c r="BX38">
        <v>1.414657765997815</v>
      </c>
      <c r="BY38">
        <v>-44.356834582658173</v>
      </c>
      <c r="BZ38">
        <v>0.85840966028464849</v>
      </c>
      <c r="CA38">
        <v>0.98962243022906704</v>
      </c>
      <c r="CB38">
        <v>-7.1389481646273673E-3</v>
      </c>
      <c r="CC38">
        <v>289.99999999999989</v>
      </c>
      <c r="CD38">
        <v>785.15</v>
      </c>
      <c r="CE38">
        <v>815</v>
      </c>
      <c r="CF38">
        <v>7232.23</v>
      </c>
      <c r="CG38">
        <v>777.19</v>
      </c>
      <c r="CH38">
        <v>7.96</v>
      </c>
      <c r="CV38">
        <f t="shared" si="42"/>
        <v>1799.89</v>
      </c>
      <c r="CW38">
        <f t="shared" si="43"/>
        <v>1513.0922993220474</v>
      </c>
      <c r="CX38">
        <f t="shared" si="44"/>
        <v>0.84065820651375767</v>
      </c>
      <c r="CY38">
        <f t="shared" si="45"/>
        <v>0.19131641302751534</v>
      </c>
      <c r="CZ38">
        <v>4.16</v>
      </c>
      <c r="DA38">
        <v>0.5</v>
      </c>
      <c r="DB38" t="s">
        <v>418</v>
      </c>
      <c r="DC38">
        <v>2</v>
      </c>
      <c r="DD38">
        <v>1700152066</v>
      </c>
      <c r="DE38">
        <v>357.33600000000001</v>
      </c>
      <c r="DF38">
        <v>400.05900000000003</v>
      </c>
      <c r="DG38">
        <v>27.610800000000001</v>
      </c>
      <c r="DH38">
        <v>23.888300000000001</v>
      </c>
      <c r="DI38">
        <v>358.18200000000002</v>
      </c>
      <c r="DJ38">
        <v>29.547499999999999</v>
      </c>
      <c r="DK38">
        <v>499.92099999999999</v>
      </c>
      <c r="DL38">
        <v>99.450699999999998</v>
      </c>
      <c r="DM38">
        <v>0.100046</v>
      </c>
      <c r="DN38">
        <v>29.850899999999999</v>
      </c>
      <c r="DO38">
        <v>29.963799999999999</v>
      </c>
      <c r="DP38">
        <v>999.9</v>
      </c>
      <c r="DQ38">
        <v>0</v>
      </c>
      <c r="DR38">
        <v>0</v>
      </c>
      <c r="DS38">
        <v>9983.1200000000008</v>
      </c>
      <c r="DT38">
        <v>0</v>
      </c>
      <c r="DU38">
        <v>251.136</v>
      </c>
      <c r="DV38">
        <v>-42.723500000000001</v>
      </c>
      <c r="DW38">
        <v>367.48200000000003</v>
      </c>
      <c r="DX38">
        <v>409.85</v>
      </c>
      <c r="DY38">
        <v>3.7225199999999998</v>
      </c>
      <c r="DZ38">
        <v>400.05900000000003</v>
      </c>
      <c r="EA38">
        <v>23.888300000000001</v>
      </c>
      <c r="EB38">
        <v>2.7459099999999999</v>
      </c>
      <c r="EC38">
        <v>2.3757000000000001</v>
      </c>
      <c r="ED38">
        <v>22.5625</v>
      </c>
      <c r="EE38">
        <v>20.199100000000001</v>
      </c>
      <c r="EF38">
        <v>1799.89</v>
      </c>
      <c r="EG38">
        <v>0.97799800000000003</v>
      </c>
      <c r="EH38">
        <v>2.2001799999999998E-2</v>
      </c>
      <c r="EI38">
        <v>0</v>
      </c>
      <c r="EJ38">
        <v>608.37699999999995</v>
      </c>
      <c r="EK38">
        <v>5.0010300000000001</v>
      </c>
      <c r="EL38">
        <v>11262.5</v>
      </c>
      <c r="EM38">
        <v>14700.2</v>
      </c>
      <c r="EN38">
        <v>49.436999999999998</v>
      </c>
      <c r="EO38">
        <v>51.186999999999998</v>
      </c>
      <c r="EP38">
        <v>50.936999999999998</v>
      </c>
      <c r="EQ38">
        <v>49.811999999999998</v>
      </c>
      <c r="ER38">
        <v>50.811999999999998</v>
      </c>
      <c r="ES38">
        <v>1755.4</v>
      </c>
      <c r="ET38">
        <v>39.49</v>
      </c>
      <c r="EU38">
        <v>0</v>
      </c>
      <c r="EV38">
        <v>202.4000000953674</v>
      </c>
      <c r="EW38">
        <v>0</v>
      </c>
      <c r="EX38">
        <v>608.63984000000005</v>
      </c>
      <c r="EY38">
        <v>-1.1546153956793781</v>
      </c>
      <c r="EZ38">
        <v>-56.330769361606542</v>
      </c>
      <c r="FA38">
        <v>11268.736000000001</v>
      </c>
      <c r="FB38">
        <v>15</v>
      </c>
      <c r="FC38">
        <v>1700151967.5</v>
      </c>
      <c r="FD38" t="s">
        <v>512</v>
      </c>
      <c r="FE38">
        <v>1700151967.5</v>
      </c>
      <c r="FF38">
        <v>1700151961</v>
      </c>
      <c r="FG38">
        <v>24</v>
      </c>
      <c r="FH38">
        <v>-4.3999999999999997E-2</v>
      </c>
      <c r="FI38">
        <v>0</v>
      </c>
      <c r="FJ38">
        <v>-0.82</v>
      </c>
      <c r="FK38">
        <v>-1.9370000000000001</v>
      </c>
      <c r="FL38">
        <v>400</v>
      </c>
      <c r="FM38">
        <v>25</v>
      </c>
      <c r="FN38">
        <v>0.04</v>
      </c>
      <c r="FO38">
        <v>0.04</v>
      </c>
      <c r="FP38">
        <v>49.640108790226577</v>
      </c>
      <c r="FQ38">
        <v>0.67925772990681843</v>
      </c>
      <c r="FR38">
        <v>5.2064222285731508E-2</v>
      </c>
      <c r="FS38">
        <v>1</v>
      </c>
      <c r="FT38">
        <v>0.30560563322292128</v>
      </c>
      <c r="FU38">
        <v>3.094220786137589E-2</v>
      </c>
      <c r="FV38">
        <v>2.5706835078314282E-3</v>
      </c>
      <c r="FW38">
        <v>1</v>
      </c>
      <c r="FX38">
        <v>2</v>
      </c>
      <c r="FY38">
        <v>2</v>
      </c>
      <c r="FZ38" t="s">
        <v>420</v>
      </c>
      <c r="GA38">
        <v>2.8959899999999998</v>
      </c>
      <c r="GB38">
        <v>2.8178999999999998</v>
      </c>
      <c r="GC38">
        <v>8.2805000000000004E-2</v>
      </c>
      <c r="GD38">
        <v>9.0240100000000004E-2</v>
      </c>
      <c r="GE38">
        <v>0.137712</v>
      </c>
      <c r="GF38">
        <v>0.11811000000000001</v>
      </c>
      <c r="GG38">
        <v>25366.5</v>
      </c>
      <c r="GH38">
        <v>25241.200000000001</v>
      </c>
      <c r="GI38">
        <v>24550.3</v>
      </c>
      <c r="GJ38">
        <v>24793.599999999999</v>
      </c>
      <c r="GK38">
        <v>28173.599999999999</v>
      </c>
      <c r="GL38">
        <v>28406.6</v>
      </c>
      <c r="GM38">
        <v>33250.400000000001</v>
      </c>
      <c r="GN38">
        <v>33140.300000000003</v>
      </c>
      <c r="GO38">
        <v>1.8462000000000001</v>
      </c>
      <c r="GP38">
        <v>2.5087700000000002</v>
      </c>
      <c r="GQ38">
        <v>4.8168000000000002E-2</v>
      </c>
      <c r="GR38">
        <v>0</v>
      </c>
      <c r="GS38">
        <v>29.179400000000001</v>
      </c>
      <c r="GT38">
        <v>999.9</v>
      </c>
      <c r="GU38">
        <v>41.4</v>
      </c>
      <c r="GV38">
        <v>40.200000000000003</v>
      </c>
      <c r="GW38">
        <v>31.194700000000001</v>
      </c>
      <c r="GX38">
        <v>62.929499999999997</v>
      </c>
      <c r="GY38">
        <v>-5.0280500000000004</v>
      </c>
      <c r="GZ38">
        <v>3</v>
      </c>
      <c r="HA38">
        <v>0.67880300000000005</v>
      </c>
      <c r="HB38">
        <v>2.87852</v>
      </c>
      <c r="HC38">
        <v>20.1401</v>
      </c>
      <c r="HD38">
        <v>5.2336099999999997</v>
      </c>
      <c r="HE38">
        <v>11.920199999999999</v>
      </c>
      <c r="HF38">
        <v>4.9598500000000003</v>
      </c>
      <c r="HG38">
        <v>3.2888999999999999</v>
      </c>
      <c r="HH38">
        <v>9999</v>
      </c>
      <c r="HI38">
        <v>9999</v>
      </c>
      <c r="HJ38">
        <v>9999</v>
      </c>
      <c r="HK38">
        <v>999.9</v>
      </c>
      <c r="HL38">
        <v>1.88134</v>
      </c>
      <c r="HM38">
        <v>1.87853</v>
      </c>
      <c r="HN38">
        <v>1.88646</v>
      </c>
      <c r="HO38">
        <v>1.88422</v>
      </c>
      <c r="HP38">
        <v>1.8817699999999999</v>
      </c>
      <c r="HQ38">
        <v>1.88079</v>
      </c>
      <c r="HR38">
        <v>1.88188</v>
      </c>
      <c r="HS38">
        <v>1.8814500000000001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-0.84599999999999997</v>
      </c>
      <c r="IH38">
        <v>-1.9367000000000001</v>
      </c>
      <c r="II38">
        <v>-1.114708839908513</v>
      </c>
      <c r="IJ38">
        <v>8.9935118796959448E-4</v>
      </c>
      <c r="IK38">
        <v>-5.3495398746875769E-7</v>
      </c>
      <c r="IL38">
        <v>3.209454383910538E-10</v>
      </c>
      <c r="IM38">
        <v>-1.9367150000000071</v>
      </c>
      <c r="IN38">
        <v>0</v>
      </c>
      <c r="IO38">
        <v>0</v>
      </c>
      <c r="IP38">
        <v>0</v>
      </c>
      <c r="IQ38">
        <v>1</v>
      </c>
      <c r="IR38">
        <v>2101</v>
      </c>
      <c r="IS38">
        <v>1</v>
      </c>
      <c r="IT38">
        <v>21</v>
      </c>
      <c r="IU38">
        <v>1.6</v>
      </c>
      <c r="IV38">
        <v>1.8</v>
      </c>
      <c r="IW38">
        <v>1.54053</v>
      </c>
      <c r="IX38">
        <v>2.4902299999999999</v>
      </c>
      <c r="IY38">
        <v>2.34375</v>
      </c>
      <c r="IZ38">
        <v>2.9162599999999999</v>
      </c>
      <c r="JA38">
        <v>3.0480999999999998</v>
      </c>
      <c r="JB38">
        <v>2.3645</v>
      </c>
      <c r="JC38">
        <v>46.152700000000003</v>
      </c>
      <c r="JD38">
        <v>23.807300000000001</v>
      </c>
      <c r="JE38">
        <v>18</v>
      </c>
      <c r="JF38">
        <v>440.88799999999998</v>
      </c>
      <c r="JG38">
        <v>1191.44</v>
      </c>
      <c r="JH38">
        <v>25.2148</v>
      </c>
      <c r="JI38">
        <v>35.458500000000001</v>
      </c>
      <c r="JJ38">
        <v>30</v>
      </c>
      <c r="JK38">
        <v>35.374000000000002</v>
      </c>
      <c r="JL38">
        <v>35.319800000000001</v>
      </c>
      <c r="JM38">
        <v>30.934200000000001</v>
      </c>
      <c r="JN38">
        <v>15.4537</v>
      </c>
      <c r="JO38">
        <v>57.013100000000001</v>
      </c>
      <c r="JP38">
        <v>25.235600000000002</v>
      </c>
      <c r="JQ38">
        <v>400</v>
      </c>
      <c r="JR38">
        <v>23.9269</v>
      </c>
      <c r="JS38">
        <v>99.176100000000005</v>
      </c>
      <c r="JT38">
        <v>98.876599999999996</v>
      </c>
    </row>
    <row r="39" spans="1:280" x14ac:dyDescent="0.25">
      <c r="A39">
        <v>23</v>
      </c>
      <c r="B39">
        <v>1700152261.5</v>
      </c>
      <c r="C39">
        <v>4301</v>
      </c>
      <c r="D39" t="s">
        <v>513</v>
      </c>
      <c r="E39" t="s">
        <v>514</v>
      </c>
      <c r="F39" t="s">
        <v>412</v>
      </c>
      <c r="G39" t="s">
        <v>478</v>
      </c>
      <c r="H39" t="s">
        <v>31</v>
      </c>
      <c r="I39">
        <v>1700152261.5</v>
      </c>
      <c r="J39">
        <f t="shared" si="0"/>
        <v>5.2755378116083294E-3</v>
      </c>
      <c r="K39">
        <f t="shared" si="1"/>
        <v>5.2755378116083298</v>
      </c>
      <c r="L39">
        <f t="shared" si="2"/>
        <v>42.744448174215009</v>
      </c>
      <c r="M39">
        <f t="shared" si="3"/>
        <v>263.28800000000001</v>
      </c>
      <c r="N39">
        <f t="shared" si="4"/>
        <v>59.567485447435928</v>
      </c>
      <c r="O39">
        <f t="shared" si="5"/>
        <v>5.9299032065095112</v>
      </c>
      <c r="P39">
        <f t="shared" si="6"/>
        <v>26.210143733752002</v>
      </c>
      <c r="Q39">
        <f t="shared" si="7"/>
        <v>0.3597105491381084</v>
      </c>
      <c r="R39">
        <f t="shared" si="8"/>
        <v>3.3711691484057149</v>
      </c>
      <c r="S39">
        <f t="shared" si="9"/>
        <v>0.33966664787509671</v>
      </c>
      <c r="T39">
        <f t="shared" si="10"/>
        <v>0.21399939240555907</v>
      </c>
      <c r="U39">
        <f t="shared" si="11"/>
        <v>344.35359864446053</v>
      </c>
      <c r="V39">
        <f t="shared" si="12"/>
        <v>30.498504035523954</v>
      </c>
      <c r="W39">
        <f t="shared" si="13"/>
        <v>29.972100000000001</v>
      </c>
      <c r="X39">
        <f t="shared" si="14"/>
        <v>4.2536269412208627</v>
      </c>
      <c r="Y39">
        <f t="shared" si="15"/>
        <v>65.119365758798637</v>
      </c>
      <c r="Z39">
        <f t="shared" si="16"/>
        <v>2.7619563133734002</v>
      </c>
      <c r="AA39">
        <f t="shared" si="17"/>
        <v>4.2413747142496039</v>
      </c>
      <c r="AB39">
        <f t="shared" si="18"/>
        <v>1.4916706278474625</v>
      </c>
      <c r="AC39">
        <f t="shared" si="19"/>
        <v>-232.65121749192733</v>
      </c>
      <c r="AD39">
        <f t="shared" si="20"/>
        <v>-9.1236728506682585</v>
      </c>
      <c r="AE39">
        <f t="shared" si="21"/>
        <v>-0.60145112252044586</v>
      </c>
      <c r="AF39">
        <f t="shared" si="22"/>
        <v>101.97725717934448</v>
      </c>
      <c r="AG39">
        <v>42</v>
      </c>
      <c r="AH39">
        <v>8</v>
      </c>
      <c r="AI39">
        <f t="shared" si="23"/>
        <v>1</v>
      </c>
      <c r="AJ39">
        <f t="shared" si="24"/>
        <v>0</v>
      </c>
      <c r="AK39">
        <f t="shared" si="25"/>
        <v>52044.378033114364</v>
      </c>
      <c r="AL39" t="s">
        <v>415</v>
      </c>
      <c r="AM39">
        <v>7163.32</v>
      </c>
      <c r="AN39">
        <v>295.04692307692312</v>
      </c>
      <c r="AO39">
        <v>723.15082041179414</v>
      </c>
      <c r="AP39">
        <f t="shared" si="26"/>
        <v>0.59199808013920208</v>
      </c>
      <c r="AQ39">
        <v>-3.795255127542589</v>
      </c>
      <c r="AR39" t="s">
        <v>515</v>
      </c>
      <c r="AS39">
        <v>7243.92</v>
      </c>
      <c r="AT39">
        <v>621.29984615384615</v>
      </c>
      <c r="AU39">
        <v>821.17913032021579</v>
      </c>
      <c r="AV39">
        <f t="shared" si="27"/>
        <v>0.24340521670153437</v>
      </c>
      <c r="AW39">
        <v>0.5</v>
      </c>
      <c r="AX39">
        <f t="shared" si="28"/>
        <v>1513.1171993222301</v>
      </c>
      <c r="AY39">
        <f t="shared" si="29"/>
        <v>42.744448174215009</v>
      </c>
      <c r="AZ39">
        <f t="shared" si="30"/>
        <v>184.15030989792311</v>
      </c>
      <c r="BA39">
        <f t="shared" si="31"/>
        <v>3.0757500689704741E-2</v>
      </c>
      <c r="BB39">
        <f t="shared" si="32"/>
        <v>-0.11937506238157303</v>
      </c>
      <c r="BC39">
        <f t="shared" si="33"/>
        <v>310.15300411837597</v>
      </c>
      <c r="BD39" t="s">
        <v>516</v>
      </c>
      <c r="BE39">
        <v>410.41</v>
      </c>
      <c r="BF39">
        <f t="shared" si="34"/>
        <v>410.41</v>
      </c>
      <c r="BG39">
        <f t="shared" si="35"/>
        <v>0.50021866746666821</v>
      </c>
      <c r="BH39">
        <f t="shared" si="36"/>
        <v>0.48659762726218841</v>
      </c>
      <c r="BI39">
        <f t="shared" si="37"/>
        <v>-0.31344903994094914</v>
      </c>
      <c r="BJ39">
        <f t="shared" si="38"/>
        <v>0.37990315250543483</v>
      </c>
      <c r="BK39">
        <f t="shared" si="39"/>
        <v>-0.22898252157639676</v>
      </c>
      <c r="BL39">
        <f t="shared" si="40"/>
        <v>0.32143019741747042</v>
      </c>
      <c r="BM39">
        <f t="shared" si="41"/>
        <v>0.67856980258252952</v>
      </c>
      <c r="BN39">
        <v>306</v>
      </c>
      <c r="BO39">
        <v>290.00000000000011</v>
      </c>
      <c r="BP39">
        <v>766.01</v>
      </c>
      <c r="BQ39">
        <v>285</v>
      </c>
      <c r="BR39">
        <v>7243.92</v>
      </c>
      <c r="BS39">
        <v>767.73</v>
      </c>
      <c r="BT39">
        <v>-1.72</v>
      </c>
      <c r="BU39">
        <v>300.00000000000011</v>
      </c>
      <c r="BV39">
        <v>38</v>
      </c>
      <c r="BW39">
        <v>821.17913032021579</v>
      </c>
      <c r="BX39">
        <v>1.2727293728754241</v>
      </c>
      <c r="BY39">
        <v>-38.720968136926217</v>
      </c>
      <c r="BZ39">
        <v>0.77284235093144749</v>
      </c>
      <c r="CA39">
        <v>0.98896861726228691</v>
      </c>
      <c r="CB39">
        <v>-7.1438498331479489E-3</v>
      </c>
      <c r="CC39">
        <v>289.99999999999989</v>
      </c>
      <c r="CD39">
        <v>774.13</v>
      </c>
      <c r="CE39">
        <v>845</v>
      </c>
      <c r="CF39">
        <v>7237.07</v>
      </c>
      <c r="CG39">
        <v>767.68</v>
      </c>
      <c r="CH39">
        <v>6.45</v>
      </c>
      <c r="CV39">
        <f t="shared" si="42"/>
        <v>1799.92</v>
      </c>
      <c r="CW39">
        <f t="shared" si="43"/>
        <v>1513.1171993222301</v>
      </c>
      <c r="CX39">
        <f t="shared" si="44"/>
        <v>0.84065802886918872</v>
      </c>
      <c r="CY39">
        <f t="shared" si="45"/>
        <v>0.19131605773837757</v>
      </c>
      <c r="CZ39">
        <v>4.16</v>
      </c>
      <c r="DA39">
        <v>0.5</v>
      </c>
      <c r="DB39" t="s">
        <v>418</v>
      </c>
      <c r="DC39">
        <v>2</v>
      </c>
      <c r="DD39">
        <v>1700152261.5</v>
      </c>
      <c r="DE39">
        <v>263.28800000000001</v>
      </c>
      <c r="DF39">
        <v>300.00900000000001</v>
      </c>
      <c r="DG39">
        <v>27.744599999999998</v>
      </c>
      <c r="DH39">
        <v>23.476900000000001</v>
      </c>
      <c r="DI39">
        <v>264.03699999999998</v>
      </c>
      <c r="DJ39">
        <v>29.681799999999999</v>
      </c>
      <c r="DK39">
        <v>499.97300000000001</v>
      </c>
      <c r="DL39">
        <v>99.449299999999994</v>
      </c>
      <c r="DM39">
        <v>0.10002900000000001</v>
      </c>
      <c r="DN39">
        <v>29.921900000000001</v>
      </c>
      <c r="DO39">
        <v>29.972100000000001</v>
      </c>
      <c r="DP39">
        <v>999.9</v>
      </c>
      <c r="DQ39">
        <v>0</v>
      </c>
      <c r="DR39">
        <v>0</v>
      </c>
      <c r="DS39">
        <v>9993.1200000000008</v>
      </c>
      <c r="DT39">
        <v>0</v>
      </c>
      <c r="DU39">
        <v>265.44200000000001</v>
      </c>
      <c r="DV39">
        <v>-36.7211</v>
      </c>
      <c r="DW39">
        <v>270.80200000000002</v>
      </c>
      <c r="DX39">
        <v>307.22199999999998</v>
      </c>
      <c r="DY39">
        <v>4.2677199999999997</v>
      </c>
      <c r="DZ39">
        <v>300.00900000000001</v>
      </c>
      <c r="EA39">
        <v>23.476900000000001</v>
      </c>
      <c r="EB39">
        <v>2.7591800000000002</v>
      </c>
      <c r="EC39">
        <v>2.3347600000000002</v>
      </c>
      <c r="ED39">
        <v>22.6419</v>
      </c>
      <c r="EE39">
        <v>19.918199999999999</v>
      </c>
      <c r="EF39">
        <v>1799.92</v>
      </c>
      <c r="EG39">
        <v>0.97800299999999996</v>
      </c>
      <c r="EH39">
        <v>2.19974E-2</v>
      </c>
      <c r="EI39">
        <v>0</v>
      </c>
      <c r="EJ39">
        <v>621.01</v>
      </c>
      <c r="EK39">
        <v>5.0010300000000001</v>
      </c>
      <c r="EL39">
        <v>11453.6</v>
      </c>
      <c r="EM39">
        <v>14700.4</v>
      </c>
      <c r="EN39">
        <v>48.186999999999998</v>
      </c>
      <c r="EO39">
        <v>50.186999999999998</v>
      </c>
      <c r="EP39">
        <v>49.686999999999998</v>
      </c>
      <c r="EQ39">
        <v>48.811999999999998</v>
      </c>
      <c r="ER39">
        <v>49.686999999999998</v>
      </c>
      <c r="ES39">
        <v>1755.44</v>
      </c>
      <c r="ET39">
        <v>39.479999999999997</v>
      </c>
      <c r="EU39">
        <v>0</v>
      </c>
      <c r="EV39">
        <v>193.39999985694891</v>
      </c>
      <c r="EW39">
        <v>0</v>
      </c>
      <c r="EX39">
        <v>621.29984615384615</v>
      </c>
      <c r="EY39">
        <v>-0.6305640950295045</v>
      </c>
      <c r="EZ39">
        <v>-21.21025633787238</v>
      </c>
      <c r="FA39">
        <v>11456.86153846154</v>
      </c>
      <c r="FB39">
        <v>15</v>
      </c>
      <c r="FC39">
        <v>1700152173.5</v>
      </c>
      <c r="FD39" t="s">
        <v>517</v>
      </c>
      <c r="FE39">
        <v>1700152172.5</v>
      </c>
      <c r="FF39">
        <v>1700152173.5</v>
      </c>
      <c r="FG39">
        <v>25</v>
      </c>
      <c r="FH39">
        <v>0.16</v>
      </c>
      <c r="FI39">
        <v>0</v>
      </c>
      <c r="FJ39">
        <v>-0.72399999999999998</v>
      </c>
      <c r="FK39">
        <v>-1.9370000000000001</v>
      </c>
      <c r="FL39">
        <v>300</v>
      </c>
      <c r="FM39">
        <v>24</v>
      </c>
      <c r="FN39">
        <v>0.06</v>
      </c>
      <c r="FO39">
        <v>0.03</v>
      </c>
      <c r="FP39">
        <v>42.6597226150502</v>
      </c>
      <c r="FQ39">
        <v>0.69170701731712159</v>
      </c>
      <c r="FR39">
        <v>5.9659608182106527E-2</v>
      </c>
      <c r="FS39">
        <v>1</v>
      </c>
      <c r="FT39">
        <v>0.35564927956199549</v>
      </c>
      <c r="FU39">
        <v>-7.8646542906871432E-3</v>
      </c>
      <c r="FV39">
        <v>8.3829207657852925E-4</v>
      </c>
      <c r="FW39">
        <v>1</v>
      </c>
      <c r="FX39">
        <v>2</v>
      </c>
      <c r="FY39">
        <v>2</v>
      </c>
      <c r="FZ39" t="s">
        <v>420</v>
      </c>
      <c r="GA39">
        <v>2.8961600000000001</v>
      </c>
      <c r="GB39">
        <v>2.8179699999999999</v>
      </c>
      <c r="GC39">
        <v>6.4596000000000001E-2</v>
      </c>
      <c r="GD39">
        <v>7.1820099999999998E-2</v>
      </c>
      <c r="GE39">
        <v>0.13813400000000001</v>
      </c>
      <c r="GF39">
        <v>0.116701</v>
      </c>
      <c r="GG39">
        <v>25871.5</v>
      </c>
      <c r="GH39">
        <v>25752.3</v>
      </c>
      <c r="GI39">
        <v>24552.1</v>
      </c>
      <c r="GJ39">
        <v>24794.2</v>
      </c>
      <c r="GK39">
        <v>28161.5</v>
      </c>
      <c r="GL39">
        <v>28451.4</v>
      </c>
      <c r="GM39">
        <v>33252.6</v>
      </c>
      <c r="GN39">
        <v>33139.699999999997</v>
      </c>
      <c r="GO39">
        <v>1.84613</v>
      </c>
      <c r="GP39">
        <v>2.5086300000000001</v>
      </c>
      <c r="GQ39">
        <v>5.0663899999999998E-2</v>
      </c>
      <c r="GR39">
        <v>0</v>
      </c>
      <c r="GS39">
        <v>29.146999999999998</v>
      </c>
      <c r="GT39">
        <v>999.9</v>
      </c>
      <c r="GU39">
        <v>40.200000000000003</v>
      </c>
      <c r="GV39">
        <v>40.4</v>
      </c>
      <c r="GW39">
        <v>30.613900000000001</v>
      </c>
      <c r="GX39">
        <v>62.6295</v>
      </c>
      <c r="GY39">
        <v>-4.8317300000000003</v>
      </c>
      <c r="GZ39">
        <v>3</v>
      </c>
      <c r="HA39">
        <v>0.67540100000000003</v>
      </c>
      <c r="HB39">
        <v>2.4748000000000001</v>
      </c>
      <c r="HC39">
        <v>20.145199999999999</v>
      </c>
      <c r="HD39">
        <v>5.2315199999999997</v>
      </c>
      <c r="HE39">
        <v>11.9201</v>
      </c>
      <c r="HF39">
        <v>4.9591500000000002</v>
      </c>
      <c r="HG39">
        <v>3.2881499999999999</v>
      </c>
      <c r="HH39">
        <v>9999</v>
      </c>
      <c r="HI39">
        <v>9999</v>
      </c>
      <c r="HJ39">
        <v>9999</v>
      </c>
      <c r="HK39">
        <v>999.9</v>
      </c>
      <c r="HL39">
        <v>1.88124</v>
      </c>
      <c r="HM39">
        <v>1.87842</v>
      </c>
      <c r="HN39">
        <v>1.8863700000000001</v>
      </c>
      <c r="HO39">
        <v>1.88412</v>
      </c>
      <c r="HP39">
        <v>1.8816600000000001</v>
      </c>
      <c r="HQ39">
        <v>1.8806499999999999</v>
      </c>
      <c r="HR39">
        <v>1.8817900000000001</v>
      </c>
      <c r="HS39">
        <v>1.88134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-0.749</v>
      </c>
      <c r="IH39">
        <v>-1.9372</v>
      </c>
      <c r="II39">
        <v>-0.95464029478153423</v>
      </c>
      <c r="IJ39">
        <v>8.9935118796959448E-4</v>
      </c>
      <c r="IK39">
        <v>-5.3495398746875769E-7</v>
      </c>
      <c r="IL39">
        <v>3.209454383910538E-10</v>
      </c>
      <c r="IM39">
        <v>-1.937165</v>
      </c>
      <c r="IN39">
        <v>0</v>
      </c>
      <c r="IO39">
        <v>0</v>
      </c>
      <c r="IP39">
        <v>0</v>
      </c>
      <c r="IQ39">
        <v>1</v>
      </c>
      <c r="IR39">
        <v>2101</v>
      </c>
      <c r="IS39">
        <v>1</v>
      </c>
      <c r="IT39">
        <v>21</v>
      </c>
      <c r="IU39">
        <v>1.5</v>
      </c>
      <c r="IV39">
        <v>1.5</v>
      </c>
      <c r="IW39">
        <v>1.2194799999999999</v>
      </c>
      <c r="IX39">
        <v>2.49634</v>
      </c>
      <c r="IY39">
        <v>2.34375</v>
      </c>
      <c r="IZ39">
        <v>2.9162599999999999</v>
      </c>
      <c r="JA39">
        <v>3.0480999999999998</v>
      </c>
      <c r="JB39">
        <v>2.3791500000000001</v>
      </c>
      <c r="JC39">
        <v>46.123699999999999</v>
      </c>
      <c r="JD39">
        <v>23.903600000000001</v>
      </c>
      <c r="JE39">
        <v>18</v>
      </c>
      <c r="JF39">
        <v>440.88600000000002</v>
      </c>
      <c r="JG39">
        <v>1191.53</v>
      </c>
      <c r="JH39">
        <v>25.755600000000001</v>
      </c>
      <c r="JI39">
        <v>35.438400000000001</v>
      </c>
      <c r="JJ39">
        <v>29.9998</v>
      </c>
      <c r="JK39">
        <v>35.380600000000001</v>
      </c>
      <c r="JL39">
        <v>35.336100000000002</v>
      </c>
      <c r="JM39">
        <v>24.517499999999998</v>
      </c>
      <c r="JN39">
        <v>14.9414</v>
      </c>
      <c r="JO39">
        <v>53.926400000000001</v>
      </c>
      <c r="JP39">
        <v>25.766400000000001</v>
      </c>
      <c r="JQ39">
        <v>300</v>
      </c>
      <c r="JR39">
        <v>23.504100000000001</v>
      </c>
      <c r="JS39">
        <v>99.1828</v>
      </c>
      <c r="JT39">
        <v>98.876499999999993</v>
      </c>
    </row>
    <row r="40" spans="1:280" x14ac:dyDescent="0.25">
      <c r="A40">
        <v>24</v>
      </c>
      <c r="B40">
        <v>1700152447.5</v>
      </c>
      <c r="C40">
        <v>4487</v>
      </c>
      <c r="D40" t="s">
        <v>518</v>
      </c>
      <c r="E40" t="s">
        <v>519</v>
      </c>
      <c r="F40" t="s">
        <v>412</v>
      </c>
      <c r="G40" t="s">
        <v>478</v>
      </c>
      <c r="H40" t="s">
        <v>31</v>
      </c>
      <c r="I40">
        <v>1700152447.5</v>
      </c>
      <c r="J40">
        <f t="shared" si="0"/>
        <v>6.6313174580023334E-3</v>
      </c>
      <c r="K40">
        <f t="shared" si="1"/>
        <v>6.6313174580023331</v>
      </c>
      <c r="L40">
        <f t="shared" si="2"/>
        <v>34.616024641886597</v>
      </c>
      <c r="M40">
        <f t="shared" si="3"/>
        <v>170.27600000000001</v>
      </c>
      <c r="N40">
        <f t="shared" si="4"/>
        <v>40.743460825684672</v>
      </c>
      <c r="O40">
        <f t="shared" si="5"/>
        <v>4.0558611940495011</v>
      </c>
      <c r="P40">
        <f t="shared" si="6"/>
        <v>16.950347532642802</v>
      </c>
      <c r="Q40">
        <f t="shared" si="7"/>
        <v>0.46469801126034926</v>
      </c>
      <c r="R40">
        <f t="shared" si="8"/>
        <v>3.3695899852042341</v>
      </c>
      <c r="S40">
        <f t="shared" si="9"/>
        <v>0.43180571619042063</v>
      </c>
      <c r="T40">
        <f t="shared" si="10"/>
        <v>0.27263954975542593</v>
      </c>
      <c r="U40">
        <f t="shared" si="11"/>
        <v>344.35099864375877</v>
      </c>
      <c r="V40">
        <f t="shared" si="12"/>
        <v>30.367545828388568</v>
      </c>
      <c r="W40">
        <f t="shared" si="13"/>
        <v>29.973700000000001</v>
      </c>
      <c r="X40">
        <f t="shared" si="14"/>
        <v>4.2540179571487498</v>
      </c>
      <c r="Y40">
        <f t="shared" si="15"/>
        <v>64.862641422856868</v>
      </c>
      <c r="Z40">
        <f t="shared" si="16"/>
        <v>2.7792732557898199</v>
      </c>
      <c r="AA40">
        <f t="shared" si="17"/>
        <v>4.2848598127094393</v>
      </c>
      <c r="AB40">
        <f t="shared" si="18"/>
        <v>1.4747447013589299</v>
      </c>
      <c r="AC40">
        <f t="shared" si="19"/>
        <v>-292.44109989790292</v>
      </c>
      <c r="AD40">
        <f t="shared" si="20"/>
        <v>22.852995978516862</v>
      </c>
      <c r="AE40">
        <f t="shared" si="21"/>
        <v>1.5085599198833035</v>
      </c>
      <c r="AF40">
        <f t="shared" si="22"/>
        <v>76.271454644255996</v>
      </c>
      <c r="AG40">
        <v>41</v>
      </c>
      <c r="AH40">
        <v>8</v>
      </c>
      <c r="AI40">
        <f t="shared" si="23"/>
        <v>1</v>
      </c>
      <c r="AJ40">
        <f t="shared" si="24"/>
        <v>0</v>
      </c>
      <c r="AK40">
        <f t="shared" si="25"/>
        <v>51978.061099585117</v>
      </c>
      <c r="AL40" t="s">
        <v>415</v>
      </c>
      <c r="AM40">
        <v>7163.32</v>
      </c>
      <c r="AN40">
        <v>295.04692307692312</v>
      </c>
      <c r="AO40">
        <v>723.15082041179414</v>
      </c>
      <c r="AP40">
        <f t="shared" si="26"/>
        <v>0.59199808013920208</v>
      </c>
      <c r="AQ40">
        <v>-3.795255127542589</v>
      </c>
      <c r="AR40" t="s">
        <v>520</v>
      </c>
      <c r="AS40">
        <v>7248.3</v>
      </c>
      <c r="AT40">
        <v>637.98379999999997</v>
      </c>
      <c r="AU40">
        <v>801.61259067083017</v>
      </c>
      <c r="AV40">
        <f t="shared" si="27"/>
        <v>0.20412452670422421</v>
      </c>
      <c r="AW40">
        <v>0.5</v>
      </c>
      <c r="AX40">
        <f t="shared" si="28"/>
        <v>1513.1009993218795</v>
      </c>
      <c r="AY40">
        <f t="shared" si="29"/>
        <v>34.616024641886597</v>
      </c>
      <c r="AZ40">
        <f t="shared" si="30"/>
        <v>154.43051267113367</v>
      </c>
      <c r="BA40">
        <f t="shared" si="31"/>
        <v>2.5385800278133329E-2</v>
      </c>
      <c r="BB40">
        <f t="shared" si="32"/>
        <v>-9.7879912531532512E-2</v>
      </c>
      <c r="BC40">
        <f t="shared" si="33"/>
        <v>307.31979829761514</v>
      </c>
      <c r="BD40" t="s">
        <v>521</v>
      </c>
      <c r="BE40">
        <v>417.39</v>
      </c>
      <c r="BF40">
        <f t="shared" si="34"/>
        <v>417.39</v>
      </c>
      <c r="BG40">
        <f t="shared" si="35"/>
        <v>0.4793120706216617</v>
      </c>
      <c r="BH40">
        <f t="shared" si="36"/>
        <v>0.42586978132947334</v>
      </c>
      <c r="BI40">
        <f t="shared" si="37"/>
        <v>-0.25661158991320365</v>
      </c>
      <c r="BJ40">
        <f t="shared" si="38"/>
        <v>0.32301595062301913</v>
      </c>
      <c r="BK40">
        <f t="shared" si="39"/>
        <v>-0.1832774023957594</v>
      </c>
      <c r="BL40">
        <f t="shared" si="40"/>
        <v>0.27861802765071603</v>
      </c>
      <c r="BM40">
        <f t="shared" si="41"/>
        <v>0.72138197234928403</v>
      </c>
      <c r="BN40">
        <v>308</v>
      </c>
      <c r="BO40">
        <v>290.00000000000011</v>
      </c>
      <c r="BP40">
        <v>755.25</v>
      </c>
      <c r="BQ40">
        <v>265</v>
      </c>
      <c r="BR40">
        <v>7248.3</v>
      </c>
      <c r="BS40">
        <v>757.03</v>
      </c>
      <c r="BT40">
        <v>-1.78</v>
      </c>
      <c r="BU40">
        <v>300.00000000000011</v>
      </c>
      <c r="BV40">
        <v>38</v>
      </c>
      <c r="BW40">
        <v>801.61259067083017</v>
      </c>
      <c r="BX40">
        <v>1.059401826644111</v>
      </c>
      <c r="BY40">
        <v>-32.316050969052483</v>
      </c>
      <c r="BZ40">
        <v>0.64363373136462887</v>
      </c>
      <c r="CA40">
        <v>0.9890149531589798</v>
      </c>
      <c r="CB40">
        <v>-7.1473775305895444E-3</v>
      </c>
      <c r="CC40">
        <v>289.99999999999989</v>
      </c>
      <c r="CD40">
        <v>761.06</v>
      </c>
      <c r="CE40">
        <v>855</v>
      </c>
      <c r="CF40">
        <v>7240.71</v>
      </c>
      <c r="CG40">
        <v>756.98</v>
      </c>
      <c r="CH40">
        <v>4.08</v>
      </c>
      <c r="CV40">
        <f t="shared" si="42"/>
        <v>1799.9</v>
      </c>
      <c r="CW40">
        <f t="shared" si="43"/>
        <v>1513.1009993218795</v>
      </c>
      <c r="CX40">
        <f t="shared" si="44"/>
        <v>0.8406583695326848</v>
      </c>
      <c r="CY40">
        <f t="shared" si="45"/>
        <v>0.19131673906536961</v>
      </c>
      <c r="CZ40">
        <v>4.16</v>
      </c>
      <c r="DA40">
        <v>0.5</v>
      </c>
      <c r="DB40" t="s">
        <v>418</v>
      </c>
      <c r="DC40">
        <v>2</v>
      </c>
      <c r="DD40">
        <v>1700152447.5</v>
      </c>
      <c r="DE40">
        <v>170.27600000000001</v>
      </c>
      <c r="DF40">
        <v>200.017</v>
      </c>
      <c r="DG40">
        <v>27.9194</v>
      </c>
      <c r="DH40">
        <v>22.556000000000001</v>
      </c>
      <c r="DI40">
        <v>171.101</v>
      </c>
      <c r="DJ40">
        <v>29.857299999999999</v>
      </c>
      <c r="DK40">
        <v>499.983</v>
      </c>
      <c r="DL40">
        <v>99.446399999999997</v>
      </c>
      <c r="DM40">
        <v>9.9910299999999994E-2</v>
      </c>
      <c r="DN40">
        <v>30.099499999999999</v>
      </c>
      <c r="DO40">
        <v>29.973700000000001</v>
      </c>
      <c r="DP40">
        <v>999.9</v>
      </c>
      <c r="DQ40">
        <v>0</v>
      </c>
      <c r="DR40">
        <v>0</v>
      </c>
      <c r="DS40">
        <v>9986.25</v>
      </c>
      <c r="DT40">
        <v>0</v>
      </c>
      <c r="DU40">
        <v>275.97399999999999</v>
      </c>
      <c r="DV40">
        <v>-29.740300000000001</v>
      </c>
      <c r="DW40">
        <v>175.167</v>
      </c>
      <c r="DX40">
        <v>204.63200000000001</v>
      </c>
      <c r="DY40">
        <v>5.3634000000000004</v>
      </c>
      <c r="DZ40">
        <v>200.017</v>
      </c>
      <c r="EA40">
        <v>22.556000000000001</v>
      </c>
      <c r="EB40">
        <v>2.7764799999999998</v>
      </c>
      <c r="EC40">
        <v>2.2431100000000002</v>
      </c>
      <c r="ED40">
        <v>22.744900000000001</v>
      </c>
      <c r="EE40">
        <v>19.273599999999998</v>
      </c>
      <c r="EF40">
        <v>1799.9</v>
      </c>
      <c r="EG40">
        <v>0.97799199999999997</v>
      </c>
      <c r="EH40">
        <v>2.2008300000000001E-2</v>
      </c>
      <c r="EI40">
        <v>0</v>
      </c>
      <c r="EJ40">
        <v>637.86699999999996</v>
      </c>
      <c r="EK40">
        <v>5.0010300000000001</v>
      </c>
      <c r="EL40">
        <v>11736</v>
      </c>
      <c r="EM40">
        <v>14700.3</v>
      </c>
      <c r="EN40">
        <v>47.625</v>
      </c>
      <c r="EO40">
        <v>49.561999999999998</v>
      </c>
      <c r="EP40">
        <v>49.061999999999998</v>
      </c>
      <c r="EQ40">
        <v>48.311999999999998</v>
      </c>
      <c r="ER40">
        <v>49.25</v>
      </c>
      <c r="ES40">
        <v>1755.4</v>
      </c>
      <c r="ET40">
        <v>39.5</v>
      </c>
      <c r="EU40">
        <v>0</v>
      </c>
      <c r="EV40">
        <v>183.79999995231631</v>
      </c>
      <c r="EW40">
        <v>0</v>
      </c>
      <c r="EX40">
        <v>637.98379999999997</v>
      </c>
      <c r="EY40">
        <v>-1.4232307652427201</v>
      </c>
      <c r="EZ40">
        <v>-27.176922903252379</v>
      </c>
      <c r="FA40">
        <v>11737.808000000001</v>
      </c>
      <c r="FB40">
        <v>15</v>
      </c>
      <c r="FC40">
        <v>1700152356.5</v>
      </c>
      <c r="FD40" t="s">
        <v>522</v>
      </c>
      <c r="FE40">
        <v>1700152353</v>
      </c>
      <c r="FF40">
        <v>1700152356.5</v>
      </c>
      <c r="FG40">
        <v>26</v>
      </c>
      <c r="FH40">
        <v>-1.0999999999999999E-2</v>
      </c>
      <c r="FI40">
        <v>-1E-3</v>
      </c>
      <c r="FJ40">
        <v>-0.80300000000000005</v>
      </c>
      <c r="FK40">
        <v>-1.9379999999999999</v>
      </c>
      <c r="FL40">
        <v>200</v>
      </c>
      <c r="FM40">
        <v>23</v>
      </c>
      <c r="FN40">
        <v>0.05</v>
      </c>
      <c r="FO40">
        <v>0.02</v>
      </c>
      <c r="FP40">
        <v>34.488978041022911</v>
      </c>
      <c r="FQ40">
        <v>0.38534181888949959</v>
      </c>
      <c r="FR40">
        <v>3.6527065251603603E-2</v>
      </c>
      <c r="FS40">
        <v>1</v>
      </c>
      <c r="FT40">
        <v>0.46615130250868281</v>
      </c>
      <c r="FU40">
        <v>4.5750224219016512E-2</v>
      </c>
      <c r="FV40">
        <v>5.0287865621900518E-3</v>
      </c>
      <c r="FW40">
        <v>1</v>
      </c>
      <c r="FX40">
        <v>2</v>
      </c>
      <c r="FY40">
        <v>2</v>
      </c>
      <c r="FZ40" t="s">
        <v>420</v>
      </c>
      <c r="GA40">
        <v>2.89629</v>
      </c>
      <c r="GB40">
        <v>2.81779</v>
      </c>
      <c r="GC40">
        <v>4.4202699999999998E-2</v>
      </c>
      <c r="GD40">
        <v>5.08563E-2</v>
      </c>
      <c r="GE40">
        <v>0.13869500000000001</v>
      </c>
      <c r="GF40">
        <v>0.113523</v>
      </c>
      <c r="GG40">
        <v>26436.799999999999</v>
      </c>
      <c r="GH40">
        <v>26333.9</v>
      </c>
      <c r="GI40">
        <v>24553.9</v>
      </c>
      <c r="GJ40">
        <v>24794.799999999999</v>
      </c>
      <c r="GK40">
        <v>28144.7</v>
      </c>
      <c r="GL40">
        <v>28553.4</v>
      </c>
      <c r="GM40">
        <v>33254.699999999997</v>
      </c>
      <c r="GN40">
        <v>33139.4</v>
      </c>
      <c r="GO40">
        <v>1.8486199999999999</v>
      </c>
      <c r="GP40">
        <v>2.5087199999999998</v>
      </c>
      <c r="GQ40">
        <v>3.9562600000000003E-2</v>
      </c>
      <c r="GR40">
        <v>0</v>
      </c>
      <c r="GS40">
        <v>29.329499999999999</v>
      </c>
      <c r="GT40">
        <v>999.9</v>
      </c>
      <c r="GU40">
        <v>39.1</v>
      </c>
      <c r="GV40">
        <v>40.700000000000003</v>
      </c>
      <c r="GW40">
        <v>30.256900000000002</v>
      </c>
      <c r="GX40">
        <v>62.7196</v>
      </c>
      <c r="GY40">
        <v>-4.7115400000000003</v>
      </c>
      <c r="GZ40">
        <v>3</v>
      </c>
      <c r="HA40">
        <v>0.67031799999999997</v>
      </c>
      <c r="HB40">
        <v>2.30044</v>
      </c>
      <c r="HC40">
        <v>20.148199999999999</v>
      </c>
      <c r="HD40">
        <v>5.2292699999999996</v>
      </c>
      <c r="HE40">
        <v>11.9201</v>
      </c>
      <c r="HF40">
        <v>4.9597499999999997</v>
      </c>
      <c r="HG40">
        <v>3.2890000000000001</v>
      </c>
      <c r="HH40">
        <v>9999</v>
      </c>
      <c r="HI40">
        <v>9999</v>
      </c>
      <c r="HJ40">
        <v>9999</v>
      </c>
      <c r="HK40">
        <v>999.9</v>
      </c>
      <c r="HL40">
        <v>1.8812500000000001</v>
      </c>
      <c r="HM40">
        <v>1.87842</v>
      </c>
      <c r="HN40">
        <v>1.88635</v>
      </c>
      <c r="HO40">
        <v>1.88409</v>
      </c>
      <c r="HP40">
        <v>1.88168</v>
      </c>
      <c r="HQ40">
        <v>1.8806499999999999</v>
      </c>
      <c r="HR40">
        <v>1.88181</v>
      </c>
      <c r="HS40">
        <v>1.88134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-0.82499999999999996</v>
      </c>
      <c r="IH40">
        <v>-1.9379</v>
      </c>
      <c r="II40">
        <v>-0.9650975882165721</v>
      </c>
      <c r="IJ40">
        <v>8.9935118796959448E-4</v>
      </c>
      <c r="IK40">
        <v>-5.3495398746875769E-7</v>
      </c>
      <c r="IL40">
        <v>3.209454383910538E-10</v>
      </c>
      <c r="IM40">
        <v>-1.937914285714285</v>
      </c>
      <c r="IN40">
        <v>0</v>
      </c>
      <c r="IO40">
        <v>0</v>
      </c>
      <c r="IP40">
        <v>0</v>
      </c>
      <c r="IQ40">
        <v>1</v>
      </c>
      <c r="IR40">
        <v>2101</v>
      </c>
      <c r="IS40">
        <v>1</v>
      </c>
      <c r="IT40">
        <v>21</v>
      </c>
      <c r="IU40">
        <v>1.6</v>
      </c>
      <c r="IV40">
        <v>1.5</v>
      </c>
      <c r="IW40">
        <v>0.87890599999999997</v>
      </c>
      <c r="IX40">
        <v>2.50366</v>
      </c>
      <c r="IY40">
        <v>2.34375</v>
      </c>
      <c r="IZ40">
        <v>2.9162599999999999</v>
      </c>
      <c r="JA40">
        <v>3.0480999999999998</v>
      </c>
      <c r="JB40">
        <v>2.4084500000000002</v>
      </c>
      <c r="JC40">
        <v>46.094700000000003</v>
      </c>
      <c r="JD40">
        <v>23.912400000000002</v>
      </c>
      <c r="JE40">
        <v>18</v>
      </c>
      <c r="JF40">
        <v>442.25799999999998</v>
      </c>
      <c r="JG40">
        <v>1191.3</v>
      </c>
      <c r="JH40">
        <v>26.192</v>
      </c>
      <c r="JI40">
        <v>35.3932</v>
      </c>
      <c r="JJ40">
        <v>30</v>
      </c>
      <c r="JK40">
        <v>35.351199999999999</v>
      </c>
      <c r="JL40">
        <v>35.316499999999998</v>
      </c>
      <c r="JM40">
        <v>17.697600000000001</v>
      </c>
      <c r="JN40">
        <v>16.514399999999998</v>
      </c>
      <c r="JO40">
        <v>50.5291</v>
      </c>
      <c r="JP40">
        <v>26.200800000000001</v>
      </c>
      <c r="JQ40">
        <v>200</v>
      </c>
      <c r="JR40">
        <v>22.590800000000002</v>
      </c>
      <c r="JS40">
        <v>99.189499999999995</v>
      </c>
      <c r="JT40">
        <v>98.876900000000006</v>
      </c>
    </row>
    <row r="41" spans="1:280" x14ac:dyDescent="0.25">
      <c r="A41">
        <v>25</v>
      </c>
      <c r="B41">
        <v>1700152628</v>
      </c>
      <c r="C41">
        <v>4667.5</v>
      </c>
      <c r="D41" t="s">
        <v>523</v>
      </c>
      <c r="E41" t="s">
        <v>524</v>
      </c>
      <c r="F41" t="s">
        <v>412</v>
      </c>
      <c r="G41" t="s">
        <v>478</v>
      </c>
      <c r="H41" t="s">
        <v>31</v>
      </c>
      <c r="I41">
        <v>1700152628</v>
      </c>
      <c r="J41">
        <f t="shared" si="0"/>
        <v>7.2463018605358207E-3</v>
      </c>
      <c r="K41">
        <f t="shared" si="1"/>
        <v>7.2463018605358203</v>
      </c>
      <c r="L41">
        <f t="shared" si="2"/>
        <v>23.020610905639863</v>
      </c>
      <c r="M41">
        <f t="shared" si="3"/>
        <v>100.264</v>
      </c>
      <c r="N41">
        <f t="shared" si="4"/>
        <v>22.396728671920204</v>
      </c>
      <c r="O41">
        <f t="shared" si="5"/>
        <v>2.2292959028801027</v>
      </c>
      <c r="P41">
        <f t="shared" si="6"/>
        <v>9.9799451821999998</v>
      </c>
      <c r="Q41">
        <f t="shared" si="7"/>
        <v>0.51715507421242424</v>
      </c>
      <c r="R41">
        <f t="shared" si="8"/>
        <v>3.3701998839771736</v>
      </c>
      <c r="S41">
        <f t="shared" si="9"/>
        <v>0.47677008593441927</v>
      </c>
      <c r="T41">
        <f t="shared" si="10"/>
        <v>0.30134649434380689</v>
      </c>
      <c r="U41">
        <f t="shared" si="11"/>
        <v>344.38589864458856</v>
      </c>
      <c r="V41">
        <f t="shared" si="12"/>
        <v>30.238760358071364</v>
      </c>
      <c r="W41">
        <f t="shared" si="13"/>
        <v>29.984200000000001</v>
      </c>
      <c r="X41">
        <f t="shared" si="14"/>
        <v>4.2565847765984781</v>
      </c>
      <c r="Y41">
        <f t="shared" si="15"/>
        <v>65.243143368257023</v>
      </c>
      <c r="Z41">
        <f t="shared" si="16"/>
        <v>2.7973588068650002</v>
      </c>
      <c r="AA41">
        <f t="shared" si="17"/>
        <v>4.287590484528998</v>
      </c>
      <c r="AB41">
        <f t="shared" si="18"/>
        <v>1.459225969733478</v>
      </c>
      <c r="AC41">
        <f t="shared" si="19"/>
        <v>-319.56191204962971</v>
      </c>
      <c r="AD41">
        <f t="shared" si="20"/>
        <v>22.966148920725196</v>
      </c>
      <c r="AE41">
        <f t="shared" si="21"/>
        <v>1.5159170267950128</v>
      </c>
      <c r="AF41">
        <f t="shared" si="22"/>
        <v>49.306052542479073</v>
      </c>
      <c r="AG41">
        <v>41</v>
      </c>
      <c r="AH41">
        <v>8</v>
      </c>
      <c r="AI41">
        <f t="shared" si="23"/>
        <v>1</v>
      </c>
      <c r="AJ41">
        <f t="shared" si="24"/>
        <v>0</v>
      </c>
      <c r="AK41">
        <f t="shared" si="25"/>
        <v>51989.75937215719</v>
      </c>
      <c r="AL41" t="s">
        <v>426</v>
      </c>
      <c r="AM41" t="s">
        <v>426</v>
      </c>
      <c r="AN41">
        <v>0</v>
      </c>
      <c r="AO41">
        <v>0</v>
      </c>
      <c r="AP41" t="e">
        <f t="shared" si="26"/>
        <v>#DIV/0!</v>
      </c>
      <c r="AQ41">
        <v>0</v>
      </c>
      <c r="AR41" t="s">
        <v>426</v>
      </c>
      <c r="AS41" t="s">
        <v>426</v>
      </c>
      <c r="AT41">
        <v>0</v>
      </c>
      <c r="AU41">
        <v>0</v>
      </c>
      <c r="AV41" t="e">
        <f t="shared" si="27"/>
        <v>#DIV/0!</v>
      </c>
      <c r="AW41">
        <v>0.5</v>
      </c>
      <c r="AX41">
        <f t="shared" si="28"/>
        <v>1513.2599993222943</v>
      </c>
      <c r="AY41">
        <f t="shared" si="29"/>
        <v>23.020610905639863</v>
      </c>
      <c r="AZ41" t="e">
        <f t="shared" si="30"/>
        <v>#DIV/0!</v>
      </c>
      <c r="BA41">
        <f t="shared" si="31"/>
        <v>1.5212594607634857E-2</v>
      </c>
      <c r="BB41" t="e">
        <f t="shared" si="32"/>
        <v>#DIV/0!</v>
      </c>
      <c r="BC41" t="e">
        <f t="shared" si="33"/>
        <v>#DIV/0!</v>
      </c>
      <c r="BD41" t="s">
        <v>426</v>
      </c>
      <c r="BE41">
        <v>0</v>
      </c>
      <c r="BF41" t="e">
        <f t="shared" si="34"/>
        <v>#DIV/0!</v>
      </c>
      <c r="BG41" t="e">
        <f t="shared" si="35"/>
        <v>#DIV/0!</v>
      </c>
      <c r="BH41" t="e">
        <f t="shared" si="36"/>
        <v>#DIV/0!</v>
      </c>
      <c r="BI41" t="e">
        <f t="shared" si="37"/>
        <v>#DIV/0!</v>
      </c>
      <c r="BJ41" t="e">
        <f t="shared" si="38"/>
        <v>#DIV/0!</v>
      </c>
      <c r="BK41" t="e">
        <f t="shared" si="39"/>
        <v>#DIV/0!</v>
      </c>
      <c r="BL41" t="e">
        <f t="shared" si="40"/>
        <v>#DIV/0!</v>
      </c>
      <c r="BM41" t="e">
        <f t="shared" si="41"/>
        <v>#DIV/0!</v>
      </c>
      <c r="BN41">
        <v>308</v>
      </c>
      <c r="BO41">
        <v>290.00000000000011</v>
      </c>
      <c r="BP41">
        <v>755.25</v>
      </c>
      <c r="BQ41">
        <v>265</v>
      </c>
      <c r="BR41">
        <v>7248.3</v>
      </c>
      <c r="BS41">
        <v>757.03</v>
      </c>
      <c r="BT41">
        <v>-1.78</v>
      </c>
      <c r="BU41">
        <v>300.00000000000011</v>
      </c>
      <c r="BV41">
        <v>38</v>
      </c>
      <c r="BW41">
        <v>801.61259067083017</v>
      </c>
      <c r="BX41">
        <v>1.059401826644111</v>
      </c>
      <c r="BY41">
        <v>-32.316050969052483</v>
      </c>
      <c r="BZ41">
        <v>0.64363373136462887</v>
      </c>
      <c r="CA41">
        <v>0.9890149531589798</v>
      </c>
      <c r="CB41">
        <v>-7.1473775305895444E-3</v>
      </c>
      <c r="CC41">
        <v>289.99999999999989</v>
      </c>
      <c r="CD41">
        <v>761.06</v>
      </c>
      <c r="CE41">
        <v>855</v>
      </c>
      <c r="CF41">
        <v>7240.71</v>
      </c>
      <c r="CG41">
        <v>756.98</v>
      </c>
      <c r="CH41">
        <v>4.08</v>
      </c>
      <c r="CV41">
        <f t="shared" si="42"/>
        <v>1800.09</v>
      </c>
      <c r="CW41">
        <f t="shared" si="43"/>
        <v>1513.2599993222943</v>
      </c>
      <c r="CX41">
        <f t="shared" si="44"/>
        <v>0.84065796672516058</v>
      </c>
      <c r="CY41">
        <f t="shared" si="45"/>
        <v>0.19131593345032114</v>
      </c>
      <c r="CZ41">
        <v>4.16</v>
      </c>
      <c r="DA41">
        <v>0.5</v>
      </c>
      <c r="DB41" t="s">
        <v>418</v>
      </c>
      <c r="DC41">
        <v>2</v>
      </c>
      <c r="DD41">
        <v>1700152628</v>
      </c>
      <c r="DE41">
        <v>100.264</v>
      </c>
      <c r="DF41">
        <v>120.021</v>
      </c>
      <c r="DG41">
        <v>28.1038</v>
      </c>
      <c r="DH41">
        <v>22.244499999999999</v>
      </c>
      <c r="DI41">
        <v>101.223</v>
      </c>
      <c r="DJ41">
        <v>30.040400000000002</v>
      </c>
      <c r="DK41">
        <v>500.01600000000002</v>
      </c>
      <c r="DL41">
        <v>99.436599999999999</v>
      </c>
      <c r="DM41">
        <v>0.100075</v>
      </c>
      <c r="DN41">
        <v>30.110600000000002</v>
      </c>
      <c r="DO41">
        <v>29.984200000000001</v>
      </c>
      <c r="DP41">
        <v>999.9</v>
      </c>
      <c r="DQ41">
        <v>0</v>
      </c>
      <c r="DR41">
        <v>0</v>
      </c>
      <c r="DS41">
        <v>9990</v>
      </c>
      <c r="DT41">
        <v>0</v>
      </c>
      <c r="DU41">
        <v>259.25400000000002</v>
      </c>
      <c r="DV41">
        <v>-19.756599999999999</v>
      </c>
      <c r="DW41">
        <v>103.163</v>
      </c>
      <c r="DX41">
        <v>122.751</v>
      </c>
      <c r="DY41">
        <v>5.8593299999999999</v>
      </c>
      <c r="DZ41">
        <v>120.021</v>
      </c>
      <c r="EA41">
        <v>22.244499999999999</v>
      </c>
      <c r="EB41">
        <v>2.7945500000000001</v>
      </c>
      <c r="EC41">
        <v>2.21191</v>
      </c>
      <c r="ED41">
        <v>22.851900000000001</v>
      </c>
      <c r="EE41">
        <v>19.0489</v>
      </c>
      <c r="EF41">
        <v>1800.09</v>
      </c>
      <c r="EG41">
        <v>0.97800699999999996</v>
      </c>
      <c r="EH41">
        <v>2.1992999999999999E-2</v>
      </c>
      <c r="EI41">
        <v>0</v>
      </c>
      <c r="EJ41">
        <v>662.90300000000002</v>
      </c>
      <c r="EK41">
        <v>5.0010300000000001</v>
      </c>
      <c r="EL41">
        <v>12124.6</v>
      </c>
      <c r="EM41">
        <v>14701.9</v>
      </c>
      <c r="EN41">
        <v>47.25</v>
      </c>
      <c r="EO41">
        <v>49.061999999999998</v>
      </c>
      <c r="EP41">
        <v>48.686999999999998</v>
      </c>
      <c r="EQ41">
        <v>47.936999999999998</v>
      </c>
      <c r="ER41">
        <v>48.686999999999998</v>
      </c>
      <c r="ES41">
        <v>1755.61</v>
      </c>
      <c r="ET41">
        <v>39.479999999999997</v>
      </c>
      <c r="EU41">
        <v>0</v>
      </c>
      <c r="EV41">
        <v>178.39999985694891</v>
      </c>
      <c r="EW41">
        <v>0</v>
      </c>
      <c r="EX41">
        <v>662.8574799999999</v>
      </c>
      <c r="EY41">
        <v>-0.129846156840598</v>
      </c>
      <c r="EZ41">
        <v>6.7846153332215682</v>
      </c>
      <c r="FA41">
        <v>12125.592000000001</v>
      </c>
      <c r="FB41">
        <v>15</v>
      </c>
      <c r="FC41">
        <v>1700152540</v>
      </c>
      <c r="FD41" t="s">
        <v>525</v>
      </c>
      <c r="FE41">
        <v>1700152538</v>
      </c>
      <c r="FF41">
        <v>1700152540</v>
      </c>
      <c r="FG41">
        <v>27</v>
      </c>
      <c r="FH41">
        <v>-7.9000000000000001E-2</v>
      </c>
      <c r="FI41">
        <v>1E-3</v>
      </c>
      <c r="FJ41">
        <v>-0.94299999999999995</v>
      </c>
      <c r="FK41">
        <v>-1.9370000000000001</v>
      </c>
      <c r="FL41">
        <v>120</v>
      </c>
      <c r="FM41">
        <v>23</v>
      </c>
      <c r="FN41">
        <v>0.12</v>
      </c>
      <c r="FO41">
        <v>0.02</v>
      </c>
      <c r="FP41">
        <v>22.892089267775219</v>
      </c>
      <c r="FQ41">
        <v>0.68507311716846342</v>
      </c>
      <c r="FR41">
        <v>5.4544482063847023E-2</v>
      </c>
      <c r="FS41">
        <v>1</v>
      </c>
      <c r="FT41">
        <v>0.51301308390228373</v>
      </c>
      <c r="FU41">
        <v>-1.4943919974412551E-2</v>
      </c>
      <c r="FV41">
        <v>2.214663355691998E-3</v>
      </c>
      <c r="FW41">
        <v>1</v>
      </c>
      <c r="FX41">
        <v>2</v>
      </c>
      <c r="FY41">
        <v>2</v>
      </c>
      <c r="FZ41" t="s">
        <v>420</v>
      </c>
      <c r="GA41">
        <v>2.89636</v>
      </c>
      <c r="GB41">
        <v>2.81799</v>
      </c>
      <c r="GC41">
        <v>2.70602E-2</v>
      </c>
      <c r="GD41">
        <v>3.1859100000000001E-2</v>
      </c>
      <c r="GE41">
        <v>0.13925999999999999</v>
      </c>
      <c r="GF41">
        <v>0.112426</v>
      </c>
      <c r="GG41">
        <v>26910.5</v>
      </c>
      <c r="GH41">
        <v>26858.9</v>
      </c>
      <c r="GI41">
        <v>24554.400000000001</v>
      </c>
      <c r="GJ41">
        <v>24794</v>
      </c>
      <c r="GK41">
        <v>28126.6</v>
      </c>
      <c r="GL41">
        <v>28586.9</v>
      </c>
      <c r="GM41">
        <v>33255.199999999997</v>
      </c>
      <c r="GN41">
        <v>33137.199999999997</v>
      </c>
      <c r="GO41">
        <v>1.8490500000000001</v>
      </c>
      <c r="GP41">
        <v>2.5091199999999998</v>
      </c>
      <c r="GQ41">
        <v>3.5501999999999999E-2</v>
      </c>
      <c r="GR41">
        <v>0</v>
      </c>
      <c r="GS41">
        <v>29.406199999999998</v>
      </c>
      <c r="GT41">
        <v>999.9</v>
      </c>
      <c r="GU41">
        <v>38</v>
      </c>
      <c r="GV41">
        <v>40.9</v>
      </c>
      <c r="GW41">
        <v>29.720099999999999</v>
      </c>
      <c r="GX41">
        <v>63.009599999999999</v>
      </c>
      <c r="GY41">
        <v>-4.5873400000000002</v>
      </c>
      <c r="GZ41">
        <v>3</v>
      </c>
      <c r="HA41">
        <v>0.67204299999999995</v>
      </c>
      <c r="HB41">
        <v>2.48468</v>
      </c>
      <c r="HC41">
        <v>20.145900000000001</v>
      </c>
      <c r="HD41">
        <v>5.2330100000000002</v>
      </c>
      <c r="HE41">
        <v>11.9201</v>
      </c>
      <c r="HF41">
        <v>4.9598000000000004</v>
      </c>
      <c r="HG41">
        <v>3.28898</v>
      </c>
      <c r="HH41">
        <v>9999</v>
      </c>
      <c r="HI41">
        <v>9999</v>
      </c>
      <c r="HJ41">
        <v>9999</v>
      </c>
      <c r="HK41">
        <v>999.9</v>
      </c>
      <c r="HL41">
        <v>1.8812500000000001</v>
      </c>
      <c r="HM41">
        <v>1.8783799999999999</v>
      </c>
      <c r="HN41">
        <v>1.88639</v>
      </c>
      <c r="HO41">
        <v>1.8841399999999999</v>
      </c>
      <c r="HP41">
        <v>1.88168</v>
      </c>
      <c r="HQ41">
        <v>1.8806499999999999</v>
      </c>
      <c r="HR41">
        <v>1.8817900000000001</v>
      </c>
      <c r="HS41">
        <v>1.8813599999999999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-0.95899999999999996</v>
      </c>
      <c r="IH41">
        <v>-1.9366000000000001</v>
      </c>
      <c r="II41">
        <v>-1.044571154425459</v>
      </c>
      <c r="IJ41">
        <v>8.9935118796959448E-4</v>
      </c>
      <c r="IK41">
        <v>-5.3495398746875769E-7</v>
      </c>
      <c r="IL41">
        <v>3.209454383910538E-10</v>
      </c>
      <c r="IM41">
        <v>-1.936599999999999</v>
      </c>
      <c r="IN41">
        <v>0</v>
      </c>
      <c r="IO41">
        <v>0</v>
      </c>
      <c r="IP41">
        <v>0</v>
      </c>
      <c r="IQ41">
        <v>1</v>
      </c>
      <c r="IR41">
        <v>2101</v>
      </c>
      <c r="IS41">
        <v>1</v>
      </c>
      <c r="IT41">
        <v>21</v>
      </c>
      <c r="IU41">
        <v>1.5</v>
      </c>
      <c r="IV41">
        <v>1.5</v>
      </c>
      <c r="IW41">
        <v>0.59448199999999995</v>
      </c>
      <c r="IX41">
        <v>2.52441</v>
      </c>
      <c r="IY41">
        <v>2.34375</v>
      </c>
      <c r="IZ41">
        <v>2.9150399999999999</v>
      </c>
      <c r="JA41">
        <v>3.0480999999999998</v>
      </c>
      <c r="JB41">
        <v>2.36816</v>
      </c>
      <c r="JC41">
        <v>46.123699999999999</v>
      </c>
      <c r="JD41">
        <v>23.903600000000001</v>
      </c>
      <c r="JE41">
        <v>18</v>
      </c>
      <c r="JF41">
        <v>442.51499999999999</v>
      </c>
      <c r="JG41">
        <v>1191.82</v>
      </c>
      <c r="JH41">
        <v>26.1188</v>
      </c>
      <c r="JI41">
        <v>35.399700000000003</v>
      </c>
      <c r="JJ41">
        <v>30</v>
      </c>
      <c r="JK41">
        <v>35.349499999999999</v>
      </c>
      <c r="JL41">
        <v>35.313299999999998</v>
      </c>
      <c r="JM41">
        <v>11.9697</v>
      </c>
      <c r="JN41">
        <v>14.8691</v>
      </c>
      <c r="JO41">
        <v>47.6676</v>
      </c>
      <c r="JP41">
        <v>26.128599999999999</v>
      </c>
      <c r="JQ41">
        <v>120</v>
      </c>
      <c r="JR41">
        <v>22.368400000000001</v>
      </c>
      <c r="JS41">
        <v>99.191000000000003</v>
      </c>
      <c r="JT41">
        <v>98.871799999999993</v>
      </c>
    </row>
    <row r="42" spans="1:280" x14ac:dyDescent="0.25">
      <c r="A42">
        <v>26</v>
      </c>
      <c r="B42">
        <v>1700152753.0999999</v>
      </c>
      <c r="C42">
        <v>4792.5999999046326</v>
      </c>
      <c r="D42" t="s">
        <v>526</v>
      </c>
      <c r="E42" t="s">
        <v>527</v>
      </c>
      <c r="F42" t="s">
        <v>412</v>
      </c>
      <c r="G42" t="s">
        <v>478</v>
      </c>
      <c r="H42" t="s">
        <v>31</v>
      </c>
      <c r="I42">
        <v>1700152753.0999999</v>
      </c>
      <c r="J42">
        <f t="shared" si="0"/>
        <v>7.304501027283688E-3</v>
      </c>
      <c r="K42">
        <f t="shared" si="1"/>
        <v>7.3045010272836883</v>
      </c>
      <c r="L42">
        <f t="shared" si="2"/>
        <v>13.729476791797909</v>
      </c>
      <c r="M42">
        <f t="shared" si="3"/>
        <v>58.247500000000002</v>
      </c>
      <c r="N42">
        <f t="shared" si="4"/>
        <v>12.399491980540958</v>
      </c>
      <c r="O42">
        <f t="shared" si="5"/>
        <v>1.2340952949742989</v>
      </c>
      <c r="P42">
        <f t="shared" si="6"/>
        <v>5.7972508717957503</v>
      </c>
      <c r="Q42">
        <f t="shared" si="7"/>
        <v>0.52399056865407723</v>
      </c>
      <c r="R42">
        <f t="shared" si="8"/>
        <v>3.3744167859420457</v>
      </c>
      <c r="S42">
        <f t="shared" si="9"/>
        <v>0.48262410555612462</v>
      </c>
      <c r="T42">
        <f t="shared" si="10"/>
        <v>0.30508407908604113</v>
      </c>
      <c r="U42">
        <f t="shared" si="11"/>
        <v>344.38649864424525</v>
      </c>
      <c r="V42">
        <f t="shared" si="12"/>
        <v>30.223778191016116</v>
      </c>
      <c r="W42">
        <f t="shared" si="13"/>
        <v>30.010200000000001</v>
      </c>
      <c r="X42">
        <f t="shared" si="14"/>
        <v>4.2629465205437258</v>
      </c>
      <c r="Y42">
        <f t="shared" si="15"/>
        <v>65.546799038518415</v>
      </c>
      <c r="Z42">
        <f t="shared" si="16"/>
        <v>2.81012025820365</v>
      </c>
      <c r="AA42">
        <f t="shared" si="17"/>
        <v>4.2871967806578777</v>
      </c>
      <c r="AB42">
        <f t="shared" si="18"/>
        <v>1.4528262623400758</v>
      </c>
      <c r="AC42">
        <f t="shared" si="19"/>
        <v>-322.12849530321063</v>
      </c>
      <c r="AD42">
        <f t="shared" si="20"/>
        <v>17.973849907054429</v>
      </c>
      <c r="AE42">
        <f t="shared" si="21"/>
        <v>1.1850529189489747</v>
      </c>
      <c r="AF42">
        <f t="shared" si="22"/>
        <v>41.41690616703805</v>
      </c>
      <c r="AG42">
        <v>41</v>
      </c>
      <c r="AH42">
        <v>8</v>
      </c>
      <c r="AI42">
        <f t="shared" si="23"/>
        <v>1</v>
      </c>
      <c r="AJ42">
        <f t="shared" si="24"/>
        <v>0</v>
      </c>
      <c r="AK42">
        <f t="shared" si="25"/>
        <v>52085.354578494378</v>
      </c>
      <c r="AL42" t="s">
        <v>415</v>
      </c>
      <c r="AM42">
        <v>7163.32</v>
      </c>
      <c r="AN42">
        <v>295.04692307692312</v>
      </c>
      <c r="AO42">
        <v>723.15082041179414</v>
      </c>
      <c r="AP42">
        <f t="shared" si="26"/>
        <v>0.59199808013920208</v>
      </c>
      <c r="AQ42">
        <v>-3.795255127542589</v>
      </c>
      <c r="AR42" t="s">
        <v>528</v>
      </c>
      <c r="AS42">
        <v>7250.8</v>
      </c>
      <c r="AT42">
        <v>681.93450000000007</v>
      </c>
      <c r="AU42">
        <v>765.49493489983786</v>
      </c>
      <c r="AV42">
        <f t="shared" si="27"/>
        <v>0.10915870385317616</v>
      </c>
      <c r="AW42">
        <v>0.5</v>
      </c>
      <c r="AX42">
        <f t="shared" si="28"/>
        <v>1513.2602993221224</v>
      </c>
      <c r="AY42">
        <f t="shared" si="29"/>
        <v>13.729476791797909</v>
      </c>
      <c r="AZ42">
        <f t="shared" si="30"/>
        <v>82.592766433236136</v>
      </c>
      <c r="BA42">
        <f t="shared" si="31"/>
        <v>1.158077822248482E-2</v>
      </c>
      <c r="BB42">
        <f t="shared" si="32"/>
        <v>-5.5315995648729258E-2</v>
      </c>
      <c r="BC42">
        <f t="shared" si="33"/>
        <v>301.85960222698708</v>
      </c>
      <c r="BD42" t="s">
        <v>529</v>
      </c>
      <c r="BE42">
        <v>435.71</v>
      </c>
      <c r="BF42">
        <f t="shared" si="34"/>
        <v>435.71</v>
      </c>
      <c r="BG42">
        <f t="shared" si="35"/>
        <v>0.43081269367639774</v>
      </c>
      <c r="BH42">
        <f t="shared" si="36"/>
        <v>0.25337856905202999</v>
      </c>
      <c r="BI42">
        <f t="shared" si="37"/>
        <v>-0.147314199936462</v>
      </c>
      <c r="BJ42">
        <f t="shared" si="38"/>
        <v>0.17761885011704856</v>
      </c>
      <c r="BK42">
        <f t="shared" si="39"/>
        <v>-9.8910836251792728E-2</v>
      </c>
      <c r="BL42">
        <f t="shared" si="40"/>
        <v>0.16189175987086732</v>
      </c>
      <c r="BM42">
        <f t="shared" si="41"/>
        <v>0.83810824012913265</v>
      </c>
      <c r="BN42">
        <v>310</v>
      </c>
      <c r="BO42">
        <v>290.00000000000011</v>
      </c>
      <c r="BP42">
        <v>746.58</v>
      </c>
      <c r="BQ42">
        <v>295</v>
      </c>
      <c r="BR42">
        <v>7250.8</v>
      </c>
      <c r="BS42">
        <v>746.41</v>
      </c>
      <c r="BT42">
        <v>0.17</v>
      </c>
      <c r="BU42">
        <v>300.00000000000011</v>
      </c>
      <c r="BV42">
        <v>38</v>
      </c>
      <c r="BW42">
        <v>765.49493489983786</v>
      </c>
      <c r="BX42">
        <v>1.312721172613865</v>
      </c>
      <c r="BY42">
        <v>-13.83482931221562</v>
      </c>
      <c r="BZ42">
        <v>0.79789925754678614</v>
      </c>
      <c r="CA42">
        <v>0.91480123764894072</v>
      </c>
      <c r="CB42">
        <v>-7.1503439377085609E-3</v>
      </c>
      <c r="CC42">
        <v>289.99999999999989</v>
      </c>
      <c r="CD42">
        <v>748.1</v>
      </c>
      <c r="CE42">
        <v>855</v>
      </c>
      <c r="CF42">
        <v>7244.06</v>
      </c>
      <c r="CG42">
        <v>746.4</v>
      </c>
      <c r="CH42">
        <v>1.7</v>
      </c>
      <c r="CV42">
        <f t="shared" si="42"/>
        <v>1800.09</v>
      </c>
      <c r="CW42">
        <f t="shared" si="43"/>
        <v>1513.2602993221224</v>
      </c>
      <c r="CX42">
        <f t="shared" si="44"/>
        <v>0.8406581333833989</v>
      </c>
      <c r="CY42">
        <f t="shared" si="45"/>
        <v>0.19131626676679792</v>
      </c>
      <c r="CZ42">
        <v>4.16</v>
      </c>
      <c r="DA42">
        <v>0.5</v>
      </c>
      <c r="DB42" t="s">
        <v>418</v>
      </c>
      <c r="DC42">
        <v>2</v>
      </c>
      <c r="DD42">
        <v>1700152753.0999999</v>
      </c>
      <c r="DE42">
        <v>58.247500000000002</v>
      </c>
      <c r="DF42">
        <v>70.026700000000005</v>
      </c>
      <c r="DG42">
        <v>28.234500000000001</v>
      </c>
      <c r="DH42">
        <v>22.3276</v>
      </c>
      <c r="DI42">
        <v>59.132300000000001</v>
      </c>
      <c r="DJ42">
        <v>30.17</v>
      </c>
      <c r="DK42">
        <v>499.90300000000002</v>
      </c>
      <c r="DL42">
        <v>99.427999999999997</v>
      </c>
      <c r="DM42">
        <v>9.98917E-2</v>
      </c>
      <c r="DN42">
        <v>30.109000000000002</v>
      </c>
      <c r="DO42">
        <v>30.010200000000001</v>
      </c>
      <c r="DP42">
        <v>999.9</v>
      </c>
      <c r="DQ42">
        <v>0</v>
      </c>
      <c r="DR42">
        <v>0</v>
      </c>
      <c r="DS42">
        <v>10010</v>
      </c>
      <c r="DT42">
        <v>0</v>
      </c>
      <c r="DU42">
        <v>140.86199999999999</v>
      </c>
      <c r="DV42">
        <v>-11.779199999999999</v>
      </c>
      <c r="DW42">
        <v>59.939900000000002</v>
      </c>
      <c r="DX42">
        <v>71.625900000000001</v>
      </c>
      <c r="DY42">
        <v>5.9068899999999998</v>
      </c>
      <c r="DZ42">
        <v>70.026700000000005</v>
      </c>
      <c r="EA42">
        <v>22.3276</v>
      </c>
      <c r="EB42">
        <v>2.8073000000000001</v>
      </c>
      <c r="EC42">
        <v>2.2199900000000001</v>
      </c>
      <c r="ED42">
        <v>22.927099999999999</v>
      </c>
      <c r="EE42">
        <v>19.107299999999999</v>
      </c>
      <c r="EF42">
        <v>1800.09</v>
      </c>
      <c r="EG42">
        <v>0.97800299999999996</v>
      </c>
      <c r="EH42">
        <v>2.1996600000000002E-2</v>
      </c>
      <c r="EI42">
        <v>0</v>
      </c>
      <c r="EJ42">
        <v>681.91600000000005</v>
      </c>
      <c r="EK42">
        <v>5.0010300000000001</v>
      </c>
      <c r="EL42">
        <v>12445</v>
      </c>
      <c r="EM42">
        <v>14701.9</v>
      </c>
      <c r="EN42">
        <v>47</v>
      </c>
      <c r="EO42">
        <v>48.811999999999998</v>
      </c>
      <c r="EP42">
        <v>48.311999999999998</v>
      </c>
      <c r="EQ42">
        <v>47.75</v>
      </c>
      <c r="ER42">
        <v>48.5</v>
      </c>
      <c r="ES42">
        <v>1755.6</v>
      </c>
      <c r="ET42">
        <v>39.49</v>
      </c>
      <c r="EU42">
        <v>0</v>
      </c>
      <c r="EV42">
        <v>303.79999995231628</v>
      </c>
      <c r="EW42">
        <v>0</v>
      </c>
      <c r="EX42">
        <v>681.93450000000007</v>
      </c>
      <c r="EY42">
        <v>-0.77952137123723075</v>
      </c>
      <c r="EZ42">
        <v>-5.3572649714873997</v>
      </c>
      <c r="FA42">
        <v>12444.696153846149</v>
      </c>
      <c r="FB42">
        <v>15</v>
      </c>
      <c r="FC42">
        <v>1700152718.0999999</v>
      </c>
      <c r="FD42" t="s">
        <v>530</v>
      </c>
      <c r="FE42">
        <v>1700152712.5999999</v>
      </c>
      <c r="FF42">
        <v>1700152718.0999999</v>
      </c>
      <c r="FG42">
        <v>28</v>
      </c>
      <c r="FH42">
        <v>0.108</v>
      </c>
      <c r="FI42">
        <v>1E-3</v>
      </c>
      <c r="FJ42">
        <v>-0.875</v>
      </c>
      <c r="FK42">
        <v>-1.9359999999999999</v>
      </c>
      <c r="FL42">
        <v>70</v>
      </c>
      <c r="FM42">
        <v>22</v>
      </c>
      <c r="FN42">
        <v>0.15</v>
      </c>
      <c r="FO42">
        <v>0.02</v>
      </c>
      <c r="FP42">
        <v>13.7062154004151</v>
      </c>
      <c r="FQ42">
        <v>-1.11703449041949E-2</v>
      </c>
      <c r="FR42">
        <v>2.6653165631577269E-2</v>
      </c>
      <c r="FS42">
        <v>1</v>
      </c>
      <c r="FT42">
        <v>0.51745232330826252</v>
      </c>
      <c r="FU42">
        <v>4.6133172253740459E-2</v>
      </c>
      <c r="FV42">
        <v>3.7293410096794462E-3</v>
      </c>
      <c r="FW42">
        <v>1</v>
      </c>
      <c r="FX42">
        <v>2</v>
      </c>
      <c r="FY42">
        <v>2</v>
      </c>
      <c r="FZ42" t="s">
        <v>420</v>
      </c>
      <c r="GA42">
        <v>2.8960599999999999</v>
      </c>
      <c r="GB42">
        <v>2.8179799999999999</v>
      </c>
      <c r="GC42">
        <v>1.6039299999999999E-2</v>
      </c>
      <c r="GD42">
        <v>1.8970299999999999E-2</v>
      </c>
      <c r="GE42">
        <v>0.139655</v>
      </c>
      <c r="GF42">
        <v>0.112707</v>
      </c>
      <c r="GG42">
        <v>27214.6</v>
      </c>
      <c r="GH42">
        <v>27214.3</v>
      </c>
      <c r="GI42">
        <v>24554.400000000001</v>
      </c>
      <c r="GJ42">
        <v>24792.799999999999</v>
      </c>
      <c r="GK42">
        <v>28113.3</v>
      </c>
      <c r="GL42">
        <v>28575.9</v>
      </c>
      <c r="GM42">
        <v>33254.699999999997</v>
      </c>
      <c r="GN42">
        <v>33134.9</v>
      </c>
      <c r="GO42">
        <v>1.8484</v>
      </c>
      <c r="GP42">
        <v>2.5071500000000002</v>
      </c>
      <c r="GQ42">
        <v>3.4611700000000002E-2</v>
      </c>
      <c r="GR42">
        <v>0</v>
      </c>
      <c r="GS42">
        <v>29.4467</v>
      </c>
      <c r="GT42">
        <v>999.9</v>
      </c>
      <c r="GU42">
        <v>37.200000000000003</v>
      </c>
      <c r="GV42">
        <v>41</v>
      </c>
      <c r="GW42">
        <v>29.254200000000001</v>
      </c>
      <c r="GX42">
        <v>62.678699999999999</v>
      </c>
      <c r="GY42">
        <v>-4.5512800000000002</v>
      </c>
      <c r="GZ42">
        <v>3</v>
      </c>
      <c r="HA42">
        <v>0.67349099999999995</v>
      </c>
      <c r="HB42">
        <v>2.7561300000000002</v>
      </c>
      <c r="HC42">
        <v>20.1402</v>
      </c>
      <c r="HD42">
        <v>5.2313700000000001</v>
      </c>
      <c r="HE42">
        <v>11.920199999999999</v>
      </c>
      <c r="HF42">
        <v>4.9590500000000004</v>
      </c>
      <c r="HG42">
        <v>3.2880500000000001</v>
      </c>
      <c r="HH42">
        <v>9999</v>
      </c>
      <c r="HI42">
        <v>9999</v>
      </c>
      <c r="HJ42">
        <v>9999</v>
      </c>
      <c r="HK42">
        <v>999.9</v>
      </c>
      <c r="HL42">
        <v>1.88124</v>
      </c>
      <c r="HM42">
        <v>1.87842</v>
      </c>
      <c r="HN42">
        <v>1.8863399999999999</v>
      </c>
      <c r="HO42">
        <v>1.8840600000000001</v>
      </c>
      <c r="HP42">
        <v>1.88167</v>
      </c>
      <c r="HQ42">
        <v>1.8806499999999999</v>
      </c>
      <c r="HR42">
        <v>1.8817999999999999</v>
      </c>
      <c r="HS42">
        <v>1.8813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-0.88500000000000001</v>
      </c>
      <c r="IH42">
        <v>-1.9355</v>
      </c>
      <c r="II42">
        <v>-0.93613715055395497</v>
      </c>
      <c r="IJ42">
        <v>8.9935118796959448E-4</v>
      </c>
      <c r="IK42">
        <v>-5.3495398746875769E-7</v>
      </c>
      <c r="IL42">
        <v>3.209454383910538E-10</v>
      </c>
      <c r="IM42">
        <v>-1.935570000000002</v>
      </c>
      <c r="IN42">
        <v>0</v>
      </c>
      <c r="IO42">
        <v>0</v>
      </c>
      <c r="IP42">
        <v>0</v>
      </c>
      <c r="IQ42">
        <v>1</v>
      </c>
      <c r="IR42">
        <v>2101</v>
      </c>
      <c r="IS42">
        <v>1</v>
      </c>
      <c r="IT42">
        <v>21</v>
      </c>
      <c r="IU42">
        <v>0.7</v>
      </c>
      <c r="IV42">
        <v>0.6</v>
      </c>
      <c r="IW42">
        <v>0.41259800000000002</v>
      </c>
      <c r="IX42">
        <v>2.5293000000000001</v>
      </c>
      <c r="IY42">
        <v>2.34375</v>
      </c>
      <c r="IZ42">
        <v>2.9150399999999999</v>
      </c>
      <c r="JA42">
        <v>3.0480999999999998</v>
      </c>
      <c r="JB42">
        <v>2.4157700000000002</v>
      </c>
      <c r="JC42">
        <v>46.123699999999999</v>
      </c>
      <c r="JD42">
        <v>23.912400000000002</v>
      </c>
      <c r="JE42">
        <v>18</v>
      </c>
      <c r="JF42">
        <v>442.13900000000001</v>
      </c>
      <c r="JG42">
        <v>1188.96</v>
      </c>
      <c r="JH42">
        <v>25.9682</v>
      </c>
      <c r="JI42">
        <v>35.402200000000001</v>
      </c>
      <c r="JJ42">
        <v>30.0002</v>
      </c>
      <c r="JK42">
        <v>35.354399999999998</v>
      </c>
      <c r="JL42">
        <v>35.313299999999998</v>
      </c>
      <c r="JM42">
        <v>8.3288799999999998</v>
      </c>
      <c r="JN42">
        <v>13.298999999999999</v>
      </c>
      <c r="JO42">
        <v>45.840299999999999</v>
      </c>
      <c r="JP42">
        <v>25.966100000000001</v>
      </c>
      <c r="JQ42">
        <v>70</v>
      </c>
      <c r="JR42">
        <v>22.230799999999999</v>
      </c>
      <c r="JS42">
        <v>99.190299999999993</v>
      </c>
      <c r="JT42">
        <v>98.865899999999996</v>
      </c>
    </row>
    <row r="43" spans="1:280" x14ac:dyDescent="0.25">
      <c r="A43">
        <v>27</v>
      </c>
      <c r="B43">
        <v>1700152885.5999999</v>
      </c>
      <c r="C43">
        <v>4925.0999999046326</v>
      </c>
      <c r="D43" t="s">
        <v>531</v>
      </c>
      <c r="E43" t="s">
        <v>532</v>
      </c>
      <c r="F43" t="s">
        <v>412</v>
      </c>
      <c r="G43" t="s">
        <v>478</v>
      </c>
      <c r="H43" t="s">
        <v>31</v>
      </c>
      <c r="I43">
        <v>1700152885.5999999</v>
      </c>
      <c r="J43">
        <f t="shared" si="0"/>
        <v>7.3208487667278518E-3</v>
      </c>
      <c r="K43">
        <f t="shared" si="1"/>
        <v>7.3208487667278517</v>
      </c>
      <c r="L43">
        <f t="shared" si="2"/>
        <v>6.0505351451421951</v>
      </c>
      <c r="M43">
        <f t="shared" si="3"/>
        <v>24.842199999999998</v>
      </c>
      <c r="N43">
        <f t="shared" si="4"/>
        <v>4.727364618802155</v>
      </c>
      <c r="O43">
        <f t="shared" si="5"/>
        <v>0.47048701160946321</v>
      </c>
      <c r="P43">
        <f t="shared" si="6"/>
        <v>2.4723991869208004</v>
      </c>
      <c r="Q43">
        <f t="shared" si="7"/>
        <v>0.52606815730958945</v>
      </c>
      <c r="R43">
        <f t="shared" si="8"/>
        <v>3.3695062199757424</v>
      </c>
      <c r="S43">
        <f t="shared" si="9"/>
        <v>0.48433140153260745</v>
      </c>
      <c r="T43">
        <f t="shared" si="10"/>
        <v>0.30618059674677578</v>
      </c>
      <c r="U43">
        <f t="shared" si="11"/>
        <v>344.3940986442754</v>
      </c>
      <c r="V43">
        <f t="shared" si="12"/>
        <v>30.190153655930477</v>
      </c>
      <c r="W43">
        <f t="shared" si="13"/>
        <v>29.973099999999999</v>
      </c>
      <c r="X43">
        <f t="shared" si="14"/>
        <v>4.2538713225049429</v>
      </c>
      <c r="Y43">
        <f t="shared" si="15"/>
        <v>65.490485026541776</v>
      </c>
      <c r="Z43">
        <f t="shared" si="16"/>
        <v>2.8028592210664005</v>
      </c>
      <c r="AA43">
        <f t="shared" si="17"/>
        <v>4.2797960954640457</v>
      </c>
      <c r="AB43">
        <f t="shared" si="18"/>
        <v>1.4510121014385424</v>
      </c>
      <c r="AC43">
        <f t="shared" si="19"/>
        <v>-322.84943061269826</v>
      </c>
      <c r="AD43">
        <f t="shared" si="20"/>
        <v>19.219291485255333</v>
      </c>
      <c r="AE43">
        <f t="shared" si="21"/>
        <v>1.2685921258318997</v>
      </c>
      <c r="AF43">
        <f t="shared" si="22"/>
        <v>42.03255164266438</v>
      </c>
      <c r="AG43">
        <v>42</v>
      </c>
      <c r="AH43">
        <v>8</v>
      </c>
      <c r="AI43">
        <f t="shared" si="23"/>
        <v>1</v>
      </c>
      <c r="AJ43">
        <f t="shared" si="24"/>
        <v>0</v>
      </c>
      <c r="AK43">
        <f t="shared" si="25"/>
        <v>51979.222261554736</v>
      </c>
      <c r="AL43" t="s">
        <v>426</v>
      </c>
      <c r="AM43" t="s">
        <v>426</v>
      </c>
      <c r="AN43">
        <v>0</v>
      </c>
      <c r="AO43">
        <v>0</v>
      </c>
      <c r="AP43" t="e">
        <f t="shared" si="26"/>
        <v>#DIV/0!</v>
      </c>
      <c r="AQ43">
        <v>0</v>
      </c>
      <c r="AR43" t="s">
        <v>426</v>
      </c>
      <c r="AS43" t="s">
        <v>426</v>
      </c>
      <c r="AT43">
        <v>0</v>
      </c>
      <c r="AU43">
        <v>0</v>
      </c>
      <c r="AV43" t="e">
        <f t="shared" si="27"/>
        <v>#DIV/0!</v>
      </c>
      <c r="AW43">
        <v>0.5</v>
      </c>
      <c r="AX43">
        <f t="shared" si="28"/>
        <v>1513.2938993221378</v>
      </c>
      <c r="AY43">
        <f t="shared" si="29"/>
        <v>6.0505351451421951</v>
      </c>
      <c r="AZ43" t="e">
        <f t="shared" si="30"/>
        <v>#DIV/0!</v>
      </c>
      <c r="BA43">
        <f t="shared" si="31"/>
        <v>3.9982551623663201E-3</v>
      </c>
      <c r="BB43" t="e">
        <f t="shared" si="32"/>
        <v>#DIV/0!</v>
      </c>
      <c r="BC43" t="e">
        <f t="shared" si="33"/>
        <v>#DIV/0!</v>
      </c>
      <c r="BD43" t="s">
        <v>426</v>
      </c>
      <c r="BE43">
        <v>0</v>
      </c>
      <c r="BF43" t="e">
        <f t="shared" si="34"/>
        <v>#DIV/0!</v>
      </c>
      <c r="BG43" t="e">
        <f t="shared" si="35"/>
        <v>#DIV/0!</v>
      </c>
      <c r="BH43" t="e">
        <f t="shared" si="36"/>
        <v>#DIV/0!</v>
      </c>
      <c r="BI43" t="e">
        <f t="shared" si="37"/>
        <v>#DIV/0!</v>
      </c>
      <c r="BJ43" t="e">
        <f t="shared" si="38"/>
        <v>#DIV/0!</v>
      </c>
      <c r="BK43" t="e">
        <f t="shared" si="39"/>
        <v>#DIV/0!</v>
      </c>
      <c r="BL43" t="e">
        <f t="shared" si="40"/>
        <v>#DIV/0!</v>
      </c>
      <c r="BM43" t="e">
        <f t="shared" si="41"/>
        <v>#DIV/0!</v>
      </c>
      <c r="BN43">
        <v>310</v>
      </c>
      <c r="BO43">
        <v>290.00000000000011</v>
      </c>
      <c r="BP43">
        <v>746.58</v>
      </c>
      <c r="BQ43">
        <v>295</v>
      </c>
      <c r="BR43">
        <v>7250.8</v>
      </c>
      <c r="BS43">
        <v>746.41</v>
      </c>
      <c r="BT43">
        <v>0.17</v>
      </c>
      <c r="BU43">
        <v>300.00000000000011</v>
      </c>
      <c r="BV43">
        <v>38</v>
      </c>
      <c r="BW43">
        <v>765.49493489983786</v>
      </c>
      <c r="BX43">
        <v>1.312721172613865</v>
      </c>
      <c r="BY43">
        <v>-13.83482931221562</v>
      </c>
      <c r="BZ43">
        <v>0.79789925754678614</v>
      </c>
      <c r="CA43">
        <v>0.91480123764894072</v>
      </c>
      <c r="CB43">
        <v>-7.1503439377085609E-3</v>
      </c>
      <c r="CC43">
        <v>289.99999999999989</v>
      </c>
      <c r="CD43">
        <v>748.1</v>
      </c>
      <c r="CE43">
        <v>855</v>
      </c>
      <c r="CF43">
        <v>7244.06</v>
      </c>
      <c r="CG43">
        <v>746.4</v>
      </c>
      <c r="CH43">
        <v>1.7</v>
      </c>
      <c r="CV43">
        <f t="shared" si="42"/>
        <v>1800.13</v>
      </c>
      <c r="CW43">
        <f t="shared" si="43"/>
        <v>1513.2938993221378</v>
      </c>
      <c r="CX43">
        <f t="shared" si="44"/>
        <v>0.84065811875927721</v>
      </c>
      <c r="CY43">
        <f t="shared" si="45"/>
        <v>0.19131623751855442</v>
      </c>
      <c r="CZ43">
        <v>4.16</v>
      </c>
      <c r="DA43">
        <v>0.5</v>
      </c>
      <c r="DB43" t="s">
        <v>418</v>
      </c>
      <c r="DC43">
        <v>2</v>
      </c>
      <c r="DD43">
        <v>1700152885.5999999</v>
      </c>
      <c r="DE43">
        <v>24.842199999999998</v>
      </c>
      <c r="DF43">
        <v>30.027899999999999</v>
      </c>
      <c r="DG43">
        <v>28.162600000000001</v>
      </c>
      <c r="DH43">
        <v>22.242799999999999</v>
      </c>
      <c r="DI43">
        <v>25.741499999999998</v>
      </c>
      <c r="DJ43">
        <v>30.0974</v>
      </c>
      <c r="DK43">
        <v>499.96699999999998</v>
      </c>
      <c r="DL43">
        <v>99.424000000000007</v>
      </c>
      <c r="DM43">
        <v>0.100164</v>
      </c>
      <c r="DN43">
        <v>30.078900000000001</v>
      </c>
      <c r="DO43">
        <v>29.973099999999999</v>
      </c>
      <c r="DP43">
        <v>999.9</v>
      </c>
      <c r="DQ43">
        <v>0</v>
      </c>
      <c r="DR43">
        <v>0</v>
      </c>
      <c r="DS43">
        <v>9988.1200000000008</v>
      </c>
      <c r="DT43">
        <v>0</v>
      </c>
      <c r="DU43">
        <v>124.495</v>
      </c>
      <c r="DV43">
        <v>-5.1856900000000001</v>
      </c>
      <c r="DW43">
        <v>25.562100000000001</v>
      </c>
      <c r="DX43">
        <v>30.710999999999999</v>
      </c>
      <c r="DY43">
        <v>5.9197600000000001</v>
      </c>
      <c r="DZ43">
        <v>30.027899999999999</v>
      </c>
      <c r="EA43">
        <v>22.242799999999999</v>
      </c>
      <c r="EB43">
        <v>2.8000400000000001</v>
      </c>
      <c r="EC43">
        <v>2.2114699999999998</v>
      </c>
      <c r="ED43">
        <v>22.8843</v>
      </c>
      <c r="EE43">
        <v>19.0456</v>
      </c>
      <c r="EF43">
        <v>1800.13</v>
      </c>
      <c r="EG43">
        <v>0.97799999999999998</v>
      </c>
      <c r="EH43">
        <v>2.20003E-2</v>
      </c>
      <c r="EI43">
        <v>0</v>
      </c>
      <c r="EJ43">
        <v>698.98900000000003</v>
      </c>
      <c r="EK43">
        <v>5.0010300000000001</v>
      </c>
      <c r="EL43">
        <v>12705.5</v>
      </c>
      <c r="EM43">
        <v>14702.2</v>
      </c>
      <c r="EN43">
        <v>46.75</v>
      </c>
      <c r="EO43">
        <v>48.561999999999998</v>
      </c>
      <c r="EP43">
        <v>48.061999999999998</v>
      </c>
      <c r="EQ43">
        <v>47.375</v>
      </c>
      <c r="ER43">
        <v>48.311999999999998</v>
      </c>
      <c r="ES43">
        <v>1755.64</v>
      </c>
      <c r="ET43">
        <v>39.49</v>
      </c>
      <c r="EU43">
        <v>0</v>
      </c>
      <c r="EV43">
        <v>130.79999995231631</v>
      </c>
      <c r="EW43">
        <v>0</v>
      </c>
      <c r="EX43">
        <v>698.77164000000005</v>
      </c>
      <c r="EY43">
        <v>0.6298461563262725</v>
      </c>
      <c r="EZ43">
        <v>-6.1769230199670568</v>
      </c>
      <c r="FA43">
        <v>12705.196</v>
      </c>
      <c r="FB43">
        <v>15</v>
      </c>
      <c r="FC43">
        <v>1700152847.5999999</v>
      </c>
      <c r="FD43" t="s">
        <v>533</v>
      </c>
      <c r="FE43">
        <v>1700152841.5999999</v>
      </c>
      <c r="FF43">
        <v>1700152847.5999999</v>
      </c>
      <c r="FG43">
        <v>29</v>
      </c>
      <c r="FH43">
        <v>1.4E-2</v>
      </c>
      <c r="FI43">
        <v>1E-3</v>
      </c>
      <c r="FJ43">
        <v>-0.89500000000000002</v>
      </c>
      <c r="FK43">
        <v>-1.9350000000000001</v>
      </c>
      <c r="FL43">
        <v>30</v>
      </c>
      <c r="FM43">
        <v>22</v>
      </c>
      <c r="FN43">
        <v>0.45</v>
      </c>
      <c r="FO43">
        <v>0.02</v>
      </c>
      <c r="FP43">
        <v>6.0118127950175673</v>
      </c>
      <c r="FQ43">
        <v>0.29940871338928099</v>
      </c>
      <c r="FR43">
        <v>3.5557182660118522E-2</v>
      </c>
      <c r="FS43">
        <v>1</v>
      </c>
      <c r="FT43">
        <v>0.52839304390504838</v>
      </c>
      <c r="FU43">
        <v>4.143678089817808E-2</v>
      </c>
      <c r="FV43">
        <v>4.4747177644546216E-3</v>
      </c>
      <c r="FW43">
        <v>1</v>
      </c>
      <c r="FX43">
        <v>2</v>
      </c>
      <c r="FY43">
        <v>2</v>
      </c>
      <c r="FZ43" t="s">
        <v>420</v>
      </c>
      <c r="GA43">
        <v>2.8962599999999998</v>
      </c>
      <c r="GB43">
        <v>2.81806</v>
      </c>
      <c r="GC43">
        <v>7.0294199999999998E-3</v>
      </c>
      <c r="GD43">
        <v>8.2174299999999995E-3</v>
      </c>
      <c r="GE43">
        <v>0.13942399999999999</v>
      </c>
      <c r="GF43">
        <v>0.11240799999999999</v>
      </c>
      <c r="GG43">
        <v>27464.2</v>
      </c>
      <c r="GH43">
        <v>27513.4</v>
      </c>
      <c r="GI43">
        <v>24555.200000000001</v>
      </c>
      <c r="GJ43">
        <v>24794.1</v>
      </c>
      <c r="GK43">
        <v>28121.5</v>
      </c>
      <c r="GL43">
        <v>28586.3</v>
      </c>
      <c r="GM43">
        <v>33255.5</v>
      </c>
      <c r="GN43">
        <v>33135.9</v>
      </c>
      <c r="GO43">
        <v>1.8479000000000001</v>
      </c>
      <c r="GP43">
        <v>2.5067699999999999</v>
      </c>
      <c r="GQ43">
        <v>3.6723899999999997E-2</v>
      </c>
      <c r="GR43">
        <v>0</v>
      </c>
      <c r="GS43">
        <v>29.3751</v>
      </c>
      <c r="GT43">
        <v>999.9</v>
      </c>
      <c r="GU43">
        <v>36.6</v>
      </c>
      <c r="GV43">
        <v>41.1</v>
      </c>
      <c r="GW43">
        <v>28.937000000000001</v>
      </c>
      <c r="GX43">
        <v>62.8887</v>
      </c>
      <c r="GY43">
        <v>-4.4711499999999997</v>
      </c>
      <c r="GZ43">
        <v>3</v>
      </c>
      <c r="HA43">
        <v>0.67080300000000004</v>
      </c>
      <c r="HB43">
        <v>2.4260199999999998</v>
      </c>
      <c r="HC43">
        <v>20.146100000000001</v>
      </c>
      <c r="HD43">
        <v>5.2316700000000003</v>
      </c>
      <c r="HE43">
        <v>11.920500000000001</v>
      </c>
      <c r="HF43">
        <v>4.9592499999999999</v>
      </c>
      <c r="HG43">
        <v>3.2888000000000002</v>
      </c>
      <c r="HH43">
        <v>9999</v>
      </c>
      <c r="HI43">
        <v>9999</v>
      </c>
      <c r="HJ43">
        <v>9999</v>
      </c>
      <c r="HK43">
        <v>999.9</v>
      </c>
      <c r="HL43">
        <v>1.8812599999999999</v>
      </c>
      <c r="HM43">
        <v>1.8784000000000001</v>
      </c>
      <c r="HN43">
        <v>1.88635</v>
      </c>
      <c r="HO43">
        <v>1.88405</v>
      </c>
      <c r="HP43">
        <v>1.88168</v>
      </c>
      <c r="HQ43">
        <v>1.8806499999999999</v>
      </c>
      <c r="HR43">
        <v>1.8817699999999999</v>
      </c>
      <c r="HS43">
        <v>1.88131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-0.89900000000000002</v>
      </c>
      <c r="IH43">
        <v>-1.9348000000000001</v>
      </c>
      <c r="II43">
        <v>-0.92214716850361766</v>
      </c>
      <c r="IJ43">
        <v>8.9935118796959448E-4</v>
      </c>
      <c r="IK43">
        <v>-5.3495398746875769E-7</v>
      </c>
      <c r="IL43">
        <v>3.209454383910538E-10</v>
      </c>
      <c r="IM43">
        <v>-1.934815</v>
      </c>
      <c r="IN43">
        <v>0</v>
      </c>
      <c r="IO43">
        <v>0</v>
      </c>
      <c r="IP43">
        <v>0</v>
      </c>
      <c r="IQ43">
        <v>1</v>
      </c>
      <c r="IR43">
        <v>2101</v>
      </c>
      <c r="IS43">
        <v>1</v>
      </c>
      <c r="IT43">
        <v>21</v>
      </c>
      <c r="IU43">
        <v>0.7</v>
      </c>
      <c r="IV43">
        <v>0.6</v>
      </c>
      <c r="IW43">
        <v>0.26733400000000002</v>
      </c>
      <c r="IX43">
        <v>2.5500500000000001</v>
      </c>
      <c r="IY43">
        <v>2.34375</v>
      </c>
      <c r="IZ43">
        <v>2.9150399999999999</v>
      </c>
      <c r="JA43">
        <v>3.0480999999999998</v>
      </c>
      <c r="JB43">
        <v>2.4108900000000002</v>
      </c>
      <c r="JC43">
        <v>46.123699999999999</v>
      </c>
      <c r="JD43">
        <v>23.912400000000002</v>
      </c>
      <c r="JE43">
        <v>18</v>
      </c>
      <c r="JF43">
        <v>441.755</v>
      </c>
      <c r="JG43">
        <v>1188.28</v>
      </c>
      <c r="JH43">
        <v>26.198</v>
      </c>
      <c r="JI43">
        <v>35.386699999999998</v>
      </c>
      <c r="JJ43">
        <v>29.9999</v>
      </c>
      <c r="JK43">
        <v>35.3446</v>
      </c>
      <c r="JL43">
        <v>35.305799999999998</v>
      </c>
      <c r="JM43">
        <v>5.4205199999999998</v>
      </c>
      <c r="JN43">
        <v>12.225300000000001</v>
      </c>
      <c r="JO43">
        <v>44.277200000000001</v>
      </c>
      <c r="JP43">
        <v>26.2179</v>
      </c>
      <c r="JQ43">
        <v>30</v>
      </c>
      <c r="JR43">
        <v>22.1357</v>
      </c>
      <c r="JS43">
        <v>99.193100000000001</v>
      </c>
      <c r="JT43">
        <v>98.869799999999998</v>
      </c>
    </row>
    <row r="44" spans="1:280" x14ac:dyDescent="0.25">
      <c r="A44">
        <v>28</v>
      </c>
      <c r="B44">
        <v>1700153005.0999999</v>
      </c>
      <c r="C44">
        <v>5044.5999999046326</v>
      </c>
      <c r="D44" t="s">
        <v>534</v>
      </c>
      <c r="E44" t="s">
        <v>535</v>
      </c>
      <c r="F44" t="s">
        <v>412</v>
      </c>
      <c r="G44" t="s">
        <v>478</v>
      </c>
      <c r="H44" t="s">
        <v>31</v>
      </c>
      <c r="I44">
        <v>1700153005.0999999</v>
      </c>
      <c r="J44">
        <f t="shared" si="0"/>
        <v>7.5095950608081415E-3</v>
      </c>
      <c r="K44">
        <f t="shared" si="1"/>
        <v>7.5095950608081417</v>
      </c>
      <c r="L44">
        <f t="shared" si="2"/>
        <v>2.0664507577877496</v>
      </c>
      <c r="M44">
        <f t="shared" si="3"/>
        <v>8.2368000000000006</v>
      </c>
      <c r="N44">
        <f t="shared" si="4"/>
        <v>1.5376019807838883</v>
      </c>
      <c r="O44">
        <f t="shared" si="5"/>
        <v>0.15301239458064647</v>
      </c>
      <c r="P44">
        <f t="shared" si="6"/>
        <v>0.81967408174080003</v>
      </c>
      <c r="Q44">
        <f t="shared" si="7"/>
        <v>0.5403548373973005</v>
      </c>
      <c r="R44">
        <f t="shared" si="8"/>
        <v>3.3738309542737315</v>
      </c>
      <c r="S44">
        <f t="shared" si="9"/>
        <v>0.49647314531613251</v>
      </c>
      <c r="T44">
        <f t="shared" si="10"/>
        <v>0.31394081085133652</v>
      </c>
      <c r="U44">
        <f t="shared" si="11"/>
        <v>344.39659864393957</v>
      </c>
      <c r="V44">
        <f t="shared" si="12"/>
        <v>30.216799056030297</v>
      </c>
      <c r="W44">
        <f t="shared" si="13"/>
        <v>29.994199999999999</v>
      </c>
      <c r="X44">
        <f t="shared" si="14"/>
        <v>4.2590306213415525</v>
      </c>
      <c r="Y44">
        <f t="shared" si="15"/>
        <v>65.330997313178486</v>
      </c>
      <c r="Z44">
        <f t="shared" si="16"/>
        <v>2.8072404302975995</v>
      </c>
      <c r="AA44">
        <f t="shared" si="17"/>
        <v>4.2969502162051434</v>
      </c>
      <c r="AB44">
        <f t="shared" si="18"/>
        <v>1.451790191043953</v>
      </c>
      <c r="AC44">
        <f t="shared" si="19"/>
        <v>-331.17314218163904</v>
      </c>
      <c r="AD44">
        <f t="shared" si="20"/>
        <v>28.083812048410572</v>
      </c>
      <c r="AE44">
        <f t="shared" si="21"/>
        <v>1.8521614501210812</v>
      </c>
      <c r="AF44">
        <f t="shared" si="22"/>
        <v>43.159429960832163</v>
      </c>
      <c r="AG44">
        <v>42</v>
      </c>
      <c r="AH44">
        <v>8</v>
      </c>
      <c r="AI44">
        <f t="shared" si="23"/>
        <v>1</v>
      </c>
      <c r="AJ44">
        <f t="shared" si="24"/>
        <v>0</v>
      </c>
      <c r="AK44">
        <f t="shared" si="25"/>
        <v>52064.970151633301</v>
      </c>
      <c r="AL44" t="s">
        <v>415</v>
      </c>
      <c r="AM44">
        <v>7163.32</v>
      </c>
      <c r="AN44">
        <v>295.04692307692312</v>
      </c>
      <c r="AO44">
        <v>723.15082041179414</v>
      </c>
      <c r="AP44">
        <f t="shared" si="26"/>
        <v>0.59199808013920208</v>
      </c>
      <c r="AQ44">
        <v>-3.795255127542589</v>
      </c>
      <c r="AR44" t="s">
        <v>536</v>
      </c>
      <c r="AS44">
        <v>7258.88</v>
      </c>
      <c r="AT44">
        <v>708.50019230769237</v>
      </c>
      <c r="AU44">
        <v>751.44247457223969</v>
      </c>
      <c r="AV44">
        <f t="shared" si="27"/>
        <v>5.7146466586137978E-2</v>
      </c>
      <c r="AW44">
        <v>0.5</v>
      </c>
      <c r="AX44">
        <f t="shared" si="28"/>
        <v>1513.3025993219696</v>
      </c>
      <c r="AY44">
        <f t="shared" si="29"/>
        <v>2.0664507577877496</v>
      </c>
      <c r="AZ44">
        <f t="shared" si="30"/>
        <v>43.239948213434346</v>
      </c>
      <c r="BA44">
        <f t="shared" si="31"/>
        <v>3.8734525982818354E-3</v>
      </c>
      <c r="BB44">
        <f t="shared" si="32"/>
        <v>-3.7649793720471593E-2</v>
      </c>
      <c r="BC44">
        <f t="shared" si="33"/>
        <v>299.64990158541059</v>
      </c>
      <c r="BD44" t="s">
        <v>537</v>
      </c>
      <c r="BE44">
        <v>472.47</v>
      </c>
      <c r="BF44">
        <f t="shared" si="34"/>
        <v>472.47</v>
      </c>
      <c r="BG44">
        <f t="shared" si="35"/>
        <v>0.371249275909038</v>
      </c>
      <c r="BH44">
        <f t="shared" si="36"/>
        <v>0.15393017655377125</v>
      </c>
      <c r="BI44">
        <f t="shared" si="37"/>
        <v>-0.11285926906562202</v>
      </c>
      <c r="BJ44">
        <f t="shared" si="38"/>
        <v>9.4090054392188746E-2</v>
      </c>
      <c r="BK44">
        <f t="shared" si="39"/>
        <v>-6.608595328510937E-2</v>
      </c>
      <c r="BL44">
        <f t="shared" si="40"/>
        <v>0.10264978232324283</v>
      </c>
      <c r="BM44">
        <f t="shared" si="41"/>
        <v>0.89735021767675716</v>
      </c>
      <c r="BN44">
        <v>312</v>
      </c>
      <c r="BO44">
        <v>290.00000000000011</v>
      </c>
      <c r="BP44">
        <v>739.07</v>
      </c>
      <c r="BQ44">
        <v>155</v>
      </c>
      <c r="BR44">
        <v>7258.88</v>
      </c>
      <c r="BS44">
        <v>738.21</v>
      </c>
      <c r="BT44">
        <v>0.86</v>
      </c>
      <c r="BU44">
        <v>300.00000000000011</v>
      </c>
      <c r="BV44">
        <v>38</v>
      </c>
      <c r="BW44">
        <v>751.44247457223969</v>
      </c>
      <c r="BX44">
        <v>0.9902186377501615</v>
      </c>
      <c r="BY44">
        <v>-9.6037202745298167</v>
      </c>
      <c r="BZ44">
        <v>0.60208259701545264</v>
      </c>
      <c r="CA44">
        <v>0.90086008942748275</v>
      </c>
      <c r="CB44">
        <v>-7.1526609566184736E-3</v>
      </c>
      <c r="CC44">
        <v>289.99999999999989</v>
      </c>
      <c r="CD44">
        <v>737.78</v>
      </c>
      <c r="CE44">
        <v>735</v>
      </c>
      <c r="CF44">
        <v>7248.6</v>
      </c>
      <c r="CG44">
        <v>738.19</v>
      </c>
      <c r="CH44">
        <v>-0.41</v>
      </c>
      <c r="CV44">
        <f t="shared" si="42"/>
        <v>1800.14</v>
      </c>
      <c r="CW44">
        <f t="shared" si="43"/>
        <v>1513.3025993219696</v>
      </c>
      <c r="CX44">
        <f t="shared" si="44"/>
        <v>0.84065828175695756</v>
      </c>
      <c r="CY44">
        <f t="shared" si="45"/>
        <v>0.19131656351391535</v>
      </c>
      <c r="CZ44">
        <v>4.16</v>
      </c>
      <c r="DA44">
        <v>0.5</v>
      </c>
      <c r="DB44" t="s">
        <v>418</v>
      </c>
      <c r="DC44">
        <v>2</v>
      </c>
      <c r="DD44">
        <v>1700153005.0999999</v>
      </c>
      <c r="DE44">
        <v>8.2368000000000006</v>
      </c>
      <c r="DF44">
        <v>10.0076</v>
      </c>
      <c r="DG44">
        <v>28.209599999999998</v>
      </c>
      <c r="DH44">
        <v>22.137699999999999</v>
      </c>
      <c r="DI44">
        <v>9.0656099999999995</v>
      </c>
      <c r="DJ44">
        <v>30.141400000000001</v>
      </c>
      <c r="DK44">
        <v>499.98599999999999</v>
      </c>
      <c r="DL44">
        <v>99.413499999999999</v>
      </c>
      <c r="DM44">
        <v>0.100156</v>
      </c>
      <c r="DN44">
        <v>30.148599999999998</v>
      </c>
      <c r="DO44">
        <v>29.994199999999999</v>
      </c>
      <c r="DP44">
        <v>999.9</v>
      </c>
      <c r="DQ44">
        <v>0</v>
      </c>
      <c r="DR44">
        <v>0</v>
      </c>
      <c r="DS44">
        <v>10008.799999999999</v>
      </c>
      <c r="DT44">
        <v>0</v>
      </c>
      <c r="DU44">
        <v>122.336</v>
      </c>
      <c r="DV44">
        <v>-1.77085</v>
      </c>
      <c r="DW44">
        <v>8.4758999999999993</v>
      </c>
      <c r="DX44">
        <v>10.2342</v>
      </c>
      <c r="DY44">
        <v>6.0718500000000004</v>
      </c>
      <c r="DZ44">
        <v>10.0076</v>
      </c>
      <c r="EA44">
        <v>22.137699999999999</v>
      </c>
      <c r="EB44">
        <v>2.8044099999999998</v>
      </c>
      <c r="EC44">
        <v>2.20079</v>
      </c>
      <c r="ED44">
        <v>22.9101</v>
      </c>
      <c r="EE44">
        <v>18.968</v>
      </c>
      <c r="EF44">
        <v>1800.14</v>
      </c>
      <c r="EG44">
        <v>0.97799599999999998</v>
      </c>
      <c r="EH44">
        <v>2.20039E-2</v>
      </c>
      <c r="EI44">
        <v>0</v>
      </c>
      <c r="EJ44">
        <v>708.45699999999999</v>
      </c>
      <c r="EK44">
        <v>5.0010300000000001</v>
      </c>
      <c r="EL44">
        <v>12852.1</v>
      </c>
      <c r="EM44">
        <v>14702.2</v>
      </c>
      <c r="EN44">
        <v>46.436999999999998</v>
      </c>
      <c r="EO44">
        <v>48.25</v>
      </c>
      <c r="EP44">
        <v>47.875</v>
      </c>
      <c r="EQ44">
        <v>47.125</v>
      </c>
      <c r="ER44">
        <v>48</v>
      </c>
      <c r="ES44">
        <v>1755.64</v>
      </c>
      <c r="ET44">
        <v>39.5</v>
      </c>
      <c r="EU44">
        <v>0</v>
      </c>
      <c r="EV44">
        <v>250.20000004768369</v>
      </c>
      <c r="EW44">
        <v>0</v>
      </c>
      <c r="EX44">
        <v>708.50019230769237</v>
      </c>
      <c r="EY44">
        <v>-8.2564094676337879E-2</v>
      </c>
      <c r="EZ44">
        <v>-3.0256410363794308</v>
      </c>
      <c r="FA44">
        <v>12852.84230769231</v>
      </c>
      <c r="FB44">
        <v>15</v>
      </c>
      <c r="FC44">
        <v>1700152969.0999999</v>
      </c>
      <c r="FD44" t="s">
        <v>538</v>
      </c>
      <c r="FE44">
        <v>1700152962.0999999</v>
      </c>
      <c r="FF44">
        <v>1700152969.0999999</v>
      </c>
      <c r="FG44">
        <v>30</v>
      </c>
      <c r="FH44">
        <v>8.5000000000000006E-2</v>
      </c>
      <c r="FI44">
        <v>3.0000000000000001E-3</v>
      </c>
      <c r="FJ44">
        <v>-0.82699999999999996</v>
      </c>
      <c r="FK44">
        <v>-1.9319999999999999</v>
      </c>
      <c r="FL44">
        <v>10</v>
      </c>
      <c r="FM44">
        <v>22</v>
      </c>
      <c r="FN44">
        <v>0.22</v>
      </c>
      <c r="FO44">
        <v>0.01</v>
      </c>
      <c r="FP44">
        <v>2.0596085236501942</v>
      </c>
      <c r="FQ44">
        <v>0.105772046674733</v>
      </c>
      <c r="FR44">
        <v>2.0547112865823131E-2</v>
      </c>
      <c r="FS44">
        <v>1</v>
      </c>
      <c r="FT44">
        <v>0.54443988758608286</v>
      </c>
      <c r="FU44">
        <v>3.1815778737090891E-2</v>
      </c>
      <c r="FV44">
        <v>5.1159995774060713E-3</v>
      </c>
      <c r="FW44">
        <v>1</v>
      </c>
      <c r="FX44">
        <v>2</v>
      </c>
      <c r="FY44">
        <v>2</v>
      </c>
      <c r="FZ44" t="s">
        <v>420</v>
      </c>
      <c r="GA44">
        <v>2.8964699999999999</v>
      </c>
      <c r="GB44">
        <v>2.8182399999999999</v>
      </c>
      <c r="GC44">
        <v>2.4792999999999998E-3</v>
      </c>
      <c r="GD44">
        <v>2.7454300000000001E-3</v>
      </c>
      <c r="GE44">
        <v>0.13956399999999999</v>
      </c>
      <c r="GF44">
        <v>0.112039</v>
      </c>
      <c r="GG44">
        <v>27593.7</v>
      </c>
      <c r="GH44">
        <v>27667.1</v>
      </c>
      <c r="GI44">
        <v>24558.6</v>
      </c>
      <c r="GJ44">
        <v>24795.9</v>
      </c>
      <c r="GK44">
        <v>28120.400000000001</v>
      </c>
      <c r="GL44">
        <v>28599.4</v>
      </c>
      <c r="GM44">
        <v>33260.199999999997</v>
      </c>
      <c r="GN44">
        <v>33137.5</v>
      </c>
      <c r="GO44">
        <v>1.8484499999999999</v>
      </c>
      <c r="GP44">
        <v>2.5079799999999999</v>
      </c>
      <c r="GQ44">
        <v>4.4018000000000002E-2</v>
      </c>
      <c r="GR44">
        <v>0</v>
      </c>
      <c r="GS44">
        <v>29.2774</v>
      </c>
      <c r="GT44">
        <v>999.9</v>
      </c>
      <c r="GU44">
        <v>36</v>
      </c>
      <c r="GV44">
        <v>41.2</v>
      </c>
      <c r="GW44">
        <v>28.616499999999998</v>
      </c>
      <c r="GX44">
        <v>62.678699999999999</v>
      </c>
      <c r="GY44">
        <v>-4.4671500000000002</v>
      </c>
      <c r="GZ44">
        <v>3</v>
      </c>
      <c r="HA44">
        <v>0.66657999999999995</v>
      </c>
      <c r="HB44">
        <v>2.6313900000000001</v>
      </c>
      <c r="HC44">
        <v>20.142199999999999</v>
      </c>
      <c r="HD44">
        <v>5.2322600000000001</v>
      </c>
      <c r="HE44">
        <v>11.920199999999999</v>
      </c>
      <c r="HF44">
        <v>4.9593999999999996</v>
      </c>
      <c r="HG44">
        <v>3.2885300000000002</v>
      </c>
      <c r="HH44">
        <v>9999</v>
      </c>
      <c r="HI44">
        <v>9999</v>
      </c>
      <c r="HJ44">
        <v>9999</v>
      </c>
      <c r="HK44">
        <v>999.9</v>
      </c>
      <c r="HL44">
        <v>1.8812500000000001</v>
      </c>
      <c r="HM44">
        <v>1.8784000000000001</v>
      </c>
      <c r="HN44">
        <v>1.88629</v>
      </c>
      <c r="HO44">
        <v>1.88405</v>
      </c>
      <c r="HP44">
        <v>1.8816900000000001</v>
      </c>
      <c r="HQ44">
        <v>1.8806400000000001</v>
      </c>
      <c r="HR44">
        <v>1.8817900000000001</v>
      </c>
      <c r="HS44">
        <v>1.88131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-0.82899999999999996</v>
      </c>
      <c r="IH44">
        <v>-1.9318</v>
      </c>
      <c r="II44">
        <v>-0.8369167126738527</v>
      </c>
      <c r="IJ44">
        <v>8.9935118796959448E-4</v>
      </c>
      <c r="IK44">
        <v>-5.3495398746875769E-7</v>
      </c>
      <c r="IL44">
        <v>3.209454383910538E-10</v>
      </c>
      <c r="IM44">
        <v>-1.931874999999998</v>
      </c>
      <c r="IN44">
        <v>0</v>
      </c>
      <c r="IO44">
        <v>0</v>
      </c>
      <c r="IP44">
        <v>0</v>
      </c>
      <c r="IQ44">
        <v>1</v>
      </c>
      <c r="IR44">
        <v>2101</v>
      </c>
      <c r="IS44">
        <v>1</v>
      </c>
      <c r="IT44">
        <v>21</v>
      </c>
      <c r="IU44">
        <v>0.7</v>
      </c>
      <c r="IV44">
        <v>0.6</v>
      </c>
      <c r="IW44">
        <v>0.19531200000000001</v>
      </c>
      <c r="IX44">
        <v>2.5598100000000001</v>
      </c>
      <c r="IY44">
        <v>2.34375</v>
      </c>
      <c r="IZ44">
        <v>2.9150399999999999</v>
      </c>
      <c r="JA44">
        <v>3.0480999999999998</v>
      </c>
      <c r="JB44">
        <v>2.3999000000000001</v>
      </c>
      <c r="JC44">
        <v>46.094700000000003</v>
      </c>
      <c r="JD44">
        <v>23.912400000000002</v>
      </c>
      <c r="JE44">
        <v>18</v>
      </c>
      <c r="JF44">
        <v>441.73899999999998</v>
      </c>
      <c r="JG44">
        <v>1189.1600000000001</v>
      </c>
      <c r="JH44">
        <v>26.4603</v>
      </c>
      <c r="JI44">
        <v>35.311999999999998</v>
      </c>
      <c r="JJ44">
        <v>30.000599999999999</v>
      </c>
      <c r="JK44">
        <v>35.292400000000001</v>
      </c>
      <c r="JL44">
        <v>35.261600000000001</v>
      </c>
      <c r="JM44">
        <v>3.9874399999999999</v>
      </c>
      <c r="JN44">
        <v>10.882999999999999</v>
      </c>
      <c r="JO44">
        <v>43.008200000000002</v>
      </c>
      <c r="JP44">
        <v>26.4727</v>
      </c>
      <c r="JQ44">
        <v>10</v>
      </c>
      <c r="JR44">
        <v>22.035900000000002</v>
      </c>
      <c r="JS44">
        <v>99.206900000000005</v>
      </c>
      <c r="JT44">
        <v>98.875699999999995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2023-11-16T16:56:58Z</dcterms:created>
  <dcterms:modified xsi:type="dcterms:W3CDTF">2023-11-16T23:56:35Z</dcterms:modified>
</cp:coreProperties>
</file>