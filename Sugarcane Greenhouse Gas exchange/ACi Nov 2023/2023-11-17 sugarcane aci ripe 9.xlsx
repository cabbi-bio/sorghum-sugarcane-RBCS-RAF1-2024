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44" i="1" l="1"/>
  <c r="U44" i="1" s="1"/>
  <c r="CX44" i="1"/>
  <c r="CV44" i="1"/>
  <c r="BK44" i="1"/>
  <c r="BJ44" i="1"/>
  <c r="BI44" i="1"/>
  <c r="BH44" i="1"/>
  <c r="BL44" i="1" s="1"/>
  <c r="BM44" i="1" s="1"/>
  <c r="BF44" i="1"/>
  <c r="BG44" i="1" s="1"/>
  <c r="BB44" i="1"/>
  <c r="AV44" i="1"/>
  <c r="AP44" i="1"/>
  <c r="BC44" i="1" s="1"/>
  <c r="AK44" i="1"/>
  <c r="AI44" i="1" s="1"/>
  <c r="AA44" i="1"/>
  <c r="Z44" i="1"/>
  <c r="Y44" i="1" s="1"/>
  <c r="R44" i="1"/>
  <c r="CY43" i="1"/>
  <c r="CX43" i="1"/>
  <c r="CV43" i="1"/>
  <c r="BK43" i="1"/>
  <c r="BJ43" i="1"/>
  <c r="BB43" i="1"/>
  <c r="AV43" i="1"/>
  <c r="AP43" i="1"/>
  <c r="BC43" i="1" s="1"/>
  <c r="BF43" i="1" s="1"/>
  <c r="AK43" i="1"/>
  <c r="AI43" i="1"/>
  <c r="K43" i="1" s="1"/>
  <c r="J43" i="1" s="1"/>
  <c r="AA43" i="1"/>
  <c r="Z43" i="1"/>
  <c r="Y43" i="1"/>
  <c r="U43" i="1"/>
  <c r="R43" i="1"/>
  <c r="P43" i="1"/>
  <c r="L43" i="1"/>
  <c r="AY43" i="1" s="1"/>
  <c r="CY42" i="1"/>
  <c r="CX42" i="1"/>
  <c r="CV42" i="1"/>
  <c r="BK42" i="1"/>
  <c r="BJ42" i="1"/>
  <c r="BF42" i="1"/>
  <c r="BB42" i="1"/>
  <c r="AV42" i="1"/>
  <c r="AP42" i="1"/>
  <c r="BC42" i="1" s="1"/>
  <c r="AK42" i="1"/>
  <c r="AI42" i="1" s="1"/>
  <c r="AA42" i="1"/>
  <c r="Z42" i="1"/>
  <c r="R42" i="1"/>
  <c r="CY41" i="1"/>
  <c r="CX41" i="1"/>
  <c r="CV41" i="1"/>
  <c r="CW41" i="1" s="1"/>
  <c r="AX41" i="1" s="1"/>
  <c r="AZ41" i="1" s="1"/>
  <c r="BK41" i="1"/>
  <c r="BJ41" i="1"/>
  <c r="BB41" i="1"/>
  <c r="AV41" i="1"/>
  <c r="AP41" i="1"/>
  <c r="BC41" i="1" s="1"/>
  <c r="BF41" i="1" s="1"/>
  <c r="AK41" i="1"/>
  <c r="AI41" i="1" s="1"/>
  <c r="AA41" i="1"/>
  <c r="Z41" i="1"/>
  <c r="Y41" i="1" s="1"/>
  <c r="R41" i="1"/>
  <c r="CY40" i="1"/>
  <c r="CX40" i="1"/>
  <c r="CV40" i="1"/>
  <c r="CW40" i="1" s="1"/>
  <c r="AX40" i="1" s="1"/>
  <c r="BK40" i="1"/>
  <c r="BJ40" i="1"/>
  <c r="BF40" i="1"/>
  <c r="BI40" i="1" s="1"/>
  <c r="BB40" i="1"/>
  <c r="AV40" i="1"/>
  <c r="AZ40" i="1" s="1"/>
  <c r="AP40" i="1"/>
  <c r="BC40" i="1" s="1"/>
  <c r="AK40" i="1"/>
  <c r="AI40" i="1" s="1"/>
  <c r="AJ40" i="1" s="1"/>
  <c r="AA40" i="1"/>
  <c r="Z40" i="1"/>
  <c r="Y40" i="1" s="1"/>
  <c r="R40" i="1"/>
  <c r="CY39" i="1"/>
  <c r="CX39" i="1"/>
  <c r="CV39" i="1"/>
  <c r="CW39" i="1" s="1"/>
  <c r="AX39" i="1" s="1"/>
  <c r="BK39" i="1"/>
  <c r="BJ39" i="1"/>
  <c r="BH39" i="1"/>
  <c r="BL39" i="1" s="1"/>
  <c r="BM39" i="1" s="1"/>
  <c r="BF39" i="1"/>
  <c r="BG39" i="1" s="1"/>
  <c r="BB39" i="1"/>
  <c r="AV39" i="1"/>
  <c r="AP39" i="1"/>
  <c r="BC39" i="1" s="1"/>
  <c r="AK39" i="1"/>
  <c r="AI39" i="1" s="1"/>
  <c r="AA39" i="1"/>
  <c r="Z39" i="1"/>
  <c r="R39" i="1"/>
  <c r="CY38" i="1"/>
  <c r="CX38" i="1"/>
  <c r="CV38" i="1"/>
  <c r="BK38" i="1"/>
  <c r="BJ38" i="1"/>
  <c r="BF38" i="1"/>
  <c r="BB38" i="1"/>
  <c r="AV38" i="1"/>
  <c r="AP38" i="1"/>
  <c r="BC38" i="1" s="1"/>
  <c r="AK38" i="1"/>
  <c r="AI38" i="1" s="1"/>
  <c r="AJ38" i="1" s="1"/>
  <c r="AA38" i="1"/>
  <c r="Z38" i="1"/>
  <c r="Y38" i="1" s="1"/>
  <c r="R38" i="1"/>
  <c r="CY37" i="1"/>
  <c r="CX37" i="1"/>
  <c r="CV37" i="1"/>
  <c r="BK37" i="1"/>
  <c r="BJ37" i="1"/>
  <c r="BB37" i="1"/>
  <c r="AV37" i="1"/>
  <c r="AP37" i="1"/>
  <c r="BC37" i="1" s="1"/>
  <c r="BF37" i="1" s="1"/>
  <c r="AK37" i="1"/>
  <c r="AI37" i="1" s="1"/>
  <c r="AA37" i="1"/>
  <c r="Z37" i="1"/>
  <c r="R37" i="1"/>
  <c r="CY36" i="1"/>
  <c r="CX36" i="1"/>
  <c r="CV36" i="1"/>
  <c r="BK36" i="1"/>
  <c r="BJ36" i="1"/>
  <c r="BF36" i="1"/>
  <c r="BB36" i="1"/>
  <c r="AV36" i="1"/>
  <c r="AP36" i="1"/>
  <c r="BC36" i="1" s="1"/>
  <c r="AK36" i="1"/>
  <c r="AI36" i="1" s="1"/>
  <c r="AJ36" i="1" s="1"/>
  <c r="AA36" i="1"/>
  <c r="Z36" i="1"/>
  <c r="R36" i="1"/>
  <c r="L36" i="1"/>
  <c r="AY36" i="1" s="1"/>
  <c r="CY35" i="1"/>
  <c r="CX35" i="1"/>
  <c r="CV35" i="1"/>
  <c r="BK35" i="1"/>
  <c r="BJ35" i="1"/>
  <c r="BF35" i="1"/>
  <c r="BH35" i="1" s="1"/>
  <c r="BL35" i="1" s="1"/>
  <c r="BM35" i="1" s="1"/>
  <c r="BB35" i="1"/>
  <c r="AV35" i="1"/>
  <c r="AP35" i="1"/>
  <c r="BC35" i="1" s="1"/>
  <c r="AK35" i="1"/>
  <c r="AI35" i="1" s="1"/>
  <c r="AA35" i="1"/>
  <c r="Z35" i="1"/>
  <c r="Y35" i="1" s="1"/>
  <c r="R35" i="1"/>
  <c r="CY34" i="1"/>
  <c r="CX34" i="1"/>
  <c r="CV34" i="1"/>
  <c r="BK34" i="1"/>
  <c r="BJ34" i="1"/>
  <c r="BF34" i="1"/>
  <c r="BB34" i="1"/>
  <c r="AV34" i="1"/>
  <c r="AP34" i="1"/>
  <c r="BC34" i="1" s="1"/>
  <c r="AK34" i="1"/>
  <c r="AI34" i="1" s="1"/>
  <c r="M34" i="1" s="1"/>
  <c r="AA34" i="1"/>
  <c r="Z34" i="1"/>
  <c r="R34" i="1"/>
  <c r="P34" i="1"/>
  <c r="K34" i="1"/>
  <c r="J34" i="1" s="1"/>
  <c r="CY33" i="1"/>
  <c r="CX33" i="1"/>
  <c r="CV33" i="1"/>
  <c r="BK33" i="1"/>
  <c r="BJ33" i="1"/>
  <c r="BH33" i="1"/>
  <c r="BL33" i="1" s="1"/>
  <c r="BM33" i="1" s="1"/>
  <c r="BF33" i="1"/>
  <c r="BB33" i="1"/>
  <c r="AV33" i="1"/>
  <c r="AP33" i="1"/>
  <c r="BC33" i="1" s="1"/>
  <c r="AK33" i="1"/>
  <c r="AI33" i="1" s="1"/>
  <c r="AA33" i="1"/>
  <c r="Y33" i="1" s="1"/>
  <c r="Z33" i="1"/>
  <c r="R33" i="1"/>
  <c r="CY32" i="1"/>
  <c r="CX32" i="1"/>
  <c r="CV32" i="1"/>
  <c r="BK32" i="1"/>
  <c r="BJ32" i="1"/>
  <c r="BF32" i="1"/>
  <c r="BG32" i="1" s="1"/>
  <c r="BB32" i="1"/>
  <c r="AV32" i="1"/>
  <c r="AP32" i="1"/>
  <c r="BC32" i="1" s="1"/>
  <c r="AK32" i="1"/>
  <c r="AI32" i="1" s="1"/>
  <c r="AJ32" i="1" s="1"/>
  <c r="AA32" i="1"/>
  <c r="Z32" i="1"/>
  <c r="Y32" i="1" s="1"/>
  <c r="R32" i="1"/>
  <c r="CY31" i="1"/>
  <c r="CX31" i="1"/>
  <c r="CW31" i="1"/>
  <c r="AX31" i="1" s="1"/>
  <c r="CV31" i="1"/>
  <c r="BK31" i="1"/>
  <c r="BJ31" i="1"/>
  <c r="BF31" i="1"/>
  <c r="BI31" i="1" s="1"/>
  <c r="BB31" i="1"/>
  <c r="AV31" i="1"/>
  <c r="AP31" i="1"/>
  <c r="BC31" i="1" s="1"/>
  <c r="AK31" i="1"/>
  <c r="AI31" i="1" s="1"/>
  <c r="M31" i="1" s="1"/>
  <c r="AA31" i="1"/>
  <c r="Z31" i="1"/>
  <c r="Y31" i="1" s="1"/>
  <c r="U31" i="1"/>
  <c r="R31" i="1"/>
  <c r="CY30" i="1"/>
  <c r="CX30" i="1"/>
  <c r="CV30" i="1"/>
  <c r="BK30" i="1"/>
  <c r="BJ30" i="1"/>
  <c r="BB30" i="1"/>
  <c r="AV30" i="1"/>
  <c r="AP30" i="1"/>
  <c r="BC30" i="1" s="1"/>
  <c r="BF30" i="1" s="1"/>
  <c r="AK30" i="1"/>
  <c r="AI30" i="1" s="1"/>
  <c r="AJ30" i="1" s="1"/>
  <c r="AA30" i="1"/>
  <c r="Z30" i="1"/>
  <c r="U30" i="1"/>
  <c r="R30" i="1"/>
  <c r="K30" i="1"/>
  <c r="J30" i="1" s="1"/>
  <c r="CY29" i="1"/>
  <c r="CX29" i="1"/>
  <c r="CV29" i="1"/>
  <c r="CW29" i="1" s="1"/>
  <c r="AX29" i="1" s="1"/>
  <c r="BK29" i="1"/>
  <c r="BJ29" i="1"/>
  <c r="BG29" i="1"/>
  <c r="BF29" i="1"/>
  <c r="BI29" i="1" s="1"/>
  <c r="BB29" i="1"/>
  <c r="AV29" i="1"/>
  <c r="AP29" i="1"/>
  <c r="BC29" i="1" s="1"/>
  <c r="AK29" i="1"/>
  <c r="AI29" i="1" s="1"/>
  <c r="AA29" i="1"/>
  <c r="Z29" i="1"/>
  <c r="R29" i="1"/>
  <c r="CY28" i="1"/>
  <c r="CX28" i="1"/>
  <c r="CV28" i="1"/>
  <c r="BK28" i="1"/>
  <c r="BJ28" i="1"/>
  <c r="BB28" i="1"/>
  <c r="AV28" i="1"/>
  <c r="AP28" i="1"/>
  <c r="BC28" i="1" s="1"/>
  <c r="BF28" i="1" s="1"/>
  <c r="AK28" i="1"/>
  <c r="AI28" i="1" s="1"/>
  <c r="AA28" i="1"/>
  <c r="Z28" i="1"/>
  <c r="R28" i="1"/>
  <c r="L28" i="1"/>
  <c r="AY28" i="1" s="1"/>
  <c r="K28" i="1"/>
  <c r="J28" i="1" s="1"/>
  <c r="AC28" i="1" s="1"/>
  <c r="CY27" i="1"/>
  <c r="CX27" i="1"/>
  <c r="CV27" i="1"/>
  <c r="BK27" i="1"/>
  <c r="BJ27" i="1"/>
  <c r="BI27" i="1"/>
  <c r="BH27" i="1"/>
  <c r="BL27" i="1" s="1"/>
  <c r="BM27" i="1" s="1"/>
  <c r="BF27" i="1"/>
  <c r="BG27" i="1" s="1"/>
  <c r="BB27" i="1"/>
  <c r="AV27" i="1"/>
  <c r="AP27" i="1"/>
  <c r="BC27" i="1" s="1"/>
  <c r="AK27" i="1"/>
  <c r="AI27" i="1"/>
  <c r="AJ27" i="1" s="1"/>
  <c r="AA27" i="1"/>
  <c r="Z27" i="1"/>
  <c r="Y27" i="1" s="1"/>
  <c r="R27" i="1"/>
  <c r="CY26" i="1"/>
  <c r="CX26" i="1"/>
  <c r="CV26" i="1"/>
  <c r="CW26" i="1" s="1"/>
  <c r="AX26" i="1" s="1"/>
  <c r="BK26" i="1"/>
  <c r="BJ26" i="1"/>
  <c r="BB26" i="1"/>
  <c r="AV26" i="1"/>
  <c r="AP26" i="1"/>
  <c r="BC26" i="1" s="1"/>
  <c r="BF26" i="1" s="1"/>
  <c r="AK26" i="1"/>
  <c r="AI26" i="1"/>
  <c r="L26" i="1" s="1"/>
  <c r="AY26" i="1" s="1"/>
  <c r="AA26" i="1"/>
  <c r="Z26" i="1"/>
  <c r="Y26" i="1" s="1"/>
  <c r="R26" i="1"/>
  <c r="CY25" i="1"/>
  <c r="CX25" i="1"/>
  <c r="CV25" i="1"/>
  <c r="CW25" i="1" s="1"/>
  <c r="AX25" i="1" s="1"/>
  <c r="BK25" i="1"/>
  <c r="BJ25" i="1"/>
  <c r="BI25" i="1"/>
  <c r="BH25" i="1"/>
  <c r="BL25" i="1" s="1"/>
  <c r="BM25" i="1" s="1"/>
  <c r="BG25" i="1"/>
  <c r="BF25" i="1"/>
  <c r="BB25" i="1"/>
  <c r="AV25" i="1"/>
  <c r="AP25" i="1"/>
  <c r="BC25" i="1" s="1"/>
  <c r="AK25" i="1"/>
  <c r="AI25" i="1" s="1"/>
  <c r="AA25" i="1"/>
  <c r="Z25" i="1"/>
  <c r="R25" i="1"/>
  <c r="M25" i="1"/>
  <c r="K25" i="1"/>
  <c r="J25" i="1" s="1"/>
  <c r="CY24" i="1"/>
  <c r="CX24" i="1"/>
  <c r="CV24" i="1"/>
  <c r="BK24" i="1"/>
  <c r="BJ24" i="1"/>
  <c r="BB24" i="1"/>
  <c r="AV24" i="1"/>
  <c r="AP24" i="1"/>
  <c r="BC24" i="1" s="1"/>
  <c r="BF24" i="1" s="1"/>
  <c r="AK24" i="1"/>
  <c r="AI24" i="1"/>
  <c r="L24" i="1" s="1"/>
  <c r="AY24" i="1" s="1"/>
  <c r="AA24" i="1"/>
  <c r="Y24" i="1" s="1"/>
  <c r="Z24" i="1"/>
  <c r="R24" i="1"/>
  <c r="CY23" i="1"/>
  <c r="CX23" i="1"/>
  <c r="CV23" i="1"/>
  <c r="CW23" i="1" s="1"/>
  <c r="AX23" i="1" s="1"/>
  <c r="AZ23" i="1" s="1"/>
  <c r="BK23" i="1"/>
  <c r="BJ23" i="1"/>
  <c r="BI23" i="1"/>
  <c r="BF23" i="1"/>
  <c r="BH23" i="1" s="1"/>
  <c r="BL23" i="1" s="1"/>
  <c r="BM23" i="1" s="1"/>
  <c r="BB23" i="1"/>
  <c r="AV23" i="1"/>
  <c r="AP23" i="1"/>
  <c r="BC23" i="1" s="1"/>
  <c r="AK23" i="1"/>
  <c r="AI23" i="1" s="1"/>
  <c r="AJ23" i="1" s="1"/>
  <c r="AA23" i="1"/>
  <c r="Z23" i="1"/>
  <c r="Y23" i="1" s="1"/>
  <c r="R23" i="1"/>
  <c r="CY22" i="1"/>
  <c r="U22" i="1" s="1"/>
  <c r="CX22" i="1"/>
  <c r="CW22" i="1"/>
  <c r="AX22" i="1" s="1"/>
  <c r="CV22" i="1"/>
  <c r="BK22" i="1"/>
  <c r="BJ22" i="1"/>
  <c r="BH22" i="1"/>
  <c r="BL22" i="1" s="1"/>
  <c r="BM22" i="1" s="1"/>
  <c r="BF22" i="1"/>
  <c r="BI22" i="1" s="1"/>
  <c r="BB22" i="1"/>
  <c r="AV22" i="1"/>
  <c r="AP22" i="1"/>
  <c r="BC22" i="1" s="1"/>
  <c r="AK22" i="1"/>
  <c r="AI22" i="1"/>
  <c r="L22" i="1" s="1"/>
  <c r="AY22" i="1" s="1"/>
  <c r="AA22" i="1"/>
  <c r="Y22" i="1" s="1"/>
  <c r="Z22" i="1"/>
  <c r="R22" i="1"/>
  <c r="M22" i="1"/>
  <c r="CY21" i="1"/>
  <c r="CX21" i="1"/>
  <c r="CW21" i="1"/>
  <c r="AX21" i="1" s="1"/>
  <c r="CV21" i="1"/>
  <c r="BK21" i="1"/>
  <c r="BJ21" i="1"/>
  <c r="BH21" i="1"/>
  <c r="BL21" i="1" s="1"/>
  <c r="BM21" i="1" s="1"/>
  <c r="BF21" i="1"/>
  <c r="BG21" i="1" s="1"/>
  <c r="BB21" i="1"/>
  <c r="AV21" i="1"/>
  <c r="AP21" i="1"/>
  <c r="BC21" i="1" s="1"/>
  <c r="AK21" i="1"/>
  <c r="AI21" i="1" s="1"/>
  <c r="AA21" i="1"/>
  <c r="Z21" i="1"/>
  <c r="U21" i="1"/>
  <c r="R21" i="1"/>
  <c r="M21" i="1"/>
  <c r="K21" i="1"/>
  <c r="J21" i="1" s="1"/>
  <c r="AC21" i="1" s="1"/>
  <c r="CY20" i="1"/>
  <c r="CX20" i="1"/>
  <c r="CV20" i="1"/>
  <c r="BK20" i="1"/>
  <c r="BJ20" i="1"/>
  <c r="BF20" i="1"/>
  <c r="BB20" i="1"/>
  <c r="AV20" i="1"/>
  <c r="AP20" i="1"/>
  <c r="BC20" i="1" s="1"/>
  <c r="AK20" i="1"/>
  <c r="AI20" i="1" s="1"/>
  <c r="AA20" i="1"/>
  <c r="Z20" i="1"/>
  <c r="R20" i="1"/>
  <c r="CY19" i="1"/>
  <c r="CX19" i="1"/>
  <c r="CV19" i="1"/>
  <c r="CW19" i="1" s="1"/>
  <c r="AX19" i="1" s="1"/>
  <c r="AZ19" i="1" s="1"/>
  <c r="BK19" i="1"/>
  <c r="BJ19" i="1"/>
  <c r="BF19" i="1"/>
  <c r="BH19" i="1" s="1"/>
  <c r="BL19" i="1" s="1"/>
  <c r="BM19" i="1" s="1"/>
  <c r="BC19" i="1"/>
  <c r="BB19" i="1"/>
  <c r="AV19" i="1"/>
  <c r="AP19" i="1"/>
  <c r="AK19" i="1"/>
  <c r="AI19" i="1" s="1"/>
  <c r="AA19" i="1"/>
  <c r="Z19" i="1"/>
  <c r="R19" i="1"/>
  <c r="CY18" i="1"/>
  <c r="CX18" i="1"/>
  <c r="CV18" i="1"/>
  <c r="CW18" i="1" s="1"/>
  <c r="AX18" i="1" s="1"/>
  <c r="AZ18" i="1" s="1"/>
  <c r="BK18" i="1"/>
  <c r="BJ18" i="1"/>
  <c r="BI18" i="1"/>
  <c r="BG18" i="1"/>
  <c r="BF18" i="1"/>
  <c r="BH18" i="1" s="1"/>
  <c r="BL18" i="1" s="1"/>
  <c r="BM18" i="1" s="1"/>
  <c r="BB18" i="1"/>
  <c r="AV18" i="1"/>
  <c r="AP18" i="1"/>
  <c r="BC18" i="1" s="1"/>
  <c r="AK18" i="1"/>
  <c r="AI18" i="1" s="1"/>
  <c r="AA18" i="1"/>
  <c r="Y18" i="1" s="1"/>
  <c r="Z18" i="1"/>
  <c r="R18" i="1"/>
  <c r="CY17" i="1"/>
  <c r="U17" i="1" s="1"/>
  <c r="CX17" i="1"/>
  <c r="CW17" i="1" s="1"/>
  <c r="AX17" i="1" s="1"/>
  <c r="CV17" i="1"/>
  <c r="BK17" i="1"/>
  <c r="BJ17" i="1"/>
  <c r="BH17" i="1"/>
  <c r="BL17" i="1" s="1"/>
  <c r="BM17" i="1" s="1"/>
  <c r="BF17" i="1"/>
  <c r="BI17" i="1" s="1"/>
  <c r="BC17" i="1"/>
  <c r="BB17" i="1"/>
  <c r="AV17" i="1"/>
  <c r="AP17" i="1"/>
  <c r="AK17" i="1"/>
  <c r="AI17" i="1" s="1"/>
  <c r="M17" i="1" s="1"/>
  <c r="AA17" i="1"/>
  <c r="Z17" i="1"/>
  <c r="Y17" i="1" s="1"/>
  <c r="R17" i="1"/>
  <c r="AJ19" i="1" l="1"/>
  <c r="K19" i="1"/>
  <c r="J19" i="1" s="1"/>
  <c r="P18" i="1"/>
  <c r="M18" i="1"/>
  <c r="M41" i="1"/>
  <c r="P41" i="1"/>
  <c r="L41" i="1"/>
  <c r="AY41" i="1" s="1"/>
  <c r="BA41" i="1" s="1"/>
  <c r="AJ41" i="1"/>
  <c r="K35" i="1"/>
  <c r="J35" i="1" s="1"/>
  <c r="AC35" i="1" s="1"/>
  <c r="P35" i="1"/>
  <c r="M35" i="1"/>
  <c r="AJ35" i="1"/>
  <c r="L35" i="1"/>
  <c r="AY35" i="1" s="1"/>
  <c r="BA35" i="1" s="1"/>
  <c r="AZ26" i="1"/>
  <c r="AJ29" i="1"/>
  <c r="P29" i="1"/>
  <c r="M29" i="1"/>
  <c r="K29" i="1"/>
  <c r="J29" i="1" s="1"/>
  <c r="L29" i="1"/>
  <c r="AY29" i="1" s="1"/>
  <c r="BA29" i="1"/>
  <c r="AJ33" i="1"/>
  <c r="L33" i="1"/>
  <c r="AY33" i="1" s="1"/>
  <c r="M37" i="1"/>
  <c r="AJ37" i="1"/>
  <c r="L37" i="1"/>
  <c r="AY37" i="1" s="1"/>
  <c r="P37" i="1"/>
  <c r="K39" i="1"/>
  <c r="J39" i="1" s="1"/>
  <c r="AJ39" i="1"/>
  <c r="P39" i="1"/>
  <c r="M39" i="1"/>
  <c r="L39" i="1"/>
  <c r="AY39" i="1" s="1"/>
  <c r="BA26" i="1"/>
  <c r="U26" i="1"/>
  <c r="U18" i="1"/>
  <c r="L32" i="1"/>
  <c r="AY32" i="1" s="1"/>
  <c r="AZ39" i="1"/>
  <c r="K17" i="1"/>
  <c r="J17" i="1" s="1"/>
  <c r="AC17" i="1" s="1"/>
  <c r="BI21" i="1"/>
  <c r="P22" i="1"/>
  <c r="AZ22" i="1"/>
  <c r="U25" i="1"/>
  <c r="BH29" i="1"/>
  <c r="BL29" i="1" s="1"/>
  <c r="BM29" i="1" s="1"/>
  <c r="P30" i="1"/>
  <c r="P38" i="1"/>
  <c r="M43" i="1"/>
  <c r="BI32" i="1"/>
  <c r="P40" i="1"/>
  <c r="BG17" i="1"/>
  <c r="Y19" i="1"/>
  <c r="BG22" i="1"/>
  <c r="M26" i="1"/>
  <c r="Y30" i="1"/>
  <c r="Y36" i="1"/>
  <c r="Y37" i="1"/>
  <c r="Y39" i="1"/>
  <c r="Y42" i="1"/>
  <c r="Y28" i="1"/>
  <c r="U29" i="1"/>
  <c r="CW44" i="1"/>
  <c r="AX44" i="1" s="1"/>
  <c r="AZ44" i="1" s="1"/>
  <c r="P26" i="1"/>
  <c r="BI19" i="1"/>
  <c r="BA22" i="1"/>
  <c r="K24" i="1"/>
  <c r="J24" i="1" s="1"/>
  <c r="AC24" i="1" s="1"/>
  <c r="Y20" i="1"/>
  <c r="CW27" i="1"/>
  <c r="AX27" i="1" s="1"/>
  <c r="AZ27" i="1" s="1"/>
  <c r="Y29" i="1"/>
  <c r="AZ31" i="1"/>
  <c r="Y34" i="1"/>
  <c r="CW35" i="1"/>
  <c r="AX35" i="1" s="1"/>
  <c r="AZ35" i="1" s="1"/>
  <c r="BI28" i="1"/>
  <c r="BG28" i="1"/>
  <c r="BH28" i="1"/>
  <c r="BL28" i="1" s="1"/>
  <c r="BM28" i="1" s="1"/>
  <c r="AJ20" i="1"/>
  <c r="P20" i="1"/>
  <c r="M20" i="1"/>
  <c r="L20" i="1"/>
  <c r="AY20" i="1" s="1"/>
  <c r="K20" i="1"/>
  <c r="J20" i="1" s="1"/>
  <c r="BI24" i="1"/>
  <c r="BG24" i="1"/>
  <c r="BH24" i="1"/>
  <c r="BL24" i="1" s="1"/>
  <c r="BM24" i="1" s="1"/>
  <c r="AC30" i="1"/>
  <c r="AZ17" i="1"/>
  <c r="AC25" i="1"/>
  <c r="BH26" i="1"/>
  <c r="BL26" i="1" s="1"/>
  <c r="BM26" i="1" s="1"/>
  <c r="BG26" i="1"/>
  <c r="AZ29" i="1"/>
  <c r="V21" i="1"/>
  <c r="W21" i="1" s="1"/>
  <c r="AJ24" i="1"/>
  <c r="P24" i="1"/>
  <c r="M24" i="1"/>
  <c r="AC29" i="1"/>
  <c r="AC19" i="1"/>
  <c r="CW20" i="1"/>
  <c r="AX20" i="1" s="1"/>
  <c r="AZ20" i="1" s="1"/>
  <c r="U20" i="1"/>
  <c r="AZ21" i="1"/>
  <c r="P19" i="1"/>
  <c r="M19" i="1"/>
  <c r="L19" i="1"/>
  <c r="AY19" i="1" s="1"/>
  <c r="BA19" i="1" s="1"/>
  <c r="Y21" i="1"/>
  <c r="L25" i="1"/>
  <c r="AY25" i="1" s="1"/>
  <c r="BA25" i="1" s="1"/>
  <c r="AJ25" i="1"/>
  <c r="P25" i="1"/>
  <c r="P27" i="1"/>
  <c r="K27" i="1"/>
  <c r="J27" i="1" s="1"/>
  <c r="M27" i="1"/>
  <c r="L27" i="1"/>
  <c r="AY27" i="1" s="1"/>
  <c r="BA27" i="1" s="1"/>
  <c r="BG30" i="1"/>
  <c r="BH30" i="1"/>
  <c r="BL30" i="1" s="1"/>
  <c r="BM30" i="1" s="1"/>
  <c r="AJ28" i="1"/>
  <c r="P28" i="1"/>
  <c r="M28" i="1"/>
  <c r="BI30" i="1"/>
  <c r="CW28" i="1"/>
  <c r="AX28" i="1" s="1"/>
  <c r="BA28" i="1" s="1"/>
  <c r="U28" i="1"/>
  <c r="V25" i="1"/>
  <c r="W25" i="1" s="1"/>
  <c r="S25" i="1" s="1"/>
  <c r="Q25" i="1" s="1"/>
  <c r="T25" i="1" s="1"/>
  <c r="N25" i="1" s="1"/>
  <c r="O25" i="1" s="1"/>
  <c r="BI26" i="1"/>
  <c r="AZ28" i="1"/>
  <c r="BG20" i="1"/>
  <c r="BI20" i="1"/>
  <c r="BH20" i="1"/>
  <c r="BL20" i="1" s="1"/>
  <c r="BM20" i="1" s="1"/>
  <c r="CW24" i="1"/>
  <c r="AX24" i="1" s="1"/>
  <c r="AZ24" i="1" s="1"/>
  <c r="U24" i="1"/>
  <c r="AZ25" i="1"/>
  <c r="L17" i="1"/>
  <c r="AY17" i="1" s="1"/>
  <c r="BA17" i="1" s="1"/>
  <c r="AJ17" i="1"/>
  <c r="P17" i="1"/>
  <c r="L18" i="1"/>
  <c r="AY18" i="1" s="1"/>
  <c r="BA18" i="1" s="1"/>
  <c r="K18" i="1"/>
  <c r="J18" i="1" s="1"/>
  <c r="V18" i="1" s="1"/>
  <c r="W18" i="1" s="1"/>
  <c r="AJ18" i="1"/>
  <c r="L21" i="1"/>
  <c r="AY21" i="1" s="1"/>
  <c r="BA21" i="1" s="1"/>
  <c r="AJ21" i="1"/>
  <c r="P21" i="1"/>
  <c r="P23" i="1"/>
  <c r="K23" i="1"/>
  <c r="J23" i="1" s="1"/>
  <c r="M23" i="1"/>
  <c r="L23" i="1"/>
  <c r="AY23" i="1" s="1"/>
  <c r="BA23" i="1" s="1"/>
  <c r="Y25" i="1"/>
  <c r="V29" i="1"/>
  <c r="W29" i="1" s="1"/>
  <c r="S29" i="1" s="1"/>
  <c r="Q29" i="1" s="1"/>
  <c r="T29" i="1" s="1"/>
  <c r="N29" i="1" s="1"/>
  <c r="O29" i="1" s="1"/>
  <c r="AJ22" i="1"/>
  <c r="AJ26" i="1"/>
  <c r="M30" i="1"/>
  <c r="V30" i="1"/>
  <c r="W30" i="1" s="1"/>
  <c r="BI36" i="1"/>
  <c r="BG36" i="1"/>
  <c r="BH36" i="1"/>
  <c r="BL36" i="1" s="1"/>
  <c r="BM36" i="1" s="1"/>
  <c r="L30" i="1"/>
  <c r="AY30" i="1" s="1"/>
  <c r="U19" i="1"/>
  <c r="BG19" i="1"/>
  <c r="K22" i="1"/>
  <c r="J22" i="1" s="1"/>
  <c r="U23" i="1"/>
  <c r="BG23" i="1"/>
  <c r="K26" i="1"/>
  <c r="J26" i="1" s="1"/>
  <c r="U27" i="1"/>
  <c r="CW30" i="1"/>
  <c r="AX30" i="1" s="1"/>
  <c r="AZ30" i="1" s="1"/>
  <c r="AC34" i="1"/>
  <c r="K31" i="1"/>
  <c r="J31" i="1" s="1"/>
  <c r="L31" i="1"/>
  <c r="AY31" i="1" s="1"/>
  <c r="BA31" i="1" s="1"/>
  <c r="P31" i="1"/>
  <c r="AJ31" i="1"/>
  <c r="BI37" i="1"/>
  <c r="BG37" i="1"/>
  <c r="BH37" i="1"/>
  <c r="BL37" i="1" s="1"/>
  <c r="BM37" i="1" s="1"/>
  <c r="BI42" i="1"/>
  <c r="BH42" i="1"/>
  <c r="BL42" i="1" s="1"/>
  <c r="BM42" i="1" s="1"/>
  <c r="BG42" i="1"/>
  <c r="CW32" i="1"/>
  <c r="AX32" i="1" s="1"/>
  <c r="AZ32" i="1" s="1"/>
  <c r="U32" i="1"/>
  <c r="CW33" i="1"/>
  <c r="AX33" i="1" s="1"/>
  <c r="AZ33" i="1" s="1"/>
  <c r="U33" i="1"/>
  <c r="CW34" i="1"/>
  <c r="AX34" i="1" s="1"/>
  <c r="AZ34" i="1" s="1"/>
  <c r="U34" i="1"/>
  <c r="BI38" i="1"/>
  <c r="BG38" i="1"/>
  <c r="AC39" i="1"/>
  <c r="AC43" i="1"/>
  <c r="BG31" i="1"/>
  <c r="M36" i="1"/>
  <c r="K36" i="1"/>
  <c r="J36" i="1" s="1"/>
  <c r="CW37" i="1"/>
  <c r="AX37" i="1" s="1"/>
  <c r="AZ37" i="1" s="1"/>
  <c r="U37" i="1"/>
  <c r="BH38" i="1"/>
  <c r="BL38" i="1" s="1"/>
  <c r="BM38" i="1" s="1"/>
  <c r="BA39" i="1"/>
  <c r="CW43" i="1"/>
  <c r="AX43" i="1" s="1"/>
  <c r="AZ43" i="1" s="1"/>
  <c r="BH31" i="1"/>
  <c r="BL31" i="1" s="1"/>
  <c r="BM31" i="1" s="1"/>
  <c r="M33" i="1"/>
  <c r="K33" i="1"/>
  <c r="J33" i="1" s="1"/>
  <c r="AJ34" i="1"/>
  <c r="BI34" i="1"/>
  <c r="BG34" i="1"/>
  <c r="U35" i="1"/>
  <c r="K38" i="1"/>
  <c r="J38" i="1" s="1"/>
  <c r="M38" i="1"/>
  <c r="CW42" i="1"/>
  <c r="AX42" i="1" s="1"/>
  <c r="AZ42" i="1" s="1"/>
  <c r="U42" i="1"/>
  <c r="BG43" i="1"/>
  <c r="BI43" i="1"/>
  <c r="M44" i="1"/>
  <c r="L44" i="1"/>
  <c r="AY44" i="1" s="1"/>
  <c r="BA44" i="1" s="1"/>
  <c r="K44" i="1"/>
  <c r="J44" i="1" s="1"/>
  <c r="AJ44" i="1"/>
  <c r="M32" i="1"/>
  <c r="K32" i="1"/>
  <c r="J32" i="1" s="1"/>
  <c r="BH32" i="1"/>
  <c r="BL32" i="1" s="1"/>
  <c r="BM32" i="1" s="1"/>
  <c r="BI33" i="1"/>
  <c r="BG33" i="1"/>
  <c r="BH34" i="1"/>
  <c r="BL34" i="1" s="1"/>
  <c r="BM34" i="1" s="1"/>
  <c r="BG35" i="1"/>
  <c r="BI35" i="1"/>
  <c r="K42" i="1"/>
  <c r="J42" i="1" s="1"/>
  <c r="AJ42" i="1"/>
  <c r="P42" i="1"/>
  <c r="M42" i="1"/>
  <c r="V43" i="1"/>
  <c r="W43" i="1" s="1"/>
  <c r="S43" i="1" s="1"/>
  <c r="Q43" i="1" s="1"/>
  <c r="T43" i="1" s="1"/>
  <c r="N43" i="1" s="1"/>
  <c r="O43" i="1" s="1"/>
  <c r="CW36" i="1"/>
  <c r="AX36" i="1" s="1"/>
  <c r="AZ36" i="1" s="1"/>
  <c r="U36" i="1"/>
  <c r="BI41" i="1"/>
  <c r="BH41" i="1"/>
  <c r="BL41" i="1" s="1"/>
  <c r="BM41" i="1" s="1"/>
  <c r="BG41" i="1"/>
  <c r="P44" i="1"/>
  <c r="L34" i="1"/>
  <c r="AY34" i="1" s="1"/>
  <c r="L38" i="1"/>
  <c r="AY38" i="1" s="1"/>
  <c r="CW38" i="1"/>
  <c r="AX38" i="1" s="1"/>
  <c r="AZ38" i="1" s="1"/>
  <c r="U38" i="1"/>
  <c r="M40" i="1"/>
  <c r="L40" i="1"/>
  <c r="AY40" i="1" s="1"/>
  <c r="BA40" i="1" s="1"/>
  <c r="K40" i="1"/>
  <c r="J40" i="1" s="1"/>
  <c r="L42" i="1"/>
  <c r="AY42" i="1" s="1"/>
  <c r="BA43" i="1"/>
  <c r="P32" i="1"/>
  <c r="P33" i="1"/>
  <c r="P36" i="1"/>
  <c r="BH43" i="1"/>
  <c r="BL43" i="1" s="1"/>
  <c r="BM43" i="1" s="1"/>
  <c r="K37" i="1"/>
  <c r="J37" i="1" s="1"/>
  <c r="BI39" i="1"/>
  <c r="K41" i="1"/>
  <c r="J41" i="1" s="1"/>
  <c r="U41" i="1"/>
  <c r="AJ43" i="1"/>
  <c r="U40" i="1"/>
  <c r="BG40" i="1"/>
  <c r="BH40" i="1"/>
  <c r="BL40" i="1" s="1"/>
  <c r="BM40" i="1" s="1"/>
  <c r="U39" i="1"/>
  <c r="BA37" i="1" l="1"/>
  <c r="V17" i="1"/>
  <c r="W17" i="1" s="1"/>
  <c r="S17" i="1" s="1"/>
  <c r="Q17" i="1" s="1"/>
  <c r="T17" i="1" s="1"/>
  <c r="N17" i="1" s="1"/>
  <c r="O17" i="1" s="1"/>
  <c r="BA30" i="1"/>
  <c r="BA34" i="1"/>
  <c r="AD18" i="1"/>
  <c r="X18" i="1"/>
  <c r="AB18" i="1" s="1"/>
  <c r="AE18" i="1"/>
  <c r="X30" i="1"/>
  <c r="AB30" i="1" s="1"/>
  <c r="AD30" i="1"/>
  <c r="AE30" i="1"/>
  <c r="V41" i="1"/>
  <c r="W41" i="1" s="1"/>
  <c r="BA38" i="1"/>
  <c r="V42" i="1"/>
  <c r="W42" i="1" s="1"/>
  <c r="S42" i="1" s="1"/>
  <c r="Q42" i="1" s="1"/>
  <c r="T42" i="1" s="1"/>
  <c r="N42" i="1" s="1"/>
  <c r="O42" i="1" s="1"/>
  <c r="AC33" i="1"/>
  <c r="V32" i="1"/>
  <c r="W32" i="1" s="1"/>
  <c r="S32" i="1" s="1"/>
  <c r="Q32" i="1" s="1"/>
  <c r="T32" i="1" s="1"/>
  <c r="N32" i="1" s="1"/>
  <c r="O32" i="1" s="1"/>
  <c r="AC26" i="1"/>
  <c r="V24" i="1"/>
  <c r="W24" i="1" s="1"/>
  <c r="AC42" i="1"/>
  <c r="AC31" i="1"/>
  <c r="V27" i="1"/>
  <c r="W27" i="1" s="1"/>
  <c r="V28" i="1"/>
  <c r="W28" i="1" s="1"/>
  <c r="BA24" i="1"/>
  <c r="BA42" i="1"/>
  <c r="X43" i="1"/>
  <c r="AB43" i="1" s="1"/>
  <c r="AE43" i="1"/>
  <c r="AD43" i="1"/>
  <c r="BA32" i="1"/>
  <c r="V23" i="1"/>
  <c r="W23" i="1" s="1"/>
  <c r="S18" i="1"/>
  <c r="Q18" i="1" s="1"/>
  <c r="T18" i="1" s="1"/>
  <c r="N18" i="1" s="1"/>
  <c r="O18" i="1" s="1"/>
  <c r="AC18" i="1"/>
  <c r="AC20" i="1"/>
  <c r="AC32" i="1"/>
  <c r="BA36" i="1"/>
  <c r="V37" i="1"/>
  <c r="W37" i="1" s="1"/>
  <c r="V39" i="1"/>
  <c r="W39" i="1" s="1"/>
  <c r="AC38" i="1"/>
  <c r="AC22" i="1"/>
  <c r="S23" i="1"/>
  <c r="Q23" i="1" s="1"/>
  <c r="T23" i="1" s="1"/>
  <c r="N23" i="1" s="1"/>
  <c r="O23" i="1" s="1"/>
  <c r="AC23" i="1"/>
  <c r="AC27" i="1"/>
  <c r="S27" i="1"/>
  <c r="Q27" i="1" s="1"/>
  <c r="T27" i="1" s="1"/>
  <c r="N27" i="1" s="1"/>
  <c r="O27" i="1" s="1"/>
  <c r="AE21" i="1"/>
  <c r="X21" i="1"/>
  <c r="AB21" i="1" s="1"/>
  <c r="AD21" i="1"/>
  <c r="S21" i="1"/>
  <c r="Q21" i="1" s="1"/>
  <c r="T21" i="1" s="1"/>
  <c r="N21" i="1" s="1"/>
  <c r="O21" i="1" s="1"/>
  <c r="BA20" i="1"/>
  <c r="V40" i="1"/>
  <c r="W40" i="1" s="1"/>
  <c r="S40" i="1" s="1"/>
  <c r="Q40" i="1" s="1"/>
  <c r="T40" i="1" s="1"/>
  <c r="N40" i="1" s="1"/>
  <c r="O40" i="1" s="1"/>
  <c r="V38" i="1"/>
  <c r="W38" i="1" s="1"/>
  <c r="S38" i="1" s="1"/>
  <c r="Q38" i="1" s="1"/>
  <c r="T38" i="1" s="1"/>
  <c r="N38" i="1" s="1"/>
  <c r="O38" i="1" s="1"/>
  <c r="AC41" i="1"/>
  <c r="S41" i="1"/>
  <c r="Q41" i="1" s="1"/>
  <c r="T41" i="1" s="1"/>
  <c r="N41" i="1" s="1"/>
  <c r="O41" i="1" s="1"/>
  <c r="AC36" i="1"/>
  <c r="AC37" i="1"/>
  <c r="S37" i="1"/>
  <c r="Q37" i="1" s="1"/>
  <c r="T37" i="1" s="1"/>
  <c r="N37" i="1" s="1"/>
  <c r="O37" i="1" s="1"/>
  <c r="AC40" i="1"/>
  <c r="AC44" i="1"/>
  <c r="V44" i="1"/>
  <c r="W44" i="1" s="1"/>
  <c r="S44" i="1" s="1"/>
  <c r="Q44" i="1" s="1"/>
  <c r="T44" i="1" s="1"/>
  <c r="N44" i="1" s="1"/>
  <c r="O44" i="1" s="1"/>
  <c r="V35" i="1"/>
  <c r="W35" i="1" s="1"/>
  <c r="V34" i="1"/>
  <c r="W34" i="1" s="1"/>
  <c r="BA33" i="1"/>
  <c r="V22" i="1"/>
  <c r="W22" i="1" s="1"/>
  <c r="S22" i="1" s="1"/>
  <c r="Q22" i="1" s="1"/>
  <c r="T22" i="1" s="1"/>
  <c r="N22" i="1" s="1"/>
  <c r="O22" i="1" s="1"/>
  <c r="V33" i="1"/>
  <c r="W33" i="1" s="1"/>
  <c r="V31" i="1"/>
  <c r="W31" i="1" s="1"/>
  <c r="V36" i="1"/>
  <c r="W36" i="1" s="1"/>
  <c r="S36" i="1" s="1"/>
  <c r="Q36" i="1" s="1"/>
  <c r="T36" i="1" s="1"/>
  <c r="N36" i="1" s="1"/>
  <c r="O36" i="1" s="1"/>
  <c r="V19" i="1"/>
  <c r="W19" i="1" s="1"/>
  <c r="AE29" i="1"/>
  <c r="X29" i="1"/>
  <c r="AB29" i="1" s="1"/>
  <c r="AD29" i="1"/>
  <c r="AE25" i="1"/>
  <c r="AF25" i="1" s="1"/>
  <c r="X25" i="1"/>
  <c r="AB25" i="1" s="1"/>
  <c r="AD25" i="1"/>
  <c r="V26" i="1"/>
  <c r="W26" i="1" s="1"/>
  <c r="S30" i="1"/>
  <c r="Q30" i="1" s="1"/>
  <c r="T30" i="1" s="1"/>
  <c r="N30" i="1" s="1"/>
  <c r="O30" i="1" s="1"/>
  <c r="V20" i="1"/>
  <c r="W20" i="1" s="1"/>
  <c r="X17" i="1"/>
  <c r="AB17" i="1" s="1"/>
  <c r="AE17" i="1"/>
  <c r="AD17" i="1"/>
  <c r="AF29" i="1" l="1"/>
  <c r="AF21" i="1"/>
  <c r="AF43" i="1"/>
  <c r="X20" i="1"/>
  <c r="AB20" i="1" s="1"/>
  <c r="AE20" i="1"/>
  <c r="AF20" i="1" s="1"/>
  <c r="AD20" i="1"/>
  <c r="AE33" i="1"/>
  <c r="AF33" i="1" s="1"/>
  <c r="X33" i="1"/>
  <c r="AB33" i="1" s="1"/>
  <c r="AD33" i="1"/>
  <c r="AE44" i="1"/>
  <c r="X44" i="1"/>
  <c r="AB44" i="1" s="1"/>
  <c r="AD44" i="1"/>
  <c r="S20" i="1"/>
  <c r="Q20" i="1" s="1"/>
  <c r="T20" i="1" s="1"/>
  <c r="N20" i="1" s="1"/>
  <c r="O20" i="1" s="1"/>
  <c r="X41" i="1"/>
  <c r="AB41" i="1" s="1"/>
  <c r="AE41" i="1"/>
  <c r="AD41" i="1"/>
  <c r="X19" i="1"/>
  <c r="AB19" i="1" s="1"/>
  <c r="AE19" i="1"/>
  <c r="AD19" i="1"/>
  <c r="S19" i="1"/>
  <c r="Q19" i="1" s="1"/>
  <c r="T19" i="1" s="1"/>
  <c r="N19" i="1" s="1"/>
  <c r="O19" i="1" s="1"/>
  <c r="AE31" i="1"/>
  <c r="AF31" i="1" s="1"/>
  <c r="X31" i="1"/>
  <c r="AB31" i="1" s="1"/>
  <c r="AD31" i="1"/>
  <c r="S31" i="1"/>
  <c r="Q31" i="1" s="1"/>
  <c r="T31" i="1" s="1"/>
  <c r="N31" i="1" s="1"/>
  <c r="O31" i="1" s="1"/>
  <c r="AF30" i="1"/>
  <c r="AE36" i="1"/>
  <c r="X36" i="1"/>
  <c r="AB36" i="1" s="1"/>
  <c r="AD36" i="1"/>
  <c r="X28" i="1"/>
  <c r="AB28" i="1" s="1"/>
  <c r="AE28" i="1"/>
  <c r="S28" i="1"/>
  <c r="Q28" i="1" s="1"/>
  <c r="T28" i="1" s="1"/>
  <c r="N28" i="1" s="1"/>
  <c r="O28" i="1" s="1"/>
  <c r="AD28" i="1"/>
  <c r="S33" i="1"/>
  <c r="Q33" i="1" s="1"/>
  <c r="T33" i="1" s="1"/>
  <c r="N33" i="1" s="1"/>
  <c r="O33" i="1" s="1"/>
  <c r="AD26" i="1"/>
  <c r="AE26" i="1"/>
  <c r="X26" i="1"/>
  <c r="AB26" i="1" s="1"/>
  <c r="AF17" i="1"/>
  <c r="AE39" i="1"/>
  <c r="AD39" i="1"/>
  <c r="X39" i="1"/>
  <c r="AB39" i="1" s="1"/>
  <c r="S39" i="1"/>
  <c r="Q39" i="1" s="1"/>
  <c r="T39" i="1" s="1"/>
  <c r="N39" i="1" s="1"/>
  <c r="O39" i="1" s="1"/>
  <c r="AE37" i="1"/>
  <c r="X37" i="1"/>
  <c r="AB37" i="1" s="1"/>
  <c r="AD37" i="1"/>
  <c r="X23" i="1"/>
  <c r="AB23" i="1" s="1"/>
  <c r="AE23" i="1"/>
  <c r="AD23" i="1"/>
  <c r="AD22" i="1"/>
  <c r="X22" i="1"/>
  <c r="AB22" i="1" s="1"/>
  <c r="AE22" i="1"/>
  <c r="AE35" i="1"/>
  <c r="X35" i="1"/>
  <c r="AB35" i="1" s="1"/>
  <c r="AD35" i="1"/>
  <c r="S35" i="1"/>
  <c r="Q35" i="1" s="1"/>
  <c r="T35" i="1" s="1"/>
  <c r="N35" i="1" s="1"/>
  <c r="O35" i="1" s="1"/>
  <c r="AE38" i="1"/>
  <c r="X38" i="1"/>
  <c r="AB38" i="1" s="1"/>
  <c r="AD38" i="1"/>
  <c r="X27" i="1"/>
  <c r="AB27" i="1" s="1"/>
  <c r="AE27" i="1"/>
  <c r="AD27" i="1"/>
  <c r="X24" i="1"/>
  <c r="AB24" i="1" s="1"/>
  <c r="AE24" i="1"/>
  <c r="S24" i="1"/>
  <c r="Q24" i="1" s="1"/>
  <c r="T24" i="1" s="1"/>
  <c r="N24" i="1" s="1"/>
  <c r="O24" i="1" s="1"/>
  <c r="AD24" i="1"/>
  <c r="X42" i="1"/>
  <c r="AB42" i="1" s="1"/>
  <c r="AE42" i="1"/>
  <c r="AD42" i="1"/>
  <c r="AF18" i="1"/>
  <c r="AE34" i="1"/>
  <c r="X34" i="1"/>
  <c r="AB34" i="1" s="1"/>
  <c r="AD34" i="1"/>
  <c r="S34" i="1"/>
  <c r="Q34" i="1" s="1"/>
  <c r="T34" i="1" s="1"/>
  <c r="N34" i="1" s="1"/>
  <c r="O34" i="1" s="1"/>
  <c r="AE40" i="1"/>
  <c r="X40" i="1"/>
  <c r="AB40" i="1" s="1"/>
  <c r="AD40" i="1"/>
  <c r="S26" i="1"/>
  <c r="Q26" i="1" s="1"/>
  <c r="T26" i="1" s="1"/>
  <c r="N26" i="1" s="1"/>
  <c r="O26" i="1" s="1"/>
  <c r="X32" i="1"/>
  <c r="AB32" i="1" s="1"/>
  <c r="AE32" i="1"/>
  <c r="AD32" i="1"/>
  <c r="AF41" i="1" l="1"/>
  <c r="AF42" i="1"/>
  <c r="AF44" i="1"/>
  <c r="AF38" i="1"/>
  <c r="AF24" i="1"/>
  <c r="AF23" i="1"/>
  <c r="AF39" i="1"/>
  <c r="AF19" i="1"/>
  <c r="AF34" i="1"/>
  <c r="AF32" i="1"/>
  <c r="AF27" i="1"/>
  <c r="AF35" i="1"/>
  <c r="AF36" i="1"/>
  <c r="AF40" i="1"/>
  <c r="AF22" i="1"/>
  <c r="AF37" i="1"/>
  <c r="AF26" i="1"/>
  <c r="AF28" i="1"/>
</calcChain>
</file>

<file path=xl/sharedStrings.xml><?xml version="1.0" encoding="utf-8"?>
<sst xmlns="http://schemas.openxmlformats.org/spreadsheetml/2006/main" count="1314" uniqueCount="547">
  <si>
    <t>File opened</t>
  </si>
  <si>
    <t>2023-11-17 09:27:07</t>
  </si>
  <si>
    <t>Console s/n</t>
  </si>
  <si>
    <t>68C-812061</t>
  </si>
  <si>
    <t>Console ver</t>
  </si>
  <si>
    <t>Bluestem v.2.1.08</t>
  </si>
  <si>
    <t>Scripts ver</t>
  </si>
  <si>
    <t>2022.05  2.1.08, Aug 2022</t>
  </si>
  <si>
    <t>Head s/n</t>
  </si>
  <si>
    <t>68H-712051</t>
  </si>
  <si>
    <t>Head ver</t>
  </si>
  <si>
    <t>1.4.22</t>
  </si>
  <si>
    <t>Head cal</t>
  </si>
  <si>
    <t>{"oxygen": "21", "co2azero": "0.916548", "co2aspan1": "1.00272", "co2aspan2": "-0.0399663", "co2aspan2a": "0.27803", "co2aspan2b": "0.275697", "co2aspanconc1": "2473", "co2aspanconc2": "301.4", "co2bzero": "0.918007", "co2bspan1": "1.00224", "co2bspan2": "-0.0386397", "co2bspan2a": "0.280892", "co2bspan2b": "0.278473", "co2bspanconc1": "2473", "co2bspanconc2": "301.4", "h2oazero": "1.03474", "h2oaspan1": "1.00756", "h2oaspan2": "0", "h2oaspan2a": "0.0682624", "h2oaspan2b": "0.0687785", "h2oaspanconc1": "12.42", "h2oaspanconc2": "0", "h2obzero": "1.03484", "h2obspan1": "1.00339", "h2obspan2": "0", "h2obspan2a": "0.0690504", "h2obspan2b": "0.0692845", "h2obspanconc1": "12.42", "h2obspanconc2": "0", "tazero": "0.100662", "tbzero": "0.178078", "flowmeterzero": "2.48376", "flowazero": "0.323", "flowbzero": "0.27403", "chamberpressurezero": "2.72919", "ssa_ref": "33599.2", "ssb_ref": "34549.6"}</t>
  </si>
  <si>
    <t>CO2 rangematch</t>
  </si>
  <si>
    <t>Fri Nov 10 09:36</t>
  </si>
  <si>
    <t>H2O rangematch</t>
  </si>
  <si>
    <t>Fri Nov 10 09:42</t>
  </si>
  <si>
    <t>Chamber type</t>
  </si>
  <si>
    <t>6800-01A</t>
  </si>
  <si>
    <t>Chamber s/n</t>
  </si>
  <si>
    <t>MPF-281816</t>
  </si>
  <si>
    <t>Chamber rev</t>
  </si>
  <si>
    <t>0</t>
  </si>
  <si>
    <t>Chamber cal</t>
  </si>
  <si>
    <t>Fluorometer</t>
  </si>
  <si>
    <t>Flr. Version</t>
  </si>
  <si>
    <t>09:27:07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</si>
  <si>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</si>
  <si>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</si>
  <si>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</si>
  <si>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</si>
  <si>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</si>
  <si>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</si>
  <si>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</si>
  <si>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</si>
  <si>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</si>
  <si>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</si>
  <si>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</si>
  <si>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</si>
  <si>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</si>
  <si>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</si>
  <si>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</si>
  <si>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</si>
  <si>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</si>
  <si>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</si>
  <si>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</si>
  <si>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</si>
  <si>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</si>
  <si>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</si>
  <si>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</si>
  <si>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</si>
  <si>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</si>
  <si>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</si>
  <si>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</si>
  <si>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</si>
  <si>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</si>
  <si>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</si>
  <si>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</si>
  <si>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</si>
  <si>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</si>
  <si>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</si>
  <si>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</si>
  <si>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</si>
  <si>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</si>
  <si>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</si>
  <si>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</si>
  <si>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</si>
  <si>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</si>
  <si>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</si>
  <si>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</si>
  <si>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</si>
  <si>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</si>
  <si>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</si>
  <si>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</si>
  <si>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</si>
  <si>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</si>
  <si>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</si>
  <si>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</si>
  <si>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</si>
  <si>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</si>
  <si>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3.10352 194.4 384.666 637.708 881.288 1073.83 1240.79 1365.51</t>
  </si>
  <si>
    <t>Fs_true</t>
  </si>
  <si>
    <t>1.08655 204.891 384.109 598.216 803.353 1002.7 1200.43 1400.94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</si>
  <si>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</si>
  <si>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</si>
  <si>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</si>
  <si>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</si>
  <si>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</si>
  <si>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</si>
  <si>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</si>
  <si>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</si>
  <si>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</si>
  <si>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</si>
  <si>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</si>
  <si>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</si>
  <si>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</si>
  <si>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</si>
  <si>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</si>
  <si>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</si>
  <si>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</si>
  <si>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</si>
  <si>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</si>
  <si>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</si>
  <si>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</si>
  <si>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</si>
  <si>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</si>
  <si>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</si>
  <si>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</si>
  <si>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</si>
  <si>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</si>
  <si>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</si>
  <si>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</si>
  <si>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</si>
  <si>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</si>
  <si>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</si>
  <si>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</si>
  <si>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</si>
  <si>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</si>
  <si>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</si>
  <si>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</si>
  <si>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</si>
  <si>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</si>
  <si>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</si>
  <si>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</si>
  <si>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</si>
  <si>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</si>
  <si>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</si>
  <si>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</si>
  <si>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</si>
  <si>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</si>
  <si>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</si>
  <si>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</si>
  <si>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</si>
  <si>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</si>
  <si>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</si>
  <si>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</si>
  <si>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</si>
  <si>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</si>
  <si>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</si>
  <si>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</si>
  <si>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</si>
  <si>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</si>
  <si>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</si>
  <si>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</si>
  <si>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</si>
  <si>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</si>
  <si>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</si>
  <si>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</si>
  <si>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</si>
  <si>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</si>
  <si>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</si>
  <si>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</si>
  <si>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</si>
  <si>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</si>
  <si>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</si>
  <si>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</si>
  <si>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</si>
  <si>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</si>
  <si>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</si>
  <si>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</si>
  <si>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</si>
  <si>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</si>
  <si>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</si>
  <si>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</si>
  <si>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</si>
  <si>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</si>
  <si>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</si>
  <si>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</si>
  <si>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</si>
  <si>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</si>
  <si>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</si>
  <si>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</si>
  <si>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</si>
  <si>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</si>
  <si>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</si>
  <si>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</si>
  <si>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</si>
  <si>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</si>
  <si>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</si>
  <si>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</si>
  <si>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</si>
  <si>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</si>
  <si>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</si>
  <si>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</si>
  <si>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</si>
  <si>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</si>
  <si>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</si>
  <si>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</si>
  <si>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</si>
  <si>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</si>
  <si>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</si>
  <si>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</si>
  <si>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</si>
  <si>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</si>
  <si>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</si>
  <si>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</si>
  <si>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</si>
  <si>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</si>
  <si>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</si>
  <si>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</si>
  <si>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</si>
  <si>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</si>
  <si>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</si>
  <si>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</si>
  <si>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</si>
  <si>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</si>
  <si>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</si>
  <si>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</si>
  <si>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</si>
  <si>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</si>
  <si>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</si>
  <si>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</si>
  <si>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</si>
  <si>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</si>
  <si>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</si>
  <si>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</si>
  <si>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</si>
  <si>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</si>
  <si>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</si>
  <si>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</si>
  <si>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</si>
  <si>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</si>
  <si>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</si>
  <si>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</si>
  <si>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</si>
  <si>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</si>
  <si>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</si>
  <si>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</si>
  <si>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</si>
  <si>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</si>
  <si>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</si>
  <si>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</si>
  <si>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</si>
  <si>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</si>
  <si>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</si>
  <si>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</si>
  <si>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</si>
  <si>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</si>
  <si>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</si>
  <si>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</si>
  <si>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</si>
  <si>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</si>
  <si>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</si>
  <si>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</si>
  <si>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</si>
  <si>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</si>
  <si>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</si>
  <si>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</si>
  <si>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</si>
  <si>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</si>
  <si>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</si>
  <si>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</si>
  <si>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</si>
  <si>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</si>
  <si>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</si>
  <si>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</si>
  <si>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</si>
  <si>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</si>
  <si>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</si>
  <si>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</si>
  <si>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</si>
  <si>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</si>
  <si>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</si>
  <si>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</si>
  <si>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</si>
  <si>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</si>
  <si>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</si>
  <si>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</si>
  <si>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</si>
  <si>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</si>
  <si>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</si>
  <si>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</si>
  <si>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</si>
  <si>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</si>
  <si>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</si>
  <si>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</si>
  <si>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</si>
  <si>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</si>
  <si>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</si>
  <si>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</si>
  <si>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</si>
  <si>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</si>
  <si>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</si>
  <si>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</si>
  <si>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</si>
  <si>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</si>
  <si>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</si>
  <si>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</si>
  <si>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</si>
  <si>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</si>
  <si>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</si>
  <si>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</si>
  <si>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</si>
  <si>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</si>
  <si>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</si>
  <si>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</si>
  <si>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</si>
  <si>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</si>
  <si>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</si>
  <si>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</si>
  <si>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</si>
  <si>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</si>
  <si>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</si>
  <si>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</si>
  <si>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</si>
  <si>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</si>
  <si>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</si>
  <si>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</si>
  <si>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</si>
  <si>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</si>
  <si>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</si>
  <si>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</si>
  <si>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</si>
  <si>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</si>
  <si>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</si>
  <si>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</si>
  <si>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</si>
  <si>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</si>
  <si>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</si>
  <si>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</si>
  <si>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</si>
  <si>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</si>
  <si>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</si>
  <si>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</si>
  <si>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</si>
  <si>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</si>
  <si>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</si>
  <si>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</si>
  <si>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</si>
  <si>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</si>
  <si>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</si>
  <si>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</si>
  <si>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</si>
  <si>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</si>
  <si>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</si>
  <si>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</si>
  <si>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</si>
  <si>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</si>
  <si>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</si>
  <si>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</si>
  <si>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</si>
  <si>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</si>
  <si>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</si>
  <si>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</si>
  <si>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</si>
  <si>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</si>
  <si>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</si>
  <si>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</si>
  <si>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</si>
  <si>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</si>
  <si>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</si>
  <si>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</si>
  <si>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</si>
  <si>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</si>
  <si>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</si>
  <si>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</si>
  <si>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</si>
  <si>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</si>
  <si>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</si>
  <si>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</si>
  <si>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</si>
  <si>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</si>
  <si>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</si>
  <si>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</si>
  <si>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</si>
  <si>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</si>
  <si>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</si>
  <si>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</si>
  <si>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</si>
  <si>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</si>
  <si>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</si>
  <si>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</si>
  <si>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</si>
  <si>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</si>
  <si>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</si>
  <si>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</si>
  <si>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</si>
  <si>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</si>
  <si>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</si>
  <si>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</si>
  <si>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</si>
  <si>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</si>
  <si>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</si>
  <si>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</si>
  <si>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</si>
  <si>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</si>
  <si>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</si>
  <si>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</si>
  <si>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</si>
  <si>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</si>
  <si>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</si>
  <si>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</si>
  <si>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</si>
  <si>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</si>
  <si>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</si>
  <si>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</si>
  <si>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</si>
  <si>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</si>
  <si>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</si>
  <si>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</si>
  <si>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</si>
  <si>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</si>
  <si>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</si>
  <si>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</si>
  <si>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</si>
  <si>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</si>
  <si>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</si>
  <si>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</si>
  <si>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</si>
  <si>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20231117 10:05:51</t>
  </si>
  <si>
    <t>10:05:51</t>
  </si>
  <si>
    <t>none</t>
  </si>
  <si>
    <t>3</t>
  </si>
  <si>
    <t>8</t>
  </si>
  <si>
    <t>MPF-20639-20231106-15_17_51</t>
  </si>
  <si>
    <t>MPF-20814-20231117-10_05_11</t>
  </si>
  <si>
    <t>DARK-20815-20231117-10_05_18</t>
  </si>
  <si>
    <t>0: Broadleaf</t>
  </si>
  <si>
    <t>10:05:21</t>
  </si>
  <si>
    <t>2/2</t>
  </si>
  <si>
    <t>11111111</t>
  </si>
  <si>
    <t>oooooooo</t>
  </si>
  <si>
    <t>off</t>
  </si>
  <si>
    <t>20231117 10:09:43</t>
  </si>
  <si>
    <t>10:09:43</t>
  </si>
  <si>
    <t>MPF-20816-20231117-10_09_02</t>
  </si>
  <si>
    <t>DARK-20817-20231117-10_09_09</t>
  </si>
  <si>
    <t>10:08:45</t>
  </si>
  <si>
    <t>20231117 10:12:51</t>
  </si>
  <si>
    <t>10:12:51</t>
  </si>
  <si>
    <t>MPF-20818-20231117-10_12_11</t>
  </si>
  <si>
    <t>DARK-20819-20231117-10_12_18</t>
  </si>
  <si>
    <t>10:11:37</t>
  </si>
  <si>
    <t>20231117 10:15:56</t>
  </si>
  <si>
    <t>10:15:56</t>
  </si>
  <si>
    <t>MPF-20820-20231117-10_15_15</t>
  </si>
  <si>
    <t>DARK-20821-20231117-10_15_22</t>
  </si>
  <si>
    <t>10:14:54</t>
  </si>
  <si>
    <t>20231117 10:19:23</t>
  </si>
  <si>
    <t>10:19:23</t>
  </si>
  <si>
    <t>MPF-20822-20231117-10_18_43</t>
  </si>
  <si>
    <t>DARK-20823-20231117-10_18_50</t>
  </si>
  <si>
    <t>10:17:34</t>
  </si>
  <si>
    <t>20231117 10:23:14</t>
  </si>
  <si>
    <t>10:23:14</t>
  </si>
  <si>
    <t>MPF-20824-20231117-10_22_34</t>
  </si>
  <si>
    <t>DARK-20825-20231117-10_22_41</t>
  </si>
  <si>
    <t>10:21:33</t>
  </si>
  <si>
    <t>20231117 10:27:50</t>
  </si>
  <si>
    <t>10:27:50</t>
  </si>
  <si>
    <t>MPF-20826-20231117-10_27_10</t>
  </si>
  <si>
    <t>DARK-20827-20231117-10_27_17</t>
  </si>
  <si>
    <t>10:25:10</t>
  </si>
  <si>
    <t>20231117 10:30:11</t>
  </si>
  <si>
    <t>10:30:11</t>
  </si>
  <si>
    <t>-</t>
  </si>
  <si>
    <t>10:29:44</t>
  </si>
  <si>
    <t>20231117 10:33:18</t>
  </si>
  <si>
    <t>10:33:18</t>
  </si>
  <si>
    <t>MPF-20828-20231117-10_32_38</t>
  </si>
  <si>
    <t>DARK-20829-20231117-10_32_45</t>
  </si>
  <si>
    <t>10:31:40</t>
  </si>
  <si>
    <t>20231117 10:36:15</t>
  </si>
  <si>
    <t>10:36:15</t>
  </si>
  <si>
    <t>10:34:58</t>
  </si>
  <si>
    <t>20231117 10:38:38</t>
  </si>
  <si>
    <t>10:38:38</t>
  </si>
  <si>
    <t>MPF-20830-20231117-10_37_58</t>
  </si>
  <si>
    <t>DARK-20831-20231117-10_38_05</t>
  </si>
  <si>
    <t>10:37:39</t>
  </si>
  <si>
    <t>20231117 10:40:48</t>
  </si>
  <si>
    <t>10:40:48</t>
  </si>
  <si>
    <t>10:40:11</t>
  </si>
  <si>
    <t>20231117 10:42:44</t>
  </si>
  <si>
    <t>10:42:44</t>
  </si>
  <si>
    <t>MPF-20832-20231117-10_42_04</t>
  </si>
  <si>
    <t>DARK-20833-20231117-10_42_11</t>
  </si>
  <si>
    <t>10:42:10</t>
  </si>
  <si>
    <t>20231117 10:44:59</t>
  </si>
  <si>
    <t>10:44:59</t>
  </si>
  <si>
    <t>10:44:21</t>
  </si>
  <si>
    <t>20231117 12:45:24</t>
  </si>
  <si>
    <t>12:45:24</t>
  </si>
  <si>
    <t>wt</t>
  </si>
  <si>
    <t>MPF-20856-20231117-12_44_44</t>
  </si>
  <si>
    <t>DARK-20857-20231117-12_44_51</t>
  </si>
  <si>
    <t>12:44:25</t>
  </si>
  <si>
    <t>20231117 12:49:00</t>
  </si>
  <si>
    <t>12:49:00</t>
  </si>
  <si>
    <t>MPF-20858-20231117-12_48_20</t>
  </si>
  <si>
    <t>DARK-20859-20231117-12_48_27</t>
  </si>
  <si>
    <t>12:48:26</t>
  </si>
  <si>
    <t>20231117 12:52:05</t>
  </si>
  <si>
    <t>12:52:05</t>
  </si>
  <si>
    <t>MPF-20860-20231117-12_51_25</t>
  </si>
  <si>
    <t>DARK-20861-20231117-12_51_32</t>
  </si>
  <si>
    <t>12:50:33</t>
  </si>
  <si>
    <t>20231117 12:55:38</t>
  </si>
  <si>
    <t>12:55:38</t>
  </si>
  <si>
    <t>MPF-20862-20231117-12_54_57</t>
  </si>
  <si>
    <t>DARK-20863-20231117-12_55_05</t>
  </si>
  <si>
    <t>12:53:38</t>
  </si>
  <si>
    <t>20231117 12:59:45</t>
  </si>
  <si>
    <t>12:59:45</t>
  </si>
  <si>
    <t>MPF-20864-20231117-12_59_05</t>
  </si>
  <si>
    <t>DARK-20865-20231117-12_59_12</t>
  </si>
  <si>
    <t>12:57:32</t>
  </si>
  <si>
    <t>20231117 13:03:55</t>
  </si>
  <si>
    <t>13:03:55</t>
  </si>
  <si>
    <t>MPF-20866-20231117-13_03_15</t>
  </si>
  <si>
    <t>DARK-20867-20231117-13_03_22</t>
  </si>
  <si>
    <t>13:01:32</t>
  </si>
  <si>
    <t>20231117 13:05:35</t>
  </si>
  <si>
    <t>13:05:35</t>
  </si>
  <si>
    <t>13:05:52</t>
  </si>
  <si>
    <t>20231117 13:07:44</t>
  </si>
  <si>
    <t>13:07:44</t>
  </si>
  <si>
    <t>MPF-20868-20231117-13_07_03</t>
  </si>
  <si>
    <t>DARK-20869-20231117-13_07_11</t>
  </si>
  <si>
    <t>13:07:10</t>
  </si>
  <si>
    <t>20231117 13:11:54</t>
  </si>
  <si>
    <t>13:11:54</t>
  </si>
  <si>
    <t>MPF-20870-20231117-13_11_14</t>
  </si>
  <si>
    <t>DARK-20871-20231117-13_11_21</t>
  </si>
  <si>
    <t>13:09:28</t>
  </si>
  <si>
    <t>20231117 13:15:18</t>
  </si>
  <si>
    <t>13:15:18</t>
  </si>
  <si>
    <t>MPF-20872-20231117-13_14_38</t>
  </si>
  <si>
    <t>DARK-20873-20231117-13_14_45</t>
  </si>
  <si>
    <t>13:13:30</t>
  </si>
  <si>
    <t>20231117 13:17:49</t>
  </si>
  <si>
    <t>13:17:49</t>
  </si>
  <si>
    <t>13:16:57</t>
  </si>
  <si>
    <t>20231117 13:20:20</t>
  </si>
  <si>
    <t>13:20:20</t>
  </si>
  <si>
    <t>MPF-20874-20231117-13_19_39</t>
  </si>
  <si>
    <t>DARK-20875-20231117-13_19_47</t>
  </si>
  <si>
    <t>13:19:48</t>
  </si>
  <si>
    <t>20231117 13:22:30</t>
  </si>
  <si>
    <t>13:22:30</t>
  </si>
  <si>
    <t>13:21:57</t>
  </si>
  <si>
    <t>20231117 13:24:22</t>
  </si>
  <si>
    <t>13:24:22</t>
  </si>
  <si>
    <t>MPF-20876-20231117-13_23_41</t>
  </si>
  <si>
    <t>DARK-20877-20231117-13_23_49</t>
  </si>
  <si>
    <t>13:23:45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</si>
</sst>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44"/>
  <sheetViews>
    <sheetView tabSelected="1" topLeftCell="A9" workbookViewId="0">
      <selection activeCell="H31" sqref="H31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1700237151.5999999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1700237151.5999999</v>
      </c>
      <c r="J17">
        <f t="shared" ref="J17:J44" si="0">(K17)/1000</f>
        <v>3.8650621374023975E-3</v>
      </c>
      <c r="K17">
        <f t="shared" ref="K17:K44" si="1">1000*DK17*AI17*(DG17-DH17)/(100*CZ17*(1000-AI17*DG17))</f>
        <v>3.8650621374023975</v>
      </c>
      <c r="L17">
        <f t="shared" ref="L17:L44" si="2">DK17*AI17*(DF17-DE17*(1000-AI17*DH17)/(1000-AI17*DG17))/(100*CZ17)</f>
        <v>46.942960801888866</v>
      </c>
      <c r="M17">
        <f t="shared" ref="M17:M44" si="3">DE17 - IF(AI17&gt;1, L17*CZ17*100/(AK17*DS17), 0)</f>
        <v>405.37900000000002</v>
      </c>
      <c r="N17">
        <f t="shared" ref="N17:N44" si="4">((T17-J17/2)*M17-L17)/(T17+J17/2)</f>
        <v>90.64659911051038</v>
      </c>
      <c r="O17">
        <f t="shared" ref="O17:O44" si="5">N17*(DL17+DM17)/1000</f>
        <v>8.9632044936220119</v>
      </c>
      <c r="P17">
        <f t="shared" ref="P17:P44" si="6">(DE17 - IF(AI17&gt;1, L17*CZ17*100/(AK17*DS17), 0))*(DL17+DM17)/1000</f>
        <v>40.084183081047307</v>
      </c>
      <c r="Q17">
        <f t="shared" ref="Q17:Q44" si="7">2/((1/S17-1/R17)+SIGN(S17)*SQRT((1/S17-1/R17)*(1/S17-1/R17) + 4*DA17/((DA17+1)*(DA17+1))*(2*1/S17*1/R17-1/R17*1/R17)))</f>
        <v>0.25255776433360977</v>
      </c>
      <c r="R17">
        <f t="shared" ref="R17:R44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3.2264168112721467</v>
      </c>
      <c r="S17">
        <f t="shared" ref="S17:S44" si="9">J17*(1000-(1000*0.61365*EXP(17.502*W17/(240.97+W17))/(DL17+DM17)+DG17)/2)/(1000*0.61365*EXP(17.502*W17/(240.97+W17))/(DL17+DM17)-DG17)</f>
        <v>0.2420662215771309</v>
      </c>
      <c r="T17">
        <f t="shared" ref="T17:T44" si="10">1/((DA17+1)/(Q17/1.6)+1/(R17/1.37)) + DA17/((DA17+1)/(Q17/1.6) + DA17/(R17/1.37))</f>
        <v>0.15219769412892598</v>
      </c>
      <c r="U17">
        <f t="shared" ref="U17:U44" si="11">(CV17*CY17)</f>
        <v>344.36499876294693</v>
      </c>
      <c r="V17">
        <f t="shared" ref="V17:V44" si="12">(DN17+(U17+2*0.95*0.0000000567*(((DN17+$B$7)+273)^4-(DN17+273)^4)-44100*J17)/(1.84*29.3*R17+8*0.95*0.0000000567*(DN17+273)^3))</f>
        <v>30.66124679789564</v>
      </c>
      <c r="W17">
        <f t="shared" ref="W17:W44" si="13">($C$7*DO17+$D$7*DP17+$E$7*V17)</f>
        <v>30.0169</v>
      </c>
      <c r="X17">
        <f t="shared" ref="X17:X44" si="14">0.61365*EXP(17.502*W17/(240.97+W17))</f>
        <v>4.2645872351723311</v>
      </c>
      <c r="Y17">
        <f t="shared" ref="Y17:Y44" si="15">(Z17/AA17*100)</f>
        <v>65.375257323409556</v>
      </c>
      <c r="Z17">
        <f t="shared" ref="Z17:Z44" si="16">DG17*(DL17+DM17)/1000</f>
        <v>2.7416964607025101</v>
      </c>
      <c r="AA17">
        <f t="shared" ref="AA17:AA44" si="17">0.61365*EXP(17.502*DN17/(240.97+DN17))</f>
        <v>4.1937830502745319</v>
      </c>
      <c r="AB17">
        <f t="shared" ref="AB17:AB44" si="18">(X17-DG17*(DL17+DM17)/1000)</f>
        <v>1.522890774469821</v>
      </c>
      <c r="AC17">
        <f t="shared" ref="AC17:AC44" si="19">(-J17*44100)</f>
        <v>-170.44924025944573</v>
      </c>
      <c r="AD17">
        <f t="shared" ref="AD17:AD44" si="20">2*29.3*R17*0.92*(DN17-W17)</f>
        <v>-50.652080207253306</v>
      </c>
      <c r="AE17">
        <f t="shared" ref="AE17:AE44" si="21">2*0.95*0.0000000567*(((DN17+$B$7)+273)^4-(W17+273)^4)</f>
        <v>-3.4862817876595278</v>
      </c>
      <c r="AF17">
        <f t="shared" ref="AF17:AF44" si="22">U17+AE17+AC17+AD17</f>
        <v>119.77739650858834</v>
      </c>
      <c r="AG17">
        <v>39</v>
      </c>
      <c r="AH17">
        <v>8</v>
      </c>
      <c r="AI17">
        <f t="shared" ref="AI17:AI44" si="23">IF(AG17*$H$13&gt;=AK17,1,(AK17/(AK17-AG17*$H$13)))</f>
        <v>1</v>
      </c>
      <c r="AJ17">
        <f t="shared" ref="AJ17:AJ44" si="24">(AI17-1)*100</f>
        <v>0</v>
      </c>
      <c r="AK17">
        <f t="shared" ref="AK17:AK44" si="25">MAX(0,($B$13+$C$13*DS17)/(1+$D$13*DS17)*DL17/(DN17+273)*$E$13)</f>
        <v>51752.91743469175</v>
      </c>
      <c r="AL17" t="s">
        <v>415</v>
      </c>
      <c r="AM17">
        <v>7133.88</v>
      </c>
      <c r="AN17">
        <v>306.28384615384618</v>
      </c>
      <c r="AO17">
        <v>859.63916333292491</v>
      </c>
      <c r="AP17">
        <f t="shared" ref="AP17:AP44" si="26">1-AN17/AO17</f>
        <v>0.64370650010133712</v>
      </c>
      <c r="AQ17">
        <v>-0.73746743666429193</v>
      </c>
      <c r="AR17" t="s">
        <v>416</v>
      </c>
      <c r="AS17">
        <v>7138.44</v>
      </c>
      <c r="AT17">
        <v>540.09564</v>
      </c>
      <c r="AU17">
        <v>759.00909574188461</v>
      </c>
      <c r="AV17">
        <f t="shared" ref="AV17:AV44" si="27">1-AT17/AU17</f>
        <v>0.28842006896888395</v>
      </c>
      <c r="AW17">
        <v>0.5</v>
      </c>
      <c r="AX17">
        <f t="shared" ref="AX17:AX44" si="28">CW17</f>
        <v>1513.1675993814733</v>
      </c>
      <c r="AY17">
        <f t="shared" ref="AY17:AY44" si="29">L17</f>
        <v>46.942960801888866</v>
      </c>
      <c r="AZ17">
        <f t="shared" ref="AZ17:AZ44" si="30">AV17*AW17*AX17</f>
        <v>218.21395168754253</v>
      </c>
      <c r="BA17">
        <f t="shared" ref="BA17:BA44" si="31">(AY17-AQ17)/AX17</f>
        <v>3.1510341787679794E-2</v>
      </c>
      <c r="BB17">
        <f t="shared" ref="BB17:BB44" si="32">(AO17-AU17)/AU17</f>
        <v>0.13258084541487689</v>
      </c>
      <c r="BC17">
        <f t="shared" ref="BC17:BC44" si="33">AN17/(AP17+AN17/AU17)</f>
        <v>292.46831743611216</v>
      </c>
      <c r="BD17" t="s">
        <v>417</v>
      </c>
      <c r="BE17">
        <v>381.7</v>
      </c>
      <c r="BF17">
        <f t="shared" ref="BF17:BF44" si="34">IF(BE17&lt;&gt;0, BE17, BC17)</f>
        <v>381.7</v>
      </c>
      <c r="BG17">
        <f t="shared" ref="BG17:BG44" si="35">1-BF17/AU17</f>
        <v>0.49710747586376192</v>
      </c>
      <c r="BH17">
        <f t="shared" ref="BH17:BH44" si="36">(AU17-AT17)/(AU17-BF17)</f>
        <v>0.58019660329535838</v>
      </c>
      <c r="BI17">
        <f t="shared" ref="BI17:BI44" si="37">(AO17-AU17)/(AO17-BF17)</f>
        <v>0.21054995135634652</v>
      </c>
      <c r="BJ17">
        <f t="shared" ref="BJ17:BJ44" si="38">(AU17-AT17)/(AU17-AN17)</f>
        <v>0.483545938604235</v>
      </c>
      <c r="BK17">
        <f t="shared" ref="BK17:BK44" si="39">(AO17-AU17)/(AO17-AN17)</f>
        <v>0.18185434289135791</v>
      </c>
      <c r="BL17">
        <f t="shared" ref="BL17:BL44" si="40">(BH17*BF17/AT17)</f>
        <v>0.41004042076295649</v>
      </c>
      <c r="BM17">
        <f t="shared" ref="BM17:BM44" si="41">(1-BL17)</f>
        <v>0.58995957923704356</v>
      </c>
      <c r="BN17">
        <v>20814</v>
      </c>
      <c r="BO17">
        <v>290.00000000000011</v>
      </c>
      <c r="BP17">
        <v>698.73</v>
      </c>
      <c r="BQ17">
        <v>285</v>
      </c>
      <c r="BR17">
        <v>7138.44</v>
      </c>
      <c r="BS17">
        <v>701.25</v>
      </c>
      <c r="BT17">
        <v>-2.52</v>
      </c>
      <c r="BU17">
        <v>300.00000000000011</v>
      </c>
      <c r="BV17">
        <v>38.299999999999997</v>
      </c>
      <c r="BW17">
        <v>759.00909574188461</v>
      </c>
      <c r="BX17">
        <v>1.595083810258318</v>
      </c>
      <c r="BY17">
        <v>-41.230236664885538</v>
      </c>
      <c r="BZ17">
        <v>0.95429999682404931</v>
      </c>
      <c r="CA17">
        <v>0.9852215085338567</v>
      </c>
      <c r="CB17">
        <v>-7.0466582869855299E-3</v>
      </c>
      <c r="CC17">
        <v>289.99999999999989</v>
      </c>
      <c r="CD17">
        <v>710.01</v>
      </c>
      <c r="CE17">
        <v>865</v>
      </c>
      <c r="CF17">
        <v>7131.57</v>
      </c>
      <c r="CG17">
        <v>701.2</v>
      </c>
      <c r="CH17">
        <v>8.81</v>
      </c>
      <c r="CV17">
        <f t="shared" ref="CV17:CV44" si="42">$B$11*DT17+$C$11*DU17+$F$11*EF17*(1-EI17)</f>
        <v>1799.98</v>
      </c>
      <c r="CW17">
        <f t="shared" ref="CW17:CW44" si="43">CV17*CX17</f>
        <v>1513.1675993814733</v>
      </c>
      <c r="CX17">
        <f t="shared" ref="CX17:CX44" si="44">($B$11*$D$9+$C$11*$D$9+$F$11*((ES17+EK17)/MAX(ES17+EK17+ET17, 0.1)*$I$9+ET17/MAX(ES17+EK17+ET17, 0.1)*$J$9))/($B$11+$C$11+$F$11)</f>
        <v>0.84065800696756254</v>
      </c>
      <c r="CY17">
        <f t="shared" ref="CY17:CY44" si="45">($B$11*$K$9+$C$11*$K$9+$F$11*((ES17+EK17)/MAX(ES17+EK17+ET17, 0.1)*$P$9+ET17/MAX(ES17+EK17+ET17, 0.1)*$Q$9))/($B$11+$C$11+$F$11)</f>
        <v>0.19131601393512535</v>
      </c>
      <c r="CZ17">
        <v>4.5999999999999996</v>
      </c>
      <c r="DA17">
        <v>0.5</v>
      </c>
      <c r="DB17" t="s">
        <v>418</v>
      </c>
      <c r="DC17">
        <v>2</v>
      </c>
      <c r="DD17">
        <v>1700237151.5999999</v>
      </c>
      <c r="DE17">
        <v>405.37900000000002</v>
      </c>
      <c r="DF17">
        <v>450.03300000000002</v>
      </c>
      <c r="DG17">
        <v>27.7273</v>
      </c>
      <c r="DH17">
        <v>24.2681</v>
      </c>
      <c r="DI17">
        <v>411.476</v>
      </c>
      <c r="DJ17">
        <v>27.685600000000001</v>
      </c>
      <c r="DK17">
        <v>499.72</v>
      </c>
      <c r="DL17">
        <v>98.780900000000003</v>
      </c>
      <c r="DM17">
        <v>9.9858699999999995E-2</v>
      </c>
      <c r="DN17">
        <v>29.7257</v>
      </c>
      <c r="DO17">
        <v>30.0169</v>
      </c>
      <c r="DP17">
        <v>999.9</v>
      </c>
      <c r="DQ17">
        <v>0</v>
      </c>
      <c r="DR17">
        <v>0</v>
      </c>
      <c r="DS17">
        <v>9998.1200000000008</v>
      </c>
      <c r="DT17">
        <v>0</v>
      </c>
      <c r="DU17">
        <v>272.06799999999998</v>
      </c>
      <c r="DV17">
        <v>-44.653100000000002</v>
      </c>
      <c r="DW17">
        <v>416.94</v>
      </c>
      <c r="DX17">
        <v>461.226</v>
      </c>
      <c r="DY17">
        <v>3.4591699999999999</v>
      </c>
      <c r="DZ17">
        <v>450.03300000000002</v>
      </c>
      <c r="EA17">
        <v>24.2681</v>
      </c>
      <c r="EB17">
        <v>2.7389299999999999</v>
      </c>
      <c r="EC17">
        <v>2.39723</v>
      </c>
      <c r="ED17">
        <v>22.520600000000002</v>
      </c>
      <c r="EE17">
        <v>20.345099999999999</v>
      </c>
      <c r="EF17">
        <v>1799.98</v>
      </c>
      <c r="EG17">
        <v>0.97800500000000001</v>
      </c>
      <c r="EH17">
        <v>2.19945E-2</v>
      </c>
      <c r="EI17">
        <v>0</v>
      </c>
      <c r="EJ17">
        <v>539.90099999999995</v>
      </c>
      <c r="EK17">
        <v>5.0009399999999999</v>
      </c>
      <c r="EL17">
        <v>10420.6</v>
      </c>
      <c r="EM17">
        <v>13860</v>
      </c>
      <c r="EN17">
        <v>47</v>
      </c>
      <c r="EO17">
        <v>48.686999999999998</v>
      </c>
      <c r="EP17">
        <v>48.061999999999998</v>
      </c>
      <c r="EQ17">
        <v>48</v>
      </c>
      <c r="ER17">
        <v>48.5</v>
      </c>
      <c r="ES17">
        <v>1755.5</v>
      </c>
      <c r="ET17">
        <v>39.479999999999997</v>
      </c>
      <c r="EU17">
        <v>0</v>
      </c>
      <c r="EV17">
        <v>1700237132.0999999</v>
      </c>
      <c r="EW17">
        <v>0</v>
      </c>
      <c r="EX17">
        <v>540.09564</v>
      </c>
      <c r="EY17">
        <v>-0.48446153213062099</v>
      </c>
      <c r="EZ17">
        <v>-6.646153840160725</v>
      </c>
      <c r="FA17">
        <v>10421.36</v>
      </c>
      <c r="FB17">
        <v>15</v>
      </c>
      <c r="FC17">
        <v>1700237121.5999999</v>
      </c>
      <c r="FD17" t="s">
        <v>419</v>
      </c>
      <c r="FE17">
        <v>1700237120.0999999</v>
      </c>
      <c r="FF17">
        <v>1700237121.5999999</v>
      </c>
      <c r="FG17">
        <v>4</v>
      </c>
      <c r="FH17">
        <v>0.21199999999999999</v>
      </c>
      <c r="FI17">
        <v>-0.06</v>
      </c>
      <c r="FJ17">
        <v>-6.2430000000000003</v>
      </c>
      <c r="FK17">
        <v>4.2000000000000003E-2</v>
      </c>
      <c r="FL17">
        <v>450</v>
      </c>
      <c r="FM17">
        <v>24</v>
      </c>
      <c r="FN17">
        <v>0.06</v>
      </c>
      <c r="FO17">
        <v>0.04</v>
      </c>
      <c r="FP17">
        <v>46.922298235280067</v>
      </c>
      <c r="FQ17">
        <v>-0.30626741264246299</v>
      </c>
      <c r="FR17">
        <v>3.151218740604473E-2</v>
      </c>
      <c r="FS17">
        <v>1</v>
      </c>
      <c r="FT17">
        <v>0.248018840715617</v>
      </c>
      <c r="FU17">
        <v>3.8137269688902492E-2</v>
      </c>
      <c r="FV17">
        <v>3.4772228371727459E-3</v>
      </c>
      <c r="FW17">
        <v>1</v>
      </c>
      <c r="FX17">
        <v>2</v>
      </c>
      <c r="FY17">
        <v>2</v>
      </c>
      <c r="FZ17" t="s">
        <v>420</v>
      </c>
      <c r="GA17">
        <v>3.1193399999999998</v>
      </c>
      <c r="GB17">
        <v>2.8774600000000001</v>
      </c>
      <c r="GC17">
        <v>8.8763700000000001E-2</v>
      </c>
      <c r="GD17">
        <v>9.6258899999999994E-2</v>
      </c>
      <c r="GE17">
        <v>0.124667</v>
      </c>
      <c r="GF17">
        <v>0.114366</v>
      </c>
      <c r="GG17">
        <v>26566.6</v>
      </c>
      <c r="GH17">
        <v>26868</v>
      </c>
      <c r="GI17">
        <v>26846.9</v>
      </c>
      <c r="GJ17">
        <v>27448.6</v>
      </c>
      <c r="GK17">
        <v>33600.5</v>
      </c>
      <c r="GL17">
        <v>33935.300000000003</v>
      </c>
      <c r="GM17">
        <v>39769.5</v>
      </c>
      <c r="GN17">
        <v>39713.800000000003</v>
      </c>
      <c r="GO17">
        <v>1.9248000000000001</v>
      </c>
      <c r="GP17">
        <v>2.5063</v>
      </c>
      <c r="GQ17">
        <v>6.8206299999999997E-2</v>
      </c>
      <c r="GR17">
        <v>0</v>
      </c>
      <c r="GS17">
        <v>28.905999999999999</v>
      </c>
      <c r="GT17">
        <v>999.9</v>
      </c>
      <c r="GU17">
        <v>55.5</v>
      </c>
      <c r="GV17">
        <v>35.1</v>
      </c>
      <c r="GW17">
        <v>31.912400000000002</v>
      </c>
      <c r="GX17">
        <v>63.194099999999999</v>
      </c>
      <c r="GY17">
        <v>4.5593000000000004</v>
      </c>
      <c r="GZ17">
        <v>3</v>
      </c>
      <c r="HA17">
        <v>0.37942300000000001</v>
      </c>
      <c r="HB17">
        <v>2.64574</v>
      </c>
      <c r="HC17">
        <v>20.287400000000002</v>
      </c>
      <c r="HD17">
        <v>5.2117500000000003</v>
      </c>
      <c r="HE17">
        <v>11.908099999999999</v>
      </c>
      <c r="HF17">
        <v>4.9972000000000003</v>
      </c>
      <c r="HG17">
        <v>3.3022</v>
      </c>
      <c r="HH17">
        <v>9999</v>
      </c>
      <c r="HI17">
        <v>9999</v>
      </c>
      <c r="HJ17">
        <v>9999</v>
      </c>
      <c r="HK17">
        <v>999.9</v>
      </c>
      <c r="HL17">
        <v>1.8846099999999999</v>
      </c>
      <c r="HM17">
        <v>1.88517</v>
      </c>
      <c r="HN17">
        <v>1.8812</v>
      </c>
      <c r="HO17">
        <v>1.8827799999999999</v>
      </c>
      <c r="HP17">
        <v>1.8798600000000001</v>
      </c>
      <c r="HQ17">
        <v>1.8833</v>
      </c>
      <c r="HR17">
        <v>1.8792199999999999</v>
      </c>
      <c r="HS17">
        <v>1.88141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-6.0970000000000004</v>
      </c>
      <c r="IH17">
        <v>4.1700000000000001E-2</v>
      </c>
      <c r="II17">
        <v>-4.6351639842918377</v>
      </c>
      <c r="IJ17">
        <v>-3.7794827560518689E-3</v>
      </c>
      <c r="IK17">
        <v>4.9551128961100493E-7</v>
      </c>
      <c r="IL17">
        <v>1.3680294268397379E-10</v>
      </c>
      <c r="IM17">
        <v>4.1733333333329632E-2</v>
      </c>
      <c r="IN17">
        <v>0</v>
      </c>
      <c r="IO17">
        <v>0</v>
      </c>
      <c r="IP17">
        <v>0</v>
      </c>
      <c r="IQ17">
        <v>4</v>
      </c>
      <c r="IR17">
        <v>2229</v>
      </c>
      <c r="IS17">
        <v>1</v>
      </c>
      <c r="IT17">
        <v>22</v>
      </c>
      <c r="IU17">
        <v>0.5</v>
      </c>
      <c r="IV17">
        <v>0.5</v>
      </c>
      <c r="IW17">
        <v>1.65649</v>
      </c>
      <c r="IX17">
        <v>2.52075</v>
      </c>
      <c r="IY17">
        <v>2.9956100000000001</v>
      </c>
      <c r="IZ17">
        <v>2.96143</v>
      </c>
      <c r="JA17">
        <v>3.1970200000000002</v>
      </c>
      <c r="JB17">
        <v>2.51709</v>
      </c>
      <c r="JC17">
        <v>41.274099999999997</v>
      </c>
      <c r="JD17">
        <v>23.807300000000001</v>
      </c>
      <c r="JE17">
        <v>18</v>
      </c>
      <c r="JF17">
        <v>474.654</v>
      </c>
      <c r="JG17">
        <v>1173.96</v>
      </c>
      <c r="JH17">
        <v>25.384499999999999</v>
      </c>
      <c r="JI17">
        <v>32.035299999999999</v>
      </c>
      <c r="JJ17">
        <v>30.0001</v>
      </c>
      <c r="JK17">
        <v>32.023400000000002</v>
      </c>
      <c r="JL17">
        <v>31.932700000000001</v>
      </c>
      <c r="JM17">
        <v>33.193899999999999</v>
      </c>
      <c r="JN17">
        <v>26.381599999999999</v>
      </c>
      <c r="JO17">
        <v>75.756799999999998</v>
      </c>
      <c r="JP17">
        <v>25.387</v>
      </c>
      <c r="JQ17">
        <v>450</v>
      </c>
      <c r="JR17">
        <v>24.194199999999999</v>
      </c>
      <c r="JS17">
        <v>99.133899999999997</v>
      </c>
      <c r="JT17">
        <v>97.197100000000006</v>
      </c>
    </row>
    <row r="18" spans="1:280" x14ac:dyDescent="0.25">
      <c r="A18">
        <v>2</v>
      </c>
      <c r="B18">
        <v>1700237383.0999999</v>
      </c>
      <c r="C18">
        <v>231.5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1700237383.0999999</v>
      </c>
      <c r="J18">
        <f t="shared" si="0"/>
        <v>1.3077811956716094E-3</v>
      </c>
      <c r="K18">
        <f t="shared" si="1"/>
        <v>1.3077811956716094</v>
      </c>
      <c r="L18">
        <f t="shared" si="2"/>
        <v>46.674802218141707</v>
      </c>
      <c r="M18">
        <f t="shared" si="3"/>
        <v>1455.32</v>
      </c>
      <c r="N18">
        <f t="shared" si="4"/>
        <v>484.40167555171155</v>
      </c>
      <c r="O18">
        <f t="shared" si="5"/>
        <v>47.90169018297091</v>
      </c>
      <c r="P18">
        <f t="shared" si="6"/>
        <v>143.91421680712003</v>
      </c>
      <c r="Q18">
        <f t="shared" si="7"/>
        <v>7.9936501094741E-2</v>
      </c>
      <c r="R18">
        <f t="shared" si="8"/>
        <v>3.2281167910670421</v>
      </c>
      <c r="S18">
        <f t="shared" si="9"/>
        <v>7.885290343416157E-2</v>
      </c>
      <c r="T18">
        <f t="shared" si="10"/>
        <v>4.9379197793435775E-2</v>
      </c>
      <c r="U18">
        <f t="shared" si="11"/>
        <v>344.3617987626198</v>
      </c>
      <c r="V18">
        <f t="shared" si="12"/>
        <v>30.831954407357362</v>
      </c>
      <c r="W18">
        <f t="shared" si="13"/>
        <v>29.968900000000001</v>
      </c>
      <c r="X18">
        <f t="shared" si="14"/>
        <v>4.2528450033332108</v>
      </c>
      <c r="Y18">
        <f t="shared" si="15"/>
        <v>65.289151474542678</v>
      </c>
      <c r="Z18">
        <f t="shared" si="16"/>
        <v>2.6701836587319998</v>
      </c>
      <c r="AA18">
        <f t="shared" si="17"/>
        <v>4.0897815309686614</v>
      </c>
      <c r="AB18">
        <f t="shared" si="18"/>
        <v>1.582661344601211</v>
      </c>
      <c r="AC18">
        <f t="shared" si="19"/>
        <v>-57.673150729117971</v>
      </c>
      <c r="AD18">
        <f t="shared" si="20"/>
        <v>-118.13443698027679</v>
      </c>
      <c r="AE18">
        <f t="shared" si="21"/>
        <v>-8.1072359360173962</v>
      </c>
      <c r="AF18">
        <f t="shared" si="22"/>
        <v>160.44697511720761</v>
      </c>
      <c r="AG18">
        <v>40</v>
      </c>
      <c r="AH18">
        <v>8</v>
      </c>
      <c r="AI18">
        <f t="shared" si="23"/>
        <v>1</v>
      </c>
      <c r="AJ18">
        <f t="shared" si="24"/>
        <v>0</v>
      </c>
      <c r="AK18">
        <f t="shared" si="25"/>
        <v>51868.565876332861</v>
      </c>
      <c r="AL18" t="s">
        <v>415</v>
      </c>
      <c r="AM18">
        <v>7133.88</v>
      </c>
      <c r="AN18">
        <v>306.28384615384618</v>
      </c>
      <c r="AO18">
        <v>859.63916333292491</v>
      </c>
      <c r="AP18">
        <f t="shared" si="26"/>
        <v>0.64370650010133712</v>
      </c>
      <c r="AQ18">
        <v>-0.73746743666429193</v>
      </c>
      <c r="AR18" t="s">
        <v>426</v>
      </c>
      <c r="AS18">
        <v>7139.98</v>
      </c>
      <c r="AT18">
        <v>538.54212000000007</v>
      </c>
      <c r="AU18">
        <v>766.89828906104799</v>
      </c>
      <c r="AV18">
        <f t="shared" si="27"/>
        <v>0.2977659127922111</v>
      </c>
      <c r="AW18">
        <v>0.5</v>
      </c>
      <c r="AX18">
        <f t="shared" si="28"/>
        <v>1513.1510993813099</v>
      </c>
      <c r="AY18">
        <f t="shared" si="29"/>
        <v>46.674802218141707</v>
      </c>
      <c r="AZ18">
        <f t="shared" si="30"/>
        <v>225.28240914990673</v>
      </c>
      <c r="BA18">
        <f t="shared" si="31"/>
        <v>3.1333466746441718E-2</v>
      </c>
      <c r="BB18">
        <f t="shared" si="32"/>
        <v>0.12092982289140874</v>
      </c>
      <c r="BC18">
        <f t="shared" si="33"/>
        <v>293.63225702228323</v>
      </c>
      <c r="BD18" t="s">
        <v>427</v>
      </c>
      <c r="BE18">
        <v>383.42</v>
      </c>
      <c r="BF18">
        <f t="shared" si="34"/>
        <v>383.42</v>
      </c>
      <c r="BG18">
        <f t="shared" si="35"/>
        <v>0.5000380031236733</v>
      </c>
      <c r="BH18">
        <f t="shared" si="36"/>
        <v>0.59548656488528007</v>
      </c>
      <c r="BI18">
        <f t="shared" si="37"/>
        <v>0.19474410400205117</v>
      </c>
      <c r="BJ18">
        <f t="shared" si="38"/>
        <v>0.49576423965293237</v>
      </c>
      <c r="BK18">
        <f t="shared" si="39"/>
        <v>0.16759733103253763</v>
      </c>
      <c r="BL18">
        <f t="shared" si="40"/>
        <v>0.42396211963571961</v>
      </c>
      <c r="BM18">
        <f t="shared" si="41"/>
        <v>0.57603788036428039</v>
      </c>
      <c r="BN18">
        <v>20816</v>
      </c>
      <c r="BO18">
        <v>290.00000000000011</v>
      </c>
      <c r="BP18">
        <v>702.68</v>
      </c>
      <c r="BQ18">
        <v>275</v>
      </c>
      <c r="BR18">
        <v>7139.98</v>
      </c>
      <c r="BS18">
        <v>705.74</v>
      </c>
      <c r="BT18">
        <v>-3.06</v>
      </c>
      <c r="BU18">
        <v>300.00000000000011</v>
      </c>
      <c r="BV18">
        <v>38.200000000000003</v>
      </c>
      <c r="BW18">
        <v>766.89828906104799</v>
      </c>
      <c r="BX18">
        <v>1.73715904376778</v>
      </c>
      <c r="BY18">
        <v>-43.669172093628838</v>
      </c>
      <c r="BZ18">
        <v>1.039477846897344</v>
      </c>
      <c r="CA18">
        <v>0.98438281997913302</v>
      </c>
      <c r="CB18">
        <v>-7.0479085650722983E-3</v>
      </c>
      <c r="CC18">
        <v>289.99999999999989</v>
      </c>
      <c r="CD18">
        <v>714.13</v>
      </c>
      <c r="CE18">
        <v>855</v>
      </c>
      <c r="CF18">
        <v>7132.97</v>
      </c>
      <c r="CG18">
        <v>705.68</v>
      </c>
      <c r="CH18">
        <v>8.4499999999999993</v>
      </c>
      <c r="CV18">
        <f t="shared" si="42"/>
        <v>1799.96</v>
      </c>
      <c r="CW18">
        <f t="shared" si="43"/>
        <v>1513.1510993813099</v>
      </c>
      <c r="CX18">
        <f t="shared" si="44"/>
        <v>0.8406581809491932</v>
      </c>
      <c r="CY18">
        <f t="shared" si="45"/>
        <v>0.19131636189838652</v>
      </c>
      <c r="CZ18">
        <v>4.5999999999999996</v>
      </c>
      <c r="DA18">
        <v>0.5</v>
      </c>
      <c r="DB18" t="s">
        <v>418</v>
      </c>
      <c r="DC18">
        <v>2</v>
      </c>
      <c r="DD18">
        <v>1700237383.0999999</v>
      </c>
      <c r="DE18">
        <v>1455.32</v>
      </c>
      <c r="DF18">
        <v>1499.99</v>
      </c>
      <c r="DG18">
        <v>27.001999999999999</v>
      </c>
      <c r="DH18">
        <v>25.831900000000001</v>
      </c>
      <c r="DI18">
        <v>1465.26</v>
      </c>
      <c r="DJ18">
        <v>26.929099999999998</v>
      </c>
      <c r="DK18">
        <v>500.24400000000003</v>
      </c>
      <c r="DL18">
        <v>98.788300000000007</v>
      </c>
      <c r="DM18">
        <v>0.100066</v>
      </c>
      <c r="DN18">
        <v>29.290099999999999</v>
      </c>
      <c r="DO18">
        <v>29.968900000000001</v>
      </c>
      <c r="DP18">
        <v>999.9</v>
      </c>
      <c r="DQ18">
        <v>0</v>
      </c>
      <c r="DR18">
        <v>0</v>
      </c>
      <c r="DS18">
        <v>10005.6</v>
      </c>
      <c r="DT18">
        <v>0</v>
      </c>
      <c r="DU18">
        <v>241.143</v>
      </c>
      <c r="DV18">
        <v>-44.672499999999999</v>
      </c>
      <c r="DW18">
        <v>1495.7</v>
      </c>
      <c r="DX18">
        <v>1539.77</v>
      </c>
      <c r="DY18">
        <v>1.17008</v>
      </c>
      <c r="DZ18">
        <v>1499.99</v>
      </c>
      <c r="EA18">
        <v>25.831900000000001</v>
      </c>
      <c r="EB18">
        <v>2.6674799999999999</v>
      </c>
      <c r="EC18">
        <v>2.5518900000000002</v>
      </c>
      <c r="ED18">
        <v>22.086099999999998</v>
      </c>
      <c r="EE18">
        <v>21.3613</v>
      </c>
      <c r="EF18">
        <v>1799.96</v>
      </c>
      <c r="EG18">
        <v>0.97800200000000004</v>
      </c>
      <c r="EH18">
        <v>2.1998299999999998E-2</v>
      </c>
      <c r="EI18">
        <v>0</v>
      </c>
      <c r="EJ18">
        <v>538.39700000000005</v>
      </c>
      <c r="EK18">
        <v>5.0009399999999999</v>
      </c>
      <c r="EL18">
        <v>10318.9</v>
      </c>
      <c r="EM18">
        <v>13859.8</v>
      </c>
      <c r="EN18">
        <v>46.75</v>
      </c>
      <c r="EO18">
        <v>48.375</v>
      </c>
      <c r="EP18">
        <v>47.75</v>
      </c>
      <c r="EQ18">
        <v>47.686999999999998</v>
      </c>
      <c r="ER18">
        <v>48.186999999999998</v>
      </c>
      <c r="ES18">
        <v>1755.47</v>
      </c>
      <c r="ET18">
        <v>39.49</v>
      </c>
      <c r="EU18">
        <v>0</v>
      </c>
      <c r="EV18">
        <v>229.79999995231631</v>
      </c>
      <c r="EW18">
        <v>0</v>
      </c>
      <c r="EX18">
        <v>538.54212000000007</v>
      </c>
      <c r="EY18">
        <v>-2.2783076855662618</v>
      </c>
      <c r="EZ18">
        <v>-49.115384707459967</v>
      </c>
      <c r="FA18">
        <v>10325.58</v>
      </c>
      <c r="FB18">
        <v>15</v>
      </c>
      <c r="FC18">
        <v>1700237325.5999999</v>
      </c>
      <c r="FD18" t="s">
        <v>428</v>
      </c>
      <c r="FE18">
        <v>1700237325.5999999</v>
      </c>
      <c r="FF18">
        <v>1700237319.0999999</v>
      </c>
      <c r="FG18">
        <v>5</v>
      </c>
      <c r="FH18">
        <v>-1.26</v>
      </c>
      <c r="FI18">
        <v>3.1E-2</v>
      </c>
      <c r="FJ18">
        <v>-10</v>
      </c>
      <c r="FK18">
        <v>7.2999999999999995E-2</v>
      </c>
      <c r="FL18">
        <v>1500</v>
      </c>
      <c r="FM18">
        <v>26</v>
      </c>
      <c r="FN18">
        <v>0.08</v>
      </c>
      <c r="FO18">
        <v>0.08</v>
      </c>
      <c r="FP18">
        <v>46.480084011984417</v>
      </c>
      <c r="FQ18">
        <v>0.6692785573123482</v>
      </c>
      <c r="FR18">
        <v>6.9835600142521534E-2</v>
      </c>
      <c r="FS18">
        <v>1</v>
      </c>
      <c r="FT18">
        <v>7.7798119114686565E-2</v>
      </c>
      <c r="FU18">
        <v>-2.334501206418901E-2</v>
      </c>
      <c r="FV18">
        <v>2.830940256905448E-3</v>
      </c>
      <c r="FW18">
        <v>1</v>
      </c>
      <c r="FX18">
        <v>2</v>
      </c>
      <c r="FY18">
        <v>2</v>
      </c>
      <c r="FZ18" t="s">
        <v>420</v>
      </c>
      <c r="GA18">
        <v>3.1203099999999999</v>
      </c>
      <c r="GB18">
        <v>2.8777499999999998</v>
      </c>
      <c r="GC18">
        <v>0.20961399999999999</v>
      </c>
      <c r="GD18">
        <v>0.215033</v>
      </c>
      <c r="GE18">
        <v>0.12224</v>
      </c>
      <c r="GF18">
        <v>0.119534</v>
      </c>
      <c r="GG18">
        <v>23036.799999999999</v>
      </c>
      <c r="GH18">
        <v>23330.6</v>
      </c>
      <c r="GI18">
        <v>26842.5</v>
      </c>
      <c r="GJ18">
        <v>27444.5</v>
      </c>
      <c r="GK18">
        <v>33698.1</v>
      </c>
      <c r="GL18">
        <v>33741.199999999997</v>
      </c>
      <c r="GM18">
        <v>39762</v>
      </c>
      <c r="GN18">
        <v>39707.599999999999</v>
      </c>
      <c r="GO18">
        <v>1.92353</v>
      </c>
      <c r="GP18">
        <v>2.5069499999999998</v>
      </c>
      <c r="GQ18">
        <v>7.2479199999999994E-2</v>
      </c>
      <c r="GR18">
        <v>0</v>
      </c>
      <c r="GS18">
        <v>28.7882</v>
      </c>
      <c r="GT18">
        <v>999.9</v>
      </c>
      <c r="GU18">
        <v>54.6</v>
      </c>
      <c r="GV18">
        <v>35.4</v>
      </c>
      <c r="GW18">
        <v>31.9161</v>
      </c>
      <c r="GX18">
        <v>62.764099999999999</v>
      </c>
      <c r="GY18">
        <v>4.2347799999999998</v>
      </c>
      <c r="GZ18">
        <v>3</v>
      </c>
      <c r="HA18">
        <v>0.38686999999999999</v>
      </c>
      <c r="HB18">
        <v>2.8858000000000001</v>
      </c>
      <c r="HC18">
        <v>20.2851</v>
      </c>
      <c r="HD18">
        <v>5.2115999999999998</v>
      </c>
      <c r="HE18">
        <v>11.908099999999999</v>
      </c>
      <c r="HF18">
        <v>4.9976000000000003</v>
      </c>
      <c r="HG18">
        <v>3.3020999999999998</v>
      </c>
      <c r="HH18">
        <v>9999</v>
      </c>
      <c r="HI18">
        <v>9999</v>
      </c>
      <c r="HJ18">
        <v>9999</v>
      </c>
      <c r="HK18">
        <v>999.9</v>
      </c>
      <c r="HL18">
        <v>1.8846000000000001</v>
      </c>
      <c r="HM18">
        <v>1.8851599999999999</v>
      </c>
      <c r="HN18">
        <v>1.8811599999999999</v>
      </c>
      <c r="HO18">
        <v>1.8827700000000001</v>
      </c>
      <c r="HP18">
        <v>1.8798699999999999</v>
      </c>
      <c r="HQ18">
        <v>1.88327</v>
      </c>
      <c r="HR18">
        <v>1.87917</v>
      </c>
      <c r="HS18">
        <v>1.88141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-9.94</v>
      </c>
      <c r="IH18">
        <v>7.2900000000000006E-2</v>
      </c>
      <c r="II18">
        <v>-5.893854138685457</v>
      </c>
      <c r="IJ18">
        <v>-3.7794827560518689E-3</v>
      </c>
      <c r="IK18">
        <v>4.9551128961100493E-7</v>
      </c>
      <c r="IL18">
        <v>1.3680294268397379E-10</v>
      </c>
      <c r="IM18">
        <v>7.2889999999993904E-2</v>
      </c>
      <c r="IN18">
        <v>0</v>
      </c>
      <c r="IO18">
        <v>0</v>
      </c>
      <c r="IP18">
        <v>0</v>
      </c>
      <c r="IQ18">
        <v>4</v>
      </c>
      <c r="IR18">
        <v>2229</v>
      </c>
      <c r="IS18">
        <v>1</v>
      </c>
      <c r="IT18">
        <v>22</v>
      </c>
      <c r="IU18">
        <v>1</v>
      </c>
      <c r="IV18">
        <v>1.1000000000000001</v>
      </c>
      <c r="IW18">
        <v>4.3493700000000004</v>
      </c>
      <c r="IX18">
        <v>2.5097700000000001</v>
      </c>
      <c r="IY18">
        <v>2.9956100000000001</v>
      </c>
      <c r="IZ18">
        <v>2.96021</v>
      </c>
      <c r="JA18">
        <v>3.1970200000000002</v>
      </c>
      <c r="JB18">
        <v>2.47437</v>
      </c>
      <c r="JC18">
        <v>41.378100000000003</v>
      </c>
      <c r="JD18">
        <v>23.7986</v>
      </c>
      <c r="JE18">
        <v>18</v>
      </c>
      <c r="JF18">
        <v>474.35700000000003</v>
      </c>
      <c r="JG18">
        <v>1175.95</v>
      </c>
      <c r="JH18">
        <v>24.3948</v>
      </c>
      <c r="JI18">
        <v>32.128700000000002</v>
      </c>
      <c r="JJ18">
        <v>29.999300000000002</v>
      </c>
      <c r="JK18">
        <v>32.085299999999997</v>
      </c>
      <c r="JL18">
        <v>31.988600000000002</v>
      </c>
      <c r="JM18">
        <v>87.153300000000002</v>
      </c>
      <c r="JN18">
        <v>21.5352</v>
      </c>
      <c r="JO18">
        <v>73.877499999999998</v>
      </c>
      <c r="JP18">
        <v>24.408799999999999</v>
      </c>
      <c r="JQ18">
        <v>1500</v>
      </c>
      <c r="JR18">
        <v>25.723400000000002</v>
      </c>
      <c r="JS18">
        <v>99.116200000000006</v>
      </c>
      <c r="JT18">
        <v>97.182199999999995</v>
      </c>
    </row>
    <row r="19" spans="1:280" x14ac:dyDescent="0.25">
      <c r="A19">
        <v>3</v>
      </c>
      <c r="B19">
        <v>1700237571.5999999</v>
      </c>
      <c r="C19">
        <v>420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1700237571.5999999</v>
      </c>
      <c r="J19">
        <f t="shared" si="0"/>
        <v>1.9300334128982348E-3</v>
      </c>
      <c r="K19">
        <f t="shared" si="1"/>
        <v>1.9300334128982348</v>
      </c>
      <c r="L19">
        <f t="shared" si="2"/>
        <v>52.029933077762649</v>
      </c>
      <c r="M19">
        <f t="shared" si="3"/>
        <v>1199.8900000000001</v>
      </c>
      <c r="N19">
        <f t="shared" si="4"/>
        <v>460.24235200105471</v>
      </c>
      <c r="O19">
        <f t="shared" si="5"/>
        <v>45.514509339338197</v>
      </c>
      <c r="P19">
        <f t="shared" si="6"/>
        <v>118.660102386782</v>
      </c>
      <c r="Q19">
        <f t="shared" si="7"/>
        <v>0.11803142903827396</v>
      </c>
      <c r="R19">
        <f t="shared" si="8"/>
        <v>3.2280849055571421</v>
      </c>
      <c r="S19">
        <f t="shared" si="9"/>
        <v>0.11568523928269318</v>
      </c>
      <c r="T19">
        <f t="shared" si="10"/>
        <v>7.2510186002020263E-2</v>
      </c>
      <c r="U19">
        <f t="shared" si="11"/>
        <v>344.3389987625373</v>
      </c>
      <c r="V19">
        <f t="shared" si="12"/>
        <v>30.799758713101419</v>
      </c>
      <c r="W19">
        <f t="shared" si="13"/>
        <v>29.996700000000001</v>
      </c>
      <c r="X19">
        <f t="shared" si="14"/>
        <v>4.2596422738682334</v>
      </c>
      <c r="Y19">
        <f t="shared" si="15"/>
        <v>64.791155731072848</v>
      </c>
      <c r="Z19">
        <f t="shared" si="16"/>
        <v>2.6675555257663399</v>
      </c>
      <c r="AA19">
        <f t="shared" si="17"/>
        <v>4.11715996676846</v>
      </c>
      <c r="AB19">
        <f t="shared" si="18"/>
        <v>1.5920867481018934</v>
      </c>
      <c r="AC19">
        <f t="shared" si="19"/>
        <v>-85.114473508812154</v>
      </c>
      <c r="AD19">
        <f t="shared" si="20"/>
        <v>-102.85321543618261</v>
      </c>
      <c r="AE19">
        <f t="shared" si="21"/>
        <v>-7.0636142469797223</v>
      </c>
      <c r="AF19">
        <f t="shared" si="22"/>
        <v>149.3076955705628</v>
      </c>
      <c r="AG19">
        <v>40</v>
      </c>
      <c r="AH19">
        <v>8</v>
      </c>
      <c r="AI19">
        <f t="shared" si="23"/>
        <v>1</v>
      </c>
      <c r="AJ19">
        <f t="shared" si="24"/>
        <v>0</v>
      </c>
      <c r="AK19">
        <f t="shared" si="25"/>
        <v>51848.065671570752</v>
      </c>
      <c r="AL19" t="s">
        <v>415</v>
      </c>
      <c r="AM19">
        <v>7133.88</v>
      </c>
      <c r="AN19">
        <v>306.28384615384618</v>
      </c>
      <c r="AO19">
        <v>859.63916333292491</v>
      </c>
      <c r="AP19">
        <f t="shared" si="26"/>
        <v>0.64370650010133712</v>
      </c>
      <c r="AQ19">
        <v>-0.73746743666429193</v>
      </c>
      <c r="AR19" t="s">
        <v>431</v>
      </c>
      <c r="AS19">
        <v>7140.51</v>
      </c>
      <c r="AT19">
        <v>530.53584000000001</v>
      </c>
      <c r="AU19">
        <v>773.05222242745901</v>
      </c>
      <c r="AV19">
        <f t="shared" si="27"/>
        <v>0.31371280670526247</v>
      </c>
      <c r="AW19">
        <v>0.5</v>
      </c>
      <c r="AX19">
        <f t="shared" si="28"/>
        <v>1513.0502993812686</v>
      </c>
      <c r="AY19">
        <f t="shared" si="29"/>
        <v>52.029933077762649</v>
      </c>
      <c r="AZ19">
        <f t="shared" si="30"/>
        <v>237.33162805256771</v>
      </c>
      <c r="BA19">
        <f t="shared" si="31"/>
        <v>3.4874848863917549E-2</v>
      </c>
      <c r="BB19">
        <f t="shared" si="32"/>
        <v>0.11200658686883339</v>
      </c>
      <c r="BC19">
        <f t="shared" si="33"/>
        <v>294.52997402343283</v>
      </c>
      <c r="BD19" t="s">
        <v>432</v>
      </c>
      <c r="BE19">
        <v>383.61</v>
      </c>
      <c r="BF19">
        <f t="shared" si="34"/>
        <v>383.61</v>
      </c>
      <c r="BG19">
        <f t="shared" si="35"/>
        <v>0.50377220468311013</v>
      </c>
      <c r="BH19">
        <f t="shared" si="36"/>
        <v>0.62272750221024709</v>
      </c>
      <c r="BI19">
        <f t="shared" si="37"/>
        <v>0.18189419383305469</v>
      </c>
      <c r="BJ19">
        <f t="shared" si="38"/>
        <v>0.51956472365064299</v>
      </c>
      <c r="BK19">
        <f t="shared" si="39"/>
        <v>0.15647620654821381</v>
      </c>
      <c r="BL19">
        <f t="shared" si="40"/>
        <v>0.45027023456675969</v>
      </c>
      <c r="BM19">
        <f t="shared" si="41"/>
        <v>0.54972976543324026</v>
      </c>
      <c r="BN19">
        <v>20818</v>
      </c>
      <c r="BO19">
        <v>290.00000000000011</v>
      </c>
      <c r="BP19">
        <v>704.45</v>
      </c>
      <c r="BQ19">
        <v>295</v>
      </c>
      <c r="BR19">
        <v>7140.51</v>
      </c>
      <c r="BS19">
        <v>706.25</v>
      </c>
      <c r="BT19">
        <v>-1.8</v>
      </c>
      <c r="BU19">
        <v>300.00000000000011</v>
      </c>
      <c r="BV19">
        <v>38.200000000000003</v>
      </c>
      <c r="BW19">
        <v>773.05222242745901</v>
      </c>
      <c r="BX19">
        <v>1.505550838170715</v>
      </c>
      <c r="BY19">
        <v>-47.703322948640839</v>
      </c>
      <c r="BZ19">
        <v>0.90099938450899009</v>
      </c>
      <c r="CA19">
        <v>0.99011006966436543</v>
      </c>
      <c r="CB19">
        <v>-7.0487388209121218E-3</v>
      </c>
      <c r="CC19">
        <v>289.99999999999989</v>
      </c>
      <c r="CD19">
        <v>714.35</v>
      </c>
      <c r="CE19">
        <v>835</v>
      </c>
      <c r="CF19">
        <v>7134.13</v>
      </c>
      <c r="CG19">
        <v>706.19</v>
      </c>
      <c r="CH19">
        <v>8.16</v>
      </c>
      <c r="CV19">
        <f t="shared" si="42"/>
        <v>1799.84</v>
      </c>
      <c r="CW19">
        <f t="shared" si="43"/>
        <v>1513.0502993812686</v>
      </c>
      <c r="CX19">
        <f t="shared" si="44"/>
        <v>0.84065822483180097</v>
      </c>
      <c r="CY19">
        <f t="shared" si="45"/>
        <v>0.19131644966360195</v>
      </c>
      <c r="CZ19">
        <v>4.5999999999999996</v>
      </c>
      <c r="DA19">
        <v>0.5</v>
      </c>
      <c r="DB19" t="s">
        <v>418</v>
      </c>
      <c r="DC19">
        <v>2</v>
      </c>
      <c r="DD19">
        <v>1700237571.5999999</v>
      </c>
      <c r="DE19">
        <v>1199.8900000000001</v>
      </c>
      <c r="DF19">
        <v>1249.8900000000001</v>
      </c>
      <c r="DG19">
        <v>26.974299999999999</v>
      </c>
      <c r="DH19">
        <v>25.246500000000001</v>
      </c>
      <c r="DI19">
        <v>1209.19</v>
      </c>
      <c r="DJ19">
        <v>26.9054</v>
      </c>
      <c r="DK19">
        <v>499.98099999999999</v>
      </c>
      <c r="DL19">
        <v>98.792699999999996</v>
      </c>
      <c r="DM19">
        <v>9.9783800000000006E-2</v>
      </c>
      <c r="DN19">
        <v>29.4057</v>
      </c>
      <c r="DO19">
        <v>29.996700000000001</v>
      </c>
      <c r="DP19">
        <v>999.9</v>
      </c>
      <c r="DQ19">
        <v>0</v>
      </c>
      <c r="DR19">
        <v>0</v>
      </c>
      <c r="DS19">
        <v>10005</v>
      </c>
      <c r="DT19">
        <v>0</v>
      </c>
      <c r="DU19">
        <v>285.29000000000002</v>
      </c>
      <c r="DV19">
        <v>-49.996899999999997</v>
      </c>
      <c r="DW19">
        <v>1233.1600000000001</v>
      </c>
      <c r="DX19">
        <v>1282.26</v>
      </c>
      <c r="DY19">
        <v>1.72784</v>
      </c>
      <c r="DZ19">
        <v>1249.8900000000001</v>
      </c>
      <c r="EA19">
        <v>25.246500000000001</v>
      </c>
      <c r="EB19">
        <v>2.6648700000000001</v>
      </c>
      <c r="EC19">
        <v>2.49417</v>
      </c>
      <c r="ED19">
        <v>22.0701</v>
      </c>
      <c r="EE19">
        <v>20.988499999999998</v>
      </c>
      <c r="EF19">
        <v>1799.84</v>
      </c>
      <c r="EG19">
        <v>0.97799800000000003</v>
      </c>
      <c r="EH19">
        <v>2.2001900000000001E-2</v>
      </c>
      <c r="EI19">
        <v>0</v>
      </c>
      <c r="EJ19">
        <v>530.43799999999999</v>
      </c>
      <c r="EK19">
        <v>5.0009399999999999</v>
      </c>
      <c r="EL19">
        <v>10272.200000000001</v>
      </c>
      <c r="EM19">
        <v>13858.9</v>
      </c>
      <c r="EN19">
        <v>46.561999999999998</v>
      </c>
      <c r="EO19">
        <v>48.25</v>
      </c>
      <c r="EP19">
        <v>47.561999999999998</v>
      </c>
      <c r="EQ19">
        <v>47.561999999999998</v>
      </c>
      <c r="ER19">
        <v>48</v>
      </c>
      <c r="ES19">
        <v>1755.35</v>
      </c>
      <c r="ET19">
        <v>39.49</v>
      </c>
      <c r="EU19">
        <v>0</v>
      </c>
      <c r="EV19">
        <v>186.60000014305109</v>
      </c>
      <c r="EW19">
        <v>0</v>
      </c>
      <c r="EX19">
        <v>530.53584000000001</v>
      </c>
      <c r="EY19">
        <v>-1.299153837052492</v>
      </c>
      <c r="EZ19">
        <v>40.29999979432214</v>
      </c>
      <c r="FA19">
        <v>10268.871999999999</v>
      </c>
      <c r="FB19">
        <v>15</v>
      </c>
      <c r="FC19">
        <v>1700237497.5999999</v>
      </c>
      <c r="FD19" t="s">
        <v>433</v>
      </c>
      <c r="FE19">
        <v>1700237497.5999999</v>
      </c>
      <c r="FF19">
        <v>1700237487.5999999</v>
      </c>
      <c r="FG19">
        <v>6</v>
      </c>
      <c r="FH19">
        <v>0.19800000000000001</v>
      </c>
      <c r="FI19">
        <v>-4.0000000000000001E-3</v>
      </c>
      <c r="FJ19">
        <v>-9.3979999999999997</v>
      </c>
      <c r="FK19">
        <v>6.9000000000000006E-2</v>
      </c>
      <c r="FL19">
        <v>1250</v>
      </c>
      <c r="FM19">
        <v>26</v>
      </c>
      <c r="FN19">
        <v>0.12</v>
      </c>
      <c r="FO19">
        <v>0.08</v>
      </c>
      <c r="FP19">
        <v>52.046052877362783</v>
      </c>
      <c r="FQ19">
        <v>0.58253447864077967</v>
      </c>
      <c r="FR19">
        <v>5.0944985510795057E-2</v>
      </c>
      <c r="FS19">
        <v>1</v>
      </c>
      <c r="FT19">
        <v>0.118576140048209</v>
      </c>
      <c r="FU19">
        <v>-3.5537745792706549E-3</v>
      </c>
      <c r="FV19">
        <v>8.5550162052321153E-4</v>
      </c>
      <c r="FW19">
        <v>1</v>
      </c>
      <c r="FX19">
        <v>2</v>
      </c>
      <c r="FY19">
        <v>2</v>
      </c>
      <c r="FZ19" t="s">
        <v>420</v>
      </c>
      <c r="GA19">
        <v>3.1198600000000001</v>
      </c>
      <c r="GB19">
        <v>2.8774500000000001</v>
      </c>
      <c r="GC19">
        <v>0.18635499999999999</v>
      </c>
      <c r="GD19">
        <v>0.19247900000000001</v>
      </c>
      <c r="GE19">
        <v>0.122151</v>
      </c>
      <c r="GF19">
        <v>0.117601</v>
      </c>
      <c r="GG19">
        <v>23712.400000000001</v>
      </c>
      <c r="GH19">
        <v>23996.799999999999</v>
      </c>
      <c r="GI19">
        <v>26839</v>
      </c>
      <c r="GJ19">
        <v>27438.9</v>
      </c>
      <c r="GK19">
        <v>33696.199999999997</v>
      </c>
      <c r="GL19">
        <v>33808.699999999997</v>
      </c>
      <c r="GM19">
        <v>39757.699999999997</v>
      </c>
      <c r="GN19">
        <v>39701.699999999997</v>
      </c>
      <c r="GO19">
        <v>1.92283</v>
      </c>
      <c r="GP19">
        <v>2.5049700000000001</v>
      </c>
      <c r="GQ19">
        <v>7.7813900000000005E-2</v>
      </c>
      <c r="GR19">
        <v>0</v>
      </c>
      <c r="GS19">
        <v>28.728999999999999</v>
      </c>
      <c r="GT19">
        <v>999.9</v>
      </c>
      <c r="GU19">
        <v>53.8</v>
      </c>
      <c r="GV19">
        <v>35.700000000000003</v>
      </c>
      <c r="GW19">
        <v>31.970800000000001</v>
      </c>
      <c r="GX19">
        <v>62.984099999999998</v>
      </c>
      <c r="GY19">
        <v>4.5392599999999996</v>
      </c>
      <c r="GZ19">
        <v>3</v>
      </c>
      <c r="HA19">
        <v>0.38992399999999999</v>
      </c>
      <c r="HB19">
        <v>2.3227500000000001</v>
      </c>
      <c r="HC19">
        <v>20.292400000000001</v>
      </c>
      <c r="HD19">
        <v>5.2117500000000003</v>
      </c>
      <c r="HE19">
        <v>11.908099999999999</v>
      </c>
      <c r="HF19">
        <v>4.9964000000000004</v>
      </c>
      <c r="HG19">
        <v>3.3015300000000001</v>
      </c>
      <c r="HH19">
        <v>9999</v>
      </c>
      <c r="HI19">
        <v>9999</v>
      </c>
      <c r="HJ19">
        <v>9999</v>
      </c>
      <c r="HK19">
        <v>999.9</v>
      </c>
      <c r="HL19">
        <v>1.8846099999999999</v>
      </c>
      <c r="HM19">
        <v>1.8851899999999999</v>
      </c>
      <c r="HN19">
        <v>1.8811899999999999</v>
      </c>
      <c r="HO19">
        <v>1.8827799999999999</v>
      </c>
      <c r="HP19">
        <v>1.87988</v>
      </c>
      <c r="HQ19">
        <v>1.8833200000000001</v>
      </c>
      <c r="HR19">
        <v>1.87921</v>
      </c>
      <c r="HS19">
        <v>1.88141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-9.3000000000000007</v>
      </c>
      <c r="IH19">
        <v>6.8900000000000003E-2</v>
      </c>
      <c r="II19">
        <v>-5.6974379168555016</v>
      </c>
      <c r="IJ19">
        <v>-3.7794827560518689E-3</v>
      </c>
      <c r="IK19">
        <v>4.9551128961100493E-7</v>
      </c>
      <c r="IL19">
        <v>1.3680294268397379E-10</v>
      </c>
      <c r="IM19">
        <v>6.8960000000004129E-2</v>
      </c>
      <c r="IN19">
        <v>0</v>
      </c>
      <c r="IO19">
        <v>0</v>
      </c>
      <c r="IP19">
        <v>0</v>
      </c>
      <c r="IQ19">
        <v>4</v>
      </c>
      <c r="IR19">
        <v>2229</v>
      </c>
      <c r="IS19">
        <v>1</v>
      </c>
      <c r="IT19">
        <v>22</v>
      </c>
      <c r="IU19">
        <v>1.2</v>
      </c>
      <c r="IV19">
        <v>1.4</v>
      </c>
      <c r="IW19">
        <v>3.7768600000000001</v>
      </c>
      <c r="IX19">
        <v>2.49146</v>
      </c>
      <c r="IY19">
        <v>2.9956100000000001</v>
      </c>
      <c r="IZ19">
        <v>2.96021</v>
      </c>
      <c r="JA19">
        <v>3.1970200000000002</v>
      </c>
      <c r="JB19">
        <v>2.4414099999999999</v>
      </c>
      <c r="JC19">
        <v>41.456200000000003</v>
      </c>
      <c r="JD19">
        <v>23.7898</v>
      </c>
      <c r="JE19">
        <v>18</v>
      </c>
      <c r="JF19">
        <v>474.40600000000001</v>
      </c>
      <c r="JG19">
        <v>1174.42</v>
      </c>
      <c r="JH19">
        <v>25.455100000000002</v>
      </c>
      <c r="JI19">
        <v>32.183799999999998</v>
      </c>
      <c r="JJ19">
        <v>30.0002</v>
      </c>
      <c r="JK19">
        <v>32.147799999999997</v>
      </c>
      <c r="JL19">
        <v>32.050600000000003</v>
      </c>
      <c r="JM19">
        <v>75.681899999999999</v>
      </c>
      <c r="JN19">
        <v>23.2744</v>
      </c>
      <c r="JO19">
        <v>71.997100000000003</v>
      </c>
      <c r="JP19">
        <v>25.4529</v>
      </c>
      <c r="JQ19">
        <v>1250</v>
      </c>
      <c r="JR19">
        <v>25.263000000000002</v>
      </c>
      <c r="JS19">
        <v>99.104699999999994</v>
      </c>
      <c r="JT19">
        <v>97.165499999999994</v>
      </c>
    </row>
    <row r="20" spans="1:280" x14ac:dyDescent="0.25">
      <c r="A20">
        <v>4</v>
      </c>
      <c r="B20">
        <v>1700237756.0999999</v>
      </c>
      <c r="C20">
        <v>604.5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1700237756.0999999</v>
      </c>
      <c r="J20">
        <f t="shared" si="0"/>
        <v>2.3973130090852129E-3</v>
      </c>
      <c r="K20">
        <f t="shared" si="1"/>
        <v>2.3973130090852131</v>
      </c>
      <c r="L20">
        <f t="shared" si="2"/>
        <v>53.629017112365432</v>
      </c>
      <c r="M20">
        <f t="shared" si="3"/>
        <v>948.63</v>
      </c>
      <c r="N20">
        <f t="shared" si="4"/>
        <v>340.19821203134182</v>
      </c>
      <c r="O20">
        <f t="shared" si="5"/>
        <v>33.638358989172708</v>
      </c>
      <c r="P20">
        <f t="shared" si="6"/>
        <v>93.799306872779994</v>
      </c>
      <c r="Q20">
        <f t="shared" si="7"/>
        <v>0.14826201814333911</v>
      </c>
      <c r="R20">
        <f t="shared" si="8"/>
        <v>3.2218451422136392</v>
      </c>
      <c r="S20">
        <f t="shared" si="9"/>
        <v>0.14457334921200882</v>
      </c>
      <c r="T20">
        <f t="shared" si="10"/>
        <v>9.0682111820884939E-2</v>
      </c>
      <c r="U20">
        <f t="shared" si="11"/>
        <v>344.3617987626198</v>
      </c>
      <c r="V20">
        <f t="shared" si="12"/>
        <v>30.769222865237005</v>
      </c>
      <c r="W20">
        <f t="shared" si="13"/>
        <v>30.026499999999999</v>
      </c>
      <c r="X20">
        <f t="shared" si="14"/>
        <v>4.2669390690337368</v>
      </c>
      <c r="Y20">
        <f t="shared" si="15"/>
        <v>64.921836939879711</v>
      </c>
      <c r="Z20">
        <f t="shared" si="16"/>
        <v>2.6849721584651998</v>
      </c>
      <c r="AA20">
        <f t="shared" si="17"/>
        <v>4.1356996120605674</v>
      </c>
      <c r="AB20">
        <f t="shared" si="18"/>
        <v>1.581966910568537</v>
      </c>
      <c r="AC20">
        <f t="shared" si="19"/>
        <v>-105.72150370065789</v>
      </c>
      <c r="AD20">
        <f t="shared" si="20"/>
        <v>-94.299621000182015</v>
      </c>
      <c r="AE20">
        <f t="shared" si="21"/>
        <v>-6.4921871373048807</v>
      </c>
      <c r="AF20">
        <f t="shared" si="22"/>
        <v>137.84848692447503</v>
      </c>
      <c r="AG20">
        <v>39</v>
      </c>
      <c r="AH20">
        <v>8</v>
      </c>
      <c r="AI20">
        <f t="shared" si="23"/>
        <v>1</v>
      </c>
      <c r="AJ20">
        <f t="shared" si="24"/>
        <v>0</v>
      </c>
      <c r="AK20">
        <f t="shared" si="25"/>
        <v>51684.378705920579</v>
      </c>
      <c r="AL20" t="s">
        <v>415</v>
      </c>
      <c r="AM20">
        <v>7133.88</v>
      </c>
      <c r="AN20">
        <v>306.28384615384618</v>
      </c>
      <c r="AO20">
        <v>859.63916333292491</v>
      </c>
      <c r="AP20">
        <f t="shared" si="26"/>
        <v>0.64370650010133712</v>
      </c>
      <c r="AQ20">
        <v>-0.73746743666429193</v>
      </c>
      <c r="AR20" t="s">
        <v>436</v>
      </c>
      <c r="AS20">
        <v>7141</v>
      </c>
      <c r="AT20">
        <v>528.33615384615393</v>
      </c>
      <c r="AU20">
        <v>771.27577762409555</v>
      </c>
      <c r="AV20">
        <f t="shared" si="27"/>
        <v>0.31498412218559979</v>
      </c>
      <c r="AW20">
        <v>0.5</v>
      </c>
      <c r="AX20">
        <f t="shared" si="28"/>
        <v>1513.1510993813099</v>
      </c>
      <c r="AY20">
        <f t="shared" si="29"/>
        <v>53.629017112365432</v>
      </c>
      <c r="AZ20">
        <f t="shared" si="30"/>
        <v>238.30928538639859</v>
      </c>
      <c r="BA20">
        <f t="shared" si="31"/>
        <v>3.5929316359257731E-2</v>
      </c>
      <c r="BB20">
        <f t="shared" si="32"/>
        <v>0.11456782161762107</v>
      </c>
      <c r="BC20">
        <f t="shared" si="33"/>
        <v>294.27174131470929</v>
      </c>
      <c r="BD20" t="s">
        <v>437</v>
      </c>
      <c r="BE20">
        <v>383.74</v>
      </c>
      <c r="BF20">
        <f t="shared" si="34"/>
        <v>383.74</v>
      </c>
      <c r="BG20">
        <f t="shared" si="35"/>
        <v>0.50246071362164924</v>
      </c>
      <c r="BH20">
        <f t="shared" si="36"/>
        <v>0.62688308487891342</v>
      </c>
      <c r="BI20">
        <f t="shared" si="37"/>
        <v>0.18567669900905659</v>
      </c>
      <c r="BJ20">
        <f t="shared" si="38"/>
        <v>0.52245986937836819</v>
      </c>
      <c r="BK20">
        <f t="shared" si="39"/>
        <v>0.1596865214186293</v>
      </c>
      <c r="BL20">
        <f t="shared" si="40"/>
        <v>0.45531639892560311</v>
      </c>
      <c r="BM20">
        <f t="shared" si="41"/>
        <v>0.54468360107439695</v>
      </c>
      <c r="BN20">
        <v>20820</v>
      </c>
      <c r="BO20">
        <v>290.00000000000011</v>
      </c>
      <c r="BP20">
        <v>704.17</v>
      </c>
      <c r="BQ20">
        <v>295</v>
      </c>
      <c r="BR20">
        <v>7141</v>
      </c>
      <c r="BS20">
        <v>706.23</v>
      </c>
      <c r="BT20">
        <v>-2.06</v>
      </c>
      <c r="BU20">
        <v>300.00000000000011</v>
      </c>
      <c r="BV20">
        <v>38.200000000000003</v>
      </c>
      <c r="BW20">
        <v>771.27577762409555</v>
      </c>
      <c r="BX20">
        <v>1.4647234889362879</v>
      </c>
      <c r="BY20">
        <v>-46.446421547062613</v>
      </c>
      <c r="BZ20">
        <v>0.87662637644937702</v>
      </c>
      <c r="CA20">
        <v>0.99012420069478224</v>
      </c>
      <c r="CB20">
        <v>-7.0492427141268122E-3</v>
      </c>
      <c r="CC20">
        <v>289.99999999999989</v>
      </c>
      <c r="CD20">
        <v>713.96</v>
      </c>
      <c r="CE20">
        <v>865</v>
      </c>
      <c r="CF20">
        <v>7134.26</v>
      </c>
      <c r="CG20">
        <v>706.17</v>
      </c>
      <c r="CH20">
        <v>7.79</v>
      </c>
      <c r="CV20">
        <f t="shared" si="42"/>
        <v>1799.96</v>
      </c>
      <c r="CW20">
        <f t="shared" si="43"/>
        <v>1513.1510993813099</v>
      </c>
      <c r="CX20">
        <f t="shared" si="44"/>
        <v>0.8406581809491932</v>
      </c>
      <c r="CY20">
        <f t="shared" si="45"/>
        <v>0.19131636189838652</v>
      </c>
      <c r="CZ20">
        <v>4.5999999999999996</v>
      </c>
      <c r="DA20">
        <v>0.5</v>
      </c>
      <c r="DB20" t="s">
        <v>418</v>
      </c>
      <c r="DC20">
        <v>2</v>
      </c>
      <c r="DD20">
        <v>1700237756.0999999</v>
      </c>
      <c r="DE20">
        <v>948.63</v>
      </c>
      <c r="DF20">
        <v>1000.06</v>
      </c>
      <c r="DG20">
        <v>27.154199999999999</v>
      </c>
      <c r="DH20">
        <v>25.008600000000001</v>
      </c>
      <c r="DI20">
        <v>957.279</v>
      </c>
      <c r="DJ20">
        <v>27.085899999999999</v>
      </c>
      <c r="DK20">
        <v>500.00900000000001</v>
      </c>
      <c r="DL20">
        <v>98.778499999999994</v>
      </c>
      <c r="DM20">
        <v>0.100206</v>
      </c>
      <c r="DN20">
        <v>29.483599999999999</v>
      </c>
      <c r="DO20">
        <v>30.026499999999999</v>
      </c>
      <c r="DP20">
        <v>999.9</v>
      </c>
      <c r="DQ20">
        <v>0</v>
      </c>
      <c r="DR20">
        <v>0</v>
      </c>
      <c r="DS20">
        <v>9976.25</v>
      </c>
      <c r="DT20">
        <v>0</v>
      </c>
      <c r="DU20">
        <v>325.10399999999998</v>
      </c>
      <c r="DV20">
        <v>-51.434399999999997</v>
      </c>
      <c r="DW20">
        <v>975.10799999999995</v>
      </c>
      <c r="DX20">
        <v>1025.72</v>
      </c>
      <c r="DY20">
        <v>2.1456300000000001</v>
      </c>
      <c r="DZ20">
        <v>1000.06</v>
      </c>
      <c r="EA20">
        <v>25.008600000000001</v>
      </c>
      <c r="EB20">
        <v>2.6822499999999998</v>
      </c>
      <c r="EC20">
        <v>2.47031</v>
      </c>
      <c r="ED20">
        <v>22.1768</v>
      </c>
      <c r="EE20">
        <v>20.8322</v>
      </c>
      <c r="EF20">
        <v>1799.96</v>
      </c>
      <c r="EG20">
        <v>0.97799800000000003</v>
      </c>
      <c r="EH20">
        <v>2.20021E-2</v>
      </c>
      <c r="EI20">
        <v>0</v>
      </c>
      <c r="EJ20">
        <v>528.06700000000001</v>
      </c>
      <c r="EK20">
        <v>5.0009399999999999</v>
      </c>
      <c r="EL20">
        <v>10394.799999999999</v>
      </c>
      <c r="EM20">
        <v>13859.8</v>
      </c>
      <c r="EN20">
        <v>46.5</v>
      </c>
      <c r="EO20">
        <v>48.25</v>
      </c>
      <c r="EP20">
        <v>47.5</v>
      </c>
      <c r="EQ20">
        <v>47.561999999999998</v>
      </c>
      <c r="ER20">
        <v>48</v>
      </c>
      <c r="ES20">
        <v>1755.47</v>
      </c>
      <c r="ET20">
        <v>39.49</v>
      </c>
      <c r="EU20">
        <v>0</v>
      </c>
      <c r="EV20">
        <v>182.60000014305109</v>
      </c>
      <c r="EW20">
        <v>0</v>
      </c>
      <c r="EX20">
        <v>528.33615384615393</v>
      </c>
      <c r="EY20">
        <v>-1.110153840312849</v>
      </c>
      <c r="EZ20">
        <v>29.319658071278081</v>
      </c>
      <c r="FA20">
        <v>10389.653846153849</v>
      </c>
      <c r="FB20">
        <v>15</v>
      </c>
      <c r="FC20">
        <v>1700237694.5999999</v>
      </c>
      <c r="FD20" t="s">
        <v>438</v>
      </c>
      <c r="FE20">
        <v>1700237694.5999999</v>
      </c>
      <c r="FF20">
        <v>1700237690.0999999</v>
      </c>
      <c r="FG20">
        <v>7</v>
      </c>
      <c r="FH20">
        <v>9.1999999999999998E-2</v>
      </c>
      <c r="FI20">
        <v>-1E-3</v>
      </c>
      <c r="FJ20">
        <v>-8.7729999999999997</v>
      </c>
      <c r="FK20">
        <v>6.8000000000000005E-2</v>
      </c>
      <c r="FL20">
        <v>1000</v>
      </c>
      <c r="FM20">
        <v>26</v>
      </c>
      <c r="FN20">
        <v>7.0000000000000007E-2</v>
      </c>
      <c r="FO20">
        <v>0.05</v>
      </c>
      <c r="FP20">
        <v>53.405682980427379</v>
      </c>
      <c r="FQ20">
        <v>0.62655204304335121</v>
      </c>
      <c r="FR20">
        <v>7.7666625541880474E-2</v>
      </c>
      <c r="FS20">
        <v>1</v>
      </c>
      <c r="FT20">
        <v>0.14867695619345539</v>
      </c>
      <c r="FU20">
        <v>6.9946230518234216E-3</v>
      </c>
      <c r="FV20">
        <v>1.8205522468871321E-3</v>
      </c>
      <c r="FW20">
        <v>1</v>
      </c>
      <c r="FX20">
        <v>2</v>
      </c>
      <c r="FY20">
        <v>2</v>
      </c>
      <c r="FZ20" t="s">
        <v>420</v>
      </c>
      <c r="GA20">
        <v>3.1198299999999999</v>
      </c>
      <c r="GB20">
        <v>2.8776199999999998</v>
      </c>
      <c r="GC20">
        <v>0.16059799999999999</v>
      </c>
      <c r="GD20">
        <v>0.16721800000000001</v>
      </c>
      <c r="GE20">
        <v>0.122687</v>
      </c>
      <c r="GF20">
        <v>0.116773</v>
      </c>
      <c r="GG20">
        <v>24456.7</v>
      </c>
      <c r="GH20">
        <v>24741.8</v>
      </c>
      <c r="GI20">
        <v>26831.599999999999</v>
      </c>
      <c r="GJ20">
        <v>27432.2</v>
      </c>
      <c r="GK20">
        <v>33665.5</v>
      </c>
      <c r="GL20">
        <v>33831.699999999997</v>
      </c>
      <c r="GM20">
        <v>39747.9</v>
      </c>
      <c r="GN20">
        <v>39693.4</v>
      </c>
      <c r="GO20">
        <v>1.9238</v>
      </c>
      <c r="GP20">
        <v>2.5016799999999999</v>
      </c>
      <c r="GQ20">
        <v>6.8202600000000002E-2</v>
      </c>
      <c r="GR20">
        <v>0</v>
      </c>
      <c r="GS20">
        <v>28.915600000000001</v>
      </c>
      <c r="GT20">
        <v>999.9</v>
      </c>
      <c r="GU20">
        <v>53.1</v>
      </c>
      <c r="GV20">
        <v>35.9</v>
      </c>
      <c r="GW20">
        <v>31.907699999999998</v>
      </c>
      <c r="GX20">
        <v>63.174100000000003</v>
      </c>
      <c r="GY20">
        <v>4.4591399999999997</v>
      </c>
      <c r="GZ20">
        <v>3</v>
      </c>
      <c r="HA20">
        <v>0.40265800000000002</v>
      </c>
      <c r="HB20">
        <v>3.0927799999999999</v>
      </c>
      <c r="HC20">
        <v>20.280200000000001</v>
      </c>
      <c r="HD20">
        <v>5.2148899999999996</v>
      </c>
      <c r="HE20">
        <v>11.908099999999999</v>
      </c>
      <c r="HF20">
        <v>4.9974499999999997</v>
      </c>
      <c r="HG20">
        <v>3.3022</v>
      </c>
      <c r="HH20">
        <v>9999</v>
      </c>
      <c r="HI20">
        <v>9999</v>
      </c>
      <c r="HJ20">
        <v>9999</v>
      </c>
      <c r="HK20">
        <v>999.9</v>
      </c>
      <c r="HL20">
        <v>1.8846099999999999</v>
      </c>
      <c r="HM20">
        <v>1.8852100000000001</v>
      </c>
      <c r="HN20">
        <v>1.8812199999999999</v>
      </c>
      <c r="HO20">
        <v>1.8827799999999999</v>
      </c>
      <c r="HP20">
        <v>1.8798600000000001</v>
      </c>
      <c r="HQ20">
        <v>1.8833</v>
      </c>
      <c r="HR20">
        <v>1.8792500000000001</v>
      </c>
      <c r="HS20">
        <v>1.88141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-8.6489999999999991</v>
      </c>
      <c r="IH20">
        <v>6.83E-2</v>
      </c>
      <c r="II20">
        <v>-5.6051207243296872</v>
      </c>
      <c r="IJ20">
        <v>-3.7794827560518689E-3</v>
      </c>
      <c r="IK20">
        <v>4.9551128961100493E-7</v>
      </c>
      <c r="IL20">
        <v>1.3680294268397379E-10</v>
      </c>
      <c r="IM20">
        <v>6.8245000000008105E-2</v>
      </c>
      <c r="IN20">
        <v>0</v>
      </c>
      <c r="IO20">
        <v>0</v>
      </c>
      <c r="IP20">
        <v>0</v>
      </c>
      <c r="IQ20">
        <v>4</v>
      </c>
      <c r="IR20">
        <v>2229</v>
      </c>
      <c r="IS20">
        <v>1</v>
      </c>
      <c r="IT20">
        <v>22</v>
      </c>
      <c r="IU20">
        <v>1</v>
      </c>
      <c r="IV20">
        <v>1.1000000000000001</v>
      </c>
      <c r="IW20">
        <v>3.1665000000000001</v>
      </c>
      <c r="IX20">
        <v>2.50122</v>
      </c>
      <c r="IY20">
        <v>2.9956100000000001</v>
      </c>
      <c r="IZ20">
        <v>2.96021</v>
      </c>
      <c r="JA20">
        <v>3.1970200000000002</v>
      </c>
      <c r="JB20">
        <v>2.5366200000000001</v>
      </c>
      <c r="JC20">
        <v>41.560499999999998</v>
      </c>
      <c r="JD20">
        <v>23.7986</v>
      </c>
      <c r="JE20">
        <v>18</v>
      </c>
      <c r="JF20">
        <v>475.68700000000001</v>
      </c>
      <c r="JG20">
        <v>1171.69</v>
      </c>
      <c r="JH20">
        <v>24.995999999999999</v>
      </c>
      <c r="JI20">
        <v>32.286000000000001</v>
      </c>
      <c r="JJ20">
        <v>30.001100000000001</v>
      </c>
      <c r="JK20">
        <v>32.241599999999998</v>
      </c>
      <c r="JL20">
        <v>32.143700000000003</v>
      </c>
      <c r="JM20">
        <v>63.462800000000001</v>
      </c>
      <c r="JN20">
        <v>23.758099999999999</v>
      </c>
      <c r="JO20">
        <v>70.504300000000001</v>
      </c>
      <c r="JP20">
        <v>24.9634</v>
      </c>
      <c r="JQ20">
        <v>1000</v>
      </c>
      <c r="JR20">
        <v>25.056899999999999</v>
      </c>
      <c r="JS20">
        <v>99.078900000000004</v>
      </c>
      <c r="JT20">
        <v>97.143900000000002</v>
      </c>
    </row>
    <row r="21" spans="1:280" x14ac:dyDescent="0.25">
      <c r="A21">
        <v>5</v>
      </c>
      <c r="B21">
        <v>1700237963.5999999</v>
      </c>
      <c r="C21">
        <v>812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1700237963.5999999</v>
      </c>
      <c r="J21">
        <f t="shared" si="0"/>
        <v>3.1278834205889774E-3</v>
      </c>
      <c r="K21">
        <f t="shared" si="1"/>
        <v>3.1278834205889776</v>
      </c>
      <c r="L21">
        <f t="shared" si="2"/>
        <v>54.513102232763238</v>
      </c>
      <c r="M21">
        <f t="shared" si="3"/>
        <v>697.79700000000003</v>
      </c>
      <c r="N21">
        <f t="shared" si="4"/>
        <v>229.13296606703287</v>
      </c>
      <c r="O21">
        <f t="shared" si="5"/>
        <v>22.655296255166405</v>
      </c>
      <c r="P21">
        <f t="shared" si="6"/>
        <v>68.993990835615904</v>
      </c>
      <c r="Q21">
        <f t="shared" si="7"/>
        <v>0.19657334030527032</v>
      </c>
      <c r="R21">
        <f t="shared" si="8"/>
        <v>3.2298864894694468</v>
      </c>
      <c r="S21">
        <f t="shared" si="9"/>
        <v>0.19016065091154821</v>
      </c>
      <c r="T21">
        <f t="shared" si="10"/>
        <v>0.11940913451280895</v>
      </c>
      <c r="U21">
        <f t="shared" si="11"/>
        <v>344.34849876257169</v>
      </c>
      <c r="V21">
        <f t="shared" si="12"/>
        <v>30.677931914261237</v>
      </c>
      <c r="W21">
        <f t="shared" si="13"/>
        <v>30.009699999999999</v>
      </c>
      <c r="X21">
        <f t="shared" si="14"/>
        <v>4.2628241012151129</v>
      </c>
      <c r="Y21">
        <f t="shared" si="15"/>
        <v>64.814394104653488</v>
      </c>
      <c r="Z21">
        <f t="shared" si="16"/>
        <v>2.6936939942823899</v>
      </c>
      <c r="AA21">
        <f t="shared" si="17"/>
        <v>4.1560119962441959</v>
      </c>
      <c r="AB21">
        <f t="shared" si="18"/>
        <v>1.569130106932723</v>
      </c>
      <c r="AC21">
        <f t="shared" si="19"/>
        <v>-137.9396588479739</v>
      </c>
      <c r="AD21">
        <f t="shared" si="20"/>
        <v>-76.808584389383896</v>
      </c>
      <c r="AE21">
        <f t="shared" si="21"/>
        <v>-5.2766084157997923</v>
      </c>
      <c r="AF21">
        <f t="shared" si="22"/>
        <v>124.32364710941411</v>
      </c>
      <c r="AG21">
        <v>38</v>
      </c>
      <c r="AH21">
        <v>8</v>
      </c>
      <c r="AI21">
        <f t="shared" si="23"/>
        <v>1</v>
      </c>
      <c r="AJ21">
        <f t="shared" si="24"/>
        <v>0</v>
      </c>
      <c r="AK21">
        <f t="shared" si="25"/>
        <v>51863.080602268477</v>
      </c>
      <c r="AL21" t="s">
        <v>415</v>
      </c>
      <c r="AM21">
        <v>7133.88</v>
      </c>
      <c r="AN21">
        <v>306.28384615384618</v>
      </c>
      <c r="AO21">
        <v>859.63916333292491</v>
      </c>
      <c r="AP21">
        <f t="shared" si="26"/>
        <v>0.64370650010133712</v>
      </c>
      <c r="AQ21">
        <v>-0.73746743666429193</v>
      </c>
      <c r="AR21" t="s">
        <v>441</v>
      </c>
      <c r="AS21">
        <v>7140.65</v>
      </c>
      <c r="AT21">
        <v>526.55727999999999</v>
      </c>
      <c r="AU21">
        <v>771.84979639595076</v>
      </c>
      <c r="AV21">
        <f t="shared" si="27"/>
        <v>0.31779825238188997</v>
      </c>
      <c r="AW21">
        <v>0.5</v>
      </c>
      <c r="AX21">
        <f t="shared" si="28"/>
        <v>1513.0922993812858</v>
      </c>
      <c r="AY21">
        <f t="shared" si="29"/>
        <v>54.513102232763238</v>
      </c>
      <c r="AZ21">
        <f t="shared" si="30"/>
        <v>240.42904421793403</v>
      </c>
      <c r="BA21">
        <f t="shared" si="31"/>
        <v>3.6515002879877106E-2</v>
      </c>
      <c r="BB21">
        <f t="shared" si="32"/>
        <v>0.11373892607978241</v>
      </c>
      <c r="BC21">
        <f t="shared" si="33"/>
        <v>294.35526390885258</v>
      </c>
      <c r="BD21" t="s">
        <v>442</v>
      </c>
      <c r="BE21">
        <v>382.62</v>
      </c>
      <c r="BF21">
        <f t="shared" si="34"/>
        <v>382.62</v>
      </c>
      <c r="BG21">
        <f t="shared" si="35"/>
        <v>0.50428178929813439</v>
      </c>
      <c r="BH21">
        <f t="shared" si="36"/>
        <v>0.63019973976098864</v>
      </c>
      <c r="BI21">
        <f t="shared" si="37"/>
        <v>0.18403740076937647</v>
      </c>
      <c r="BJ21">
        <f t="shared" si="38"/>
        <v>0.52686953646071677</v>
      </c>
      <c r="BK21">
        <f t="shared" si="39"/>
        <v>0.15864917930943717</v>
      </c>
      <c r="BL21">
        <f t="shared" si="40"/>
        <v>0.45793123290850613</v>
      </c>
      <c r="BM21">
        <f t="shared" si="41"/>
        <v>0.54206876709149387</v>
      </c>
      <c r="BN21">
        <v>20822</v>
      </c>
      <c r="BO21">
        <v>290.00000000000011</v>
      </c>
      <c r="BP21">
        <v>702.81</v>
      </c>
      <c r="BQ21">
        <v>295</v>
      </c>
      <c r="BR21">
        <v>7140.65</v>
      </c>
      <c r="BS21">
        <v>704.8</v>
      </c>
      <c r="BT21">
        <v>-1.99</v>
      </c>
      <c r="BU21">
        <v>300.00000000000011</v>
      </c>
      <c r="BV21">
        <v>38.200000000000003</v>
      </c>
      <c r="BW21">
        <v>771.84979639595076</v>
      </c>
      <c r="BX21">
        <v>1.3805027090651201</v>
      </c>
      <c r="BY21">
        <v>-47.881153068541707</v>
      </c>
      <c r="BZ21">
        <v>0.82617887757158581</v>
      </c>
      <c r="CA21">
        <v>0.99173255008008931</v>
      </c>
      <c r="CB21">
        <v>-7.0489323692992196E-3</v>
      </c>
      <c r="CC21">
        <v>289.99999999999989</v>
      </c>
      <c r="CD21">
        <v>712.47</v>
      </c>
      <c r="CE21">
        <v>885</v>
      </c>
      <c r="CF21">
        <v>7133.63</v>
      </c>
      <c r="CG21">
        <v>704.73</v>
      </c>
      <c r="CH21">
        <v>7.74</v>
      </c>
      <c r="CV21">
        <f t="shared" si="42"/>
        <v>1799.89</v>
      </c>
      <c r="CW21">
        <f t="shared" si="43"/>
        <v>1513.0922993812858</v>
      </c>
      <c r="CX21">
        <f t="shared" si="44"/>
        <v>0.84065820654666989</v>
      </c>
      <c r="CY21">
        <f t="shared" si="45"/>
        <v>0.19131641309333997</v>
      </c>
      <c r="CZ21">
        <v>4.5999999999999996</v>
      </c>
      <c r="DA21">
        <v>0.5</v>
      </c>
      <c r="DB21" t="s">
        <v>418</v>
      </c>
      <c r="DC21">
        <v>2</v>
      </c>
      <c r="DD21">
        <v>1700237963.5999999</v>
      </c>
      <c r="DE21">
        <v>697.79700000000003</v>
      </c>
      <c r="DF21">
        <v>749.98400000000004</v>
      </c>
      <c r="DG21">
        <v>27.2437</v>
      </c>
      <c r="DH21">
        <v>24.443000000000001</v>
      </c>
      <c r="DI21">
        <v>705.56</v>
      </c>
      <c r="DJ21">
        <v>27.1828</v>
      </c>
      <c r="DK21">
        <v>499.74200000000002</v>
      </c>
      <c r="DL21">
        <v>98.774199999999993</v>
      </c>
      <c r="DM21">
        <v>9.9814700000000006E-2</v>
      </c>
      <c r="DN21">
        <v>29.5686</v>
      </c>
      <c r="DO21">
        <v>30.009699999999999</v>
      </c>
      <c r="DP21">
        <v>999.9</v>
      </c>
      <c r="DQ21">
        <v>0</v>
      </c>
      <c r="DR21">
        <v>0</v>
      </c>
      <c r="DS21">
        <v>10015.6</v>
      </c>
      <c r="DT21">
        <v>0</v>
      </c>
      <c r="DU21">
        <v>353.43299999999999</v>
      </c>
      <c r="DV21">
        <v>-52.186399999999999</v>
      </c>
      <c r="DW21">
        <v>717.34100000000001</v>
      </c>
      <c r="DX21">
        <v>768.77499999999998</v>
      </c>
      <c r="DY21">
        <v>2.80078</v>
      </c>
      <c r="DZ21">
        <v>749.98400000000004</v>
      </c>
      <c r="EA21">
        <v>24.443000000000001</v>
      </c>
      <c r="EB21">
        <v>2.6909800000000001</v>
      </c>
      <c r="EC21">
        <v>2.4143300000000001</v>
      </c>
      <c r="ED21">
        <v>22.2301</v>
      </c>
      <c r="EE21">
        <v>20.4602</v>
      </c>
      <c r="EF21">
        <v>1799.89</v>
      </c>
      <c r="EG21">
        <v>0.97799800000000003</v>
      </c>
      <c r="EH21">
        <v>2.20021E-2</v>
      </c>
      <c r="EI21">
        <v>0</v>
      </c>
      <c r="EJ21">
        <v>525.91300000000001</v>
      </c>
      <c r="EK21">
        <v>5.0009399999999999</v>
      </c>
      <c r="EL21">
        <v>10458.799999999999</v>
      </c>
      <c r="EM21">
        <v>13859.3</v>
      </c>
      <c r="EN21">
        <v>46.625</v>
      </c>
      <c r="EO21">
        <v>48.375</v>
      </c>
      <c r="EP21">
        <v>47.686999999999998</v>
      </c>
      <c r="EQ21">
        <v>47.75</v>
      </c>
      <c r="ER21">
        <v>48.125</v>
      </c>
      <c r="ES21">
        <v>1755.4</v>
      </c>
      <c r="ET21">
        <v>39.49</v>
      </c>
      <c r="EU21">
        <v>0</v>
      </c>
      <c r="EV21">
        <v>205.39999985694891</v>
      </c>
      <c r="EW21">
        <v>0</v>
      </c>
      <c r="EX21">
        <v>526.55727999999999</v>
      </c>
      <c r="EY21">
        <v>-3.7241538642988981</v>
      </c>
      <c r="EZ21">
        <v>-367.57692355856977</v>
      </c>
      <c r="FA21">
        <v>10498.1</v>
      </c>
      <c r="FB21">
        <v>15</v>
      </c>
      <c r="FC21">
        <v>1700237854.5999999</v>
      </c>
      <c r="FD21" t="s">
        <v>443</v>
      </c>
      <c r="FE21">
        <v>1700237853.0999999</v>
      </c>
      <c r="FF21">
        <v>1700237854.5999999</v>
      </c>
      <c r="FG21">
        <v>8</v>
      </c>
      <c r="FH21">
        <v>0.214</v>
      </c>
      <c r="FI21">
        <v>-7.0000000000000001E-3</v>
      </c>
      <c r="FJ21">
        <v>-7.9109999999999996</v>
      </c>
      <c r="FK21">
        <v>6.0999999999999999E-2</v>
      </c>
      <c r="FL21">
        <v>750</v>
      </c>
      <c r="FM21">
        <v>26</v>
      </c>
      <c r="FN21">
        <v>0.06</v>
      </c>
      <c r="FO21">
        <v>0.04</v>
      </c>
      <c r="FP21">
        <v>54.464447172128693</v>
      </c>
      <c r="FQ21">
        <v>0.49537340165329208</v>
      </c>
      <c r="FR21">
        <v>5.1946260428450623E-2</v>
      </c>
      <c r="FS21">
        <v>1</v>
      </c>
      <c r="FT21">
        <v>0.19778275706084139</v>
      </c>
      <c r="FU21">
        <v>5.0304743229155711E-4</v>
      </c>
      <c r="FV21">
        <v>3.7532674869539782E-4</v>
      </c>
      <c r="FW21">
        <v>1</v>
      </c>
      <c r="FX21">
        <v>2</v>
      </c>
      <c r="FY21">
        <v>2</v>
      </c>
      <c r="FZ21" t="s">
        <v>420</v>
      </c>
      <c r="GA21">
        <v>3.11938</v>
      </c>
      <c r="GB21">
        <v>2.87757</v>
      </c>
      <c r="GC21">
        <v>0.130992</v>
      </c>
      <c r="GD21">
        <v>0.13827900000000001</v>
      </c>
      <c r="GE21">
        <v>0.122937</v>
      </c>
      <c r="GF21">
        <v>0.114838</v>
      </c>
      <c r="GG21">
        <v>25307.200000000001</v>
      </c>
      <c r="GH21">
        <v>25593.4</v>
      </c>
      <c r="GI21">
        <v>26818.9</v>
      </c>
      <c r="GJ21">
        <v>27423.9</v>
      </c>
      <c r="GK21">
        <v>33638.9</v>
      </c>
      <c r="GL21">
        <v>33895.699999999997</v>
      </c>
      <c r="GM21">
        <v>39729.5</v>
      </c>
      <c r="GN21">
        <v>39683.599999999999</v>
      </c>
      <c r="GO21">
        <v>1.92337</v>
      </c>
      <c r="GP21">
        <v>2.4954800000000001</v>
      </c>
      <c r="GQ21">
        <v>4.7247900000000002E-2</v>
      </c>
      <c r="GR21">
        <v>0</v>
      </c>
      <c r="GS21">
        <v>29.240300000000001</v>
      </c>
      <c r="GT21">
        <v>999.9</v>
      </c>
      <c r="GU21">
        <v>52.3</v>
      </c>
      <c r="GV21">
        <v>36.200000000000003</v>
      </c>
      <c r="GW21">
        <v>31.9544</v>
      </c>
      <c r="GX21">
        <v>62.694099999999999</v>
      </c>
      <c r="GY21">
        <v>4.5953499999999998</v>
      </c>
      <c r="GZ21">
        <v>3</v>
      </c>
      <c r="HA21">
        <v>0.42107699999999998</v>
      </c>
      <c r="HB21">
        <v>3.0853600000000001</v>
      </c>
      <c r="HC21">
        <v>20.2804</v>
      </c>
      <c r="HD21">
        <v>5.21549</v>
      </c>
      <c r="HE21">
        <v>11.908099999999999</v>
      </c>
      <c r="HF21">
        <v>4.9977</v>
      </c>
      <c r="HG21">
        <v>3.3024499999999999</v>
      </c>
      <c r="HH21">
        <v>9999</v>
      </c>
      <c r="HI21">
        <v>9999</v>
      </c>
      <c r="HJ21">
        <v>9999</v>
      </c>
      <c r="HK21">
        <v>999.9</v>
      </c>
      <c r="HL21">
        <v>1.8846099999999999</v>
      </c>
      <c r="HM21">
        <v>1.8852199999999999</v>
      </c>
      <c r="HN21">
        <v>1.8812199999999999</v>
      </c>
      <c r="HO21">
        <v>1.8827799999999999</v>
      </c>
      <c r="HP21">
        <v>1.8798699999999999</v>
      </c>
      <c r="HQ21">
        <v>1.88334</v>
      </c>
      <c r="HR21">
        <v>1.8792599999999999</v>
      </c>
      <c r="HS21">
        <v>1.88141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-7.7629999999999999</v>
      </c>
      <c r="IH21">
        <v>6.0900000000000003E-2</v>
      </c>
      <c r="II21">
        <v>-5.3910215610573129</v>
      </c>
      <c r="IJ21">
        <v>-3.7794827560518689E-3</v>
      </c>
      <c r="IK21">
        <v>4.9551128961100493E-7</v>
      </c>
      <c r="IL21">
        <v>1.3680294268397379E-10</v>
      </c>
      <c r="IM21">
        <v>6.0980000000007813E-2</v>
      </c>
      <c r="IN21">
        <v>0</v>
      </c>
      <c r="IO21">
        <v>0</v>
      </c>
      <c r="IP21">
        <v>0</v>
      </c>
      <c r="IQ21">
        <v>4</v>
      </c>
      <c r="IR21">
        <v>2229</v>
      </c>
      <c r="IS21">
        <v>1</v>
      </c>
      <c r="IT21">
        <v>22</v>
      </c>
      <c r="IU21">
        <v>1.8</v>
      </c>
      <c r="IV21">
        <v>1.8</v>
      </c>
      <c r="IW21">
        <v>2.5158700000000001</v>
      </c>
      <c r="IX21">
        <v>2.5146500000000001</v>
      </c>
      <c r="IY21">
        <v>2.9956100000000001</v>
      </c>
      <c r="IZ21">
        <v>2.96021</v>
      </c>
      <c r="JA21">
        <v>3.1970200000000002</v>
      </c>
      <c r="JB21">
        <v>2.47437</v>
      </c>
      <c r="JC21">
        <v>41.822299999999998</v>
      </c>
      <c r="JD21">
        <v>23.780999999999999</v>
      </c>
      <c r="JE21">
        <v>18</v>
      </c>
      <c r="JF21">
        <v>476.86599999999999</v>
      </c>
      <c r="JG21">
        <v>1166.7</v>
      </c>
      <c r="JH21">
        <v>24.9937</v>
      </c>
      <c r="JI21">
        <v>32.508400000000002</v>
      </c>
      <c r="JJ21">
        <v>30.000800000000002</v>
      </c>
      <c r="JK21">
        <v>32.433999999999997</v>
      </c>
      <c r="JL21">
        <v>32.3277</v>
      </c>
      <c r="JM21">
        <v>50.401499999999999</v>
      </c>
      <c r="JN21">
        <v>25.231000000000002</v>
      </c>
      <c r="JO21">
        <v>67.872399999999999</v>
      </c>
      <c r="JP21">
        <v>24.788699999999999</v>
      </c>
      <c r="JQ21">
        <v>750</v>
      </c>
      <c r="JR21">
        <v>24.460699999999999</v>
      </c>
      <c r="JS21">
        <v>99.032700000000006</v>
      </c>
      <c r="JT21">
        <v>97.117500000000007</v>
      </c>
    </row>
    <row r="22" spans="1:280" x14ac:dyDescent="0.25">
      <c r="A22">
        <v>6</v>
      </c>
      <c r="B22">
        <v>1700238194.5</v>
      </c>
      <c r="C22">
        <v>1042.900000095367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1700238194.5</v>
      </c>
      <c r="J22">
        <f t="shared" si="0"/>
        <v>3.4144074652838218E-3</v>
      </c>
      <c r="K22">
        <f t="shared" si="1"/>
        <v>3.4144074652838219</v>
      </c>
      <c r="L22">
        <f t="shared" si="2"/>
        <v>51.76011680221773</v>
      </c>
      <c r="M22">
        <f t="shared" si="3"/>
        <v>550.673</v>
      </c>
      <c r="N22">
        <f t="shared" si="4"/>
        <v>150.62722418179837</v>
      </c>
      <c r="O22">
        <f t="shared" si="5"/>
        <v>14.894365541262108</v>
      </c>
      <c r="P22">
        <f t="shared" si="6"/>
        <v>54.451809759198497</v>
      </c>
      <c r="Q22">
        <f t="shared" si="7"/>
        <v>0.2186031922896845</v>
      </c>
      <c r="R22">
        <f t="shared" si="8"/>
        <v>3.231874114891915</v>
      </c>
      <c r="S22">
        <f t="shared" si="9"/>
        <v>0.21070837602519477</v>
      </c>
      <c r="T22">
        <f t="shared" si="10"/>
        <v>0.13237829859428304</v>
      </c>
      <c r="U22">
        <f t="shared" si="11"/>
        <v>344.34849876257169</v>
      </c>
      <c r="V22">
        <f t="shared" si="12"/>
        <v>30.609122827999737</v>
      </c>
      <c r="W22">
        <f t="shared" si="13"/>
        <v>29.958500000000001</v>
      </c>
      <c r="X22">
        <f t="shared" si="14"/>
        <v>4.2503045703034275</v>
      </c>
      <c r="Y22">
        <f t="shared" si="15"/>
        <v>65.071244642652914</v>
      </c>
      <c r="Z22">
        <f t="shared" si="16"/>
        <v>2.7043219840510502</v>
      </c>
      <c r="AA22">
        <f t="shared" si="17"/>
        <v>4.1559401528312252</v>
      </c>
      <c r="AB22">
        <f t="shared" si="18"/>
        <v>1.5459825862523773</v>
      </c>
      <c r="AC22">
        <f t="shared" si="19"/>
        <v>-150.57536921901655</v>
      </c>
      <c r="AD22">
        <f t="shared" si="20"/>
        <v>-67.987198299457077</v>
      </c>
      <c r="AE22">
        <f t="shared" si="21"/>
        <v>-4.6665316702253943</v>
      </c>
      <c r="AF22">
        <f t="shared" si="22"/>
        <v>121.1193995738727</v>
      </c>
      <c r="AG22">
        <v>37</v>
      </c>
      <c r="AH22">
        <v>7</v>
      </c>
      <c r="AI22">
        <f t="shared" si="23"/>
        <v>1</v>
      </c>
      <c r="AJ22">
        <f t="shared" si="24"/>
        <v>0</v>
      </c>
      <c r="AK22">
        <f t="shared" si="25"/>
        <v>51911.124458619641</v>
      </c>
      <c r="AL22" t="s">
        <v>415</v>
      </c>
      <c r="AM22">
        <v>7133.88</v>
      </c>
      <c r="AN22">
        <v>306.28384615384618</v>
      </c>
      <c r="AO22">
        <v>859.63916333292491</v>
      </c>
      <c r="AP22">
        <f t="shared" si="26"/>
        <v>0.64370650010133712</v>
      </c>
      <c r="AQ22">
        <v>-0.73746743666429193</v>
      </c>
      <c r="AR22" t="s">
        <v>446</v>
      </c>
      <c r="AS22">
        <v>7140.92</v>
      </c>
      <c r="AT22">
        <v>527.94744000000003</v>
      </c>
      <c r="AU22">
        <v>755.80328865574756</v>
      </c>
      <c r="AV22">
        <f t="shared" si="27"/>
        <v>0.30147506907651345</v>
      </c>
      <c r="AW22">
        <v>0.5</v>
      </c>
      <c r="AX22">
        <f t="shared" si="28"/>
        <v>1513.0922993812858</v>
      </c>
      <c r="AY22">
        <f t="shared" si="29"/>
        <v>51.76011680221773</v>
      </c>
      <c r="AZ22">
        <f t="shared" si="30"/>
        <v>228.07980273755686</v>
      </c>
      <c r="BA22">
        <f t="shared" si="31"/>
        <v>3.4695559722528926E-2</v>
      </c>
      <c r="BB22">
        <f t="shared" si="32"/>
        <v>0.13738478812636179</v>
      </c>
      <c r="BC22">
        <f t="shared" si="33"/>
        <v>291.99108489948009</v>
      </c>
      <c r="BD22" t="s">
        <v>447</v>
      </c>
      <c r="BE22">
        <v>385.55</v>
      </c>
      <c r="BF22">
        <f t="shared" si="34"/>
        <v>385.55</v>
      </c>
      <c r="BG22">
        <f t="shared" si="35"/>
        <v>0.48988049432051373</v>
      </c>
      <c r="BH22">
        <f t="shared" si="36"/>
        <v>0.61540533369199135</v>
      </c>
      <c r="BI22">
        <f t="shared" si="37"/>
        <v>0.21902182692216385</v>
      </c>
      <c r="BJ22">
        <f t="shared" si="38"/>
        <v>0.50688763846912754</v>
      </c>
      <c r="BK22">
        <f t="shared" si="39"/>
        <v>0.18764773998471154</v>
      </c>
      <c r="BL22">
        <f t="shared" si="40"/>
        <v>0.44941884064244586</v>
      </c>
      <c r="BM22">
        <f t="shared" si="41"/>
        <v>0.55058115935755414</v>
      </c>
      <c r="BN22">
        <v>20824</v>
      </c>
      <c r="BO22">
        <v>290.00000000000011</v>
      </c>
      <c r="BP22">
        <v>694.29</v>
      </c>
      <c r="BQ22">
        <v>275</v>
      </c>
      <c r="BR22">
        <v>7140.92</v>
      </c>
      <c r="BS22">
        <v>696.47</v>
      </c>
      <c r="BT22">
        <v>-2.1800000000000002</v>
      </c>
      <c r="BU22">
        <v>300.00000000000011</v>
      </c>
      <c r="BV22">
        <v>38.200000000000003</v>
      </c>
      <c r="BW22">
        <v>755.80328865574756</v>
      </c>
      <c r="BX22">
        <v>1.321499117424848</v>
      </c>
      <c r="BY22">
        <v>-42.370174295217389</v>
      </c>
      <c r="BZ22">
        <v>0.79086255841497066</v>
      </c>
      <c r="CA22">
        <v>0.99033897001749061</v>
      </c>
      <c r="CB22">
        <v>-7.0487461624026797E-3</v>
      </c>
      <c r="CC22">
        <v>289.99999999999989</v>
      </c>
      <c r="CD22">
        <v>705.15</v>
      </c>
      <c r="CE22">
        <v>895</v>
      </c>
      <c r="CF22">
        <v>7133.58</v>
      </c>
      <c r="CG22">
        <v>696.41</v>
      </c>
      <c r="CH22">
        <v>8.74</v>
      </c>
      <c r="CV22">
        <f t="shared" si="42"/>
        <v>1799.89</v>
      </c>
      <c r="CW22">
        <f t="shared" si="43"/>
        <v>1513.0922993812858</v>
      </c>
      <c r="CX22">
        <f t="shared" si="44"/>
        <v>0.84065820654666989</v>
      </c>
      <c r="CY22">
        <f t="shared" si="45"/>
        <v>0.19131641309333997</v>
      </c>
      <c r="CZ22">
        <v>4.5999999999999996</v>
      </c>
      <c r="DA22">
        <v>0.5</v>
      </c>
      <c r="DB22" t="s">
        <v>418</v>
      </c>
      <c r="DC22">
        <v>2</v>
      </c>
      <c r="DD22">
        <v>1700238194.5</v>
      </c>
      <c r="DE22">
        <v>550.673</v>
      </c>
      <c r="DF22">
        <v>600.02300000000002</v>
      </c>
      <c r="DG22">
        <v>27.3489</v>
      </c>
      <c r="DH22">
        <v>24.293500000000002</v>
      </c>
      <c r="DI22">
        <v>557.58900000000006</v>
      </c>
      <c r="DJ22">
        <v>27.2986</v>
      </c>
      <c r="DK22">
        <v>499.99099999999999</v>
      </c>
      <c r="DL22">
        <v>98.782399999999996</v>
      </c>
      <c r="DM22">
        <v>9.9894499999999997E-2</v>
      </c>
      <c r="DN22">
        <v>29.568300000000001</v>
      </c>
      <c r="DO22">
        <v>29.958500000000001</v>
      </c>
      <c r="DP22">
        <v>999.9</v>
      </c>
      <c r="DQ22">
        <v>0</v>
      </c>
      <c r="DR22">
        <v>0</v>
      </c>
      <c r="DS22">
        <v>10024.4</v>
      </c>
      <c r="DT22">
        <v>0</v>
      </c>
      <c r="DU22">
        <v>315.22800000000001</v>
      </c>
      <c r="DV22">
        <v>-49.350099999999998</v>
      </c>
      <c r="DW22">
        <v>566.15700000000004</v>
      </c>
      <c r="DX22">
        <v>614.96299999999997</v>
      </c>
      <c r="DY22">
        <v>3.0554000000000001</v>
      </c>
      <c r="DZ22">
        <v>600.02300000000002</v>
      </c>
      <c r="EA22">
        <v>24.293500000000002</v>
      </c>
      <c r="EB22">
        <v>2.7015899999999999</v>
      </c>
      <c r="EC22">
        <v>2.3997700000000002</v>
      </c>
      <c r="ED22">
        <v>22.294799999999999</v>
      </c>
      <c r="EE22">
        <v>20.362200000000001</v>
      </c>
      <c r="EF22">
        <v>1799.89</v>
      </c>
      <c r="EG22">
        <v>0.97799800000000003</v>
      </c>
      <c r="EH22">
        <v>2.20021E-2</v>
      </c>
      <c r="EI22">
        <v>0</v>
      </c>
      <c r="EJ22">
        <v>528.01199999999994</v>
      </c>
      <c r="EK22">
        <v>5.0009399999999999</v>
      </c>
      <c r="EL22">
        <v>10443.9</v>
      </c>
      <c r="EM22">
        <v>13859.3</v>
      </c>
      <c r="EN22">
        <v>46.686999999999998</v>
      </c>
      <c r="EO22">
        <v>48.436999999999998</v>
      </c>
      <c r="EP22">
        <v>47.75</v>
      </c>
      <c r="EQ22">
        <v>47.75</v>
      </c>
      <c r="ER22">
        <v>48.186999999999998</v>
      </c>
      <c r="ES22">
        <v>1755.4</v>
      </c>
      <c r="ET22">
        <v>39.49</v>
      </c>
      <c r="EU22">
        <v>0</v>
      </c>
      <c r="EV22">
        <v>228.79999995231631</v>
      </c>
      <c r="EW22">
        <v>0</v>
      </c>
      <c r="EX22">
        <v>527.94744000000003</v>
      </c>
      <c r="EY22">
        <v>-0.33076923445823608</v>
      </c>
      <c r="EZ22">
        <v>-337.06153904251471</v>
      </c>
      <c r="FA22">
        <v>10469.407999999999</v>
      </c>
      <c r="FB22">
        <v>15</v>
      </c>
      <c r="FC22">
        <v>1700238093.5</v>
      </c>
      <c r="FD22" t="s">
        <v>448</v>
      </c>
      <c r="FE22">
        <v>1700238093.5</v>
      </c>
      <c r="FF22">
        <v>1700238085</v>
      </c>
      <c r="FG22">
        <v>9</v>
      </c>
      <c r="FH22">
        <v>0.40500000000000003</v>
      </c>
      <c r="FI22">
        <v>-1.0999999999999999E-2</v>
      </c>
      <c r="FJ22">
        <v>-7.0670000000000002</v>
      </c>
      <c r="FK22">
        <v>0.05</v>
      </c>
      <c r="FL22">
        <v>600</v>
      </c>
      <c r="FM22">
        <v>25</v>
      </c>
      <c r="FN22">
        <v>0.09</v>
      </c>
      <c r="FO22">
        <v>0.05</v>
      </c>
      <c r="FP22">
        <v>51.673917005797179</v>
      </c>
      <c r="FQ22">
        <v>0.56027330937571218</v>
      </c>
      <c r="FR22">
        <v>5.7112923805016758E-2</v>
      </c>
      <c r="FS22">
        <v>1</v>
      </c>
      <c r="FT22">
        <v>0.21804318254721411</v>
      </c>
      <c r="FU22">
        <v>4.2620287588669417E-3</v>
      </c>
      <c r="FV22">
        <v>6.8501306520336056E-4</v>
      </c>
      <c r="FW22">
        <v>1</v>
      </c>
      <c r="FX22">
        <v>2</v>
      </c>
      <c r="FY22">
        <v>2</v>
      </c>
      <c r="FZ22" t="s">
        <v>420</v>
      </c>
      <c r="GA22">
        <v>3.1196100000000002</v>
      </c>
      <c r="GB22">
        <v>2.8777300000000001</v>
      </c>
      <c r="GC22">
        <v>0.11101999999999999</v>
      </c>
      <c r="GD22">
        <v>0.118489</v>
      </c>
      <c r="GE22">
        <v>0.123264</v>
      </c>
      <c r="GF22">
        <v>0.114299</v>
      </c>
      <c r="GG22">
        <v>25881.5</v>
      </c>
      <c r="GH22">
        <v>26176.9</v>
      </c>
      <c r="GI22">
        <v>26811.8</v>
      </c>
      <c r="GJ22">
        <v>27420</v>
      </c>
      <c r="GK22">
        <v>33617.5</v>
      </c>
      <c r="GL22">
        <v>33911.800000000003</v>
      </c>
      <c r="GM22">
        <v>39720.1</v>
      </c>
      <c r="GN22">
        <v>39679.5</v>
      </c>
      <c r="GO22">
        <v>1.9220200000000001</v>
      </c>
      <c r="GP22">
        <v>2.4904799999999998</v>
      </c>
      <c r="GQ22">
        <v>4.9017400000000003E-2</v>
      </c>
      <c r="GR22">
        <v>0</v>
      </c>
      <c r="GS22">
        <v>29.160299999999999</v>
      </c>
      <c r="GT22">
        <v>999.9</v>
      </c>
      <c r="GU22">
        <v>51.1</v>
      </c>
      <c r="GV22">
        <v>36.5</v>
      </c>
      <c r="GW22">
        <v>31.736000000000001</v>
      </c>
      <c r="GX22">
        <v>62.874200000000002</v>
      </c>
      <c r="GY22">
        <v>4.6153899999999997</v>
      </c>
      <c r="GZ22">
        <v>3</v>
      </c>
      <c r="HA22">
        <v>0.43192799999999998</v>
      </c>
      <c r="HB22">
        <v>2.51715</v>
      </c>
      <c r="HC22">
        <v>20.288699999999999</v>
      </c>
      <c r="HD22">
        <v>5.2132500000000004</v>
      </c>
      <c r="HE22">
        <v>11.908099999999999</v>
      </c>
      <c r="HF22">
        <v>4.9973999999999998</v>
      </c>
      <c r="HG22">
        <v>3.30233</v>
      </c>
      <c r="HH22">
        <v>9999</v>
      </c>
      <c r="HI22">
        <v>9999</v>
      </c>
      <c r="HJ22">
        <v>9999</v>
      </c>
      <c r="HK22">
        <v>999.9</v>
      </c>
      <c r="HL22">
        <v>1.8846099999999999</v>
      </c>
      <c r="HM22">
        <v>1.8852199999999999</v>
      </c>
      <c r="HN22">
        <v>1.88124</v>
      </c>
      <c r="HO22">
        <v>1.8827799999999999</v>
      </c>
      <c r="HP22">
        <v>1.8798600000000001</v>
      </c>
      <c r="HQ22">
        <v>1.8833500000000001</v>
      </c>
      <c r="HR22">
        <v>1.8792500000000001</v>
      </c>
      <c r="HS22">
        <v>1.8814299999999999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-6.9160000000000004</v>
      </c>
      <c r="IH22">
        <v>5.0299999999999997E-2</v>
      </c>
      <c r="II22">
        <v>-4.9857142396814194</v>
      </c>
      <c r="IJ22">
        <v>-3.7794827560518689E-3</v>
      </c>
      <c r="IK22">
        <v>4.9551128961100493E-7</v>
      </c>
      <c r="IL22">
        <v>1.3680294268397379E-10</v>
      </c>
      <c r="IM22">
        <v>5.0242857142851698E-2</v>
      </c>
      <c r="IN22">
        <v>0</v>
      </c>
      <c r="IO22">
        <v>0</v>
      </c>
      <c r="IP22">
        <v>0</v>
      </c>
      <c r="IQ22">
        <v>4</v>
      </c>
      <c r="IR22">
        <v>2229</v>
      </c>
      <c r="IS22">
        <v>1</v>
      </c>
      <c r="IT22">
        <v>22</v>
      </c>
      <c r="IU22">
        <v>1.7</v>
      </c>
      <c r="IV22">
        <v>1.8</v>
      </c>
      <c r="IW22">
        <v>2.1020500000000002</v>
      </c>
      <c r="IX22">
        <v>2.52319</v>
      </c>
      <c r="IY22">
        <v>2.9956100000000001</v>
      </c>
      <c r="IZ22">
        <v>2.96021</v>
      </c>
      <c r="JA22">
        <v>3.1970200000000002</v>
      </c>
      <c r="JB22">
        <v>2.49756</v>
      </c>
      <c r="JC22">
        <v>42.218000000000004</v>
      </c>
      <c r="JD22">
        <v>23.7898</v>
      </c>
      <c r="JE22">
        <v>18</v>
      </c>
      <c r="JF22">
        <v>477.47199999999998</v>
      </c>
      <c r="JG22">
        <v>1163.4000000000001</v>
      </c>
      <c r="JH22">
        <v>25.2529</v>
      </c>
      <c r="JI22">
        <v>32.692900000000002</v>
      </c>
      <c r="JJ22">
        <v>30.0001</v>
      </c>
      <c r="JK22">
        <v>32.623800000000003</v>
      </c>
      <c r="JL22">
        <v>32.512900000000002</v>
      </c>
      <c r="JM22">
        <v>42.112000000000002</v>
      </c>
      <c r="JN22">
        <v>25.097300000000001</v>
      </c>
      <c r="JO22">
        <v>64.518900000000002</v>
      </c>
      <c r="JP22">
        <v>25.2639</v>
      </c>
      <c r="JQ22">
        <v>600</v>
      </c>
      <c r="JR22">
        <v>24.284700000000001</v>
      </c>
      <c r="JS22">
        <v>99.008200000000002</v>
      </c>
      <c r="JT22">
        <v>97.106099999999998</v>
      </c>
    </row>
    <row r="23" spans="1:280" x14ac:dyDescent="0.25">
      <c r="A23">
        <v>7</v>
      </c>
      <c r="B23">
        <v>1700238470.5</v>
      </c>
      <c r="C23">
        <v>1318.900000095367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1700238470.5</v>
      </c>
      <c r="J23">
        <f t="shared" si="0"/>
        <v>4.8451716069644107E-3</v>
      </c>
      <c r="K23">
        <f t="shared" si="1"/>
        <v>4.8451716069644108</v>
      </c>
      <c r="L23">
        <f t="shared" si="2"/>
        <v>54.986448645424566</v>
      </c>
      <c r="M23">
        <f t="shared" si="3"/>
        <v>447.43299999999999</v>
      </c>
      <c r="N23">
        <f t="shared" si="4"/>
        <v>149.92146851804105</v>
      </c>
      <c r="O23">
        <f t="shared" si="5"/>
        <v>14.824614962931621</v>
      </c>
      <c r="P23">
        <f t="shared" si="6"/>
        <v>44.243309595858101</v>
      </c>
      <c r="Q23">
        <f t="shared" si="7"/>
        <v>0.31766941328765785</v>
      </c>
      <c r="R23">
        <f t="shared" si="8"/>
        <v>3.2242574048077648</v>
      </c>
      <c r="S23">
        <f t="shared" si="9"/>
        <v>0.30124939639342951</v>
      </c>
      <c r="T23">
        <f t="shared" si="10"/>
        <v>0.18968539074568663</v>
      </c>
      <c r="U23">
        <f t="shared" si="11"/>
        <v>344.34279876255107</v>
      </c>
      <c r="V23">
        <f t="shared" si="12"/>
        <v>30.618273911164778</v>
      </c>
      <c r="W23">
        <f t="shared" si="13"/>
        <v>30.035799999999998</v>
      </c>
      <c r="X23">
        <f t="shared" si="14"/>
        <v>4.2692184858852098</v>
      </c>
      <c r="Y23">
        <f t="shared" si="15"/>
        <v>64.513164585500206</v>
      </c>
      <c r="Z23">
        <f t="shared" si="16"/>
        <v>2.73516015523699</v>
      </c>
      <c r="AA23">
        <f t="shared" si="17"/>
        <v>4.2396930499542362</v>
      </c>
      <c r="AB23">
        <f t="shared" si="18"/>
        <v>1.5340583306482198</v>
      </c>
      <c r="AC23">
        <f t="shared" si="19"/>
        <v>-213.67206786713052</v>
      </c>
      <c r="AD23">
        <f t="shared" si="20"/>
        <v>-20.998200757125794</v>
      </c>
      <c r="AE23">
        <f t="shared" si="21"/>
        <v>-1.4477237706283179</v>
      </c>
      <c r="AF23">
        <f t="shared" si="22"/>
        <v>108.22480636766642</v>
      </c>
      <c r="AG23">
        <v>35</v>
      </c>
      <c r="AH23">
        <v>7</v>
      </c>
      <c r="AI23">
        <f t="shared" si="23"/>
        <v>1</v>
      </c>
      <c r="AJ23">
        <f t="shared" si="24"/>
        <v>0</v>
      </c>
      <c r="AK23">
        <f t="shared" si="25"/>
        <v>51668.762004758559</v>
      </c>
      <c r="AL23" t="s">
        <v>415</v>
      </c>
      <c r="AM23">
        <v>7133.88</v>
      </c>
      <c r="AN23">
        <v>306.28384615384618</v>
      </c>
      <c r="AO23">
        <v>859.63916333292491</v>
      </c>
      <c r="AP23">
        <f t="shared" si="26"/>
        <v>0.64370650010133712</v>
      </c>
      <c r="AQ23">
        <v>-0.73746743666429193</v>
      </c>
      <c r="AR23" t="s">
        <v>451</v>
      </c>
      <c r="AS23">
        <v>7140.75</v>
      </c>
      <c r="AT23">
        <v>524.65239999999994</v>
      </c>
      <c r="AU23">
        <v>768.57983188144658</v>
      </c>
      <c r="AV23">
        <f t="shared" si="27"/>
        <v>0.31737422940740456</v>
      </c>
      <c r="AW23">
        <v>0.5</v>
      </c>
      <c r="AX23">
        <f t="shared" si="28"/>
        <v>1513.0670993812753</v>
      </c>
      <c r="AY23">
        <f t="shared" si="29"/>
        <v>54.986448645424566</v>
      </c>
      <c r="AZ23">
        <f t="shared" si="30"/>
        <v>240.10425235391452</v>
      </c>
      <c r="BA23">
        <f t="shared" si="31"/>
        <v>3.6828450043541051E-2</v>
      </c>
      <c r="BB23">
        <f t="shared" si="32"/>
        <v>0.11847738865144229</v>
      </c>
      <c r="BC23">
        <f t="shared" si="33"/>
        <v>293.87843696303463</v>
      </c>
      <c r="BD23" t="s">
        <v>452</v>
      </c>
      <c r="BE23">
        <v>385.39</v>
      </c>
      <c r="BF23">
        <f t="shared" si="34"/>
        <v>385.39</v>
      </c>
      <c r="BG23">
        <f t="shared" si="35"/>
        <v>0.49856867951298733</v>
      </c>
      <c r="BH23">
        <f t="shared" si="36"/>
        <v>0.63657073227588734</v>
      </c>
      <c r="BI23">
        <f t="shared" si="37"/>
        <v>0.19200736341110694</v>
      </c>
      <c r="BJ23">
        <f t="shared" si="38"/>
        <v>0.52764341333730835</v>
      </c>
      <c r="BK23">
        <f t="shared" si="39"/>
        <v>0.16455851895611115</v>
      </c>
      <c r="BL23">
        <f t="shared" si="40"/>
        <v>0.46760101452276637</v>
      </c>
      <c r="BM23">
        <f t="shared" si="41"/>
        <v>0.53239898547723363</v>
      </c>
      <c r="BN23">
        <v>20826</v>
      </c>
      <c r="BO23">
        <v>290.00000000000011</v>
      </c>
      <c r="BP23">
        <v>699.32</v>
      </c>
      <c r="BQ23">
        <v>285</v>
      </c>
      <c r="BR23">
        <v>7140.75</v>
      </c>
      <c r="BS23">
        <v>701.94</v>
      </c>
      <c r="BT23">
        <v>-2.62</v>
      </c>
      <c r="BU23">
        <v>300.00000000000011</v>
      </c>
      <c r="BV23">
        <v>38.200000000000003</v>
      </c>
      <c r="BW23">
        <v>768.57983188144658</v>
      </c>
      <c r="BX23">
        <v>1.3649802992461999</v>
      </c>
      <c r="BY23">
        <v>-47.585651386780022</v>
      </c>
      <c r="BZ23">
        <v>0.81689764656017649</v>
      </c>
      <c r="CA23">
        <v>0.99181587340678823</v>
      </c>
      <c r="CB23">
        <v>-7.0490674082313784E-3</v>
      </c>
      <c r="CC23">
        <v>289.99999999999989</v>
      </c>
      <c r="CD23">
        <v>709.33</v>
      </c>
      <c r="CE23">
        <v>815</v>
      </c>
      <c r="CF23">
        <v>7134.58</v>
      </c>
      <c r="CG23">
        <v>701.88</v>
      </c>
      <c r="CH23">
        <v>7.45</v>
      </c>
      <c r="CV23">
        <f t="shared" si="42"/>
        <v>1799.86</v>
      </c>
      <c r="CW23">
        <f t="shared" si="43"/>
        <v>1513.0670993812753</v>
      </c>
      <c r="CX23">
        <f t="shared" si="44"/>
        <v>0.84065821751762659</v>
      </c>
      <c r="CY23">
        <f t="shared" si="45"/>
        <v>0.19131643503525333</v>
      </c>
      <c r="CZ23">
        <v>4.5999999999999996</v>
      </c>
      <c r="DA23">
        <v>0.5</v>
      </c>
      <c r="DB23" t="s">
        <v>418</v>
      </c>
      <c r="DC23">
        <v>2</v>
      </c>
      <c r="DD23">
        <v>1700238470.5</v>
      </c>
      <c r="DE23">
        <v>447.43299999999999</v>
      </c>
      <c r="DF23">
        <v>500.00700000000001</v>
      </c>
      <c r="DG23">
        <v>27.660699999999999</v>
      </c>
      <c r="DH23">
        <v>23.327100000000002</v>
      </c>
      <c r="DI23">
        <v>453.73200000000003</v>
      </c>
      <c r="DJ23">
        <v>27.6127</v>
      </c>
      <c r="DK23">
        <v>500.07600000000002</v>
      </c>
      <c r="DL23">
        <v>98.782600000000002</v>
      </c>
      <c r="DM23">
        <v>9.9935700000000002E-2</v>
      </c>
      <c r="DN23">
        <v>29.914999999999999</v>
      </c>
      <c r="DO23">
        <v>30.035799999999998</v>
      </c>
      <c r="DP23">
        <v>999.9</v>
      </c>
      <c r="DQ23">
        <v>0</v>
      </c>
      <c r="DR23">
        <v>0</v>
      </c>
      <c r="DS23">
        <v>9987.5</v>
      </c>
      <c r="DT23">
        <v>0</v>
      </c>
      <c r="DU23">
        <v>453.839</v>
      </c>
      <c r="DV23">
        <v>-52.573500000000003</v>
      </c>
      <c r="DW23">
        <v>460.16199999999998</v>
      </c>
      <c r="DX23">
        <v>511.94900000000001</v>
      </c>
      <c r="DY23">
        <v>4.3335699999999999</v>
      </c>
      <c r="DZ23">
        <v>500.00700000000001</v>
      </c>
      <c r="EA23">
        <v>23.327100000000002</v>
      </c>
      <c r="EB23">
        <v>2.7324000000000002</v>
      </c>
      <c r="EC23">
        <v>2.3043100000000001</v>
      </c>
      <c r="ED23">
        <v>22.481300000000001</v>
      </c>
      <c r="EE23">
        <v>19.706600000000002</v>
      </c>
      <c r="EF23">
        <v>1799.86</v>
      </c>
      <c r="EG23">
        <v>0.97799800000000003</v>
      </c>
      <c r="EH23">
        <v>2.20021E-2</v>
      </c>
      <c r="EI23">
        <v>0</v>
      </c>
      <c r="EJ23">
        <v>524.53200000000004</v>
      </c>
      <c r="EK23">
        <v>5.0009399999999999</v>
      </c>
      <c r="EL23">
        <v>10402.4</v>
      </c>
      <c r="EM23">
        <v>13859.1</v>
      </c>
      <c r="EN23">
        <v>46.75</v>
      </c>
      <c r="EO23">
        <v>48.5</v>
      </c>
      <c r="EP23">
        <v>47.75</v>
      </c>
      <c r="EQ23">
        <v>48</v>
      </c>
      <c r="ER23">
        <v>48.311999999999998</v>
      </c>
      <c r="ES23">
        <v>1755.37</v>
      </c>
      <c r="ET23">
        <v>39.49</v>
      </c>
      <c r="EU23">
        <v>0</v>
      </c>
      <c r="EV23">
        <v>274.20000004768372</v>
      </c>
      <c r="EW23">
        <v>0</v>
      </c>
      <c r="EX23">
        <v>524.65239999999994</v>
      </c>
      <c r="EY23">
        <v>-2.386384613619033</v>
      </c>
      <c r="EZ23">
        <v>126.7384610556819</v>
      </c>
      <c r="FA23">
        <v>10407.716</v>
      </c>
      <c r="FB23">
        <v>15</v>
      </c>
      <c r="FC23">
        <v>1700238310.5</v>
      </c>
      <c r="FD23" t="s">
        <v>453</v>
      </c>
      <c r="FE23">
        <v>1700238310.5</v>
      </c>
      <c r="FF23">
        <v>1700238310</v>
      </c>
      <c r="FG23">
        <v>10</v>
      </c>
      <c r="FH23">
        <v>0.28699999999999998</v>
      </c>
      <c r="FI23">
        <v>-2E-3</v>
      </c>
      <c r="FJ23">
        <v>-6.4669999999999996</v>
      </c>
      <c r="FK23">
        <v>4.8000000000000001E-2</v>
      </c>
      <c r="FL23">
        <v>500</v>
      </c>
      <c r="FM23">
        <v>25</v>
      </c>
      <c r="FN23">
        <v>0.05</v>
      </c>
      <c r="FO23">
        <v>0.04</v>
      </c>
      <c r="FP23">
        <v>54.925840151920973</v>
      </c>
      <c r="FQ23">
        <v>0.65209285596821243</v>
      </c>
      <c r="FR23">
        <v>5.0568845134599159E-2</v>
      </c>
      <c r="FS23">
        <v>1</v>
      </c>
      <c r="FT23">
        <v>0.32429566953089167</v>
      </c>
      <c r="FU23">
        <v>-2.0303664708126879E-2</v>
      </c>
      <c r="FV23">
        <v>1.6206231589489101E-3</v>
      </c>
      <c r="FW23">
        <v>1</v>
      </c>
      <c r="FX23">
        <v>2</v>
      </c>
      <c r="FY23">
        <v>2</v>
      </c>
      <c r="FZ23" t="s">
        <v>420</v>
      </c>
      <c r="GA23">
        <v>3.1194700000000002</v>
      </c>
      <c r="GB23">
        <v>2.8774500000000001</v>
      </c>
      <c r="GC23">
        <v>9.5429899999999998E-2</v>
      </c>
      <c r="GD23">
        <v>0.103894</v>
      </c>
      <c r="GE23">
        <v>0.124248</v>
      </c>
      <c r="GF23">
        <v>0.11101800000000001</v>
      </c>
      <c r="GG23">
        <v>26334.400000000001</v>
      </c>
      <c r="GH23">
        <v>26610.3</v>
      </c>
      <c r="GI23">
        <v>26810.9</v>
      </c>
      <c r="GJ23">
        <v>27420.2</v>
      </c>
      <c r="GK23">
        <v>33576.9</v>
      </c>
      <c r="GL23">
        <v>34036.800000000003</v>
      </c>
      <c r="GM23">
        <v>39718.300000000003</v>
      </c>
      <c r="GN23">
        <v>39679.800000000003</v>
      </c>
      <c r="GO23">
        <v>1.9254199999999999</v>
      </c>
      <c r="GP23">
        <v>2.4874299999999998</v>
      </c>
      <c r="GQ23">
        <v>3.2749E-2</v>
      </c>
      <c r="GR23">
        <v>0</v>
      </c>
      <c r="GS23">
        <v>29.502700000000001</v>
      </c>
      <c r="GT23">
        <v>999.9</v>
      </c>
      <c r="GU23">
        <v>49.4</v>
      </c>
      <c r="GV23">
        <v>37</v>
      </c>
      <c r="GW23">
        <v>31.5305</v>
      </c>
      <c r="GX23">
        <v>63.054200000000002</v>
      </c>
      <c r="GY23">
        <v>4.8637800000000002</v>
      </c>
      <c r="GZ23">
        <v>3</v>
      </c>
      <c r="HA23">
        <v>0.438054</v>
      </c>
      <c r="HB23">
        <v>3.4299200000000001</v>
      </c>
      <c r="HC23">
        <v>20.271899999999999</v>
      </c>
      <c r="HD23">
        <v>5.21549</v>
      </c>
      <c r="HE23">
        <v>11.908099999999999</v>
      </c>
      <c r="HF23">
        <v>4.9981499999999999</v>
      </c>
      <c r="HG23">
        <v>3.30247</v>
      </c>
      <c r="HH23">
        <v>9999</v>
      </c>
      <c r="HI23">
        <v>9999</v>
      </c>
      <c r="HJ23">
        <v>9999</v>
      </c>
      <c r="HK23">
        <v>999.9</v>
      </c>
      <c r="HL23">
        <v>1.88463</v>
      </c>
      <c r="HM23">
        <v>1.8852199999999999</v>
      </c>
      <c r="HN23">
        <v>1.8812599999999999</v>
      </c>
      <c r="HO23">
        <v>1.8828199999999999</v>
      </c>
      <c r="HP23">
        <v>1.87988</v>
      </c>
      <c r="HQ23">
        <v>1.8833899999999999</v>
      </c>
      <c r="HR23">
        <v>1.87927</v>
      </c>
      <c r="HS23">
        <v>1.88148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-6.2990000000000004</v>
      </c>
      <c r="IH23">
        <v>4.8000000000000001E-2</v>
      </c>
      <c r="II23">
        <v>-4.6985362740060737</v>
      </c>
      <c r="IJ23">
        <v>-3.7794827560518689E-3</v>
      </c>
      <c r="IK23">
        <v>4.9551128961100493E-7</v>
      </c>
      <c r="IL23">
        <v>1.3680294268397379E-10</v>
      </c>
      <c r="IM23">
        <v>4.8029999999997131E-2</v>
      </c>
      <c r="IN23">
        <v>0</v>
      </c>
      <c r="IO23">
        <v>0</v>
      </c>
      <c r="IP23">
        <v>0</v>
      </c>
      <c r="IQ23">
        <v>4</v>
      </c>
      <c r="IR23">
        <v>2229</v>
      </c>
      <c r="IS23">
        <v>1</v>
      </c>
      <c r="IT23">
        <v>22</v>
      </c>
      <c r="IU23">
        <v>2.7</v>
      </c>
      <c r="IV23">
        <v>2.7</v>
      </c>
      <c r="IW23">
        <v>1.81152</v>
      </c>
      <c r="IX23">
        <v>2.52441</v>
      </c>
      <c r="IY23">
        <v>2.9956100000000001</v>
      </c>
      <c r="IZ23">
        <v>2.9589799999999999</v>
      </c>
      <c r="JA23">
        <v>3.1970200000000002</v>
      </c>
      <c r="JB23">
        <v>2.5280800000000001</v>
      </c>
      <c r="JC23">
        <v>42.724200000000003</v>
      </c>
      <c r="JD23">
        <v>23.7898</v>
      </c>
      <c r="JE23">
        <v>18</v>
      </c>
      <c r="JF23">
        <v>479.935</v>
      </c>
      <c r="JG23">
        <v>1160.72</v>
      </c>
      <c r="JH23">
        <v>25.4191</v>
      </c>
      <c r="JI23">
        <v>32.726799999999997</v>
      </c>
      <c r="JJ23">
        <v>30.002199999999998</v>
      </c>
      <c r="JK23">
        <v>32.679900000000004</v>
      </c>
      <c r="JL23">
        <v>32.5916</v>
      </c>
      <c r="JM23">
        <v>36.298699999999997</v>
      </c>
      <c r="JN23">
        <v>26.7285</v>
      </c>
      <c r="JO23">
        <v>59.613799999999998</v>
      </c>
      <c r="JP23">
        <v>25.393599999999999</v>
      </c>
      <c r="JQ23">
        <v>500</v>
      </c>
      <c r="JR23">
        <v>23.486799999999999</v>
      </c>
      <c r="JS23">
        <v>99.004099999999994</v>
      </c>
      <c r="JT23">
        <v>97.1066</v>
      </c>
    </row>
    <row r="24" spans="1:280" x14ac:dyDescent="0.25">
      <c r="A24">
        <v>8</v>
      </c>
      <c r="B24">
        <v>1700238611</v>
      </c>
      <c r="C24">
        <v>1459.400000095367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1700238611</v>
      </c>
      <c r="J24">
        <f t="shared" si="0"/>
        <v>4.8636680949286706E-3</v>
      </c>
      <c r="K24">
        <f t="shared" si="1"/>
        <v>4.8636680949286708</v>
      </c>
      <c r="L24">
        <f t="shared" si="2"/>
        <v>47.797500377990211</v>
      </c>
      <c r="M24">
        <f t="shared" si="3"/>
        <v>354.517</v>
      </c>
      <c r="N24">
        <f t="shared" si="4"/>
        <v>103.85526619064191</v>
      </c>
      <c r="O24">
        <f t="shared" si="5"/>
        <v>10.270088468505046</v>
      </c>
      <c r="P24">
        <f t="shared" si="6"/>
        <v>35.057644038055301</v>
      </c>
      <c r="Q24">
        <f t="shared" si="7"/>
        <v>0.32719911705555904</v>
      </c>
      <c r="R24">
        <f t="shared" si="8"/>
        <v>3.230309620877303</v>
      </c>
      <c r="S24">
        <f t="shared" si="9"/>
        <v>0.30983884940710582</v>
      </c>
      <c r="T24">
        <f t="shared" si="10"/>
        <v>0.19513224024264664</v>
      </c>
      <c r="U24">
        <f t="shared" si="11"/>
        <v>344.39219876272978</v>
      </c>
      <c r="V24">
        <f t="shared" si="12"/>
        <v>30.551951199275511</v>
      </c>
      <c r="W24">
        <f t="shared" si="13"/>
        <v>30.023599999999998</v>
      </c>
      <c r="X24">
        <f t="shared" si="14"/>
        <v>4.26622850009967</v>
      </c>
      <c r="Y24">
        <f t="shared" si="15"/>
        <v>65.544413193408374</v>
      </c>
      <c r="Z24">
        <f t="shared" si="16"/>
        <v>2.76915407291852</v>
      </c>
      <c r="AA24">
        <f t="shared" si="17"/>
        <v>4.224851422114809</v>
      </c>
      <c r="AB24">
        <f t="shared" si="18"/>
        <v>1.49707442718115</v>
      </c>
      <c r="AC24">
        <f t="shared" si="19"/>
        <v>-214.48776298635437</v>
      </c>
      <c r="AD24">
        <f t="shared" si="20"/>
        <v>-29.536255906812865</v>
      </c>
      <c r="AE24">
        <f t="shared" si="21"/>
        <v>-2.0318293777435503</v>
      </c>
      <c r="AF24">
        <f t="shared" si="22"/>
        <v>98.336350491818962</v>
      </c>
      <c r="AG24">
        <v>35</v>
      </c>
      <c r="AH24">
        <v>7</v>
      </c>
      <c r="AI24">
        <f t="shared" si="23"/>
        <v>1</v>
      </c>
      <c r="AJ24">
        <f t="shared" si="24"/>
        <v>0</v>
      </c>
      <c r="AK24">
        <f t="shared" si="25"/>
        <v>51824.684244996693</v>
      </c>
      <c r="AL24" t="s">
        <v>456</v>
      </c>
      <c r="AM24" t="s">
        <v>456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456</v>
      </c>
      <c r="AS24" t="s">
        <v>456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1513.2854993813648</v>
      </c>
      <c r="AY24">
        <f t="shared" si="29"/>
        <v>47.797500377990211</v>
      </c>
      <c r="AZ24" t="e">
        <f t="shared" si="30"/>
        <v>#DIV/0!</v>
      </c>
      <c r="BA24">
        <f t="shared" si="31"/>
        <v>3.1585249708353087E-2</v>
      </c>
      <c r="BB24" t="e">
        <f t="shared" si="32"/>
        <v>#DIV/0!</v>
      </c>
      <c r="BC24" t="e">
        <f t="shared" si="33"/>
        <v>#DIV/0!</v>
      </c>
      <c r="BD24" t="s">
        <v>456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BN24">
        <v>20826</v>
      </c>
      <c r="BO24">
        <v>290.00000000000011</v>
      </c>
      <c r="BP24">
        <v>699.32</v>
      </c>
      <c r="BQ24">
        <v>285</v>
      </c>
      <c r="BR24">
        <v>7140.75</v>
      </c>
      <c r="BS24">
        <v>701.94</v>
      </c>
      <c r="BT24">
        <v>-2.62</v>
      </c>
      <c r="BU24">
        <v>300.00000000000011</v>
      </c>
      <c r="BV24">
        <v>38.200000000000003</v>
      </c>
      <c r="BW24">
        <v>768.57983188144658</v>
      </c>
      <c r="BX24">
        <v>1.3649802992461999</v>
      </c>
      <c r="BY24">
        <v>-47.585651386780022</v>
      </c>
      <c r="BZ24">
        <v>0.81689764656017649</v>
      </c>
      <c r="CA24">
        <v>0.99181587340678823</v>
      </c>
      <c r="CB24">
        <v>-7.0490674082313784E-3</v>
      </c>
      <c r="CC24">
        <v>289.99999999999989</v>
      </c>
      <c r="CD24">
        <v>709.33</v>
      </c>
      <c r="CE24">
        <v>815</v>
      </c>
      <c r="CF24">
        <v>7134.58</v>
      </c>
      <c r="CG24">
        <v>701.88</v>
      </c>
      <c r="CH24">
        <v>7.45</v>
      </c>
      <c r="CV24">
        <f t="shared" si="42"/>
        <v>1800.12</v>
      </c>
      <c r="CW24">
        <f t="shared" si="43"/>
        <v>1513.2854993813648</v>
      </c>
      <c r="CX24">
        <f t="shared" si="44"/>
        <v>0.84065812244815064</v>
      </c>
      <c r="CY24">
        <f t="shared" si="45"/>
        <v>0.19131624489630125</v>
      </c>
      <c r="CZ24">
        <v>4.5999999999999996</v>
      </c>
      <c r="DA24">
        <v>0.5</v>
      </c>
      <c r="DB24" t="s">
        <v>418</v>
      </c>
      <c r="DC24">
        <v>2</v>
      </c>
      <c r="DD24">
        <v>1700238611</v>
      </c>
      <c r="DE24">
        <v>354.517</v>
      </c>
      <c r="DF24">
        <v>400.07100000000003</v>
      </c>
      <c r="DG24">
        <v>28.002800000000001</v>
      </c>
      <c r="DH24">
        <v>23.6541</v>
      </c>
      <c r="DI24">
        <v>360.53899999999999</v>
      </c>
      <c r="DJ24">
        <v>27.969000000000001</v>
      </c>
      <c r="DK24">
        <v>500.06599999999997</v>
      </c>
      <c r="DL24">
        <v>98.788499999999999</v>
      </c>
      <c r="DM24">
        <v>9.9970900000000001E-2</v>
      </c>
      <c r="DN24">
        <v>29.853999999999999</v>
      </c>
      <c r="DO24">
        <v>30.023599999999998</v>
      </c>
      <c r="DP24">
        <v>999.9</v>
      </c>
      <c r="DQ24">
        <v>0</v>
      </c>
      <c r="DR24">
        <v>0</v>
      </c>
      <c r="DS24">
        <v>10016.200000000001</v>
      </c>
      <c r="DT24">
        <v>0</v>
      </c>
      <c r="DU24">
        <v>347.70499999999998</v>
      </c>
      <c r="DV24">
        <v>-45.554600000000001</v>
      </c>
      <c r="DW24">
        <v>364.73</v>
      </c>
      <c r="DX24">
        <v>409.76400000000001</v>
      </c>
      <c r="DY24">
        <v>4.3486500000000001</v>
      </c>
      <c r="DZ24">
        <v>400.07100000000003</v>
      </c>
      <c r="EA24">
        <v>23.6541</v>
      </c>
      <c r="EB24">
        <v>2.7663500000000001</v>
      </c>
      <c r="EC24">
        <v>2.3367499999999999</v>
      </c>
      <c r="ED24">
        <v>22.684699999999999</v>
      </c>
      <c r="EE24">
        <v>19.931999999999999</v>
      </c>
      <c r="EF24">
        <v>1800.12</v>
      </c>
      <c r="EG24">
        <v>0.97800200000000004</v>
      </c>
      <c r="EH24">
        <v>2.1998299999999998E-2</v>
      </c>
      <c r="EI24">
        <v>0</v>
      </c>
      <c r="EJ24">
        <v>528.06399999999996</v>
      </c>
      <c r="EK24">
        <v>5.0009399999999999</v>
      </c>
      <c r="EL24">
        <v>10783</v>
      </c>
      <c r="EM24">
        <v>13861.1</v>
      </c>
      <c r="EN24">
        <v>46.936999999999998</v>
      </c>
      <c r="EO24">
        <v>48.75</v>
      </c>
      <c r="EP24">
        <v>48</v>
      </c>
      <c r="EQ24">
        <v>48.125</v>
      </c>
      <c r="ER24">
        <v>48.375</v>
      </c>
      <c r="ES24">
        <v>1755.63</v>
      </c>
      <c r="ET24">
        <v>39.49</v>
      </c>
      <c r="EU24">
        <v>0</v>
      </c>
      <c r="EV24">
        <v>138.60000014305109</v>
      </c>
      <c r="EW24">
        <v>0</v>
      </c>
      <c r="EX24">
        <v>528.26865384615382</v>
      </c>
      <c r="EY24">
        <v>0.32837606809138331</v>
      </c>
      <c r="EZ24">
        <v>202.82735071485479</v>
      </c>
      <c r="FA24">
        <v>10757.542307692311</v>
      </c>
      <c r="FB24">
        <v>15</v>
      </c>
      <c r="FC24">
        <v>1700238584.5</v>
      </c>
      <c r="FD24" t="s">
        <v>457</v>
      </c>
      <c r="FE24">
        <v>1700238581.5</v>
      </c>
      <c r="FF24">
        <v>1700238584.5</v>
      </c>
      <c r="FG24">
        <v>11</v>
      </c>
      <c r="FH24">
        <v>-3.2000000000000001E-2</v>
      </c>
      <c r="FI24">
        <v>-1.4E-2</v>
      </c>
      <c r="FJ24">
        <v>-6.1740000000000004</v>
      </c>
      <c r="FK24">
        <v>3.4000000000000002E-2</v>
      </c>
      <c r="FL24">
        <v>400</v>
      </c>
      <c r="FM24">
        <v>24</v>
      </c>
      <c r="FN24">
        <v>0.04</v>
      </c>
      <c r="FO24">
        <v>0.02</v>
      </c>
      <c r="FP24">
        <v>47.708257066419257</v>
      </c>
      <c r="FQ24">
        <v>0.67626215770185172</v>
      </c>
      <c r="FR24">
        <v>6.2551688349408816E-2</v>
      </c>
      <c r="FS24">
        <v>1</v>
      </c>
      <c r="FT24">
        <v>0.3300853581875407</v>
      </c>
      <c r="FU24">
        <v>4.4535350487735249E-2</v>
      </c>
      <c r="FV24">
        <v>4.5652196986742891E-3</v>
      </c>
      <c r="FW24">
        <v>1</v>
      </c>
      <c r="FX24">
        <v>2</v>
      </c>
      <c r="FY24">
        <v>2</v>
      </c>
      <c r="FZ24" t="s">
        <v>420</v>
      </c>
      <c r="GA24">
        <v>3.1195200000000001</v>
      </c>
      <c r="GB24">
        <v>2.8777400000000002</v>
      </c>
      <c r="GC24">
        <v>7.9948199999999997E-2</v>
      </c>
      <c r="GD24">
        <v>8.7859999999999994E-2</v>
      </c>
      <c r="GE24">
        <v>0.125332</v>
      </c>
      <c r="GF24">
        <v>0.11209</v>
      </c>
      <c r="GG24">
        <v>26771.7</v>
      </c>
      <c r="GH24">
        <v>27076.799999999999</v>
      </c>
      <c r="GI24">
        <v>26798.400000000001</v>
      </c>
      <c r="GJ24">
        <v>27411.5</v>
      </c>
      <c r="GK24">
        <v>33520</v>
      </c>
      <c r="GL24">
        <v>33986.1</v>
      </c>
      <c r="GM24">
        <v>39700.6</v>
      </c>
      <c r="GN24">
        <v>39669.5</v>
      </c>
      <c r="GO24">
        <v>1.92415</v>
      </c>
      <c r="GP24">
        <v>2.4823499999999998</v>
      </c>
      <c r="GQ24">
        <v>2.6758799999999999E-2</v>
      </c>
      <c r="GR24">
        <v>0</v>
      </c>
      <c r="GS24">
        <v>29.588000000000001</v>
      </c>
      <c r="GT24">
        <v>999.9</v>
      </c>
      <c r="GU24">
        <v>48.6</v>
      </c>
      <c r="GV24">
        <v>37.200000000000003</v>
      </c>
      <c r="GW24">
        <v>31.359100000000002</v>
      </c>
      <c r="GX24">
        <v>62.874200000000002</v>
      </c>
      <c r="GY24">
        <v>4.8958399999999997</v>
      </c>
      <c r="GZ24">
        <v>3</v>
      </c>
      <c r="HA24">
        <v>0.457785</v>
      </c>
      <c r="HB24">
        <v>3.7703199999999999</v>
      </c>
      <c r="HC24">
        <v>20.264800000000001</v>
      </c>
      <c r="HD24">
        <v>5.2156399999999996</v>
      </c>
      <c r="HE24">
        <v>11.908099999999999</v>
      </c>
      <c r="HF24">
        <v>4.9976000000000003</v>
      </c>
      <c r="HG24">
        <v>3.3026800000000001</v>
      </c>
      <c r="HH24">
        <v>9999</v>
      </c>
      <c r="HI24">
        <v>9999</v>
      </c>
      <c r="HJ24">
        <v>9999</v>
      </c>
      <c r="HK24">
        <v>999.9</v>
      </c>
      <c r="HL24">
        <v>1.88462</v>
      </c>
      <c r="HM24">
        <v>1.8852199999999999</v>
      </c>
      <c r="HN24">
        <v>1.8812599999999999</v>
      </c>
      <c r="HO24">
        <v>1.88289</v>
      </c>
      <c r="HP24">
        <v>1.87988</v>
      </c>
      <c r="HQ24">
        <v>1.8833800000000001</v>
      </c>
      <c r="HR24">
        <v>1.8792599999999999</v>
      </c>
      <c r="HS24">
        <v>1.8814900000000001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-6.0220000000000002</v>
      </c>
      <c r="IH24">
        <v>3.3799999999999997E-2</v>
      </c>
      <c r="II24">
        <v>-4.7301734075007431</v>
      </c>
      <c r="IJ24">
        <v>-3.7794827560518689E-3</v>
      </c>
      <c r="IK24">
        <v>4.9551128961100493E-7</v>
      </c>
      <c r="IL24">
        <v>1.3680294268397379E-10</v>
      </c>
      <c r="IM24">
        <v>3.3699999999999619E-2</v>
      </c>
      <c r="IN24">
        <v>0</v>
      </c>
      <c r="IO24">
        <v>0</v>
      </c>
      <c r="IP24">
        <v>0</v>
      </c>
      <c r="IQ24">
        <v>4</v>
      </c>
      <c r="IR24">
        <v>2229</v>
      </c>
      <c r="IS24">
        <v>1</v>
      </c>
      <c r="IT24">
        <v>22</v>
      </c>
      <c r="IU24">
        <v>0.5</v>
      </c>
      <c r="IV24">
        <v>0.4</v>
      </c>
      <c r="IW24">
        <v>1.5136700000000001</v>
      </c>
      <c r="IX24">
        <v>2.5317400000000001</v>
      </c>
      <c r="IY24">
        <v>2.99438</v>
      </c>
      <c r="IZ24">
        <v>2.96021</v>
      </c>
      <c r="JA24">
        <v>3.1970200000000002</v>
      </c>
      <c r="JB24">
        <v>2.5378400000000001</v>
      </c>
      <c r="JC24">
        <v>43.155000000000001</v>
      </c>
      <c r="JD24">
        <v>23.7898</v>
      </c>
      <c r="JE24">
        <v>18</v>
      </c>
      <c r="JF24">
        <v>480.53399999999999</v>
      </c>
      <c r="JG24">
        <v>1156.95</v>
      </c>
      <c r="JH24">
        <v>24.734100000000002</v>
      </c>
      <c r="JI24">
        <v>32.959200000000003</v>
      </c>
      <c r="JJ24">
        <v>30.0014</v>
      </c>
      <c r="JK24">
        <v>32.863100000000003</v>
      </c>
      <c r="JL24">
        <v>32.7575</v>
      </c>
      <c r="JM24">
        <v>30.3123</v>
      </c>
      <c r="JN24">
        <v>25.6845</v>
      </c>
      <c r="JO24">
        <v>57.184800000000003</v>
      </c>
      <c r="JP24">
        <v>24.717199999999998</v>
      </c>
      <c r="JQ24">
        <v>400</v>
      </c>
      <c r="JR24">
        <v>23.607500000000002</v>
      </c>
      <c r="JS24">
        <v>98.959100000000007</v>
      </c>
      <c r="JT24">
        <v>97.079300000000003</v>
      </c>
    </row>
    <row r="25" spans="1:280" x14ac:dyDescent="0.25">
      <c r="A25">
        <v>9</v>
      </c>
      <c r="B25">
        <v>1700238798.5</v>
      </c>
      <c r="C25">
        <v>1646.900000095367</v>
      </c>
      <c r="D25" t="s">
        <v>458</v>
      </c>
      <c r="E25" t="s">
        <v>459</v>
      </c>
      <c r="F25" t="s">
        <v>412</v>
      </c>
      <c r="G25" t="s">
        <v>413</v>
      </c>
      <c r="H25" t="s">
        <v>414</v>
      </c>
      <c r="I25">
        <v>1700238798.5</v>
      </c>
      <c r="J25">
        <f t="shared" si="0"/>
        <v>5.4201858320210884E-3</v>
      </c>
      <c r="K25">
        <f t="shared" si="1"/>
        <v>5.4201858320210885</v>
      </c>
      <c r="L25">
        <f t="shared" si="2"/>
        <v>41.350102430271534</v>
      </c>
      <c r="M25">
        <f t="shared" si="3"/>
        <v>260.64299999999997</v>
      </c>
      <c r="N25">
        <f t="shared" si="4"/>
        <v>65.171677338591735</v>
      </c>
      <c r="O25">
        <f t="shared" si="5"/>
        <v>6.4450217029530243</v>
      </c>
      <c r="P25">
        <f t="shared" si="6"/>
        <v>25.775764263290693</v>
      </c>
      <c r="Q25">
        <f t="shared" si="7"/>
        <v>0.36409786240139735</v>
      </c>
      <c r="R25">
        <f t="shared" si="8"/>
        <v>3.2396913013266335</v>
      </c>
      <c r="S25">
        <f t="shared" si="9"/>
        <v>0.34279650098187925</v>
      </c>
      <c r="T25">
        <f t="shared" si="10"/>
        <v>0.2160577311507452</v>
      </c>
      <c r="U25">
        <f t="shared" si="11"/>
        <v>344.38019876300189</v>
      </c>
      <c r="V25">
        <f t="shared" si="12"/>
        <v>30.502061038415487</v>
      </c>
      <c r="W25">
        <f t="shared" si="13"/>
        <v>29.9956</v>
      </c>
      <c r="X25">
        <f t="shared" si="14"/>
        <v>4.2593731373257047</v>
      </c>
      <c r="Y25">
        <f t="shared" si="15"/>
        <v>64.80569800340615</v>
      </c>
      <c r="Z25">
        <f t="shared" si="16"/>
        <v>2.7511336148285697</v>
      </c>
      <c r="AA25">
        <f t="shared" si="17"/>
        <v>4.2452032762365608</v>
      </c>
      <c r="AB25">
        <f t="shared" si="18"/>
        <v>1.508239522497135</v>
      </c>
      <c r="AC25">
        <f t="shared" si="19"/>
        <v>-239.03019519213001</v>
      </c>
      <c r="AD25">
        <f t="shared" si="20"/>
        <v>-10.130177771353017</v>
      </c>
      <c r="AE25">
        <f t="shared" si="21"/>
        <v>-0.69503857388690549</v>
      </c>
      <c r="AF25">
        <f t="shared" si="22"/>
        <v>94.524787225631954</v>
      </c>
      <c r="AG25">
        <v>35</v>
      </c>
      <c r="AH25">
        <v>7</v>
      </c>
      <c r="AI25">
        <f t="shared" si="23"/>
        <v>1</v>
      </c>
      <c r="AJ25">
        <f t="shared" si="24"/>
        <v>0</v>
      </c>
      <c r="AK25">
        <f t="shared" si="25"/>
        <v>52036.034608647431</v>
      </c>
      <c r="AL25" t="s">
        <v>415</v>
      </c>
      <c r="AM25">
        <v>7133.88</v>
      </c>
      <c r="AN25">
        <v>306.28384615384618</v>
      </c>
      <c r="AO25">
        <v>859.63916333292491</v>
      </c>
      <c r="AP25">
        <f t="shared" si="26"/>
        <v>0.64370650010133712</v>
      </c>
      <c r="AQ25">
        <v>-0.73746743666429193</v>
      </c>
      <c r="AR25" t="s">
        <v>460</v>
      </c>
      <c r="AS25">
        <v>7138.66</v>
      </c>
      <c r="AT25">
        <v>537.0329999999999</v>
      </c>
      <c r="AU25">
        <v>720.42096517372443</v>
      </c>
      <c r="AV25">
        <f t="shared" si="27"/>
        <v>0.25455667455416409</v>
      </c>
      <c r="AW25">
        <v>0.5</v>
      </c>
      <c r="AX25">
        <f t="shared" si="28"/>
        <v>1513.2347993815008</v>
      </c>
      <c r="AY25">
        <f t="shared" si="29"/>
        <v>41.350102430271534</v>
      </c>
      <c r="AZ25">
        <f t="shared" si="30"/>
        <v>192.60200917509624</v>
      </c>
      <c r="BA25">
        <f t="shared" si="31"/>
        <v>2.7812980433795289E-2</v>
      </c>
      <c r="BB25">
        <f t="shared" si="32"/>
        <v>0.19324562289165056</v>
      </c>
      <c r="BC25">
        <f t="shared" si="33"/>
        <v>286.55398549099255</v>
      </c>
      <c r="BD25" t="s">
        <v>461</v>
      </c>
      <c r="BE25">
        <v>387.39</v>
      </c>
      <c r="BF25">
        <f t="shared" si="34"/>
        <v>387.39</v>
      </c>
      <c r="BG25">
        <f t="shared" si="35"/>
        <v>0.46227272840875244</v>
      </c>
      <c r="BH25">
        <f t="shared" si="36"/>
        <v>0.55066340476195907</v>
      </c>
      <c r="BI25">
        <f t="shared" si="37"/>
        <v>0.29479818910987632</v>
      </c>
      <c r="BJ25">
        <f t="shared" si="38"/>
        <v>0.44281943528206669</v>
      </c>
      <c r="BK25">
        <f t="shared" si="39"/>
        <v>0.2515891577023488</v>
      </c>
      <c r="BL25">
        <f t="shared" si="40"/>
        <v>0.3972223240857366</v>
      </c>
      <c r="BM25">
        <f t="shared" si="41"/>
        <v>0.60277767591426334</v>
      </c>
      <c r="BN25">
        <v>20828</v>
      </c>
      <c r="BO25">
        <v>290.00000000000011</v>
      </c>
      <c r="BP25">
        <v>669.54</v>
      </c>
      <c r="BQ25">
        <v>295</v>
      </c>
      <c r="BR25">
        <v>7138.66</v>
      </c>
      <c r="BS25">
        <v>671.33</v>
      </c>
      <c r="BT25">
        <v>-1.79</v>
      </c>
      <c r="BU25">
        <v>300.00000000000011</v>
      </c>
      <c r="BV25">
        <v>38.299999999999997</v>
      </c>
      <c r="BW25">
        <v>720.42096517372443</v>
      </c>
      <c r="BX25">
        <v>1.069035206656799</v>
      </c>
      <c r="BY25">
        <v>-35.047214963127317</v>
      </c>
      <c r="BZ25">
        <v>0.63959357526507954</v>
      </c>
      <c r="CA25">
        <v>0.99076093407995769</v>
      </c>
      <c r="CB25">
        <v>-7.0470177975528389E-3</v>
      </c>
      <c r="CC25">
        <v>289.99999999999989</v>
      </c>
      <c r="CD25">
        <v>678.11</v>
      </c>
      <c r="CE25">
        <v>835</v>
      </c>
      <c r="CF25">
        <v>7132.12</v>
      </c>
      <c r="CG25">
        <v>671.28</v>
      </c>
      <c r="CH25">
        <v>6.83</v>
      </c>
      <c r="CV25">
        <f t="shared" si="42"/>
        <v>1800.06</v>
      </c>
      <c r="CW25">
        <f t="shared" si="43"/>
        <v>1513.2347993815008</v>
      </c>
      <c r="CX25">
        <f t="shared" si="44"/>
        <v>0.84065797772379858</v>
      </c>
      <c r="CY25">
        <f t="shared" si="45"/>
        <v>0.19131595544759725</v>
      </c>
      <c r="CZ25">
        <v>4.5999999999999996</v>
      </c>
      <c r="DA25">
        <v>0.5</v>
      </c>
      <c r="DB25" t="s">
        <v>418</v>
      </c>
      <c r="DC25">
        <v>2</v>
      </c>
      <c r="DD25">
        <v>1700238798.5</v>
      </c>
      <c r="DE25">
        <v>260.64299999999997</v>
      </c>
      <c r="DF25">
        <v>299.96899999999999</v>
      </c>
      <c r="DG25">
        <v>27.819299999999998</v>
      </c>
      <c r="DH25">
        <v>22.973400000000002</v>
      </c>
      <c r="DI25">
        <v>266.11399999999998</v>
      </c>
      <c r="DJ25">
        <v>27.7956</v>
      </c>
      <c r="DK25">
        <v>500.20100000000002</v>
      </c>
      <c r="DL25">
        <v>98.793499999999995</v>
      </c>
      <c r="DM25">
        <v>9.9484900000000001E-2</v>
      </c>
      <c r="DN25">
        <v>29.9376</v>
      </c>
      <c r="DO25">
        <v>29.9956</v>
      </c>
      <c r="DP25">
        <v>999.9</v>
      </c>
      <c r="DQ25">
        <v>0</v>
      </c>
      <c r="DR25">
        <v>0</v>
      </c>
      <c r="DS25">
        <v>10061.200000000001</v>
      </c>
      <c r="DT25">
        <v>0</v>
      </c>
      <c r="DU25">
        <v>383.47399999999999</v>
      </c>
      <c r="DV25">
        <v>-39.326599999999999</v>
      </c>
      <c r="DW25">
        <v>268.101</v>
      </c>
      <c r="DX25">
        <v>307.02300000000002</v>
      </c>
      <c r="DY25">
        <v>4.8459300000000001</v>
      </c>
      <c r="DZ25">
        <v>299.96899999999999</v>
      </c>
      <c r="EA25">
        <v>22.973400000000002</v>
      </c>
      <c r="EB25">
        <v>2.74837</v>
      </c>
      <c r="EC25">
        <v>2.2696200000000002</v>
      </c>
      <c r="ED25">
        <v>22.577200000000001</v>
      </c>
      <c r="EE25">
        <v>19.462399999999999</v>
      </c>
      <c r="EF25">
        <v>1800.06</v>
      </c>
      <c r="EG25">
        <v>0.97800500000000001</v>
      </c>
      <c r="EH25">
        <v>2.19945E-2</v>
      </c>
      <c r="EI25">
        <v>0</v>
      </c>
      <c r="EJ25">
        <v>536.68499999999995</v>
      </c>
      <c r="EK25">
        <v>5.0009399999999999</v>
      </c>
      <c r="EL25">
        <v>11144.5</v>
      </c>
      <c r="EM25">
        <v>13860.6</v>
      </c>
      <c r="EN25">
        <v>47.25</v>
      </c>
      <c r="EO25">
        <v>49.186999999999998</v>
      </c>
      <c r="EP25">
        <v>48.25</v>
      </c>
      <c r="EQ25">
        <v>48.5</v>
      </c>
      <c r="ER25">
        <v>48.75</v>
      </c>
      <c r="ES25">
        <v>1755.58</v>
      </c>
      <c r="ET25">
        <v>39.479999999999997</v>
      </c>
      <c r="EU25">
        <v>0</v>
      </c>
      <c r="EV25">
        <v>325.79999995231628</v>
      </c>
      <c r="EW25">
        <v>0</v>
      </c>
      <c r="EX25">
        <v>537.0329999999999</v>
      </c>
      <c r="EY25">
        <v>-0.96259828833912942</v>
      </c>
      <c r="EZ25">
        <v>63.039312446452008</v>
      </c>
      <c r="FA25">
        <v>11124.41153846154</v>
      </c>
      <c r="FB25">
        <v>15</v>
      </c>
      <c r="FC25">
        <v>1700238700.5</v>
      </c>
      <c r="FD25" t="s">
        <v>462</v>
      </c>
      <c r="FE25">
        <v>1700238697.5</v>
      </c>
      <c r="FF25">
        <v>1700238700.5</v>
      </c>
      <c r="FG25">
        <v>12</v>
      </c>
      <c r="FH25">
        <v>0.22700000000000001</v>
      </c>
      <c r="FI25">
        <v>-0.01</v>
      </c>
      <c r="FJ25">
        <v>-5.6079999999999997</v>
      </c>
      <c r="FK25">
        <v>2.4E-2</v>
      </c>
      <c r="FL25">
        <v>300</v>
      </c>
      <c r="FM25">
        <v>23</v>
      </c>
      <c r="FN25">
        <v>0.06</v>
      </c>
      <c r="FO25">
        <v>0.02</v>
      </c>
      <c r="FP25">
        <v>41.173137985476437</v>
      </c>
      <c r="FQ25">
        <v>0.67195752862927549</v>
      </c>
      <c r="FR25">
        <v>5.6789224922520982E-2</v>
      </c>
      <c r="FS25">
        <v>1</v>
      </c>
      <c r="FT25">
        <v>0.36450991963162771</v>
      </c>
      <c r="FU25">
        <v>7.5771989218428324E-3</v>
      </c>
      <c r="FV25">
        <v>8.6894910107613178E-4</v>
      </c>
      <c r="FW25">
        <v>1</v>
      </c>
      <c r="FX25">
        <v>2</v>
      </c>
      <c r="FY25">
        <v>2</v>
      </c>
      <c r="FZ25" t="s">
        <v>420</v>
      </c>
      <c r="GA25">
        <v>3.1194899999999999</v>
      </c>
      <c r="GB25">
        <v>2.87765</v>
      </c>
      <c r="GC25">
        <v>6.2422199999999997E-2</v>
      </c>
      <c r="GD25">
        <v>6.9894700000000004E-2</v>
      </c>
      <c r="GE25">
        <v>0.124708</v>
      </c>
      <c r="GF25">
        <v>0.109711</v>
      </c>
      <c r="GG25">
        <v>27265.5</v>
      </c>
      <c r="GH25">
        <v>27597</v>
      </c>
      <c r="GI25">
        <v>26783.8</v>
      </c>
      <c r="GJ25">
        <v>27400.1</v>
      </c>
      <c r="GK25">
        <v>33527.5</v>
      </c>
      <c r="GL25">
        <v>34066</v>
      </c>
      <c r="GM25">
        <v>39681</v>
      </c>
      <c r="GN25">
        <v>39657.300000000003</v>
      </c>
      <c r="GO25">
        <v>1.9213499999999999</v>
      </c>
      <c r="GP25">
        <v>2.4741499999999998</v>
      </c>
      <c r="GQ25">
        <v>1.3832000000000001E-2</v>
      </c>
      <c r="GR25">
        <v>0</v>
      </c>
      <c r="GS25">
        <v>29.770499999999998</v>
      </c>
      <c r="GT25">
        <v>999.9</v>
      </c>
      <c r="GU25">
        <v>47.1</v>
      </c>
      <c r="GV25">
        <v>37.700000000000003</v>
      </c>
      <c r="GW25">
        <v>31.223800000000001</v>
      </c>
      <c r="GX25">
        <v>62.894199999999998</v>
      </c>
      <c r="GY25">
        <v>5.0520899999999997</v>
      </c>
      <c r="GZ25">
        <v>3</v>
      </c>
      <c r="HA25">
        <v>0.484682</v>
      </c>
      <c r="HB25">
        <v>3.8808500000000001</v>
      </c>
      <c r="HC25">
        <v>20.2608</v>
      </c>
      <c r="HD25">
        <v>5.2140000000000004</v>
      </c>
      <c r="HE25">
        <v>11.908099999999999</v>
      </c>
      <c r="HF25">
        <v>4.99655</v>
      </c>
      <c r="HG25">
        <v>3.3022</v>
      </c>
      <c r="HH25">
        <v>9999</v>
      </c>
      <c r="HI25">
        <v>9999</v>
      </c>
      <c r="HJ25">
        <v>9999</v>
      </c>
      <c r="HK25">
        <v>999.9</v>
      </c>
      <c r="HL25">
        <v>1.8846499999999999</v>
      </c>
      <c r="HM25">
        <v>1.8852199999999999</v>
      </c>
      <c r="HN25">
        <v>1.88127</v>
      </c>
      <c r="HO25">
        <v>1.88289</v>
      </c>
      <c r="HP25">
        <v>1.87988</v>
      </c>
      <c r="HQ25">
        <v>1.8833899999999999</v>
      </c>
      <c r="HR25">
        <v>1.87927</v>
      </c>
      <c r="HS25">
        <v>1.8815599999999999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-5.4710000000000001</v>
      </c>
      <c r="IH25">
        <v>2.3699999999999999E-2</v>
      </c>
      <c r="II25">
        <v>-4.5027792329584724</v>
      </c>
      <c r="IJ25">
        <v>-3.7794827560518689E-3</v>
      </c>
      <c r="IK25">
        <v>4.9551128961100493E-7</v>
      </c>
      <c r="IL25">
        <v>1.3680294268397379E-10</v>
      </c>
      <c r="IM25">
        <v>2.3755000000001299E-2</v>
      </c>
      <c r="IN25">
        <v>0</v>
      </c>
      <c r="IO25">
        <v>0</v>
      </c>
      <c r="IP25">
        <v>0</v>
      </c>
      <c r="IQ25">
        <v>4</v>
      </c>
      <c r="IR25">
        <v>2229</v>
      </c>
      <c r="IS25">
        <v>1</v>
      </c>
      <c r="IT25">
        <v>22</v>
      </c>
      <c r="IU25">
        <v>1.7</v>
      </c>
      <c r="IV25">
        <v>1.6</v>
      </c>
      <c r="IW25">
        <v>1.1975100000000001</v>
      </c>
      <c r="IX25">
        <v>2.5439500000000002</v>
      </c>
      <c r="IY25">
        <v>2.9956100000000001</v>
      </c>
      <c r="IZ25">
        <v>2.9589799999999999</v>
      </c>
      <c r="JA25">
        <v>3.1970200000000002</v>
      </c>
      <c r="JB25">
        <v>2.48291</v>
      </c>
      <c r="JC25">
        <v>43.726900000000001</v>
      </c>
      <c r="JD25">
        <v>23.772300000000001</v>
      </c>
      <c r="JE25">
        <v>18</v>
      </c>
      <c r="JF25">
        <v>480.96199999999999</v>
      </c>
      <c r="JG25">
        <v>1150.9000000000001</v>
      </c>
      <c r="JH25">
        <v>24.9819</v>
      </c>
      <c r="JI25">
        <v>33.277000000000001</v>
      </c>
      <c r="JJ25">
        <v>30.002700000000001</v>
      </c>
      <c r="JK25">
        <v>33.148000000000003</v>
      </c>
      <c r="JL25">
        <v>33.029899999999998</v>
      </c>
      <c r="JM25">
        <v>24.007100000000001</v>
      </c>
      <c r="JN25">
        <v>26.708500000000001</v>
      </c>
      <c r="JO25">
        <v>53.099699999999999</v>
      </c>
      <c r="JP25">
        <v>24.927299999999999</v>
      </c>
      <c r="JQ25">
        <v>300</v>
      </c>
      <c r="JR25">
        <v>23.0275</v>
      </c>
      <c r="JS25">
        <v>98.9084</v>
      </c>
      <c r="JT25">
        <v>97.045100000000005</v>
      </c>
    </row>
    <row r="26" spans="1:280" x14ac:dyDescent="0.25">
      <c r="A26">
        <v>10</v>
      </c>
      <c r="B26">
        <v>1700238975</v>
      </c>
      <c r="C26">
        <v>1823.400000095367</v>
      </c>
      <c r="D26" t="s">
        <v>463</v>
      </c>
      <c r="E26" t="s">
        <v>464</v>
      </c>
      <c r="F26" t="s">
        <v>412</v>
      </c>
      <c r="G26" t="s">
        <v>413</v>
      </c>
      <c r="H26" t="s">
        <v>414</v>
      </c>
      <c r="I26">
        <v>1700238975</v>
      </c>
      <c r="J26">
        <f t="shared" si="0"/>
        <v>6.3837650703878444E-3</v>
      </c>
      <c r="K26">
        <f t="shared" si="1"/>
        <v>6.3837650703878444</v>
      </c>
      <c r="L26">
        <f t="shared" si="2"/>
        <v>31.467058263889033</v>
      </c>
      <c r="M26">
        <f t="shared" si="3"/>
        <v>170.01900000000001</v>
      </c>
      <c r="N26">
        <f t="shared" si="4"/>
        <v>46.809689748973881</v>
      </c>
      <c r="O26">
        <f t="shared" si="5"/>
        <v>4.6291488227673732</v>
      </c>
      <c r="P26">
        <f t="shared" si="6"/>
        <v>16.813682336258999</v>
      </c>
      <c r="Q26">
        <f t="shared" si="7"/>
        <v>0.44480399347946908</v>
      </c>
      <c r="R26">
        <f t="shared" si="8"/>
        <v>3.2344103081680018</v>
      </c>
      <c r="S26">
        <f t="shared" si="9"/>
        <v>0.41340148758263889</v>
      </c>
      <c r="T26">
        <f t="shared" si="10"/>
        <v>0.26101233670009877</v>
      </c>
      <c r="U26">
        <f t="shared" si="11"/>
        <v>344.40489876309124</v>
      </c>
      <c r="V26">
        <f t="shared" si="12"/>
        <v>30.352211233291261</v>
      </c>
      <c r="W26">
        <f t="shared" si="13"/>
        <v>29.960899999999999</v>
      </c>
      <c r="X26">
        <f t="shared" si="14"/>
        <v>4.2508907066629282</v>
      </c>
      <c r="Y26">
        <f t="shared" si="15"/>
        <v>65.150190080317529</v>
      </c>
      <c r="Z26">
        <f t="shared" si="16"/>
        <v>2.7780516139314999</v>
      </c>
      <c r="AA26">
        <f t="shared" si="17"/>
        <v>4.2640729221306986</v>
      </c>
      <c r="AB26">
        <f t="shared" si="18"/>
        <v>1.4728390927314283</v>
      </c>
      <c r="AC26">
        <f t="shared" si="19"/>
        <v>-281.52403960410396</v>
      </c>
      <c r="AD26">
        <f t="shared" si="20"/>
        <v>9.3987331879804827</v>
      </c>
      <c r="AE26">
        <f t="shared" si="21"/>
        <v>0.64604245665061</v>
      </c>
      <c r="AF26">
        <f t="shared" si="22"/>
        <v>72.925634803618365</v>
      </c>
      <c r="AG26">
        <v>34</v>
      </c>
      <c r="AH26">
        <v>7</v>
      </c>
      <c r="AI26">
        <f t="shared" si="23"/>
        <v>1</v>
      </c>
      <c r="AJ26">
        <f t="shared" si="24"/>
        <v>0</v>
      </c>
      <c r="AK26">
        <f t="shared" si="25"/>
        <v>51895.808664583186</v>
      </c>
      <c r="AL26" t="s">
        <v>456</v>
      </c>
      <c r="AM26" t="s">
        <v>456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456</v>
      </c>
      <c r="AS26" t="s">
        <v>456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1513.3439993815457</v>
      </c>
      <c r="AY26">
        <f t="shared" si="29"/>
        <v>31.467058263889033</v>
      </c>
      <c r="AZ26" t="e">
        <f t="shared" si="30"/>
        <v>#DIV/0!</v>
      </c>
      <c r="BA26">
        <f t="shared" si="31"/>
        <v>2.0793063755992418E-2</v>
      </c>
      <c r="BB26" t="e">
        <f t="shared" si="32"/>
        <v>#DIV/0!</v>
      </c>
      <c r="BC26" t="e">
        <f t="shared" si="33"/>
        <v>#DIV/0!</v>
      </c>
      <c r="BD26" t="s">
        <v>456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BN26">
        <v>20828</v>
      </c>
      <c r="BO26">
        <v>290.00000000000011</v>
      </c>
      <c r="BP26">
        <v>669.54</v>
      </c>
      <c r="BQ26">
        <v>295</v>
      </c>
      <c r="BR26">
        <v>7138.66</v>
      </c>
      <c r="BS26">
        <v>671.33</v>
      </c>
      <c r="BT26">
        <v>-1.79</v>
      </c>
      <c r="BU26">
        <v>300.00000000000011</v>
      </c>
      <c r="BV26">
        <v>38.299999999999997</v>
      </c>
      <c r="BW26">
        <v>720.42096517372443</v>
      </c>
      <c r="BX26">
        <v>1.069035206656799</v>
      </c>
      <c r="BY26">
        <v>-35.047214963127317</v>
      </c>
      <c r="BZ26">
        <v>0.63959357526507954</v>
      </c>
      <c r="CA26">
        <v>0.99076093407995769</v>
      </c>
      <c r="CB26">
        <v>-7.0470177975528389E-3</v>
      </c>
      <c r="CC26">
        <v>289.99999999999989</v>
      </c>
      <c r="CD26">
        <v>678.11</v>
      </c>
      <c r="CE26">
        <v>835</v>
      </c>
      <c r="CF26">
        <v>7132.12</v>
      </c>
      <c r="CG26">
        <v>671.28</v>
      </c>
      <c r="CH26">
        <v>6.83</v>
      </c>
      <c r="CV26">
        <f t="shared" si="42"/>
        <v>1800.19</v>
      </c>
      <c r="CW26">
        <f t="shared" si="43"/>
        <v>1513.3439993815457</v>
      </c>
      <c r="CX26">
        <f t="shared" si="44"/>
        <v>0.84065793020822555</v>
      </c>
      <c r="CY26">
        <f t="shared" si="45"/>
        <v>0.19131586041645116</v>
      </c>
      <c r="CZ26">
        <v>4.5999999999999996</v>
      </c>
      <c r="DA26">
        <v>0.5</v>
      </c>
      <c r="DB26" t="s">
        <v>418</v>
      </c>
      <c r="DC26">
        <v>2</v>
      </c>
      <c r="DD26">
        <v>1700238975</v>
      </c>
      <c r="DE26">
        <v>170.01900000000001</v>
      </c>
      <c r="DF26">
        <v>199.971</v>
      </c>
      <c r="DG26">
        <v>28.0915</v>
      </c>
      <c r="DH26">
        <v>22.3827</v>
      </c>
      <c r="DI26">
        <v>174.977</v>
      </c>
      <c r="DJ26">
        <v>28.0718</v>
      </c>
      <c r="DK26">
        <v>499.93700000000001</v>
      </c>
      <c r="DL26">
        <v>98.793199999999999</v>
      </c>
      <c r="DM26">
        <v>9.9761000000000002E-2</v>
      </c>
      <c r="DN26">
        <v>30.014800000000001</v>
      </c>
      <c r="DO26">
        <v>29.960899999999999</v>
      </c>
      <c r="DP26">
        <v>999.9</v>
      </c>
      <c r="DQ26">
        <v>0</v>
      </c>
      <c r="DR26">
        <v>0</v>
      </c>
      <c r="DS26">
        <v>10035.6</v>
      </c>
      <c r="DT26">
        <v>0</v>
      </c>
      <c r="DU26">
        <v>446.44099999999997</v>
      </c>
      <c r="DV26">
        <v>-29.952200000000001</v>
      </c>
      <c r="DW26">
        <v>174.93299999999999</v>
      </c>
      <c r="DX26">
        <v>204.54900000000001</v>
      </c>
      <c r="DY26">
        <v>5.7087700000000003</v>
      </c>
      <c r="DZ26">
        <v>199.971</v>
      </c>
      <c r="EA26">
        <v>22.3827</v>
      </c>
      <c r="EB26">
        <v>2.7752500000000002</v>
      </c>
      <c r="EC26">
        <v>2.2112599999999998</v>
      </c>
      <c r="ED26">
        <v>22.7376</v>
      </c>
      <c r="EE26">
        <v>19.0441</v>
      </c>
      <c r="EF26">
        <v>1800.19</v>
      </c>
      <c r="EG26">
        <v>0.97800900000000002</v>
      </c>
      <c r="EH26">
        <v>2.1990699999999998E-2</v>
      </c>
      <c r="EI26">
        <v>0</v>
      </c>
      <c r="EJ26">
        <v>553.80899999999997</v>
      </c>
      <c r="EK26">
        <v>5.0009399999999999</v>
      </c>
      <c r="EL26">
        <v>11603.8</v>
      </c>
      <c r="EM26">
        <v>13861.7</v>
      </c>
      <c r="EN26">
        <v>47.5</v>
      </c>
      <c r="EO26">
        <v>49.436999999999998</v>
      </c>
      <c r="EP26">
        <v>48.561999999999998</v>
      </c>
      <c r="EQ26">
        <v>48.875</v>
      </c>
      <c r="ER26">
        <v>49.061999999999998</v>
      </c>
      <c r="ES26">
        <v>1755.71</v>
      </c>
      <c r="ET26">
        <v>39.479999999999997</v>
      </c>
      <c r="EU26">
        <v>0</v>
      </c>
      <c r="EV26">
        <v>174.60000014305109</v>
      </c>
      <c r="EW26">
        <v>0</v>
      </c>
      <c r="EX26">
        <v>553.05291999999997</v>
      </c>
      <c r="EY26">
        <v>4.9540769149461337</v>
      </c>
      <c r="EZ26">
        <v>51.715381079126871</v>
      </c>
      <c r="FA26">
        <v>11628.24</v>
      </c>
      <c r="FB26">
        <v>15</v>
      </c>
      <c r="FC26">
        <v>1700238898</v>
      </c>
      <c r="FD26" t="s">
        <v>465</v>
      </c>
      <c r="FE26">
        <v>1700238895</v>
      </c>
      <c r="FF26">
        <v>1700238898</v>
      </c>
      <c r="FG26">
        <v>13</v>
      </c>
      <c r="FH26">
        <v>0.19</v>
      </c>
      <c r="FI26">
        <v>-4.0000000000000001E-3</v>
      </c>
      <c r="FJ26">
        <v>-5.0659999999999998</v>
      </c>
      <c r="FK26">
        <v>0.02</v>
      </c>
      <c r="FL26">
        <v>200</v>
      </c>
      <c r="FM26">
        <v>23</v>
      </c>
      <c r="FN26">
        <v>0.03</v>
      </c>
      <c r="FO26">
        <v>0.02</v>
      </c>
      <c r="FP26">
        <v>31.420876351409351</v>
      </c>
      <c r="FQ26">
        <v>0.53723529040872575</v>
      </c>
      <c r="FR26">
        <v>4.6759006757151909E-2</v>
      </c>
      <c r="FS26">
        <v>1</v>
      </c>
      <c r="FT26">
        <v>0.44299806349900678</v>
      </c>
      <c r="FU26">
        <v>3.9699735031335157E-2</v>
      </c>
      <c r="FV26">
        <v>4.2002783359977617E-3</v>
      </c>
      <c r="FW26">
        <v>1</v>
      </c>
      <c r="FX26">
        <v>2</v>
      </c>
      <c r="FY26">
        <v>2</v>
      </c>
      <c r="FZ26" t="s">
        <v>420</v>
      </c>
      <c r="GA26">
        <v>3.11904</v>
      </c>
      <c r="GB26">
        <v>2.8776999999999999</v>
      </c>
      <c r="GC26">
        <v>4.3329300000000001E-2</v>
      </c>
      <c r="GD26">
        <v>4.95308E-2</v>
      </c>
      <c r="GE26">
        <v>0.12552199999999999</v>
      </c>
      <c r="GF26">
        <v>0.107629</v>
      </c>
      <c r="GG26">
        <v>27810.9</v>
      </c>
      <c r="GH26">
        <v>28194.3</v>
      </c>
      <c r="GI26">
        <v>26775.5</v>
      </c>
      <c r="GJ26">
        <v>27394.7</v>
      </c>
      <c r="GK26">
        <v>33485.599999999999</v>
      </c>
      <c r="GL26">
        <v>34139.199999999997</v>
      </c>
      <c r="GM26">
        <v>39669.300000000003</v>
      </c>
      <c r="GN26">
        <v>39651</v>
      </c>
      <c r="GO26">
        <v>1.9200299999999999</v>
      </c>
      <c r="GP26">
        <v>2.46983</v>
      </c>
      <c r="GQ26">
        <v>-6.4075000000000004E-4</v>
      </c>
      <c r="GR26">
        <v>0</v>
      </c>
      <c r="GS26">
        <v>29.971299999999999</v>
      </c>
      <c r="GT26">
        <v>999.9</v>
      </c>
      <c r="GU26">
        <v>45.4</v>
      </c>
      <c r="GV26">
        <v>38.1</v>
      </c>
      <c r="GW26">
        <v>30.7593</v>
      </c>
      <c r="GX26">
        <v>62.744300000000003</v>
      </c>
      <c r="GY26">
        <v>5.0921500000000002</v>
      </c>
      <c r="GZ26">
        <v>3</v>
      </c>
      <c r="HA26">
        <v>0.49877300000000002</v>
      </c>
      <c r="HB26">
        <v>3.3480699999999999</v>
      </c>
      <c r="HC26">
        <v>20.272400000000001</v>
      </c>
      <c r="HD26">
        <v>5.2163899999999996</v>
      </c>
      <c r="HE26">
        <v>11.908099999999999</v>
      </c>
      <c r="HF26">
        <v>4.99735</v>
      </c>
      <c r="HG26">
        <v>3.3028499999999998</v>
      </c>
      <c r="HH26">
        <v>9999</v>
      </c>
      <c r="HI26">
        <v>9999</v>
      </c>
      <c r="HJ26">
        <v>9999</v>
      </c>
      <c r="HK26">
        <v>999.9</v>
      </c>
      <c r="HL26">
        <v>1.8847100000000001</v>
      </c>
      <c r="HM26">
        <v>1.88523</v>
      </c>
      <c r="HN26">
        <v>1.8813</v>
      </c>
      <c r="HO26">
        <v>1.88293</v>
      </c>
      <c r="HP26">
        <v>1.87988</v>
      </c>
      <c r="HQ26">
        <v>1.8833899999999999</v>
      </c>
      <c r="HR26">
        <v>1.87927</v>
      </c>
      <c r="HS26">
        <v>1.8815599999999999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-4.9580000000000002</v>
      </c>
      <c r="IH26">
        <v>1.9699999999999999E-2</v>
      </c>
      <c r="II26">
        <v>-4.3132394209734111</v>
      </c>
      <c r="IJ26">
        <v>-3.7794827560518689E-3</v>
      </c>
      <c r="IK26">
        <v>4.9551128961100493E-7</v>
      </c>
      <c r="IL26">
        <v>1.3680294268397379E-10</v>
      </c>
      <c r="IM26">
        <v>1.9645000000000579E-2</v>
      </c>
      <c r="IN26">
        <v>0</v>
      </c>
      <c r="IO26">
        <v>0</v>
      </c>
      <c r="IP26">
        <v>0</v>
      </c>
      <c r="IQ26">
        <v>4</v>
      </c>
      <c r="IR26">
        <v>2229</v>
      </c>
      <c r="IS26">
        <v>1</v>
      </c>
      <c r="IT26">
        <v>22</v>
      </c>
      <c r="IU26">
        <v>1.3</v>
      </c>
      <c r="IV26">
        <v>1.3</v>
      </c>
      <c r="IW26">
        <v>0.866699</v>
      </c>
      <c r="IX26">
        <v>2.5585900000000001</v>
      </c>
      <c r="IY26">
        <v>2.9956100000000001</v>
      </c>
      <c r="IZ26">
        <v>2.9565399999999999</v>
      </c>
      <c r="JA26">
        <v>3.1970200000000002</v>
      </c>
      <c r="JB26">
        <v>2.5061</v>
      </c>
      <c r="JC26">
        <v>44.306399999999996</v>
      </c>
      <c r="JD26">
        <v>23.780999999999999</v>
      </c>
      <c r="JE26">
        <v>18</v>
      </c>
      <c r="JF26">
        <v>481.685</v>
      </c>
      <c r="JG26">
        <v>1148.8900000000001</v>
      </c>
      <c r="JH26">
        <v>24.811699999999998</v>
      </c>
      <c r="JI26">
        <v>33.468499999999999</v>
      </c>
      <c r="JJ26">
        <v>30.0002</v>
      </c>
      <c r="JK26">
        <v>33.353499999999997</v>
      </c>
      <c r="JL26">
        <v>33.2361</v>
      </c>
      <c r="JM26">
        <v>17.378</v>
      </c>
      <c r="JN26">
        <v>27.1829</v>
      </c>
      <c r="JO26">
        <v>48.868099999999998</v>
      </c>
      <c r="JP26">
        <v>24.824000000000002</v>
      </c>
      <c r="JQ26">
        <v>200</v>
      </c>
      <c r="JR26">
        <v>22.313099999999999</v>
      </c>
      <c r="JS26">
        <v>98.878500000000003</v>
      </c>
      <c r="JT26">
        <v>97.028300000000002</v>
      </c>
    </row>
    <row r="27" spans="1:280" x14ac:dyDescent="0.25">
      <c r="A27">
        <v>11</v>
      </c>
      <c r="B27">
        <v>1700239118.5</v>
      </c>
      <c r="C27">
        <v>1966.900000095367</v>
      </c>
      <c r="D27" t="s">
        <v>466</v>
      </c>
      <c r="E27" t="s">
        <v>467</v>
      </c>
      <c r="F27" t="s">
        <v>412</v>
      </c>
      <c r="G27" t="s">
        <v>413</v>
      </c>
      <c r="H27" t="s">
        <v>414</v>
      </c>
      <c r="I27">
        <v>1700239118.5</v>
      </c>
      <c r="J27">
        <f t="shared" si="0"/>
        <v>7.0372350984982991E-3</v>
      </c>
      <c r="K27">
        <f t="shared" si="1"/>
        <v>7.0372350984982992</v>
      </c>
      <c r="L27">
        <f t="shared" si="2"/>
        <v>21.266098387236529</v>
      </c>
      <c r="M27">
        <f t="shared" si="3"/>
        <v>99.798199999999994</v>
      </c>
      <c r="N27">
        <f t="shared" si="4"/>
        <v>25.352128724880124</v>
      </c>
      <c r="O27">
        <f t="shared" si="5"/>
        <v>2.5069735241889379</v>
      </c>
      <c r="P27">
        <f t="shared" si="6"/>
        <v>9.86865631193246</v>
      </c>
      <c r="Q27">
        <f t="shared" si="7"/>
        <v>0.5007481739015901</v>
      </c>
      <c r="R27">
        <f t="shared" si="8"/>
        <v>3.2281967806600282</v>
      </c>
      <c r="S27">
        <f t="shared" si="9"/>
        <v>0.46125534482844621</v>
      </c>
      <c r="T27">
        <f t="shared" si="10"/>
        <v>0.29157286823054374</v>
      </c>
      <c r="U27">
        <f t="shared" si="11"/>
        <v>344.38151191953642</v>
      </c>
      <c r="V27">
        <f t="shared" si="12"/>
        <v>30.323665820269049</v>
      </c>
      <c r="W27">
        <f t="shared" si="13"/>
        <v>29.991199999999999</v>
      </c>
      <c r="X27">
        <f t="shared" si="14"/>
        <v>4.25829673934747</v>
      </c>
      <c r="Y27">
        <f t="shared" si="15"/>
        <v>65.273310544822735</v>
      </c>
      <c r="Z27">
        <f t="shared" si="16"/>
        <v>2.80349058903571</v>
      </c>
      <c r="AA27">
        <f t="shared" si="17"/>
        <v>4.2950029125772193</v>
      </c>
      <c r="AB27">
        <f t="shared" si="18"/>
        <v>1.45480615031176</v>
      </c>
      <c r="AC27">
        <f t="shared" si="19"/>
        <v>-310.342067843775</v>
      </c>
      <c r="AD27">
        <f t="shared" si="20"/>
        <v>26.018762453421999</v>
      </c>
      <c r="AE27">
        <f t="shared" si="21"/>
        <v>1.7932849606672023</v>
      </c>
      <c r="AF27">
        <f t="shared" si="22"/>
        <v>61.851491489850645</v>
      </c>
      <c r="AG27">
        <v>32</v>
      </c>
      <c r="AH27">
        <v>6</v>
      </c>
      <c r="AI27">
        <f t="shared" si="23"/>
        <v>1</v>
      </c>
      <c r="AJ27">
        <f t="shared" si="24"/>
        <v>0</v>
      </c>
      <c r="AK27">
        <f t="shared" si="25"/>
        <v>51724.899729672579</v>
      </c>
      <c r="AL27" t="s">
        <v>415</v>
      </c>
      <c r="AM27">
        <v>7133.88</v>
      </c>
      <c r="AN27">
        <v>306.28384615384618</v>
      </c>
      <c r="AO27">
        <v>859.63916333292491</v>
      </c>
      <c r="AP27">
        <f t="shared" si="26"/>
        <v>0.64370650010133712</v>
      </c>
      <c r="AQ27">
        <v>-0.73746743666429193</v>
      </c>
      <c r="AR27" t="s">
        <v>468</v>
      </c>
      <c r="AS27">
        <v>7137.16</v>
      </c>
      <c r="AT27">
        <v>571.52403846153845</v>
      </c>
      <c r="AU27">
        <v>677.32654375837933</v>
      </c>
      <c r="AV27">
        <f t="shared" si="27"/>
        <v>0.15620605197274462</v>
      </c>
      <c r="AW27">
        <v>0.5</v>
      </c>
      <c r="AX27">
        <f t="shared" si="28"/>
        <v>1513.242905959768</v>
      </c>
      <c r="AY27">
        <f t="shared" si="29"/>
        <v>21.266098387236529</v>
      </c>
      <c r="AZ27">
        <f t="shared" si="30"/>
        <v>118.18885000786931</v>
      </c>
      <c r="BA27">
        <f t="shared" si="31"/>
        <v>1.4540670065091204E-2</v>
      </c>
      <c r="BB27">
        <f t="shared" si="32"/>
        <v>0.2691650301535819</v>
      </c>
      <c r="BC27">
        <f t="shared" si="33"/>
        <v>279.48111769502196</v>
      </c>
      <c r="BD27" t="s">
        <v>469</v>
      </c>
      <c r="BE27">
        <v>399.79</v>
      </c>
      <c r="BF27">
        <f t="shared" si="34"/>
        <v>399.79</v>
      </c>
      <c r="BG27">
        <f t="shared" si="35"/>
        <v>0.4097529416437341</v>
      </c>
      <c r="BH27">
        <f t="shared" si="36"/>
        <v>0.38122008678234293</v>
      </c>
      <c r="BI27">
        <f t="shared" si="37"/>
        <v>0.39646178380138442</v>
      </c>
      <c r="BJ27">
        <f t="shared" si="38"/>
        <v>0.28514913776744882</v>
      </c>
      <c r="BK27">
        <f t="shared" si="39"/>
        <v>0.32946754809178957</v>
      </c>
      <c r="BL27">
        <f t="shared" si="40"/>
        <v>0.2666694106252705</v>
      </c>
      <c r="BM27">
        <f t="shared" si="41"/>
        <v>0.7333305893747295</v>
      </c>
      <c r="BN27">
        <v>20830</v>
      </c>
      <c r="BO27">
        <v>290.00000000000011</v>
      </c>
      <c r="BP27">
        <v>652</v>
      </c>
      <c r="BQ27">
        <v>275</v>
      </c>
      <c r="BR27">
        <v>7137.16</v>
      </c>
      <c r="BS27">
        <v>653.32000000000005</v>
      </c>
      <c r="BT27">
        <v>-1.32</v>
      </c>
      <c r="BU27">
        <v>300.00000000000011</v>
      </c>
      <c r="BV27">
        <v>38.299999999999997</v>
      </c>
      <c r="BW27">
        <v>677.32654375837933</v>
      </c>
      <c r="BX27">
        <v>1.2022706390667941</v>
      </c>
      <c r="BY27">
        <v>-17.13200484077603</v>
      </c>
      <c r="BZ27">
        <v>0.71912320513174655</v>
      </c>
      <c r="CA27">
        <v>0.95298521818974902</v>
      </c>
      <c r="CB27">
        <v>-7.0450380422691942E-3</v>
      </c>
      <c r="CC27">
        <v>289.99999999999989</v>
      </c>
      <c r="CD27">
        <v>657.99</v>
      </c>
      <c r="CE27">
        <v>775</v>
      </c>
      <c r="CF27">
        <v>7131.11</v>
      </c>
      <c r="CG27">
        <v>653.29999999999995</v>
      </c>
      <c r="CH27">
        <v>4.6900000000000004</v>
      </c>
      <c r="CV27">
        <f t="shared" si="42"/>
        <v>1800.07</v>
      </c>
      <c r="CW27">
        <f t="shared" si="43"/>
        <v>1513.242905959768</v>
      </c>
      <c r="CX27">
        <f t="shared" si="44"/>
        <v>0.84065781106277426</v>
      </c>
      <c r="CY27">
        <f t="shared" si="45"/>
        <v>0.1913156221255487</v>
      </c>
      <c r="CZ27">
        <v>4.5999999999999996</v>
      </c>
      <c r="DA27">
        <v>0.5</v>
      </c>
      <c r="DB27" t="s">
        <v>418</v>
      </c>
      <c r="DC27">
        <v>2</v>
      </c>
      <c r="DD27">
        <v>1700239118.5</v>
      </c>
      <c r="DE27">
        <v>99.798199999999994</v>
      </c>
      <c r="DF27">
        <v>120.012</v>
      </c>
      <c r="DG27">
        <v>28.3507</v>
      </c>
      <c r="DH27">
        <v>22.059100000000001</v>
      </c>
      <c r="DI27">
        <v>104.446</v>
      </c>
      <c r="DJ27">
        <v>28.3536</v>
      </c>
      <c r="DK27">
        <v>499.92899999999997</v>
      </c>
      <c r="DL27">
        <v>98.786199999999994</v>
      </c>
      <c r="DM27">
        <v>9.9915299999999999E-2</v>
      </c>
      <c r="DN27">
        <v>30.140699999999999</v>
      </c>
      <c r="DO27">
        <v>29.991199999999999</v>
      </c>
      <c r="DP27">
        <v>999.9</v>
      </c>
      <c r="DQ27">
        <v>0</v>
      </c>
      <c r="DR27">
        <v>0</v>
      </c>
      <c r="DS27">
        <v>10006.200000000001</v>
      </c>
      <c r="DT27">
        <v>0</v>
      </c>
      <c r="DU27">
        <v>435.29700000000003</v>
      </c>
      <c r="DV27">
        <v>-20.213699999999999</v>
      </c>
      <c r="DW27">
        <v>102.71</v>
      </c>
      <c r="DX27">
        <v>122.71899999999999</v>
      </c>
      <c r="DY27">
        <v>6.2916299999999996</v>
      </c>
      <c r="DZ27">
        <v>120.012</v>
      </c>
      <c r="EA27">
        <v>22.059100000000001</v>
      </c>
      <c r="EB27">
        <v>2.8006600000000001</v>
      </c>
      <c r="EC27">
        <v>2.1791299999999998</v>
      </c>
      <c r="ED27">
        <v>22.888000000000002</v>
      </c>
      <c r="EE27">
        <v>18.809699999999999</v>
      </c>
      <c r="EF27">
        <v>1800.07</v>
      </c>
      <c r="EG27">
        <v>0.97800900000000002</v>
      </c>
      <c r="EH27">
        <v>2.1990699999999998E-2</v>
      </c>
      <c r="EI27">
        <v>0</v>
      </c>
      <c r="EJ27">
        <v>571.57299999999998</v>
      </c>
      <c r="EK27">
        <v>5.0009399999999999</v>
      </c>
      <c r="EL27">
        <v>12191.6</v>
      </c>
      <c r="EM27">
        <v>13860.7</v>
      </c>
      <c r="EN27">
        <v>47.75</v>
      </c>
      <c r="EO27">
        <v>49.686999999999998</v>
      </c>
      <c r="EP27">
        <v>48.75</v>
      </c>
      <c r="EQ27">
        <v>49.061999999999998</v>
      </c>
      <c r="ER27">
        <v>49.25</v>
      </c>
      <c r="ES27">
        <v>1755.59</v>
      </c>
      <c r="ET27">
        <v>39.47</v>
      </c>
      <c r="EU27">
        <v>0</v>
      </c>
      <c r="EV27">
        <v>318</v>
      </c>
      <c r="EW27">
        <v>0</v>
      </c>
      <c r="EX27">
        <v>571.52403846153845</v>
      </c>
      <c r="EY27">
        <v>-0.34697435214925593</v>
      </c>
      <c r="EZ27">
        <v>-359.10427409336398</v>
      </c>
      <c r="FA27">
        <v>12193.276923076921</v>
      </c>
      <c r="FB27">
        <v>15</v>
      </c>
      <c r="FC27">
        <v>1700239059</v>
      </c>
      <c r="FD27" t="s">
        <v>470</v>
      </c>
      <c r="FE27">
        <v>1700239055.5</v>
      </c>
      <c r="FF27">
        <v>1700239059</v>
      </c>
      <c r="FG27">
        <v>14</v>
      </c>
      <c r="FH27">
        <v>5.5E-2</v>
      </c>
      <c r="FI27">
        <v>-2.1999999999999999E-2</v>
      </c>
      <c r="FJ27">
        <v>-4.7220000000000004</v>
      </c>
      <c r="FK27">
        <v>-3.0000000000000001E-3</v>
      </c>
      <c r="FL27">
        <v>120</v>
      </c>
      <c r="FM27">
        <v>22</v>
      </c>
      <c r="FN27">
        <v>0.06</v>
      </c>
      <c r="FO27">
        <v>0.02</v>
      </c>
      <c r="FP27">
        <v>21.156397087682318</v>
      </c>
      <c r="FQ27">
        <v>0.51123398822096922</v>
      </c>
      <c r="FR27">
        <v>3.9333970069138392E-2</v>
      </c>
      <c r="FS27">
        <v>1</v>
      </c>
      <c r="FT27">
        <v>0.49870454119332253</v>
      </c>
      <c r="FU27">
        <v>4.5175227195289873E-2</v>
      </c>
      <c r="FV27">
        <v>3.5786822836060242E-3</v>
      </c>
      <c r="FW27">
        <v>1</v>
      </c>
      <c r="FX27">
        <v>2</v>
      </c>
      <c r="FY27">
        <v>2</v>
      </c>
      <c r="FZ27" t="s">
        <v>420</v>
      </c>
      <c r="GA27">
        <v>3.1189399999999998</v>
      </c>
      <c r="GB27">
        <v>2.8775900000000001</v>
      </c>
      <c r="GC27">
        <v>2.68363E-2</v>
      </c>
      <c r="GD27">
        <v>3.1105399999999998E-2</v>
      </c>
      <c r="GE27">
        <v>0.126355</v>
      </c>
      <c r="GF27">
        <v>0.10646</v>
      </c>
      <c r="GG27">
        <v>28280.2</v>
      </c>
      <c r="GH27">
        <v>28733.9</v>
      </c>
      <c r="GI27">
        <v>26766.799999999999</v>
      </c>
      <c r="GJ27">
        <v>27389.200000000001</v>
      </c>
      <c r="GK27">
        <v>33443</v>
      </c>
      <c r="GL27">
        <v>34177</v>
      </c>
      <c r="GM27">
        <v>39657.599999999999</v>
      </c>
      <c r="GN27">
        <v>39644.400000000001</v>
      </c>
      <c r="GO27">
        <v>1.9206000000000001</v>
      </c>
      <c r="GP27">
        <v>2.4651800000000001</v>
      </c>
      <c r="GQ27">
        <v>-9.6857499999999999E-3</v>
      </c>
      <c r="GR27">
        <v>0</v>
      </c>
      <c r="GS27">
        <v>30.148800000000001</v>
      </c>
      <c r="GT27">
        <v>999.9</v>
      </c>
      <c r="GU27">
        <v>44</v>
      </c>
      <c r="GV27">
        <v>38.5</v>
      </c>
      <c r="GW27">
        <v>30.464500000000001</v>
      </c>
      <c r="GX27">
        <v>63.054299999999998</v>
      </c>
      <c r="GY27">
        <v>5.1642599999999996</v>
      </c>
      <c r="GZ27">
        <v>3</v>
      </c>
      <c r="HA27">
        <v>0.51378299999999999</v>
      </c>
      <c r="HB27">
        <v>3.5689799999999998</v>
      </c>
      <c r="HC27">
        <v>20.267600000000002</v>
      </c>
      <c r="HD27">
        <v>5.2114500000000001</v>
      </c>
      <c r="HE27">
        <v>11.908099999999999</v>
      </c>
      <c r="HF27">
        <v>4.9971500000000004</v>
      </c>
      <c r="HG27">
        <v>3.3028</v>
      </c>
      <c r="HH27">
        <v>9999</v>
      </c>
      <c r="HI27">
        <v>9999</v>
      </c>
      <c r="HJ27">
        <v>9999</v>
      </c>
      <c r="HK27">
        <v>999.9</v>
      </c>
      <c r="HL27">
        <v>1.8846499999999999</v>
      </c>
      <c r="HM27">
        <v>1.88523</v>
      </c>
      <c r="HN27">
        <v>1.8813200000000001</v>
      </c>
      <c r="HO27">
        <v>1.88293</v>
      </c>
      <c r="HP27">
        <v>1.87988</v>
      </c>
      <c r="HQ27">
        <v>1.8833899999999999</v>
      </c>
      <c r="HR27">
        <v>1.87927</v>
      </c>
      <c r="HS27">
        <v>1.8815599999999999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-4.6479999999999997</v>
      </c>
      <c r="IH27">
        <v>-2.8999999999999998E-3</v>
      </c>
      <c r="II27">
        <v>-4.2582086201272862</v>
      </c>
      <c r="IJ27">
        <v>-3.7794827560518689E-3</v>
      </c>
      <c r="IK27">
        <v>4.9551128961100493E-7</v>
      </c>
      <c r="IL27">
        <v>1.3680294268397379E-10</v>
      </c>
      <c r="IM27">
        <v>-2.8428571428591311E-3</v>
      </c>
      <c r="IN27">
        <v>0</v>
      </c>
      <c r="IO27">
        <v>0</v>
      </c>
      <c r="IP27">
        <v>0</v>
      </c>
      <c r="IQ27">
        <v>4</v>
      </c>
      <c r="IR27">
        <v>2229</v>
      </c>
      <c r="IS27">
        <v>1</v>
      </c>
      <c r="IT27">
        <v>22</v>
      </c>
      <c r="IU27">
        <v>1.1000000000000001</v>
      </c>
      <c r="IV27">
        <v>1</v>
      </c>
      <c r="IW27">
        <v>0.58960000000000001</v>
      </c>
      <c r="IX27">
        <v>2.5695800000000002</v>
      </c>
      <c r="IY27">
        <v>2.9956100000000001</v>
      </c>
      <c r="IZ27">
        <v>2.9589799999999999</v>
      </c>
      <c r="JA27">
        <v>3.1970200000000002</v>
      </c>
      <c r="JB27">
        <v>2.52319</v>
      </c>
      <c r="JC27">
        <v>44.697299999999998</v>
      </c>
      <c r="JD27">
        <v>23.780999999999999</v>
      </c>
      <c r="JE27">
        <v>18</v>
      </c>
      <c r="JF27">
        <v>483.16300000000001</v>
      </c>
      <c r="JG27">
        <v>1145.55</v>
      </c>
      <c r="JH27">
        <v>24.784400000000002</v>
      </c>
      <c r="JI27">
        <v>33.5974</v>
      </c>
      <c r="JJ27">
        <v>30.0002</v>
      </c>
      <c r="JK27">
        <v>33.505499999999998</v>
      </c>
      <c r="JL27">
        <v>33.395400000000002</v>
      </c>
      <c r="JM27">
        <v>11.8186</v>
      </c>
      <c r="JN27">
        <v>26.922000000000001</v>
      </c>
      <c r="JO27">
        <v>45.278599999999997</v>
      </c>
      <c r="JP27">
        <v>24.791599999999999</v>
      </c>
      <c r="JQ27">
        <v>120</v>
      </c>
      <c r="JR27">
        <v>21.971599999999999</v>
      </c>
      <c r="JS27">
        <v>98.848299999999995</v>
      </c>
      <c r="JT27">
        <v>97.0107</v>
      </c>
    </row>
    <row r="28" spans="1:280" x14ac:dyDescent="0.25">
      <c r="A28">
        <v>12</v>
      </c>
      <c r="B28">
        <v>1700239248.5</v>
      </c>
      <c r="C28">
        <v>2096.900000095367</v>
      </c>
      <c r="D28" t="s">
        <v>471</v>
      </c>
      <c r="E28" t="s">
        <v>472</v>
      </c>
      <c r="F28" t="s">
        <v>412</v>
      </c>
      <c r="G28" t="s">
        <v>413</v>
      </c>
      <c r="H28" t="s">
        <v>414</v>
      </c>
      <c r="I28">
        <v>1700239248.5</v>
      </c>
      <c r="J28">
        <f t="shared" si="0"/>
        <v>7.1313258370571276E-3</v>
      </c>
      <c r="K28">
        <f t="shared" si="1"/>
        <v>7.131325837057128</v>
      </c>
      <c r="L28">
        <f t="shared" si="2"/>
        <v>13.198090000899846</v>
      </c>
      <c r="M28">
        <f t="shared" si="3"/>
        <v>57.483400000000003</v>
      </c>
      <c r="N28">
        <f t="shared" si="4"/>
        <v>12.619118630188661</v>
      </c>
      <c r="O28">
        <f t="shared" si="5"/>
        <v>1.2478840216995146</v>
      </c>
      <c r="P28">
        <f t="shared" si="6"/>
        <v>5.6844394981243997</v>
      </c>
      <c r="Q28">
        <f t="shared" si="7"/>
        <v>0.51586109637102839</v>
      </c>
      <c r="R28">
        <f t="shared" si="8"/>
        <v>3.2269620887813377</v>
      </c>
      <c r="S28">
        <f t="shared" si="9"/>
        <v>0.47404040136260545</v>
      </c>
      <c r="T28">
        <f t="shared" si="10"/>
        <v>0.29974963470882665</v>
      </c>
      <c r="U28">
        <f t="shared" si="11"/>
        <v>344.36811192912637</v>
      </c>
      <c r="V28">
        <f t="shared" si="12"/>
        <v>30.336244193046976</v>
      </c>
      <c r="W28">
        <f t="shared" si="13"/>
        <v>29.991299999999999</v>
      </c>
      <c r="X28">
        <f t="shared" si="14"/>
        <v>4.2583212003049224</v>
      </c>
      <c r="Y28">
        <f t="shared" si="15"/>
        <v>65.618034207042953</v>
      </c>
      <c r="Z28">
        <f t="shared" si="16"/>
        <v>2.8239451790253995</v>
      </c>
      <c r="AA28">
        <f t="shared" si="17"/>
        <v>4.3036113671358631</v>
      </c>
      <c r="AB28">
        <f t="shared" si="18"/>
        <v>1.4343760212795229</v>
      </c>
      <c r="AC28">
        <f t="shared" si="19"/>
        <v>-314.49146941421935</v>
      </c>
      <c r="AD28">
        <f t="shared" si="20"/>
        <v>32.063035938029003</v>
      </c>
      <c r="AE28">
        <f t="shared" si="21"/>
        <v>2.2111015706618313</v>
      </c>
      <c r="AF28">
        <f t="shared" si="22"/>
        <v>64.150780023597832</v>
      </c>
      <c r="AG28">
        <v>32</v>
      </c>
      <c r="AH28">
        <v>6</v>
      </c>
      <c r="AI28">
        <f t="shared" si="23"/>
        <v>1</v>
      </c>
      <c r="AJ28">
        <f t="shared" si="24"/>
        <v>0</v>
      </c>
      <c r="AK28">
        <f t="shared" si="25"/>
        <v>51689.362466353967</v>
      </c>
      <c r="AL28" t="s">
        <v>456</v>
      </c>
      <c r="AM28" t="s">
        <v>456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456</v>
      </c>
      <c r="AS28" t="s">
        <v>456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1513.1766059645631</v>
      </c>
      <c r="AY28">
        <f t="shared" si="29"/>
        <v>13.198090000899846</v>
      </c>
      <c r="AZ28" t="e">
        <f t="shared" si="30"/>
        <v>#DIV/0!</v>
      </c>
      <c r="BA28">
        <f t="shared" si="31"/>
        <v>8.7221081457883251E-3</v>
      </c>
      <c r="BB28" t="e">
        <f t="shared" si="32"/>
        <v>#DIV/0!</v>
      </c>
      <c r="BC28" t="e">
        <f t="shared" si="33"/>
        <v>#DIV/0!</v>
      </c>
      <c r="BD28" t="s">
        <v>456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BN28">
        <v>20830</v>
      </c>
      <c r="BO28">
        <v>290.00000000000011</v>
      </c>
      <c r="BP28">
        <v>652</v>
      </c>
      <c r="BQ28">
        <v>275</v>
      </c>
      <c r="BR28">
        <v>7137.16</v>
      </c>
      <c r="BS28">
        <v>653.32000000000005</v>
      </c>
      <c r="BT28">
        <v>-1.32</v>
      </c>
      <c r="BU28">
        <v>300.00000000000011</v>
      </c>
      <c r="BV28">
        <v>38.299999999999997</v>
      </c>
      <c r="BW28">
        <v>677.32654375837933</v>
      </c>
      <c r="BX28">
        <v>1.2022706390667941</v>
      </c>
      <c r="BY28">
        <v>-17.13200484077603</v>
      </c>
      <c r="BZ28">
        <v>0.71912320513174655</v>
      </c>
      <c r="CA28">
        <v>0.95298521818974902</v>
      </c>
      <c r="CB28">
        <v>-7.0450380422691942E-3</v>
      </c>
      <c r="CC28">
        <v>289.99999999999989</v>
      </c>
      <c r="CD28">
        <v>657.99</v>
      </c>
      <c r="CE28">
        <v>775</v>
      </c>
      <c r="CF28">
        <v>7131.11</v>
      </c>
      <c r="CG28">
        <v>653.29999999999995</v>
      </c>
      <c r="CH28">
        <v>4.6900000000000004</v>
      </c>
      <c r="CV28">
        <f t="shared" si="42"/>
        <v>1799.99</v>
      </c>
      <c r="CW28">
        <f t="shared" si="43"/>
        <v>1513.1766059645631</v>
      </c>
      <c r="CX28">
        <f t="shared" si="44"/>
        <v>0.84065834030442566</v>
      </c>
      <c r="CY28">
        <f t="shared" si="45"/>
        <v>0.19131668060885137</v>
      </c>
      <c r="CZ28">
        <v>4.5999999999999996</v>
      </c>
      <c r="DA28">
        <v>0.5</v>
      </c>
      <c r="DB28" t="s">
        <v>418</v>
      </c>
      <c r="DC28">
        <v>2</v>
      </c>
      <c r="DD28">
        <v>1700239248.5</v>
      </c>
      <c r="DE28">
        <v>57.483400000000003</v>
      </c>
      <c r="DF28">
        <v>70.011300000000006</v>
      </c>
      <c r="DG28">
        <v>28.556899999999999</v>
      </c>
      <c r="DH28">
        <v>22.179099999999998</v>
      </c>
      <c r="DI28">
        <v>62.0107</v>
      </c>
      <c r="DJ28">
        <v>28.564</v>
      </c>
      <c r="DK28">
        <v>499.66</v>
      </c>
      <c r="DL28">
        <v>98.788399999999996</v>
      </c>
      <c r="DM28">
        <v>9.9965999999999999E-2</v>
      </c>
      <c r="DN28">
        <v>30.175599999999999</v>
      </c>
      <c r="DO28">
        <v>29.991299999999999</v>
      </c>
      <c r="DP28">
        <v>999.9</v>
      </c>
      <c r="DQ28">
        <v>0</v>
      </c>
      <c r="DR28">
        <v>0</v>
      </c>
      <c r="DS28">
        <v>10000</v>
      </c>
      <c r="DT28">
        <v>0</v>
      </c>
      <c r="DU28">
        <v>431.25599999999997</v>
      </c>
      <c r="DV28">
        <v>-12.527900000000001</v>
      </c>
      <c r="DW28">
        <v>59.173200000000001</v>
      </c>
      <c r="DX28">
        <v>71.599299999999999</v>
      </c>
      <c r="DY28">
        <v>6.3777699999999999</v>
      </c>
      <c r="DZ28">
        <v>70.011300000000006</v>
      </c>
      <c r="EA28">
        <v>22.179099999999998</v>
      </c>
      <c r="EB28">
        <v>2.8210899999999999</v>
      </c>
      <c r="EC28">
        <v>2.1910400000000001</v>
      </c>
      <c r="ED28">
        <v>23.007999999999999</v>
      </c>
      <c r="EE28">
        <v>18.896899999999999</v>
      </c>
      <c r="EF28">
        <v>1799.99</v>
      </c>
      <c r="EG28">
        <v>0.97799199999999997</v>
      </c>
      <c r="EH28">
        <v>2.20079E-2</v>
      </c>
      <c r="EI28">
        <v>0</v>
      </c>
      <c r="EJ28">
        <v>587.34900000000005</v>
      </c>
      <c r="EK28">
        <v>5.0009399999999999</v>
      </c>
      <c r="EL28">
        <v>12625.4</v>
      </c>
      <c r="EM28">
        <v>13860.1</v>
      </c>
      <c r="EN28">
        <v>47.936999999999998</v>
      </c>
      <c r="EO28">
        <v>49.875</v>
      </c>
      <c r="EP28">
        <v>48.936999999999998</v>
      </c>
      <c r="EQ28">
        <v>49.25</v>
      </c>
      <c r="ER28">
        <v>49.436999999999998</v>
      </c>
      <c r="ES28">
        <v>1755.48</v>
      </c>
      <c r="ET28">
        <v>39.5</v>
      </c>
      <c r="EU28">
        <v>0</v>
      </c>
      <c r="EV28">
        <v>128</v>
      </c>
      <c r="EW28">
        <v>0</v>
      </c>
      <c r="EX28">
        <v>587.24991999999997</v>
      </c>
      <c r="EY28">
        <v>-0.2214615434673784</v>
      </c>
      <c r="EZ28">
        <v>184.28461517395331</v>
      </c>
      <c r="FA28">
        <v>12608.924000000001</v>
      </c>
      <c r="FB28">
        <v>15</v>
      </c>
      <c r="FC28">
        <v>1700239211</v>
      </c>
      <c r="FD28" t="s">
        <v>473</v>
      </c>
      <c r="FE28">
        <v>1700239206</v>
      </c>
      <c r="FF28">
        <v>1700239211</v>
      </c>
      <c r="FG28">
        <v>15</v>
      </c>
      <c r="FH28">
        <v>-3.6999999999999998E-2</v>
      </c>
      <c r="FI28">
        <v>-4.0000000000000001E-3</v>
      </c>
      <c r="FJ28">
        <v>-4.5739999999999998</v>
      </c>
      <c r="FK28">
        <v>-0.01</v>
      </c>
      <c r="FL28">
        <v>70</v>
      </c>
      <c r="FM28">
        <v>22</v>
      </c>
      <c r="FN28">
        <v>0.12</v>
      </c>
      <c r="FO28">
        <v>0.01</v>
      </c>
      <c r="FP28">
        <v>13.167175389133179</v>
      </c>
      <c r="FQ28">
        <v>0.27885229464744332</v>
      </c>
      <c r="FR28">
        <v>2.3332904473649999E-2</v>
      </c>
      <c r="FS28">
        <v>1</v>
      </c>
      <c r="FT28">
        <v>0.51170055695176619</v>
      </c>
      <c r="FU28">
        <v>4.6137935837877717E-2</v>
      </c>
      <c r="FV28">
        <v>3.702546882873756E-3</v>
      </c>
      <c r="FW28">
        <v>1</v>
      </c>
      <c r="FX28">
        <v>2</v>
      </c>
      <c r="FY28">
        <v>2</v>
      </c>
      <c r="FZ28" t="s">
        <v>420</v>
      </c>
      <c r="GA28">
        <v>3.1186500000000001</v>
      </c>
      <c r="GB28">
        <v>2.8775900000000001</v>
      </c>
      <c r="GC28">
        <v>1.62069E-2</v>
      </c>
      <c r="GD28">
        <v>1.8567299999999998E-2</v>
      </c>
      <c r="GE28">
        <v>0.12697600000000001</v>
      </c>
      <c r="GF28">
        <v>0.106845</v>
      </c>
      <c r="GG28">
        <v>28578.7</v>
      </c>
      <c r="GH28">
        <v>29099.5</v>
      </c>
      <c r="GI28">
        <v>26758.1</v>
      </c>
      <c r="GJ28">
        <v>27384.6</v>
      </c>
      <c r="GK28">
        <v>33408.699999999997</v>
      </c>
      <c r="GL28">
        <v>34156.5</v>
      </c>
      <c r="GM28">
        <v>39645.4</v>
      </c>
      <c r="GN28">
        <v>39638.6</v>
      </c>
      <c r="GO28">
        <v>1.9193800000000001</v>
      </c>
      <c r="GP28">
        <v>2.4611999999999998</v>
      </c>
      <c r="GQ28">
        <v>-1.89766E-2</v>
      </c>
      <c r="GR28">
        <v>0</v>
      </c>
      <c r="GS28">
        <v>30.3001</v>
      </c>
      <c r="GT28">
        <v>999.9</v>
      </c>
      <c r="GU28">
        <v>42.7</v>
      </c>
      <c r="GV28">
        <v>38.799999999999997</v>
      </c>
      <c r="GW28">
        <v>30.046199999999999</v>
      </c>
      <c r="GX28">
        <v>63.134300000000003</v>
      </c>
      <c r="GY28">
        <v>5.2964700000000002</v>
      </c>
      <c r="GZ28">
        <v>3</v>
      </c>
      <c r="HA28">
        <v>0.53110000000000002</v>
      </c>
      <c r="HB28">
        <v>4.2579399999999996</v>
      </c>
      <c r="HC28">
        <v>20.250800000000002</v>
      </c>
      <c r="HD28">
        <v>5.2105499999999996</v>
      </c>
      <c r="HE28">
        <v>11.908099999999999</v>
      </c>
      <c r="HF28">
        <v>4.9958499999999999</v>
      </c>
      <c r="HG28">
        <v>3.3021799999999999</v>
      </c>
      <c r="HH28">
        <v>9999</v>
      </c>
      <c r="HI28">
        <v>9999</v>
      </c>
      <c r="HJ28">
        <v>9999</v>
      </c>
      <c r="HK28">
        <v>999.9</v>
      </c>
      <c r="HL28">
        <v>1.8847</v>
      </c>
      <c r="HM28">
        <v>1.88523</v>
      </c>
      <c r="HN28">
        <v>1.8812599999999999</v>
      </c>
      <c r="HO28">
        <v>1.88293</v>
      </c>
      <c r="HP28">
        <v>1.87988</v>
      </c>
      <c r="HQ28">
        <v>1.8833899999999999</v>
      </c>
      <c r="HR28">
        <v>1.8792899999999999</v>
      </c>
      <c r="HS28">
        <v>1.8815599999999999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-4.5270000000000001</v>
      </c>
      <c r="IH28">
        <v>-7.1000000000000004E-3</v>
      </c>
      <c r="II28">
        <v>-4.2948855141542452</v>
      </c>
      <c r="IJ28">
        <v>-3.7794827560518689E-3</v>
      </c>
      <c r="IK28">
        <v>4.9551128961100493E-7</v>
      </c>
      <c r="IL28">
        <v>1.3680294268397379E-10</v>
      </c>
      <c r="IM28">
        <v>-7.1341120899479499E-3</v>
      </c>
      <c r="IN28">
        <v>0</v>
      </c>
      <c r="IO28">
        <v>0</v>
      </c>
      <c r="IP28">
        <v>0</v>
      </c>
      <c r="IQ28">
        <v>4</v>
      </c>
      <c r="IR28">
        <v>2229</v>
      </c>
      <c r="IS28">
        <v>1</v>
      </c>
      <c r="IT28">
        <v>22</v>
      </c>
      <c r="IU28">
        <v>0.7</v>
      </c>
      <c r="IV28">
        <v>0.6</v>
      </c>
      <c r="IW28">
        <v>0.41259800000000002</v>
      </c>
      <c r="IX28">
        <v>2.5805699999999998</v>
      </c>
      <c r="IY28">
        <v>2.9956100000000001</v>
      </c>
      <c r="IZ28">
        <v>2.9589799999999999</v>
      </c>
      <c r="JA28">
        <v>3.1970200000000002</v>
      </c>
      <c r="JB28">
        <v>2.5329600000000001</v>
      </c>
      <c r="JC28">
        <v>45.063400000000001</v>
      </c>
      <c r="JD28">
        <v>23.772300000000001</v>
      </c>
      <c r="JE28">
        <v>18</v>
      </c>
      <c r="JF28">
        <v>483.44900000000001</v>
      </c>
      <c r="JG28">
        <v>1142.6099999999999</v>
      </c>
      <c r="JH28">
        <v>24.330300000000001</v>
      </c>
      <c r="JI28">
        <v>33.748600000000003</v>
      </c>
      <c r="JJ28">
        <v>30.000399999999999</v>
      </c>
      <c r="JK28">
        <v>33.644599999999997</v>
      </c>
      <c r="JL28">
        <v>33.5289</v>
      </c>
      <c r="JM28">
        <v>8.2792499999999993</v>
      </c>
      <c r="JN28">
        <v>25.6568</v>
      </c>
      <c r="JO28">
        <v>42.6235</v>
      </c>
      <c r="JP28">
        <v>24.3277</v>
      </c>
      <c r="JQ28">
        <v>70</v>
      </c>
      <c r="JR28">
        <v>22.056999999999999</v>
      </c>
      <c r="JS28">
        <v>98.816999999999993</v>
      </c>
      <c r="JT28">
        <v>96.995699999999999</v>
      </c>
    </row>
    <row r="29" spans="1:280" x14ac:dyDescent="0.25">
      <c r="A29">
        <v>13</v>
      </c>
      <c r="B29">
        <v>1700239364.5</v>
      </c>
      <c r="C29">
        <v>2212.900000095367</v>
      </c>
      <c r="D29" t="s">
        <v>474</v>
      </c>
      <c r="E29" t="s">
        <v>475</v>
      </c>
      <c r="F29" t="s">
        <v>412</v>
      </c>
      <c r="G29" t="s">
        <v>413</v>
      </c>
      <c r="H29" t="s">
        <v>414</v>
      </c>
      <c r="I29">
        <v>1700239364.5</v>
      </c>
      <c r="J29">
        <f t="shared" si="0"/>
        <v>7.531230908627032E-3</v>
      </c>
      <c r="K29">
        <f t="shared" si="1"/>
        <v>7.5312309086270322</v>
      </c>
      <c r="L29">
        <f t="shared" si="2"/>
        <v>6.091610652823948</v>
      </c>
      <c r="M29">
        <f t="shared" si="3"/>
        <v>24.238299999999999</v>
      </c>
      <c r="N29">
        <f t="shared" si="4"/>
        <v>4.5436753299694841</v>
      </c>
      <c r="O29">
        <f t="shared" si="5"/>
        <v>0.44932016217712972</v>
      </c>
      <c r="P29">
        <f t="shared" si="6"/>
        <v>2.3969047293198797</v>
      </c>
      <c r="Q29">
        <f t="shared" si="7"/>
        <v>0.54381355167151446</v>
      </c>
      <c r="R29">
        <f t="shared" si="8"/>
        <v>3.2278919469022771</v>
      </c>
      <c r="S29">
        <f t="shared" si="9"/>
        <v>0.49756750466553734</v>
      </c>
      <c r="T29">
        <f t="shared" si="10"/>
        <v>0.31480632953451182</v>
      </c>
      <c r="U29">
        <f t="shared" si="11"/>
        <v>344.40229876245087</v>
      </c>
      <c r="V29">
        <f t="shared" si="12"/>
        <v>30.309081095378801</v>
      </c>
      <c r="W29">
        <f t="shared" si="13"/>
        <v>30.031400000000001</v>
      </c>
      <c r="X29">
        <f t="shared" si="14"/>
        <v>4.2681399198760515</v>
      </c>
      <c r="Y29">
        <f t="shared" si="15"/>
        <v>65.389512929361359</v>
      </c>
      <c r="Z29">
        <f t="shared" si="16"/>
        <v>2.82502549870736</v>
      </c>
      <c r="AA29">
        <f t="shared" si="17"/>
        <v>4.3203036269121071</v>
      </c>
      <c r="AB29">
        <f t="shared" si="18"/>
        <v>1.4431144211686915</v>
      </c>
      <c r="AC29">
        <f t="shared" si="19"/>
        <v>-332.12728307045211</v>
      </c>
      <c r="AD29">
        <f t="shared" si="20"/>
        <v>36.840480822782901</v>
      </c>
      <c r="AE29">
        <f t="shared" si="21"/>
        <v>2.5411803095754011</v>
      </c>
      <c r="AF29">
        <f t="shared" si="22"/>
        <v>51.656676824357056</v>
      </c>
      <c r="AG29">
        <v>31</v>
      </c>
      <c r="AH29">
        <v>6</v>
      </c>
      <c r="AI29">
        <f t="shared" si="23"/>
        <v>1</v>
      </c>
      <c r="AJ29">
        <f t="shared" si="24"/>
        <v>0</v>
      </c>
      <c r="AK29">
        <f t="shared" si="25"/>
        <v>51700.187560024999</v>
      </c>
      <c r="AL29" t="s">
        <v>415</v>
      </c>
      <c r="AM29">
        <v>7133.88</v>
      </c>
      <c r="AN29">
        <v>306.28384615384618</v>
      </c>
      <c r="AO29">
        <v>859.63916333292491</v>
      </c>
      <c r="AP29">
        <f t="shared" si="26"/>
        <v>0.64370650010133712</v>
      </c>
      <c r="AQ29">
        <v>-0.73746743666429193</v>
      </c>
      <c r="AR29" t="s">
        <v>476</v>
      </c>
      <c r="AS29">
        <v>7135.93</v>
      </c>
      <c r="AT29">
        <v>602.55969230769233</v>
      </c>
      <c r="AU29">
        <v>656.36275270666692</v>
      </c>
      <c r="AV29">
        <f t="shared" si="27"/>
        <v>8.197153201808749E-2</v>
      </c>
      <c r="AW29">
        <v>0.5</v>
      </c>
      <c r="AX29">
        <f t="shared" si="28"/>
        <v>1513.3277993812255</v>
      </c>
      <c r="AY29">
        <f t="shared" si="29"/>
        <v>6.091610652823948</v>
      </c>
      <c r="AZ29">
        <f t="shared" si="30"/>
        <v>62.024899080420006</v>
      </c>
      <c r="BA29">
        <f t="shared" si="31"/>
        <v>4.5126231688075351E-3</v>
      </c>
      <c r="BB29">
        <f t="shared" si="32"/>
        <v>0.30970131956452385</v>
      </c>
      <c r="BC29">
        <f t="shared" si="33"/>
        <v>275.84576467270153</v>
      </c>
      <c r="BD29" t="s">
        <v>477</v>
      </c>
      <c r="BE29">
        <v>423.57</v>
      </c>
      <c r="BF29">
        <f t="shared" si="34"/>
        <v>423.57</v>
      </c>
      <c r="BG29">
        <f t="shared" si="35"/>
        <v>0.35467087635105887</v>
      </c>
      <c r="BH29">
        <f t="shared" si="36"/>
        <v>0.23111999739429059</v>
      </c>
      <c r="BI29">
        <f t="shared" si="37"/>
        <v>0.46615635252122362</v>
      </c>
      <c r="BJ29">
        <f t="shared" si="38"/>
        <v>0.15368838108175667</v>
      </c>
      <c r="BK29">
        <f t="shared" si="39"/>
        <v>0.36735241230269589</v>
      </c>
      <c r="BL29">
        <f t="shared" si="40"/>
        <v>0.16246605696670149</v>
      </c>
      <c r="BM29">
        <f t="shared" si="41"/>
        <v>0.83753394303329853</v>
      </c>
      <c r="BN29">
        <v>20832</v>
      </c>
      <c r="BO29">
        <v>290.00000000000011</v>
      </c>
      <c r="BP29">
        <v>642</v>
      </c>
      <c r="BQ29">
        <v>275</v>
      </c>
      <c r="BR29">
        <v>7135.93</v>
      </c>
      <c r="BS29">
        <v>641.48</v>
      </c>
      <c r="BT29">
        <v>0.52</v>
      </c>
      <c r="BU29">
        <v>300.00000000000011</v>
      </c>
      <c r="BV29">
        <v>38.299999999999997</v>
      </c>
      <c r="BW29">
        <v>656.36275270666692</v>
      </c>
      <c r="BX29">
        <v>0.89734354887640122</v>
      </c>
      <c r="BY29">
        <v>-10.62325451604733</v>
      </c>
      <c r="BZ29">
        <v>0.53663884287258246</v>
      </c>
      <c r="CA29">
        <v>0.9333139742867933</v>
      </c>
      <c r="CB29">
        <v>-7.0437808676307081E-3</v>
      </c>
      <c r="CC29">
        <v>289.99999999999989</v>
      </c>
      <c r="CD29">
        <v>642.03</v>
      </c>
      <c r="CE29">
        <v>705</v>
      </c>
      <c r="CF29">
        <v>7131.05</v>
      </c>
      <c r="CG29">
        <v>641.47</v>
      </c>
      <c r="CH29">
        <v>0.56000000000000005</v>
      </c>
      <c r="CV29">
        <f t="shared" si="42"/>
        <v>1800.17</v>
      </c>
      <c r="CW29">
        <f t="shared" si="43"/>
        <v>1513.3277993812255</v>
      </c>
      <c r="CX29">
        <f t="shared" si="44"/>
        <v>0.8406582708195478</v>
      </c>
      <c r="CY29">
        <f t="shared" si="45"/>
        <v>0.19131654163909567</v>
      </c>
      <c r="CZ29">
        <v>4.5999999999999996</v>
      </c>
      <c r="DA29">
        <v>0.5</v>
      </c>
      <c r="DB29" t="s">
        <v>418</v>
      </c>
      <c r="DC29">
        <v>2</v>
      </c>
      <c r="DD29">
        <v>1700239364.5</v>
      </c>
      <c r="DE29">
        <v>24.238299999999999</v>
      </c>
      <c r="DF29">
        <v>30.014299999999999</v>
      </c>
      <c r="DG29">
        <v>28.567599999999999</v>
      </c>
      <c r="DH29">
        <v>21.8324</v>
      </c>
      <c r="DI29">
        <v>28.596599999999999</v>
      </c>
      <c r="DJ29">
        <v>28.571400000000001</v>
      </c>
      <c r="DK29">
        <v>499.673</v>
      </c>
      <c r="DL29">
        <v>98.789400000000001</v>
      </c>
      <c r="DM29">
        <v>9.9743600000000002E-2</v>
      </c>
      <c r="DN29">
        <v>30.243099999999998</v>
      </c>
      <c r="DO29">
        <v>30.031400000000001</v>
      </c>
      <c r="DP29">
        <v>999.9</v>
      </c>
      <c r="DQ29">
        <v>0</v>
      </c>
      <c r="DR29">
        <v>0</v>
      </c>
      <c r="DS29">
        <v>10004.4</v>
      </c>
      <c r="DT29">
        <v>0</v>
      </c>
      <c r="DU29">
        <v>420.01499999999999</v>
      </c>
      <c r="DV29">
        <v>-5.7759999999999998</v>
      </c>
      <c r="DW29">
        <v>24.9511</v>
      </c>
      <c r="DX29">
        <v>30.684200000000001</v>
      </c>
      <c r="DY29">
        <v>6.7351900000000002</v>
      </c>
      <c r="DZ29">
        <v>30.014299999999999</v>
      </c>
      <c r="EA29">
        <v>21.8324</v>
      </c>
      <c r="EB29">
        <v>2.8221699999999998</v>
      </c>
      <c r="EC29">
        <v>2.1568100000000001</v>
      </c>
      <c r="ED29">
        <v>23.014299999999999</v>
      </c>
      <c r="EE29">
        <v>18.645</v>
      </c>
      <c r="EF29">
        <v>1800.17</v>
      </c>
      <c r="EG29">
        <v>0.97799599999999998</v>
      </c>
      <c r="EH29">
        <v>2.2004099999999999E-2</v>
      </c>
      <c r="EI29">
        <v>0</v>
      </c>
      <c r="EJ29">
        <v>602.36500000000001</v>
      </c>
      <c r="EK29">
        <v>5.0009399999999999</v>
      </c>
      <c r="EL29">
        <v>13030.7</v>
      </c>
      <c r="EM29">
        <v>13861.5</v>
      </c>
      <c r="EN29">
        <v>48.125</v>
      </c>
      <c r="EO29">
        <v>50.061999999999998</v>
      </c>
      <c r="EP29">
        <v>49.186999999999998</v>
      </c>
      <c r="EQ29">
        <v>49.5</v>
      </c>
      <c r="ER29">
        <v>49.625</v>
      </c>
      <c r="ES29">
        <v>1755.67</v>
      </c>
      <c r="ET29">
        <v>39.5</v>
      </c>
      <c r="EU29">
        <v>0</v>
      </c>
      <c r="EV29">
        <v>243.79999995231631</v>
      </c>
      <c r="EW29">
        <v>0</v>
      </c>
      <c r="EX29">
        <v>602.55969230769233</v>
      </c>
      <c r="EY29">
        <v>0.59001709161065929</v>
      </c>
      <c r="EZ29">
        <v>5.3059823242613193</v>
      </c>
      <c r="FA29">
        <v>12995.77692307693</v>
      </c>
      <c r="FB29">
        <v>15</v>
      </c>
      <c r="FC29">
        <v>1700239330</v>
      </c>
      <c r="FD29" t="s">
        <v>478</v>
      </c>
      <c r="FE29">
        <v>1700239328.5</v>
      </c>
      <c r="FF29">
        <v>1700239330</v>
      </c>
      <c r="FG29">
        <v>16</v>
      </c>
      <c r="FH29">
        <v>4.3999999999999997E-2</v>
      </c>
      <c r="FI29">
        <v>3.0000000000000001E-3</v>
      </c>
      <c r="FJ29">
        <v>-4.38</v>
      </c>
      <c r="FK29">
        <v>-1.7999999999999999E-2</v>
      </c>
      <c r="FL29">
        <v>30</v>
      </c>
      <c r="FM29">
        <v>22</v>
      </c>
      <c r="FN29">
        <v>0.18</v>
      </c>
      <c r="FO29">
        <v>0.01</v>
      </c>
      <c r="FP29">
        <v>6.0732514321563498</v>
      </c>
      <c r="FQ29">
        <v>0.1148788746744759</v>
      </c>
      <c r="FR29">
        <v>1.7127243982458958E-2</v>
      </c>
      <c r="FS29">
        <v>1</v>
      </c>
      <c r="FT29">
        <v>0.54198351643770859</v>
      </c>
      <c r="FU29">
        <v>3.8660875317909828E-2</v>
      </c>
      <c r="FV29">
        <v>3.3938764504417868E-3</v>
      </c>
      <c r="FW29">
        <v>1</v>
      </c>
      <c r="FX29">
        <v>2</v>
      </c>
      <c r="FY29">
        <v>2</v>
      </c>
      <c r="FZ29" t="s">
        <v>420</v>
      </c>
      <c r="GA29">
        <v>3.1185700000000001</v>
      </c>
      <c r="GB29">
        <v>2.8774000000000002</v>
      </c>
      <c r="GC29">
        <v>7.5417599999999998E-3</v>
      </c>
      <c r="GD29">
        <v>8.0625999999999996E-3</v>
      </c>
      <c r="GE29">
        <v>0.12696099999999999</v>
      </c>
      <c r="GF29">
        <v>0.10560899999999999</v>
      </c>
      <c r="GG29">
        <v>28822.7</v>
      </c>
      <c r="GH29">
        <v>29404.1</v>
      </c>
      <c r="GI29">
        <v>26751.8</v>
      </c>
      <c r="GJ29">
        <v>27379.4</v>
      </c>
      <c r="GK29">
        <v>33402.400000000001</v>
      </c>
      <c r="GL29">
        <v>34198.199999999997</v>
      </c>
      <c r="GM29">
        <v>39637.199999999997</v>
      </c>
      <c r="GN29">
        <v>39632.699999999997</v>
      </c>
      <c r="GO29">
        <v>1.91893</v>
      </c>
      <c r="GP29">
        <v>2.45885</v>
      </c>
      <c r="GQ29">
        <v>-2.4162200000000002E-2</v>
      </c>
      <c r="GR29">
        <v>0</v>
      </c>
      <c r="GS29">
        <v>30.424499999999998</v>
      </c>
      <c r="GT29">
        <v>999.9</v>
      </c>
      <c r="GU29">
        <v>41.7</v>
      </c>
      <c r="GV29">
        <v>39.1</v>
      </c>
      <c r="GW29">
        <v>29.821100000000001</v>
      </c>
      <c r="GX29">
        <v>63.084299999999999</v>
      </c>
      <c r="GY29">
        <v>5.4046500000000002</v>
      </c>
      <c r="GZ29">
        <v>3</v>
      </c>
      <c r="HA29">
        <v>0.545346</v>
      </c>
      <c r="HB29">
        <v>4.4437800000000003</v>
      </c>
      <c r="HC29">
        <v>20.2456</v>
      </c>
      <c r="HD29">
        <v>5.2110000000000003</v>
      </c>
      <c r="HE29">
        <v>11.908099999999999</v>
      </c>
      <c r="HF29">
        <v>4.9961000000000002</v>
      </c>
      <c r="HG29">
        <v>3.3022499999999999</v>
      </c>
      <c r="HH29">
        <v>9999</v>
      </c>
      <c r="HI29">
        <v>9999</v>
      </c>
      <c r="HJ29">
        <v>9999</v>
      </c>
      <c r="HK29">
        <v>999.9</v>
      </c>
      <c r="HL29">
        <v>1.88469</v>
      </c>
      <c r="HM29">
        <v>1.88523</v>
      </c>
      <c r="HN29">
        <v>1.8813200000000001</v>
      </c>
      <c r="HO29">
        <v>1.8829499999999999</v>
      </c>
      <c r="HP29">
        <v>1.87988</v>
      </c>
      <c r="HQ29">
        <v>1.8833899999999999</v>
      </c>
      <c r="HR29">
        <v>1.8793</v>
      </c>
      <c r="HS29">
        <v>1.88157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-4.3579999999999997</v>
      </c>
      <c r="IH29">
        <v>-3.8E-3</v>
      </c>
      <c r="II29">
        <v>-4.250637962353359</v>
      </c>
      <c r="IJ29">
        <v>-3.7794827560518689E-3</v>
      </c>
      <c r="IK29">
        <v>4.9551128961100493E-7</v>
      </c>
      <c r="IL29">
        <v>1.3680294268397379E-10</v>
      </c>
      <c r="IM29">
        <v>-3.8769855179072582E-3</v>
      </c>
      <c r="IN29">
        <v>0</v>
      </c>
      <c r="IO29">
        <v>0</v>
      </c>
      <c r="IP29">
        <v>0</v>
      </c>
      <c r="IQ29">
        <v>4</v>
      </c>
      <c r="IR29">
        <v>2229</v>
      </c>
      <c r="IS29">
        <v>1</v>
      </c>
      <c r="IT29">
        <v>22</v>
      </c>
      <c r="IU29">
        <v>0.6</v>
      </c>
      <c r="IV29">
        <v>0.6</v>
      </c>
      <c r="IW29">
        <v>0.27221699999999999</v>
      </c>
      <c r="IX29">
        <v>2.5988799999999999</v>
      </c>
      <c r="IY29">
        <v>2.9956100000000001</v>
      </c>
      <c r="IZ29">
        <v>2.9589799999999999</v>
      </c>
      <c r="JA29">
        <v>3.1970200000000002</v>
      </c>
      <c r="JB29">
        <v>2.52563</v>
      </c>
      <c r="JC29">
        <v>45.347299999999997</v>
      </c>
      <c r="JD29">
        <v>23.772300000000001</v>
      </c>
      <c r="JE29">
        <v>18</v>
      </c>
      <c r="JF29">
        <v>484.19</v>
      </c>
      <c r="JG29">
        <v>1141.8599999999999</v>
      </c>
      <c r="JH29">
        <v>24.472000000000001</v>
      </c>
      <c r="JI29">
        <v>33.905200000000001</v>
      </c>
      <c r="JJ29">
        <v>30.000900000000001</v>
      </c>
      <c r="JK29">
        <v>33.781599999999997</v>
      </c>
      <c r="JL29">
        <v>33.658799999999999</v>
      </c>
      <c r="JM29">
        <v>5.4478499999999999</v>
      </c>
      <c r="JN29">
        <v>25.552399999999999</v>
      </c>
      <c r="JO29">
        <v>39.983400000000003</v>
      </c>
      <c r="JP29">
        <v>24.455200000000001</v>
      </c>
      <c r="JQ29">
        <v>30</v>
      </c>
      <c r="JR29">
        <v>21.761800000000001</v>
      </c>
      <c r="JS29">
        <v>98.795599999999993</v>
      </c>
      <c r="JT29">
        <v>96.979600000000005</v>
      </c>
    </row>
    <row r="30" spans="1:280" x14ac:dyDescent="0.25">
      <c r="A30">
        <v>14</v>
      </c>
      <c r="B30">
        <v>1700239499.5</v>
      </c>
      <c r="C30">
        <v>2347.900000095367</v>
      </c>
      <c r="D30" t="s">
        <v>479</v>
      </c>
      <c r="E30" t="s">
        <v>480</v>
      </c>
      <c r="F30" t="s">
        <v>412</v>
      </c>
      <c r="G30" t="s">
        <v>413</v>
      </c>
      <c r="H30" t="s">
        <v>414</v>
      </c>
      <c r="I30">
        <v>1700239499.5</v>
      </c>
      <c r="J30">
        <f t="shared" si="0"/>
        <v>7.5822918030973236E-3</v>
      </c>
      <c r="K30">
        <f t="shared" si="1"/>
        <v>7.5822918030973234</v>
      </c>
      <c r="L30">
        <f t="shared" si="2"/>
        <v>2.4649159200897222</v>
      </c>
      <c r="M30">
        <f t="shared" si="3"/>
        <v>7.7144599999999999</v>
      </c>
      <c r="N30">
        <f t="shared" si="4"/>
        <v>-9.8346563709804116E-2</v>
      </c>
      <c r="O30">
        <f t="shared" si="5"/>
        <v>-9.7259614867973698E-3</v>
      </c>
      <c r="P30">
        <f t="shared" si="6"/>
        <v>0.76291980137541981</v>
      </c>
      <c r="Q30">
        <f t="shared" si="7"/>
        <v>0.55202822276549857</v>
      </c>
      <c r="R30">
        <f t="shared" si="8"/>
        <v>3.2257960379453898</v>
      </c>
      <c r="S30">
        <f t="shared" si="9"/>
        <v>0.50441182184070066</v>
      </c>
      <c r="T30">
        <f t="shared" si="10"/>
        <v>0.31919255865273871</v>
      </c>
      <c r="U30">
        <f t="shared" si="11"/>
        <v>344.33389876220332</v>
      </c>
      <c r="V30">
        <f t="shared" si="12"/>
        <v>30.271142945997852</v>
      </c>
      <c r="W30">
        <f t="shared" si="13"/>
        <v>29.996400000000001</v>
      </c>
      <c r="X30">
        <f t="shared" si="14"/>
        <v>4.2595688715232196</v>
      </c>
      <c r="Y30">
        <f t="shared" si="15"/>
        <v>65.513455571438925</v>
      </c>
      <c r="Z30">
        <f t="shared" si="16"/>
        <v>2.8262446055390997</v>
      </c>
      <c r="AA30">
        <f t="shared" si="17"/>
        <v>4.3139910433471655</v>
      </c>
      <c r="AB30">
        <f t="shared" si="18"/>
        <v>1.4333242659841199</v>
      </c>
      <c r="AC30">
        <f t="shared" si="19"/>
        <v>-334.37906851659199</v>
      </c>
      <c r="AD30">
        <f t="shared" si="20"/>
        <v>38.468696458693799</v>
      </c>
      <c r="AE30">
        <f t="shared" si="21"/>
        <v>2.6544205448450646</v>
      </c>
      <c r="AF30">
        <f t="shared" si="22"/>
        <v>51.077947249150171</v>
      </c>
      <c r="AG30">
        <v>31</v>
      </c>
      <c r="AH30">
        <v>6</v>
      </c>
      <c r="AI30">
        <f t="shared" si="23"/>
        <v>1</v>
      </c>
      <c r="AJ30">
        <f t="shared" si="24"/>
        <v>0</v>
      </c>
      <c r="AK30">
        <f t="shared" si="25"/>
        <v>51654.355869936939</v>
      </c>
      <c r="AL30" t="s">
        <v>456</v>
      </c>
      <c r="AM30" t="s">
        <v>456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456</v>
      </c>
      <c r="AS30" t="s">
        <v>456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1513.0253993811016</v>
      </c>
      <c r="AY30">
        <f t="shared" si="29"/>
        <v>2.4649159200897222</v>
      </c>
      <c r="AZ30" t="e">
        <f t="shared" si="30"/>
        <v>#DIV/0!</v>
      </c>
      <c r="BA30">
        <f t="shared" si="31"/>
        <v>1.6291305625787832E-3</v>
      </c>
      <c r="BB30" t="e">
        <f t="shared" si="32"/>
        <v>#DIV/0!</v>
      </c>
      <c r="BC30" t="e">
        <f t="shared" si="33"/>
        <v>#DIV/0!</v>
      </c>
      <c r="BD30" t="s">
        <v>456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BN30">
        <v>20832</v>
      </c>
      <c r="BO30">
        <v>290.00000000000011</v>
      </c>
      <c r="BP30">
        <v>642</v>
      </c>
      <c r="BQ30">
        <v>275</v>
      </c>
      <c r="BR30">
        <v>7135.93</v>
      </c>
      <c r="BS30">
        <v>641.48</v>
      </c>
      <c r="BT30">
        <v>0.52</v>
      </c>
      <c r="BU30">
        <v>300.00000000000011</v>
      </c>
      <c r="BV30">
        <v>38.299999999999997</v>
      </c>
      <c r="BW30">
        <v>656.36275270666692</v>
      </c>
      <c r="BX30">
        <v>0.89734354887640122</v>
      </c>
      <c r="BY30">
        <v>-10.62325451604733</v>
      </c>
      <c r="BZ30">
        <v>0.53663884287258246</v>
      </c>
      <c r="CA30">
        <v>0.9333139742867933</v>
      </c>
      <c r="CB30">
        <v>-7.0437808676307081E-3</v>
      </c>
      <c r="CC30">
        <v>289.99999999999989</v>
      </c>
      <c r="CD30">
        <v>642.03</v>
      </c>
      <c r="CE30">
        <v>705</v>
      </c>
      <c r="CF30">
        <v>7131.05</v>
      </c>
      <c r="CG30">
        <v>641.47</v>
      </c>
      <c r="CH30">
        <v>0.56000000000000005</v>
      </c>
      <c r="CV30">
        <f t="shared" si="42"/>
        <v>1799.81</v>
      </c>
      <c r="CW30">
        <f t="shared" si="43"/>
        <v>1513.0253993811016</v>
      </c>
      <c r="CX30">
        <f t="shared" si="44"/>
        <v>0.8406584024875412</v>
      </c>
      <c r="CY30">
        <f t="shared" si="45"/>
        <v>0.19131680497508255</v>
      </c>
      <c r="CZ30">
        <v>4.5999999999999996</v>
      </c>
      <c r="DA30">
        <v>0.5</v>
      </c>
      <c r="DB30" t="s">
        <v>418</v>
      </c>
      <c r="DC30">
        <v>2</v>
      </c>
      <c r="DD30">
        <v>1700239499.5</v>
      </c>
      <c r="DE30">
        <v>7.7144599999999999</v>
      </c>
      <c r="DF30">
        <v>10.036799999999999</v>
      </c>
      <c r="DG30">
        <v>28.578299999999999</v>
      </c>
      <c r="DH30">
        <v>21.799600000000002</v>
      </c>
      <c r="DI30">
        <v>12.046900000000001</v>
      </c>
      <c r="DJ30">
        <v>28.581399999999999</v>
      </c>
      <c r="DK30">
        <v>499.827</v>
      </c>
      <c r="DL30">
        <v>98.794399999999996</v>
      </c>
      <c r="DM30">
        <v>0.10037699999999999</v>
      </c>
      <c r="DN30">
        <v>30.217600000000001</v>
      </c>
      <c r="DO30">
        <v>29.996400000000001</v>
      </c>
      <c r="DP30">
        <v>999.9</v>
      </c>
      <c r="DQ30">
        <v>0</v>
      </c>
      <c r="DR30">
        <v>0</v>
      </c>
      <c r="DS30">
        <v>9993.75</v>
      </c>
      <c r="DT30">
        <v>0</v>
      </c>
      <c r="DU30">
        <v>402.54599999999999</v>
      </c>
      <c r="DV30">
        <v>-2.32233</v>
      </c>
      <c r="DW30">
        <v>7.9414100000000003</v>
      </c>
      <c r="DX30">
        <v>10.2605</v>
      </c>
      <c r="DY30">
        <v>6.7786600000000004</v>
      </c>
      <c r="DZ30">
        <v>10.036799999999999</v>
      </c>
      <c r="EA30">
        <v>21.799600000000002</v>
      </c>
      <c r="EB30">
        <v>2.8233799999999998</v>
      </c>
      <c r="EC30">
        <v>2.15368</v>
      </c>
      <c r="ED30">
        <v>23.0214</v>
      </c>
      <c r="EE30">
        <v>18.6219</v>
      </c>
      <c r="EF30">
        <v>1799.81</v>
      </c>
      <c r="EG30">
        <v>0.97799199999999997</v>
      </c>
      <c r="EH30">
        <v>2.20079E-2</v>
      </c>
      <c r="EI30">
        <v>0</v>
      </c>
      <c r="EJ30">
        <v>610.36599999999999</v>
      </c>
      <c r="EK30">
        <v>5.0009399999999999</v>
      </c>
      <c r="EL30">
        <v>13251.7</v>
      </c>
      <c r="EM30">
        <v>13858.6</v>
      </c>
      <c r="EN30">
        <v>48.25</v>
      </c>
      <c r="EO30">
        <v>50.25</v>
      </c>
      <c r="EP30">
        <v>49.375</v>
      </c>
      <c r="EQ30">
        <v>49.561999999999998</v>
      </c>
      <c r="ER30">
        <v>49.75</v>
      </c>
      <c r="ES30">
        <v>1755.31</v>
      </c>
      <c r="ET30">
        <v>39.5</v>
      </c>
      <c r="EU30">
        <v>0</v>
      </c>
      <c r="EV30">
        <v>133.20000004768369</v>
      </c>
      <c r="EW30">
        <v>0</v>
      </c>
      <c r="EX30">
        <v>610.57565384615384</v>
      </c>
      <c r="EY30">
        <v>-0.26417094316322809</v>
      </c>
      <c r="EZ30">
        <v>-5.6923074838854397</v>
      </c>
      <c r="FA30">
        <v>13226.780769230771</v>
      </c>
      <c r="FB30">
        <v>15</v>
      </c>
      <c r="FC30">
        <v>1700239461</v>
      </c>
      <c r="FD30" t="s">
        <v>481</v>
      </c>
      <c r="FE30">
        <v>1700239456.5</v>
      </c>
      <c r="FF30">
        <v>1700239461</v>
      </c>
      <c r="FG30">
        <v>17</v>
      </c>
      <c r="FH30">
        <v>-3.5999999999999997E-2</v>
      </c>
      <c r="FI30">
        <v>1E-3</v>
      </c>
      <c r="FJ30">
        <v>-4.3410000000000002</v>
      </c>
      <c r="FK30">
        <v>-1.7000000000000001E-2</v>
      </c>
      <c r="FL30">
        <v>10</v>
      </c>
      <c r="FM30">
        <v>22</v>
      </c>
      <c r="FN30">
        <v>0.26</v>
      </c>
      <c r="FO30">
        <v>0.01</v>
      </c>
      <c r="FP30">
        <v>2.4205216151128832</v>
      </c>
      <c r="FQ30">
        <v>0.1766596856866702</v>
      </c>
      <c r="FR30">
        <v>2.541873021870332E-2</v>
      </c>
      <c r="FS30">
        <v>1</v>
      </c>
      <c r="FT30">
        <v>0.55242933370070324</v>
      </c>
      <c r="FU30">
        <v>4.5361083777828437E-2</v>
      </c>
      <c r="FV30">
        <v>4.2533323301057026E-3</v>
      </c>
      <c r="FW30">
        <v>1</v>
      </c>
      <c r="FX30">
        <v>2</v>
      </c>
      <c r="FY30">
        <v>2</v>
      </c>
      <c r="FZ30" t="s">
        <v>420</v>
      </c>
      <c r="GA30">
        <v>3.1187299999999998</v>
      </c>
      <c r="GB30">
        <v>2.8779400000000002</v>
      </c>
      <c r="GC30">
        <v>3.1850899999999998E-3</v>
      </c>
      <c r="GD30">
        <v>2.7062700000000002E-3</v>
      </c>
      <c r="GE30">
        <v>0.12695400000000001</v>
      </c>
      <c r="GF30">
        <v>0.105465</v>
      </c>
      <c r="GG30">
        <v>28942.9</v>
      </c>
      <c r="GH30">
        <v>29558.7</v>
      </c>
      <c r="GI30">
        <v>26746.9</v>
      </c>
      <c r="GJ30">
        <v>27376.6</v>
      </c>
      <c r="GK30">
        <v>33397.4</v>
      </c>
      <c r="GL30">
        <v>34201</v>
      </c>
      <c r="GM30">
        <v>39630.5</v>
      </c>
      <c r="GN30">
        <v>39629.800000000003</v>
      </c>
      <c r="GO30">
        <v>1.9176800000000001</v>
      </c>
      <c r="GP30">
        <v>2.4552200000000002</v>
      </c>
      <c r="GQ30">
        <v>-3.3713899999999998E-2</v>
      </c>
      <c r="GR30">
        <v>0</v>
      </c>
      <c r="GS30">
        <v>30.544799999999999</v>
      </c>
      <c r="GT30">
        <v>999.9</v>
      </c>
      <c r="GU30">
        <v>40.5</v>
      </c>
      <c r="GV30">
        <v>39.5</v>
      </c>
      <c r="GW30">
        <v>29.590499999999999</v>
      </c>
      <c r="GX30">
        <v>63.1143</v>
      </c>
      <c r="GY30">
        <v>5.3405500000000004</v>
      </c>
      <c r="GZ30">
        <v>3</v>
      </c>
      <c r="HA30">
        <v>0.55625999999999998</v>
      </c>
      <c r="HB30">
        <v>3.6560899999999998</v>
      </c>
      <c r="HC30">
        <v>20.2637</v>
      </c>
      <c r="HD30">
        <v>5.2110000000000003</v>
      </c>
      <c r="HE30">
        <v>11.908099999999999</v>
      </c>
      <c r="HF30">
        <v>4.9955999999999996</v>
      </c>
      <c r="HG30">
        <v>3.3024499999999999</v>
      </c>
      <c r="HH30">
        <v>9999</v>
      </c>
      <c r="HI30">
        <v>9999</v>
      </c>
      <c r="HJ30">
        <v>9999</v>
      </c>
      <c r="HK30">
        <v>999.9</v>
      </c>
      <c r="HL30">
        <v>1.8847700000000001</v>
      </c>
      <c r="HM30">
        <v>1.8852800000000001</v>
      </c>
      <c r="HN30">
        <v>1.8813599999999999</v>
      </c>
      <c r="HO30">
        <v>1.8829499999999999</v>
      </c>
      <c r="HP30">
        <v>1.8798900000000001</v>
      </c>
      <c r="HQ30">
        <v>1.8834</v>
      </c>
      <c r="HR30">
        <v>1.8793899999999999</v>
      </c>
      <c r="HS30">
        <v>1.88164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-4.3319999999999999</v>
      </c>
      <c r="IH30">
        <v>-3.0999999999999999E-3</v>
      </c>
      <c r="II30">
        <v>-4.2869788868302212</v>
      </c>
      <c r="IJ30">
        <v>-3.7794827560518689E-3</v>
      </c>
      <c r="IK30">
        <v>4.9551128961100493E-7</v>
      </c>
      <c r="IL30">
        <v>1.3680294268397379E-10</v>
      </c>
      <c r="IM30">
        <v>-3.0691693176743001E-3</v>
      </c>
      <c r="IN30">
        <v>0</v>
      </c>
      <c r="IO30">
        <v>0</v>
      </c>
      <c r="IP30">
        <v>0</v>
      </c>
      <c r="IQ30">
        <v>4</v>
      </c>
      <c r="IR30">
        <v>2229</v>
      </c>
      <c r="IS30">
        <v>1</v>
      </c>
      <c r="IT30">
        <v>22</v>
      </c>
      <c r="IU30">
        <v>0.7</v>
      </c>
      <c r="IV30">
        <v>0.6</v>
      </c>
      <c r="IW30">
        <v>0.20263700000000001</v>
      </c>
      <c r="IX30">
        <v>2.6098599999999998</v>
      </c>
      <c r="IY30">
        <v>2.9956100000000001</v>
      </c>
      <c r="IZ30">
        <v>2.96021</v>
      </c>
      <c r="JA30">
        <v>3.1970200000000002</v>
      </c>
      <c r="JB30">
        <v>2.5134300000000001</v>
      </c>
      <c r="JC30">
        <v>45.719299999999997</v>
      </c>
      <c r="JD30">
        <v>23.780999999999999</v>
      </c>
      <c r="JE30">
        <v>18</v>
      </c>
      <c r="JF30">
        <v>484.541</v>
      </c>
      <c r="JG30">
        <v>1139.5899999999999</v>
      </c>
      <c r="JH30">
        <v>24.282699999999998</v>
      </c>
      <c r="JI30">
        <v>34.0702</v>
      </c>
      <c r="JJ30">
        <v>29.999600000000001</v>
      </c>
      <c r="JK30">
        <v>33.932099999999998</v>
      </c>
      <c r="JL30">
        <v>33.802500000000002</v>
      </c>
      <c r="JM30">
        <v>4.0460799999999999</v>
      </c>
      <c r="JN30">
        <v>24.515499999999999</v>
      </c>
      <c r="JO30">
        <v>36.78</v>
      </c>
      <c r="JP30">
        <v>24.504200000000001</v>
      </c>
      <c r="JQ30">
        <v>10</v>
      </c>
      <c r="JR30">
        <v>21.691400000000002</v>
      </c>
      <c r="JS30">
        <v>98.778199999999998</v>
      </c>
      <c r="JT30">
        <v>96.971299999999999</v>
      </c>
    </row>
    <row r="31" spans="1:280" x14ac:dyDescent="0.25">
      <c r="A31">
        <v>15</v>
      </c>
      <c r="B31">
        <v>1700246724.5999999</v>
      </c>
      <c r="C31">
        <v>9573</v>
      </c>
      <c r="D31" t="s">
        <v>482</v>
      </c>
      <c r="E31" t="s">
        <v>483</v>
      </c>
      <c r="F31" t="s">
        <v>412</v>
      </c>
      <c r="G31" t="s">
        <v>484</v>
      </c>
      <c r="H31">
        <v>10</v>
      </c>
      <c r="I31">
        <v>1700246724.5999999</v>
      </c>
      <c r="J31">
        <f t="shared" si="0"/>
        <v>2.2157323680756843E-3</v>
      </c>
      <c r="K31">
        <f t="shared" si="1"/>
        <v>2.2157323680756842</v>
      </c>
      <c r="L31">
        <f t="shared" si="2"/>
        <v>34.920238083388206</v>
      </c>
      <c r="M31">
        <f t="shared" si="3"/>
        <v>415.49</v>
      </c>
      <c r="N31">
        <f t="shared" si="4"/>
        <v>-0.22296842048857968</v>
      </c>
      <c r="O31">
        <f t="shared" si="5"/>
        <v>-2.2056851304978767E-2</v>
      </c>
      <c r="P31">
        <f t="shared" si="6"/>
        <v>41.101789789891001</v>
      </c>
      <c r="Q31">
        <f t="shared" si="7"/>
        <v>0.13900285962023334</v>
      </c>
      <c r="R31">
        <f t="shared" si="8"/>
        <v>3.1755085326324091</v>
      </c>
      <c r="S31">
        <f t="shared" si="9"/>
        <v>0.1357089116724351</v>
      </c>
      <c r="T31">
        <f t="shared" si="10"/>
        <v>8.5107516658547391E-2</v>
      </c>
      <c r="U31">
        <f t="shared" si="11"/>
        <v>344.37699876267482</v>
      </c>
      <c r="V31">
        <f t="shared" si="12"/>
        <v>31.026900990814845</v>
      </c>
      <c r="W31">
        <f t="shared" si="13"/>
        <v>30.064900000000002</v>
      </c>
      <c r="X31">
        <f t="shared" si="14"/>
        <v>4.2763577113559164</v>
      </c>
      <c r="Y31">
        <f t="shared" si="15"/>
        <v>64.988293968023754</v>
      </c>
      <c r="Z31">
        <f t="shared" si="16"/>
        <v>2.7183231404760999</v>
      </c>
      <c r="AA31">
        <f t="shared" si="17"/>
        <v>4.1827888908941029</v>
      </c>
      <c r="AB31">
        <f t="shared" si="18"/>
        <v>1.5580345708798164</v>
      </c>
      <c r="AC31">
        <f t="shared" si="19"/>
        <v>-97.713797432137682</v>
      </c>
      <c r="AD31">
        <f t="shared" si="20"/>
        <v>-65.876996561140288</v>
      </c>
      <c r="AE31">
        <f t="shared" si="21"/>
        <v>-4.6069279152763025</v>
      </c>
      <c r="AF31">
        <f t="shared" si="22"/>
        <v>176.17927685412056</v>
      </c>
      <c r="AG31">
        <v>77</v>
      </c>
      <c r="AH31">
        <v>15</v>
      </c>
      <c r="AI31">
        <f t="shared" si="23"/>
        <v>1</v>
      </c>
      <c r="AJ31">
        <f t="shared" si="24"/>
        <v>0</v>
      </c>
      <c r="AK31">
        <f t="shared" si="25"/>
        <v>51854.616104156084</v>
      </c>
      <c r="AL31" t="s">
        <v>415</v>
      </c>
      <c r="AM31">
        <v>7133.88</v>
      </c>
      <c r="AN31">
        <v>306.28384615384618</v>
      </c>
      <c r="AO31">
        <v>859.63916333292491</v>
      </c>
      <c r="AP31">
        <f t="shared" si="26"/>
        <v>0.64370650010133712</v>
      </c>
      <c r="AQ31">
        <v>-0.73746743666429193</v>
      </c>
      <c r="AR31" t="s">
        <v>485</v>
      </c>
      <c r="AS31">
        <v>7135.13</v>
      </c>
      <c r="AT31">
        <v>671.15211999999997</v>
      </c>
      <c r="AU31">
        <v>844.21760939613102</v>
      </c>
      <c r="AV31">
        <f t="shared" si="27"/>
        <v>0.2050010417573791</v>
      </c>
      <c r="AW31">
        <v>0.5</v>
      </c>
      <c r="AX31">
        <f t="shared" si="28"/>
        <v>1513.2182993813374</v>
      </c>
      <c r="AY31">
        <f t="shared" si="29"/>
        <v>34.920238083388206</v>
      </c>
      <c r="AZ31">
        <f t="shared" si="30"/>
        <v>155.10566388975187</v>
      </c>
      <c r="BA31">
        <f t="shared" si="31"/>
        <v>2.3564151672386433E-2</v>
      </c>
      <c r="BB31">
        <f t="shared" si="32"/>
        <v>1.8267273467352716E-2</v>
      </c>
      <c r="BC31">
        <f t="shared" si="33"/>
        <v>304.30328493817552</v>
      </c>
      <c r="BD31" t="s">
        <v>486</v>
      </c>
      <c r="BE31">
        <v>427.97</v>
      </c>
      <c r="BF31">
        <f t="shared" si="34"/>
        <v>427.97</v>
      </c>
      <c r="BG31">
        <f t="shared" si="35"/>
        <v>0.49305724586090183</v>
      </c>
      <c r="BH31">
        <f t="shared" si="36"/>
        <v>0.41577533537599143</v>
      </c>
      <c r="BI31">
        <f t="shared" si="37"/>
        <v>3.5725400947623422E-2</v>
      </c>
      <c r="BJ31">
        <f t="shared" si="38"/>
        <v>0.32172267521007514</v>
      </c>
      <c r="BK31">
        <f t="shared" si="39"/>
        <v>2.7869170961274253E-2</v>
      </c>
      <c r="BL31">
        <f t="shared" si="40"/>
        <v>0.26512524505005375</v>
      </c>
      <c r="BM31">
        <f t="shared" si="41"/>
        <v>0.73487475494994625</v>
      </c>
      <c r="BN31">
        <v>20856</v>
      </c>
      <c r="BO31">
        <v>290.00000000000011</v>
      </c>
      <c r="BP31">
        <v>797.82</v>
      </c>
      <c r="BQ31">
        <v>275</v>
      </c>
      <c r="BR31">
        <v>7135.13</v>
      </c>
      <c r="BS31">
        <v>799.12</v>
      </c>
      <c r="BT31">
        <v>-1.3</v>
      </c>
      <c r="BU31">
        <v>300.00000000000011</v>
      </c>
      <c r="BV31">
        <v>38.299999999999997</v>
      </c>
      <c r="BW31">
        <v>844.21760939613102</v>
      </c>
      <c r="BX31">
        <v>1.175265388208512</v>
      </c>
      <c r="BY31">
        <v>-32.180230120712579</v>
      </c>
      <c r="BZ31">
        <v>0.70277934088938565</v>
      </c>
      <c r="CA31">
        <v>0.98682178940450826</v>
      </c>
      <c r="CB31">
        <v>-7.042886318131253E-3</v>
      </c>
      <c r="CC31">
        <v>289.99999999999989</v>
      </c>
      <c r="CD31">
        <v>803.97</v>
      </c>
      <c r="CE31">
        <v>885</v>
      </c>
      <c r="CF31">
        <v>7127.81</v>
      </c>
      <c r="CG31">
        <v>799.07</v>
      </c>
      <c r="CH31">
        <v>4.9000000000000004</v>
      </c>
      <c r="CV31">
        <f t="shared" si="42"/>
        <v>1800.04</v>
      </c>
      <c r="CW31">
        <f t="shared" si="43"/>
        <v>1513.2182993813374</v>
      </c>
      <c r="CX31">
        <f t="shared" si="44"/>
        <v>0.8406581516973719</v>
      </c>
      <c r="CY31">
        <f t="shared" si="45"/>
        <v>0.1913163033947439</v>
      </c>
      <c r="CZ31">
        <v>4.8</v>
      </c>
      <c r="DA31">
        <v>0.5</v>
      </c>
      <c r="DB31" t="s">
        <v>418</v>
      </c>
      <c r="DC31">
        <v>2</v>
      </c>
      <c r="DD31">
        <v>1700246724.5999999</v>
      </c>
      <c r="DE31">
        <v>415.49</v>
      </c>
      <c r="DF31">
        <v>449.90300000000002</v>
      </c>
      <c r="DG31">
        <v>27.478999999999999</v>
      </c>
      <c r="DH31">
        <v>25.41</v>
      </c>
      <c r="DI31">
        <v>421.16500000000002</v>
      </c>
      <c r="DJ31">
        <v>27.474699999999999</v>
      </c>
      <c r="DK31">
        <v>499.916</v>
      </c>
      <c r="DL31">
        <v>98.823800000000006</v>
      </c>
      <c r="DM31">
        <v>9.9855899999999997E-2</v>
      </c>
      <c r="DN31">
        <v>29.680099999999999</v>
      </c>
      <c r="DO31">
        <v>30.064900000000002</v>
      </c>
      <c r="DP31">
        <v>999.9</v>
      </c>
      <c r="DQ31">
        <v>0</v>
      </c>
      <c r="DR31">
        <v>0</v>
      </c>
      <c r="DS31">
        <v>10012.5</v>
      </c>
      <c r="DT31">
        <v>0</v>
      </c>
      <c r="DU31">
        <v>311.01799999999997</v>
      </c>
      <c r="DV31">
        <v>-34.412399999999998</v>
      </c>
      <c r="DW31">
        <v>427.23</v>
      </c>
      <c r="DX31">
        <v>461.63299999999998</v>
      </c>
      <c r="DY31">
        <v>2.06901</v>
      </c>
      <c r="DZ31">
        <v>449.90300000000002</v>
      </c>
      <c r="EA31">
        <v>25.41</v>
      </c>
      <c r="EB31">
        <v>2.7155800000000001</v>
      </c>
      <c r="EC31">
        <v>2.51111</v>
      </c>
      <c r="ED31">
        <v>22.3797</v>
      </c>
      <c r="EE31">
        <v>21.098700000000001</v>
      </c>
      <c r="EF31">
        <v>1800.04</v>
      </c>
      <c r="EG31">
        <v>0.97799999999999998</v>
      </c>
      <c r="EH31">
        <v>2.20003E-2</v>
      </c>
      <c r="EI31">
        <v>0</v>
      </c>
      <c r="EJ31">
        <v>671.048</v>
      </c>
      <c r="EK31">
        <v>5.0009399999999999</v>
      </c>
      <c r="EL31">
        <v>12719.7</v>
      </c>
      <c r="EM31">
        <v>13860.4</v>
      </c>
      <c r="EN31">
        <v>46.5</v>
      </c>
      <c r="EO31">
        <v>48.375</v>
      </c>
      <c r="EP31">
        <v>47.561999999999998</v>
      </c>
      <c r="EQ31">
        <v>47.625</v>
      </c>
      <c r="ER31">
        <v>48.061999999999998</v>
      </c>
      <c r="ES31">
        <v>1755.55</v>
      </c>
      <c r="ET31">
        <v>39.49</v>
      </c>
      <c r="EU31">
        <v>0</v>
      </c>
      <c r="EV31">
        <v>2370</v>
      </c>
      <c r="EW31">
        <v>0</v>
      </c>
      <c r="EX31">
        <v>671.15211999999997</v>
      </c>
      <c r="EY31">
        <v>-0.48415384855671723</v>
      </c>
      <c r="EZ31">
        <v>-15.669230727515959</v>
      </c>
      <c r="FA31">
        <v>12721.476000000001</v>
      </c>
      <c r="FB31">
        <v>15</v>
      </c>
      <c r="FC31">
        <v>1700246665</v>
      </c>
      <c r="FD31" t="s">
        <v>487</v>
      </c>
      <c r="FE31">
        <v>1700246661</v>
      </c>
      <c r="FF31">
        <v>1700246665</v>
      </c>
      <c r="FG31">
        <v>34</v>
      </c>
      <c r="FH31">
        <v>-5.0999999999999997E-2</v>
      </c>
      <c r="FI31">
        <v>-5.2999999999999999E-2</v>
      </c>
      <c r="FJ31">
        <v>-5.7880000000000003</v>
      </c>
      <c r="FK31">
        <v>-7.0000000000000001E-3</v>
      </c>
      <c r="FL31">
        <v>450</v>
      </c>
      <c r="FM31">
        <v>22</v>
      </c>
      <c r="FN31">
        <v>0.08</v>
      </c>
      <c r="FO31">
        <v>0.02</v>
      </c>
      <c r="FP31">
        <v>35.021935625880168</v>
      </c>
      <c r="FQ31">
        <v>-0.68541065857437478</v>
      </c>
      <c r="FR31">
        <v>6.1835418335922078E-2</v>
      </c>
      <c r="FS31">
        <v>1</v>
      </c>
      <c r="FT31">
        <v>0.13933929827429001</v>
      </c>
      <c r="FU31">
        <v>9.3827122015017507E-3</v>
      </c>
      <c r="FV31">
        <v>8.2294562476479107E-4</v>
      </c>
      <c r="FW31">
        <v>1</v>
      </c>
      <c r="FX31">
        <v>2</v>
      </c>
      <c r="FY31">
        <v>2</v>
      </c>
      <c r="FZ31" t="s">
        <v>420</v>
      </c>
      <c r="GA31">
        <v>3.1197699999999999</v>
      </c>
      <c r="GB31">
        <v>2.8775900000000001</v>
      </c>
      <c r="GC31">
        <v>9.0182100000000001E-2</v>
      </c>
      <c r="GD31">
        <v>9.6073000000000006E-2</v>
      </c>
      <c r="GE31">
        <v>0.123782</v>
      </c>
      <c r="GF31">
        <v>0.11795600000000001</v>
      </c>
      <c r="GG31">
        <v>26447.200000000001</v>
      </c>
      <c r="GH31">
        <v>26827.200000000001</v>
      </c>
      <c r="GI31">
        <v>26771.200000000001</v>
      </c>
      <c r="GJ31">
        <v>27405.3</v>
      </c>
      <c r="GK31">
        <v>33543</v>
      </c>
      <c r="GL31">
        <v>33755</v>
      </c>
      <c r="GM31">
        <v>39656.400000000001</v>
      </c>
      <c r="GN31">
        <v>39661.699999999997</v>
      </c>
      <c r="GO31">
        <v>1.8377300000000001</v>
      </c>
      <c r="GP31">
        <v>2.4752000000000001</v>
      </c>
      <c r="GQ31">
        <v>5.5920299999999999E-2</v>
      </c>
      <c r="GR31">
        <v>0</v>
      </c>
      <c r="GS31">
        <v>29.154299999999999</v>
      </c>
      <c r="GT31">
        <v>999.9</v>
      </c>
      <c r="GU31">
        <v>32.799999999999997</v>
      </c>
      <c r="GV31">
        <v>42.4</v>
      </c>
      <c r="GW31">
        <v>27.9422</v>
      </c>
      <c r="GX31">
        <v>62.977400000000003</v>
      </c>
      <c r="GY31">
        <v>5.6330099999999996</v>
      </c>
      <c r="GZ31">
        <v>3</v>
      </c>
      <c r="HA31">
        <v>0.46389000000000002</v>
      </c>
      <c r="HB31">
        <v>3.5430000000000001</v>
      </c>
      <c r="HC31">
        <v>20.268999999999998</v>
      </c>
      <c r="HD31">
        <v>5.2163899999999996</v>
      </c>
      <c r="HE31">
        <v>11.908099999999999</v>
      </c>
      <c r="HF31">
        <v>4.9979500000000003</v>
      </c>
      <c r="HG31">
        <v>3.3026300000000002</v>
      </c>
      <c r="HH31">
        <v>9999</v>
      </c>
      <c r="HI31">
        <v>9999</v>
      </c>
      <c r="HJ31">
        <v>9999</v>
      </c>
      <c r="HK31">
        <v>999.9</v>
      </c>
      <c r="HL31">
        <v>1.88466</v>
      </c>
      <c r="HM31">
        <v>1.8852599999999999</v>
      </c>
      <c r="HN31">
        <v>1.88134</v>
      </c>
      <c r="HO31">
        <v>1.8829400000000001</v>
      </c>
      <c r="HP31">
        <v>1.8798900000000001</v>
      </c>
      <c r="HQ31">
        <v>1.8833899999999999</v>
      </c>
      <c r="HR31">
        <v>1.8792800000000001</v>
      </c>
      <c r="HS31">
        <v>1.8815599999999999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-5.6749999999999998</v>
      </c>
      <c r="IH31">
        <v>4.3E-3</v>
      </c>
      <c r="II31">
        <v>-4.1810901356811314</v>
      </c>
      <c r="IJ31">
        <v>-3.7794827560518689E-3</v>
      </c>
      <c r="IK31">
        <v>4.9551128961100493E-7</v>
      </c>
      <c r="IL31">
        <v>1.3680294268397379E-10</v>
      </c>
      <c r="IM31">
        <v>4.2912992159931376E-3</v>
      </c>
      <c r="IN31">
        <v>0</v>
      </c>
      <c r="IO31">
        <v>0</v>
      </c>
      <c r="IP31">
        <v>0</v>
      </c>
      <c r="IQ31">
        <v>4</v>
      </c>
      <c r="IR31">
        <v>2229</v>
      </c>
      <c r="IS31">
        <v>1</v>
      </c>
      <c r="IT31">
        <v>22</v>
      </c>
      <c r="IU31">
        <v>1.1000000000000001</v>
      </c>
      <c r="IV31">
        <v>1</v>
      </c>
      <c r="IW31">
        <v>1.69556</v>
      </c>
      <c r="IX31">
        <v>2.5878899999999998</v>
      </c>
      <c r="IY31">
        <v>2.9956100000000001</v>
      </c>
      <c r="IZ31">
        <v>2.96265</v>
      </c>
      <c r="JA31">
        <v>3.1970200000000002</v>
      </c>
      <c r="JB31">
        <v>2.5268600000000001</v>
      </c>
      <c r="JC31">
        <v>45.1768</v>
      </c>
      <c r="JD31">
        <v>23.780999999999999</v>
      </c>
      <c r="JE31">
        <v>18</v>
      </c>
      <c r="JF31">
        <v>430.96</v>
      </c>
      <c r="JG31">
        <v>1148.94</v>
      </c>
      <c r="JH31">
        <v>24.914899999999999</v>
      </c>
      <c r="JI31">
        <v>32.943899999999999</v>
      </c>
      <c r="JJ31">
        <v>30.000499999999999</v>
      </c>
      <c r="JK31">
        <v>32.948900000000002</v>
      </c>
      <c r="JL31">
        <v>32.851599999999998</v>
      </c>
      <c r="JM31">
        <v>33.975499999999997</v>
      </c>
      <c r="JN31">
        <v>0</v>
      </c>
      <c r="JO31">
        <v>39.563699999999997</v>
      </c>
      <c r="JP31">
        <v>24.856400000000001</v>
      </c>
      <c r="JQ31">
        <v>450</v>
      </c>
      <c r="JR31">
        <v>25.526800000000001</v>
      </c>
      <c r="JS31">
        <v>98.852800000000002</v>
      </c>
      <c r="JT31">
        <v>97.058999999999997</v>
      </c>
    </row>
    <row r="32" spans="1:280" x14ac:dyDescent="0.25">
      <c r="A32">
        <v>16</v>
      </c>
      <c r="B32">
        <v>1700246940.5999999</v>
      </c>
      <c r="C32">
        <v>9789</v>
      </c>
      <c r="D32" t="s">
        <v>488</v>
      </c>
      <c r="E32" t="s">
        <v>489</v>
      </c>
      <c r="F32" t="s">
        <v>412</v>
      </c>
      <c r="G32" t="s">
        <v>484</v>
      </c>
      <c r="H32">
        <v>10</v>
      </c>
      <c r="I32">
        <v>1700246940.5999999</v>
      </c>
      <c r="J32">
        <f t="shared" si="0"/>
        <v>8.4028568960988967E-4</v>
      </c>
      <c r="K32">
        <f t="shared" si="1"/>
        <v>0.8402856896098897</v>
      </c>
      <c r="L32">
        <f t="shared" si="2"/>
        <v>29.127108376295656</v>
      </c>
      <c r="M32">
        <f t="shared" si="3"/>
        <v>1470.91</v>
      </c>
      <c r="N32">
        <f t="shared" si="4"/>
        <v>524.03477357637485</v>
      </c>
      <c r="O32">
        <f t="shared" si="5"/>
        <v>51.841188097993509</v>
      </c>
      <c r="P32">
        <f t="shared" si="6"/>
        <v>145.512713717091</v>
      </c>
      <c r="Q32">
        <f t="shared" si="7"/>
        <v>5.1021219042297408E-2</v>
      </c>
      <c r="R32">
        <f t="shared" si="8"/>
        <v>3.1748318821719854</v>
      </c>
      <c r="S32">
        <f t="shared" si="9"/>
        <v>5.0570046312314425E-2</v>
      </c>
      <c r="T32">
        <f t="shared" si="10"/>
        <v>3.1646482358477654E-2</v>
      </c>
      <c r="U32">
        <f t="shared" si="11"/>
        <v>344.3161987624548</v>
      </c>
      <c r="V32">
        <f t="shared" si="12"/>
        <v>30.954734230543465</v>
      </c>
      <c r="W32">
        <f t="shared" si="13"/>
        <v>29.9879</v>
      </c>
      <c r="X32">
        <f t="shared" si="14"/>
        <v>4.2574895964460433</v>
      </c>
      <c r="Y32">
        <f t="shared" si="15"/>
        <v>65.36745324737052</v>
      </c>
      <c r="Z32">
        <f t="shared" si="16"/>
        <v>2.6712565348002304</v>
      </c>
      <c r="AA32">
        <f t="shared" si="17"/>
        <v>4.0865238006005455</v>
      </c>
      <c r="AB32">
        <f t="shared" si="18"/>
        <v>1.5862330616458129</v>
      </c>
      <c r="AC32">
        <f t="shared" si="19"/>
        <v>-37.056598911796137</v>
      </c>
      <c r="AD32">
        <f t="shared" si="20"/>
        <v>-121.79854932476658</v>
      </c>
      <c r="AE32">
        <f t="shared" si="21"/>
        <v>-8.4992022760114718</v>
      </c>
      <c r="AF32">
        <f t="shared" si="22"/>
        <v>176.9618482498806</v>
      </c>
      <c r="AG32">
        <v>77</v>
      </c>
      <c r="AH32">
        <v>15</v>
      </c>
      <c r="AI32">
        <f t="shared" si="23"/>
        <v>1</v>
      </c>
      <c r="AJ32">
        <f t="shared" si="24"/>
        <v>0</v>
      </c>
      <c r="AK32">
        <f t="shared" si="25"/>
        <v>51907.221265821114</v>
      </c>
      <c r="AL32" t="s">
        <v>415</v>
      </c>
      <c r="AM32">
        <v>7133.88</v>
      </c>
      <c r="AN32">
        <v>306.28384615384618</v>
      </c>
      <c r="AO32">
        <v>859.63916333292491</v>
      </c>
      <c r="AP32">
        <f t="shared" si="26"/>
        <v>0.64370650010133712</v>
      </c>
      <c r="AQ32">
        <v>-0.73746743666429193</v>
      </c>
      <c r="AR32" t="s">
        <v>490</v>
      </c>
      <c r="AS32">
        <v>7134.64</v>
      </c>
      <c r="AT32">
        <v>675.10192307692319</v>
      </c>
      <c r="AU32">
        <v>829.07034733758542</v>
      </c>
      <c r="AV32">
        <f t="shared" si="27"/>
        <v>0.18571213498963624</v>
      </c>
      <c r="AW32">
        <v>0.5</v>
      </c>
      <c r="AX32">
        <f t="shared" si="28"/>
        <v>1512.9494993812273</v>
      </c>
      <c r="AY32">
        <f t="shared" si="29"/>
        <v>29.127108376295656</v>
      </c>
      <c r="AZ32">
        <f t="shared" si="30"/>
        <v>140.48654083079452</v>
      </c>
      <c r="BA32">
        <f t="shared" si="31"/>
        <v>1.9739307772780317E-2</v>
      </c>
      <c r="BB32">
        <f t="shared" si="32"/>
        <v>3.6871196869488705E-2</v>
      </c>
      <c r="BC32">
        <f t="shared" si="33"/>
        <v>302.31237818274388</v>
      </c>
      <c r="BD32" t="s">
        <v>491</v>
      </c>
      <c r="BE32">
        <v>424.67</v>
      </c>
      <c r="BF32">
        <f t="shared" si="34"/>
        <v>424.67</v>
      </c>
      <c r="BG32">
        <f t="shared" si="35"/>
        <v>0.48777567384510434</v>
      </c>
      <c r="BH32">
        <f t="shared" si="36"/>
        <v>0.38073267066739791</v>
      </c>
      <c r="BI32">
        <f t="shared" si="37"/>
        <v>7.0278122157230158E-2</v>
      </c>
      <c r="BJ32">
        <f t="shared" si="38"/>
        <v>0.29451491940215246</v>
      </c>
      <c r="BK32">
        <f t="shared" si="39"/>
        <v>5.5242653402473238E-2</v>
      </c>
      <c r="BL32">
        <f t="shared" si="40"/>
        <v>0.23949827089131384</v>
      </c>
      <c r="BM32">
        <f t="shared" si="41"/>
        <v>0.76050172910868619</v>
      </c>
      <c r="BN32">
        <v>20858</v>
      </c>
      <c r="BO32">
        <v>290.00000000000011</v>
      </c>
      <c r="BP32">
        <v>787.28</v>
      </c>
      <c r="BQ32">
        <v>295</v>
      </c>
      <c r="BR32">
        <v>7134.64</v>
      </c>
      <c r="BS32">
        <v>788.36</v>
      </c>
      <c r="BT32">
        <v>-1.08</v>
      </c>
      <c r="BU32">
        <v>300.00000000000011</v>
      </c>
      <c r="BV32">
        <v>38.299999999999997</v>
      </c>
      <c r="BW32">
        <v>829.07034733758542</v>
      </c>
      <c r="BX32">
        <v>1.047848436480648</v>
      </c>
      <c r="BY32">
        <v>-29.04393552005013</v>
      </c>
      <c r="BZ32">
        <v>0.62657370860258488</v>
      </c>
      <c r="CA32">
        <v>0.98713622227610343</v>
      </c>
      <c r="CB32">
        <v>-7.0426698553948848E-3</v>
      </c>
      <c r="CC32">
        <v>289.99999999999989</v>
      </c>
      <c r="CD32">
        <v>793.28</v>
      </c>
      <c r="CE32">
        <v>895</v>
      </c>
      <c r="CF32">
        <v>7127.64</v>
      </c>
      <c r="CG32">
        <v>788.32</v>
      </c>
      <c r="CH32">
        <v>4.96</v>
      </c>
      <c r="CV32">
        <f t="shared" si="42"/>
        <v>1799.72</v>
      </c>
      <c r="CW32">
        <f t="shared" si="43"/>
        <v>1512.9494993812273</v>
      </c>
      <c r="CX32">
        <f t="shared" si="44"/>
        <v>0.8406582687202605</v>
      </c>
      <c r="CY32">
        <f t="shared" si="45"/>
        <v>0.19131653744052118</v>
      </c>
      <c r="CZ32">
        <v>4.8</v>
      </c>
      <c r="DA32">
        <v>0.5</v>
      </c>
      <c r="DB32" t="s">
        <v>418</v>
      </c>
      <c r="DC32">
        <v>2</v>
      </c>
      <c r="DD32">
        <v>1700246940.5999999</v>
      </c>
      <c r="DE32">
        <v>1470.91</v>
      </c>
      <c r="DF32">
        <v>1500.07</v>
      </c>
      <c r="DG32">
        <v>27.002300000000002</v>
      </c>
      <c r="DH32">
        <v>26.217099999999999</v>
      </c>
      <c r="DI32">
        <v>1480.03</v>
      </c>
      <c r="DJ32">
        <v>26.9468</v>
      </c>
      <c r="DK32">
        <v>499.80399999999997</v>
      </c>
      <c r="DL32">
        <v>98.827100000000002</v>
      </c>
      <c r="DM32">
        <v>9.9900100000000006E-2</v>
      </c>
      <c r="DN32">
        <v>29.276299999999999</v>
      </c>
      <c r="DO32">
        <v>29.9879</v>
      </c>
      <c r="DP32">
        <v>999.9</v>
      </c>
      <c r="DQ32">
        <v>0</v>
      </c>
      <c r="DR32">
        <v>0</v>
      </c>
      <c r="DS32">
        <v>10008.799999999999</v>
      </c>
      <c r="DT32">
        <v>0</v>
      </c>
      <c r="DU32">
        <v>329.13099999999997</v>
      </c>
      <c r="DV32">
        <v>-29.167200000000001</v>
      </c>
      <c r="DW32">
        <v>1511.73</v>
      </c>
      <c r="DX32">
        <v>1540.46</v>
      </c>
      <c r="DY32">
        <v>0.78523600000000005</v>
      </c>
      <c r="DZ32">
        <v>1500.07</v>
      </c>
      <c r="EA32">
        <v>26.217099999999999</v>
      </c>
      <c r="EB32">
        <v>2.6685599999999998</v>
      </c>
      <c r="EC32">
        <v>2.5909599999999999</v>
      </c>
      <c r="ED32">
        <v>22.0928</v>
      </c>
      <c r="EE32">
        <v>21.609500000000001</v>
      </c>
      <c r="EF32">
        <v>1799.72</v>
      </c>
      <c r="EG32">
        <v>0.97799599999999998</v>
      </c>
      <c r="EH32">
        <v>2.2003999999999999E-2</v>
      </c>
      <c r="EI32">
        <v>0</v>
      </c>
      <c r="EJ32">
        <v>674.63599999999997</v>
      </c>
      <c r="EK32">
        <v>5.0009399999999999</v>
      </c>
      <c r="EL32">
        <v>12784.8</v>
      </c>
      <c r="EM32">
        <v>13858</v>
      </c>
      <c r="EN32">
        <v>46.561999999999998</v>
      </c>
      <c r="EO32">
        <v>48.311999999999998</v>
      </c>
      <c r="EP32">
        <v>47.625</v>
      </c>
      <c r="EQ32">
        <v>47.625</v>
      </c>
      <c r="ER32">
        <v>48</v>
      </c>
      <c r="ES32">
        <v>1755.23</v>
      </c>
      <c r="ET32">
        <v>39.49</v>
      </c>
      <c r="EU32">
        <v>0</v>
      </c>
      <c r="EV32">
        <v>213.80000019073489</v>
      </c>
      <c r="EW32">
        <v>0</v>
      </c>
      <c r="EX32">
        <v>675.10192307692319</v>
      </c>
      <c r="EY32">
        <v>-1.5634871928654721</v>
      </c>
      <c r="EZ32">
        <v>-37.935042809700697</v>
      </c>
      <c r="FA32">
        <v>12796.02307692308</v>
      </c>
      <c r="FB32">
        <v>15</v>
      </c>
      <c r="FC32">
        <v>1700246906.5999999</v>
      </c>
      <c r="FD32" t="s">
        <v>492</v>
      </c>
      <c r="FE32">
        <v>1700246906.5999999</v>
      </c>
      <c r="FF32">
        <v>1700246897.5999999</v>
      </c>
      <c r="FG32">
        <v>35</v>
      </c>
      <c r="FH32">
        <v>-0.88200000000000001</v>
      </c>
      <c r="FI32">
        <v>5.0999999999999997E-2</v>
      </c>
      <c r="FJ32">
        <v>-9.1679999999999993</v>
      </c>
      <c r="FK32">
        <v>5.6000000000000001E-2</v>
      </c>
      <c r="FL32">
        <v>1500</v>
      </c>
      <c r="FM32">
        <v>26</v>
      </c>
      <c r="FN32">
        <v>0.11</v>
      </c>
      <c r="FO32">
        <v>0.13</v>
      </c>
      <c r="FP32">
        <v>29.073510980322961</v>
      </c>
      <c r="FQ32">
        <v>-0.52588533519658631</v>
      </c>
      <c r="FR32">
        <v>6.8139565362966725E-2</v>
      </c>
      <c r="FS32">
        <v>1</v>
      </c>
      <c r="FT32">
        <v>5.0525525129085418E-2</v>
      </c>
      <c r="FU32">
        <v>-3.4541487813570228E-2</v>
      </c>
      <c r="FV32">
        <v>3.5368553700355259E-3</v>
      </c>
      <c r="FW32">
        <v>1</v>
      </c>
      <c r="FX32">
        <v>2</v>
      </c>
      <c r="FY32">
        <v>2</v>
      </c>
      <c r="FZ32" t="s">
        <v>420</v>
      </c>
      <c r="GA32">
        <v>3.1198299999999999</v>
      </c>
      <c r="GB32">
        <v>2.8776000000000002</v>
      </c>
      <c r="GC32">
        <v>0.21058299999999999</v>
      </c>
      <c r="GD32">
        <v>0.214753</v>
      </c>
      <c r="GE32">
        <v>0.122083</v>
      </c>
      <c r="GF32">
        <v>0.12058000000000001</v>
      </c>
      <c r="GG32">
        <v>22941.7</v>
      </c>
      <c r="GH32">
        <v>23295.599999999999</v>
      </c>
      <c r="GI32">
        <v>26768.5</v>
      </c>
      <c r="GJ32">
        <v>27398.3</v>
      </c>
      <c r="GK32">
        <v>33614.800000000003</v>
      </c>
      <c r="GL32">
        <v>33655.199999999997</v>
      </c>
      <c r="GM32">
        <v>39652.199999999997</v>
      </c>
      <c r="GN32">
        <v>39651.199999999997</v>
      </c>
      <c r="GO32">
        <v>1.83595</v>
      </c>
      <c r="GP32">
        <v>2.47377</v>
      </c>
      <c r="GQ32">
        <v>6.6891300000000001E-2</v>
      </c>
      <c r="GR32">
        <v>0</v>
      </c>
      <c r="GS32">
        <v>28.898399999999999</v>
      </c>
      <c r="GT32">
        <v>999.9</v>
      </c>
      <c r="GU32">
        <v>36</v>
      </c>
      <c r="GV32">
        <v>42.2</v>
      </c>
      <c r="GW32">
        <v>30.3475</v>
      </c>
      <c r="GX32">
        <v>63.097499999999997</v>
      </c>
      <c r="GY32">
        <v>5.4847799999999998</v>
      </c>
      <c r="GZ32">
        <v>3</v>
      </c>
      <c r="HA32">
        <v>0.46709099999999998</v>
      </c>
      <c r="HB32">
        <v>3.3308800000000001</v>
      </c>
      <c r="HC32">
        <v>20.274100000000001</v>
      </c>
      <c r="HD32">
        <v>5.2088999999999999</v>
      </c>
      <c r="HE32">
        <v>11.908099999999999</v>
      </c>
      <c r="HF32">
        <v>4.9956500000000004</v>
      </c>
      <c r="HG32">
        <v>3.3016299999999998</v>
      </c>
      <c r="HH32">
        <v>9999</v>
      </c>
      <c r="HI32">
        <v>9999</v>
      </c>
      <c r="HJ32">
        <v>9999</v>
      </c>
      <c r="HK32">
        <v>999.9</v>
      </c>
      <c r="HL32">
        <v>1.8846499999999999</v>
      </c>
      <c r="HM32">
        <v>1.8852599999999999</v>
      </c>
      <c r="HN32">
        <v>1.8813500000000001</v>
      </c>
      <c r="HO32">
        <v>1.88293</v>
      </c>
      <c r="HP32">
        <v>1.8798900000000001</v>
      </c>
      <c r="HQ32">
        <v>1.8833899999999999</v>
      </c>
      <c r="HR32">
        <v>1.87931</v>
      </c>
      <c r="HS32">
        <v>1.8815599999999999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-9.1199999999999992</v>
      </c>
      <c r="IH32">
        <v>5.5500000000000001E-2</v>
      </c>
      <c r="II32">
        <v>-5.0627383718678551</v>
      </c>
      <c r="IJ32">
        <v>-3.7794827560518689E-3</v>
      </c>
      <c r="IK32">
        <v>4.9551128961100493E-7</v>
      </c>
      <c r="IL32">
        <v>1.3680294268397379E-10</v>
      </c>
      <c r="IM32">
        <v>5.5579999999999068E-2</v>
      </c>
      <c r="IN32">
        <v>0</v>
      </c>
      <c r="IO32">
        <v>0</v>
      </c>
      <c r="IP32">
        <v>0</v>
      </c>
      <c r="IQ32">
        <v>4</v>
      </c>
      <c r="IR32">
        <v>2229</v>
      </c>
      <c r="IS32">
        <v>1</v>
      </c>
      <c r="IT32">
        <v>22</v>
      </c>
      <c r="IU32">
        <v>0.6</v>
      </c>
      <c r="IV32">
        <v>0.7</v>
      </c>
      <c r="IW32">
        <v>4.4421400000000002</v>
      </c>
      <c r="IX32">
        <v>2.5378400000000001</v>
      </c>
      <c r="IY32">
        <v>2.9956100000000001</v>
      </c>
      <c r="IZ32">
        <v>2.96143</v>
      </c>
      <c r="JA32">
        <v>3.1970200000000002</v>
      </c>
      <c r="JB32">
        <v>2.5293000000000001</v>
      </c>
      <c r="JC32">
        <v>45.006900000000002</v>
      </c>
      <c r="JD32">
        <v>23.7898</v>
      </c>
      <c r="JE32">
        <v>18</v>
      </c>
      <c r="JF32">
        <v>430.33699999999999</v>
      </c>
      <c r="JG32">
        <v>1147.99</v>
      </c>
      <c r="JH32">
        <v>24.289400000000001</v>
      </c>
      <c r="JI32">
        <v>33.0124</v>
      </c>
      <c r="JJ32">
        <v>29.9999</v>
      </c>
      <c r="JK32">
        <v>33.0045</v>
      </c>
      <c r="JL32">
        <v>32.9039</v>
      </c>
      <c r="JM32">
        <v>88.987300000000005</v>
      </c>
      <c r="JN32">
        <v>12.2257</v>
      </c>
      <c r="JO32">
        <v>48.634300000000003</v>
      </c>
      <c r="JP32">
        <v>24.294699999999999</v>
      </c>
      <c r="JQ32">
        <v>1500</v>
      </c>
      <c r="JR32">
        <v>26.104700000000001</v>
      </c>
      <c r="JS32">
        <v>98.842799999999997</v>
      </c>
      <c r="JT32">
        <v>97.033699999999996</v>
      </c>
    </row>
    <row r="33" spans="1:280" x14ac:dyDescent="0.25">
      <c r="A33">
        <v>17</v>
      </c>
      <c r="B33">
        <v>1700247125.5999999</v>
      </c>
      <c r="C33">
        <v>9974</v>
      </c>
      <c r="D33" t="s">
        <v>493</v>
      </c>
      <c r="E33" t="s">
        <v>494</v>
      </c>
      <c r="F33" t="s">
        <v>412</v>
      </c>
      <c r="G33" t="s">
        <v>484</v>
      </c>
      <c r="H33">
        <v>10</v>
      </c>
      <c r="I33">
        <v>1700247125.5999999</v>
      </c>
      <c r="J33">
        <f t="shared" si="0"/>
        <v>1.1765286979103016E-3</v>
      </c>
      <c r="K33">
        <f t="shared" si="1"/>
        <v>1.1765286979103016</v>
      </c>
      <c r="L33">
        <f t="shared" si="2"/>
        <v>35.781873786950996</v>
      </c>
      <c r="M33">
        <f t="shared" si="3"/>
        <v>1214.19</v>
      </c>
      <c r="N33">
        <f t="shared" si="4"/>
        <v>371.88205590276482</v>
      </c>
      <c r="O33">
        <f t="shared" si="5"/>
        <v>36.790246643978932</v>
      </c>
      <c r="P33">
        <f t="shared" si="6"/>
        <v>120.119669297334</v>
      </c>
      <c r="Q33">
        <f t="shared" si="7"/>
        <v>7.0476832605459547E-2</v>
      </c>
      <c r="R33">
        <f t="shared" si="8"/>
        <v>3.177142154527417</v>
      </c>
      <c r="S33">
        <f t="shared" si="9"/>
        <v>6.9619705527707409E-2</v>
      </c>
      <c r="T33">
        <f t="shared" si="10"/>
        <v>4.3588456798496315E-2</v>
      </c>
      <c r="U33">
        <f t="shared" si="11"/>
        <v>344.37699876267482</v>
      </c>
      <c r="V33">
        <f t="shared" si="12"/>
        <v>31.003344551793788</v>
      </c>
      <c r="W33">
        <f t="shared" si="13"/>
        <v>30.035799999999998</v>
      </c>
      <c r="X33">
        <f t="shared" si="14"/>
        <v>4.2692184858852098</v>
      </c>
      <c r="Y33">
        <f t="shared" si="15"/>
        <v>64.503514462117735</v>
      </c>
      <c r="Z33">
        <f t="shared" si="16"/>
        <v>2.6558814138834599</v>
      </c>
      <c r="AA33">
        <f t="shared" si="17"/>
        <v>4.1174212537570059</v>
      </c>
      <c r="AB33">
        <f t="shared" si="18"/>
        <v>1.6133370720017499</v>
      </c>
      <c r="AC33">
        <f t="shared" si="19"/>
        <v>-51.884915577844303</v>
      </c>
      <c r="AD33">
        <f t="shared" si="20"/>
        <v>-107.73894924814047</v>
      </c>
      <c r="AE33">
        <f t="shared" si="21"/>
        <v>-7.519287746277838</v>
      </c>
      <c r="AF33">
        <f t="shared" si="22"/>
        <v>177.23384619041221</v>
      </c>
      <c r="AG33">
        <v>77</v>
      </c>
      <c r="AH33">
        <v>15</v>
      </c>
      <c r="AI33">
        <f t="shared" si="23"/>
        <v>1</v>
      </c>
      <c r="AJ33">
        <f t="shared" si="24"/>
        <v>0</v>
      </c>
      <c r="AK33">
        <f t="shared" si="25"/>
        <v>51942.010929612981</v>
      </c>
      <c r="AL33" t="s">
        <v>415</v>
      </c>
      <c r="AM33">
        <v>7133.88</v>
      </c>
      <c r="AN33">
        <v>306.28384615384618</v>
      </c>
      <c r="AO33">
        <v>859.63916333292491</v>
      </c>
      <c r="AP33">
        <f t="shared" si="26"/>
        <v>0.64370650010133712</v>
      </c>
      <c r="AQ33">
        <v>-0.73746743666429193</v>
      </c>
      <c r="AR33" t="s">
        <v>495</v>
      </c>
      <c r="AS33">
        <v>7134.79</v>
      </c>
      <c r="AT33">
        <v>660.73928000000001</v>
      </c>
      <c r="AU33">
        <v>832.35736966620482</v>
      </c>
      <c r="AV33">
        <f t="shared" si="27"/>
        <v>0.20618318035080019</v>
      </c>
      <c r="AW33">
        <v>0.5</v>
      </c>
      <c r="AX33">
        <f t="shared" si="28"/>
        <v>1513.2182993813374</v>
      </c>
      <c r="AY33">
        <f t="shared" si="29"/>
        <v>35.781873786950996</v>
      </c>
      <c r="AZ33">
        <f t="shared" si="30"/>
        <v>156.00008076573673</v>
      </c>
      <c r="BA33">
        <f t="shared" si="31"/>
        <v>2.4133557754717753E-2</v>
      </c>
      <c r="BB33">
        <f t="shared" si="32"/>
        <v>3.2776538853330199E-2</v>
      </c>
      <c r="BC33">
        <f t="shared" si="33"/>
        <v>302.74833063967174</v>
      </c>
      <c r="BD33" t="s">
        <v>496</v>
      </c>
      <c r="BE33">
        <v>428.79</v>
      </c>
      <c r="BF33">
        <f t="shared" si="34"/>
        <v>428.79</v>
      </c>
      <c r="BG33">
        <f t="shared" si="35"/>
        <v>0.48484867723108516</v>
      </c>
      <c r="BH33">
        <f t="shared" si="36"/>
        <v>0.42525264073790731</v>
      </c>
      <c r="BI33">
        <f t="shared" si="37"/>
        <v>6.3320985598941407E-2</v>
      </c>
      <c r="BJ33">
        <f t="shared" si="38"/>
        <v>0.32622453325608797</v>
      </c>
      <c r="BK33">
        <f t="shared" si="39"/>
        <v>4.9302487605610311E-2</v>
      </c>
      <c r="BL33">
        <f t="shared" si="40"/>
        <v>0.2759697892064284</v>
      </c>
      <c r="BM33">
        <f t="shared" si="41"/>
        <v>0.72403021079357166</v>
      </c>
      <c r="BN33">
        <v>20860</v>
      </c>
      <c r="BO33">
        <v>290.00000000000011</v>
      </c>
      <c r="BP33">
        <v>785.65</v>
      </c>
      <c r="BQ33">
        <v>295</v>
      </c>
      <c r="BR33">
        <v>7134.79</v>
      </c>
      <c r="BS33">
        <v>787.01</v>
      </c>
      <c r="BT33">
        <v>-1.36</v>
      </c>
      <c r="BU33">
        <v>300.00000000000011</v>
      </c>
      <c r="BV33">
        <v>38.299999999999997</v>
      </c>
      <c r="BW33">
        <v>832.35736966620482</v>
      </c>
      <c r="BX33">
        <v>1.1574143883439689</v>
      </c>
      <c r="BY33">
        <v>-32.356789904730611</v>
      </c>
      <c r="BZ33">
        <v>0.69210223462399989</v>
      </c>
      <c r="CA33">
        <v>0.98735148730550426</v>
      </c>
      <c r="CB33">
        <v>-7.0428945494994469E-3</v>
      </c>
      <c r="CC33">
        <v>289.99999999999989</v>
      </c>
      <c r="CD33">
        <v>791.12</v>
      </c>
      <c r="CE33">
        <v>875</v>
      </c>
      <c r="CF33">
        <v>7127.88</v>
      </c>
      <c r="CG33">
        <v>786.96</v>
      </c>
      <c r="CH33">
        <v>4.16</v>
      </c>
      <c r="CV33">
        <f t="shared" si="42"/>
        <v>1800.04</v>
      </c>
      <c r="CW33">
        <f t="shared" si="43"/>
        <v>1513.2182993813374</v>
      </c>
      <c r="CX33">
        <f t="shared" si="44"/>
        <v>0.8406581516973719</v>
      </c>
      <c r="CY33">
        <f t="shared" si="45"/>
        <v>0.1913163033947439</v>
      </c>
      <c r="CZ33">
        <v>4.8</v>
      </c>
      <c r="DA33">
        <v>0.5</v>
      </c>
      <c r="DB33" t="s">
        <v>418</v>
      </c>
      <c r="DC33">
        <v>2</v>
      </c>
      <c r="DD33">
        <v>1700247125.5999999</v>
      </c>
      <c r="DE33">
        <v>1214.19</v>
      </c>
      <c r="DF33">
        <v>1249.93</v>
      </c>
      <c r="DG33">
        <v>26.8461</v>
      </c>
      <c r="DH33">
        <v>25.746400000000001</v>
      </c>
      <c r="DI33">
        <v>1222.8599999999999</v>
      </c>
      <c r="DJ33">
        <v>26.787500000000001</v>
      </c>
      <c r="DK33">
        <v>499.74799999999999</v>
      </c>
      <c r="DL33">
        <v>98.83</v>
      </c>
      <c r="DM33">
        <v>9.9878599999999998E-2</v>
      </c>
      <c r="DN33">
        <v>29.4068</v>
      </c>
      <c r="DO33">
        <v>30.035799999999998</v>
      </c>
      <c r="DP33">
        <v>999.9</v>
      </c>
      <c r="DQ33">
        <v>0</v>
      </c>
      <c r="DR33">
        <v>0</v>
      </c>
      <c r="DS33">
        <v>10020</v>
      </c>
      <c r="DT33">
        <v>0</v>
      </c>
      <c r="DU33">
        <v>355.88299999999998</v>
      </c>
      <c r="DV33">
        <v>-35.739400000000003</v>
      </c>
      <c r="DW33">
        <v>1247.69</v>
      </c>
      <c r="DX33">
        <v>1282.96</v>
      </c>
      <c r="DY33">
        <v>1.0997600000000001</v>
      </c>
      <c r="DZ33">
        <v>1249.93</v>
      </c>
      <c r="EA33">
        <v>25.746400000000001</v>
      </c>
      <c r="EB33">
        <v>2.6532</v>
      </c>
      <c r="EC33">
        <v>2.5445099999999998</v>
      </c>
      <c r="ED33">
        <v>21.998100000000001</v>
      </c>
      <c r="EE33">
        <v>21.3141</v>
      </c>
      <c r="EF33">
        <v>1800.04</v>
      </c>
      <c r="EG33">
        <v>0.97799999999999998</v>
      </c>
      <c r="EH33">
        <v>2.20003E-2</v>
      </c>
      <c r="EI33">
        <v>0</v>
      </c>
      <c r="EJ33">
        <v>660.601</v>
      </c>
      <c r="EK33">
        <v>5.0009399999999999</v>
      </c>
      <c r="EL33">
        <v>12567</v>
      </c>
      <c r="EM33">
        <v>13860.4</v>
      </c>
      <c r="EN33">
        <v>46.561999999999998</v>
      </c>
      <c r="EO33">
        <v>48.375</v>
      </c>
      <c r="EP33">
        <v>47.561999999999998</v>
      </c>
      <c r="EQ33">
        <v>47.686999999999998</v>
      </c>
      <c r="ER33">
        <v>48</v>
      </c>
      <c r="ES33">
        <v>1755.55</v>
      </c>
      <c r="ET33">
        <v>39.49</v>
      </c>
      <c r="EU33">
        <v>0</v>
      </c>
      <c r="EV33">
        <v>183</v>
      </c>
      <c r="EW33">
        <v>0</v>
      </c>
      <c r="EX33">
        <v>660.73928000000001</v>
      </c>
      <c r="EY33">
        <v>-3.211230776594133</v>
      </c>
      <c r="EZ33">
        <v>-34.015384645390547</v>
      </c>
      <c r="FA33">
        <v>12569.164000000001</v>
      </c>
      <c r="FB33">
        <v>15</v>
      </c>
      <c r="FC33">
        <v>1700247033.0999999</v>
      </c>
      <c r="FD33" t="s">
        <v>497</v>
      </c>
      <c r="FE33">
        <v>1700247033.0999999</v>
      </c>
      <c r="FF33">
        <v>1700247030.0999999</v>
      </c>
      <c r="FG33">
        <v>36</v>
      </c>
      <c r="FH33">
        <v>2.7E-2</v>
      </c>
      <c r="FI33">
        <v>3.0000000000000001E-3</v>
      </c>
      <c r="FJ33">
        <v>-8.7360000000000007</v>
      </c>
      <c r="FK33">
        <v>5.8999999999999997E-2</v>
      </c>
      <c r="FL33">
        <v>1250</v>
      </c>
      <c r="FM33">
        <v>26</v>
      </c>
      <c r="FN33">
        <v>0.09</v>
      </c>
      <c r="FO33">
        <v>0.16</v>
      </c>
      <c r="FP33">
        <v>35.81224569418</v>
      </c>
      <c r="FQ33">
        <v>0.66014853208524382</v>
      </c>
      <c r="FR33">
        <v>6.881010906497019E-2</v>
      </c>
      <c r="FS33">
        <v>1</v>
      </c>
      <c r="FT33">
        <v>8.0386820726147723E-2</v>
      </c>
      <c r="FU33">
        <v>-3.9773316208508797E-2</v>
      </c>
      <c r="FV33">
        <v>3.1293222304194799E-3</v>
      </c>
      <c r="FW33">
        <v>1</v>
      </c>
      <c r="FX33">
        <v>2</v>
      </c>
      <c r="FY33">
        <v>2</v>
      </c>
      <c r="FZ33" t="s">
        <v>420</v>
      </c>
      <c r="GA33">
        <v>3.11965</v>
      </c>
      <c r="GB33">
        <v>2.8776700000000002</v>
      </c>
      <c r="GC33">
        <v>0.187393</v>
      </c>
      <c r="GD33">
        <v>0.19222700000000001</v>
      </c>
      <c r="GE33">
        <v>0.121568</v>
      </c>
      <c r="GF33">
        <v>0.119043</v>
      </c>
      <c r="GG33">
        <v>23616.2</v>
      </c>
      <c r="GH33">
        <v>23962</v>
      </c>
      <c r="GI33">
        <v>26767.8</v>
      </c>
      <c r="GJ33">
        <v>27394.799999999999</v>
      </c>
      <c r="GK33">
        <v>33631.599999999999</v>
      </c>
      <c r="GL33">
        <v>33709.599999999999</v>
      </c>
      <c r="GM33">
        <v>39650.9</v>
      </c>
      <c r="GN33">
        <v>39648</v>
      </c>
      <c r="GO33">
        <v>1.83578</v>
      </c>
      <c r="GP33">
        <v>2.4742299999999999</v>
      </c>
      <c r="GQ33">
        <v>7.1674600000000005E-2</v>
      </c>
      <c r="GR33">
        <v>0</v>
      </c>
      <c r="GS33">
        <v>28.868400000000001</v>
      </c>
      <c r="GT33">
        <v>999.9</v>
      </c>
      <c r="GU33">
        <v>36.9</v>
      </c>
      <c r="GV33">
        <v>42</v>
      </c>
      <c r="GW33">
        <v>30.7803</v>
      </c>
      <c r="GX33">
        <v>63.047499999999999</v>
      </c>
      <c r="GY33">
        <v>5.5248400000000002</v>
      </c>
      <c r="GZ33">
        <v>3</v>
      </c>
      <c r="HA33">
        <v>0.46875</v>
      </c>
      <c r="HB33">
        <v>3.2886600000000001</v>
      </c>
      <c r="HC33">
        <v>20.2746</v>
      </c>
      <c r="HD33">
        <v>5.2144399999999997</v>
      </c>
      <c r="HE33">
        <v>11.908099999999999</v>
      </c>
      <c r="HF33">
        <v>4.9972500000000002</v>
      </c>
      <c r="HG33">
        <v>3.3022499999999999</v>
      </c>
      <c r="HH33">
        <v>9999</v>
      </c>
      <c r="HI33">
        <v>9999</v>
      </c>
      <c r="HJ33">
        <v>9999</v>
      </c>
      <c r="HK33">
        <v>999.9</v>
      </c>
      <c r="HL33">
        <v>1.8847100000000001</v>
      </c>
      <c r="HM33">
        <v>1.88533</v>
      </c>
      <c r="HN33">
        <v>1.8813200000000001</v>
      </c>
      <c r="HO33">
        <v>1.88293</v>
      </c>
      <c r="HP33">
        <v>1.8798900000000001</v>
      </c>
      <c r="HQ33">
        <v>1.8833899999999999</v>
      </c>
      <c r="HR33">
        <v>1.87937</v>
      </c>
      <c r="HS33">
        <v>1.8815599999999999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-8.67</v>
      </c>
      <c r="IH33">
        <v>5.8599999999999999E-2</v>
      </c>
      <c r="II33">
        <v>-5.0366726483557187</v>
      </c>
      <c r="IJ33">
        <v>-3.7794827560518689E-3</v>
      </c>
      <c r="IK33">
        <v>4.9551128961100493E-7</v>
      </c>
      <c r="IL33">
        <v>1.3680294268397379E-10</v>
      </c>
      <c r="IM33">
        <v>5.8585000000000782E-2</v>
      </c>
      <c r="IN33">
        <v>0</v>
      </c>
      <c r="IO33">
        <v>0</v>
      </c>
      <c r="IP33">
        <v>0</v>
      </c>
      <c r="IQ33">
        <v>4</v>
      </c>
      <c r="IR33">
        <v>2229</v>
      </c>
      <c r="IS33">
        <v>1</v>
      </c>
      <c r="IT33">
        <v>22</v>
      </c>
      <c r="IU33">
        <v>1.5</v>
      </c>
      <c r="IV33">
        <v>1.6</v>
      </c>
      <c r="IW33">
        <v>3.8525399999999999</v>
      </c>
      <c r="IX33">
        <v>2.52075</v>
      </c>
      <c r="IY33">
        <v>2.9956100000000001</v>
      </c>
      <c r="IZ33">
        <v>2.96143</v>
      </c>
      <c r="JA33">
        <v>3.1970200000000002</v>
      </c>
      <c r="JB33">
        <v>2.5366200000000001</v>
      </c>
      <c r="JC33">
        <v>44.837699999999998</v>
      </c>
      <c r="JD33">
        <v>23.7898</v>
      </c>
      <c r="JE33">
        <v>18</v>
      </c>
      <c r="JF33">
        <v>430.39299999999997</v>
      </c>
      <c r="JG33">
        <v>1149.1600000000001</v>
      </c>
      <c r="JH33">
        <v>24.9</v>
      </c>
      <c r="JI33">
        <v>33.0212</v>
      </c>
      <c r="JJ33">
        <v>30.000299999999999</v>
      </c>
      <c r="JK33">
        <v>33.027900000000002</v>
      </c>
      <c r="JL33">
        <v>32.933</v>
      </c>
      <c r="JM33">
        <v>77.196600000000004</v>
      </c>
      <c r="JN33">
        <v>14.9956</v>
      </c>
      <c r="JO33">
        <v>50.239899999999999</v>
      </c>
      <c r="JP33">
        <v>24.908100000000001</v>
      </c>
      <c r="JQ33">
        <v>1250</v>
      </c>
      <c r="JR33">
        <v>25.888200000000001</v>
      </c>
      <c r="JS33">
        <v>98.839699999999993</v>
      </c>
      <c r="JT33">
        <v>97.024000000000001</v>
      </c>
    </row>
    <row r="34" spans="1:280" x14ac:dyDescent="0.25">
      <c r="A34">
        <v>18</v>
      </c>
      <c r="B34">
        <v>1700247338.0999999</v>
      </c>
      <c r="C34">
        <v>10186.5</v>
      </c>
      <c r="D34" t="s">
        <v>498</v>
      </c>
      <c r="E34" t="s">
        <v>499</v>
      </c>
      <c r="F34" t="s">
        <v>412</v>
      </c>
      <c r="G34" t="s">
        <v>484</v>
      </c>
      <c r="H34">
        <v>10</v>
      </c>
      <c r="I34">
        <v>1700247338.0999999</v>
      </c>
      <c r="J34">
        <f t="shared" si="0"/>
        <v>1.910769077550529E-3</v>
      </c>
      <c r="K34">
        <f t="shared" si="1"/>
        <v>1.910769077550529</v>
      </c>
      <c r="L34">
        <f t="shared" si="2"/>
        <v>38.654525574091231</v>
      </c>
      <c r="M34">
        <f t="shared" si="3"/>
        <v>961.13800000000003</v>
      </c>
      <c r="N34">
        <f t="shared" si="4"/>
        <v>406.60337340564507</v>
      </c>
      <c r="O34">
        <f t="shared" si="5"/>
        <v>40.22642119875708</v>
      </c>
      <c r="P34">
        <f t="shared" si="6"/>
        <v>95.088099477125994</v>
      </c>
      <c r="Q34">
        <f t="shared" si="7"/>
        <v>0.11732287621256936</v>
      </c>
      <c r="R34">
        <f t="shared" si="8"/>
        <v>3.1770725193717997</v>
      </c>
      <c r="S34">
        <f t="shared" si="9"/>
        <v>0.11496805248843146</v>
      </c>
      <c r="T34">
        <f t="shared" si="10"/>
        <v>7.2062667719608592E-2</v>
      </c>
      <c r="U34">
        <f t="shared" si="11"/>
        <v>344.37319876266105</v>
      </c>
      <c r="V34">
        <f t="shared" si="12"/>
        <v>30.898343471809941</v>
      </c>
      <c r="W34">
        <f t="shared" si="13"/>
        <v>30.002099999999999</v>
      </c>
      <c r="X34">
        <f t="shared" si="14"/>
        <v>4.2609637045948414</v>
      </c>
      <c r="Y34">
        <f t="shared" si="15"/>
        <v>64.683215957962986</v>
      </c>
      <c r="Z34">
        <f t="shared" si="16"/>
        <v>2.6743323928985996</v>
      </c>
      <c r="AA34">
        <f t="shared" si="17"/>
        <v>4.1345074657954903</v>
      </c>
      <c r="AB34">
        <f t="shared" si="18"/>
        <v>1.5866313116962418</v>
      </c>
      <c r="AC34">
        <f t="shared" si="19"/>
        <v>-84.264916319978326</v>
      </c>
      <c r="AD34">
        <f t="shared" si="20"/>
        <v>-89.666301673298733</v>
      </c>
      <c r="AE34">
        <f t="shared" si="21"/>
        <v>-6.2592830028649118</v>
      </c>
      <c r="AF34">
        <f t="shared" si="22"/>
        <v>164.18269776651908</v>
      </c>
      <c r="AG34">
        <v>76</v>
      </c>
      <c r="AH34">
        <v>15</v>
      </c>
      <c r="AI34">
        <f t="shared" si="23"/>
        <v>1</v>
      </c>
      <c r="AJ34">
        <f t="shared" si="24"/>
        <v>0</v>
      </c>
      <c r="AK34">
        <f t="shared" si="25"/>
        <v>51928.013881929859</v>
      </c>
      <c r="AL34" t="s">
        <v>415</v>
      </c>
      <c r="AM34">
        <v>7133.88</v>
      </c>
      <c r="AN34">
        <v>306.28384615384618</v>
      </c>
      <c r="AO34">
        <v>859.63916333292491</v>
      </c>
      <c r="AP34">
        <f t="shared" si="26"/>
        <v>0.64370650010133712</v>
      </c>
      <c r="AQ34">
        <v>-0.73746743666429193</v>
      </c>
      <c r="AR34" t="s">
        <v>500</v>
      </c>
      <c r="AS34">
        <v>7135.76</v>
      </c>
      <c r="AT34">
        <v>651.87236000000007</v>
      </c>
      <c r="AU34">
        <v>835.06266161100064</v>
      </c>
      <c r="AV34">
        <f t="shared" si="27"/>
        <v>0.21937312016512667</v>
      </c>
      <c r="AW34">
        <v>0.5</v>
      </c>
      <c r="AX34">
        <f t="shared" si="28"/>
        <v>1513.2014993813304</v>
      </c>
      <c r="AY34">
        <f t="shared" si="29"/>
        <v>38.654525574091231</v>
      </c>
      <c r="AZ34">
        <f t="shared" si="30"/>
        <v>165.97786717891523</v>
      </c>
      <c r="BA34">
        <f t="shared" si="31"/>
        <v>2.6032219124063029E-2</v>
      </c>
      <c r="BB34">
        <f t="shared" si="32"/>
        <v>2.9430727598946112E-2</v>
      </c>
      <c r="BC34">
        <f t="shared" si="33"/>
        <v>303.10548898571426</v>
      </c>
      <c r="BD34" t="s">
        <v>501</v>
      </c>
      <c r="BE34">
        <v>429.72</v>
      </c>
      <c r="BF34">
        <f t="shared" si="34"/>
        <v>429.72</v>
      </c>
      <c r="BG34">
        <f t="shared" si="35"/>
        <v>0.48540388673230184</v>
      </c>
      <c r="BH34">
        <f t="shared" si="36"/>
        <v>0.4519393564026199</v>
      </c>
      <c r="BI34">
        <f t="shared" si="37"/>
        <v>5.7165401819719512E-2</v>
      </c>
      <c r="BJ34">
        <f t="shared" si="38"/>
        <v>0.3464403191958888</v>
      </c>
      <c r="BK34">
        <f t="shared" si="39"/>
        <v>4.4413600012396269E-2</v>
      </c>
      <c r="BL34">
        <f t="shared" si="40"/>
        <v>0.29792240344924859</v>
      </c>
      <c r="BM34">
        <f t="shared" si="41"/>
        <v>0.70207759655075141</v>
      </c>
      <c r="BN34">
        <v>20862</v>
      </c>
      <c r="BO34">
        <v>290.00000000000011</v>
      </c>
      <c r="BP34">
        <v>784.93</v>
      </c>
      <c r="BQ34">
        <v>255</v>
      </c>
      <c r="BR34">
        <v>7135.76</v>
      </c>
      <c r="BS34">
        <v>786.27</v>
      </c>
      <c r="BT34">
        <v>-1.34</v>
      </c>
      <c r="BU34">
        <v>300.00000000000011</v>
      </c>
      <c r="BV34">
        <v>38.299999999999997</v>
      </c>
      <c r="BW34">
        <v>835.06266161100064</v>
      </c>
      <c r="BX34">
        <v>0.95554381074366479</v>
      </c>
      <c r="BY34">
        <v>-34.81581373534469</v>
      </c>
      <c r="BZ34">
        <v>0.57138614977427249</v>
      </c>
      <c r="CA34">
        <v>0.99251483538376006</v>
      </c>
      <c r="CB34">
        <v>-7.0428849833148038E-3</v>
      </c>
      <c r="CC34">
        <v>289.99999999999989</v>
      </c>
      <c r="CD34">
        <v>791.3</v>
      </c>
      <c r="CE34">
        <v>805</v>
      </c>
      <c r="CF34">
        <v>7128.77</v>
      </c>
      <c r="CG34">
        <v>786.22</v>
      </c>
      <c r="CH34">
        <v>5.08</v>
      </c>
      <c r="CV34">
        <f t="shared" si="42"/>
        <v>1800.02</v>
      </c>
      <c r="CW34">
        <f t="shared" si="43"/>
        <v>1513.2014993813304</v>
      </c>
      <c r="CX34">
        <f t="shared" si="44"/>
        <v>0.84065815901008345</v>
      </c>
      <c r="CY34">
        <f t="shared" si="45"/>
        <v>0.19131631802016702</v>
      </c>
      <c r="CZ34">
        <v>4.8</v>
      </c>
      <c r="DA34">
        <v>0.5</v>
      </c>
      <c r="DB34" t="s">
        <v>418</v>
      </c>
      <c r="DC34">
        <v>2</v>
      </c>
      <c r="DD34">
        <v>1700247338.0999999</v>
      </c>
      <c r="DE34">
        <v>961.13800000000003</v>
      </c>
      <c r="DF34">
        <v>999.99300000000005</v>
      </c>
      <c r="DG34">
        <v>27.0318</v>
      </c>
      <c r="DH34">
        <v>25.247800000000002</v>
      </c>
      <c r="DI34">
        <v>969.26599999999996</v>
      </c>
      <c r="DJ34">
        <v>26.974</v>
      </c>
      <c r="DK34">
        <v>500.21100000000001</v>
      </c>
      <c r="DL34">
        <v>98.832499999999996</v>
      </c>
      <c r="DM34">
        <v>0.100327</v>
      </c>
      <c r="DN34">
        <v>29.4786</v>
      </c>
      <c r="DO34">
        <v>30.002099999999999</v>
      </c>
      <c r="DP34">
        <v>999.9</v>
      </c>
      <c r="DQ34">
        <v>0</v>
      </c>
      <c r="DR34">
        <v>0</v>
      </c>
      <c r="DS34">
        <v>10019.4</v>
      </c>
      <c r="DT34">
        <v>0</v>
      </c>
      <c r="DU34">
        <v>351.00700000000001</v>
      </c>
      <c r="DV34">
        <v>-38.855200000000004</v>
      </c>
      <c r="DW34">
        <v>987.84100000000001</v>
      </c>
      <c r="DX34">
        <v>1025.8900000000001</v>
      </c>
      <c r="DY34">
        <v>1.7839799999999999</v>
      </c>
      <c r="DZ34">
        <v>999.99300000000005</v>
      </c>
      <c r="EA34">
        <v>25.247800000000002</v>
      </c>
      <c r="EB34">
        <v>2.6716199999999999</v>
      </c>
      <c r="EC34">
        <v>2.4953099999999999</v>
      </c>
      <c r="ED34">
        <v>22.111599999999999</v>
      </c>
      <c r="EE34">
        <v>20.995899999999999</v>
      </c>
      <c r="EF34">
        <v>1800.02</v>
      </c>
      <c r="EG34">
        <v>0.97799999999999998</v>
      </c>
      <c r="EH34">
        <v>2.20003E-2</v>
      </c>
      <c r="EI34">
        <v>0</v>
      </c>
      <c r="EJ34">
        <v>651.54300000000001</v>
      </c>
      <c r="EK34">
        <v>5.0009399999999999</v>
      </c>
      <c r="EL34">
        <v>12411.4</v>
      </c>
      <c r="EM34">
        <v>13860.3</v>
      </c>
      <c r="EN34">
        <v>46.561999999999998</v>
      </c>
      <c r="EO34">
        <v>48.375</v>
      </c>
      <c r="EP34">
        <v>47.625</v>
      </c>
      <c r="EQ34">
        <v>47.686999999999998</v>
      </c>
      <c r="ER34">
        <v>48.061999999999998</v>
      </c>
      <c r="ES34">
        <v>1755.53</v>
      </c>
      <c r="ET34">
        <v>39.49</v>
      </c>
      <c r="EU34">
        <v>0</v>
      </c>
      <c r="EV34">
        <v>210.80000019073489</v>
      </c>
      <c r="EW34">
        <v>0</v>
      </c>
      <c r="EX34">
        <v>651.87236000000007</v>
      </c>
      <c r="EY34">
        <v>-3.574153839005302</v>
      </c>
      <c r="EZ34">
        <v>-79.95384599928299</v>
      </c>
      <c r="FA34">
        <v>12416.84</v>
      </c>
      <c r="FB34">
        <v>15</v>
      </c>
      <c r="FC34">
        <v>1700247218.0999999</v>
      </c>
      <c r="FD34" t="s">
        <v>502</v>
      </c>
      <c r="FE34">
        <v>1700247218.0999999</v>
      </c>
      <c r="FF34">
        <v>1700247215.0999999</v>
      </c>
      <c r="FG34">
        <v>37</v>
      </c>
      <c r="FH34">
        <v>-1.9E-2</v>
      </c>
      <c r="FI34">
        <v>-1E-3</v>
      </c>
      <c r="FJ34">
        <v>-8.2210000000000001</v>
      </c>
      <c r="FK34">
        <v>5.8000000000000003E-2</v>
      </c>
      <c r="FL34">
        <v>1000</v>
      </c>
      <c r="FM34">
        <v>26</v>
      </c>
      <c r="FN34">
        <v>0.08</v>
      </c>
      <c r="FO34">
        <v>0.08</v>
      </c>
      <c r="FP34">
        <v>38.582152232599348</v>
      </c>
      <c r="FQ34">
        <v>0.64952166648054721</v>
      </c>
      <c r="FR34">
        <v>6.977700322171769E-2</v>
      </c>
      <c r="FS34">
        <v>1</v>
      </c>
      <c r="FT34">
        <v>0.11884715179284749</v>
      </c>
      <c r="FU34">
        <v>-8.6233963497137408E-3</v>
      </c>
      <c r="FV34">
        <v>6.5516733655082487E-4</v>
      </c>
      <c r="FW34">
        <v>1</v>
      </c>
      <c r="FX34">
        <v>2</v>
      </c>
      <c r="FY34">
        <v>2</v>
      </c>
      <c r="FZ34" t="s">
        <v>420</v>
      </c>
      <c r="GA34">
        <v>3.1200600000000001</v>
      </c>
      <c r="GB34">
        <v>2.87812</v>
      </c>
      <c r="GC34">
        <v>0.16170100000000001</v>
      </c>
      <c r="GD34">
        <v>0.167016</v>
      </c>
      <c r="GE34">
        <v>0.12216200000000001</v>
      </c>
      <c r="GF34">
        <v>0.11740200000000001</v>
      </c>
      <c r="GG34">
        <v>24362.5</v>
      </c>
      <c r="GH34">
        <v>24708.9</v>
      </c>
      <c r="GI34">
        <v>26766.400000000001</v>
      </c>
      <c r="GJ34">
        <v>27392.799999999999</v>
      </c>
      <c r="GK34">
        <v>33605.4</v>
      </c>
      <c r="GL34">
        <v>33768.400000000001</v>
      </c>
      <c r="GM34">
        <v>39649.1</v>
      </c>
      <c r="GN34">
        <v>39645.4</v>
      </c>
      <c r="GO34">
        <v>1.8378300000000001</v>
      </c>
      <c r="GP34">
        <v>2.4736199999999999</v>
      </c>
      <c r="GQ34">
        <v>6.2979800000000002E-2</v>
      </c>
      <c r="GR34">
        <v>0</v>
      </c>
      <c r="GS34">
        <v>28.976400000000002</v>
      </c>
      <c r="GT34">
        <v>999.9</v>
      </c>
      <c r="GU34">
        <v>37.4</v>
      </c>
      <c r="GV34">
        <v>41.7</v>
      </c>
      <c r="GW34">
        <v>30.7028</v>
      </c>
      <c r="GX34">
        <v>62.897500000000001</v>
      </c>
      <c r="GY34">
        <v>5.4847799999999998</v>
      </c>
      <c r="GZ34">
        <v>3</v>
      </c>
      <c r="HA34">
        <v>0.466692</v>
      </c>
      <c r="HB34">
        <v>2.6945399999999999</v>
      </c>
      <c r="HC34">
        <v>20.285799999999998</v>
      </c>
      <c r="HD34">
        <v>5.2145900000000003</v>
      </c>
      <c r="HE34">
        <v>11.908099999999999</v>
      </c>
      <c r="HF34">
        <v>4.9969999999999999</v>
      </c>
      <c r="HG34">
        <v>3.3025500000000001</v>
      </c>
      <c r="HH34">
        <v>9999</v>
      </c>
      <c r="HI34">
        <v>9999</v>
      </c>
      <c r="HJ34">
        <v>9999</v>
      </c>
      <c r="HK34">
        <v>999.9</v>
      </c>
      <c r="HL34">
        <v>1.88463</v>
      </c>
      <c r="HM34">
        <v>1.8852599999999999</v>
      </c>
      <c r="HN34">
        <v>1.8812800000000001</v>
      </c>
      <c r="HO34">
        <v>1.88293</v>
      </c>
      <c r="HP34">
        <v>1.8798999999999999</v>
      </c>
      <c r="HQ34">
        <v>1.8833899999999999</v>
      </c>
      <c r="HR34">
        <v>1.8792800000000001</v>
      </c>
      <c r="HS34">
        <v>1.8815599999999999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-8.1280000000000001</v>
      </c>
      <c r="IH34">
        <v>5.7799999999999997E-2</v>
      </c>
      <c r="II34">
        <v>-5.0549054421247508</v>
      </c>
      <c r="IJ34">
        <v>-3.7794827560518689E-3</v>
      </c>
      <c r="IK34">
        <v>4.9551128961100493E-7</v>
      </c>
      <c r="IL34">
        <v>1.3680294268397379E-10</v>
      </c>
      <c r="IM34">
        <v>5.7769999999997879E-2</v>
      </c>
      <c r="IN34">
        <v>0</v>
      </c>
      <c r="IO34">
        <v>0</v>
      </c>
      <c r="IP34">
        <v>0</v>
      </c>
      <c r="IQ34">
        <v>4</v>
      </c>
      <c r="IR34">
        <v>2229</v>
      </c>
      <c r="IS34">
        <v>1</v>
      </c>
      <c r="IT34">
        <v>22</v>
      </c>
      <c r="IU34">
        <v>2</v>
      </c>
      <c r="IV34">
        <v>2</v>
      </c>
      <c r="IW34">
        <v>3.2275399999999999</v>
      </c>
      <c r="IX34">
        <v>2.5329600000000001</v>
      </c>
      <c r="IY34">
        <v>2.9956100000000001</v>
      </c>
      <c r="IZ34">
        <v>2.96021</v>
      </c>
      <c r="JA34">
        <v>3.1970200000000002</v>
      </c>
      <c r="JB34">
        <v>2.5280800000000001</v>
      </c>
      <c r="JC34">
        <v>44.697299999999998</v>
      </c>
      <c r="JD34">
        <v>23.7986</v>
      </c>
      <c r="JE34">
        <v>18</v>
      </c>
      <c r="JF34">
        <v>431.74799999999999</v>
      </c>
      <c r="JG34">
        <v>1149</v>
      </c>
      <c r="JH34">
        <v>25.224499999999999</v>
      </c>
      <c r="JI34">
        <v>33.047800000000002</v>
      </c>
      <c r="JJ34">
        <v>30.0002</v>
      </c>
      <c r="JK34">
        <v>33.060099999999998</v>
      </c>
      <c r="JL34">
        <v>32.9679</v>
      </c>
      <c r="JM34">
        <v>64.666700000000006</v>
      </c>
      <c r="JN34">
        <v>16.967099999999999</v>
      </c>
      <c r="JO34">
        <v>50.975999999999999</v>
      </c>
      <c r="JP34">
        <v>25.230899999999998</v>
      </c>
      <c r="JQ34">
        <v>1000</v>
      </c>
      <c r="JR34">
        <v>25.361699999999999</v>
      </c>
      <c r="JS34">
        <v>98.834900000000005</v>
      </c>
      <c r="JT34">
        <v>97.017300000000006</v>
      </c>
    </row>
    <row r="35" spans="1:280" x14ac:dyDescent="0.25">
      <c r="A35">
        <v>19</v>
      </c>
      <c r="B35">
        <v>1700247585.5999999</v>
      </c>
      <c r="C35">
        <v>10434</v>
      </c>
      <c r="D35" t="s">
        <v>503</v>
      </c>
      <c r="E35" t="s">
        <v>504</v>
      </c>
      <c r="F35" t="s">
        <v>412</v>
      </c>
      <c r="G35" t="s">
        <v>484</v>
      </c>
      <c r="H35">
        <v>10</v>
      </c>
      <c r="I35">
        <v>1700247585.5999999</v>
      </c>
      <c r="J35">
        <f t="shared" si="0"/>
        <v>2.2290397611198186E-3</v>
      </c>
      <c r="K35">
        <f t="shared" si="1"/>
        <v>2.2290397611198185</v>
      </c>
      <c r="L35">
        <f t="shared" si="2"/>
        <v>38.685582444385417</v>
      </c>
      <c r="M35">
        <f t="shared" si="3"/>
        <v>711.32799999999997</v>
      </c>
      <c r="N35">
        <f t="shared" si="4"/>
        <v>241.00345079250968</v>
      </c>
      <c r="O35">
        <f t="shared" si="5"/>
        <v>23.84291483325244</v>
      </c>
      <c r="P35">
        <f t="shared" si="6"/>
        <v>70.372987883519997</v>
      </c>
      <c r="Q35">
        <f t="shared" si="7"/>
        <v>0.13801101405955077</v>
      </c>
      <c r="R35">
        <f t="shared" si="8"/>
        <v>3.1702616457933264</v>
      </c>
      <c r="S35">
        <f t="shared" si="9"/>
        <v>0.13475807573763743</v>
      </c>
      <c r="T35">
        <f t="shared" si="10"/>
        <v>8.4509674959877962E-2</v>
      </c>
      <c r="U35">
        <f t="shared" si="11"/>
        <v>344.36939876264734</v>
      </c>
      <c r="V35">
        <f t="shared" si="12"/>
        <v>30.857480235864834</v>
      </c>
      <c r="W35">
        <f t="shared" si="13"/>
        <v>30.0016</v>
      </c>
      <c r="X35">
        <f t="shared" si="14"/>
        <v>4.2608413348914755</v>
      </c>
      <c r="Y35">
        <f t="shared" si="15"/>
        <v>64.740760500278412</v>
      </c>
      <c r="Z35">
        <f t="shared" si="16"/>
        <v>2.681824532352</v>
      </c>
      <c r="AA35">
        <f t="shared" si="17"/>
        <v>4.1424050499692031</v>
      </c>
      <c r="AB35">
        <f t="shared" si="18"/>
        <v>1.5790168025394755</v>
      </c>
      <c r="AC35">
        <f t="shared" si="19"/>
        <v>-98.300653465384002</v>
      </c>
      <c r="AD35">
        <f t="shared" si="20"/>
        <v>-83.731329950939781</v>
      </c>
      <c r="AE35">
        <f t="shared" si="21"/>
        <v>-5.858486699652854</v>
      </c>
      <c r="AF35">
        <f t="shared" si="22"/>
        <v>156.47892864667068</v>
      </c>
      <c r="AG35">
        <v>76</v>
      </c>
      <c r="AH35">
        <v>15</v>
      </c>
      <c r="AI35">
        <f t="shared" si="23"/>
        <v>1</v>
      </c>
      <c r="AJ35">
        <f t="shared" si="24"/>
        <v>0</v>
      </c>
      <c r="AK35">
        <f t="shared" si="25"/>
        <v>51754.012951358425</v>
      </c>
      <c r="AL35" t="s">
        <v>415</v>
      </c>
      <c r="AM35">
        <v>7133.88</v>
      </c>
      <c r="AN35">
        <v>306.28384615384618</v>
      </c>
      <c r="AO35">
        <v>859.63916333292491</v>
      </c>
      <c r="AP35">
        <f t="shared" si="26"/>
        <v>0.64370650010133712</v>
      </c>
      <c r="AQ35">
        <v>-0.73746743666429193</v>
      </c>
      <c r="AR35" t="s">
        <v>505</v>
      </c>
      <c r="AS35">
        <v>7134.7</v>
      </c>
      <c r="AT35">
        <v>647.82276000000002</v>
      </c>
      <c r="AU35">
        <v>831.22639148001508</v>
      </c>
      <c r="AV35">
        <f t="shared" si="27"/>
        <v>0.22064221415475183</v>
      </c>
      <c r="AW35">
        <v>0.5</v>
      </c>
      <c r="AX35">
        <f t="shared" si="28"/>
        <v>1513.1846993813235</v>
      </c>
      <c r="AY35">
        <f t="shared" si="29"/>
        <v>38.685582444385417</v>
      </c>
      <c r="AZ35">
        <f t="shared" si="30"/>
        <v>166.93621124829389</v>
      </c>
      <c r="BA35">
        <f t="shared" si="31"/>
        <v>2.6053032321281141E-2</v>
      </c>
      <c r="BB35">
        <f t="shared" si="32"/>
        <v>3.4181748972527598E-2</v>
      </c>
      <c r="BC35">
        <f t="shared" si="33"/>
        <v>302.59857826561603</v>
      </c>
      <c r="BD35" t="s">
        <v>506</v>
      </c>
      <c r="BE35">
        <v>428.39</v>
      </c>
      <c r="BF35">
        <f t="shared" si="34"/>
        <v>428.39</v>
      </c>
      <c r="BG35">
        <f t="shared" si="35"/>
        <v>0.48462897185297127</v>
      </c>
      <c r="BH35">
        <f t="shared" si="36"/>
        <v>0.45528069300341206</v>
      </c>
      <c r="BI35">
        <f t="shared" si="37"/>
        <v>6.5884816177544978E-2</v>
      </c>
      <c r="BJ35">
        <f t="shared" si="38"/>
        <v>0.34937848553703849</v>
      </c>
      <c r="BK35">
        <f t="shared" si="39"/>
        <v>5.1346342884629387E-2</v>
      </c>
      <c r="BL35">
        <f t="shared" si="40"/>
        <v>0.30106644613062322</v>
      </c>
      <c r="BM35">
        <f t="shared" si="41"/>
        <v>0.69893355386937683</v>
      </c>
      <c r="BN35">
        <v>20864</v>
      </c>
      <c r="BO35">
        <v>290.00000000000011</v>
      </c>
      <c r="BP35">
        <v>780.46</v>
      </c>
      <c r="BQ35">
        <v>295</v>
      </c>
      <c r="BR35">
        <v>7134.7</v>
      </c>
      <c r="BS35">
        <v>781.59</v>
      </c>
      <c r="BT35">
        <v>-1.1299999999999999</v>
      </c>
      <c r="BU35">
        <v>300.00000000000011</v>
      </c>
      <c r="BV35">
        <v>38.299999999999997</v>
      </c>
      <c r="BW35">
        <v>831.22639148001508</v>
      </c>
      <c r="BX35">
        <v>1.195705048239577</v>
      </c>
      <c r="BY35">
        <v>-35.416563869867083</v>
      </c>
      <c r="BZ35">
        <v>0.71499046297232993</v>
      </c>
      <c r="CA35">
        <v>0.98871717735128994</v>
      </c>
      <c r="CB35">
        <v>-7.0427448275862062E-3</v>
      </c>
      <c r="CC35">
        <v>289.99999999999989</v>
      </c>
      <c r="CD35">
        <v>786.88</v>
      </c>
      <c r="CE35">
        <v>855</v>
      </c>
      <c r="CF35">
        <v>7128.03</v>
      </c>
      <c r="CG35">
        <v>781.54</v>
      </c>
      <c r="CH35">
        <v>5.34</v>
      </c>
      <c r="CV35">
        <f t="shared" si="42"/>
        <v>1800</v>
      </c>
      <c r="CW35">
        <f t="shared" si="43"/>
        <v>1513.1846993813235</v>
      </c>
      <c r="CX35">
        <f t="shared" si="44"/>
        <v>0.84065816632295753</v>
      </c>
      <c r="CY35">
        <f t="shared" si="45"/>
        <v>0.19131633264591519</v>
      </c>
      <c r="CZ35">
        <v>4.8</v>
      </c>
      <c r="DA35">
        <v>0.5</v>
      </c>
      <c r="DB35" t="s">
        <v>418</v>
      </c>
      <c r="DC35">
        <v>2</v>
      </c>
      <c r="DD35">
        <v>1700247585.5999999</v>
      </c>
      <c r="DE35">
        <v>711.32799999999997</v>
      </c>
      <c r="DF35">
        <v>749.98699999999997</v>
      </c>
      <c r="DG35">
        <v>27.107800000000001</v>
      </c>
      <c r="DH35">
        <v>25.026</v>
      </c>
      <c r="DI35">
        <v>718.58500000000004</v>
      </c>
      <c r="DJ35">
        <v>27.0504</v>
      </c>
      <c r="DK35">
        <v>500.017</v>
      </c>
      <c r="DL35">
        <v>98.831699999999998</v>
      </c>
      <c r="DM35">
        <v>0.10014000000000001</v>
      </c>
      <c r="DN35">
        <v>29.511700000000001</v>
      </c>
      <c r="DO35">
        <v>30.0016</v>
      </c>
      <c r="DP35">
        <v>999.9</v>
      </c>
      <c r="DQ35">
        <v>0</v>
      </c>
      <c r="DR35">
        <v>0</v>
      </c>
      <c r="DS35">
        <v>9985.6200000000008</v>
      </c>
      <c r="DT35">
        <v>0</v>
      </c>
      <c r="DU35">
        <v>326.50900000000001</v>
      </c>
      <c r="DV35">
        <v>-38.659700000000001</v>
      </c>
      <c r="DW35">
        <v>731.14700000000005</v>
      </c>
      <c r="DX35">
        <v>769.23800000000006</v>
      </c>
      <c r="DY35">
        <v>2.0817600000000001</v>
      </c>
      <c r="DZ35">
        <v>749.98699999999997</v>
      </c>
      <c r="EA35">
        <v>25.026</v>
      </c>
      <c r="EB35">
        <v>2.6791100000000001</v>
      </c>
      <c r="EC35">
        <v>2.47336</v>
      </c>
      <c r="ED35">
        <v>22.157499999999999</v>
      </c>
      <c r="EE35">
        <v>20.8523</v>
      </c>
      <c r="EF35">
        <v>1800</v>
      </c>
      <c r="EG35">
        <v>0.97799999999999998</v>
      </c>
      <c r="EH35">
        <v>2.20003E-2</v>
      </c>
      <c r="EI35">
        <v>0</v>
      </c>
      <c r="EJ35">
        <v>647.22400000000005</v>
      </c>
      <c r="EK35">
        <v>5.0009399999999999</v>
      </c>
      <c r="EL35">
        <v>12330.9</v>
      </c>
      <c r="EM35">
        <v>13860.2</v>
      </c>
      <c r="EN35">
        <v>46.625</v>
      </c>
      <c r="EO35">
        <v>48.375</v>
      </c>
      <c r="EP35">
        <v>47.625</v>
      </c>
      <c r="EQ35">
        <v>47.75</v>
      </c>
      <c r="ER35">
        <v>48.061999999999998</v>
      </c>
      <c r="ES35">
        <v>1755.51</v>
      </c>
      <c r="ET35">
        <v>39.49</v>
      </c>
      <c r="EU35">
        <v>0</v>
      </c>
      <c r="EV35">
        <v>245.4000000953674</v>
      </c>
      <c r="EW35">
        <v>0</v>
      </c>
      <c r="EX35">
        <v>647.82276000000002</v>
      </c>
      <c r="EY35">
        <v>-2.8413077016591788</v>
      </c>
      <c r="EZ35">
        <v>-83.915384407867435</v>
      </c>
      <c r="FA35">
        <v>12344.691999999999</v>
      </c>
      <c r="FB35">
        <v>15</v>
      </c>
      <c r="FC35">
        <v>1700247452.0999999</v>
      </c>
      <c r="FD35" t="s">
        <v>507</v>
      </c>
      <c r="FE35">
        <v>1700247452.0999999</v>
      </c>
      <c r="FF35">
        <v>1700247447.5999999</v>
      </c>
      <c r="FG35">
        <v>38</v>
      </c>
      <c r="FH35">
        <v>0.20699999999999999</v>
      </c>
      <c r="FI35">
        <v>0</v>
      </c>
      <c r="FJ35">
        <v>-7.367</v>
      </c>
      <c r="FK35">
        <v>5.7000000000000002E-2</v>
      </c>
      <c r="FL35">
        <v>750</v>
      </c>
      <c r="FM35">
        <v>26</v>
      </c>
      <c r="FN35">
        <v>0.1</v>
      </c>
      <c r="FO35">
        <v>0.04</v>
      </c>
      <c r="FP35">
        <v>38.563883524952963</v>
      </c>
      <c r="FQ35">
        <v>0.62532823662503967</v>
      </c>
      <c r="FR35">
        <v>6.5853466811526387E-2</v>
      </c>
      <c r="FS35">
        <v>1</v>
      </c>
      <c r="FT35">
        <v>0.139311518339195</v>
      </c>
      <c r="FU35">
        <v>-2.631545085352412E-2</v>
      </c>
      <c r="FV35">
        <v>2.102100239920815E-3</v>
      </c>
      <c r="FW35">
        <v>1</v>
      </c>
      <c r="FX35">
        <v>2</v>
      </c>
      <c r="FY35">
        <v>2</v>
      </c>
      <c r="FZ35" t="s">
        <v>420</v>
      </c>
      <c r="GA35">
        <v>3.11978</v>
      </c>
      <c r="GB35">
        <v>2.87764</v>
      </c>
      <c r="GC35">
        <v>0.132518</v>
      </c>
      <c r="GD35">
        <v>0.13816100000000001</v>
      </c>
      <c r="GE35">
        <v>0.122396</v>
      </c>
      <c r="GF35">
        <v>0.116659</v>
      </c>
      <c r="GG35">
        <v>25208.799999999999</v>
      </c>
      <c r="GH35">
        <v>25563.1</v>
      </c>
      <c r="GI35">
        <v>26763.8</v>
      </c>
      <c r="GJ35">
        <v>27390.3</v>
      </c>
      <c r="GK35">
        <v>33591.199999999997</v>
      </c>
      <c r="GL35">
        <v>33791.699999999997</v>
      </c>
      <c r="GM35">
        <v>39645.599999999999</v>
      </c>
      <c r="GN35">
        <v>39642.1</v>
      </c>
      <c r="GO35">
        <v>1.83785</v>
      </c>
      <c r="GP35">
        <v>2.4754700000000001</v>
      </c>
      <c r="GQ35">
        <v>6.0461500000000001E-2</v>
      </c>
      <c r="GR35">
        <v>0</v>
      </c>
      <c r="GS35">
        <v>29.0169</v>
      </c>
      <c r="GT35">
        <v>999.9</v>
      </c>
      <c r="GU35">
        <v>37.700000000000003</v>
      </c>
      <c r="GV35">
        <v>41.5</v>
      </c>
      <c r="GW35">
        <v>30.624400000000001</v>
      </c>
      <c r="GX35">
        <v>63.127499999999998</v>
      </c>
      <c r="GY35">
        <v>5.4086499999999997</v>
      </c>
      <c r="GZ35">
        <v>3</v>
      </c>
      <c r="HA35">
        <v>0.47225600000000001</v>
      </c>
      <c r="HB35">
        <v>3.0215299999999998</v>
      </c>
      <c r="HC35">
        <v>20.280100000000001</v>
      </c>
      <c r="HD35">
        <v>5.2148899999999996</v>
      </c>
      <c r="HE35">
        <v>11.908099999999999</v>
      </c>
      <c r="HF35">
        <v>4.9970499999999998</v>
      </c>
      <c r="HG35">
        <v>3.3021500000000001</v>
      </c>
      <c r="HH35">
        <v>9999</v>
      </c>
      <c r="HI35">
        <v>9999</v>
      </c>
      <c r="HJ35">
        <v>9999</v>
      </c>
      <c r="HK35">
        <v>999.9</v>
      </c>
      <c r="HL35">
        <v>1.8846700000000001</v>
      </c>
      <c r="HM35">
        <v>1.88523</v>
      </c>
      <c r="HN35">
        <v>1.88134</v>
      </c>
      <c r="HO35">
        <v>1.88293</v>
      </c>
      <c r="HP35">
        <v>1.87988</v>
      </c>
      <c r="HQ35">
        <v>1.8833899999999999</v>
      </c>
      <c r="HR35">
        <v>1.87931</v>
      </c>
      <c r="HS35">
        <v>1.8815599999999999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-7.2569999999999997</v>
      </c>
      <c r="IH35">
        <v>5.74E-2</v>
      </c>
      <c r="II35">
        <v>-4.8483773124371794</v>
      </c>
      <c r="IJ35">
        <v>-3.7794827560518689E-3</v>
      </c>
      <c r="IK35">
        <v>4.9551128961100493E-7</v>
      </c>
      <c r="IL35">
        <v>1.3680294268397379E-10</v>
      </c>
      <c r="IM35">
        <v>5.7329999999996772E-2</v>
      </c>
      <c r="IN35">
        <v>0</v>
      </c>
      <c r="IO35">
        <v>0</v>
      </c>
      <c r="IP35">
        <v>0</v>
      </c>
      <c r="IQ35">
        <v>4</v>
      </c>
      <c r="IR35">
        <v>2229</v>
      </c>
      <c r="IS35">
        <v>1</v>
      </c>
      <c r="IT35">
        <v>22</v>
      </c>
      <c r="IU35">
        <v>2.2000000000000002</v>
      </c>
      <c r="IV35">
        <v>2.2999999999999998</v>
      </c>
      <c r="IW35">
        <v>2.5610400000000002</v>
      </c>
      <c r="IX35">
        <v>2.5439500000000002</v>
      </c>
      <c r="IY35">
        <v>2.9956100000000001</v>
      </c>
      <c r="IZ35">
        <v>2.96021</v>
      </c>
      <c r="JA35">
        <v>3.1970200000000002</v>
      </c>
      <c r="JB35">
        <v>2.49878</v>
      </c>
      <c r="JC35">
        <v>44.613199999999999</v>
      </c>
      <c r="JD35">
        <v>23.7898</v>
      </c>
      <c r="JE35">
        <v>18</v>
      </c>
      <c r="JF35">
        <v>431.99400000000003</v>
      </c>
      <c r="JG35">
        <v>1152.25</v>
      </c>
      <c r="JH35">
        <v>25.008500000000002</v>
      </c>
      <c r="JI35">
        <v>33.083100000000002</v>
      </c>
      <c r="JJ35">
        <v>29.999600000000001</v>
      </c>
      <c r="JK35">
        <v>33.095399999999998</v>
      </c>
      <c r="JL35">
        <v>33.005899999999997</v>
      </c>
      <c r="JM35">
        <v>51.319299999999998</v>
      </c>
      <c r="JN35">
        <v>17.058599999999998</v>
      </c>
      <c r="JO35">
        <v>51.1721</v>
      </c>
      <c r="JP35">
        <v>25.0321</v>
      </c>
      <c r="JQ35">
        <v>750</v>
      </c>
      <c r="JR35">
        <v>25.122900000000001</v>
      </c>
      <c r="JS35">
        <v>98.825900000000004</v>
      </c>
      <c r="JT35">
        <v>97.008899999999997</v>
      </c>
    </row>
    <row r="36" spans="1:280" x14ac:dyDescent="0.25">
      <c r="A36">
        <v>20</v>
      </c>
      <c r="B36">
        <v>1700247835.5999999</v>
      </c>
      <c r="C36">
        <v>10684</v>
      </c>
      <c r="D36" t="s">
        <v>508</v>
      </c>
      <c r="E36" t="s">
        <v>509</v>
      </c>
      <c r="F36" t="s">
        <v>412</v>
      </c>
      <c r="G36" t="s">
        <v>484</v>
      </c>
      <c r="H36">
        <v>10</v>
      </c>
      <c r="I36">
        <v>1700247835.5999999</v>
      </c>
      <c r="J36">
        <f t="shared" si="0"/>
        <v>3.2650994976044282E-3</v>
      </c>
      <c r="K36">
        <f t="shared" si="1"/>
        <v>3.2650994976044281</v>
      </c>
      <c r="L36">
        <f t="shared" si="2"/>
        <v>41.210170742330568</v>
      </c>
      <c r="M36">
        <f t="shared" si="3"/>
        <v>558.78399999999999</v>
      </c>
      <c r="N36">
        <f t="shared" si="4"/>
        <v>223.93230072470078</v>
      </c>
      <c r="O36">
        <f t="shared" si="5"/>
        <v>22.153510992408886</v>
      </c>
      <c r="P36">
        <f t="shared" si="6"/>
        <v>55.280222845567998</v>
      </c>
      <c r="Q36">
        <f t="shared" si="7"/>
        <v>0.20937564661536687</v>
      </c>
      <c r="R36">
        <f t="shared" si="8"/>
        <v>3.1724832087973529</v>
      </c>
      <c r="S36">
        <f t="shared" si="9"/>
        <v>0.20199071646552696</v>
      </c>
      <c r="T36">
        <f t="shared" si="10"/>
        <v>0.12688600396658123</v>
      </c>
      <c r="U36">
        <f t="shared" si="11"/>
        <v>344.35799876260609</v>
      </c>
      <c r="V36">
        <f t="shared" si="12"/>
        <v>30.786787451635824</v>
      </c>
      <c r="W36">
        <f t="shared" si="13"/>
        <v>30.019200000000001</v>
      </c>
      <c r="X36">
        <f t="shared" si="14"/>
        <v>4.2651505924382445</v>
      </c>
      <c r="Y36">
        <f t="shared" si="15"/>
        <v>65.043622321360871</v>
      </c>
      <c r="Z36">
        <f t="shared" si="16"/>
        <v>2.7224706443886002</v>
      </c>
      <c r="AA36">
        <f t="shared" si="17"/>
        <v>4.1856073619911509</v>
      </c>
      <c r="AB36">
        <f t="shared" si="18"/>
        <v>1.5426799480496443</v>
      </c>
      <c r="AC36">
        <f t="shared" si="19"/>
        <v>-143.99088784435529</v>
      </c>
      <c r="AD36">
        <f t="shared" si="20"/>
        <v>-55.996831090028522</v>
      </c>
      <c r="AE36">
        <f t="shared" si="21"/>
        <v>-3.9190594210494587</v>
      </c>
      <c r="AF36">
        <f t="shared" si="22"/>
        <v>140.45122040717285</v>
      </c>
      <c r="AG36">
        <v>74</v>
      </c>
      <c r="AH36">
        <v>15</v>
      </c>
      <c r="AI36">
        <f t="shared" si="23"/>
        <v>1</v>
      </c>
      <c r="AJ36">
        <f t="shared" si="24"/>
        <v>0</v>
      </c>
      <c r="AK36">
        <f t="shared" si="25"/>
        <v>51778.018343893527</v>
      </c>
      <c r="AL36" t="s">
        <v>415</v>
      </c>
      <c r="AM36">
        <v>7133.88</v>
      </c>
      <c r="AN36">
        <v>306.28384615384618</v>
      </c>
      <c r="AO36">
        <v>859.63916333292491</v>
      </c>
      <c r="AP36">
        <f t="shared" si="26"/>
        <v>0.64370650010133712</v>
      </c>
      <c r="AQ36">
        <v>-0.73746743666429193</v>
      </c>
      <c r="AR36" t="s">
        <v>510</v>
      </c>
      <c r="AS36">
        <v>7134.49</v>
      </c>
      <c r="AT36">
        <v>640.53503999999998</v>
      </c>
      <c r="AU36">
        <v>836.56733075854493</v>
      </c>
      <c r="AV36">
        <f t="shared" si="27"/>
        <v>0.23432936423753914</v>
      </c>
      <c r="AW36">
        <v>0.5</v>
      </c>
      <c r="AX36">
        <f t="shared" si="28"/>
        <v>1513.134299381303</v>
      </c>
      <c r="AY36">
        <f t="shared" si="29"/>
        <v>41.210170742330568</v>
      </c>
      <c r="AZ36">
        <f t="shared" si="30"/>
        <v>177.28589919001746</v>
      </c>
      <c r="BA36">
        <f t="shared" si="31"/>
        <v>2.7722349692387908E-2</v>
      </c>
      <c r="BB36">
        <f t="shared" si="32"/>
        <v>2.7579169931797293E-2</v>
      </c>
      <c r="BC36">
        <f t="shared" si="33"/>
        <v>303.30350133433649</v>
      </c>
      <c r="BD36" t="s">
        <v>511</v>
      </c>
      <c r="BE36">
        <v>429.85</v>
      </c>
      <c r="BF36">
        <f t="shared" si="34"/>
        <v>429.85</v>
      </c>
      <c r="BG36">
        <f t="shared" si="35"/>
        <v>0.48617405414308978</v>
      </c>
      <c r="BH36">
        <f t="shared" si="36"/>
        <v>0.48198656888541358</v>
      </c>
      <c r="BI36">
        <f t="shared" si="37"/>
        <v>5.3681745708669702E-2</v>
      </c>
      <c r="BJ36">
        <f t="shared" si="38"/>
        <v>0.36967451646109201</v>
      </c>
      <c r="BK36">
        <f t="shared" si="39"/>
        <v>4.1694426452783859E-2</v>
      </c>
      <c r="BL36">
        <f t="shared" si="40"/>
        <v>0.3234513550349955</v>
      </c>
      <c r="BM36">
        <f t="shared" si="41"/>
        <v>0.67654864496500444</v>
      </c>
      <c r="BN36">
        <v>20866</v>
      </c>
      <c r="BO36">
        <v>290.00000000000011</v>
      </c>
      <c r="BP36">
        <v>781.79</v>
      </c>
      <c r="BQ36">
        <v>295</v>
      </c>
      <c r="BR36">
        <v>7134.49</v>
      </c>
      <c r="BS36">
        <v>782.92</v>
      </c>
      <c r="BT36">
        <v>-1.1299999999999999</v>
      </c>
      <c r="BU36">
        <v>300.00000000000011</v>
      </c>
      <c r="BV36">
        <v>38.299999999999997</v>
      </c>
      <c r="BW36">
        <v>836.56733075854493</v>
      </c>
      <c r="BX36">
        <v>1.031028035125392</v>
      </c>
      <c r="BY36">
        <v>-38.271082195997487</v>
      </c>
      <c r="BZ36">
        <v>0.61649880806902957</v>
      </c>
      <c r="CA36">
        <v>0.99278665080293815</v>
      </c>
      <c r="CB36">
        <v>-7.0426133481646331E-3</v>
      </c>
      <c r="CC36">
        <v>289.99999999999989</v>
      </c>
      <c r="CD36">
        <v>788.08</v>
      </c>
      <c r="CE36">
        <v>805</v>
      </c>
      <c r="CF36">
        <v>7128.47</v>
      </c>
      <c r="CG36">
        <v>782.88</v>
      </c>
      <c r="CH36">
        <v>5.2</v>
      </c>
      <c r="CV36">
        <f t="shared" si="42"/>
        <v>1799.94</v>
      </c>
      <c r="CW36">
        <f t="shared" si="43"/>
        <v>1513.134299381303</v>
      </c>
      <c r="CX36">
        <f t="shared" si="44"/>
        <v>0.84065818826255478</v>
      </c>
      <c r="CY36">
        <f t="shared" si="45"/>
        <v>0.19131637652510977</v>
      </c>
      <c r="CZ36">
        <v>4.8</v>
      </c>
      <c r="DA36">
        <v>0.5</v>
      </c>
      <c r="DB36" t="s">
        <v>418</v>
      </c>
      <c r="DC36">
        <v>2</v>
      </c>
      <c r="DD36">
        <v>1700247835.5999999</v>
      </c>
      <c r="DE36">
        <v>558.78399999999999</v>
      </c>
      <c r="DF36">
        <v>600.09</v>
      </c>
      <c r="DG36">
        <v>27.519300000000001</v>
      </c>
      <c r="DH36">
        <v>24.471599999999999</v>
      </c>
      <c r="DI36">
        <v>565.38499999999999</v>
      </c>
      <c r="DJ36">
        <v>27.476500000000001</v>
      </c>
      <c r="DK36">
        <v>500.08800000000002</v>
      </c>
      <c r="DL36">
        <v>98.829499999999996</v>
      </c>
      <c r="DM36">
        <v>0.10000199999999999</v>
      </c>
      <c r="DN36">
        <v>29.691800000000001</v>
      </c>
      <c r="DO36">
        <v>30.019200000000001</v>
      </c>
      <c r="DP36">
        <v>999.9</v>
      </c>
      <c r="DQ36">
        <v>0</v>
      </c>
      <c r="DR36">
        <v>0</v>
      </c>
      <c r="DS36">
        <v>9996.8799999999992</v>
      </c>
      <c r="DT36">
        <v>0</v>
      </c>
      <c r="DU36">
        <v>359.03</v>
      </c>
      <c r="DV36">
        <v>-41.305500000000002</v>
      </c>
      <c r="DW36">
        <v>574.59699999999998</v>
      </c>
      <c r="DX36">
        <v>615.14300000000003</v>
      </c>
      <c r="DY36">
        <v>3.0476399999999999</v>
      </c>
      <c r="DZ36">
        <v>600.09</v>
      </c>
      <c r="EA36">
        <v>24.471599999999999</v>
      </c>
      <c r="EB36">
        <v>2.7197200000000001</v>
      </c>
      <c r="EC36">
        <v>2.41852</v>
      </c>
      <c r="ED36">
        <v>22.404699999999998</v>
      </c>
      <c r="EE36">
        <v>20.488299999999999</v>
      </c>
      <c r="EF36">
        <v>1799.94</v>
      </c>
      <c r="EG36">
        <v>0.97799999999999998</v>
      </c>
      <c r="EH36">
        <v>2.20003E-2</v>
      </c>
      <c r="EI36">
        <v>0</v>
      </c>
      <c r="EJ36">
        <v>640.21600000000001</v>
      </c>
      <c r="EK36">
        <v>5.0009399999999999</v>
      </c>
      <c r="EL36">
        <v>12347.1</v>
      </c>
      <c r="EM36">
        <v>13859.7</v>
      </c>
      <c r="EN36">
        <v>46.686999999999998</v>
      </c>
      <c r="EO36">
        <v>48.5</v>
      </c>
      <c r="EP36">
        <v>47.75</v>
      </c>
      <c r="EQ36">
        <v>47.811999999999998</v>
      </c>
      <c r="ER36">
        <v>48.125</v>
      </c>
      <c r="ES36">
        <v>1755.45</v>
      </c>
      <c r="ET36">
        <v>39.49</v>
      </c>
      <c r="EU36">
        <v>0</v>
      </c>
      <c r="EV36">
        <v>248</v>
      </c>
      <c r="EW36">
        <v>0</v>
      </c>
      <c r="EX36">
        <v>640.53503999999998</v>
      </c>
      <c r="EY36">
        <v>-2.8926153719990162</v>
      </c>
      <c r="EZ36">
        <v>-2315.6538506980319</v>
      </c>
      <c r="FA36">
        <v>12600.38</v>
      </c>
      <c r="FB36">
        <v>15</v>
      </c>
      <c r="FC36">
        <v>1700247692.0999999</v>
      </c>
      <c r="FD36" t="s">
        <v>512</v>
      </c>
      <c r="FE36">
        <v>1700247692.0999999</v>
      </c>
      <c r="FF36">
        <v>1700247690.0999999</v>
      </c>
      <c r="FG36">
        <v>39</v>
      </c>
      <c r="FH36">
        <v>0.20200000000000001</v>
      </c>
      <c r="FI36">
        <v>-1.4999999999999999E-2</v>
      </c>
      <c r="FJ36">
        <v>-6.7270000000000003</v>
      </c>
      <c r="FK36">
        <v>4.2999999999999997E-2</v>
      </c>
      <c r="FL36">
        <v>600</v>
      </c>
      <c r="FM36">
        <v>25</v>
      </c>
      <c r="FN36">
        <v>7.0000000000000007E-2</v>
      </c>
      <c r="FO36">
        <v>0.04</v>
      </c>
      <c r="FP36">
        <v>41.077329136522089</v>
      </c>
      <c r="FQ36">
        <v>0.62176506761807104</v>
      </c>
      <c r="FR36">
        <v>5.3811486486085733E-2</v>
      </c>
      <c r="FS36">
        <v>1</v>
      </c>
      <c r="FT36">
        <v>0.2020103220509539</v>
      </c>
      <c r="FU36">
        <v>3.9857839263289292E-2</v>
      </c>
      <c r="FV36">
        <v>3.1509935539313972E-3</v>
      </c>
      <c r="FW36">
        <v>1</v>
      </c>
      <c r="FX36">
        <v>2</v>
      </c>
      <c r="FY36">
        <v>2</v>
      </c>
      <c r="FZ36" t="s">
        <v>420</v>
      </c>
      <c r="GA36">
        <v>3.11972</v>
      </c>
      <c r="GB36">
        <v>2.8776000000000002</v>
      </c>
      <c r="GC36">
        <v>0.11204799999999999</v>
      </c>
      <c r="GD36">
        <v>0.118408</v>
      </c>
      <c r="GE36">
        <v>0.123739</v>
      </c>
      <c r="GF36">
        <v>0.114803</v>
      </c>
      <c r="GG36">
        <v>25801.1</v>
      </c>
      <c r="GH36">
        <v>26148.7</v>
      </c>
      <c r="GI36">
        <v>26761.1</v>
      </c>
      <c r="GJ36">
        <v>27389.9</v>
      </c>
      <c r="GK36">
        <v>33535.1</v>
      </c>
      <c r="GL36">
        <v>33861.4</v>
      </c>
      <c r="GM36">
        <v>39641.9</v>
      </c>
      <c r="GN36">
        <v>39642</v>
      </c>
      <c r="GO36">
        <v>1.84053</v>
      </c>
      <c r="GP36">
        <v>2.4718300000000002</v>
      </c>
      <c r="GQ36">
        <v>4.5627399999999999E-2</v>
      </c>
      <c r="GR36">
        <v>0</v>
      </c>
      <c r="GS36">
        <v>29.276299999999999</v>
      </c>
      <c r="GT36">
        <v>999.9</v>
      </c>
      <c r="GU36">
        <v>37.799999999999997</v>
      </c>
      <c r="GV36">
        <v>41.3</v>
      </c>
      <c r="GW36">
        <v>30.384899999999998</v>
      </c>
      <c r="GX36">
        <v>63.117600000000003</v>
      </c>
      <c r="GY36">
        <v>5.4647399999999999</v>
      </c>
      <c r="GZ36">
        <v>3</v>
      </c>
      <c r="HA36">
        <v>0.476794</v>
      </c>
      <c r="HB36">
        <v>3.2038500000000001</v>
      </c>
      <c r="HC36">
        <v>20.277000000000001</v>
      </c>
      <c r="HD36">
        <v>5.2117500000000003</v>
      </c>
      <c r="HE36">
        <v>11.908099999999999</v>
      </c>
      <c r="HF36">
        <v>4.9973000000000001</v>
      </c>
      <c r="HG36">
        <v>3.3022999999999998</v>
      </c>
      <c r="HH36">
        <v>9999</v>
      </c>
      <c r="HI36">
        <v>9999</v>
      </c>
      <c r="HJ36">
        <v>9999</v>
      </c>
      <c r="HK36">
        <v>999.9</v>
      </c>
      <c r="HL36">
        <v>1.8846499999999999</v>
      </c>
      <c r="HM36">
        <v>1.88523</v>
      </c>
      <c r="HN36">
        <v>1.8812800000000001</v>
      </c>
      <c r="HO36">
        <v>1.88293</v>
      </c>
      <c r="HP36">
        <v>1.87988</v>
      </c>
      <c r="HQ36">
        <v>1.8833899999999999</v>
      </c>
      <c r="HR36">
        <v>1.87927</v>
      </c>
      <c r="HS36">
        <v>1.8815599999999999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-6.601</v>
      </c>
      <c r="IH36">
        <v>4.2799999999999998E-2</v>
      </c>
      <c r="II36">
        <v>-4.6467322998467058</v>
      </c>
      <c r="IJ36">
        <v>-3.7794827560518689E-3</v>
      </c>
      <c r="IK36">
        <v>4.9551128961100493E-7</v>
      </c>
      <c r="IL36">
        <v>1.3680294268397379E-10</v>
      </c>
      <c r="IM36">
        <v>4.2735000000003957E-2</v>
      </c>
      <c r="IN36">
        <v>0</v>
      </c>
      <c r="IO36">
        <v>0</v>
      </c>
      <c r="IP36">
        <v>0</v>
      </c>
      <c r="IQ36">
        <v>4</v>
      </c>
      <c r="IR36">
        <v>2229</v>
      </c>
      <c r="IS36">
        <v>1</v>
      </c>
      <c r="IT36">
        <v>22</v>
      </c>
      <c r="IU36">
        <v>2.4</v>
      </c>
      <c r="IV36">
        <v>2.4</v>
      </c>
      <c r="IW36">
        <v>2.1362299999999999</v>
      </c>
      <c r="IX36">
        <v>2.5500500000000001</v>
      </c>
      <c r="IY36">
        <v>2.9956100000000001</v>
      </c>
      <c r="IZ36">
        <v>2.96021</v>
      </c>
      <c r="JA36">
        <v>3.1970200000000002</v>
      </c>
      <c r="JB36">
        <v>2.52075</v>
      </c>
      <c r="JC36">
        <v>44.529299999999999</v>
      </c>
      <c r="JD36">
        <v>23.7898</v>
      </c>
      <c r="JE36">
        <v>18</v>
      </c>
      <c r="JF36">
        <v>433.834</v>
      </c>
      <c r="JG36">
        <v>1148.2</v>
      </c>
      <c r="JH36">
        <v>24.971499999999999</v>
      </c>
      <c r="JI36">
        <v>33.142200000000003</v>
      </c>
      <c r="JJ36">
        <v>30.000299999999999</v>
      </c>
      <c r="JK36">
        <v>33.147399999999998</v>
      </c>
      <c r="JL36">
        <v>33.055500000000002</v>
      </c>
      <c r="JM36">
        <v>42.805900000000001</v>
      </c>
      <c r="JN36">
        <v>18.508400000000002</v>
      </c>
      <c r="JO36">
        <v>50.221299999999999</v>
      </c>
      <c r="JP36">
        <v>24.959</v>
      </c>
      <c r="JQ36">
        <v>600</v>
      </c>
      <c r="JR36">
        <v>24.4087</v>
      </c>
      <c r="JS36">
        <v>98.816400000000002</v>
      </c>
      <c r="JT36">
        <v>97.008200000000002</v>
      </c>
    </row>
    <row r="37" spans="1:280" x14ac:dyDescent="0.25">
      <c r="A37">
        <v>21</v>
      </c>
      <c r="B37">
        <v>1700247935.0999999</v>
      </c>
      <c r="C37">
        <v>10783.5</v>
      </c>
      <c r="D37" t="s">
        <v>513</v>
      </c>
      <c r="E37" t="s">
        <v>514</v>
      </c>
      <c r="F37" t="s">
        <v>412</v>
      </c>
      <c r="G37" t="s">
        <v>484</v>
      </c>
      <c r="H37">
        <v>10</v>
      </c>
      <c r="I37">
        <v>1700247935.0999999</v>
      </c>
      <c r="J37">
        <f t="shared" si="0"/>
        <v>2.8656493159705827E-3</v>
      </c>
      <c r="K37">
        <f t="shared" si="1"/>
        <v>2.8656493159705825</v>
      </c>
      <c r="L37">
        <f t="shared" si="2"/>
        <v>39.028773167109527</v>
      </c>
      <c r="M37">
        <f t="shared" si="3"/>
        <v>461.22699999999998</v>
      </c>
      <c r="N37">
        <f t="shared" si="4"/>
        <v>105.50312281001062</v>
      </c>
      <c r="O37">
        <f t="shared" si="5"/>
        <v>10.437369457781733</v>
      </c>
      <c r="P37">
        <f t="shared" si="6"/>
        <v>45.628948932377199</v>
      </c>
      <c r="Q37">
        <f t="shared" si="7"/>
        <v>0.18413614314305804</v>
      </c>
      <c r="R37">
        <f t="shared" si="8"/>
        <v>3.1722357856520427</v>
      </c>
      <c r="S37">
        <f t="shared" si="9"/>
        <v>0.17839766618976008</v>
      </c>
      <c r="T37">
        <f t="shared" si="10"/>
        <v>0.11199922360065834</v>
      </c>
      <c r="U37">
        <f t="shared" si="11"/>
        <v>344.35799876260609</v>
      </c>
      <c r="V37">
        <f t="shared" si="12"/>
        <v>30.827285837229898</v>
      </c>
      <c r="W37">
        <f t="shared" si="13"/>
        <v>29.9909</v>
      </c>
      <c r="X37">
        <f t="shared" si="14"/>
        <v>4.2582233572098458</v>
      </c>
      <c r="Y37">
        <f t="shared" si="15"/>
        <v>65.318282389017412</v>
      </c>
      <c r="Z37">
        <f t="shared" si="16"/>
        <v>2.7251808058841207</v>
      </c>
      <c r="AA37">
        <f t="shared" si="17"/>
        <v>4.1721562573456943</v>
      </c>
      <c r="AB37">
        <f t="shared" si="18"/>
        <v>1.5330425513257251</v>
      </c>
      <c r="AC37">
        <f t="shared" si="19"/>
        <v>-126.3751348343027</v>
      </c>
      <c r="AD37">
        <f t="shared" si="20"/>
        <v>-60.712659365005962</v>
      </c>
      <c r="AE37">
        <f t="shared" si="21"/>
        <v>-4.2476666040403233</v>
      </c>
      <c r="AF37">
        <f t="shared" si="22"/>
        <v>153.02253795925714</v>
      </c>
      <c r="AG37">
        <v>74</v>
      </c>
      <c r="AH37">
        <v>15</v>
      </c>
      <c r="AI37">
        <f t="shared" si="23"/>
        <v>1</v>
      </c>
      <c r="AJ37">
        <f t="shared" si="24"/>
        <v>0</v>
      </c>
      <c r="AK37">
        <f t="shared" si="25"/>
        <v>51781.478376369771</v>
      </c>
      <c r="AL37" t="s">
        <v>456</v>
      </c>
      <c r="AM37" t="s">
        <v>456</v>
      </c>
      <c r="AN37">
        <v>0</v>
      </c>
      <c r="AO37">
        <v>0</v>
      </c>
      <c r="AP37" t="e">
        <f t="shared" si="26"/>
        <v>#DIV/0!</v>
      </c>
      <c r="AQ37">
        <v>0</v>
      </c>
      <c r="AR37" t="s">
        <v>456</v>
      </c>
      <c r="AS37" t="s">
        <v>456</v>
      </c>
      <c r="AT37">
        <v>0</v>
      </c>
      <c r="AU37">
        <v>0</v>
      </c>
      <c r="AV37" t="e">
        <f t="shared" si="27"/>
        <v>#DIV/0!</v>
      </c>
      <c r="AW37">
        <v>0.5</v>
      </c>
      <c r="AX37">
        <f t="shared" si="28"/>
        <v>1513.134299381303</v>
      </c>
      <c r="AY37">
        <f t="shared" si="29"/>
        <v>39.028773167109527</v>
      </c>
      <c r="AZ37" t="e">
        <f t="shared" si="30"/>
        <v>#DIV/0!</v>
      </c>
      <c r="BA37">
        <f t="shared" si="31"/>
        <v>2.5793330560987076E-2</v>
      </c>
      <c r="BB37" t="e">
        <f t="shared" si="32"/>
        <v>#DIV/0!</v>
      </c>
      <c r="BC37" t="e">
        <f t="shared" si="33"/>
        <v>#DIV/0!</v>
      </c>
      <c r="BD37" t="s">
        <v>456</v>
      </c>
      <c r="BE37">
        <v>0</v>
      </c>
      <c r="BF37" t="e">
        <f t="shared" si="34"/>
        <v>#DIV/0!</v>
      </c>
      <c r="BG37" t="e">
        <f t="shared" si="35"/>
        <v>#DIV/0!</v>
      </c>
      <c r="BH37" t="e">
        <f t="shared" si="36"/>
        <v>#DIV/0!</v>
      </c>
      <c r="BI37" t="e">
        <f t="shared" si="37"/>
        <v>#DIV/0!</v>
      </c>
      <c r="BJ37" t="e">
        <f t="shared" si="38"/>
        <v>#DIV/0!</v>
      </c>
      <c r="BK37" t="e">
        <f t="shared" si="39"/>
        <v>#DIV/0!</v>
      </c>
      <c r="BL37" t="e">
        <f t="shared" si="40"/>
        <v>#DIV/0!</v>
      </c>
      <c r="BM37" t="e">
        <f t="shared" si="41"/>
        <v>#DIV/0!</v>
      </c>
      <c r="BN37">
        <v>20866</v>
      </c>
      <c r="BO37">
        <v>290.00000000000011</v>
      </c>
      <c r="BP37">
        <v>781.79</v>
      </c>
      <c r="BQ37">
        <v>295</v>
      </c>
      <c r="BR37">
        <v>7134.49</v>
      </c>
      <c r="BS37">
        <v>782.92</v>
      </c>
      <c r="BT37">
        <v>-1.1299999999999999</v>
      </c>
      <c r="BU37">
        <v>300.00000000000011</v>
      </c>
      <c r="BV37">
        <v>38.299999999999997</v>
      </c>
      <c r="BW37">
        <v>836.56733075854493</v>
      </c>
      <c r="BX37">
        <v>1.031028035125392</v>
      </c>
      <c r="BY37">
        <v>-38.271082195997487</v>
      </c>
      <c r="BZ37">
        <v>0.61649880806902957</v>
      </c>
      <c r="CA37">
        <v>0.99278665080293815</v>
      </c>
      <c r="CB37">
        <v>-7.0426133481646331E-3</v>
      </c>
      <c r="CC37">
        <v>289.99999999999989</v>
      </c>
      <c r="CD37">
        <v>788.08</v>
      </c>
      <c r="CE37">
        <v>805</v>
      </c>
      <c r="CF37">
        <v>7128.47</v>
      </c>
      <c r="CG37">
        <v>782.88</v>
      </c>
      <c r="CH37">
        <v>5.2</v>
      </c>
      <c r="CV37">
        <f t="shared" si="42"/>
        <v>1799.94</v>
      </c>
      <c r="CW37">
        <f t="shared" si="43"/>
        <v>1513.134299381303</v>
      </c>
      <c r="CX37">
        <f t="shared" si="44"/>
        <v>0.84065818826255478</v>
      </c>
      <c r="CY37">
        <f t="shared" si="45"/>
        <v>0.19131637652510977</v>
      </c>
      <c r="CZ37">
        <v>4.8</v>
      </c>
      <c r="DA37">
        <v>0.5</v>
      </c>
      <c r="DB37" t="s">
        <v>418</v>
      </c>
      <c r="DC37">
        <v>2</v>
      </c>
      <c r="DD37">
        <v>1700247935.0999999</v>
      </c>
      <c r="DE37">
        <v>461.22699999999998</v>
      </c>
      <c r="DF37">
        <v>499.97300000000001</v>
      </c>
      <c r="DG37">
        <v>27.546700000000001</v>
      </c>
      <c r="DH37">
        <v>24.870799999999999</v>
      </c>
      <c r="DI37">
        <v>467.32100000000003</v>
      </c>
      <c r="DJ37">
        <v>27.5107</v>
      </c>
      <c r="DK37">
        <v>499.87700000000001</v>
      </c>
      <c r="DL37">
        <v>98.829800000000006</v>
      </c>
      <c r="DM37">
        <v>9.9683599999999997E-2</v>
      </c>
      <c r="DN37">
        <v>29.635899999999999</v>
      </c>
      <c r="DO37">
        <v>29.9909</v>
      </c>
      <c r="DP37">
        <v>999.9</v>
      </c>
      <c r="DQ37">
        <v>0</v>
      </c>
      <c r="DR37">
        <v>0</v>
      </c>
      <c r="DS37">
        <v>9995.6200000000008</v>
      </c>
      <c r="DT37">
        <v>0</v>
      </c>
      <c r="DU37">
        <v>369.447</v>
      </c>
      <c r="DV37">
        <v>-38.9422</v>
      </c>
      <c r="DW37">
        <v>474.09300000000002</v>
      </c>
      <c r="DX37">
        <v>512.72400000000005</v>
      </c>
      <c r="DY37">
        <v>2.6826599999999998</v>
      </c>
      <c r="DZ37">
        <v>499.97300000000001</v>
      </c>
      <c r="EA37">
        <v>24.870799999999999</v>
      </c>
      <c r="EB37">
        <v>2.7231000000000001</v>
      </c>
      <c r="EC37">
        <v>2.45797</v>
      </c>
      <c r="ED37">
        <v>22.4252</v>
      </c>
      <c r="EE37">
        <v>20.750800000000002</v>
      </c>
      <c r="EF37">
        <v>1799.94</v>
      </c>
      <c r="EG37">
        <v>0.97799999999999998</v>
      </c>
      <c r="EH37">
        <v>2.20003E-2</v>
      </c>
      <c r="EI37">
        <v>0</v>
      </c>
      <c r="EJ37">
        <v>640.43399999999997</v>
      </c>
      <c r="EK37">
        <v>5.0009399999999999</v>
      </c>
      <c r="EL37">
        <v>12596.5</v>
      </c>
      <c r="EM37">
        <v>13859.7</v>
      </c>
      <c r="EN37">
        <v>46.75</v>
      </c>
      <c r="EO37">
        <v>48.561999999999998</v>
      </c>
      <c r="EP37">
        <v>47.811999999999998</v>
      </c>
      <c r="EQ37">
        <v>47.875</v>
      </c>
      <c r="ER37">
        <v>48.25</v>
      </c>
      <c r="ES37">
        <v>1755.45</v>
      </c>
      <c r="ET37">
        <v>39.49</v>
      </c>
      <c r="EU37">
        <v>0</v>
      </c>
      <c r="EV37">
        <v>97.400000095367432</v>
      </c>
      <c r="EW37">
        <v>0</v>
      </c>
      <c r="EX37">
        <v>640.47423076923064</v>
      </c>
      <c r="EY37">
        <v>0.50837607737648205</v>
      </c>
      <c r="EZ37">
        <v>728.01709376987276</v>
      </c>
      <c r="FA37">
        <v>12331.75769230769</v>
      </c>
      <c r="FB37">
        <v>15</v>
      </c>
      <c r="FC37">
        <v>1700247952.0999999</v>
      </c>
      <c r="FD37" t="s">
        <v>515</v>
      </c>
      <c r="FE37">
        <v>1700247952.0999999</v>
      </c>
      <c r="FF37">
        <v>1700247952.0999999</v>
      </c>
      <c r="FG37">
        <v>40</v>
      </c>
      <c r="FH37">
        <v>0.32100000000000001</v>
      </c>
      <c r="FI37">
        <v>-7.0000000000000001E-3</v>
      </c>
      <c r="FJ37">
        <v>-6.0940000000000003</v>
      </c>
      <c r="FK37">
        <v>3.5999999999999997E-2</v>
      </c>
      <c r="FL37">
        <v>500</v>
      </c>
      <c r="FM37">
        <v>25</v>
      </c>
      <c r="FN37">
        <v>0.04</v>
      </c>
      <c r="FO37">
        <v>0.03</v>
      </c>
      <c r="FP37">
        <v>39.242636628127023</v>
      </c>
      <c r="FQ37">
        <v>0.37365151189695178</v>
      </c>
      <c r="FR37">
        <v>3.8453483917756333E-2</v>
      </c>
      <c r="FS37">
        <v>1</v>
      </c>
      <c r="FT37">
        <v>0.1809481681203865</v>
      </c>
      <c r="FU37">
        <v>9.8321798906061825E-3</v>
      </c>
      <c r="FV37">
        <v>1.832061679345077E-3</v>
      </c>
      <c r="FW37">
        <v>1</v>
      </c>
      <c r="FX37">
        <v>2</v>
      </c>
      <c r="FY37">
        <v>2</v>
      </c>
      <c r="FZ37" t="s">
        <v>420</v>
      </c>
      <c r="GA37">
        <v>3.11957</v>
      </c>
      <c r="GB37">
        <v>2.8772700000000002</v>
      </c>
      <c r="GC37">
        <v>9.7481799999999993E-2</v>
      </c>
      <c r="GD37">
        <v>0.10383000000000001</v>
      </c>
      <c r="GE37">
        <v>0.123837</v>
      </c>
      <c r="GF37">
        <v>0.116119</v>
      </c>
      <c r="GG37">
        <v>26221.4</v>
      </c>
      <c r="GH37">
        <v>26578.799999999999</v>
      </c>
      <c r="GI37">
        <v>26758.2</v>
      </c>
      <c r="GJ37">
        <v>27387.8</v>
      </c>
      <c r="GK37">
        <v>33526.300000000003</v>
      </c>
      <c r="GL37">
        <v>33807.599999999999</v>
      </c>
      <c r="GM37">
        <v>39637.199999999997</v>
      </c>
      <c r="GN37">
        <v>39639.300000000003</v>
      </c>
      <c r="GO37">
        <v>1.8406499999999999</v>
      </c>
      <c r="GP37">
        <v>2.4714299999999998</v>
      </c>
      <c r="GQ37">
        <v>3.5435000000000001E-2</v>
      </c>
      <c r="GR37">
        <v>0</v>
      </c>
      <c r="GS37">
        <v>29.414000000000001</v>
      </c>
      <c r="GT37">
        <v>999.9</v>
      </c>
      <c r="GU37">
        <v>37.700000000000003</v>
      </c>
      <c r="GV37">
        <v>41.2</v>
      </c>
      <c r="GW37">
        <v>30.144100000000002</v>
      </c>
      <c r="GX37">
        <v>63.197600000000001</v>
      </c>
      <c r="GY37">
        <v>5.4406999999999996</v>
      </c>
      <c r="GZ37">
        <v>3</v>
      </c>
      <c r="HA37">
        <v>0.48491899999999999</v>
      </c>
      <c r="HB37">
        <v>2.6008800000000001</v>
      </c>
      <c r="HC37">
        <v>20.2807</v>
      </c>
      <c r="HD37">
        <v>5.2138499999999999</v>
      </c>
      <c r="HE37">
        <v>11.908099999999999</v>
      </c>
      <c r="HF37">
        <v>4.9968500000000002</v>
      </c>
      <c r="HG37">
        <v>3.3022499999999999</v>
      </c>
      <c r="HH37">
        <v>9999</v>
      </c>
      <c r="HI37">
        <v>9999</v>
      </c>
      <c r="HJ37">
        <v>9999</v>
      </c>
      <c r="HK37">
        <v>999.9</v>
      </c>
      <c r="HL37">
        <v>1.8846400000000001</v>
      </c>
      <c r="HM37">
        <v>1.8852599999999999</v>
      </c>
      <c r="HN37">
        <v>1.8813200000000001</v>
      </c>
      <c r="HO37">
        <v>1.88293</v>
      </c>
      <c r="HP37">
        <v>1.8798900000000001</v>
      </c>
      <c r="HQ37">
        <v>1.8833899999999999</v>
      </c>
      <c r="HR37">
        <v>1.8792800000000001</v>
      </c>
      <c r="HS37">
        <v>1.8815599999999999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-6.0940000000000003</v>
      </c>
      <c r="IH37">
        <v>3.5999999999999997E-2</v>
      </c>
      <c r="II37">
        <v>-4.6467322998467058</v>
      </c>
      <c r="IJ37">
        <v>-3.7794827560518689E-3</v>
      </c>
      <c r="IK37">
        <v>4.9551128961100493E-7</v>
      </c>
      <c r="IL37">
        <v>1.3680294268397379E-10</v>
      </c>
      <c r="IM37">
        <v>4.2735000000003957E-2</v>
      </c>
      <c r="IN37">
        <v>0</v>
      </c>
      <c r="IO37">
        <v>0</v>
      </c>
      <c r="IP37">
        <v>0</v>
      </c>
      <c r="IQ37">
        <v>4</v>
      </c>
      <c r="IR37">
        <v>2229</v>
      </c>
      <c r="IS37">
        <v>1</v>
      </c>
      <c r="IT37">
        <v>22</v>
      </c>
      <c r="IU37">
        <v>4</v>
      </c>
      <c r="IV37">
        <v>4.0999999999999996</v>
      </c>
      <c r="IW37">
        <v>1.8432599999999999</v>
      </c>
      <c r="IX37">
        <v>2.5476100000000002</v>
      </c>
      <c r="IY37">
        <v>2.9956100000000001</v>
      </c>
      <c r="IZ37">
        <v>2.96021</v>
      </c>
      <c r="JA37">
        <v>3.1970200000000002</v>
      </c>
      <c r="JB37">
        <v>2.5439500000000002</v>
      </c>
      <c r="JC37">
        <v>44.613199999999999</v>
      </c>
      <c r="JD37">
        <v>23.816099999999999</v>
      </c>
      <c r="JE37">
        <v>18</v>
      </c>
      <c r="JF37">
        <v>434.17399999999998</v>
      </c>
      <c r="JG37">
        <v>1148.4000000000001</v>
      </c>
      <c r="JH37">
        <v>24.1309</v>
      </c>
      <c r="JI37">
        <v>33.191099999999999</v>
      </c>
      <c r="JJ37">
        <v>29.998699999999999</v>
      </c>
      <c r="JK37">
        <v>33.188299999999998</v>
      </c>
      <c r="JL37">
        <v>33.094999999999999</v>
      </c>
      <c r="JM37">
        <v>36.910899999999998</v>
      </c>
      <c r="JN37">
        <v>16.513100000000001</v>
      </c>
      <c r="JO37">
        <v>49.851199999999999</v>
      </c>
      <c r="JP37">
        <v>24.666899999999998</v>
      </c>
      <c r="JQ37">
        <v>500</v>
      </c>
      <c r="JR37">
        <v>24.779499999999999</v>
      </c>
      <c r="JS37">
        <v>98.805099999999996</v>
      </c>
      <c r="JT37">
        <v>97.001199999999997</v>
      </c>
    </row>
    <row r="38" spans="1:280" x14ac:dyDescent="0.25">
      <c r="A38">
        <v>22</v>
      </c>
      <c r="B38">
        <v>1700248064.0999999</v>
      </c>
      <c r="C38">
        <v>10912.5</v>
      </c>
      <c r="D38" t="s">
        <v>516</v>
      </c>
      <c r="E38" t="s">
        <v>517</v>
      </c>
      <c r="F38" t="s">
        <v>412</v>
      </c>
      <c r="G38" t="s">
        <v>484</v>
      </c>
      <c r="H38">
        <v>10</v>
      </c>
      <c r="I38">
        <v>1700248064.0999999</v>
      </c>
      <c r="J38">
        <f t="shared" si="0"/>
        <v>3.4161326727399932E-3</v>
      </c>
      <c r="K38">
        <f t="shared" si="1"/>
        <v>3.4161326727399932</v>
      </c>
      <c r="L38">
        <f t="shared" si="2"/>
        <v>33.415948166843954</v>
      </c>
      <c r="M38">
        <f t="shared" si="3"/>
        <v>366.75700000000001</v>
      </c>
      <c r="N38">
        <f t="shared" si="4"/>
        <v>112.35907154589995</v>
      </c>
      <c r="O38">
        <f t="shared" si="5"/>
        <v>11.116512641127898</v>
      </c>
      <c r="P38">
        <f t="shared" si="6"/>
        <v>36.285978253715093</v>
      </c>
      <c r="Q38">
        <f t="shared" si="7"/>
        <v>0.22247480962454924</v>
      </c>
      <c r="R38">
        <f t="shared" si="8"/>
        <v>3.1728975551840728</v>
      </c>
      <c r="S38">
        <f t="shared" si="9"/>
        <v>0.21415771714477383</v>
      </c>
      <c r="T38">
        <f t="shared" si="10"/>
        <v>0.13456992518727248</v>
      </c>
      <c r="U38">
        <f t="shared" si="11"/>
        <v>344.33139876250982</v>
      </c>
      <c r="V38">
        <f t="shared" si="12"/>
        <v>30.633593379606666</v>
      </c>
      <c r="W38">
        <f t="shared" si="13"/>
        <v>29.9376</v>
      </c>
      <c r="X38">
        <f t="shared" si="14"/>
        <v>4.2452032762365608</v>
      </c>
      <c r="Y38">
        <f t="shared" si="15"/>
        <v>65.484496512167325</v>
      </c>
      <c r="Z38">
        <f t="shared" si="16"/>
        <v>2.7225787286442595</v>
      </c>
      <c r="AA38">
        <f t="shared" si="17"/>
        <v>4.1575928252550458</v>
      </c>
      <c r="AB38">
        <f t="shared" si="18"/>
        <v>1.5226245475923013</v>
      </c>
      <c r="AC38">
        <f t="shared" si="19"/>
        <v>-150.65145086783369</v>
      </c>
      <c r="AD38">
        <f t="shared" si="20"/>
        <v>-61.991148485418513</v>
      </c>
      <c r="AE38">
        <f t="shared" si="21"/>
        <v>-4.3337613619979818</v>
      </c>
      <c r="AF38">
        <f t="shared" si="22"/>
        <v>127.35503804725965</v>
      </c>
      <c r="AG38">
        <v>74</v>
      </c>
      <c r="AH38">
        <v>15</v>
      </c>
      <c r="AI38">
        <f t="shared" si="23"/>
        <v>1</v>
      </c>
      <c r="AJ38">
        <f t="shared" si="24"/>
        <v>0</v>
      </c>
      <c r="AK38">
        <f t="shared" si="25"/>
        <v>51808.380007469881</v>
      </c>
      <c r="AL38" t="s">
        <v>415</v>
      </c>
      <c r="AM38">
        <v>7133.88</v>
      </c>
      <c r="AN38">
        <v>306.28384615384618</v>
      </c>
      <c r="AO38">
        <v>859.63916333292491</v>
      </c>
      <c r="AP38">
        <f t="shared" si="26"/>
        <v>0.64370650010133712</v>
      </c>
      <c r="AQ38">
        <v>-0.73746743666429193</v>
      </c>
      <c r="AR38" t="s">
        <v>518</v>
      </c>
      <c r="AS38">
        <v>7133.76</v>
      </c>
      <c r="AT38">
        <v>647.49755999999991</v>
      </c>
      <c r="AU38">
        <v>813.38353428407561</v>
      </c>
      <c r="AV38">
        <f t="shared" si="27"/>
        <v>0.20394557707648375</v>
      </c>
      <c r="AW38">
        <v>0.5</v>
      </c>
      <c r="AX38">
        <f t="shared" si="28"/>
        <v>1513.0166993812547</v>
      </c>
      <c r="AY38">
        <f t="shared" si="29"/>
        <v>33.415948166843954</v>
      </c>
      <c r="AZ38">
        <f t="shared" si="30"/>
        <v>154.28653194083336</v>
      </c>
      <c r="BA38">
        <f t="shared" si="31"/>
        <v>2.2573059251411579E-2</v>
      </c>
      <c r="BB38">
        <f t="shared" si="32"/>
        <v>5.6868165015858854E-2</v>
      </c>
      <c r="BC38">
        <f t="shared" si="33"/>
        <v>300.20124138578461</v>
      </c>
      <c r="BD38" t="s">
        <v>519</v>
      </c>
      <c r="BE38">
        <v>429.43</v>
      </c>
      <c r="BF38">
        <f t="shared" si="34"/>
        <v>429.43</v>
      </c>
      <c r="BG38">
        <f t="shared" si="35"/>
        <v>0.47204488178141457</v>
      </c>
      <c r="BH38">
        <f t="shared" si="36"/>
        <v>0.43204700431626109</v>
      </c>
      <c r="BI38">
        <f t="shared" si="37"/>
        <v>0.10751893030473079</v>
      </c>
      <c r="BJ38">
        <f t="shared" si="38"/>
        <v>0.32712694992128283</v>
      </c>
      <c r="BK38">
        <f t="shared" si="39"/>
        <v>8.3591189264528021E-2</v>
      </c>
      <c r="BL38">
        <f t="shared" si="40"/>
        <v>0.28653999107507377</v>
      </c>
      <c r="BM38">
        <f t="shared" si="41"/>
        <v>0.71346000892492623</v>
      </c>
      <c r="BN38">
        <v>20868</v>
      </c>
      <c r="BO38">
        <v>290.00000000000011</v>
      </c>
      <c r="BP38">
        <v>768.34</v>
      </c>
      <c r="BQ38">
        <v>285</v>
      </c>
      <c r="BR38">
        <v>7133.76</v>
      </c>
      <c r="BS38">
        <v>769.17</v>
      </c>
      <c r="BT38">
        <v>-0.83</v>
      </c>
      <c r="BU38">
        <v>300.00000000000011</v>
      </c>
      <c r="BV38">
        <v>38.299999999999997</v>
      </c>
      <c r="BW38">
        <v>813.38353428407561</v>
      </c>
      <c r="BX38">
        <v>1.1842353479721339</v>
      </c>
      <c r="BY38">
        <v>-31.544239457135252</v>
      </c>
      <c r="BZ38">
        <v>0.70803639712721633</v>
      </c>
      <c r="CA38">
        <v>0.98608941565663433</v>
      </c>
      <c r="CB38">
        <v>-7.0419016685205867E-3</v>
      </c>
      <c r="CC38">
        <v>289.99999999999989</v>
      </c>
      <c r="CD38">
        <v>773.61</v>
      </c>
      <c r="CE38">
        <v>835</v>
      </c>
      <c r="CF38">
        <v>7127.28</v>
      </c>
      <c r="CG38">
        <v>769.13</v>
      </c>
      <c r="CH38">
        <v>4.4800000000000004</v>
      </c>
      <c r="CV38">
        <f t="shared" si="42"/>
        <v>1799.8</v>
      </c>
      <c r="CW38">
        <f t="shared" si="43"/>
        <v>1513.0166993812547</v>
      </c>
      <c r="CX38">
        <f t="shared" si="44"/>
        <v>0.84065823946063722</v>
      </c>
      <c r="CY38">
        <f t="shared" si="45"/>
        <v>0.19131647892127449</v>
      </c>
      <c r="CZ38">
        <v>4.8</v>
      </c>
      <c r="DA38">
        <v>0.5</v>
      </c>
      <c r="DB38" t="s">
        <v>418</v>
      </c>
      <c r="DC38">
        <v>2</v>
      </c>
      <c r="DD38">
        <v>1700248064.0999999</v>
      </c>
      <c r="DE38">
        <v>366.75700000000001</v>
      </c>
      <c r="DF38">
        <v>400.07100000000003</v>
      </c>
      <c r="DG38">
        <v>27.5182</v>
      </c>
      <c r="DH38">
        <v>24.325900000000001</v>
      </c>
      <c r="DI38">
        <v>372.447</v>
      </c>
      <c r="DJ38">
        <v>27.4849</v>
      </c>
      <c r="DK38">
        <v>499.52100000000002</v>
      </c>
      <c r="DL38">
        <v>98.837599999999995</v>
      </c>
      <c r="DM38">
        <v>9.9784300000000006E-2</v>
      </c>
      <c r="DN38">
        <v>29.575199999999999</v>
      </c>
      <c r="DO38">
        <v>29.9376</v>
      </c>
      <c r="DP38">
        <v>999.9</v>
      </c>
      <c r="DQ38">
        <v>0</v>
      </c>
      <c r="DR38">
        <v>0</v>
      </c>
      <c r="DS38">
        <v>9998.1200000000008</v>
      </c>
      <c r="DT38">
        <v>0</v>
      </c>
      <c r="DU38">
        <v>354.78899999999999</v>
      </c>
      <c r="DV38">
        <v>-33.313899999999997</v>
      </c>
      <c r="DW38">
        <v>377.13499999999999</v>
      </c>
      <c r="DX38">
        <v>410.04599999999999</v>
      </c>
      <c r="DY38">
        <v>3.1922999999999999</v>
      </c>
      <c r="DZ38">
        <v>400.07100000000003</v>
      </c>
      <c r="EA38">
        <v>24.325900000000001</v>
      </c>
      <c r="EB38">
        <v>2.71983</v>
      </c>
      <c r="EC38">
        <v>2.4043100000000002</v>
      </c>
      <c r="ED38">
        <v>22.4054</v>
      </c>
      <c r="EE38">
        <v>20.392900000000001</v>
      </c>
      <c r="EF38">
        <v>1799.8</v>
      </c>
      <c r="EG38">
        <v>0.97799999999999998</v>
      </c>
      <c r="EH38">
        <v>2.20003E-2</v>
      </c>
      <c r="EI38">
        <v>0</v>
      </c>
      <c r="EJ38">
        <v>647.63</v>
      </c>
      <c r="EK38">
        <v>5.0009399999999999</v>
      </c>
      <c r="EL38">
        <v>12393.5</v>
      </c>
      <c r="EM38">
        <v>13858.6</v>
      </c>
      <c r="EN38">
        <v>46.811999999999998</v>
      </c>
      <c r="EO38">
        <v>48.686999999999998</v>
      </c>
      <c r="EP38">
        <v>47.875</v>
      </c>
      <c r="EQ38">
        <v>47.936999999999998</v>
      </c>
      <c r="ER38">
        <v>48.311999999999998</v>
      </c>
      <c r="ES38">
        <v>1755.31</v>
      </c>
      <c r="ET38">
        <v>39.49</v>
      </c>
      <c r="EU38">
        <v>0</v>
      </c>
      <c r="EV38">
        <v>226.4000000953674</v>
      </c>
      <c r="EW38">
        <v>0</v>
      </c>
      <c r="EX38">
        <v>647.49755999999991</v>
      </c>
      <c r="EY38">
        <v>-4.0000132266768277E-3</v>
      </c>
      <c r="EZ38">
        <v>1.030769256309001</v>
      </c>
      <c r="FA38">
        <v>12395.04</v>
      </c>
      <c r="FB38">
        <v>15</v>
      </c>
      <c r="FC38">
        <v>1700248030.5999999</v>
      </c>
      <c r="FD38" t="s">
        <v>520</v>
      </c>
      <c r="FE38">
        <v>1700248028.5999999</v>
      </c>
      <c r="FF38">
        <v>1700248030.5999999</v>
      </c>
      <c r="FG38">
        <v>41</v>
      </c>
      <c r="FH38">
        <v>-3.2000000000000001E-2</v>
      </c>
      <c r="FI38">
        <v>-2E-3</v>
      </c>
      <c r="FJ38">
        <v>-5.8010000000000002</v>
      </c>
      <c r="FK38">
        <v>3.3000000000000002E-2</v>
      </c>
      <c r="FL38">
        <v>400</v>
      </c>
      <c r="FM38">
        <v>25</v>
      </c>
      <c r="FN38">
        <v>0.04</v>
      </c>
      <c r="FO38">
        <v>0.03</v>
      </c>
      <c r="FP38">
        <v>33.338736029627029</v>
      </c>
      <c r="FQ38">
        <v>0.37897762755511277</v>
      </c>
      <c r="FR38">
        <v>4.4318418871198341E-2</v>
      </c>
      <c r="FS38">
        <v>1</v>
      </c>
      <c r="FT38">
        <v>0.2203457193457031</v>
      </c>
      <c r="FU38">
        <v>3.9719961594489879E-2</v>
      </c>
      <c r="FV38">
        <v>3.3323501422375971E-3</v>
      </c>
      <c r="FW38">
        <v>1</v>
      </c>
      <c r="FX38">
        <v>2</v>
      </c>
      <c r="FY38">
        <v>2</v>
      </c>
      <c r="FZ38" t="s">
        <v>420</v>
      </c>
      <c r="GA38">
        <v>3.11903</v>
      </c>
      <c r="GB38">
        <v>2.8773900000000001</v>
      </c>
      <c r="GC38">
        <v>8.1969700000000006E-2</v>
      </c>
      <c r="GD38">
        <v>8.7823499999999999E-2</v>
      </c>
      <c r="GE38">
        <v>0.123749</v>
      </c>
      <c r="GF38">
        <v>0.114303</v>
      </c>
      <c r="GG38">
        <v>26669.1</v>
      </c>
      <c r="GH38">
        <v>27050.6</v>
      </c>
      <c r="GI38">
        <v>26755.4</v>
      </c>
      <c r="GJ38">
        <v>27385.1</v>
      </c>
      <c r="GK38">
        <v>33525.599999999999</v>
      </c>
      <c r="GL38">
        <v>33873</v>
      </c>
      <c r="GM38">
        <v>39633.5</v>
      </c>
      <c r="GN38">
        <v>39635.800000000003</v>
      </c>
      <c r="GO38">
        <v>1.8399300000000001</v>
      </c>
      <c r="GP38">
        <v>2.47078</v>
      </c>
      <c r="GQ38">
        <v>4.2188900000000001E-2</v>
      </c>
      <c r="GR38">
        <v>0</v>
      </c>
      <c r="GS38">
        <v>29.250599999999999</v>
      </c>
      <c r="GT38">
        <v>999.9</v>
      </c>
      <c r="GU38">
        <v>37.700000000000003</v>
      </c>
      <c r="GV38">
        <v>41.2</v>
      </c>
      <c r="GW38">
        <v>30.145199999999999</v>
      </c>
      <c r="GX38">
        <v>63.107599999999998</v>
      </c>
      <c r="GY38">
        <v>5.5328499999999998</v>
      </c>
      <c r="GZ38">
        <v>3</v>
      </c>
      <c r="HA38">
        <v>0.48398400000000003</v>
      </c>
      <c r="HB38">
        <v>2.8155999999999999</v>
      </c>
      <c r="HC38">
        <v>20.283000000000001</v>
      </c>
      <c r="HD38">
        <v>5.2083000000000004</v>
      </c>
      <c r="HE38">
        <v>11.908099999999999</v>
      </c>
      <c r="HF38">
        <v>4.9962499999999999</v>
      </c>
      <c r="HG38">
        <v>3.3017699999999999</v>
      </c>
      <c r="HH38">
        <v>9999</v>
      </c>
      <c r="HI38">
        <v>9999</v>
      </c>
      <c r="HJ38">
        <v>9999</v>
      </c>
      <c r="HK38">
        <v>999.9</v>
      </c>
      <c r="HL38">
        <v>1.8846799999999999</v>
      </c>
      <c r="HM38">
        <v>1.8852800000000001</v>
      </c>
      <c r="HN38">
        <v>1.8812899999999999</v>
      </c>
      <c r="HO38">
        <v>1.88293</v>
      </c>
      <c r="HP38">
        <v>1.87988</v>
      </c>
      <c r="HQ38">
        <v>1.8833899999999999</v>
      </c>
      <c r="HR38">
        <v>1.8792800000000001</v>
      </c>
      <c r="HS38">
        <v>1.8815599999999999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-5.69</v>
      </c>
      <c r="IH38">
        <v>3.3300000000000003E-2</v>
      </c>
      <c r="II38">
        <v>-4.3577669488432527</v>
      </c>
      <c r="IJ38">
        <v>-3.7794827560518689E-3</v>
      </c>
      <c r="IK38">
        <v>4.9551128961100493E-7</v>
      </c>
      <c r="IL38">
        <v>1.3680294268397379E-10</v>
      </c>
      <c r="IM38">
        <v>3.323999999999927E-2</v>
      </c>
      <c r="IN38">
        <v>0</v>
      </c>
      <c r="IO38">
        <v>0</v>
      </c>
      <c r="IP38">
        <v>0</v>
      </c>
      <c r="IQ38">
        <v>4</v>
      </c>
      <c r="IR38">
        <v>2229</v>
      </c>
      <c r="IS38">
        <v>1</v>
      </c>
      <c r="IT38">
        <v>22</v>
      </c>
      <c r="IU38">
        <v>0.6</v>
      </c>
      <c r="IV38">
        <v>0.6</v>
      </c>
      <c r="IW38">
        <v>1.53687</v>
      </c>
      <c r="IX38">
        <v>2.5524900000000001</v>
      </c>
      <c r="IY38">
        <v>2.9956100000000001</v>
      </c>
      <c r="IZ38">
        <v>2.96143</v>
      </c>
      <c r="JA38">
        <v>3.1970200000000002</v>
      </c>
      <c r="JB38">
        <v>2.5329600000000001</v>
      </c>
      <c r="JC38">
        <v>44.697299999999998</v>
      </c>
      <c r="JD38">
        <v>23.7986</v>
      </c>
      <c r="JE38">
        <v>18</v>
      </c>
      <c r="JF38">
        <v>434.11399999999998</v>
      </c>
      <c r="JG38">
        <v>1148.3699999999999</v>
      </c>
      <c r="JH38">
        <v>24.9741</v>
      </c>
      <c r="JI38">
        <v>33.249000000000002</v>
      </c>
      <c r="JJ38">
        <v>29.9998</v>
      </c>
      <c r="JK38">
        <v>33.240699999999997</v>
      </c>
      <c r="JL38">
        <v>33.140500000000003</v>
      </c>
      <c r="JM38">
        <v>30.7728</v>
      </c>
      <c r="JN38">
        <v>18.631900000000002</v>
      </c>
      <c r="JO38">
        <v>49.7883</v>
      </c>
      <c r="JP38">
        <v>25.017099999999999</v>
      </c>
      <c r="JQ38">
        <v>400</v>
      </c>
      <c r="JR38">
        <v>24.221299999999999</v>
      </c>
      <c r="JS38">
        <v>98.795500000000004</v>
      </c>
      <c r="JT38">
        <v>96.992400000000004</v>
      </c>
    </row>
    <row r="39" spans="1:280" x14ac:dyDescent="0.25">
      <c r="A39">
        <v>23</v>
      </c>
      <c r="B39">
        <v>1700248314.5999999</v>
      </c>
      <c r="C39">
        <v>11163</v>
      </c>
      <c r="D39" t="s">
        <v>521</v>
      </c>
      <c r="E39" t="s">
        <v>522</v>
      </c>
      <c r="F39" t="s">
        <v>412</v>
      </c>
      <c r="G39" t="s">
        <v>484</v>
      </c>
      <c r="H39">
        <v>10</v>
      </c>
      <c r="I39">
        <v>1700248314.5999999</v>
      </c>
      <c r="J39">
        <f t="shared" si="0"/>
        <v>4.588638428036293E-3</v>
      </c>
      <c r="K39">
        <f t="shared" si="1"/>
        <v>4.5886384280362931</v>
      </c>
      <c r="L39">
        <f t="shared" si="2"/>
        <v>33.294205538871104</v>
      </c>
      <c r="M39">
        <f t="shared" si="3"/>
        <v>266.858</v>
      </c>
      <c r="N39">
        <f t="shared" si="4"/>
        <v>77.40368298340502</v>
      </c>
      <c r="O39">
        <f t="shared" si="5"/>
        <v>7.6587894065143933</v>
      </c>
      <c r="P39">
        <f t="shared" si="6"/>
        <v>26.404547492679402</v>
      </c>
      <c r="Q39">
        <f t="shared" si="7"/>
        <v>0.3007700949042057</v>
      </c>
      <c r="R39">
        <f t="shared" si="8"/>
        <v>3.1765878742455986</v>
      </c>
      <c r="S39">
        <f t="shared" si="9"/>
        <v>0.28579732639792288</v>
      </c>
      <c r="T39">
        <f t="shared" si="10"/>
        <v>0.17990644008288612</v>
      </c>
      <c r="U39">
        <f t="shared" si="11"/>
        <v>344.39029876272292</v>
      </c>
      <c r="V39">
        <f t="shared" si="12"/>
        <v>30.674046568692791</v>
      </c>
      <c r="W39">
        <f t="shared" si="13"/>
        <v>30.018999999999998</v>
      </c>
      <c r="X39">
        <f t="shared" si="14"/>
        <v>4.2651016022753909</v>
      </c>
      <c r="Y39">
        <f t="shared" si="15"/>
        <v>64.513462075643304</v>
      </c>
      <c r="Z39">
        <f t="shared" si="16"/>
        <v>2.7326427927177503</v>
      </c>
      <c r="AA39">
        <f t="shared" si="17"/>
        <v>4.2357714263011852</v>
      </c>
      <c r="AB39">
        <f t="shared" si="18"/>
        <v>1.5324588095576406</v>
      </c>
      <c r="AC39">
        <f t="shared" si="19"/>
        <v>-202.35895467640051</v>
      </c>
      <c r="AD39">
        <f t="shared" si="20"/>
        <v>-20.5678702777066</v>
      </c>
      <c r="AE39">
        <f t="shared" si="21"/>
        <v>-1.4391002095727319</v>
      </c>
      <c r="AF39">
        <f t="shared" si="22"/>
        <v>120.02437359904305</v>
      </c>
      <c r="AG39">
        <v>73</v>
      </c>
      <c r="AH39">
        <v>15</v>
      </c>
      <c r="AI39">
        <f t="shared" si="23"/>
        <v>1</v>
      </c>
      <c r="AJ39">
        <f t="shared" si="24"/>
        <v>0</v>
      </c>
      <c r="AK39">
        <f t="shared" si="25"/>
        <v>51844.289444073649</v>
      </c>
      <c r="AL39" t="s">
        <v>415</v>
      </c>
      <c r="AM39">
        <v>7133.88</v>
      </c>
      <c r="AN39">
        <v>306.28384615384618</v>
      </c>
      <c r="AO39">
        <v>859.63916333292491</v>
      </c>
      <c r="AP39">
        <f t="shared" si="26"/>
        <v>0.64370650010133712</v>
      </c>
      <c r="AQ39">
        <v>-0.73746743666429193</v>
      </c>
      <c r="AR39" t="s">
        <v>523</v>
      </c>
      <c r="AS39">
        <v>7133.73</v>
      </c>
      <c r="AT39">
        <v>644.54855999999995</v>
      </c>
      <c r="AU39">
        <v>800.01699897616732</v>
      </c>
      <c r="AV39">
        <f t="shared" si="27"/>
        <v>0.19433141942624998</v>
      </c>
      <c r="AW39">
        <v>0.5</v>
      </c>
      <c r="AX39">
        <f t="shared" si="28"/>
        <v>1513.2770993813615</v>
      </c>
      <c r="AY39">
        <f t="shared" si="29"/>
        <v>33.294205538871104</v>
      </c>
      <c r="AZ39">
        <f t="shared" si="30"/>
        <v>147.03864335400917</v>
      </c>
      <c r="BA39">
        <f t="shared" si="31"/>
        <v>2.248872528993387E-2</v>
      </c>
      <c r="BB39">
        <f t="shared" si="32"/>
        <v>7.4526121861235292E-2</v>
      </c>
      <c r="BC39">
        <f t="shared" si="33"/>
        <v>298.36140423284331</v>
      </c>
      <c r="BD39" t="s">
        <v>524</v>
      </c>
      <c r="BE39">
        <v>430.35</v>
      </c>
      <c r="BF39">
        <f t="shared" si="34"/>
        <v>430.35</v>
      </c>
      <c r="BG39">
        <f t="shared" si="35"/>
        <v>0.46207393024054955</v>
      </c>
      <c r="BH39">
        <f t="shared" si="36"/>
        <v>0.42056347850025566</v>
      </c>
      <c r="BI39">
        <f t="shared" si="37"/>
        <v>0.13888578946149419</v>
      </c>
      <c r="BJ39">
        <f t="shared" si="38"/>
        <v>0.31488353189868845</v>
      </c>
      <c r="BK39">
        <f t="shared" si="39"/>
        <v>0.10774661868381842</v>
      </c>
      <c r="BL39">
        <f t="shared" si="40"/>
        <v>0.28080039923227046</v>
      </c>
      <c r="BM39">
        <f t="shared" si="41"/>
        <v>0.71919960076772949</v>
      </c>
      <c r="BN39">
        <v>20870</v>
      </c>
      <c r="BO39">
        <v>290.00000000000011</v>
      </c>
      <c r="BP39">
        <v>757.63</v>
      </c>
      <c r="BQ39">
        <v>295</v>
      </c>
      <c r="BR39">
        <v>7133.73</v>
      </c>
      <c r="BS39">
        <v>758.92</v>
      </c>
      <c r="BT39">
        <v>-1.29</v>
      </c>
      <c r="BU39">
        <v>300.00000000000011</v>
      </c>
      <c r="BV39">
        <v>38.299999999999997</v>
      </c>
      <c r="BW39">
        <v>800.01699897616732</v>
      </c>
      <c r="BX39">
        <v>1.304958510007574</v>
      </c>
      <c r="BY39">
        <v>-29.320780943230211</v>
      </c>
      <c r="BZ39">
        <v>0.78021445461631067</v>
      </c>
      <c r="CA39">
        <v>0.98055943548822566</v>
      </c>
      <c r="CB39">
        <v>-7.0418280311457266E-3</v>
      </c>
      <c r="CC39">
        <v>289.99999999999989</v>
      </c>
      <c r="CD39">
        <v>762.8</v>
      </c>
      <c r="CE39">
        <v>845</v>
      </c>
      <c r="CF39">
        <v>7127.16</v>
      </c>
      <c r="CG39">
        <v>758.88</v>
      </c>
      <c r="CH39">
        <v>3.92</v>
      </c>
      <c r="CV39">
        <f t="shared" si="42"/>
        <v>1800.11</v>
      </c>
      <c r="CW39">
        <f t="shared" si="43"/>
        <v>1513.2770993813615</v>
      </c>
      <c r="CX39">
        <f t="shared" si="44"/>
        <v>0.84065812610416113</v>
      </c>
      <c r="CY39">
        <f t="shared" si="45"/>
        <v>0.19131625220832224</v>
      </c>
      <c r="CZ39">
        <v>4.8</v>
      </c>
      <c r="DA39">
        <v>0.5</v>
      </c>
      <c r="DB39" t="s">
        <v>418</v>
      </c>
      <c r="DC39">
        <v>2</v>
      </c>
      <c r="DD39">
        <v>1700248314.5999999</v>
      </c>
      <c r="DE39">
        <v>266.858</v>
      </c>
      <c r="DF39">
        <v>299.98099999999999</v>
      </c>
      <c r="DG39">
        <v>27.6175</v>
      </c>
      <c r="DH39">
        <v>23.335999999999999</v>
      </c>
      <c r="DI39">
        <v>271.95999999999998</v>
      </c>
      <c r="DJ39">
        <v>27.583200000000001</v>
      </c>
      <c r="DK39">
        <v>500.226</v>
      </c>
      <c r="DL39">
        <v>98.846199999999996</v>
      </c>
      <c r="DM39">
        <v>9.9859299999999998E-2</v>
      </c>
      <c r="DN39">
        <v>29.898900000000001</v>
      </c>
      <c r="DO39">
        <v>30.018999999999998</v>
      </c>
      <c r="DP39">
        <v>999.9</v>
      </c>
      <c r="DQ39">
        <v>0</v>
      </c>
      <c r="DR39">
        <v>0</v>
      </c>
      <c r="DS39">
        <v>10015.6</v>
      </c>
      <c r="DT39">
        <v>0</v>
      </c>
      <c r="DU39">
        <v>355.49700000000001</v>
      </c>
      <c r="DV39">
        <v>-33.122599999999998</v>
      </c>
      <c r="DW39">
        <v>274.43700000000001</v>
      </c>
      <c r="DX39">
        <v>307.14800000000002</v>
      </c>
      <c r="DY39">
        <v>4.2814899999999998</v>
      </c>
      <c r="DZ39">
        <v>299.98099999999999</v>
      </c>
      <c r="EA39">
        <v>23.335999999999999</v>
      </c>
      <c r="EB39">
        <v>2.7298800000000001</v>
      </c>
      <c r="EC39">
        <v>2.30667</v>
      </c>
      <c r="ED39">
        <v>22.466100000000001</v>
      </c>
      <c r="EE39">
        <v>19.723099999999999</v>
      </c>
      <c r="EF39">
        <v>1800.11</v>
      </c>
      <c r="EG39">
        <v>0.97800399999999998</v>
      </c>
      <c r="EH39">
        <v>2.1996499999999999E-2</v>
      </c>
      <c r="EI39">
        <v>0</v>
      </c>
      <c r="EJ39">
        <v>644.40899999999999</v>
      </c>
      <c r="EK39">
        <v>5.0009399999999999</v>
      </c>
      <c r="EL39">
        <v>12345.6</v>
      </c>
      <c r="EM39">
        <v>13861</v>
      </c>
      <c r="EN39">
        <v>46.875</v>
      </c>
      <c r="EO39">
        <v>48.625</v>
      </c>
      <c r="EP39">
        <v>47.875</v>
      </c>
      <c r="EQ39">
        <v>47.875</v>
      </c>
      <c r="ER39">
        <v>48.25</v>
      </c>
      <c r="ES39">
        <v>1755.62</v>
      </c>
      <c r="ET39">
        <v>39.49</v>
      </c>
      <c r="EU39">
        <v>0</v>
      </c>
      <c r="EV39">
        <v>248.5999999046326</v>
      </c>
      <c r="EW39">
        <v>0</v>
      </c>
      <c r="EX39">
        <v>644.54855999999995</v>
      </c>
      <c r="EY39">
        <v>-2.7673846144357679</v>
      </c>
      <c r="EZ39">
        <v>20.038461553259971</v>
      </c>
      <c r="FA39">
        <v>12342.592000000001</v>
      </c>
      <c r="FB39">
        <v>15</v>
      </c>
      <c r="FC39">
        <v>1700248168.5999999</v>
      </c>
      <c r="FD39" t="s">
        <v>525</v>
      </c>
      <c r="FE39">
        <v>1700248168.5999999</v>
      </c>
      <c r="FF39">
        <v>1700248168.5999999</v>
      </c>
      <c r="FG39">
        <v>42</v>
      </c>
      <c r="FH39">
        <v>0.24399999999999999</v>
      </c>
      <c r="FI39">
        <v>1E-3</v>
      </c>
      <c r="FJ39">
        <v>-5.2169999999999996</v>
      </c>
      <c r="FK39">
        <v>3.4000000000000002E-2</v>
      </c>
      <c r="FL39">
        <v>300</v>
      </c>
      <c r="FM39">
        <v>24</v>
      </c>
      <c r="FN39">
        <v>0.05</v>
      </c>
      <c r="FO39">
        <v>0.03</v>
      </c>
      <c r="FP39">
        <v>33.171375904572109</v>
      </c>
      <c r="FQ39">
        <v>0.65184594599542856</v>
      </c>
      <c r="FR39">
        <v>5.3599354061294173E-2</v>
      </c>
      <c r="FS39">
        <v>1</v>
      </c>
      <c r="FT39">
        <v>0.30910175031455511</v>
      </c>
      <c r="FU39">
        <v>6.8365445616570463E-3</v>
      </c>
      <c r="FV39">
        <v>1.329880073782189E-3</v>
      </c>
      <c r="FW39">
        <v>1</v>
      </c>
      <c r="FX39">
        <v>2</v>
      </c>
      <c r="FY39">
        <v>2</v>
      </c>
      <c r="FZ39" t="s">
        <v>420</v>
      </c>
      <c r="GA39">
        <v>3.1196000000000002</v>
      </c>
      <c r="GB39">
        <v>2.8776199999999998</v>
      </c>
      <c r="GC39">
        <v>6.3590999999999995E-2</v>
      </c>
      <c r="GD39">
        <v>6.9920200000000002E-2</v>
      </c>
      <c r="GE39">
        <v>0.124087</v>
      </c>
      <c r="GF39">
        <v>0.110984</v>
      </c>
      <c r="GG39">
        <v>27205.200000000001</v>
      </c>
      <c r="GH39">
        <v>27587.3</v>
      </c>
      <c r="GI39">
        <v>26757.5</v>
      </c>
      <c r="GJ39">
        <v>27390.7</v>
      </c>
      <c r="GK39">
        <v>33513.4</v>
      </c>
      <c r="GL39">
        <v>34006.1</v>
      </c>
      <c r="GM39">
        <v>39636.6</v>
      </c>
      <c r="GN39">
        <v>39644.6</v>
      </c>
      <c r="GO39">
        <v>1.8424199999999999</v>
      </c>
      <c r="GP39">
        <v>2.4703499999999998</v>
      </c>
      <c r="GQ39">
        <v>4.9360099999999997E-2</v>
      </c>
      <c r="GR39">
        <v>0</v>
      </c>
      <c r="GS39">
        <v>29.215299999999999</v>
      </c>
      <c r="GT39">
        <v>999.9</v>
      </c>
      <c r="GU39">
        <v>37.1</v>
      </c>
      <c r="GV39">
        <v>41.1</v>
      </c>
      <c r="GW39">
        <v>29.503599999999999</v>
      </c>
      <c r="GX39">
        <v>63.247700000000002</v>
      </c>
      <c r="GY39">
        <v>5.6169900000000004</v>
      </c>
      <c r="GZ39">
        <v>3</v>
      </c>
      <c r="HA39">
        <v>0.48008600000000001</v>
      </c>
      <c r="HB39">
        <v>3.3586800000000001</v>
      </c>
      <c r="HC39">
        <v>20.2712</v>
      </c>
      <c r="HD39">
        <v>5.2138499999999999</v>
      </c>
      <c r="HE39">
        <v>11.908099999999999</v>
      </c>
      <c r="HF39">
        <v>4.9967499999999996</v>
      </c>
      <c r="HG39">
        <v>3.3022499999999999</v>
      </c>
      <c r="HH39">
        <v>9999</v>
      </c>
      <c r="HI39">
        <v>9999</v>
      </c>
      <c r="HJ39">
        <v>9999</v>
      </c>
      <c r="HK39">
        <v>999.9</v>
      </c>
      <c r="HL39">
        <v>1.8847</v>
      </c>
      <c r="HM39">
        <v>1.8852800000000001</v>
      </c>
      <c r="HN39">
        <v>1.88134</v>
      </c>
      <c r="HO39">
        <v>1.88293</v>
      </c>
      <c r="HP39">
        <v>1.8798900000000001</v>
      </c>
      <c r="HQ39">
        <v>1.8833899999999999</v>
      </c>
      <c r="HR39">
        <v>1.8792899999999999</v>
      </c>
      <c r="HS39">
        <v>1.8815599999999999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-5.1020000000000003</v>
      </c>
      <c r="IH39">
        <v>3.4299999999999997E-2</v>
      </c>
      <c r="II39">
        <v>-4.1138776306123432</v>
      </c>
      <c r="IJ39">
        <v>-3.7794827560518689E-3</v>
      </c>
      <c r="IK39">
        <v>4.9551128961100493E-7</v>
      </c>
      <c r="IL39">
        <v>1.3680294268397379E-10</v>
      </c>
      <c r="IM39">
        <v>3.4224999999999277E-2</v>
      </c>
      <c r="IN39">
        <v>0</v>
      </c>
      <c r="IO39">
        <v>0</v>
      </c>
      <c r="IP39">
        <v>0</v>
      </c>
      <c r="IQ39">
        <v>4</v>
      </c>
      <c r="IR39">
        <v>2229</v>
      </c>
      <c r="IS39">
        <v>1</v>
      </c>
      <c r="IT39">
        <v>22</v>
      </c>
      <c r="IU39">
        <v>2.4</v>
      </c>
      <c r="IV39">
        <v>2.4</v>
      </c>
      <c r="IW39">
        <v>1.2145999999999999</v>
      </c>
      <c r="IX39">
        <v>2.5671400000000002</v>
      </c>
      <c r="IY39">
        <v>2.9956100000000001</v>
      </c>
      <c r="IZ39">
        <v>2.96143</v>
      </c>
      <c r="JA39">
        <v>3.1970200000000002</v>
      </c>
      <c r="JB39">
        <v>2.5354000000000001</v>
      </c>
      <c r="JC39">
        <v>44.781500000000001</v>
      </c>
      <c r="JD39">
        <v>23.7898</v>
      </c>
      <c r="JE39">
        <v>18</v>
      </c>
      <c r="JF39">
        <v>435.18200000000002</v>
      </c>
      <c r="JG39">
        <v>1147.19</v>
      </c>
      <c r="JH39">
        <v>25.7895</v>
      </c>
      <c r="JI39">
        <v>33.156999999999996</v>
      </c>
      <c r="JJ39">
        <v>30.002600000000001</v>
      </c>
      <c r="JK39">
        <v>33.189700000000002</v>
      </c>
      <c r="JL39">
        <v>33.1083</v>
      </c>
      <c r="JM39">
        <v>24.331399999999999</v>
      </c>
      <c r="JN39">
        <v>19.606300000000001</v>
      </c>
      <c r="JO39">
        <v>47.589300000000001</v>
      </c>
      <c r="JP39">
        <v>25.769500000000001</v>
      </c>
      <c r="JQ39">
        <v>300</v>
      </c>
      <c r="JR39">
        <v>23.560700000000001</v>
      </c>
      <c r="JS39">
        <v>98.803100000000001</v>
      </c>
      <c r="JT39">
        <v>97.013099999999994</v>
      </c>
    </row>
    <row r="40" spans="1:280" x14ac:dyDescent="0.25">
      <c r="A40">
        <v>24</v>
      </c>
      <c r="B40">
        <v>1700248518.5999999</v>
      </c>
      <c r="C40">
        <v>11367</v>
      </c>
      <c r="D40" t="s">
        <v>526</v>
      </c>
      <c r="E40" t="s">
        <v>527</v>
      </c>
      <c r="F40" t="s">
        <v>412</v>
      </c>
      <c r="G40" t="s">
        <v>484</v>
      </c>
      <c r="H40">
        <v>10</v>
      </c>
      <c r="I40">
        <v>1700248518.5999999</v>
      </c>
      <c r="J40">
        <f t="shared" si="0"/>
        <v>5.5516059680568372E-3</v>
      </c>
      <c r="K40">
        <f t="shared" si="1"/>
        <v>5.5516059680568368</v>
      </c>
      <c r="L40">
        <f t="shared" si="2"/>
        <v>26.624093394837423</v>
      </c>
      <c r="M40">
        <f t="shared" si="3"/>
        <v>173.49799999999999</v>
      </c>
      <c r="N40">
        <f t="shared" si="4"/>
        <v>53.169566840375282</v>
      </c>
      <c r="O40">
        <f t="shared" si="5"/>
        <v>5.2610326039835069</v>
      </c>
      <c r="P40">
        <f t="shared" si="6"/>
        <v>17.167313727912397</v>
      </c>
      <c r="Q40">
        <f t="shared" si="7"/>
        <v>0.38308683024133644</v>
      </c>
      <c r="R40">
        <f t="shared" si="8"/>
        <v>3.17600544074</v>
      </c>
      <c r="S40">
        <f t="shared" si="9"/>
        <v>0.35914290214149158</v>
      </c>
      <c r="T40">
        <f t="shared" si="10"/>
        <v>0.22649075690283338</v>
      </c>
      <c r="U40">
        <f t="shared" si="11"/>
        <v>344.37829876299497</v>
      </c>
      <c r="V40">
        <f t="shared" si="12"/>
        <v>30.488891727482869</v>
      </c>
      <c r="W40">
        <f t="shared" si="13"/>
        <v>29.944700000000001</v>
      </c>
      <c r="X40">
        <f t="shared" si="14"/>
        <v>4.2469356529411071</v>
      </c>
      <c r="Y40">
        <f t="shared" si="15"/>
        <v>65.259296777817426</v>
      </c>
      <c r="Z40">
        <f t="shared" si="16"/>
        <v>2.7716477513511801</v>
      </c>
      <c r="AA40">
        <f t="shared" si="17"/>
        <v>4.247130888933059</v>
      </c>
      <c r="AB40">
        <f t="shared" si="18"/>
        <v>1.475287901589927</v>
      </c>
      <c r="AC40">
        <f t="shared" si="19"/>
        <v>-244.82582319130651</v>
      </c>
      <c r="AD40">
        <f t="shared" si="20"/>
        <v>0.13697984425662069</v>
      </c>
      <c r="AE40">
        <f t="shared" si="21"/>
        <v>9.5846980401870611E-3</v>
      </c>
      <c r="AF40">
        <f t="shared" si="22"/>
        <v>99.699040113985291</v>
      </c>
      <c r="AG40">
        <v>72</v>
      </c>
      <c r="AH40">
        <v>14</v>
      </c>
      <c r="AI40">
        <f t="shared" si="23"/>
        <v>1</v>
      </c>
      <c r="AJ40">
        <f t="shared" si="24"/>
        <v>0</v>
      </c>
      <c r="AK40">
        <f t="shared" si="25"/>
        <v>51821.979981469776</v>
      </c>
      <c r="AL40" t="s">
        <v>415</v>
      </c>
      <c r="AM40">
        <v>7133.88</v>
      </c>
      <c r="AN40">
        <v>306.28384615384618</v>
      </c>
      <c r="AO40">
        <v>859.63916333292491</v>
      </c>
      <c r="AP40">
        <f t="shared" si="26"/>
        <v>0.64370650010133712</v>
      </c>
      <c r="AQ40">
        <v>-0.73746743666429193</v>
      </c>
      <c r="AR40" t="s">
        <v>528</v>
      </c>
      <c r="AS40">
        <v>7133.7</v>
      </c>
      <c r="AT40">
        <v>652.07657692307703</v>
      </c>
      <c r="AU40">
        <v>779.11636741816449</v>
      </c>
      <c r="AV40">
        <f t="shared" si="27"/>
        <v>0.16305624654770356</v>
      </c>
      <c r="AW40">
        <v>0.5</v>
      </c>
      <c r="AX40">
        <f t="shared" si="28"/>
        <v>1513.2263993814975</v>
      </c>
      <c r="AY40">
        <f t="shared" si="29"/>
        <v>26.624093394837423</v>
      </c>
      <c r="AZ40">
        <f t="shared" si="30"/>
        <v>123.3705084300216</v>
      </c>
      <c r="BA40">
        <f t="shared" si="31"/>
        <v>1.8081604208521101E-2</v>
      </c>
      <c r="BB40">
        <f t="shared" si="32"/>
        <v>0.10335143668152785</v>
      </c>
      <c r="BC40">
        <f t="shared" si="33"/>
        <v>295.40598025909492</v>
      </c>
      <c r="BD40" t="s">
        <v>529</v>
      </c>
      <c r="BE40">
        <v>432.11</v>
      </c>
      <c r="BF40">
        <f t="shared" si="34"/>
        <v>432.11</v>
      </c>
      <c r="BG40">
        <f t="shared" si="35"/>
        <v>0.44538451755040653</v>
      </c>
      <c r="BH40">
        <f t="shared" si="36"/>
        <v>0.36610218838433167</v>
      </c>
      <c r="BI40">
        <f t="shared" si="37"/>
        <v>0.18834456879390898</v>
      </c>
      <c r="BJ40">
        <f t="shared" si="38"/>
        <v>0.26867819953541411</v>
      </c>
      <c r="BK40">
        <f t="shared" si="39"/>
        <v>0.14551734376612371</v>
      </c>
      <c r="BL40">
        <f t="shared" si="40"/>
        <v>0.24260404716456391</v>
      </c>
      <c r="BM40">
        <f t="shared" si="41"/>
        <v>0.75739595283543615</v>
      </c>
      <c r="BN40">
        <v>20872</v>
      </c>
      <c r="BO40">
        <v>290.00000000000011</v>
      </c>
      <c r="BP40">
        <v>744.48</v>
      </c>
      <c r="BQ40">
        <v>275</v>
      </c>
      <c r="BR40">
        <v>7133.7</v>
      </c>
      <c r="BS40">
        <v>745.48</v>
      </c>
      <c r="BT40">
        <v>-1</v>
      </c>
      <c r="BU40">
        <v>300.00000000000011</v>
      </c>
      <c r="BV40">
        <v>38.299999999999997</v>
      </c>
      <c r="BW40">
        <v>779.11636741816449</v>
      </c>
      <c r="BX40">
        <v>0.72882710476335599</v>
      </c>
      <c r="BY40">
        <v>-23.994427900846041</v>
      </c>
      <c r="BZ40">
        <v>0.43573123560303029</v>
      </c>
      <c r="CA40">
        <v>0.99085080495331057</v>
      </c>
      <c r="CB40">
        <v>-7.0414389321468386E-3</v>
      </c>
      <c r="CC40">
        <v>289.99999999999989</v>
      </c>
      <c r="CD40">
        <v>748.55</v>
      </c>
      <c r="CE40">
        <v>845</v>
      </c>
      <c r="CF40">
        <v>7126.76</v>
      </c>
      <c r="CG40">
        <v>745.45</v>
      </c>
      <c r="CH40">
        <v>3.1</v>
      </c>
      <c r="CV40">
        <f t="shared" si="42"/>
        <v>1800.05</v>
      </c>
      <c r="CW40">
        <f t="shared" si="43"/>
        <v>1513.2263993814975</v>
      </c>
      <c r="CX40">
        <f t="shared" si="44"/>
        <v>0.84065798137912695</v>
      </c>
      <c r="CY40">
        <f t="shared" si="45"/>
        <v>0.19131596275825394</v>
      </c>
      <c r="CZ40">
        <v>4.8</v>
      </c>
      <c r="DA40">
        <v>0.5</v>
      </c>
      <c r="DB40" t="s">
        <v>418</v>
      </c>
      <c r="DC40">
        <v>2</v>
      </c>
      <c r="DD40">
        <v>1700248518.5999999</v>
      </c>
      <c r="DE40">
        <v>173.49799999999999</v>
      </c>
      <c r="DF40">
        <v>199.98099999999999</v>
      </c>
      <c r="DG40">
        <v>28.011099999999999</v>
      </c>
      <c r="DH40">
        <v>22.831</v>
      </c>
      <c r="DI40">
        <v>178.203</v>
      </c>
      <c r="DJ40">
        <v>27.986699999999999</v>
      </c>
      <c r="DK40">
        <v>500.01499999999999</v>
      </c>
      <c r="DL40">
        <v>98.848200000000006</v>
      </c>
      <c r="DM40">
        <v>9.9993799999999994E-2</v>
      </c>
      <c r="DN40">
        <v>29.945499999999999</v>
      </c>
      <c r="DO40">
        <v>29.944700000000001</v>
      </c>
      <c r="DP40">
        <v>999.9</v>
      </c>
      <c r="DQ40">
        <v>0</v>
      </c>
      <c r="DR40">
        <v>0</v>
      </c>
      <c r="DS40">
        <v>10012.5</v>
      </c>
      <c r="DT40">
        <v>0</v>
      </c>
      <c r="DU40">
        <v>338.887</v>
      </c>
      <c r="DV40">
        <v>-26.4834</v>
      </c>
      <c r="DW40">
        <v>178.49799999999999</v>
      </c>
      <c r="DX40">
        <v>204.654</v>
      </c>
      <c r="DY40">
        <v>5.18011</v>
      </c>
      <c r="DZ40">
        <v>199.98099999999999</v>
      </c>
      <c r="EA40">
        <v>22.831</v>
      </c>
      <c r="EB40">
        <v>2.76885</v>
      </c>
      <c r="EC40">
        <v>2.2568000000000001</v>
      </c>
      <c r="ED40">
        <v>22.6995</v>
      </c>
      <c r="EE40">
        <v>19.371300000000002</v>
      </c>
      <c r="EF40">
        <v>1800.05</v>
      </c>
      <c r="EG40">
        <v>0.97800399999999998</v>
      </c>
      <c r="EH40">
        <v>2.1996499999999999E-2</v>
      </c>
      <c r="EI40">
        <v>0</v>
      </c>
      <c r="EJ40">
        <v>651.70299999999997</v>
      </c>
      <c r="EK40">
        <v>5.0009399999999999</v>
      </c>
      <c r="EL40">
        <v>12440.4</v>
      </c>
      <c r="EM40">
        <v>13860.5</v>
      </c>
      <c r="EN40">
        <v>46.936999999999998</v>
      </c>
      <c r="EO40">
        <v>48.686999999999998</v>
      </c>
      <c r="EP40">
        <v>47.936999999999998</v>
      </c>
      <c r="EQ40">
        <v>48</v>
      </c>
      <c r="ER40">
        <v>48.375</v>
      </c>
      <c r="ES40">
        <v>1755.57</v>
      </c>
      <c r="ET40">
        <v>39.479999999999997</v>
      </c>
      <c r="EU40">
        <v>0</v>
      </c>
      <c r="EV40">
        <v>201.80000019073489</v>
      </c>
      <c r="EW40">
        <v>0</v>
      </c>
      <c r="EX40">
        <v>652.07657692307703</v>
      </c>
      <c r="EY40">
        <v>-2.1514871910886848</v>
      </c>
      <c r="EZ40">
        <v>-63.572649510745997</v>
      </c>
      <c r="FA40">
        <v>12449.15769230769</v>
      </c>
      <c r="FB40">
        <v>15</v>
      </c>
      <c r="FC40">
        <v>1700248410.0999999</v>
      </c>
      <c r="FD40" t="s">
        <v>530</v>
      </c>
      <c r="FE40">
        <v>1700248407.5999999</v>
      </c>
      <c r="FF40">
        <v>1700248410.0999999</v>
      </c>
      <c r="FG40">
        <v>43</v>
      </c>
      <c r="FH40">
        <v>6.5000000000000002E-2</v>
      </c>
      <c r="FI40">
        <v>-0.01</v>
      </c>
      <c r="FJ40">
        <v>-4.8010000000000002</v>
      </c>
      <c r="FK40">
        <v>2.4E-2</v>
      </c>
      <c r="FL40">
        <v>200</v>
      </c>
      <c r="FM40">
        <v>24</v>
      </c>
      <c r="FN40">
        <v>0.06</v>
      </c>
      <c r="FO40">
        <v>0.02</v>
      </c>
      <c r="FP40">
        <v>26.592620394006961</v>
      </c>
      <c r="FQ40">
        <v>0.5694719278009942</v>
      </c>
      <c r="FR40">
        <v>4.5702501928008551E-2</v>
      </c>
      <c r="FS40">
        <v>1</v>
      </c>
      <c r="FT40">
        <v>0.37618561896616509</v>
      </c>
      <c r="FU40">
        <v>2.9630863446512772E-2</v>
      </c>
      <c r="FV40">
        <v>2.3322661859011902E-3</v>
      </c>
      <c r="FW40">
        <v>1</v>
      </c>
      <c r="FX40">
        <v>2</v>
      </c>
      <c r="FY40">
        <v>2</v>
      </c>
      <c r="FZ40" t="s">
        <v>420</v>
      </c>
      <c r="GA40">
        <v>3.11924</v>
      </c>
      <c r="GB40">
        <v>2.8777300000000001</v>
      </c>
      <c r="GC40">
        <v>4.4086E-2</v>
      </c>
      <c r="GD40">
        <v>4.9574699999999999E-2</v>
      </c>
      <c r="GE40">
        <v>0.125358</v>
      </c>
      <c r="GF40">
        <v>0.109255</v>
      </c>
      <c r="GG40">
        <v>27767.9</v>
      </c>
      <c r="GH40">
        <v>28188.6</v>
      </c>
      <c r="GI40">
        <v>26754.2</v>
      </c>
      <c r="GJ40">
        <v>27389.200000000001</v>
      </c>
      <c r="GK40">
        <v>33459.199999999997</v>
      </c>
      <c r="GL40">
        <v>34069.300000000003</v>
      </c>
      <c r="GM40">
        <v>39631.800000000003</v>
      </c>
      <c r="GN40">
        <v>39642.800000000003</v>
      </c>
      <c r="GO40">
        <v>1.8441000000000001</v>
      </c>
      <c r="GP40">
        <v>2.4689999999999999</v>
      </c>
      <c r="GQ40">
        <v>3.18885E-2</v>
      </c>
      <c r="GR40">
        <v>0</v>
      </c>
      <c r="GS40">
        <v>29.4255</v>
      </c>
      <c r="GT40">
        <v>999.9</v>
      </c>
      <c r="GU40">
        <v>36.700000000000003</v>
      </c>
      <c r="GV40">
        <v>41.1</v>
      </c>
      <c r="GW40">
        <v>29.184000000000001</v>
      </c>
      <c r="GX40">
        <v>63.067700000000002</v>
      </c>
      <c r="GY40">
        <v>5.5368599999999999</v>
      </c>
      <c r="GZ40">
        <v>3</v>
      </c>
      <c r="HA40">
        <v>0.47894300000000001</v>
      </c>
      <c r="HB40">
        <v>2.3945500000000002</v>
      </c>
      <c r="HC40">
        <v>20.290199999999999</v>
      </c>
      <c r="HD40">
        <v>5.2160900000000003</v>
      </c>
      <c r="HE40">
        <v>11.908099999999999</v>
      </c>
      <c r="HF40">
        <v>4.9976500000000001</v>
      </c>
      <c r="HG40">
        <v>3.3025799999999998</v>
      </c>
      <c r="HH40">
        <v>9999</v>
      </c>
      <c r="HI40">
        <v>9999</v>
      </c>
      <c r="HJ40">
        <v>9999</v>
      </c>
      <c r="HK40">
        <v>999.9</v>
      </c>
      <c r="HL40">
        <v>1.8846499999999999</v>
      </c>
      <c r="HM40">
        <v>1.8852500000000001</v>
      </c>
      <c r="HN40">
        <v>1.88131</v>
      </c>
      <c r="HO40">
        <v>1.88293</v>
      </c>
      <c r="HP40">
        <v>1.87988</v>
      </c>
      <c r="HQ40">
        <v>1.8833899999999999</v>
      </c>
      <c r="HR40">
        <v>1.87927</v>
      </c>
      <c r="HS40">
        <v>1.8815599999999999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-4.7050000000000001</v>
      </c>
      <c r="IH40">
        <v>2.4400000000000002E-2</v>
      </c>
      <c r="II40">
        <v>-4.048785233762211</v>
      </c>
      <c r="IJ40">
        <v>-3.7794827560518689E-3</v>
      </c>
      <c r="IK40">
        <v>4.9551128961100493E-7</v>
      </c>
      <c r="IL40">
        <v>1.3680294268397379E-10</v>
      </c>
      <c r="IM40">
        <v>2.444500000000005E-2</v>
      </c>
      <c r="IN40">
        <v>0</v>
      </c>
      <c r="IO40">
        <v>0</v>
      </c>
      <c r="IP40">
        <v>0</v>
      </c>
      <c r="IQ40">
        <v>4</v>
      </c>
      <c r="IR40">
        <v>2229</v>
      </c>
      <c r="IS40">
        <v>1</v>
      </c>
      <c r="IT40">
        <v>22</v>
      </c>
      <c r="IU40">
        <v>1.9</v>
      </c>
      <c r="IV40">
        <v>1.8</v>
      </c>
      <c r="IW40">
        <v>0.87768599999999997</v>
      </c>
      <c r="IX40">
        <v>2.5817899999999998</v>
      </c>
      <c r="IY40">
        <v>2.9956100000000001</v>
      </c>
      <c r="IZ40">
        <v>2.96143</v>
      </c>
      <c r="JA40">
        <v>3.1970200000000002</v>
      </c>
      <c r="JB40">
        <v>2.5146500000000001</v>
      </c>
      <c r="JC40">
        <v>44.753399999999999</v>
      </c>
      <c r="JD40">
        <v>23.780999999999999</v>
      </c>
      <c r="JE40">
        <v>18</v>
      </c>
      <c r="JF40">
        <v>436.34699999999998</v>
      </c>
      <c r="JG40">
        <v>1145.8699999999999</v>
      </c>
      <c r="JH40">
        <v>25.915199999999999</v>
      </c>
      <c r="JI40">
        <v>33.2104</v>
      </c>
      <c r="JJ40">
        <v>30.0002</v>
      </c>
      <c r="JK40">
        <v>33.223300000000002</v>
      </c>
      <c r="JL40">
        <v>33.136400000000002</v>
      </c>
      <c r="JM40">
        <v>17.5914</v>
      </c>
      <c r="JN40">
        <v>20.182200000000002</v>
      </c>
      <c r="JO40">
        <v>45.927399999999999</v>
      </c>
      <c r="JP40">
        <v>25.939299999999999</v>
      </c>
      <c r="JQ40">
        <v>200</v>
      </c>
      <c r="JR40">
        <v>22.795999999999999</v>
      </c>
      <c r="JS40">
        <v>98.7911</v>
      </c>
      <c r="JT40">
        <v>97.008399999999995</v>
      </c>
    </row>
    <row r="41" spans="1:280" x14ac:dyDescent="0.25">
      <c r="A41">
        <v>25</v>
      </c>
      <c r="B41">
        <v>1700248669</v>
      </c>
      <c r="C41">
        <v>11517.400000095369</v>
      </c>
      <c r="D41" t="s">
        <v>531</v>
      </c>
      <c r="E41" t="s">
        <v>532</v>
      </c>
      <c r="F41" t="s">
        <v>412</v>
      </c>
      <c r="G41" t="s">
        <v>484</v>
      </c>
      <c r="H41">
        <v>10</v>
      </c>
      <c r="I41">
        <v>1700248669</v>
      </c>
      <c r="J41">
        <f t="shared" si="0"/>
        <v>6.087271490505696E-3</v>
      </c>
      <c r="K41">
        <f t="shared" si="1"/>
        <v>6.0872714905056959</v>
      </c>
      <c r="L41">
        <f t="shared" si="2"/>
        <v>17.811015732207252</v>
      </c>
      <c r="M41">
        <f t="shared" si="3"/>
        <v>102.334</v>
      </c>
      <c r="N41">
        <f t="shared" si="4"/>
        <v>29.738897215637671</v>
      </c>
      <c r="O41">
        <f t="shared" si="5"/>
        <v>2.942620341741824</v>
      </c>
      <c r="P41">
        <f t="shared" si="6"/>
        <v>10.125799483024</v>
      </c>
      <c r="Q41">
        <f t="shared" si="7"/>
        <v>0.42697879905363822</v>
      </c>
      <c r="R41">
        <f t="shared" si="8"/>
        <v>3.173879872942146</v>
      </c>
      <c r="S41">
        <f t="shared" si="9"/>
        <v>0.39744221922579542</v>
      </c>
      <c r="T41">
        <f t="shared" si="10"/>
        <v>0.25088465784327152</v>
      </c>
      <c r="U41">
        <f t="shared" si="11"/>
        <v>344.3845987627023</v>
      </c>
      <c r="V41">
        <f t="shared" si="12"/>
        <v>30.403132347208789</v>
      </c>
      <c r="W41">
        <f t="shared" si="13"/>
        <v>29.956600000000002</v>
      </c>
      <c r="X41">
        <f t="shared" si="14"/>
        <v>4.249840595640066</v>
      </c>
      <c r="Y41">
        <f t="shared" si="15"/>
        <v>65.48814907603952</v>
      </c>
      <c r="Z41">
        <f t="shared" si="16"/>
        <v>2.7882312165296002</v>
      </c>
      <c r="AA41">
        <f t="shared" si="17"/>
        <v>4.2576118822538902</v>
      </c>
      <c r="AB41">
        <f t="shared" si="18"/>
        <v>1.4616093791104658</v>
      </c>
      <c r="AC41">
        <f t="shared" si="19"/>
        <v>-268.4486727313012</v>
      </c>
      <c r="AD41">
        <f t="shared" si="20"/>
        <v>5.4413047323792885</v>
      </c>
      <c r="AE41">
        <f t="shared" si="21"/>
        <v>0.38109513440736653</v>
      </c>
      <c r="AF41">
        <f t="shared" si="22"/>
        <v>81.758325898187749</v>
      </c>
      <c r="AG41">
        <v>73</v>
      </c>
      <c r="AH41">
        <v>15</v>
      </c>
      <c r="AI41">
        <f t="shared" si="23"/>
        <v>1</v>
      </c>
      <c r="AJ41">
        <f t="shared" si="24"/>
        <v>0</v>
      </c>
      <c r="AK41">
        <f t="shared" si="25"/>
        <v>51762.195103524558</v>
      </c>
      <c r="AL41" t="s">
        <v>456</v>
      </c>
      <c r="AM41" t="s">
        <v>456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456</v>
      </c>
      <c r="AS41" t="s">
        <v>456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1513.251899381351</v>
      </c>
      <c r="AY41">
        <f t="shared" si="29"/>
        <v>17.811015732207252</v>
      </c>
      <c r="AZ41" t="e">
        <f t="shared" si="30"/>
        <v>#DIV/0!</v>
      </c>
      <c r="BA41">
        <f t="shared" si="31"/>
        <v>1.1770027012349211E-2</v>
      </c>
      <c r="BB41" t="e">
        <f t="shared" si="32"/>
        <v>#DIV/0!</v>
      </c>
      <c r="BC41" t="e">
        <f t="shared" si="33"/>
        <v>#DIV/0!</v>
      </c>
      <c r="BD41" t="s">
        <v>456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BN41">
        <v>20872</v>
      </c>
      <c r="BO41">
        <v>290.00000000000011</v>
      </c>
      <c r="BP41">
        <v>744.48</v>
      </c>
      <c r="BQ41">
        <v>275</v>
      </c>
      <c r="BR41">
        <v>7133.7</v>
      </c>
      <c r="BS41">
        <v>745.48</v>
      </c>
      <c r="BT41">
        <v>-1</v>
      </c>
      <c r="BU41">
        <v>300.00000000000011</v>
      </c>
      <c r="BV41">
        <v>38.299999999999997</v>
      </c>
      <c r="BW41">
        <v>779.11636741816449</v>
      </c>
      <c r="BX41">
        <v>0.72882710476335599</v>
      </c>
      <c r="BY41">
        <v>-23.994427900846041</v>
      </c>
      <c r="BZ41">
        <v>0.43573123560303029</v>
      </c>
      <c r="CA41">
        <v>0.99085080495331057</v>
      </c>
      <c r="CB41">
        <v>-7.0414389321468386E-3</v>
      </c>
      <c r="CC41">
        <v>289.99999999999989</v>
      </c>
      <c r="CD41">
        <v>748.55</v>
      </c>
      <c r="CE41">
        <v>845</v>
      </c>
      <c r="CF41">
        <v>7126.76</v>
      </c>
      <c r="CG41">
        <v>745.45</v>
      </c>
      <c r="CH41">
        <v>3.1</v>
      </c>
      <c r="CV41">
        <f t="shared" si="42"/>
        <v>1800.08</v>
      </c>
      <c r="CW41">
        <f t="shared" si="43"/>
        <v>1513.251899381351</v>
      </c>
      <c r="CX41">
        <f t="shared" si="44"/>
        <v>0.84065813707243631</v>
      </c>
      <c r="CY41">
        <f t="shared" si="45"/>
        <v>0.19131627414487262</v>
      </c>
      <c r="CZ41">
        <v>4.8</v>
      </c>
      <c r="DA41">
        <v>0.5</v>
      </c>
      <c r="DB41" t="s">
        <v>418</v>
      </c>
      <c r="DC41">
        <v>2</v>
      </c>
      <c r="DD41">
        <v>1700248669</v>
      </c>
      <c r="DE41">
        <v>102.334</v>
      </c>
      <c r="DF41">
        <v>120.029</v>
      </c>
      <c r="DG41">
        <v>28.178599999999999</v>
      </c>
      <c r="DH41">
        <v>22.5</v>
      </c>
      <c r="DI41">
        <v>106.706</v>
      </c>
      <c r="DJ41">
        <v>28.1723</v>
      </c>
      <c r="DK41">
        <v>500.04500000000002</v>
      </c>
      <c r="DL41">
        <v>98.848500000000001</v>
      </c>
      <c r="DM41">
        <v>0.100036</v>
      </c>
      <c r="DN41">
        <v>29.988399999999999</v>
      </c>
      <c r="DO41">
        <v>29.956600000000002</v>
      </c>
      <c r="DP41">
        <v>999.9</v>
      </c>
      <c r="DQ41">
        <v>0</v>
      </c>
      <c r="DR41">
        <v>0</v>
      </c>
      <c r="DS41">
        <v>10001.9</v>
      </c>
      <c r="DT41">
        <v>0</v>
      </c>
      <c r="DU41">
        <v>336.97800000000001</v>
      </c>
      <c r="DV41">
        <v>-17.695599999999999</v>
      </c>
      <c r="DW41">
        <v>105.301</v>
      </c>
      <c r="DX41">
        <v>122.792</v>
      </c>
      <c r="DY41">
        <v>5.6786099999999999</v>
      </c>
      <c r="DZ41">
        <v>120.029</v>
      </c>
      <c r="EA41">
        <v>22.5</v>
      </c>
      <c r="EB41">
        <v>2.7854199999999998</v>
      </c>
      <c r="EC41">
        <v>2.2240899999999999</v>
      </c>
      <c r="ED41">
        <v>22.797899999999998</v>
      </c>
      <c r="EE41">
        <v>19.136900000000001</v>
      </c>
      <c r="EF41">
        <v>1800.08</v>
      </c>
      <c r="EG41">
        <v>0.97800399999999998</v>
      </c>
      <c r="EH41">
        <v>2.1996499999999999E-2</v>
      </c>
      <c r="EI41">
        <v>0</v>
      </c>
      <c r="EJ41">
        <v>665.50199999999995</v>
      </c>
      <c r="EK41">
        <v>5.0009399999999999</v>
      </c>
      <c r="EL41">
        <v>12670.7</v>
      </c>
      <c r="EM41">
        <v>13860.8</v>
      </c>
      <c r="EN41">
        <v>46.936999999999998</v>
      </c>
      <c r="EO41">
        <v>48.686999999999998</v>
      </c>
      <c r="EP41">
        <v>48</v>
      </c>
      <c r="EQ41">
        <v>47.936999999999998</v>
      </c>
      <c r="ER41">
        <v>48.375</v>
      </c>
      <c r="ES41">
        <v>1755.59</v>
      </c>
      <c r="ET41">
        <v>39.49</v>
      </c>
      <c r="EU41">
        <v>0</v>
      </c>
      <c r="EV41">
        <v>148.80000019073489</v>
      </c>
      <c r="EW41">
        <v>0</v>
      </c>
      <c r="EX41">
        <v>665.51111999999989</v>
      </c>
      <c r="EY41">
        <v>-0.72492307766426778</v>
      </c>
      <c r="EZ41">
        <v>-30.976923037234151</v>
      </c>
      <c r="FA41">
        <v>12673.884</v>
      </c>
      <c r="FB41">
        <v>15</v>
      </c>
      <c r="FC41">
        <v>1700248617.5</v>
      </c>
      <c r="FD41" t="s">
        <v>533</v>
      </c>
      <c r="FE41">
        <v>1700248615.5</v>
      </c>
      <c r="FF41">
        <v>1700248617.5</v>
      </c>
      <c r="FG41">
        <v>44</v>
      </c>
      <c r="FH41">
        <v>7.3999999999999996E-2</v>
      </c>
      <c r="FI41">
        <v>-1.7999999999999999E-2</v>
      </c>
      <c r="FJ41">
        <v>-4.4370000000000003</v>
      </c>
      <c r="FK41">
        <v>6.0000000000000001E-3</v>
      </c>
      <c r="FL41">
        <v>120</v>
      </c>
      <c r="FM41">
        <v>23</v>
      </c>
      <c r="FN41">
        <v>0.08</v>
      </c>
      <c r="FO41">
        <v>0.01</v>
      </c>
      <c r="FP41">
        <v>17.687224444436541</v>
      </c>
      <c r="FQ41">
        <v>0.68592071686853229</v>
      </c>
      <c r="FR41">
        <v>5.1982363593026007E-2</v>
      </c>
      <c r="FS41">
        <v>1</v>
      </c>
      <c r="FT41">
        <v>0.42181761904616322</v>
      </c>
      <c r="FU41">
        <v>3.2970395060695178E-2</v>
      </c>
      <c r="FV41">
        <v>3.346337702637643E-3</v>
      </c>
      <c r="FW41">
        <v>1</v>
      </c>
      <c r="FX41">
        <v>2</v>
      </c>
      <c r="FY41">
        <v>2</v>
      </c>
      <c r="FZ41" t="s">
        <v>420</v>
      </c>
      <c r="GA41">
        <v>3.1191800000000001</v>
      </c>
      <c r="GB41">
        <v>2.8776799999999998</v>
      </c>
      <c r="GC41">
        <v>2.7424500000000001E-2</v>
      </c>
      <c r="GD41">
        <v>3.1150199999999999E-2</v>
      </c>
      <c r="GE41">
        <v>0.12593099999999999</v>
      </c>
      <c r="GF41">
        <v>0.108108</v>
      </c>
      <c r="GG41">
        <v>28248.1</v>
      </c>
      <c r="GH41">
        <v>28734.1</v>
      </c>
      <c r="GI41">
        <v>26751.3</v>
      </c>
      <c r="GJ41">
        <v>27389</v>
      </c>
      <c r="GK41">
        <v>33432.5</v>
      </c>
      <c r="GL41">
        <v>34111.800000000003</v>
      </c>
      <c r="GM41">
        <v>39627.599999999999</v>
      </c>
      <c r="GN41">
        <v>39642.699999999997</v>
      </c>
      <c r="GO41">
        <v>1.8427500000000001</v>
      </c>
      <c r="GP41">
        <v>2.4687199999999998</v>
      </c>
      <c r="GQ41">
        <v>3.5226300000000002E-2</v>
      </c>
      <c r="GR41">
        <v>0</v>
      </c>
      <c r="GS41">
        <v>29.382999999999999</v>
      </c>
      <c r="GT41">
        <v>999.9</v>
      </c>
      <c r="GU41">
        <v>36.299999999999997</v>
      </c>
      <c r="GV41">
        <v>41.1</v>
      </c>
      <c r="GW41">
        <v>28.864699999999999</v>
      </c>
      <c r="GX41">
        <v>63.117699999999999</v>
      </c>
      <c r="GY41">
        <v>5.5168299999999997</v>
      </c>
      <c r="GZ41">
        <v>3</v>
      </c>
      <c r="HA41">
        <v>0.48445899999999997</v>
      </c>
      <c r="HB41">
        <v>2.4265599999999998</v>
      </c>
      <c r="HC41">
        <v>20.2895</v>
      </c>
      <c r="HD41">
        <v>5.21265</v>
      </c>
      <c r="HE41">
        <v>11.908099999999999</v>
      </c>
      <c r="HF41">
        <v>4.9972000000000003</v>
      </c>
      <c r="HG41">
        <v>3.3027500000000001</v>
      </c>
      <c r="HH41">
        <v>9999</v>
      </c>
      <c r="HI41">
        <v>9999</v>
      </c>
      <c r="HJ41">
        <v>9999</v>
      </c>
      <c r="HK41">
        <v>999.9</v>
      </c>
      <c r="HL41">
        <v>1.88462</v>
      </c>
      <c r="HM41">
        <v>1.8852199999999999</v>
      </c>
      <c r="HN41">
        <v>1.8812899999999999</v>
      </c>
      <c r="HO41">
        <v>1.88293</v>
      </c>
      <c r="HP41">
        <v>1.87988</v>
      </c>
      <c r="HQ41">
        <v>1.8833899999999999</v>
      </c>
      <c r="HR41">
        <v>1.87927</v>
      </c>
      <c r="HS41">
        <v>1.8815599999999999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-4.3719999999999999</v>
      </c>
      <c r="IH41">
        <v>6.3E-3</v>
      </c>
      <c r="II41">
        <v>-3.9745131870380139</v>
      </c>
      <c r="IJ41">
        <v>-3.7794827560518689E-3</v>
      </c>
      <c r="IK41">
        <v>4.9551128961100493E-7</v>
      </c>
      <c r="IL41">
        <v>1.3680294268397379E-10</v>
      </c>
      <c r="IM41">
        <v>6.3349999999964268E-3</v>
      </c>
      <c r="IN41">
        <v>0</v>
      </c>
      <c r="IO41">
        <v>0</v>
      </c>
      <c r="IP41">
        <v>0</v>
      </c>
      <c r="IQ41">
        <v>4</v>
      </c>
      <c r="IR41">
        <v>2229</v>
      </c>
      <c r="IS41">
        <v>1</v>
      </c>
      <c r="IT41">
        <v>22</v>
      </c>
      <c r="IU41">
        <v>0.9</v>
      </c>
      <c r="IV41">
        <v>0.9</v>
      </c>
      <c r="IW41">
        <v>0.59570299999999998</v>
      </c>
      <c r="IX41">
        <v>2.5830099999999998</v>
      </c>
      <c r="IY41">
        <v>2.9956100000000001</v>
      </c>
      <c r="IZ41">
        <v>2.96021</v>
      </c>
      <c r="JA41">
        <v>3.1970200000000002</v>
      </c>
      <c r="JB41">
        <v>2.52197</v>
      </c>
      <c r="JC41">
        <v>44.697299999999998</v>
      </c>
      <c r="JD41">
        <v>23.7986</v>
      </c>
      <c r="JE41">
        <v>18</v>
      </c>
      <c r="JF41">
        <v>435.892</v>
      </c>
      <c r="JG41">
        <v>1146.19</v>
      </c>
      <c r="JH41">
        <v>25.976700000000001</v>
      </c>
      <c r="JI41">
        <v>33.260800000000003</v>
      </c>
      <c r="JJ41">
        <v>30.0002</v>
      </c>
      <c r="JK41">
        <v>33.269500000000001</v>
      </c>
      <c r="JL41">
        <v>33.172899999999998</v>
      </c>
      <c r="JM41">
        <v>11.945399999999999</v>
      </c>
      <c r="JN41">
        <v>20.225899999999999</v>
      </c>
      <c r="JO41">
        <v>44.591999999999999</v>
      </c>
      <c r="JP41">
        <v>25.989899999999999</v>
      </c>
      <c r="JQ41">
        <v>120</v>
      </c>
      <c r="JR41">
        <v>22.519600000000001</v>
      </c>
      <c r="JS41">
        <v>98.780500000000004</v>
      </c>
      <c r="JT41">
        <v>97.007999999999996</v>
      </c>
    </row>
    <row r="42" spans="1:280" x14ac:dyDescent="0.25">
      <c r="A42">
        <v>26</v>
      </c>
      <c r="B42">
        <v>1700248820</v>
      </c>
      <c r="C42">
        <v>11668.400000095369</v>
      </c>
      <c r="D42" t="s">
        <v>534</v>
      </c>
      <c r="E42" t="s">
        <v>535</v>
      </c>
      <c r="F42" t="s">
        <v>412</v>
      </c>
      <c r="G42" t="s">
        <v>484</v>
      </c>
      <c r="H42">
        <v>10</v>
      </c>
      <c r="I42">
        <v>1700248820</v>
      </c>
      <c r="J42">
        <f t="shared" si="0"/>
        <v>6.6823520550060361E-3</v>
      </c>
      <c r="K42">
        <f t="shared" si="1"/>
        <v>6.682352055006036</v>
      </c>
      <c r="L42">
        <f t="shared" si="2"/>
        <v>11.867902043636811</v>
      </c>
      <c r="M42">
        <f t="shared" si="3"/>
        <v>58.230899999999998</v>
      </c>
      <c r="N42">
        <f t="shared" si="4"/>
        <v>14.251219421090044</v>
      </c>
      <c r="O42">
        <f t="shared" si="5"/>
        <v>1.4101295595194818</v>
      </c>
      <c r="P42">
        <f t="shared" si="6"/>
        <v>5.7618306855837007</v>
      </c>
      <c r="Q42">
        <f t="shared" si="7"/>
        <v>0.47157668552297527</v>
      </c>
      <c r="R42">
        <f t="shared" si="8"/>
        <v>3.1703394599449757</v>
      </c>
      <c r="S42">
        <f t="shared" si="9"/>
        <v>0.43578783806988491</v>
      </c>
      <c r="T42">
        <f t="shared" si="10"/>
        <v>0.27535619640849418</v>
      </c>
      <c r="U42">
        <f t="shared" si="11"/>
        <v>344.36239876230644</v>
      </c>
      <c r="V42">
        <f t="shared" si="12"/>
        <v>30.437633571715317</v>
      </c>
      <c r="W42">
        <f t="shared" si="13"/>
        <v>30.017800000000001</v>
      </c>
      <c r="X42">
        <f t="shared" si="14"/>
        <v>4.2648076715964551</v>
      </c>
      <c r="Y42">
        <f t="shared" si="15"/>
        <v>65.137146214058077</v>
      </c>
      <c r="Z42">
        <f t="shared" si="16"/>
        <v>2.8017223165943004</v>
      </c>
      <c r="AA42">
        <f t="shared" si="17"/>
        <v>4.301266603524649</v>
      </c>
      <c r="AB42">
        <f t="shared" si="18"/>
        <v>1.4630853550021548</v>
      </c>
      <c r="AC42">
        <f t="shared" si="19"/>
        <v>-294.6917256257662</v>
      </c>
      <c r="AD42">
        <f t="shared" si="20"/>
        <v>25.347338265043113</v>
      </c>
      <c r="AE42">
        <f t="shared" si="21"/>
        <v>1.7793485702520908</v>
      </c>
      <c r="AF42">
        <f t="shared" si="22"/>
        <v>76.797359971835419</v>
      </c>
      <c r="AG42">
        <v>73</v>
      </c>
      <c r="AH42">
        <v>15</v>
      </c>
      <c r="AI42">
        <f t="shared" si="23"/>
        <v>1</v>
      </c>
      <c r="AJ42">
        <f t="shared" si="24"/>
        <v>0</v>
      </c>
      <c r="AK42">
        <f t="shared" si="25"/>
        <v>51644.557791710264</v>
      </c>
      <c r="AL42" t="s">
        <v>415</v>
      </c>
      <c r="AM42">
        <v>7133.88</v>
      </c>
      <c r="AN42">
        <v>306.28384615384618</v>
      </c>
      <c r="AO42">
        <v>859.63916333292491</v>
      </c>
      <c r="AP42">
        <f t="shared" si="26"/>
        <v>0.64370650010133712</v>
      </c>
      <c r="AQ42">
        <v>-0.73746743666429193</v>
      </c>
      <c r="AR42" t="s">
        <v>536</v>
      </c>
      <c r="AS42">
        <v>7134.4</v>
      </c>
      <c r="AT42">
        <v>675.41946153846152</v>
      </c>
      <c r="AU42">
        <v>743.3566575289359</v>
      </c>
      <c r="AV42">
        <f t="shared" si="27"/>
        <v>9.1392463230652976E-2</v>
      </c>
      <c r="AW42">
        <v>0.5</v>
      </c>
      <c r="AX42">
        <f t="shared" si="28"/>
        <v>1513.1513993811532</v>
      </c>
      <c r="AY42">
        <f t="shared" si="29"/>
        <v>11.867902043636811</v>
      </c>
      <c r="AZ42">
        <f t="shared" si="30"/>
        <v>69.145316815176571</v>
      </c>
      <c r="BA42">
        <f t="shared" si="31"/>
        <v>8.3305408073880982E-3</v>
      </c>
      <c r="BB42">
        <f t="shared" si="32"/>
        <v>0.15642895590729622</v>
      </c>
      <c r="BC42">
        <f t="shared" si="33"/>
        <v>290.1144286619782</v>
      </c>
      <c r="BD42" t="s">
        <v>537</v>
      </c>
      <c r="BE42">
        <v>440.67</v>
      </c>
      <c r="BF42">
        <f t="shared" si="34"/>
        <v>440.67</v>
      </c>
      <c r="BG42">
        <f t="shared" si="35"/>
        <v>0.40718900471696318</v>
      </c>
      <c r="BH42">
        <f t="shared" si="36"/>
        <v>0.22444727674849627</v>
      </c>
      <c r="BI42">
        <f t="shared" si="37"/>
        <v>0.27754430631351168</v>
      </c>
      <c r="BJ42">
        <f t="shared" si="38"/>
        <v>0.155436792731936</v>
      </c>
      <c r="BK42">
        <f t="shared" si="39"/>
        <v>0.21014075801562646</v>
      </c>
      <c r="BL42">
        <f t="shared" si="40"/>
        <v>0.14643815743696575</v>
      </c>
      <c r="BM42">
        <f t="shared" si="41"/>
        <v>0.85356184256303425</v>
      </c>
      <c r="BN42">
        <v>20874</v>
      </c>
      <c r="BO42">
        <v>290.00000000000011</v>
      </c>
      <c r="BP42">
        <v>728.26</v>
      </c>
      <c r="BQ42">
        <v>295</v>
      </c>
      <c r="BR42">
        <v>7134.4</v>
      </c>
      <c r="BS42">
        <v>729.15</v>
      </c>
      <c r="BT42">
        <v>-0.89</v>
      </c>
      <c r="BU42">
        <v>300.00000000000011</v>
      </c>
      <c r="BV42">
        <v>38.299999999999997</v>
      </c>
      <c r="BW42">
        <v>743.3566575289359</v>
      </c>
      <c r="BX42">
        <v>1.7277646006084599</v>
      </c>
      <c r="BY42">
        <v>-10.135223372543271</v>
      </c>
      <c r="BZ42">
        <v>1.0331115678650289</v>
      </c>
      <c r="CA42">
        <v>0.77463641613457446</v>
      </c>
      <c r="CB42">
        <v>-7.0420967741935429E-3</v>
      </c>
      <c r="CC42">
        <v>289.99999999999989</v>
      </c>
      <c r="CD42">
        <v>732.56</v>
      </c>
      <c r="CE42">
        <v>655</v>
      </c>
      <c r="CF42">
        <v>7131.15</v>
      </c>
      <c r="CG42">
        <v>729.14</v>
      </c>
      <c r="CH42">
        <v>3.42</v>
      </c>
      <c r="CV42">
        <f t="shared" si="42"/>
        <v>1799.96</v>
      </c>
      <c r="CW42">
        <f t="shared" si="43"/>
        <v>1513.1513993811532</v>
      </c>
      <c r="CX42">
        <f t="shared" si="44"/>
        <v>0.84065834761947666</v>
      </c>
      <c r="CY42">
        <f t="shared" si="45"/>
        <v>0.19131669523895334</v>
      </c>
      <c r="CZ42">
        <v>4.8</v>
      </c>
      <c r="DA42">
        <v>0.5</v>
      </c>
      <c r="DB42" t="s">
        <v>418</v>
      </c>
      <c r="DC42">
        <v>2</v>
      </c>
      <c r="DD42">
        <v>1700248820</v>
      </c>
      <c r="DE42">
        <v>58.230899999999998</v>
      </c>
      <c r="DF42">
        <v>69.999499999999998</v>
      </c>
      <c r="DG42">
        <v>28.315100000000001</v>
      </c>
      <c r="DH42">
        <v>22.0807</v>
      </c>
      <c r="DI42">
        <v>62.490200000000002</v>
      </c>
      <c r="DJ42">
        <v>28.316400000000002</v>
      </c>
      <c r="DK42">
        <v>499.92099999999999</v>
      </c>
      <c r="DL42">
        <v>98.847800000000007</v>
      </c>
      <c r="DM42">
        <v>0.100193</v>
      </c>
      <c r="DN42">
        <v>30.1661</v>
      </c>
      <c r="DO42">
        <v>30.017800000000001</v>
      </c>
      <c r="DP42">
        <v>999.9</v>
      </c>
      <c r="DQ42">
        <v>0</v>
      </c>
      <c r="DR42">
        <v>0</v>
      </c>
      <c r="DS42">
        <v>9984.3799999999992</v>
      </c>
      <c r="DT42">
        <v>0</v>
      </c>
      <c r="DU42">
        <v>569.17700000000002</v>
      </c>
      <c r="DV42">
        <v>-11.768599999999999</v>
      </c>
      <c r="DW42">
        <v>59.927700000000002</v>
      </c>
      <c r="DX42">
        <v>71.58</v>
      </c>
      <c r="DY42">
        <v>6.2343999999999999</v>
      </c>
      <c r="DZ42">
        <v>69.999499999999998</v>
      </c>
      <c r="EA42">
        <v>22.0807</v>
      </c>
      <c r="EB42">
        <v>2.7988900000000001</v>
      </c>
      <c r="EC42">
        <v>2.1826300000000001</v>
      </c>
      <c r="ED42">
        <v>22.877500000000001</v>
      </c>
      <c r="EE42">
        <v>18.8354</v>
      </c>
      <c r="EF42">
        <v>1799.96</v>
      </c>
      <c r="EG42">
        <v>0.97799599999999998</v>
      </c>
      <c r="EH42">
        <v>2.2004099999999999E-2</v>
      </c>
      <c r="EI42">
        <v>0</v>
      </c>
      <c r="EJ42">
        <v>675.08</v>
      </c>
      <c r="EK42">
        <v>5.0009399999999999</v>
      </c>
      <c r="EL42">
        <v>14499.3</v>
      </c>
      <c r="EM42">
        <v>13859.8</v>
      </c>
      <c r="EN42">
        <v>46.686999999999998</v>
      </c>
      <c r="EO42">
        <v>48.561999999999998</v>
      </c>
      <c r="EP42">
        <v>47.811999999999998</v>
      </c>
      <c r="EQ42">
        <v>47.811999999999998</v>
      </c>
      <c r="ER42">
        <v>48.25</v>
      </c>
      <c r="ES42">
        <v>1755.46</v>
      </c>
      <c r="ET42">
        <v>39.5</v>
      </c>
      <c r="EU42">
        <v>0</v>
      </c>
      <c r="EV42">
        <v>299.40000009536737</v>
      </c>
      <c r="EW42">
        <v>0</v>
      </c>
      <c r="EX42">
        <v>675.41946153846152</v>
      </c>
      <c r="EY42">
        <v>-1.236991454779595</v>
      </c>
      <c r="EZ42">
        <v>4650.721358699464</v>
      </c>
      <c r="FA42">
        <v>13974.607692307691</v>
      </c>
      <c r="FB42">
        <v>15</v>
      </c>
      <c r="FC42">
        <v>1700248788.5</v>
      </c>
      <c r="FD42" t="s">
        <v>538</v>
      </c>
      <c r="FE42">
        <v>1700248788.5</v>
      </c>
      <c r="FF42">
        <v>1700248779.5</v>
      </c>
      <c r="FG42">
        <v>45</v>
      </c>
      <c r="FH42">
        <v>-5.0999999999999997E-2</v>
      </c>
      <c r="FI42">
        <v>-8.0000000000000002E-3</v>
      </c>
      <c r="FJ42">
        <v>-4.3029999999999999</v>
      </c>
      <c r="FK42">
        <v>-6.0000000000000001E-3</v>
      </c>
      <c r="FL42">
        <v>70</v>
      </c>
      <c r="FM42">
        <v>22</v>
      </c>
      <c r="FN42">
        <v>0.14000000000000001</v>
      </c>
      <c r="FO42">
        <v>0.02</v>
      </c>
      <c r="FP42">
        <v>11.823461936881079</v>
      </c>
      <c r="FQ42">
        <v>0.42591509839166952</v>
      </c>
      <c r="FR42">
        <v>3.3869557557408073E-2</v>
      </c>
      <c r="FS42">
        <v>1</v>
      </c>
      <c r="FT42">
        <v>0.47468562191327879</v>
      </c>
      <c r="FU42">
        <v>2.2371303132743919E-2</v>
      </c>
      <c r="FV42">
        <v>3.0448644218789849E-3</v>
      </c>
      <c r="FW42">
        <v>1</v>
      </c>
      <c r="FX42">
        <v>2</v>
      </c>
      <c r="FY42">
        <v>2</v>
      </c>
      <c r="FZ42" t="s">
        <v>420</v>
      </c>
      <c r="GA42">
        <v>3.1189499999999999</v>
      </c>
      <c r="GB42">
        <v>2.8776799999999998</v>
      </c>
      <c r="GC42">
        <v>1.6362700000000001E-2</v>
      </c>
      <c r="GD42">
        <v>1.86003E-2</v>
      </c>
      <c r="GE42">
        <v>0.12640699999999999</v>
      </c>
      <c r="GF42">
        <v>0.106674</v>
      </c>
      <c r="GG42">
        <v>28576.2</v>
      </c>
      <c r="GH42">
        <v>29114.7</v>
      </c>
      <c r="GI42">
        <v>26757.5</v>
      </c>
      <c r="GJ42">
        <v>27396.799999999999</v>
      </c>
      <c r="GK42">
        <v>33420.400000000001</v>
      </c>
      <c r="GL42">
        <v>34174.1</v>
      </c>
      <c r="GM42">
        <v>39636.699999999997</v>
      </c>
      <c r="GN42">
        <v>39652.6</v>
      </c>
      <c r="GO42">
        <v>1.8424499999999999</v>
      </c>
      <c r="GP42">
        <v>2.4702700000000002</v>
      </c>
      <c r="GQ42">
        <v>5.2142899999999999E-2</v>
      </c>
      <c r="GR42">
        <v>0</v>
      </c>
      <c r="GS42">
        <v>29.168700000000001</v>
      </c>
      <c r="GT42">
        <v>999.9</v>
      </c>
      <c r="GU42">
        <v>35.700000000000003</v>
      </c>
      <c r="GV42">
        <v>41.1</v>
      </c>
      <c r="GW42">
        <v>28.392199999999999</v>
      </c>
      <c r="GX42">
        <v>62.687800000000003</v>
      </c>
      <c r="GY42">
        <v>5.5689099999999998</v>
      </c>
      <c r="GZ42">
        <v>3</v>
      </c>
      <c r="HA42">
        <v>0.47433199999999998</v>
      </c>
      <c r="HB42">
        <v>2.6397200000000001</v>
      </c>
      <c r="HC42">
        <v>20.2851</v>
      </c>
      <c r="HD42">
        <v>5.2123499999999998</v>
      </c>
      <c r="HE42">
        <v>11.908099999999999</v>
      </c>
      <c r="HF42">
        <v>4.9965999999999999</v>
      </c>
      <c r="HG42">
        <v>3.3026499999999999</v>
      </c>
      <c r="HH42">
        <v>9999</v>
      </c>
      <c r="HI42">
        <v>9999</v>
      </c>
      <c r="HJ42">
        <v>9999</v>
      </c>
      <c r="HK42">
        <v>999.9</v>
      </c>
      <c r="HL42">
        <v>1.88462</v>
      </c>
      <c r="HM42">
        <v>1.88523</v>
      </c>
      <c r="HN42">
        <v>1.88127</v>
      </c>
      <c r="HO42">
        <v>1.88293</v>
      </c>
      <c r="HP42">
        <v>1.87988</v>
      </c>
      <c r="HQ42">
        <v>1.8833899999999999</v>
      </c>
      <c r="HR42">
        <v>1.8792800000000001</v>
      </c>
      <c r="HS42">
        <v>1.8815599999999999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-4.2590000000000003</v>
      </c>
      <c r="IH42">
        <v>-1.2999999999999999E-3</v>
      </c>
      <c r="II42">
        <v>-4.0250887879948092</v>
      </c>
      <c r="IJ42">
        <v>-3.7794827560518689E-3</v>
      </c>
      <c r="IK42">
        <v>4.9551128961100493E-7</v>
      </c>
      <c r="IL42">
        <v>1.3680294268397379E-10</v>
      </c>
      <c r="IM42">
        <v>-1.228435903475017E-3</v>
      </c>
      <c r="IN42">
        <v>0</v>
      </c>
      <c r="IO42">
        <v>0</v>
      </c>
      <c r="IP42">
        <v>0</v>
      </c>
      <c r="IQ42">
        <v>4</v>
      </c>
      <c r="IR42">
        <v>2229</v>
      </c>
      <c r="IS42">
        <v>1</v>
      </c>
      <c r="IT42">
        <v>22</v>
      </c>
      <c r="IU42">
        <v>0.5</v>
      </c>
      <c r="IV42">
        <v>0.7</v>
      </c>
      <c r="IW42">
        <v>0.41626000000000002</v>
      </c>
      <c r="IX42">
        <v>2.5976599999999999</v>
      </c>
      <c r="IY42">
        <v>2.9956100000000001</v>
      </c>
      <c r="IZ42">
        <v>2.9589799999999999</v>
      </c>
      <c r="JA42">
        <v>3.1970200000000002</v>
      </c>
      <c r="JB42">
        <v>2.51831</v>
      </c>
      <c r="JC42">
        <v>44.641199999999998</v>
      </c>
      <c r="JD42">
        <v>23.7986</v>
      </c>
      <c r="JE42">
        <v>18</v>
      </c>
      <c r="JF42">
        <v>435.19</v>
      </c>
      <c r="JG42">
        <v>1146.95</v>
      </c>
      <c r="JH42">
        <v>26.3719</v>
      </c>
      <c r="JI42">
        <v>33.141399999999997</v>
      </c>
      <c r="JJ42">
        <v>29.998999999999999</v>
      </c>
      <c r="JK42">
        <v>33.188899999999997</v>
      </c>
      <c r="JL42">
        <v>33.100999999999999</v>
      </c>
      <c r="JM42">
        <v>8.3488399999999992</v>
      </c>
      <c r="JN42">
        <v>19.821000000000002</v>
      </c>
      <c r="JO42">
        <v>43.048299999999998</v>
      </c>
      <c r="JP42">
        <v>26.418600000000001</v>
      </c>
      <c r="JQ42">
        <v>70</v>
      </c>
      <c r="JR42">
        <v>22.049199999999999</v>
      </c>
      <c r="JS42">
        <v>98.803299999999993</v>
      </c>
      <c r="JT42">
        <v>97.033600000000007</v>
      </c>
    </row>
    <row r="43" spans="1:280" x14ac:dyDescent="0.25">
      <c r="A43">
        <v>27</v>
      </c>
      <c r="B43">
        <v>1700248950.5</v>
      </c>
      <c r="C43">
        <v>11798.900000095369</v>
      </c>
      <c r="D43" t="s">
        <v>539</v>
      </c>
      <c r="E43" t="s">
        <v>540</v>
      </c>
      <c r="F43" t="s">
        <v>412</v>
      </c>
      <c r="G43" t="s">
        <v>484</v>
      </c>
      <c r="H43">
        <v>10</v>
      </c>
      <c r="I43">
        <v>1700248950.5</v>
      </c>
      <c r="J43">
        <f t="shared" si="0"/>
        <v>7.5070750328035561E-3</v>
      </c>
      <c r="K43">
        <f t="shared" si="1"/>
        <v>7.5070750328035558</v>
      </c>
      <c r="L43">
        <f t="shared" si="2"/>
        <v>5.8885915046526955</v>
      </c>
      <c r="M43">
        <f t="shared" si="3"/>
        <v>24.1785</v>
      </c>
      <c r="N43">
        <f t="shared" si="4"/>
        <v>5.3208694062662509</v>
      </c>
      <c r="O43">
        <f t="shared" si="5"/>
        <v>0.52651199810994875</v>
      </c>
      <c r="P43">
        <f t="shared" si="6"/>
        <v>2.3925169693714499</v>
      </c>
      <c r="Q43">
        <f t="shared" si="7"/>
        <v>0.55077076952218262</v>
      </c>
      <c r="R43">
        <f t="shared" si="8"/>
        <v>3.1744621352719307</v>
      </c>
      <c r="S43">
        <f t="shared" si="9"/>
        <v>0.50266607429485677</v>
      </c>
      <c r="T43">
        <f t="shared" si="10"/>
        <v>0.31813744916727982</v>
      </c>
      <c r="U43">
        <f t="shared" si="11"/>
        <v>344.39031192531121</v>
      </c>
      <c r="V43">
        <f t="shared" si="12"/>
        <v>30.309769769849211</v>
      </c>
      <c r="W43">
        <f t="shared" si="13"/>
        <v>29.971900000000002</v>
      </c>
      <c r="X43">
        <f t="shared" si="14"/>
        <v>4.2535780664323468</v>
      </c>
      <c r="Y43">
        <f t="shared" si="15"/>
        <v>65.496517641768833</v>
      </c>
      <c r="Z43">
        <f t="shared" si="16"/>
        <v>2.8286589051491697</v>
      </c>
      <c r="AA43">
        <f t="shared" si="17"/>
        <v>4.3187928259337873</v>
      </c>
      <c r="AB43">
        <f t="shared" si="18"/>
        <v>1.4249191612831771</v>
      </c>
      <c r="AC43">
        <f t="shared" si="19"/>
        <v>-331.06200894663681</v>
      </c>
      <c r="AD43">
        <f t="shared" si="20"/>
        <v>45.369638859009918</v>
      </c>
      <c r="AE43">
        <f t="shared" si="21"/>
        <v>3.181144518025687</v>
      </c>
      <c r="AF43">
        <f t="shared" si="22"/>
        <v>61.879086355710008</v>
      </c>
      <c r="AG43">
        <v>72</v>
      </c>
      <c r="AH43">
        <v>14</v>
      </c>
      <c r="AI43">
        <f t="shared" si="23"/>
        <v>1</v>
      </c>
      <c r="AJ43">
        <f t="shared" si="24"/>
        <v>0</v>
      </c>
      <c r="AK43">
        <f t="shared" si="25"/>
        <v>51734.19849472792</v>
      </c>
      <c r="AL43" t="s">
        <v>456</v>
      </c>
      <c r="AM43" t="s">
        <v>456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456</v>
      </c>
      <c r="AS43" t="s">
        <v>456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1513.2771059626555</v>
      </c>
      <c r="AY43">
        <f t="shared" si="29"/>
        <v>5.8885915046526955</v>
      </c>
      <c r="AZ43" t="e">
        <f t="shared" si="30"/>
        <v>#DIV/0!</v>
      </c>
      <c r="BA43">
        <f t="shared" si="31"/>
        <v>3.891284340092312E-3</v>
      </c>
      <c r="BB43" t="e">
        <f t="shared" si="32"/>
        <v>#DIV/0!</v>
      </c>
      <c r="BC43" t="e">
        <f t="shared" si="33"/>
        <v>#DIV/0!</v>
      </c>
      <c r="BD43" t="s">
        <v>456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BN43">
        <v>20874</v>
      </c>
      <c r="BO43">
        <v>290.00000000000011</v>
      </c>
      <c r="BP43">
        <v>728.26</v>
      </c>
      <c r="BQ43">
        <v>295</v>
      </c>
      <c r="BR43">
        <v>7134.4</v>
      </c>
      <c r="BS43">
        <v>729.15</v>
      </c>
      <c r="BT43">
        <v>-0.89</v>
      </c>
      <c r="BU43">
        <v>300.00000000000011</v>
      </c>
      <c r="BV43">
        <v>38.299999999999997</v>
      </c>
      <c r="BW43">
        <v>743.3566575289359</v>
      </c>
      <c r="BX43">
        <v>1.7277646006084599</v>
      </c>
      <c r="BY43">
        <v>-10.135223372543271</v>
      </c>
      <c r="BZ43">
        <v>1.0331115678650289</v>
      </c>
      <c r="CA43">
        <v>0.77463641613457446</v>
      </c>
      <c r="CB43">
        <v>-7.0420967741935429E-3</v>
      </c>
      <c r="CC43">
        <v>289.99999999999989</v>
      </c>
      <c r="CD43">
        <v>732.56</v>
      </c>
      <c r="CE43">
        <v>655</v>
      </c>
      <c r="CF43">
        <v>7131.15</v>
      </c>
      <c r="CG43">
        <v>729.14</v>
      </c>
      <c r="CH43">
        <v>3.42</v>
      </c>
      <c r="CV43">
        <f t="shared" si="42"/>
        <v>1800.11</v>
      </c>
      <c r="CW43">
        <f t="shared" si="43"/>
        <v>1513.2771059626555</v>
      </c>
      <c r="CX43">
        <f t="shared" si="44"/>
        <v>0.84065812976021215</v>
      </c>
      <c r="CY43">
        <f t="shared" si="45"/>
        <v>0.19131625952042444</v>
      </c>
      <c r="CZ43">
        <v>4.8</v>
      </c>
      <c r="DA43">
        <v>0.5</v>
      </c>
      <c r="DB43" t="s">
        <v>418</v>
      </c>
      <c r="DC43">
        <v>2</v>
      </c>
      <c r="DD43">
        <v>1700248950.5</v>
      </c>
      <c r="DE43">
        <v>24.1785</v>
      </c>
      <c r="DF43">
        <v>30.004899999999999</v>
      </c>
      <c r="DG43">
        <v>28.586099999999998</v>
      </c>
      <c r="DH43">
        <v>21.586400000000001</v>
      </c>
      <c r="DI43">
        <v>28.2744</v>
      </c>
      <c r="DJ43">
        <v>28.582000000000001</v>
      </c>
      <c r="DK43">
        <v>500.077</v>
      </c>
      <c r="DL43">
        <v>98.852400000000003</v>
      </c>
      <c r="DM43">
        <v>9.98497E-2</v>
      </c>
      <c r="DN43">
        <v>30.236999999999998</v>
      </c>
      <c r="DO43">
        <v>29.971900000000002</v>
      </c>
      <c r="DP43">
        <v>999.9</v>
      </c>
      <c r="DQ43">
        <v>0</v>
      </c>
      <c r="DR43">
        <v>0</v>
      </c>
      <c r="DS43">
        <v>10004.4</v>
      </c>
      <c r="DT43">
        <v>0</v>
      </c>
      <c r="DU43">
        <v>316.92700000000002</v>
      </c>
      <c r="DV43">
        <v>-5.8264500000000004</v>
      </c>
      <c r="DW43">
        <v>24.89</v>
      </c>
      <c r="DX43">
        <v>30.666899999999998</v>
      </c>
      <c r="DY43">
        <v>6.9996900000000002</v>
      </c>
      <c r="DZ43">
        <v>30.004899999999999</v>
      </c>
      <c r="EA43">
        <v>21.586400000000001</v>
      </c>
      <c r="EB43">
        <v>2.8258100000000002</v>
      </c>
      <c r="EC43">
        <v>2.1338699999999999</v>
      </c>
      <c r="ED43">
        <v>23.035599999999999</v>
      </c>
      <c r="EE43">
        <v>18.474299999999999</v>
      </c>
      <c r="EF43">
        <v>1800.11</v>
      </c>
      <c r="EG43">
        <v>0.97799899999999995</v>
      </c>
      <c r="EH43">
        <v>2.2000700000000002E-2</v>
      </c>
      <c r="EI43">
        <v>0</v>
      </c>
      <c r="EJ43">
        <v>683.52599999999995</v>
      </c>
      <c r="EK43">
        <v>5.0009399999999999</v>
      </c>
      <c r="EL43">
        <v>12992.4</v>
      </c>
      <c r="EM43">
        <v>13861</v>
      </c>
      <c r="EN43">
        <v>46.686999999999998</v>
      </c>
      <c r="EO43">
        <v>48.561999999999998</v>
      </c>
      <c r="EP43">
        <v>47.75</v>
      </c>
      <c r="EQ43">
        <v>47.75</v>
      </c>
      <c r="ER43">
        <v>48.186999999999998</v>
      </c>
      <c r="ES43">
        <v>1755.61</v>
      </c>
      <c r="ET43">
        <v>39.49</v>
      </c>
      <c r="EU43">
        <v>0</v>
      </c>
      <c r="EV43">
        <v>128.60000014305109</v>
      </c>
      <c r="EW43">
        <v>0</v>
      </c>
      <c r="EX43">
        <v>684.00730769230768</v>
      </c>
      <c r="EY43">
        <v>-1.8023931740403489</v>
      </c>
      <c r="EZ43">
        <v>-17.44957255301221</v>
      </c>
      <c r="FA43">
        <v>12993.56923076923</v>
      </c>
      <c r="FB43">
        <v>15</v>
      </c>
      <c r="FC43">
        <v>1700248917.5</v>
      </c>
      <c r="FD43" t="s">
        <v>541</v>
      </c>
      <c r="FE43">
        <v>1700248917.5</v>
      </c>
      <c r="FF43">
        <v>1700248913.5</v>
      </c>
      <c r="FG43">
        <v>46</v>
      </c>
      <c r="FH43">
        <v>3.5999999999999997E-2</v>
      </c>
      <c r="FI43">
        <v>5.0000000000000001E-3</v>
      </c>
      <c r="FJ43">
        <v>-4.1180000000000003</v>
      </c>
      <c r="FK43">
        <v>-6.0000000000000001E-3</v>
      </c>
      <c r="FL43">
        <v>30</v>
      </c>
      <c r="FM43">
        <v>22</v>
      </c>
      <c r="FN43">
        <v>0.43</v>
      </c>
      <c r="FO43">
        <v>0.01</v>
      </c>
      <c r="FP43">
        <v>5.8738504247975998</v>
      </c>
      <c r="FQ43">
        <v>0.15098739691120869</v>
      </c>
      <c r="FR43">
        <v>2.275860193518019E-2</v>
      </c>
      <c r="FS43">
        <v>1</v>
      </c>
      <c r="FT43">
        <v>0.54769637784192093</v>
      </c>
      <c r="FU43">
        <v>4.8488652749938473E-2</v>
      </c>
      <c r="FV43">
        <v>4.9616383998073357E-3</v>
      </c>
      <c r="FW43">
        <v>1</v>
      </c>
      <c r="FX43">
        <v>2</v>
      </c>
      <c r="FY43">
        <v>2</v>
      </c>
      <c r="FZ43" t="s">
        <v>420</v>
      </c>
      <c r="GA43">
        <v>3.1190199999999999</v>
      </c>
      <c r="GB43">
        <v>2.87751</v>
      </c>
      <c r="GC43">
        <v>7.47863E-3</v>
      </c>
      <c r="GD43">
        <v>8.08182E-3</v>
      </c>
      <c r="GE43">
        <v>0.127275</v>
      </c>
      <c r="GF43">
        <v>0.104974</v>
      </c>
      <c r="GG43">
        <v>28843.1</v>
      </c>
      <c r="GH43">
        <v>29435.200000000001</v>
      </c>
      <c r="GI43">
        <v>26765.599999999999</v>
      </c>
      <c r="GJ43">
        <v>27404.6</v>
      </c>
      <c r="GK43">
        <v>33394.9</v>
      </c>
      <c r="GL43">
        <v>34246.800000000003</v>
      </c>
      <c r="GM43">
        <v>39647.5</v>
      </c>
      <c r="GN43">
        <v>39662.6</v>
      </c>
      <c r="GO43">
        <v>1.84582</v>
      </c>
      <c r="GP43">
        <v>2.4727700000000001</v>
      </c>
      <c r="GQ43">
        <v>4.0836600000000001E-2</v>
      </c>
      <c r="GR43">
        <v>0</v>
      </c>
      <c r="GS43">
        <v>29.306899999999999</v>
      </c>
      <c r="GT43">
        <v>999.9</v>
      </c>
      <c r="GU43">
        <v>35.200000000000003</v>
      </c>
      <c r="GV43">
        <v>41</v>
      </c>
      <c r="GW43">
        <v>27.842099999999999</v>
      </c>
      <c r="GX43">
        <v>63.007800000000003</v>
      </c>
      <c r="GY43">
        <v>5.5849399999999996</v>
      </c>
      <c r="GZ43">
        <v>3</v>
      </c>
      <c r="HA43">
        <v>0.45846500000000001</v>
      </c>
      <c r="HB43">
        <v>1.8320399999999999</v>
      </c>
      <c r="HC43">
        <v>20.296299999999999</v>
      </c>
      <c r="HD43">
        <v>5.2127999999999997</v>
      </c>
      <c r="HE43">
        <v>11.908099999999999</v>
      </c>
      <c r="HF43">
        <v>4.9971500000000004</v>
      </c>
      <c r="HG43">
        <v>3.3024499999999999</v>
      </c>
      <c r="HH43">
        <v>9999</v>
      </c>
      <c r="HI43">
        <v>9999</v>
      </c>
      <c r="HJ43">
        <v>9999</v>
      </c>
      <c r="HK43">
        <v>999.9</v>
      </c>
      <c r="HL43">
        <v>1.8846700000000001</v>
      </c>
      <c r="HM43">
        <v>1.8852500000000001</v>
      </c>
      <c r="HN43">
        <v>1.88131</v>
      </c>
      <c r="HO43">
        <v>1.88293</v>
      </c>
      <c r="HP43">
        <v>1.87988</v>
      </c>
      <c r="HQ43">
        <v>1.8833899999999999</v>
      </c>
      <c r="HR43">
        <v>1.87927</v>
      </c>
      <c r="HS43">
        <v>1.8815599999999999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-4.0960000000000001</v>
      </c>
      <c r="IH43">
        <v>4.1000000000000003E-3</v>
      </c>
      <c r="II43">
        <v>-3.9894266113609129</v>
      </c>
      <c r="IJ43">
        <v>-3.7794827560518689E-3</v>
      </c>
      <c r="IK43">
        <v>4.9551128961100493E-7</v>
      </c>
      <c r="IL43">
        <v>1.3680294268397379E-10</v>
      </c>
      <c r="IM43">
        <v>4.1143914808852711E-3</v>
      </c>
      <c r="IN43">
        <v>0</v>
      </c>
      <c r="IO43">
        <v>0</v>
      </c>
      <c r="IP43">
        <v>0</v>
      </c>
      <c r="IQ43">
        <v>4</v>
      </c>
      <c r="IR43">
        <v>2229</v>
      </c>
      <c r="IS43">
        <v>1</v>
      </c>
      <c r="IT43">
        <v>22</v>
      </c>
      <c r="IU43">
        <v>0.6</v>
      </c>
      <c r="IV43">
        <v>0.6</v>
      </c>
      <c r="IW43">
        <v>0.27343800000000001</v>
      </c>
      <c r="IX43">
        <v>2.6122999999999998</v>
      </c>
      <c r="IY43">
        <v>2.9956100000000001</v>
      </c>
      <c r="IZ43">
        <v>2.9589799999999999</v>
      </c>
      <c r="JA43">
        <v>3.1970200000000002</v>
      </c>
      <c r="JB43">
        <v>2.5463900000000002</v>
      </c>
      <c r="JC43">
        <v>44.641199999999998</v>
      </c>
      <c r="JD43">
        <v>23.7898</v>
      </c>
      <c r="JE43">
        <v>18</v>
      </c>
      <c r="JF43">
        <v>436.43700000000001</v>
      </c>
      <c r="JG43">
        <v>1148.79</v>
      </c>
      <c r="JH43">
        <v>26.762</v>
      </c>
      <c r="JI43">
        <v>33.023699999999998</v>
      </c>
      <c r="JJ43">
        <v>29.9998</v>
      </c>
      <c r="JK43">
        <v>33.090600000000002</v>
      </c>
      <c r="JL43">
        <v>33.018000000000001</v>
      </c>
      <c r="JM43">
        <v>5.47837</v>
      </c>
      <c r="JN43">
        <v>20.267700000000001</v>
      </c>
      <c r="JO43">
        <v>41.9255</v>
      </c>
      <c r="JP43">
        <v>26.7651</v>
      </c>
      <c r="JQ43">
        <v>30</v>
      </c>
      <c r="JR43">
        <v>21.504200000000001</v>
      </c>
      <c r="JS43">
        <v>98.831299999999999</v>
      </c>
      <c r="JT43">
        <v>97.059299999999993</v>
      </c>
    </row>
    <row r="44" spans="1:280" x14ac:dyDescent="0.25">
      <c r="A44">
        <v>28</v>
      </c>
      <c r="B44">
        <v>1700249062</v>
      </c>
      <c r="C44">
        <v>11910.400000095369</v>
      </c>
      <c r="D44" t="s">
        <v>542</v>
      </c>
      <c r="E44" t="s">
        <v>543</v>
      </c>
      <c r="F44" t="s">
        <v>412</v>
      </c>
      <c r="G44" t="s">
        <v>484</v>
      </c>
      <c r="H44">
        <v>10</v>
      </c>
      <c r="I44">
        <v>1700249062</v>
      </c>
      <c r="J44">
        <f t="shared" si="0"/>
        <v>7.5634900056072256E-3</v>
      </c>
      <c r="K44">
        <f t="shared" si="1"/>
        <v>7.5634900056072256</v>
      </c>
      <c r="L44">
        <f t="shared" si="2"/>
        <v>2.3748436259671197</v>
      </c>
      <c r="M44">
        <f t="shared" si="3"/>
        <v>7.6534199999999997</v>
      </c>
      <c r="N44">
        <f t="shared" si="4"/>
        <v>0.11844387231673006</v>
      </c>
      <c r="O44">
        <f t="shared" si="5"/>
        <v>1.171993067462199E-2</v>
      </c>
      <c r="P44">
        <f t="shared" si="6"/>
        <v>0.75730006178711995</v>
      </c>
      <c r="Q44">
        <f t="shared" si="7"/>
        <v>0.55255207418483998</v>
      </c>
      <c r="R44">
        <f t="shared" si="8"/>
        <v>3.1728882004871801</v>
      </c>
      <c r="S44">
        <f t="shared" si="9"/>
        <v>0.50412858491262036</v>
      </c>
      <c r="T44">
        <f t="shared" si="10"/>
        <v>0.3190766357567662</v>
      </c>
      <c r="U44">
        <f t="shared" si="11"/>
        <v>344.39599876274355</v>
      </c>
      <c r="V44">
        <f t="shared" si="12"/>
        <v>30.373041891412427</v>
      </c>
      <c r="W44">
        <f t="shared" si="13"/>
        <v>30.017199999999999</v>
      </c>
      <c r="X44">
        <f t="shared" si="14"/>
        <v>4.2646607128770606</v>
      </c>
      <c r="Y44">
        <f t="shared" si="15"/>
        <v>65.317228774931564</v>
      </c>
      <c r="Z44">
        <f t="shared" si="16"/>
        <v>2.8333618982419999</v>
      </c>
      <c r="AA44">
        <f t="shared" si="17"/>
        <v>4.3378476879432926</v>
      </c>
      <c r="AB44">
        <f t="shared" si="18"/>
        <v>1.4312988146350607</v>
      </c>
      <c r="AC44">
        <f t="shared" si="19"/>
        <v>-333.54990924727866</v>
      </c>
      <c r="AD44">
        <f t="shared" si="20"/>
        <v>50.735431653939862</v>
      </c>
      <c r="AE44">
        <f t="shared" si="21"/>
        <v>3.5612891287493018</v>
      </c>
      <c r="AF44">
        <f t="shared" si="22"/>
        <v>65.142810298154046</v>
      </c>
      <c r="AG44">
        <v>73</v>
      </c>
      <c r="AH44">
        <v>15</v>
      </c>
      <c r="AI44">
        <f t="shared" si="23"/>
        <v>1</v>
      </c>
      <c r="AJ44">
        <f t="shared" si="24"/>
        <v>0</v>
      </c>
      <c r="AK44">
        <f t="shared" si="25"/>
        <v>51682.242599514975</v>
      </c>
      <c r="AL44" t="s">
        <v>415</v>
      </c>
      <c r="AM44">
        <v>7133.88</v>
      </c>
      <c r="AN44">
        <v>306.28384615384618</v>
      </c>
      <c r="AO44">
        <v>859.63916333292491</v>
      </c>
      <c r="AP44">
        <f t="shared" si="26"/>
        <v>0.64370650010133712</v>
      </c>
      <c r="AQ44">
        <v>-0.73746743666429193</v>
      </c>
      <c r="AR44" t="s">
        <v>544</v>
      </c>
      <c r="AS44">
        <v>7141.88</v>
      </c>
      <c r="AT44">
        <v>687.69834615384593</v>
      </c>
      <c r="AU44">
        <v>725.63727910282103</v>
      </c>
      <c r="AV44">
        <f t="shared" si="27"/>
        <v>5.2283605103479291E-2</v>
      </c>
      <c r="AW44">
        <v>0.5</v>
      </c>
      <c r="AX44">
        <f t="shared" si="28"/>
        <v>1513.302299381372</v>
      </c>
      <c r="AY44">
        <f t="shared" si="29"/>
        <v>2.3748436259671197</v>
      </c>
      <c r="AZ44">
        <f t="shared" si="30"/>
        <v>39.560449911521424</v>
      </c>
      <c r="BA44">
        <f t="shared" si="31"/>
        <v>2.0566353886488534E-3</v>
      </c>
      <c r="BB44">
        <f t="shared" si="32"/>
        <v>0.18466786105006072</v>
      </c>
      <c r="BC44">
        <f t="shared" si="33"/>
        <v>287.37568734602814</v>
      </c>
      <c r="BD44" t="s">
        <v>545</v>
      </c>
      <c r="BE44">
        <v>454.1</v>
      </c>
      <c r="BF44">
        <f t="shared" si="34"/>
        <v>454.1</v>
      </c>
      <c r="BG44">
        <f t="shared" si="35"/>
        <v>0.37420524954085888</v>
      </c>
      <c r="BH44">
        <f t="shared" si="36"/>
        <v>0.13971905837138862</v>
      </c>
      <c r="BI44">
        <f t="shared" si="37"/>
        <v>0.33042896061827659</v>
      </c>
      <c r="BJ44">
        <f t="shared" si="38"/>
        <v>9.0470066459647516E-2</v>
      </c>
      <c r="BK44">
        <f t="shared" si="39"/>
        <v>0.24216245885776452</v>
      </c>
      <c r="BL44">
        <f t="shared" si="40"/>
        <v>9.2259091157177064E-2</v>
      </c>
      <c r="BM44">
        <f t="shared" si="41"/>
        <v>0.90774090884282299</v>
      </c>
      <c r="BN44">
        <v>20876</v>
      </c>
      <c r="BO44">
        <v>290.00000000000011</v>
      </c>
      <c r="BP44">
        <v>714.07</v>
      </c>
      <c r="BQ44">
        <v>115</v>
      </c>
      <c r="BR44">
        <v>7141.88</v>
      </c>
      <c r="BS44">
        <v>714.5</v>
      </c>
      <c r="BT44">
        <v>-0.43</v>
      </c>
      <c r="BU44">
        <v>300.00000000000011</v>
      </c>
      <c r="BV44">
        <v>38.299999999999997</v>
      </c>
      <c r="BW44">
        <v>725.63727910282103</v>
      </c>
      <c r="BX44">
        <v>1.2193361296627621</v>
      </c>
      <c r="BY44">
        <v>-7.9564542677972714</v>
      </c>
      <c r="BZ44">
        <v>0.72911886781708513</v>
      </c>
      <c r="CA44">
        <v>0.80962870620597704</v>
      </c>
      <c r="CB44">
        <v>-7.0425764182424919E-3</v>
      </c>
      <c r="CC44">
        <v>289.99999999999989</v>
      </c>
      <c r="CD44">
        <v>714.95</v>
      </c>
      <c r="CE44">
        <v>685</v>
      </c>
      <c r="CF44">
        <v>7130.75</v>
      </c>
      <c r="CG44">
        <v>714.48</v>
      </c>
      <c r="CH44">
        <v>0.47</v>
      </c>
      <c r="CV44">
        <f t="shared" si="42"/>
        <v>1800.14</v>
      </c>
      <c r="CW44">
        <f t="shared" si="43"/>
        <v>1513.302299381372</v>
      </c>
      <c r="CX44">
        <f t="shared" si="44"/>
        <v>0.84065811513625155</v>
      </c>
      <c r="CY44">
        <f t="shared" si="45"/>
        <v>0.191316230272503</v>
      </c>
      <c r="CZ44">
        <v>4.8</v>
      </c>
      <c r="DA44">
        <v>0.5</v>
      </c>
      <c r="DB44" t="s">
        <v>418</v>
      </c>
      <c r="DC44">
        <v>2</v>
      </c>
      <c r="DD44">
        <v>1700249062</v>
      </c>
      <c r="DE44">
        <v>7.6534199999999997</v>
      </c>
      <c r="DF44">
        <v>9.9906500000000005</v>
      </c>
      <c r="DG44">
        <v>28.634499999999999</v>
      </c>
      <c r="DH44">
        <v>21.576000000000001</v>
      </c>
      <c r="DI44">
        <v>11.747199999999999</v>
      </c>
      <c r="DJ44">
        <v>28.624600000000001</v>
      </c>
      <c r="DK44">
        <v>499.613</v>
      </c>
      <c r="DL44">
        <v>98.849400000000003</v>
      </c>
      <c r="DM44">
        <v>9.9835999999999994E-2</v>
      </c>
      <c r="DN44">
        <v>30.313800000000001</v>
      </c>
      <c r="DO44">
        <v>30.017199999999999</v>
      </c>
      <c r="DP44">
        <v>999.9</v>
      </c>
      <c r="DQ44">
        <v>0</v>
      </c>
      <c r="DR44">
        <v>0</v>
      </c>
      <c r="DS44">
        <v>9996.8799999999992</v>
      </c>
      <c r="DT44">
        <v>0</v>
      </c>
      <c r="DU44">
        <v>298.512</v>
      </c>
      <c r="DV44">
        <v>-2.3372299999999999</v>
      </c>
      <c r="DW44">
        <v>7.8790399999999998</v>
      </c>
      <c r="DX44">
        <v>10.211</v>
      </c>
      <c r="DY44">
        <v>7.0585000000000004</v>
      </c>
      <c r="DZ44">
        <v>9.9906500000000005</v>
      </c>
      <c r="EA44">
        <v>21.576000000000001</v>
      </c>
      <c r="EB44">
        <v>2.8305099999999999</v>
      </c>
      <c r="EC44">
        <v>2.1327799999999999</v>
      </c>
      <c r="ED44">
        <v>23.063099999999999</v>
      </c>
      <c r="EE44">
        <v>18.466100000000001</v>
      </c>
      <c r="EF44">
        <v>1800.14</v>
      </c>
      <c r="EG44">
        <v>0.97799999999999998</v>
      </c>
      <c r="EH44">
        <v>2.20003E-2</v>
      </c>
      <c r="EI44">
        <v>0</v>
      </c>
      <c r="EJ44">
        <v>687.69</v>
      </c>
      <c r="EK44">
        <v>5.0009399999999999</v>
      </c>
      <c r="EL44">
        <v>12993.2</v>
      </c>
      <c r="EM44">
        <v>13861.2</v>
      </c>
      <c r="EN44">
        <v>46.686999999999998</v>
      </c>
      <c r="EO44">
        <v>48.5</v>
      </c>
      <c r="EP44">
        <v>47.686999999999998</v>
      </c>
      <c r="EQ44">
        <v>47.75</v>
      </c>
      <c r="ER44">
        <v>48.186999999999998</v>
      </c>
      <c r="ES44">
        <v>1755.65</v>
      </c>
      <c r="ET44">
        <v>39.49</v>
      </c>
      <c r="EU44">
        <v>0</v>
      </c>
      <c r="EV44">
        <v>240.20000004768369</v>
      </c>
      <c r="EW44">
        <v>0</v>
      </c>
      <c r="EX44">
        <v>687.69834615384593</v>
      </c>
      <c r="EY44">
        <v>-2.1859487248591281</v>
      </c>
      <c r="EZ44">
        <v>-35.288889012275213</v>
      </c>
      <c r="FA44">
        <v>12998.52307692308</v>
      </c>
      <c r="FB44">
        <v>15</v>
      </c>
      <c r="FC44">
        <v>1700249025</v>
      </c>
      <c r="FD44" t="s">
        <v>546</v>
      </c>
      <c r="FE44">
        <v>1700249025</v>
      </c>
      <c r="FF44">
        <v>1700249025</v>
      </c>
      <c r="FG44">
        <v>47</v>
      </c>
      <c r="FH44">
        <v>-0.06</v>
      </c>
      <c r="FI44">
        <v>6.0000000000000001E-3</v>
      </c>
      <c r="FJ44">
        <v>-4.1029999999999998</v>
      </c>
      <c r="FK44">
        <v>-1.2E-2</v>
      </c>
      <c r="FL44">
        <v>10</v>
      </c>
      <c r="FM44">
        <v>21</v>
      </c>
      <c r="FN44">
        <v>0.33</v>
      </c>
      <c r="FO44">
        <v>0.01</v>
      </c>
      <c r="FP44">
        <v>2.3845774722380182</v>
      </c>
      <c r="FQ44">
        <v>-0.28691432994903537</v>
      </c>
      <c r="FR44">
        <v>2.5332340160161101E-2</v>
      </c>
      <c r="FS44">
        <v>1</v>
      </c>
      <c r="FT44">
        <v>0.55352372779511838</v>
      </c>
      <c r="FU44">
        <v>3.8964821339673071E-2</v>
      </c>
      <c r="FV44">
        <v>3.1609997179324061E-3</v>
      </c>
      <c r="FW44">
        <v>1</v>
      </c>
      <c r="FX44">
        <v>2</v>
      </c>
      <c r="FY44">
        <v>2</v>
      </c>
      <c r="FZ44" t="s">
        <v>420</v>
      </c>
      <c r="GA44">
        <v>3.11849</v>
      </c>
      <c r="GB44">
        <v>2.8774299999999999</v>
      </c>
      <c r="GC44">
        <v>3.1166700000000002E-3</v>
      </c>
      <c r="GD44">
        <v>2.7025899999999999E-3</v>
      </c>
      <c r="GE44">
        <v>0.127418</v>
      </c>
      <c r="GF44">
        <v>0.104945</v>
      </c>
      <c r="GG44">
        <v>28970.799999999999</v>
      </c>
      <c r="GH44">
        <v>29596.3</v>
      </c>
      <c r="GI44">
        <v>26766.5</v>
      </c>
      <c r="GJ44">
        <v>27405.9</v>
      </c>
      <c r="GK44">
        <v>33389.9</v>
      </c>
      <c r="GL44">
        <v>34248.6</v>
      </c>
      <c r="GM44">
        <v>39648.699999999997</v>
      </c>
      <c r="GN44">
        <v>39664</v>
      </c>
      <c r="GO44">
        <v>1.84413</v>
      </c>
      <c r="GP44">
        <v>2.4736799999999999</v>
      </c>
      <c r="GQ44">
        <v>3.5237499999999998E-2</v>
      </c>
      <c r="GR44">
        <v>0</v>
      </c>
      <c r="GS44">
        <v>29.4435</v>
      </c>
      <c r="GT44">
        <v>999.9</v>
      </c>
      <c r="GU44">
        <v>34.799999999999997</v>
      </c>
      <c r="GV44">
        <v>41</v>
      </c>
      <c r="GW44">
        <v>27.526299999999999</v>
      </c>
      <c r="GX44">
        <v>63.177799999999998</v>
      </c>
      <c r="GY44">
        <v>5.7892599999999996</v>
      </c>
      <c r="GZ44">
        <v>3</v>
      </c>
      <c r="HA44">
        <v>0.45744200000000002</v>
      </c>
      <c r="HB44">
        <v>2.2425799999999998</v>
      </c>
      <c r="HC44">
        <v>20.291</v>
      </c>
      <c r="HD44">
        <v>5.2102500000000003</v>
      </c>
      <c r="HE44">
        <v>11.908099999999999</v>
      </c>
      <c r="HF44">
        <v>4.9959499999999997</v>
      </c>
      <c r="HG44">
        <v>3.30185</v>
      </c>
      <c r="HH44">
        <v>9999</v>
      </c>
      <c r="HI44">
        <v>9999</v>
      </c>
      <c r="HJ44">
        <v>9999</v>
      </c>
      <c r="HK44">
        <v>999.9</v>
      </c>
      <c r="HL44">
        <v>1.8847100000000001</v>
      </c>
      <c r="HM44">
        <v>1.8852599999999999</v>
      </c>
      <c r="HN44">
        <v>1.8813</v>
      </c>
      <c r="HO44">
        <v>1.88293</v>
      </c>
      <c r="HP44">
        <v>1.87988</v>
      </c>
      <c r="HQ44">
        <v>1.8833899999999999</v>
      </c>
      <c r="HR44">
        <v>1.8793</v>
      </c>
      <c r="HS44">
        <v>1.8815599999999999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-4.0940000000000003</v>
      </c>
      <c r="IH44">
        <v>9.9000000000000008E-3</v>
      </c>
      <c r="II44">
        <v>-4.0494506621309903</v>
      </c>
      <c r="IJ44">
        <v>-3.7794827560518689E-3</v>
      </c>
      <c r="IK44">
        <v>4.9551128961100493E-7</v>
      </c>
      <c r="IL44">
        <v>1.3680294268397379E-10</v>
      </c>
      <c r="IM44">
        <v>9.9627265741696891E-3</v>
      </c>
      <c r="IN44">
        <v>0</v>
      </c>
      <c r="IO44">
        <v>0</v>
      </c>
      <c r="IP44">
        <v>0</v>
      </c>
      <c r="IQ44">
        <v>4</v>
      </c>
      <c r="IR44">
        <v>2229</v>
      </c>
      <c r="IS44">
        <v>1</v>
      </c>
      <c r="IT44">
        <v>22</v>
      </c>
      <c r="IU44">
        <v>0.6</v>
      </c>
      <c r="IV44">
        <v>0.6</v>
      </c>
      <c r="IW44">
        <v>0.20263700000000001</v>
      </c>
      <c r="IX44">
        <v>2.6269499999999999</v>
      </c>
      <c r="IY44">
        <v>2.9956100000000001</v>
      </c>
      <c r="IZ44">
        <v>2.9589799999999999</v>
      </c>
      <c r="JA44">
        <v>3.1970200000000002</v>
      </c>
      <c r="JB44">
        <v>2.50732</v>
      </c>
      <c r="JC44">
        <v>44.557299999999998</v>
      </c>
      <c r="JD44">
        <v>23.780999999999999</v>
      </c>
      <c r="JE44">
        <v>18</v>
      </c>
      <c r="JF44">
        <v>435.16199999999998</v>
      </c>
      <c r="JG44">
        <v>1149.19</v>
      </c>
      <c r="JH44">
        <v>26.6143</v>
      </c>
      <c r="JI44">
        <v>32.9771</v>
      </c>
      <c r="JJ44">
        <v>30.0001</v>
      </c>
      <c r="JK44">
        <v>33.042499999999997</v>
      </c>
      <c r="JL44">
        <v>32.973700000000001</v>
      </c>
      <c r="JM44">
        <v>4.0561600000000002</v>
      </c>
      <c r="JN44">
        <v>18.9998</v>
      </c>
      <c r="JO44">
        <v>40.927100000000003</v>
      </c>
      <c r="JP44">
        <v>26.590900000000001</v>
      </c>
      <c r="JQ44">
        <v>10</v>
      </c>
      <c r="JR44">
        <v>21.573799999999999</v>
      </c>
      <c r="JS44">
        <v>98.834500000000006</v>
      </c>
      <c r="JT44">
        <v>97.063199999999995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2023-11-17T19:24:45Z</dcterms:created>
  <dcterms:modified xsi:type="dcterms:W3CDTF">2023-11-18T00:11:29Z</dcterms:modified>
</cp:coreProperties>
</file>