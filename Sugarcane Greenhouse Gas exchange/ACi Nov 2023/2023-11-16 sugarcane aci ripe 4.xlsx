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GB\Documents\CABBI\sugarcane\2023 Nov\"/>
    </mc:Choice>
  </mc:AlternateContent>
  <bookViews>
    <workbookView xWindow="240" yWindow="15" windowWidth="16095" windowHeight="9660"/>
  </bookViews>
  <sheets>
    <sheet name="Measurements" sheetId="1" r:id="rId1"/>
    <sheet name="Remarks" sheetId="2" r:id="rId2"/>
  </sheets>
  <calcPr calcId="162913"/>
</workbook>
</file>

<file path=xl/calcChain.xml><?xml version="1.0" encoding="utf-8"?>
<calcChain xmlns="http://schemas.openxmlformats.org/spreadsheetml/2006/main">
  <c r="CY72" i="1" l="1"/>
  <c r="U72" i="1" s="1"/>
  <c r="CX72" i="1"/>
  <c r="CV72" i="1"/>
  <c r="BK72" i="1"/>
  <c r="BJ72" i="1"/>
  <c r="BB72" i="1"/>
  <c r="AV72" i="1"/>
  <c r="AP72" i="1"/>
  <c r="BC72" i="1" s="1"/>
  <c r="BF72" i="1" s="1"/>
  <c r="AK72" i="1"/>
  <c r="AI72" i="1" s="1"/>
  <c r="AA72" i="1"/>
  <c r="Y72" i="1" s="1"/>
  <c r="Z72" i="1"/>
  <c r="R72" i="1"/>
  <c r="CY71" i="1"/>
  <c r="U71" i="1" s="1"/>
  <c r="CX71" i="1"/>
  <c r="CV71" i="1"/>
  <c r="BK71" i="1"/>
  <c r="BJ71" i="1"/>
  <c r="BF71" i="1"/>
  <c r="BG71" i="1" s="1"/>
  <c r="BB71" i="1"/>
  <c r="AV71" i="1"/>
  <c r="AP71" i="1"/>
  <c r="BC71" i="1" s="1"/>
  <c r="AK71" i="1"/>
  <c r="AI71" i="1"/>
  <c r="AA71" i="1"/>
  <c r="Z71" i="1"/>
  <c r="Y71" i="1"/>
  <c r="R71" i="1"/>
  <c r="CY70" i="1"/>
  <c r="CX70" i="1"/>
  <c r="CV70" i="1"/>
  <c r="BK70" i="1"/>
  <c r="BJ70" i="1"/>
  <c r="BF70" i="1"/>
  <c r="BH70" i="1" s="1"/>
  <c r="BL70" i="1" s="1"/>
  <c r="BM70" i="1" s="1"/>
  <c r="BB70" i="1"/>
  <c r="AV70" i="1"/>
  <c r="AP70" i="1"/>
  <c r="BC70" i="1" s="1"/>
  <c r="AK70" i="1"/>
  <c r="AI70" i="1" s="1"/>
  <c r="AA70" i="1"/>
  <c r="Y70" i="1" s="1"/>
  <c r="Z70" i="1"/>
  <c r="R70" i="1"/>
  <c r="CY69" i="1"/>
  <c r="CX69" i="1"/>
  <c r="CV69" i="1"/>
  <c r="U69" i="1" s="1"/>
  <c r="BK69" i="1"/>
  <c r="BJ69" i="1"/>
  <c r="BG69" i="1"/>
  <c r="BF69" i="1"/>
  <c r="BI69" i="1" s="1"/>
  <c r="BB69" i="1"/>
  <c r="AV69" i="1"/>
  <c r="AP69" i="1"/>
  <c r="BC69" i="1" s="1"/>
  <c r="AK69" i="1"/>
  <c r="AI69" i="1" s="1"/>
  <c r="AA69" i="1"/>
  <c r="Z69" i="1"/>
  <c r="R69" i="1"/>
  <c r="CY68" i="1"/>
  <c r="CX68" i="1"/>
  <c r="CV68" i="1"/>
  <c r="CW68" i="1" s="1"/>
  <c r="AX68" i="1" s="1"/>
  <c r="AZ68" i="1" s="1"/>
  <c r="BK68" i="1"/>
  <c r="BJ68" i="1"/>
  <c r="BB68" i="1"/>
  <c r="AV68" i="1"/>
  <c r="AP68" i="1"/>
  <c r="BC68" i="1" s="1"/>
  <c r="BF68" i="1" s="1"/>
  <c r="AK68" i="1"/>
  <c r="AI68" i="1"/>
  <c r="AA68" i="1"/>
  <c r="Y68" i="1" s="1"/>
  <c r="Z68" i="1"/>
  <c r="R68" i="1"/>
  <c r="CY67" i="1"/>
  <c r="CX67" i="1"/>
  <c r="CV67" i="1"/>
  <c r="CW67" i="1" s="1"/>
  <c r="AX67" i="1" s="1"/>
  <c r="AZ67" i="1" s="1"/>
  <c r="BK67" i="1"/>
  <c r="BJ67" i="1"/>
  <c r="BF67" i="1"/>
  <c r="BG67" i="1" s="1"/>
  <c r="BB67" i="1"/>
  <c r="AV67" i="1"/>
  <c r="AP67" i="1"/>
  <c r="BC67" i="1" s="1"/>
  <c r="AK67" i="1"/>
  <c r="AI67" i="1" s="1"/>
  <c r="AA67" i="1"/>
  <c r="Z67" i="1"/>
  <c r="Y67" i="1" s="1"/>
  <c r="R67" i="1"/>
  <c r="CY66" i="1"/>
  <c r="U66" i="1" s="1"/>
  <c r="CX66" i="1"/>
  <c r="CW66" i="1"/>
  <c r="AX66" i="1" s="1"/>
  <c r="CV66" i="1"/>
  <c r="BK66" i="1"/>
  <c r="BJ66" i="1"/>
  <c r="BF66" i="1"/>
  <c r="BB66" i="1"/>
  <c r="AV66" i="1"/>
  <c r="AP66" i="1"/>
  <c r="BC66" i="1" s="1"/>
  <c r="AK66" i="1"/>
  <c r="AI66" i="1" s="1"/>
  <c r="AA66" i="1"/>
  <c r="Z66" i="1"/>
  <c r="Y66" i="1"/>
  <c r="R66" i="1"/>
  <c r="CY65" i="1"/>
  <c r="CX65" i="1"/>
  <c r="CV65" i="1"/>
  <c r="U65" i="1" s="1"/>
  <c r="BK65" i="1"/>
  <c r="BJ65" i="1"/>
  <c r="BG65" i="1"/>
  <c r="BF65" i="1"/>
  <c r="BI65" i="1" s="1"/>
  <c r="BB65" i="1"/>
  <c r="AV65" i="1"/>
  <c r="AP65" i="1"/>
  <c r="BC65" i="1" s="1"/>
  <c r="AK65" i="1"/>
  <c r="AI65" i="1" s="1"/>
  <c r="AJ65" i="1" s="1"/>
  <c r="AA65" i="1"/>
  <c r="Z65" i="1"/>
  <c r="R65" i="1"/>
  <c r="CY64" i="1"/>
  <c r="CX64" i="1"/>
  <c r="CV64" i="1"/>
  <c r="BK64" i="1"/>
  <c r="BJ64" i="1"/>
  <c r="BF64" i="1"/>
  <c r="BI64" i="1" s="1"/>
  <c r="BC64" i="1"/>
  <c r="BB64" i="1"/>
  <c r="AV64" i="1"/>
  <c r="AP64" i="1"/>
  <c r="AK64" i="1"/>
  <c r="AI64" i="1" s="1"/>
  <c r="AA64" i="1"/>
  <c r="Z64" i="1"/>
  <c r="Y64" i="1"/>
  <c r="R64" i="1"/>
  <c r="CY63" i="1"/>
  <c r="CX63" i="1"/>
  <c r="CV63" i="1"/>
  <c r="BK63" i="1"/>
  <c r="BJ63" i="1"/>
  <c r="BH63" i="1"/>
  <c r="BL63" i="1" s="1"/>
  <c r="BM63" i="1" s="1"/>
  <c r="BF63" i="1"/>
  <c r="BG63" i="1" s="1"/>
  <c r="BB63" i="1"/>
  <c r="AV63" i="1"/>
  <c r="AP63" i="1"/>
  <c r="BC63" i="1" s="1"/>
  <c r="AK63" i="1"/>
  <c r="AI63" i="1" s="1"/>
  <c r="AA63" i="1"/>
  <c r="Y63" i="1" s="1"/>
  <c r="Z63" i="1"/>
  <c r="R63" i="1"/>
  <c r="CY62" i="1"/>
  <c r="U62" i="1" s="1"/>
  <c r="CX62" i="1"/>
  <c r="CV62" i="1"/>
  <c r="BK62" i="1"/>
  <c r="BJ62" i="1"/>
  <c r="BB62" i="1"/>
  <c r="AV62" i="1"/>
  <c r="AP62" i="1"/>
  <c r="BC62" i="1" s="1"/>
  <c r="BF62" i="1" s="1"/>
  <c r="BH62" i="1" s="1"/>
  <c r="BL62" i="1" s="1"/>
  <c r="BM62" i="1" s="1"/>
  <c r="AK62" i="1"/>
  <c r="AI62" i="1" s="1"/>
  <c r="AA62" i="1"/>
  <c r="Z62" i="1"/>
  <c r="R62" i="1"/>
  <c r="CY61" i="1"/>
  <c r="CX61" i="1"/>
  <c r="CV61" i="1"/>
  <c r="U61" i="1" s="1"/>
  <c r="BK61" i="1"/>
  <c r="BJ61" i="1"/>
  <c r="BG61" i="1"/>
  <c r="BF61" i="1"/>
  <c r="BI61" i="1" s="1"/>
  <c r="BB61" i="1"/>
  <c r="AV61" i="1"/>
  <c r="AP61" i="1"/>
  <c r="BC61" i="1" s="1"/>
  <c r="AK61" i="1"/>
  <c r="AI61" i="1" s="1"/>
  <c r="AJ61" i="1" s="1"/>
  <c r="AA61" i="1"/>
  <c r="Z61" i="1"/>
  <c r="R61" i="1"/>
  <c r="CY60" i="1"/>
  <c r="CX60" i="1"/>
  <c r="CV60" i="1"/>
  <c r="CW60" i="1" s="1"/>
  <c r="AX60" i="1" s="1"/>
  <c r="AZ60" i="1" s="1"/>
  <c r="BK60" i="1"/>
  <c r="BJ60" i="1"/>
  <c r="BC60" i="1"/>
  <c r="BF60" i="1" s="1"/>
  <c r="BB60" i="1"/>
  <c r="AV60" i="1"/>
  <c r="AP60" i="1"/>
  <c r="AK60" i="1"/>
  <c r="AI60" i="1" s="1"/>
  <c r="AA60" i="1"/>
  <c r="Y60" i="1" s="1"/>
  <c r="Z60" i="1"/>
  <c r="R60" i="1"/>
  <c r="CY59" i="1"/>
  <c r="CX59" i="1"/>
  <c r="CV59" i="1"/>
  <c r="BK59" i="1"/>
  <c r="BJ59" i="1"/>
  <c r="BH59" i="1"/>
  <c r="BL59" i="1" s="1"/>
  <c r="BM59" i="1" s="1"/>
  <c r="BF59" i="1"/>
  <c r="BG59" i="1" s="1"/>
  <c r="BB59" i="1"/>
  <c r="AV59" i="1"/>
  <c r="AP59" i="1"/>
  <c r="BC59" i="1" s="1"/>
  <c r="AK59" i="1"/>
  <c r="AI59" i="1"/>
  <c r="AA59" i="1"/>
  <c r="Z59" i="1"/>
  <c r="Y59" i="1" s="1"/>
  <c r="R59" i="1"/>
  <c r="CY58" i="1"/>
  <c r="CX58" i="1"/>
  <c r="CV58" i="1"/>
  <c r="U58" i="1" s="1"/>
  <c r="BK58" i="1"/>
  <c r="BJ58" i="1"/>
  <c r="BB58" i="1"/>
  <c r="AV58" i="1"/>
  <c r="AP58" i="1"/>
  <c r="BC58" i="1" s="1"/>
  <c r="BF58" i="1" s="1"/>
  <c r="AK58" i="1"/>
  <c r="AI58" i="1" s="1"/>
  <c r="P58" i="1" s="1"/>
  <c r="AA58" i="1"/>
  <c r="Z58" i="1"/>
  <c r="Y58" i="1" s="1"/>
  <c r="R58" i="1"/>
  <c r="CY57" i="1"/>
  <c r="CX57" i="1"/>
  <c r="CV57" i="1"/>
  <c r="U57" i="1" s="1"/>
  <c r="BK57" i="1"/>
  <c r="BJ57" i="1"/>
  <c r="BH57" i="1"/>
  <c r="BL57" i="1" s="1"/>
  <c r="BM57" i="1" s="1"/>
  <c r="BF57" i="1"/>
  <c r="BB57" i="1"/>
  <c r="AV57" i="1"/>
  <c r="AP57" i="1"/>
  <c r="BC57" i="1" s="1"/>
  <c r="AK57" i="1"/>
  <c r="AI57" i="1" s="1"/>
  <c r="K57" i="1" s="1"/>
  <c r="J57" i="1" s="1"/>
  <c r="AA57" i="1"/>
  <c r="Z57" i="1"/>
  <c r="R57" i="1"/>
  <c r="CY56" i="1"/>
  <c r="CX56" i="1"/>
  <c r="CV56" i="1"/>
  <c r="BK56" i="1"/>
  <c r="BJ56" i="1"/>
  <c r="BC56" i="1"/>
  <c r="BF56" i="1" s="1"/>
  <c r="BB56" i="1"/>
  <c r="AV56" i="1"/>
  <c r="AP56" i="1"/>
  <c r="AK56" i="1"/>
  <c r="AI56" i="1" s="1"/>
  <c r="AA56" i="1"/>
  <c r="Y56" i="1" s="1"/>
  <c r="Z56" i="1"/>
  <c r="R56" i="1"/>
  <c r="CY55" i="1"/>
  <c r="U55" i="1" s="1"/>
  <c r="CX55" i="1"/>
  <c r="CW55" i="1"/>
  <c r="AX55" i="1" s="1"/>
  <c r="CV55" i="1"/>
  <c r="BK55" i="1"/>
  <c r="BJ55" i="1"/>
  <c r="BH55" i="1"/>
  <c r="BL55" i="1" s="1"/>
  <c r="BM55" i="1" s="1"/>
  <c r="BG55" i="1"/>
  <c r="BF55" i="1"/>
  <c r="BI55" i="1" s="1"/>
  <c r="BB55" i="1"/>
  <c r="AV55" i="1"/>
  <c r="AP55" i="1"/>
  <c r="BC55" i="1" s="1"/>
  <c r="AK55" i="1"/>
  <c r="AI55" i="1" s="1"/>
  <c r="AA55" i="1"/>
  <c r="Z55" i="1"/>
  <c r="R55" i="1"/>
  <c r="CY54" i="1"/>
  <c r="CX54" i="1"/>
  <c r="CW54" i="1"/>
  <c r="AX54" i="1" s="1"/>
  <c r="CV54" i="1"/>
  <c r="BK54" i="1"/>
  <c r="BJ54" i="1"/>
  <c r="BB54" i="1"/>
  <c r="AV54" i="1"/>
  <c r="AP54" i="1"/>
  <c r="BC54" i="1" s="1"/>
  <c r="BF54" i="1" s="1"/>
  <c r="AK54" i="1"/>
  <c r="AI54" i="1" s="1"/>
  <c r="L54" i="1" s="1"/>
  <c r="AY54" i="1" s="1"/>
  <c r="BA54" i="1" s="1"/>
  <c r="AA54" i="1"/>
  <c r="Z54" i="1"/>
  <c r="R54" i="1"/>
  <c r="CY53" i="1"/>
  <c r="CX53" i="1"/>
  <c r="CV53" i="1"/>
  <c r="BK53" i="1"/>
  <c r="BJ53" i="1"/>
  <c r="BF53" i="1"/>
  <c r="BH53" i="1" s="1"/>
  <c r="BL53" i="1" s="1"/>
  <c r="BM53" i="1" s="1"/>
  <c r="BB53" i="1"/>
  <c r="AV53" i="1"/>
  <c r="AP53" i="1"/>
  <c r="BC53" i="1" s="1"/>
  <c r="AK53" i="1"/>
  <c r="AI53" i="1" s="1"/>
  <c r="AA53" i="1"/>
  <c r="Z53" i="1"/>
  <c r="Y53" i="1" s="1"/>
  <c r="R53" i="1"/>
  <c r="CY52" i="1"/>
  <c r="CX52" i="1"/>
  <c r="CV52" i="1"/>
  <c r="U52" i="1" s="1"/>
  <c r="BK52" i="1"/>
  <c r="BJ52" i="1"/>
  <c r="BH52" i="1"/>
  <c r="BL52" i="1" s="1"/>
  <c r="BM52" i="1" s="1"/>
  <c r="BB52" i="1"/>
  <c r="AV52" i="1"/>
  <c r="AP52" i="1"/>
  <c r="BC52" i="1" s="1"/>
  <c r="BF52" i="1" s="1"/>
  <c r="AK52" i="1"/>
  <c r="AI52" i="1" s="1"/>
  <c r="AA52" i="1"/>
  <c r="Z52" i="1"/>
  <c r="R52" i="1"/>
  <c r="CY51" i="1"/>
  <c r="CX51" i="1"/>
  <c r="CV51" i="1"/>
  <c r="BK51" i="1"/>
  <c r="BJ51" i="1"/>
  <c r="BF51" i="1"/>
  <c r="BB51" i="1"/>
  <c r="AV51" i="1"/>
  <c r="AP51" i="1"/>
  <c r="BC51" i="1" s="1"/>
  <c r="AK51" i="1"/>
  <c r="AI51" i="1" s="1"/>
  <c r="L51" i="1" s="1"/>
  <c r="AY51" i="1" s="1"/>
  <c r="AA51" i="1"/>
  <c r="Y51" i="1" s="1"/>
  <c r="Z51" i="1"/>
  <c r="R51" i="1"/>
  <c r="CY50" i="1"/>
  <c r="CX50" i="1"/>
  <c r="CV50" i="1"/>
  <c r="BK50" i="1"/>
  <c r="BJ50" i="1"/>
  <c r="BF50" i="1"/>
  <c r="BB50" i="1"/>
  <c r="AV50" i="1"/>
  <c r="AP50" i="1"/>
  <c r="BC50" i="1" s="1"/>
  <c r="AK50" i="1"/>
  <c r="AJ50" i="1"/>
  <c r="AI50" i="1"/>
  <c r="AA50" i="1"/>
  <c r="Z50" i="1"/>
  <c r="Y50" i="1" s="1"/>
  <c r="R50" i="1"/>
  <c r="L50" i="1"/>
  <c r="AY50" i="1" s="1"/>
  <c r="CY49" i="1"/>
  <c r="CX49" i="1"/>
  <c r="CV49" i="1"/>
  <c r="BK49" i="1"/>
  <c r="BJ49" i="1"/>
  <c r="BF49" i="1"/>
  <c r="BH49" i="1" s="1"/>
  <c r="BL49" i="1" s="1"/>
  <c r="BM49" i="1" s="1"/>
  <c r="BB49" i="1"/>
  <c r="AV49" i="1"/>
  <c r="AP49" i="1"/>
  <c r="BC49" i="1" s="1"/>
  <c r="AK49" i="1"/>
  <c r="AI49" i="1" s="1"/>
  <c r="AA49" i="1"/>
  <c r="Z49" i="1"/>
  <c r="Y49" i="1" s="1"/>
  <c r="R49" i="1"/>
  <c r="CY48" i="1"/>
  <c r="U48" i="1" s="1"/>
  <c r="CX48" i="1"/>
  <c r="CW48" i="1"/>
  <c r="AX48" i="1" s="1"/>
  <c r="AZ48" i="1" s="1"/>
  <c r="CV48" i="1"/>
  <c r="BK48" i="1"/>
  <c r="BJ48" i="1"/>
  <c r="BB48" i="1"/>
  <c r="AV48" i="1"/>
  <c r="AP48" i="1"/>
  <c r="BC48" i="1" s="1"/>
  <c r="BF48" i="1" s="1"/>
  <c r="BI48" i="1" s="1"/>
  <c r="AK48" i="1"/>
  <c r="AI48" i="1" s="1"/>
  <c r="AA48" i="1"/>
  <c r="Z48" i="1"/>
  <c r="Y48" i="1" s="1"/>
  <c r="R48" i="1"/>
  <c r="M48" i="1"/>
  <c r="CY47" i="1"/>
  <c r="CX47" i="1"/>
  <c r="CV47" i="1"/>
  <c r="CW47" i="1" s="1"/>
  <c r="AX47" i="1" s="1"/>
  <c r="BK47" i="1"/>
  <c r="BJ47" i="1"/>
  <c r="BF47" i="1"/>
  <c r="BC47" i="1"/>
  <c r="BB47" i="1"/>
  <c r="AV47" i="1"/>
  <c r="AP47" i="1"/>
  <c r="AK47" i="1"/>
  <c r="AI47" i="1" s="1"/>
  <c r="L47" i="1" s="1"/>
  <c r="AY47" i="1" s="1"/>
  <c r="AA47" i="1"/>
  <c r="Y47" i="1" s="1"/>
  <c r="Z47" i="1"/>
  <c r="U47" i="1"/>
  <c r="R47" i="1"/>
  <c r="CY46" i="1"/>
  <c r="CX46" i="1"/>
  <c r="CV46" i="1"/>
  <c r="BK46" i="1"/>
  <c r="BJ46" i="1"/>
  <c r="BB46" i="1"/>
  <c r="AV46" i="1"/>
  <c r="AP46" i="1"/>
  <c r="BC46" i="1" s="1"/>
  <c r="BF46" i="1" s="1"/>
  <c r="BH46" i="1" s="1"/>
  <c r="BL46" i="1" s="1"/>
  <c r="BM46" i="1" s="1"/>
  <c r="AK46" i="1"/>
  <c r="AI46" i="1"/>
  <c r="M46" i="1" s="1"/>
  <c r="AA46" i="1"/>
  <c r="Y46" i="1" s="1"/>
  <c r="Z46" i="1"/>
  <c r="R46" i="1"/>
  <c r="K46" i="1"/>
  <c r="J46" i="1" s="1"/>
  <c r="CY45" i="1"/>
  <c r="CX45" i="1"/>
  <c r="CV45" i="1"/>
  <c r="BK45" i="1"/>
  <c r="BJ45" i="1"/>
  <c r="BF45" i="1"/>
  <c r="BH45" i="1" s="1"/>
  <c r="BL45" i="1" s="1"/>
  <c r="BM45" i="1" s="1"/>
  <c r="BB45" i="1"/>
  <c r="AV45" i="1"/>
  <c r="AP45" i="1"/>
  <c r="BC45" i="1" s="1"/>
  <c r="AK45" i="1"/>
  <c r="AI45" i="1"/>
  <c r="AA45" i="1"/>
  <c r="Y45" i="1" s="1"/>
  <c r="Z45" i="1"/>
  <c r="R45" i="1"/>
  <c r="CY44" i="1"/>
  <c r="CX44" i="1"/>
  <c r="CW44" i="1" s="1"/>
  <c r="AX44" i="1" s="1"/>
  <c r="CV44" i="1"/>
  <c r="BK44" i="1"/>
  <c r="BJ44" i="1"/>
  <c r="BH44" i="1"/>
  <c r="BL44" i="1" s="1"/>
  <c r="BM44" i="1" s="1"/>
  <c r="BG44" i="1"/>
  <c r="BF44" i="1"/>
  <c r="BI44" i="1" s="1"/>
  <c r="BB44" i="1"/>
  <c r="AV44" i="1"/>
  <c r="AP44" i="1"/>
  <c r="BC44" i="1" s="1"/>
  <c r="AK44" i="1"/>
  <c r="AI44" i="1" s="1"/>
  <c r="AA44" i="1"/>
  <c r="Z44" i="1"/>
  <c r="U44" i="1"/>
  <c r="R44" i="1"/>
  <c r="CY43" i="1"/>
  <c r="CX43" i="1"/>
  <c r="CV43" i="1"/>
  <c r="BK43" i="1"/>
  <c r="BJ43" i="1"/>
  <c r="BB43" i="1"/>
  <c r="AV43" i="1"/>
  <c r="AP43" i="1"/>
  <c r="BC43" i="1" s="1"/>
  <c r="BF43" i="1" s="1"/>
  <c r="AK43" i="1"/>
  <c r="AI43" i="1" s="1"/>
  <c r="L43" i="1" s="1"/>
  <c r="AY43" i="1" s="1"/>
  <c r="AA43" i="1"/>
  <c r="Y43" i="1" s="1"/>
  <c r="Z43" i="1"/>
  <c r="R43" i="1"/>
  <c r="CY42" i="1"/>
  <c r="CX42" i="1"/>
  <c r="CW42" i="1" s="1"/>
  <c r="AX42" i="1" s="1"/>
  <c r="CV42" i="1"/>
  <c r="BL42" i="1"/>
  <c r="BM42" i="1" s="1"/>
  <c r="BK42" i="1"/>
  <c r="BJ42" i="1"/>
  <c r="BH42" i="1"/>
  <c r="BF42" i="1"/>
  <c r="BI42" i="1" s="1"/>
  <c r="BC42" i="1"/>
  <c r="BB42" i="1"/>
  <c r="AV42" i="1"/>
  <c r="AP42" i="1"/>
  <c r="AK42" i="1"/>
  <c r="AI42" i="1" s="1"/>
  <c r="AA42" i="1"/>
  <c r="Y42" i="1" s="1"/>
  <c r="Z42" i="1"/>
  <c r="U42" i="1"/>
  <c r="R42" i="1"/>
  <c r="CY41" i="1"/>
  <c r="CX41" i="1"/>
  <c r="CV41" i="1"/>
  <c r="BK41" i="1"/>
  <c r="BJ41" i="1"/>
  <c r="BB41" i="1"/>
  <c r="AV41" i="1"/>
  <c r="AP41" i="1"/>
  <c r="BC41" i="1" s="1"/>
  <c r="BF41" i="1" s="1"/>
  <c r="AK41" i="1"/>
  <c r="AI41" i="1" s="1"/>
  <c r="P41" i="1" s="1"/>
  <c r="AA41" i="1"/>
  <c r="Z41" i="1"/>
  <c r="Y41" i="1" s="1"/>
  <c r="R41" i="1"/>
  <c r="CY40" i="1"/>
  <c r="CX40" i="1"/>
  <c r="CW40" i="1" s="1"/>
  <c r="AX40" i="1" s="1"/>
  <c r="CV40" i="1"/>
  <c r="BK40" i="1"/>
  <c r="BJ40" i="1"/>
  <c r="BH40" i="1"/>
  <c r="BL40" i="1" s="1"/>
  <c r="BM40" i="1" s="1"/>
  <c r="BG40" i="1"/>
  <c r="BF40" i="1"/>
  <c r="BI40" i="1" s="1"/>
  <c r="BB40" i="1"/>
  <c r="AV40" i="1"/>
  <c r="AP40" i="1"/>
  <c r="BC40" i="1" s="1"/>
  <c r="AK40" i="1"/>
  <c r="AI40" i="1" s="1"/>
  <c r="AA40" i="1"/>
  <c r="Z40" i="1"/>
  <c r="U40" i="1"/>
  <c r="R40" i="1"/>
  <c r="CY39" i="1"/>
  <c r="CX39" i="1"/>
  <c r="CW39" i="1"/>
  <c r="AX39" i="1" s="1"/>
  <c r="CV39" i="1"/>
  <c r="BK39" i="1"/>
  <c r="BJ39" i="1"/>
  <c r="BB39" i="1"/>
  <c r="AV39" i="1"/>
  <c r="AP39" i="1"/>
  <c r="BC39" i="1" s="1"/>
  <c r="BF39" i="1" s="1"/>
  <c r="AK39" i="1"/>
  <c r="AI39" i="1" s="1"/>
  <c r="M39" i="1" s="1"/>
  <c r="AA39" i="1"/>
  <c r="Z39" i="1"/>
  <c r="U39" i="1"/>
  <c r="R39" i="1"/>
  <c r="CY38" i="1"/>
  <c r="CX38" i="1"/>
  <c r="CV38" i="1"/>
  <c r="CW38" i="1" s="1"/>
  <c r="AX38" i="1" s="1"/>
  <c r="BK38" i="1"/>
  <c r="BJ38" i="1"/>
  <c r="BF38" i="1"/>
  <c r="BI38" i="1" s="1"/>
  <c r="BB38" i="1"/>
  <c r="AV38" i="1"/>
  <c r="AP38" i="1"/>
  <c r="BC38" i="1" s="1"/>
  <c r="AK38" i="1"/>
  <c r="AI38" i="1" s="1"/>
  <c r="AJ38" i="1" s="1"/>
  <c r="AA38" i="1"/>
  <c r="Z38" i="1"/>
  <c r="R38" i="1"/>
  <c r="CY37" i="1"/>
  <c r="CX37" i="1"/>
  <c r="CV37" i="1"/>
  <c r="BK37" i="1"/>
  <c r="BJ37" i="1"/>
  <c r="BF37" i="1"/>
  <c r="BH37" i="1" s="1"/>
  <c r="BL37" i="1" s="1"/>
  <c r="BM37" i="1" s="1"/>
  <c r="BB37" i="1"/>
  <c r="AV37" i="1"/>
  <c r="AP37" i="1"/>
  <c r="BC37" i="1" s="1"/>
  <c r="AK37" i="1"/>
  <c r="AI37" i="1" s="1"/>
  <c r="P37" i="1" s="1"/>
  <c r="AA37" i="1"/>
  <c r="Z37" i="1"/>
  <c r="Y37" i="1" s="1"/>
  <c r="R37" i="1"/>
  <c r="CY36" i="1"/>
  <c r="CX36" i="1"/>
  <c r="CV36" i="1"/>
  <c r="CW36" i="1" s="1"/>
  <c r="AX36" i="1" s="1"/>
  <c r="BK36" i="1"/>
  <c r="BJ36" i="1"/>
  <c r="BI36" i="1"/>
  <c r="BF36" i="1"/>
  <c r="BH36" i="1" s="1"/>
  <c r="BL36" i="1" s="1"/>
  <c r="BM36" i="1" s="1"/>
  <c r="BB36" i="1"/>
  <c r="AV36" i="1"/>
  <c r="AP36" i="1"/>
  <c r="BC36" i="1" s="1"/>
  <c r="AK36" i="1"/>
  <c r="AI36" i="1" s="1"/>
  <c r="AA36" i="1"/>
  <c r="Z36" i="1"/>
  <c r="R36" i="1"/>
  <c r="CY35" i="1"/>
  <c r="CX35" i="1"/>
  <c r="CV35" i="1"/>
  <c r="BK35" i="1"/>
  <c r="BJ35" i="1"/>
  <c r="BF35" i="1"/>
  <c r="BG35" i="1" s="1"/>
  <c r="BB35" i="1"/>
  <c r="AV35" i="1"/>
  <c r="AP35" i="1"/>
  <c r="BC35" i="1" s="1"/>
  <c r="AK35" i="1"/>
  <c r="AI35" i="1" s="1"/>
  <c r="L35" i="1" s="1"/>
  <c r="AY35" i="1" s="1"/>
  <c r="AA35" i="1"/>
  <c r="Z35" i="1"/>
  <c r="R35" i="1"/>
  <c r="M35" i="1"/>
  <c r="CY34" i="1"/>
  <c r="CX34" i="1"/>
  <c r="CV34" i="1"/>
  <c r="CW34" i="1" s="1"/>
  <c r="AX34" i="1" s="1"/>
  <c r="BK34" i="1"/>
  <c r="BJ34" i="1"/>
  <c r="BF34" i="1"/>
  <c r="BI34" i="1" s="1"/>
  <c r="BB34" i="1"/>
  <c r="AV34" i="1"/>
  <c r="AP34" i="1"/>
  <c r="BC34" i="1" s="1"/>
  <c r="AK34" i="1"/>
  <c r="AI34" i="1" s="1"/>
  <c r="AA34" i="1"/>
  <c r="Z34" i="1"/>
  <c r="Y34" i="1"/>
  <c r="R34" i="1"/>
  <c r="CY33" i="1"/>
  <c r="CX33" i="1"/>
  <c r="CV33" i="1"/>
  <c r="BK33" i="1"/>
  <c r="BJ33" i="1"/>
  <c r="BF33" i="1"/>
  <c r="BH33" i="1" s="1"/>
  <c r="BL33" i="1" s="1"/>
  <c r="BM33" i="1" s="1"/>
  <c r="BB33" i="1"/>
  <c r="AV33" i="1"/>
  <c r="AP33" i="1"/>
  <c r="BC33" i="1" s="1"/>
  <c r="AK33" i="1"/>
  <c r="AI33" i="1"/>
  <c r="AA33" i="1"/>
  <c r="Z33" i="1"/>
  <c r="Y33" i="1"/>
  <c r="R33" i="1"/>
  <c r="CY32" i="1"/>
  <c r="CX32" i="1"/>
  <c r="CV32" i="1"/>
  <c r="U32" i="1" s="1"/>
  <c r="BK32" i="1"/>
  <c r="BJ32" i="1"/>
  <c r="BB32" i="1"/>
  <c r="AV32" i="1"/>
  <c r="AP32" i="1"/>
  <c r="BC32" i="1" s="1"/>
  <c r="BF32" i="1" s="1"/>
  <c r="BI32" i="1" s="1"/>
  <c r="AK32" i="1"/>
  <c r="AJ32" i="1"/>
  <c r="AI32" i="1"/>
  <c r="L32" i="1" s="1"/>
  <c r="AY32" i="1" s="1"/>
  <c r="AA32" i="1"/>
  <c r="Z32" i="1"/>
  <c r="Y32" i="1" s="1"/>
  <c r="R32" i="1"/>
  <c r="P32" i="1"/>
  <c r="CY31" i="1"/>
  <c r="CX31" i="1"/>
  <c r="CW31" i="1" s="1"/>
  <c r="AX31" i="1" s="1"/>
  <c r="CV31" i="1"/>
  <c r="BK31" i="1"/>
  <c r="BJ31" i="1"/>
  <c r="BH31" i="1"/>
  <c r="BL31" i="1" s="1"/>
  <c r="BM31" i="1" s="1"/>
  <c r="BG31" i="1"/>
  <c r="BF31" i="1"/>
  <c r="BI31" i="1" s="1"/>
  <c r="BB31" i="1"/>
  <c r="AV31" i="1"/>
  <c r="AZ31" i="1" s="1"/>
  <c r="AP31" i="1"/>
  <c r="BC31" i="1" s="1"/>
  <c r="AK31" i="1"/>
  <c r="AI31" i="1" s="1"/>
  <c r="AJ31" i="1" s="1"/>
  <c r="AA31" i="1"/>
  <c r="Z31" i="1"/>
  <c r="Y31" i="1" s="1"/>
  <c r="U31" i="1"/>
  <c r="R31" i="1"/>
  <c r="M31" i="1"/>
  <c r="CY30" i="1"/>
  <c r="CX30" i="1"/>
  <c r="CV30" i="1"/>
  <c r="CW30" i="1" s="1"/>
  <c r="AX30" i="1" s="1"/>
  <c r="BK30" i="1"/>
  <c r="BJ30" i="1"/>
  <c r="BH30" i="1"/>
  <c r="BL30" i="1" s="1"/>
  <c r="BM30" i="1" s="1"/>
  <c r="BG30" i="1"/>
  <c r="BF30" i="1"/>
  <c r="BI30" i="1" s="1"/>
  <c r="BB30" i="1"/>
  <c r="AV30" i="1"/>
  <c r="AP30" i="1"/>
  <c r="BC30" i="1" s="1"/>
  <c r="AK30" i="1"/>
  <c r="AI30" i="1"/>
  <c r="K30" i="1" s="1"/>
  <c r="J30" i="1" s="1"/>
  <c r="AA30" i="1"/>
  <c r="Z30" i="1"/>
  <c r="Y30" i="1"/>
  <c r="R30" i="1"/>
  <c r="CY29" i="1"/>
  <c r="CX29" i="1"/>
  <c r="CV29" i="1"/>
  <c r="BK29" i="1"/>
  <c r="BJ29" i="1"/>
  <c r="BB29" i="1"/>
  <c r="AV29" i="1"/>
  <c r="AP29" i="1"/>
  <c r="BC29" i="1" s="1"/>
  <c r="BF29" i="1" s="1"/>
  <c r="BI29" i="1" s="1"/>
  <c r="AK29" i="1"/>
  <c r="AI29" i="1" s="1"/>
  <c r="P29" i="1" s="1"/>
  <c r="AA29" i="1"/>
  <c r="Z29" i="1"/>
  <c r="R29" i="1"/>
  <c r="CY28" i="1"/>
  <c r="CX28" i="1"/>
  <c r="CW28" i="1"/>
  <c r="AX28" i="1" s="1"/>
  <c r="AZ28" i="1" s="1"/>
  <c r="CV28" i="1"/>
  <c r="BK28" i="1"/>
  <c r="BJ28" i="1"/>
  <c r="BF28" i="1"/>
  <c r="BI28" i="1" s="1"/>
  <c r="BB28" i="1"/>
  <c r="AV28" i="1"/>
  <c r="AP28" i="1"/>
  <c r="BC28" i="1" s="1"/>
  <c r="AK28" i="1"/>
  <c r="AI28" i="1" s="1"/>
  <c r="AA28" i="1"/>
  <c r="Z28" i="1"/>
  <c r="Y28" i="1" s="1"/>
  <c r="U28" i="1"/>
  <c r="R28" i="1"/>
  <c r="CY27" i="1"/>
  <c r="U27" i="1" s="1"/>
  <c r="CX27" i="1"/>
  <c r="CW27" i="1" s="1"/>
  <c r="AX27" i="1" s="1"/>
  <c r="CV27" i="1"/>
  <c r="BK27" i="1"/>
  <c r="BJ27" i="1"/>
  <c r="BB27" i="1"/>
  <c r="AV27" i="1"/>
  <c r="AP27" i="1"/>
  <c r="BC27" i="1" s="1"/>
  <c r="BF27" i="1" s="1"/>
  <c r="BG27" i="1" s="1"/>
  <c r="AK27" i="1"/>
  <c r="AI27" i="1"/>
  <c r="K27" i="1" s="1"/>
  <c r="J27" i="1" s="1"/>
  <c r="AA27" i="1"/>
  <c r="Y27" i="1" s="1"/>
  <c r="Z27" i="1"/>
  <c r="R27" i="1"/>
  <c r="L27" i="1"/>
  <c r="AY27" i="1" s="1"/>
  <c r="CY26" i="1"/>
  <c r="CX26" i="1"/>
  <c r="CV26" i="1"/>
  <c r="CW26" i="1" s="1"/>
  <c r="AX26" i="1" s="1"/>
  <c r="BK26" i="1"/>
  <c r="BJ26" i="1"/>
  <c r="BF26" i="1"/>
  <c r="BB26" i="1"/>
  <c r="AV26" i="1"/>
  <c r="AP26" i="1"/>
  <c r="BC26" i="1" s="1"/>
  <c r="AK26" i="1"/>
  <c r="AI26" i="1" s="1"/>
  <c r="M26" i="1" s="1"/>
  <c r="AA26" i="1"/>
  <c r="Z26" i="1"/>
  <c r="R26" i="1"/>
  <c r="L26" i="1"/>
  <c r="AY26" i="1" s="1"/>
  <c r="CY25" i="1"/>
  <c r="CX25" i="1"/>
  <c r="CW25" i="1"/>
  <c r="AX25" i="1" s="1"/>
  <c r="AZ25" i="1" s="1"/>
  <c r="CV25" i="1"/>
  <c r="BM25" i="1"/>
  <c r="BL25" i="1"/>
  <c r="BK25" i="1"/>
  <c r="BJ25" i="1"/>
  <c r="BI25" i="1"/>
  <c r="BH25" i="1"/>
  <c r="BG25" i="1"/>
  <c r="BF25" i="1"/>
  <c r="BC25" i="1"/>
  <c r="BB25" i="1"/>
  <c r="AV25" i="1"/>
  <c r="AP25" i="1"/>
  <c r="AK25" i="1"/>
  <c r="AI25" i="1" s="1"/>
  <c r="K25" i="1" s="1"/>
  <c r="J25" i="1" s="1"/>
  <c r="AA25" i="1"/>
  <c r="Z25" i="1"/>
  <c r="U25" i="1"/>
  <c r="R25" i="1"/>
  <c r="CY24" i="1"/>
  <c r="CX24" i="1"/>
  <c r="CV24" i="1"/>
  <c r="BK24" i="1"/>
  <c r="BJ24" i="1"/>
  <c r="BI24" i="1"/>
  <c r="BG24" i="1"/>
  <c r="BF24" i="1"/>
  <c r="BH24" i="1" s="1"/>
  <c r="BL24" i="1" s="1"/>
  <c r="BM24" i="1" s="1"/>
  <c r="BB24" i="1"/>
  <c r="AV24" i="1"/>
  <c r="AP24" i="1"/>
  <c r="BC24" i="1" s="1"/>
  <c r="AK24" i="1"/>
  <c r="AI24" i="1" s="1"/>
  <c r="P24" i="1" s="1"/>
  <c r="AA24" i="1"/>
  <c r="Z24" i="1"/>
  <c r="Y24" i="1" s="1"/>
  <c r="R24" i="1"/>
  <c r="CY23" i="1"/>
  <c r="U23" i="1" s="1"/>
  <c r="CX23" i="1"/>
  <c r="CW23" i="1" s="1"/>
  <c r="AX23" i="1" s="1"/>
  <c r="CV23" i="1"/>
  <c r="BK23" i="1"/>
  <c r="BJ23" i="1"/>
  <c r="BB23" i="1"/>
  <c r="AV23" i="1"/>
  <c r="AP23" i="1"/>
  <c r="BC23" i="1" s="1"/>
  <c r="BF23" i="1" s="1"/>
  <c r="BG23" i="1" s="1"/>
  <c r="AK23" i="1"/>
  <c r="AI23" i="1" s="1"/>
  <c r="AA23" i="1"/>
  <c r="Y23" i="1" s="1"/>
  <c r="Z23" i="1"/>
  <c r="R23" i="1"/>
  <c r="CY22" i="1"/>
  <c r="CX22" i="1"/>
  <c r="CV22" i="1"/>
  <c r="U22" i="1" s="1"/>
  <c r="BK22" i="1"/>
  <c r="BJ22" i="1"/>
  <c r="BG22" i="1"/>
  <c r="BF22" i="1"/>
  <c r="BB22" i="1"/>
  <c r="AV22" i="1"/>
  <c r="AP22" i="1"/>
  <c r="BC22" i="1" s="1"/>
  <c r="AK22" i="1"/>
  <c r="AI22" i="1" s="1"/>
  <c r="M22" i="1" s="1"/>
  <c r="AA22" i="1"/>
  <c r="Z22" i="1"/>
  <c r="Y22" i="1" s="1"/>
  <c r="R22" i="1"/>
  <c r="CY21" i="1"/>
  <c r="U21" i="1" s="1"/>
  <c r="CX21" i="1"/>
  <c r="CV21" i="1"/>
  <c r="CW21" i="1" s="1"/>
  <c r="AX21" i="1" s="1"/>
  <c r="AZ21" i="1" s="1"/>
  <c r="BK21" i="1"/>
  <c r="BJ21" i="1"/>
  <c r="BH21" i="1"/>
  <c r="BL21" i="1" s="1"/>
  <c r="BM21" i="1" s="1"/>
  <c r="BG21" i="1"/>
  <c r="BF21" i="1"/>
  <c r="BI21" i="1" s="1"/>
  <c r="BB21" i="1"/>
  <c r="AV21" i="1"/>
  <c r="AP21" i="1"/>
  <c r="BC21" i="1" s="1"/>
  <c r="AK21" i="1"/>
  <c r="AI21" i="1" s="1"/>
  <c r="AJ21" i="1"/>
  <c r="AA21" i="1"/>
  <c r="Z21" i="1"/>
  <c r="R21" i="1"/>
  <c r="K21" i="1"/>
  <c r="J21" i="1" s="1"/>
  <c r="CY20" i="1"/>
  <c r="CX20" i="1"/>
  <c r="CV20" i="1"/>
  <c r="CW20" i="1" s="1"/>
  <c r="AX20" i="1" s="1"/>
  <c r="BK20" i="1"/>
  <c r="BJ20" i="1"/>
  <c r="BC20" i="1"/>
  <c r="BF20" i="1" s="1"/>
  <c r="BB20" i="1"/>
  <c r="AV20" i="1"/>
  <c r="AZ20" i="1" s="1"/>
  <c r="AP20" i="1"/>
  <c r="AK20" i="1"/>
  <c r="AI20" i="1" s="1"/>
  <c r="P20" i="1" s="1"/>
  <c r="AA20" i="1"/>
  <c r="Z20" i="1"/>
  <c r="Y20" i="1" s="1"/>
  <c r="R20" i="1"/>
  <c r="CY19" i="1"/>
  <c r="CX19" i="1"/>
  <c r="CW19" i="1" s="1"/>
  <c r="AX19" i="1" s="1"/>
  <c r="CV19" i="1"/>
  <c r="BK19" i="1"/>
  <c r="BJ19" i="1"/>
  <c r="BH19" i="1"/>
  <c r="BL19" i="1" s="1"/>
  <c r="BM19" i="1" s="1"/>
  <c r="BG19" i="1"/>
  <c r="BF19" i="1"/>
  <c r="BI19" i="1" s="1"/>
  <c r="BB19" i="1"/>
  <c r="AV19" i="1"/>
  <c r="AP19" i="1"/>
  <c r="BC19" i="1" s="1"/>
  <c r="AK19" i="1"/>
  <c r="AI19" i="1"/>
  <c r="K19" i="1" s="1"/>
  <c r="J19" i="1" s="1"/>
  <c r="AA19" i="1"/>
  <c r="Y19" i="1" s="1"/>
  <c r="Z19" i="1"/>
  <c r="R19" i="1"/>
  <c r="L19" i="1"/>
  <c r="AY19" i="1" s="1"/>
  <c r="CY18" i="1"/>
  <c r="CX18" i="1"/>
  <c r="CV18" i="1"/>
  <c r="CW18" i="1" s="1"/>
  <c r="AX18" i="1" s="1"/>
  <c r="BK18" i="1"/>
  <c r="BJ18" i="1"/>
  <c r="BF18" i="1"/>
  <c r="BB18" i="1"/>
  <c r="AV18" i="1"/>
  <c r="AP18" i="1"/>
  <c r="BC18" i="1" s="1"/>
  <c r="AK18" i="1"/>
  <c r="AI18" i="1" s="1"/>
  <c r="M18" i="1" s="1"/>
  <c r="AA18" i="1"/>
  <c r="Z18" i="1"/>
  <c r="R18" i="1"/>
  <c r="L18" i="1"/>
  <c r="AY18" i="1" s="1"/>
  <c r="CY17" i="1"/>
  <c r="U17" i="1" s="1"/>
  <c r="CX17" i="1"/>
  <c r="CW17" i="1"/>
  <c r="AX17" i="1" s="1"/>
  <c r="AZ17" i="1" s="1"/>
  <c r="CV17" i="1"/>
  <c r="BL17" i="1"/>
  <c r="BM17" i="1" s="1"/>
  <c r="BK17" i="1"/>
  <c r="BJ17" i="1"/>
  <c r="BI17" i="1"/>
  <c r="BH17" i="1"/>
  <c r="BG17" i="1"/>
  <c r="BF17" i="1"/>
  <c r="BB17" i="1"/>
  <c r="AV17" i="1"/>
  <c r="AP17" i="1"/>
  <c r="BC17" i="1" s="1"/>
  <c r="AK17" i="1"/>
  <c r="AI17" i="1" s="1"/>
  <c r="AJ17" i="1" s="1"/>
  <c r="AA17" i="1"/>
  <c r="Z17" i="1"/>
  <c r="R17" i="1"/>
  <c r="K23" i="1" l="1"/>
  <c r="J23" i="1" s="1"/>
  <c r="L23" i="1"/>
  <c r="AY23" i="1" s="1"/>
  <c r="BA23" i="1" s="1"/>
  <c r="M23" i="1"/>
  <c r="L40" i="1"/>
  <c r="AY40" i="1" s="1"/>
  <c r="BA40" i="1" s="1"/>
  <c r="P40" i="1"/>
  <c r="M40" i="1"/>
  <c r="AJ40" i="1"/>
  <c r="L36" i="1"/>
  <c r="AY36" i="1" s="1"/>
  <c r="AJ36" i="1"/>
  <c r="M36" i="1"/>
  <c r="P36" i="1"/>
  <c r="L44" i="1"/>
  <c r="AY44" i="1" s="1"/>
  <c r="AJ44" i="1"/>
  <c r="M44" i="1"/>
  <c r="M49" i="1"/>
  <c r="P49" i="1"/>
  <c r="AJ49" i="1"/>
  <c r="K70" i="1"/>
  <c r="J70" i="1" s="1"/>
  <c r="AC70" i="1" s="1"/>
  <c r="P70" i="1"/>
  <c r="M70" i="1"/>
  <c r="L70" i="1"/>
  <c r="AY70" i="1" s="1"/>
  <c r="M53" i="1"/>
  <c r="P53" i="1"/>
  <c r="AJ53" i="1"/>
  <c r="P55" i="1"/>
  <c r="M55" i="1"/>
  <c r="K28" i="1"/>
  <c r="J28" i="1" s="1"/>
  <c r="P28" i="1"/>
  <c r="AJ28" i="1"/>
  <c r="K62" i="1"/>
  <c r="J62" i="1" s="1"/>
  <c r="M62" i="1"/>
  <c r="AJ62" i="1"/>
  <c r="L62" i="1"/>
  <c r="AY62" i="1" s="1"/>
  <c r="P62" i="1"/>
  <c r="K66" i="1"/>
  <c r="J66" i="1" s="1"/>
  <c r="AC66" i="1" s="1"/>
  <c r="P66" i="1"/>
  <c r="M66" i="1"/>
  <c r="L66" i="1"/>
  <c r="AY66" i="1" s="1"/>
  <c r="U26" i="1"/>
  <c r="Y18" i="1"/>
  <c r="U19" i="1"/>
  <c r="L22" i="1"/>
  <c r="AY22" i="1" s="1"/>
  <c r="Y26" i="1"/>
  <c r="BH27" i="1"/>
  <c r="BL27" i="1" s="1"/>
  <c r="BM27" i="1" s="1"/>
  <c r="M32" i="1"/>
  <c r="CW32" i="1"/>
  <c r="AX32" i="1" s="1"/>
  <c r="AZ32" i="1" s="1"/>
  <c r="CW33" i="1"/>
  <c r="AX33" i="1" s="1"/>
  <c r="AZ33" i="1" s="1"/>
  <c r="Y39" i="1"/>
  <c r="Y40" i="1"/>
  <c r="BI45" i="1"/>
  <c r="BG48" i="1"/>
  <c r="AZ54" i="1"/>
  <c r="BI59" i="1"/>
  <c r="CW63" i="1"/>
  <c r="AX63" i="1" s="1"/>
  <c r="AZ63" i="1" s="1"/>
  <c r="CW64" i="1"/>
  <c r="AX64" i="1" s="1"/>
  <c r="AZ64" i="1" s="1"/>
  <c r="CW69" i="1"/>
  <c r="AX69" i="1" s="1"/>
  <c r="AZ69" i="1" s="1"/>
  <c r="V23" i="1"/>
  <c r="W23" i="1" s="1"/>
  <c r="X23" i="1" s="1"/>
  <c r="AB23" i="1" s="1"/>
  <c r="BG28" i="1"/>
  <c r="BI37" i="1"/>
  <c r="BH38" i="1"/>
  <c r="BL38" i="1" s="1"/>
  <c r="BM38" i="1" s="1"/>
  <c r="K39" i="1"/>
  <c r="J39" i="1" s="1"/>
  <c r="AC39" i="1" s="1"/>
  <c r="BI49" i="1"/>
  <c r="K51" i="1"/>
  <c r="J51" i="1" s="1"/>
  <c r="AC51" i="1" s="1"/>
  <c r="CW58" i="1"/>
  <c r="AX58" i="1" s="1"/>
  <c r="AZ58" i="1" s="1"/>
  <c r="AZ65" i="1"/>
  <c r="CW65" i="1"/>
  <c r="AX65" i="1" s="1"/>
  <c r="BH71" i="1"/>
  <c r="BL71" i="1" s="1"/>
  <c r="BM71" i="1" s="1"/>
  <c r="BH28" i="1"/>
  <c r="BL28" i="1" s="1"/>
  <c r="BM28" i="1" s="1"/>
  <c r="Y36" i="1"/>
  <c r="L39" i="1"/>
  <c r="AY39" i="1" s="1"/>
  <c r="BG42" i="1"/>
  <c r="M43" i="1"/>
  <c r="Y44" i="1"/>
  <c r="CW45" i="1"/>
  <c r="AX45" i="1" s="1"/>
  <c r="AZ45" i="1" s="1"/>
  <c r="Y52" i="1"/>
  <c r="BI53" i="1"/>
  <c r="Y54" i="1"/>
  <c r="CW61" i="1"/>
  <c r="AX61" i="1" s="1"/>
  <c r="Y62" i="1"/>
  <c r="M65" i="1"/>
  <c r="BI71" i="1"/>
  <c r="BG32" i="1"/>
  <c r="M61" i="1"/>
  <c r="U70" i="1"/>
  <c r="BH23" i="1"/>
  <c r="BL23" i="1" s="1"/>
  <c r="BM23" i="1" s="1"/>
  <c r="M19" i="1"/>
  <c r="BI23" i="1"/>
  <c r="CW24" i="1"/>
  <c r="AX24" i="1" s="1"/>
  <c r="AZ24" i="1" s="1"/>
  <c r="M27" i="1"/>
  <c r="BI33" i="1"/>
  <c r="BH34" i="1"/>
  <c r="BL34" i="1" s="1"/>
  <c r="BM34" i="1" s="1"/>
  <c r="K35" i="1"/>
  <c r="J35" i="1" s="1"/>
  <c r="AC35" i="1" s="1"/>
  <c r="CW35" i="1"/>
  <c r="AX35" i="1" s="1"/>
  <c r="BA35" i="1" s="1"/>
  <c r="BG36" i="1"/>
  <c r="U36" i="1"/>
  <c r="CW37" i="1"/>
  <c r="AX37" i="1" s="1"/>
  <c r="AZ37" i="1" s="1"/>
  <c r="CW41" i="1"/>
  <c r="AX41" i="1" s="1"/>
  <c r="AZ41" i="1" s="1"/>
  <c r="CW43" i="1"/>
  <c r="AX43" i="1" s="1"/>
  <c r="CW52" i="1"/>
  <c r="AX52" i="1" s="1"/>
  <c r="AZ52" i="1" s="1"/>
  <c r="BI63" i="1"/>
  <c r="BH67" i="1"/>
  <c r="BL67" i="1" s="1"/>
  <c r="BM67" i="1" s="1"/>
  <c r="CW70" i="1"/>
  <c r="AX70" i="1" s="1"/>
  <c r="CW72" i="1"/>
  <c r="AX72" i="1" s="1"/>
  <c r="AZ72" i="1" s="1"/>
  <c r="U24" i="1"/>
  <c r="CW49" i="1"/>
  <c r="AX49" i="1" s="1"/>
  <c r="AZ49" i="1" s="1"/>
  <c r="CW53" i="1"/>
  <c r="AX53" i="1" s="1"/>
  <c r="AZ53" i="1" s="1"/>
  <c r="U54" i="1"/>
  <c r="V54" i="1" s="1"/>
  <c r="W54" i="1" s="1"/>
  <c r="Y55" i="1"/>
  <c r="Y57" i="1"/>
  <c r="CW62" i="1"/>
  <c r="AX62" i="1" s="1"/>
  <c r="Y65" i="1"/>
  <c r="BI67" i="1"/>
  <c r="U18" i="1"/>
  <c r="AZ42" i="1"/>
  <c r="BA43" i="1"/>
  <c r="AC25" i="1"/>
  <c r="AC21" i="1"/>
  <c r="AD23" i="1"/>
  <c r="BI18" i="1"/>
  <c r="BH18" i="1"/>
  <c r="BL18" i="1" s="1"/>
  <c r="BM18" i="1" s="1"/>
  <c r="BI26" i="1"/>
  <c r="BH26" i="1"/>
  <c r="BL26" i="1" s="1"/>
  <c r="BM26" i="1" s="1"/>
  <c r="AC28" i="1"/>
  <c r="AC30" i="1"/>
  <c r="BG18" i="1"/>
  <c r="BA19" i="1"/>
  <c r="P21" i="1"/>
  <c r="M21" i="1"/>
  <c r="L21" i="1"/>
  <c r="AY21" i="1" s="1"/>
  <c r="BA21" i="1" s="1"/>
  <c r="M24" i="1"/>
  <c r="L24" i="1"/>
  <c r="AY24" i="1" s="1"/>
  <c r="BA24" i="1" s="1"/>
  <c r="K24" i="1"/>
  <c r="J24" i="1" s="1"/>
  <c r="AJ24" i="1"/>
  <c r="V24" i="1"/>
  <c r="W24" i="1" s="1"/>
  <c r="AJ25" i="1"/>
  <c r="BG26" i="1"/>
  <c r="BA27" i="1"/>
  <c r="P30" i="1"/>
  <c r="M30" i="1"/>
  <c r="AJ30" i="1"/>
  <c r="L30" i="1"/>
  <c r="AY30" i="1" s="1"/>
  <c r="BA30" i="1" s="1"/>
  <c r="P17" i="1"/>
  <c r="M17" i="1"/>
  <c r="L17" i="1"/>
  <c r="AY17" i="1" s="1"/>
  <c r="BA17" i="1" s="1"/>
  <c r="P34" i="1"/>
  <c r="M34" i="1"/>
  <c r="L34" i="1"/>
  <c r="AY34" i="1" s="1"/>
  <c r="BA34" i="1" s="1"/>
  <c r="AJ34" i="1"/>
  <c r="K34" i="1"/>
  <c r="J34" i="1" s="1"/>
  <c r="K17" i="1"/>
  <c r="J17" i="1" s="1"/>
  <c r="P42" i="1"/>
  <c r="M42" i="1"/>
  <c r="L42" i="1"/>
  <c r="AY42" i="1" s="1"/>
  <c r="BA42" i="1" s="1"/>
  <c r="AJ42" i="1"/>
  <c r="K42" i="1"/>
  <c r="J42" i="1" s="1"/>
  <c r="M45" i="1"/>
  <c r="L45" i="1"/>
  <c r="AY45" i="1" s="1"/>
  <c r="BA45" i="1" s="1"/>
  <c r="K45" i="1"/>
  <c r="J45" i="1" s="1"/>
  <c r="AJ45" i="1"/>
  <c r="P45" i="1"/>
  <c r="BH58" i="1"/>
  <c r="BL58" i="1" s="1"/>
  <c r="BM58" i="1" s="1"/>
  <c r="BI58" i="1"/>
  <c r="BG58" i="1"/>
  <c r="AJ18" i="1"/>
  <c r="P18" i="1"/>
  <c r="K18" i="1"/>
  <c r="J18" i="1" s="1"/>
  <c r="AC19" i="1"/>
  <c r="M20" i="1"/>
  <c r="L20" i="1"/>
  <c r="AY20" i="1" s="1"/>
  <c r="BA20" i="1" s="1"/>
  <c r="K20" i="1"/>
  <c r="J20" i="1" s="1"/>
  <c r="AJ20" i="1"/>
  <c r="CW22" i="1"/>
  <c r="AX22" i="1" s="1"/>
  <c r="BA22" i="1" s="1"/>
  <c r="AJ26" i="1"/>
  <c r="P26" i="1"/>
  <c r="K26" i="1"/>
  <c r="J26" i="1" s="1"/>
  <c r="AC27" i="1"/>
  <c r="BI27" i="1"/>
  <c r="Y29" i="1"/>
  <c r="U30" i="1"/>
  <c r="V39" i="1"/>
  <c r="W39" i="1" s="1"/>
  <c r="P25" i="1"/>
  <c r="M25" i="1"/>
  <c r="L25" i="1"/>
  <c r="AY25" i="1" s="1"/>
  <c r="BA25" i="1" s="1"/>
  <c r="BA18" i="1"/>
  <c r="BH20" i="1"/>
  <c r="BL20" i="1" s="1"/>
  <c r="BM20" i="1" s="1"/>
  <c r="BG20" i="1"/>
  <c r="BI20" i="1"/>
  <c r="AJ22" i="1"/>
  <c r="P22" i="1"/>
  <c r="K22" i="1"/>
  <c r="J22" i="1" s="1"/>
  <c r="S23" i="1"/>
  <c r="Q23" i="1" s="1"/>
  <c r="T23" i="1" s="1"/>
  <c r="N23" i="1" s="1"/>
  <c r="O23" i="1" s="1"/>
  <c r="AC23" i="1"/>
  <c r="BA26" i="1"/>
  <c r="BI39" i="1"/>
  <c r="BH39" i="1"/>
  <c r="BL39" i="1" s="1"/>
  <c r="BM39" i="1" s="1"/>
  <c r="BG39" i="1"/>
  <c r="V19" i="1"/>
  <c r="W19" i="1" s="1"/>
  <c r="V21" i="1"/>
  <c r="W21" i="1" s="1"/>
  <c r="S21" i="1" s="1"/>
  <c r="Q21" i="1" s="1"/>
  <c r="T21" i="1" s="1"/>
  <c r="AZ22" i="1"/>
  <c r="V27" i="1"/>
  <c r="W27" i="1" s="1"/>
  <c r="V28" i="1"/>
  <c r="W28" i="1" s="1"/>
  <c r="AD28" i="1" s="1"/>
  <c r="AZ36" i="1"/>
  <c r="V57" i="1"/>
  <c r="W57" i="1" s="1"/>
  <c r="V17" i="1"/>
  <c r="W17" i="1" s="1"/>
  <c r="AZ18" i="1"/>
  <c r="Y21" i="1"/>
  <c r="AZ23" i="1"/>
  <c r="V25" i="1"/>
  <c r="W25" i="1" s="1"/>
  <c r="AZ26" i="1"/>
  <c r="M29" i="1"/>
  <c r="AJ29" i="1"/>
  <c r="L29" i="1"/>
  <c r="AY29" i="1" s="1"/>
  <c r="K29" i="1"/>
  <c r="J29" i="1" s="1"/>
  <c r="BA32" i="1"/>
  <c r="Y17" i="1"/>
  <c r="V18" i="1"/>
  <c r="W18" i="1" s="1"/>
  <c r="AD18" i="1" s="1"/>
  <c r="AZ19" i="1"/>
  <c r="BI22" i="1"/>
  <c r="BH22" i="1"/>
  <c r="BL22" i="1" s="1"/>
  <c r="BM22" i="1" s="1"/>
  <c r="Y25" i="1"/>
  <c r="V26" i="1"/>
  <c r="W26" i="1" s="1"/>
  <c r="AZ27" i="1"/>
  <c r="BH29" i="1"/>
  <c r="BL29" i="1" s="1"/>
  <c r="BM29" i="1" s="1"/>
  <c r="BG29" i="1"/>
  <c r="Y38" i="1"/>
  <c r="BI43" i="1"/>
  <c r="BH43" i="1"/>
  <c r="BL43" i="1" s="1"/>
  <c r="BM43" i="1" s="1"/>
  <c r="BG43" i="1"/>
  <c r="AC46" i="1"/>
  <c r="CW51" i="1"/>
  <c r="AX51" i="1" s="1"/>
  <c r="U51" i="1"/>
  <c r="M33" i="1"/>
  <c r="L33" i="1"/>
  <c r="AY33" i="1" s="1"/>
  <c r="BA33" i="1" s="1"/>
  <c r="K33" i="1"/>
  <c r="J33" i="1" s="1"/>
  <c r="AJ33" i="1"/>
  <c r="BI35" i="1"/>
  <c r="BH35" i="1"/>
  <c r="BL35" i="1" s="1"/>
  <c r="BM35" i="1" s="1"/>
  <c r="AZ39" i="1"/>
  <c r="BH41" i="1"/>
  <c r="BL41" i="1" s="1"/>
  <c r="BM41" i="1" s="1"/>
  <c r="BG41" i="1"/>
  <c r="AZ44" i="1"/>
  <c r="AJ47" i="1"/>
  <c r="P47" i="1"/>
  <c r="M47" i="1"/>
  <c r="M56" i="1"/>
  <c r="P56" i="1"/>
  <c r="AJ56" i="1"/>
  <c r="L56" i="1"/>
  <c r="AY56" i="1" s="1"/>
  <c r="K56" i="1"/>
  <c r="J56" i="1" s="1"/>
  <c r="P19" i="1"/>
  <c r="P23" i="1"/>
  <c r="P27" i="1"/>
  <c r="P31" i="1"/>
  <c r="BH32" i="1"/>
  <c r="BL32" i="1" s="1"/>
  <c r="BM32" i="1" s="1"/>
  <c r="AZ34" i="1"/>
  <c r="AJ35" i="1"/>
  <c r="P35" i="1"/>
  <c r="M37" i="1"/>
  <c r="L37" i="1"/>
  <c r="AY37" i="1" s="1"/>
  <c r="BA37" i="1" s="1"/>
  <c r="K37" i="1"/>
  <c r="J37" i="1" s="1"/>
  <c r="AJ37" i="1"/>
  <c r="K38" i="1"/>
  <c r="J38" i="1" s="1"/>
  <c r="V47" i="1"/>
  <c r="W47" i="1" s="1"/>
  <c r="AZ51" i="1"/>
  <c r="L52" i="1"/>
  <c r="AY52" i="1" s="1"/>
  <c r="K52" i="1"/>
  <c r="J52" i="1" s="1"/>
  <c r="AJ52" i="1"/>
  <c r="P52" i="1"/>
  <c r="M52" i="1"/>
  <c r="CW57" i="1"/>
  <c r="AX57" i="1" s="1"/>
  <c r="L28" i="1"/>
  <c r="AY28" i="1" s="1"/>
  <c r="BA28" i="1" s="1"/>
  <c r="BA36" i="1"/>
  <c r="BA39" i="1"/>
  <c r="AZ43" i="1"/>
  <c r="BI52" i="1"/>
  <c r="BG52" i="1"/>
  <c r="AD57" i="1"/>
  <c r="AJ19" i="1"/>
  <c r="AJ23" i="1"/>
  <c r="AJ27" i="1"/>
  <c r="M28" i="1"/>
  <c r="AZ35" i="1"/>
  <c r="AZ40" i="1"/>
  <c r="U43" i="1"/>
  <c r="BI47" i="1"/>
  <c r="BH47" i="1"/>
  <c r="BL47" i="1" s="1"/>
  <c r="BM47" i="1" s="1"/>
  <c r="BI54" i="1"/>
  <c r="BG54" i="1"/>
  <c r="AJ43" i="1"/>
  <c r="P43" i="1"/>
  <c r="BA44" i="1"/>
  <c r="AZ47" i="1"/>
  <c r="U20" i="1"/>
  <c r="CW29" i="1"/>
  <c r="AX29" i="1" s="1"/>
  <c r="AZ29" i="1" s="1"/>
  <c r="U29" i="1"/>
  <c r="AZ30" i="1"/>
  <c r="K31" i="1"/>
  <c r="J31" i="1" s="1"/>
  <c r="P33" i="1"/>
  <c r="U35" i="1"/>
  <c r="AZ38" i="1"/>
  <c r="AJ39" i="1"/>
  <c r="P39" i="1"/>
  <c r="M41" i="1"/>
  <c r="L41" i="1"/>
  <c r="AY41" i="1" s="1"/>
  <c r="BA41" i="1" s="1"/>
  <c r="K41" i="1"/>
  <c r="J41" i="1" s="1"/>
  <c r="AJ41" i="1"/>
  <c r="BI41" i="1"/>
  <c r="K47" i="1"/>
  <c r="J47" i="1" s="1"/>
  <c r="BG47" i="1"/>
  <c r="CW50" i="1"/>
  <c r="AX50" i="1" s="1"/>
  <c r="U50" i="1"/>
  <c r="BH54" i="1"/>
  <c r="BL54" i="1" s="1"/>
  <c r="BM54" i="1" s="1"/>
  <c r="P38" i="1"/>
  <c r="M38" i="1"/>
  <c r="L38" i="1"/>
  <c r="AY38" i="1" s="1"/>
  <c r="BA38" i="1" s="1"/>
  <c r="L31" i="1"/>
  <c r="AY31" i="1" s="1"/>
  <c r="BA31" i="1" s="1"/>
  <c r="Y35" i="1"/>
  <c r="K43" i="1"/>
  <c r="J43" i="1" s="1"/>
  <c r="BI46" i="1"/>
  <c r="BG46" i="1"/>
  <c r="BA47" i="1"/>
  <c r="AJ54" i="1"/>
  <c r="P54" i="1"/>
  <c r="M54" i="1"/>
  <c r="K54" i="1"/>
  <c r="J54" i="1" s="1"/>
  <c r="P44" i="1"/>
  <c r="L46" i="1"/>
  <c r="AY46" i="1" s="1"/>
  <c r="L48" i="1"/>
  <c r="AY48" i="1" s="1"/>
  <c r="BA48" i="1" s="1"/>
  <c r="K48" i="1"/>
  <c r="J48" i="1" s="1"/>
  <c r="V48" i="1" s="1"/>
  <c r="W48" i="1" s="1"/>
  <c r="AJ48" i="1"/>
  <c r="BH48" i="1"/>
  <c r="BL48" i="1" s="1"/>
  <c r="BM48" i="1" s="1"/>
  <c r="AZ55" i="1"/>
  <c r="U34" i="1"/>
  <c r="BG34" i="1"/>
  <c r="U38" i="1"/>
  <c r="BG38" i="1"/>
  <c r="BI57" i="1"/>
  <c r="BG57" i="1"/>
  <c r="BI50" i="1"/>
  <c r="BH50" i="1"/>
  <c r="BL50" i="1" s="1"/>
  <c r="BM50" i="1" s="1"/>
  <c r="BG50" i="1"/>
  <c r="BA51" i="1"/>
  <c r="BI51" i="1"/>
  <c r="BG51" i="1"/>
  <c r="AC57" i="1"/>
  <c r="S57" i="1"/>
  <c r="Q57" i="1" s="1"/>
  <c r="T57" i="1" s="1"/>
  <c r="P57" i="1"/>
  <c r="M57" i="1"/>
  <c r="AJ58" i="1"/>
  <c r="M58" i="1"/>
  <c r="L58" i="1"/>
  <c r="AY58" i="1" s="1"/>
  <c r="BA58" i="1" s="1"/>
  <c r="K58" i="1"/>
  <c r="J58" i="1" s="1"/>
  <c r="K32" i="1"/>
  <c r="J32" i="1" s="1"/>
  <c r="U33" i="1"/>
  <c r="BG33" i="1"/>
  <c r="K36" i="1"/>
  <c r="J36" i="1" s="1"/>
  <c r="V36" i="1" s="1"/>
  <c r="W36" i="1" s="1"/>
  <c r="U37" i="1"/>
  <c r="BG37" i="1"/>
  <c r="K40" i="1"/>
  <c r="J40" i="1" s="1"/>
  <c r="V40" i="1" s="1"/>
  <c r="W40" i="1" s="1"/>
  <c r="U41" i="1"/>
  <c r="K44" i="1"/>
  <c r="J44" i="1" s="1"/>
  <c r="V44" i="1" s="1"/>
  <c r="W44" i="1" s="1"/>
  <c r="U45" i="1"/>
  <c r="BG45" i="1"/>
  <c r="P46" i="1"/>
  <c r="AJ46" i="1"/>
  <c r="CW46" i="1"/>
  <c r="AX46" i="1" s="1"/>
  <c r="AZ46" i="1" s="1"/>
  <c r="U46" i="1"/>
  <c r="P50" i="1"/>
  <c r="M50" i="1"/>
  <c r="K50" i="1"/>
  <c r="J50" i="1" s="1"/>
  <c r="BH51" i="1"/>
  <c r="BL51" i="1" s="1"/>
  <c r="BM51" i="1" s="1"/>
  <c r="BH56" i="1"/>
  <c r="BL56" i="1" s="1"/>
  <c r="BM56" i="1" s="1"/>
  <c r="BG56" i="1"/>
  <c r="BI56" i="1"/>
  <c r="L57" i="1"/>
  <c r="AY57" i="1" s="1"/>
  <c r="BA57" i="1" s="1"/>
  <c r="AJ57" i="1"/>
  <c r="M60" i="1"/>
  <c r="L60" i="1"/>
  <c r="AY60" i="1" s="1"/>
  <c r="BA60" i="1" s="1"/>
  <c r="AJ60" i="1"/>
  <c r="P60" i="1"/>
  <c r="K60" i="1"/>
  <c r="J60" i="1" s="1"/>
  <c r="AZ70" i="1"/>
  <c r="P48" i="1"/>
  <c r="AJ51" i="1"/>
  <c r="P51" i="1"/>
  <c r="M51" i="1"/>
  <c r="CW59" i="1"/>
  <c r="AX59" i="1" s="1"/>
  <c r="AZ59" i="1" s="1"/>
  <c r="M64" i="1"/>
  <c r="L64" i="1"/>
  <c r="AY64" i="1" s="1"/>
  <c r="BA64" i="1" s="1"/>
  <c r="AJ64" i="1"/>
  <c r="P64" i="1"/>
  <c r="K64" i="1"/>
  <c r="J64" i="1" s="1"/>
  <c r="BA66" i="1"/>
  <c r="V66" i="1"/>
  <c r="W66" i="1" s="1"/>
  <c r="BA70" i="1"/>
  <c r="BI72" i="1"/>
  <c r="BH72" i="1"/>
  <c r="BL72" i="1" s="1"/>
  <c r="BM72" i="1" s="1"/>
  <c r="BG72" i="1"/>
  <c r="V62" i="1"/>
  <c r="W62" i="1" s="1"/>
  <c r="M68" i="1"/>
  <c r="L68" i="1"/>
  <c r="AY68" i="1" s="1"/>
  <c r="BA68" i="1" s="1"/>
  <c r="AJ68" i="1"/>
  <c r="P68" i="1"/>
  <c r="K68" i="1"/>
  <c r="J68" i="1" s="1"/>
  <c r="K49" i="1"/>
  <c r="J49" i="1" s="1"/>
  <c r="K53" i="1"/>
  <c r="J53" i="1" s="1"/>
  <c r="CW56" i="1"/>
  <c r="AX56" i="1" s="1"/>
  <c r="AZ56" i="1" s="1"/>
  <c r="U56" i="1"/>
  <c r="AZ57" i="1"/>
  <c r="BH66" i="1"/>
  <c r="BL66" i="1" s="1"/>
  <c r="BM66" i="1" s="1"/>
  <c r="BI66" i="1"/>
  <c r="BG66" i="1"/>
  <c r="L49" i="1"/>
  <c r="AY49" i="1" s="1"/>
  <c r="BA49" i="1" s="1"/>
  <c r="L53" i="1"/>
  <c r="AY53" i="1" s="1"/>
  <c r="BA53" i="1" s="1"/>
  <c r="P69" i="1"/>
  <c r="L69" i="1"/>
  <c r="AY69" i="1" s="1"/>
  <c r="BA69" i="1" s="1"/>
  <c r="AJ69" i="1"/>
  <c r="K69" i="1"/>
  <c r="J69" i="1" s="1"/>
  <c r="V69" i="1" s="1"/>
  <c r="W69" i="1" s="1"/>
  <c r="M72" i="1"/>
  <c r="L72" i="1"/>
  <c r="AY72" i="1" s="1"/>
  <c r="BA72" i="1" s="1"/>
  <c r="AJ72" i="1"/>
  <c r="K72" i="1"/>
  <c r="J72" i="1" s="1"/>
  <c r="U49" i="1"/>
  <c r="BG49" i="1"/>
  <c r="U53" i="1"/>
  <c r="BG53" i="1"/>
  <c r="L55" i="1"/>
  <c r="AY55" i="1" s="1"/>
  <c r="BA55" i="1" s="1"/>
  <c r="K55" i="1"/>
  <c r="J55" i="1" s="1"/>
  <c r="V55" i="1" s="1"/>
  <c r="W55" i="1" s="1"/>
  <c r="V58" i="1"/>
  <c r="W58" i="1" s="1"/>
  <c r="V61" i="1"/>
  <c r="W61" i="1" s="1"/>
  <c r="AD61" i="1" s="1"/>
  <c r="BA62" i="1"/>
  <c r="BG62" i="1"/>
  <c r="P72" i="1"/>
  <c r="AJ55" i="1"/>
  <c r="Y61" i="1"/>
  <c r="S62" i="1"/>
  <c r="Q62" i="1" s="1"/>
  <c r="T62" i="1" s="1"/>
  <c r="N62" i="1" s="1"/>
  <c r="O62" i="1" s="1"/>
  <c r="AC62" i="1"/>
  <c r="BI62" i="1"/>
  <c r="M69" i="1"/>
  <c r="V70" i="1"/>
  <c r="W70" i="1" s="1"/>
  <c r="M59" i="1"/>
  <c r="L59" i="1"/>
  <c r="AY59" i="1" s="1"/>
  <c r="BA59" i="1" s="1"/>
  <c r="K59" i="1"/>
  <c r="J59" i="1" s="1"/>
  <c r="AJ59" i="1"/>
  <c r="P59" i="1"/>
  <c r="BI60" i="1"/>
  <c r="BH60" i="1"/>
  <c r="BL60" i="1" s="1"/>
  <c r="BM60" i="1" s="1"/>
  <c r="BG60" i="1"/>
  <c r="K61" i="1"/>
  <c r="J61" i="1" s="1"/>
  <c r="M63" i="1"/>
  <c r="L63" i="1"/>
  <c r="AY63" i="1" s="1"/>
  <c r="BA63" i="1" s="1"/>
  <c r="K63" i="1"/>
  <c r="J63" i="1" s="1"/>
  <c r="AJ63" i="1"/>
  <c r="P63" i="1"/>
  <c r="S66" i="1"/>
  <c r="Q66" i="1" s="1"/>
  <c r="T66" i="1" s="1"/>
  <c r="N66" i="1" s="1"/>
  <c r="O66" i="1" s="1"/>
  <c r="Y69" i="1"/>
  <c r="BG70" i="1"/>
  <c r="CW71" i="1"/>
  <c r="AX71" i="1" s="1"/>
  <c r="AZ71" i="1" s="1"/>
  <c r="P61" i="1"/>
  <c r="L61" i="1"/>
  <c r="AY61" i="1" s="1"/>
  <c r="BA61" i="1" s="1"/>
  <c r="AZ62" i="1"/>
  <c r="S70" i="1"/>
  <c r="Q70" i="1" s="1"/>
  <c r="T70" i="1" s="1"/>
  <c r="N70" i="1" s="1"/>
  <c r="O70" i="1" s="1"/>
  <c r="BI70" i="1"/>
  <c r="K65" i="1"/>
  <c r="J65" i="1" s="1"/>
  <c r="V65" i="1" s="1"/>
  <c r="W65" i="1" s="1"/>
  <c r="M67" i="1"/>
  <c r="L67" i="1"/>
  <c r="AY67" i="1" s="1"/>
  <c r="BA67" i="1" s="1"/>
  <c r="K67" i="1"/>
  <c r="J67" i="1" s="1"/>
  <c r="AJ67" i="1"/>
  <c r="P67" i="1"/>
  <c r="AZ61" i="1"/>
  <c r="P65" i="1"/>
  <c r="L65" i="1"/>
  <c r="AY65" i="1" s="1"/>
  <c r="BA65" i="1" s="1"/>
  <c r="AZ66" i="1"/>
  <c r="BI68" i="1"/>
  <c r="BH68" i="1"/>
  <c r="BL68" i="1" s="1"/>
  <c r="BM68" i="1" s="1"/>
  <c r="BG68" i="1"/>
  <c r="M71" i="1"/>
  <c r="L71" i="1"/>
  <c r="AY71" i="1" s="1"/>
  <c r="BA71" i="1" s="1"/>
  <c r="K71" i="1"/>
  <c r="J71" i="1" s="1"/>
  <c r="AJ71" i="1"/>
  <c r="P71" i="1"/>
  <c r="BH61" i="1"/>
  <c r="BL61" i="1" s="1"/>
  <c r="BM61" i="1" s="1"/>
  <c r="BH65" i="1"/>
  <c r="BL65" i="1" s="1"/>
  <c r="BM65" i="1" s="1"/>
  <c r="BH69" i="1"/>
  <c r="BL69" i="1" s="1"/>
  <c r="BM69" i="1" s="1"/>
  <c r="U60" i="1"/>
  <c r="U64" i="1"/>
  <c r="BG64" i="1"/>
  <c r="U68" i="1"/>
  <c r="BH64" i="1"/>
  <c r="BL64" i="1" s="1"/>
  <c r="BM64" i="1" s="1"/>
  <c r="AJ66" i="1"/>
  <c r="AJ70" i="1"/>
  <c r="U59" i="1"/>
  <c r="U63" i="1"/>
  <c r="U67" i="1"/>
  <c r="AF23" i="1" l="1"/>
  <c r="N21" i="1"/>
  <c r="O21" i="1" s="1"/>
  <c r="N57" i="1"/>
  <c r="O57" i="1" s="1"/>
  <c r="AE23" i="1"/>
  <c r="BA52" i="1"/>
  <c r="X69" i="1"/>
  <c r="AB69" i="1" s="1"/>
  <c r="AE69" i="1"/>
  <c r="AD69" i="1"/>
  <c r="X44" i="1"/>
  <c r="AB44" i="1" s="1"/>
  <c r="AE44" i="1"/>
  <c r="AD44" i="1"/>
  <c r="X65" i="1"/>
  <c r="AB65" i="1" s="1"/>
  <c r="AE65" i="1"/>
  <c r="AD65" i="1"/>
  <c r="X55" i="1"/>
  <c r="AB55" i="1" s="1"/>
  <c r="AE55" i="1"/>
  <c r="AD55" i="1"/>
  <c r="X48" i="1"/>
  <c r="AB48" i="1" s="1"/>
  <c r="AE48" i="1"/>
  <c r="AD48" i="1"/>
  <c r="V68" i="1"/>
  <c r="W68" i="1" s="1"/>
  <c r="AC63" i="1"/>
  <c r="V45" i="1"/>
  <c r="W45" i="1" s="1"/>
  <c r="V33" i="1"/>
  <c r="W33" i="1" s="1"/>
  <c r="AC43" i="1"/>
  <c r="AC31" i="1"/>
  <c r="V31" i="1"/>
  <c r="W31" i="1" s="1"/>
  <c r="X26" i="1"/>
  <c r="AB26" i="1" s="1"/>
  <c r="AE26" i="1"/>
  <c r="X39" i="1"/>
  <c r="AB39" i="1" s="1"/>
  <c r="AE39" i="1"/>
  <c r="AF39" i="1" s="1"/>
  <c r="AD39" i="1"/>
  <c r="S39" i="1"/>
  <c r="Q39" i="1" s="1"/>
  <c r="T39" i="1" s="1"/>
  <c r="N39" i="1" s="1"/>
  <c r="O39" i="1" s="1"/>
  <c r="S26" i="1"/>
  <c r="Q26" i="1" s="1"/>
  <c r="T26" i="1" s="1"/>
  <c r="N26" i="1" s="1"/>
  <c r="O26" i="1" s="1"/>
  <c r="AC26" i="1"/>
  <c r="V42" i="1"/>
  <c r="W42" i="1" s="1"/>
  <c r="AC42" i="1"/>
  <c r="AC60" i="1"/>
  <c r="V43" i="1"/>
  <c r="W43" i="1" s="1"/>
  <c r="V51" i="1"/>
  <c r="W51" i="1" s="1"/>
  <c r="X40" i="1"/>
  <c r="AB40" i="1" s="1"/>
  <c r="AD40" i="1"/>
  <c r="AE40" i="1"/>
  <c r="V67" i="1"/>
  <c r="W67" i="1" s="1"/>
  <c r="V64" i="1"/>
  <c r="W64" i="1" s="1"/>
  <c r="V72" i="1"/>
  <c r="W72" i="1" s="1"/>
  <c r="S72" i="1" s="1"/>
  <c r="Q72" i="1" s="1"/>
  <c r="T72" i="1" s="1"/>
  <c r="N72" i="1" s="1"/>
  <c r="O72" i="1" s="1"/>
  <c r="AC72" i="1"/>
  <c r="X62" i="1"/>
  <c r="AB62" i="1" s="1"/>
  <c r="AE62" i="1"/>
  <c r="AF62" i="1" s="1"/>
  <c r="AC64" i="1"/>
  <c r="V41" i="1"/>
  <c r="W41" i="1" s="1"/>
  <c r="AD62" i="1"/>
  <c r="AZ50" i="1"/>
  <c r="BA50" i="1"/>
  <c r="V29" i="1"/>
  <c r="W29" i="1" s="1"/>
  <c r="S29" i="1" s="1"/>
  <c r="Q29" i="1" s="1"/>
  <c r="T29" i="1" s="1"/>
  <c r="N29" i="1" s="1"/>
  <c r="O29" i="1" s="1"/>
  <c r="AE47" i="1"/>
  <c r="X47" i="1"/>
  <c r="AB47" i="1" s="1"/>
  <c r="AD47" i="1"/>
  <c r="X25" i="1"/>
  <c r="AB25" i="1" s="1"/>
  <c r="AE25" i="1"/>
  <c r="X19" i="1"/>
  <c r="AB19" i="1" s="1"/>
  <c r="AE19" i="1"/>
  <c r="AD19" i="1"/>
  <c r="V30" i="1"/>
  <c r="W30" i="1" s="1"/>
  <c r="S28" i="1"/>
  <c r="Q28" i="1" s="1"/>
  <c r="T28" i="1" s="1"/>
  <c r="N28" i="1" s="1"/>
  <c r="O28" i="1" s="1"/>
  <c r="S32" i="1"/>
  <c r="Q32" i="1" s="1"/>
  <c r="T32" i="1" s="1"/>
  <c r="N32" i="1" s="1"/>
  <c r="O32" i="1" s="1"/>
  <c r="AC32" i="1"/>
  <c r="V32" i="1"/>
  <c r="W32" i="1" s="1"/>
  <c r="V38" i="1"/>
  <c r="W38" i="1" s="1"/>
  <c r="V50" i="1"/>
  <c r="W50" i="1" s="1"/>
  <c r="X21" i="1"/>
  <c r="AB21" i="1" s="1"/>
  <c r="AE21" i="1"/>
  <c r="V63" i="1"/>
  <c r="W63" i="1" s="1"/>
  <c r="S63" i="1" s="1"/>
  <c r="Q63" i="1" s="1"/>
  <c r="T63" i="1" s="1"/>
  <c r="N63" i="1" s="1"/>
  <c r="O63" i="1" s="1"/>
  <c r="V60" i="1"/>
  <c r="W60" i="1" s="1"/>
  <c r="S60" i="1" s="1"/>
  <c r="Q60" i="1" s="1"/>
  <c r="T60" i="1" s="1"/>
  <c r="N60" i="1" s="1"/>
  <c r="O60" i="1" s="1"/>
  <c r="AC71" i="1"/>
  <c r="V71" i="1"/>
  <c r="W71" i="1" s="1"/>
  <c r="S71" i="1" s="1"/>
  <c r="Q71" i="1" s="1"/>
  <c r="T71" i="1" s="1"/>
  <c r="N71" i="1" s="1"/>
  <c r="O71" i="1" s="1"/>
  <c r="S61" i="1"/>
  <c r="Q61" i="1" s="1"/>
  <c r="T61" i="1" s="1"/>
  <c r="N61" i="1" s="1"/>
  <c r="O61" i="1" s="1"/>
  <c r="AC61" i="1"/>
  <c r="AE58" i="1"/>
  <c r="AD58" i="1"/>
  <c r="X58" i="1"/>
  <c r="AB58" i="1" s="1"/>
  <c r="AC53" i="1"/>
  <c r="V46" i="1"/>
  <c r="W46" i="1" s="1"/>
  <c r="S40" i="1"/>
  <c r="Q40" i="1" s="1"/>
  <c r="T40" i="1" s="1"/>
  <c r="N40" i="1" s="1"/>
  <c r="O40" i="1" s="1"/>
  <c r="AC40" i="1"/>
  <c r="AC58" i="1"/>
  <c r="S58" i="1"/>
  <c r="Q58" i="1" s="1"/>
  <c r="T58" i="1" s="1"/>
  <c r="N58" i="1" s="1"/>
  <c r="O58" i="1" s="1"/>
  <c r="V34" i="1"/>
  <c r="W34" i="1" s="1"/>
  <c r="S34" i="1" s="1"/>
  <c r="Q34" i="1" s="1"/>
  <c r="T34" i="1" s="1"/>
  <c r="N34" i="1" s="1"/>
  <c r="O34" i="1" s="1"/>
  <c r="AC38" i="1"/>
  <c r="S38" i="1"/>
  <c r="Q38" i="1" s="1"/>
  <c r="T38" i="1" s="1"/>
  <c r="N38" i="1" s="1"/>
  <c r="O38" i="1" s="1"/>
  <c r="AC22" i="1"/>
  <c r="AD25" i="1"/>
  <c r="S19" i="1"/>
  <c r="Q19" i="1" s="1"/>
  <c r="T19" i="1" s="1"/>
  <c r="N19" i="1" s="1"/>
  <c r="O19" i="1" s="1"/>
  <c r="AD24" i="1"/>
  <c r="AE24" i="1"/>
  <c r="X24" i="1"/>
  <c r="AB24" i="1" s="1"/>
  <c r="V56" i="1"/>
  <c r="W56" i="1" s="1"/>
  <c r="S44" i="1"/>
  <c r="Q44" i="1" s="1"/>
  <c r="T44" i="1" s="1"/>
  <c r="N44" i="1" s="1"/>
  <c r="O44" i="1" s="1"/>
  <c r="AC44" i="1"/>
  <c r="V59" i="1"/>
  <c r="W59" i="1" s="1"/>
  <c r="AC67" i="1"/>
  <c r="S67" i="1"/>
  <c r="Q67" i="1" s="1"/>
  <c r="T67" i="1" s="1"/>
  <c r="N67" i="1" s="1"/>
  <c r="O67" i="1" s="1"/>
  <c r="AC59" i="1"/>
  <c r="S59" i="1"/>
  <c r="Q59" i="1" s="1"/>
  <c r="T59" i="1" s="1"/>
  <c r="N59" i="1" s="1"/>
  <c r="O59" i="1" s="1"/>
  <c r="S55" i="1"/>
  <c r="Q55" i="1" s="1"/>
  <c r="T55" i="1" s="1"/>
  <c r="N55" i="1" s="1"/>
  <c r="O55" i="1" s="1"/>
  <c r="AC55" i="1"/>
  <c r="AC49" i="1"/>
  <c r="AC47" i="1"/>
  <c r="S47" i="1"/>
  <c r="Q47" i="1" s="1"/>
  <c r="T47" i="1" s="1"/>
  <c r="N47" i="1" s="1"/>
  <c r="O47" i="1" s="1"/>
  <c r="V20" i="1"/>
  <c r="W20" i="1" s="1"/>
  <c r="S20" i="1" s="1"/>
  <c r="Q20" i="1" s="1"/>
  <c r="T20" i="1" s="1"/>
  <c r="N20" i="1" s="1"/>
  <c r="O20" i="1" s="1"/>
  <c r="S18" i="1"/>
  <c r="Q18" i="1" s="1"/>
  <c r="T18" i="1" s="1"/>
  <c r="N18" i="1" s="1"/>
  <c r="O18" i="1" s="1"/>
  <c r="AC18" i="1"/>
  <c r="V22" i="1"/>
  <c r="W22" i="1" s="1"/>
  <c r="S22" i="1" s="1"/>
  <c r="Q22" i="1" s="1"/>
  <c r="T22" i="1" s="1"/>
  <c r="N22" i="1" s="1"/>
  <c r="O22" i="1" s="1"/>
  <c r="AC68" i="1"/>
  <c r="S68" i="1"/>
  <c r="Q68" i="1" s="1"/>
  <c r="T68" i="1" s="1"/>
  <c r="N68" i="1" s="1"/>
  <c r="O68" i="1" s="1"/>
  <c r="X66" i="1"/>
  <c r="AB66" i="1" s="1"/>
  <c r="AD66" i="1"/>
  <c r="AE66" i="1"/>
  <c r="V37" i="1"/>
  <c r="W37" i="1" s="1"/>
  <c r="X54" i="1"/>
  <c r="AB54" i="1" s="1"/>
  <c r="AE54" i="1"/>
  <c r="S48" i="1"/>
  <c r="Q48" i="1" s="1"/>
  <c r="T48" i="1" s="1"/>
  <c r="N48" i="1" s="1"/>
  <c r="O48" i="1" s="1"/>
  <c r="AC48" i="1"/>
  <c r="AC37" i="1"/>
  <c r="AC56" i="1"/>
  <c r="S56" i="1"/>
  <c r="Q56" i="1" s="1"/>
  <c r="T56" i="1" s="1"/>
  <c r="N56" i="1" s="1"/>
  <c r="O56" i="1" s="1"/>
  <c r="AC33" i="1"/>
  <c r="S33" i="1"/>
  <c r="Q33" i="1" s="1"/>
  <c r="T33" i="1" s="1"/>
  <c r="N33" i="1" s="1"/>
  <c r="O33" i="1" s="1"/>
  <c r="AC29" i="1"/>
  <c r="X28" i="1"/>
  <c r="AB28" i="1" s="1"/>
  <c r="AE28" i="1"/>
  <c r="AF28" i="1" s="1"/>
  <c r="AC45" i="1"/>
  <c r="S45" i="1"/>
  <c r="Q45" i="1" s="1"/>
  <c r="T45" i="1" s="1"/>
  <c r="N45" i="1" s="1"/>
  <c r="O45" i="1" s="1"/>
  <c r="AD21" i="1"/>
  <c r="AC24" i="1"/>
  <c r="S24" i="1"/>
  <c r="Q24" i="1" s="1"/>
  <c r="T24" i="1" s="1"/>
  <c r="N24" i="1" s="1"/>
  <c r="O24" i="1" s="1"/>
  <c r="V49" i="1"/>
  <c r="W49" i="1" s="1"/>
  <c r="X61" i="1"/>
  <c r="AB61" i="1" s="1"/>
  <c r="AE61" i="1"/>
  <c r="AC69" i="1"/>
  <c r="S69" i="1"/>
  <c r="Q69" i="1" s="1"/>
  <c r="T69" i="1" s="1"/>
  <c r="N69" i="1" s="1"/>
  <c r="O69" i="1" s="1"/>
  <c r="S36" i="1"/>
  <c r="Q36" i="1" s="1"/>
  <c r="T36" i="1" s="1"/>
  <c r="N36" i="1" s="1"/>
  <c r="O36" i="1" s="1"/>
  <c r="AC36" i="1"/>
  <c r="V35" i="1"/>
  <c r="W35" i="1" s="1"/>
  <c r="BA56" i="1"/>
  <c r="X18" i="1"/>
  <c r="AB18" i="1" s="1"/>
  <c r="AE18" i="1"/>
  <c r="BA29" i="1"/>
  <c r="X17" i="1"/>
  <c r="AB17" i="1" s="1"/>
  <c r="AE17" i="1"/>
  <c r="X27" i="1"/>
  <c r="AB27" i="1" s="1"/>
  <c r="AE27" i="1"/>
  <c r="AF27" i="1" s="1"/>
  <c r="AD27" i="1"/>
  <c r="AC17" i="1"/>
  <c r="S17" i="1"/>
  <c r="Q17" i="1" s="1"/>
  <c r="T17" i="1" s="1"/>
  <c r="N17" i="1" s="1"/>
  <c r="O17" i="1" s="1"/>
  <c r="S25" i="1"/>
  <c r="Q25" i="1" s="1"/>
  <c r="T25" i="1" s="1"/>
  <c r="N25" i="1" s="1"/>
  <c r="O25" i="1" s="1"/>
  <c r="X36" i="1"/>
  <c r="AB36" i="1" s="1"/>
  <c r="AE36" i="1"/>
  <c r="AD36" i="1"/>
  <c r="AC65" i="1"/>
  <c r="S65" i="1"/>
  <c r="Q65" i="1" s="1"/>
  <c r="T65" i="1" s="1"/>
  <c r="N65" i="1" s="1"/>
  <c r="O65" i="1" s="1"/>
  <c r="X70" i="1"/>
  <c r="AB70" i="1" s="1"/>
  <c r="AD70" i="1"/>
  <c r="AE70" i="1"/>
  <c r="AF70" i="1" s="1"/>
  <c r="V53" i="1"/>
  <c r="W53" i="1" s="1"/>
  <c r="AC50" i="1"/>
  <c r="S50" i="1"/>
  <c r="Q50" i="1" s="1"/>
  <c r="T50" i="1" s="1"/>
  <c r="N50" i="1" s="1"/>
  <c r="O50" i="1" s="1"/>
  <c r="AD54" i="1"/>
  <c r="BA46" i="1"/>
  <c r="AC54" i="1"/>
  <c r="S54" i="1"/>
  <c r="Q54" i="1" s="1"/>
  <c r="T54" i="1" s="1"/>
  <c r="N54" i="1" s="1"/>
  <c r="O54" i="1" s="1"/>
  <c r="AC41" i="1"/>
  <c r="S41" i="1"/>
  <c r="Q41" i="1" s="1"/>
  <c r="T41" i="1" s="1"/>
  <c r="N41" i="1" s="1"/>
  <c r="O41" i="1" s="1"/>
  <c r="AC52" i="1"/>
  <c r="V52" i="1"/>
  <c r="W52" i="1" s="1"/>
  <c r="S52" i="1" s="1"/>
  <c r="Q52" i="1" s="1"/>
  <c r="T52" i="1" s="1"/>
  <c r="N52" i="1" s="1"/>
  <c r="O52" i="1" s="1"/>
  <c r="X57" i="1"/>
  <c r="AB57" i="1" s="1"/>
  <c r="AE57" i="1"/>
  <c r="AF57" i="1" s="1"/>
  <c r="AD26" i="1"/>
  <c r="S27" i="1"/>
  <c r="Q27" i="1" s="1"/>
  <c r="T27" i="1" s="1"/>
  <c r="N27" i="1" s="1"/>
  <c r="O27" i="1" s="1"/>
  <c r="AC20" i="1"/>
  <c r="AD17" i="1"/>
  <c r="AC34" i="1"/>
  <c r="AF17" i="1" l="1"/>
  <c r="AF58" i="1"/>
  <c r="AF18" i="1"/>
  <c r="AF61" i="1"/>
  <c r="AF21" i="1"/>
  <c r="AE32" i="1"/>
  <c r="X32" i="1"/>
  <c r="AB32" i="1" s="1"/>
  <c r="AD32" i="1"/>
  <c r="AF47" i="1"/>
  <c r="AE64" i="1"/>
  <c r="X64" i="1"/>
  <c r="AB64" i="1" s="1"/>
  <c r="AD64" i="1"/>
  <c r="X43" i="1"/>
  <c r="AB43" i="1" s="1"/>
  <c r="AE43" i="1"/>
  <c r="AD43" i="1"/>
  <c r="AF26" i="1"/>
  <c r="AE33" i="1"/>
  <c r="X33" i="1"/>
  <c r="AB33" i="1" s="1"/>
  <c r="AD33" i="1"/>
  <c r="AE68" i="1"/>
  <c r="X68" i="1"/>
  <c r="AB68" i="1" s="1"/>
  <c r="AD68" i="1"/>
  <c r="AF65" i="1"/>
  <c r="X35" i="1"/>
  <c r="AB35" i="1" s="1"/>
  <c r="AE35" i="1"/>
  <c r="AF35" i="1" s="1"/>
  <c r="AD35" i="1"/>
  <c r="S35" i="1"/>
  <c r="Q35" i="1" s="1"/>
  <c r="T35" i="1" s="1"/>
  <c r="N35" i="1" s="1"/>
  <c r="O35" i="1" s="1"/>
  <c r="AE49" i="1"/>
  <c r="X49" i="1"/>
  <c r="AB49" i="1" s="1"/>
  <c r="AD49" i="1"/>
  <c r="AD20" i="1"/>
  <c r="AE20" i="1"/>
  <c r="X20" i="1"/>
  <c r="AB20" i="1" s="1"/>
  <c r="X56" i="1"/>
  <c r="AB56" i="1" s="1"/>
  <c r="AE56" i="1"/>
  <c r="AD56" i="1"/>
  <c r="X71" i="1"/>
  <c r="AB71" i="1" s="1"/>
  <c r="AE71" i="1"/>
  <c r="AD71" i="1"/>
  <c r="AF19" i="1"/>
  <c r="X67" i="1"/>
  <c r="AB67" i="1" s="1"/>
  <c r="AE67" i="1"/>
  <c r="AD67" i="1"/>
  <c r="X42" i="1"/>
  <c r="AB42" i="1" s="1"/>
  <c r="AE42" i="1"/>
  <c r="AD42" i="1"/>
  <c r="X50" i="1"/>
  <c r="AB50" i="1" s="1"/>
  <c r="AE50" i="1"/>
  <c r="AD50" i="1"/>
  <c r="AE31" i="1"/>
  <c r="AD31" i="1"/>
  <c r="X31" i="1"/>
  <c r="AB31" i="1" s="1"/>
  <c r="AE45" i="1"/>
  <c r="X45" i="1"/>
  <c r="AB45" i="1" s="1"/>
  <c r="AD45" i="1"/>
  <c r="AF48" i="1"/>
  <c r="AE52" i="1"/>
  <c r="AD52" i="1"/>
  <c r="X52" i="1"/>
  <c r="AB52" i="1" s="1"/>
  <c r="AF36" i="1"/>
  <c r="AF54" i="1"/>
  <c r="X59" i="1"/>
  <c r="AB59" i="1" s="1"/>
  <c r="AE59" i="1"/>
  <c r="AD59" i="1"/>
  <c r="AF24" i="1"/>
  <c r="AF25" i="1"/>
  <c r="AF40" i="1"/>
  <c r="S31" i="1"/>
  <c r="Q31" i="1" s="1"/>
  <c r="T31" i="1" s="1"/>
  <c r="N31" i="1" s="1"/>
  <c r="O31" i="1" s="1"/>
  <c r="AF44" i="1"/>
  <c r="AE53" i="1"/>
  <c r="AF53" i="1" s="1"/>
  <c r="X53" i="1"/>
  <c r="AB53" i="1" s="1"/>
  <c r="AD53" i="1"/>
  <c r="X34" i="1"/>
  <c r="AB34" i="1" s="1"/>
  <c r="AE34" i="1"/>
  <c r="AD34" i="1"/>
  <c r="X46" i="1"/>
  <c r="AB46" i="1" s="1"/>
  <c r="AE46" i="1"/>
  <c r="AD46" i="1"/>
  <c r="S46" i="1"/>
  <c r="Q46" i="1" s="1"/>
  <c r="T46" i="1" s="1"/>
  <c r="N46" i="1" s="1"/>
  <c r="O46" i="1" s="1"/>
  <c r="AE72" i="1"/>
  <c r="X72" i="1"/>
  <c r="AB72" i="1" s="1"/>
  <c r="AD72" i="1"/>
  <c r="X22" i="1"/>
  <c r="AB22" i="1" s="1"/>
  <c r="AE22" i="1"/>
  <c r="AF22" i="1" s="1"/>
  <c r="AD22" i="1"/>
  <c r="AE60" i="1"/>
  <c r="AF60" i="1" s="1"/>
  <c r="X60" i="1"/>
  <c r="AB60" i="1" s="1"/>
  <c r="AD60" i="1"/>
  <c r="X29" i="1"/>
  <c r="AB29" i="1" s="1"/>
  <c r="AE29" i="1"/>
  <c r="AD29" i="1"/>
  <c r="AE41" i="1"/>
  <c r="AF41" i="1" s="1"/>
  <c r="X41" i="1"/>
  <c r="AB41" i="1" s="1"/>
  <c r="AD41" i="1"/>
  <c r="AF55" i="1"/>
  <c r="X37" i="1"/>
  <c r="AB37" i="1" s="1"/>
  <c r="AE37" i="1"/>
  <c r="AF37" i="1" s="1"/>
  <c r="AD37" i="1"/>
  <c r="S53" i="1"/>
  <c r="Q53" i="1" s="1"/>
  <c r="T53" i="1" s="1"/>
  <c r="N53" i="1" s="1"/>
  <c r="O53" i="1" s="1"/>
  <c r="X63" i="1"/>
  <c r="AB63" i="1" s="1"/>
  <c r="AE63" i="1"/>
  <c r="AD63" i="1"/>
  <c r="X38" i="1"/>
  <c r="AB38" i="1" s="1"/>
  <c r="AE38" i="1"/>
  <c r="AD38" i="1"/>
  <c r="X30" i="1"/>
  <c r="AB30" i="1" s="1"/>
  <c r="AE30" i="1"/>
  <c r="AD30" i="1"/>
  <c r="S30" i="1"/>
  <c r="Q30" i="1" s="1"/>
  <c r="T30" i="1" s="1"/>
  <c r="N30" i="1" s="1"/>
  <c r="O30" i="1" s="1"/>
  <c r="S64" i="1"/>
  <c r="Q64" i="1" s="1"/>
  <c r="T64" i="1" s="1"/>
  <c r="N64" i="1" s="1"/>
  <c r="O64" i="1" s="1"/>
  <c r="X51" i="1"/>
  <c r="AB51" i="1" s="1"/>
  <c r="AE51" i="1"/>
  <c r="AD51" i="1"/>
  <c r="S51" i="1"/>
  <c r="Q51" i="1" s="1"/>
  <c r="T51" i="1" s="1"/>
  <c r="N51" i="1" s="1"/>
  <c r="O51" i="1" s="1"/>
  <c r="S43" i="1"/>
  <c r="Q43" i="1" s="1"/>
  <c r="T43" i="1" s="1"/>
  <c r="N43" i="1" s="1"/>
  <c r="O43" i="1" s="1"/>
  <c r="AF69" i="1"/>
  <c r="S37" i="1"/>
  <c r="Q37" i="1" s="1"/>
  <c r="T37" i="1" s="1"/>
  <c r="N37" i="1" s="1"/>
  <c r="O37" i="1" s="1"/>
  <c r="AF66" i="1"/>
  <c r="S49" i="1"/>
  <c r="Q49" i="1" s="1"/>
  <c r="T49" i="1" s="1"/>
  <c r="N49" i="1" s="1"/>
  <c r="O49" i="1" s="1"/>
  <c r="S42" i="1"/>
  <c r="Q42" i="1" s="1"/>
  <c r="T42" i="1" s="1"/>
  <c r="N42" i="1" s="1"/>
  <c r="O42" i="1" s="1"/>
  <c r="AF38" i="1" l="1"/>
  <c r="AF50" i="1"/>
  <c r="AF20" i="1"/>
  <c r="AF71" i="1"/>
  <c r="AF30" i="1"/>
  <c r="AF56" i="1"/>
  <c r="AF46" i="1"/>
  <c r="AF31" i="1"/>
  <c r="AF42" i="1"/>
  <c r="AF51" i="1"/>
  <c r="AF52" i="1"/>
  <c r="AF49" i="1"/>
  <c r="AF64" i="1"/>
  <c r="AF33" i="1"/>
  <c r="AF34" i="1"/>
  <c r="AF59" i="1"/>
  <c r="AF67" i="1"/>
  <c r="AF68" i="1"/>
  <c r="AF63" i="1"/>
  <c r="AF29" i="1"/>
  <c r="AF72" i="1"/>
  <c r="AF45" i="1"/>
  <c r="AF43" i="1"/>
  <c r="AF32" i="1"/>
</calcChain>
</file>

<file path=xl/sharedStrings.xml><?xml version="1.0" encoding="utf-8"?>
<sst xmlns="http://schemas.openxmlformats.org/spreadsheetml/2006/main" count="1830" uniqueCount="665">
  <si>
    <t>File opened</t>
  </si>
  <si>
    <t>2023-11-16 09:00:44</t>
  </si>
  <si>
    <t>Console s/n</t>
  </si>
  <si>
    <t>68C-831540</t>
  </si>
  <si>
    <t>Console ver</t>
  </si>
  <si>
    <t>Bluestem v.2.1.08</t>
  </si>
  <si>
    <t>Scripts ver</t>
  </si>
  <si>
    <t>2022.05  2.1.08, Aug 2022</t>
  </si>
  <si>
    <t>Head s/n</t>
  </si>
  <si>
    <t>68H-891540</t>
  </si>
  <si>
    <t>Head ver</t>
  </si>
  <si>
    <t>1.4.22</t>
  </si>
  <si>
    <t>Head cal</t>
  </si>
  <si>
    <t>{"oxygen": "21", "co2azero": "0.905898", "co2aspan1": "0.998494", "co2aspan2": "-0.0249079", "co2aspan2a": "0.287451", "co2aspan2b": "0.28496", "co2aspanconc1": "2490", "co2aspanconc2": "303.6", "co2bzero": "0.909525", "co2bspan1": "0.99808", "co2bspan2": "-0.0242159", "co2bspan2a": "0.290845", "co2bspan2b": "0.288238", "co2bspanconc1": "2490", "co2bspanconc2": "303.6", "h2oazero": "1.10031", "h2oaspan1": "1.00722", "h2oaspan2": "0", "h2oaspan2a": "0.0713796", "h2oaspan2b": "0.0718949", "h2oaspanconc1": "12.71", "h2oaspanconc2": "0", "h2obzero": "1.11184", "h2obspan1": "0.994645", "h2obspan2": "0", "h2obspan2a": "0.0725303", "h2obspan2b": "0.0721418", "h2obspanconc1": "12.71", "h2obspanconc2": "0", "tazero": "0.00155258", "tbzero": "0.0849667", "flowmeterzero": "1.00319", "flowazero": "0.291", "flowbzero": "0.33337", "chamberpressurezero": "2.60256", "ssa_ref": "35718.6", "ssb_ref": "36468.4"}</t>
  </si>
  <si>
    <t>CO2 rangematch</t>
  </si>
  <si>
    <t>Fri Nov 10 09:29</t>
  </si>
  <si>
    <t>H2O rangematch</t>
  </si>
  <si>
    <t>Fri Nov 10 09:35</t>
  </si>
  <si>
    <t>Chamber type</t>
  </si>
  <si>
    <t>6800-01A</t>
  </si>
  <si>
    <t>Chamber s/n</t>
  </si>
  <si>
    <t>MPF-651415</t>
  </si>
  <si>
    <t>Chamber rev</t>
  </si>
  <si>
    <t>0</t>
  </si>
  <si>
    <t>Chamber cal</t>
  </si>
  <si>
    <t>Fluorometer</t>
  </si>
  <si>
    <t>Flr. Version</t>
  </si>
  <si>
    <t>09:00:44</t>
  </si>
  <si>
    <t>Stability Definition:	gsw (GasEx): Slp&lt;0.05 Std&lt;0.05 Per=15	A (GasEx): Slp&lt;0.7 Std&lt;0.2 Per=15</t>
  </si>
  <si>
    <t>SysConst</t>
  </si>
  <si>
    <t>AvgTime</t>
  </si>
  <si>
    <t>4</t>
  </si>
  <si>
    <t>Oxygen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</si>
  <si>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</si>
  <si>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</si>
  <si>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</si>
  <si>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</si>
  <si>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</si>
  <si>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</si>
  <si>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</si>
  <si>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</si>
  <si>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</si>
  <si>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</si>
  <si>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</si>
  <si>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</si>
  <si>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</si>
  <si>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</si>
  <si>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</si>
  <si>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</si>
  <si>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</si>
  <si>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</si>
  <si>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</si>
  <si>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</si>
  <si>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</si>
  <si>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</si>
  <si>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</si>
  <si>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</si>
  <si>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</si>
  <si>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</si>
  <si>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</si>
  <si>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</si>
  <si>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</si>
  <si>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</si>
  <si>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</si>
  <si>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</si>
  <si>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</si>
  <si>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</si>
  <si>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</si>
  <si>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</si>
  <si>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</si>
  <si>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</si>
  <si>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</si>
  <si>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</si>
  <si>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</si>
  <si>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</si>
  <si>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</si>
  <si>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</si>
  <si>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</si>
  <si>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</si>
  <si>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</si>
  <si>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</si>
  <si>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1.71008 58.061 366.714 645.853 903.057 1147.62 1326.89 1574</t>
  </si>
  <si>
    <t>Fs_true</t>
  </si>
  <si>
    <t>-0.12075 100.41 402.065 601.307 801.443 1002.39 1200.95 1401.68</t>
  </si>
  <si>
    <t>leak_wt</t>
  </si>
  <si>
    <t>SysObs</t>
  </si>
  <si>
    <t>UserDefCon</t>
  </si>
  <si>
    <t>GasEx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</si>
  <si>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</si>
  <si>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</si>
  <si>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</si>
  <si>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</si>
  <si>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</si>
  <si>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</si>
  <si>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</si>
  <si>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</si>
  <si>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</si>
  <si>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</si>
  <si>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</si>
  <si>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</si>
  <si>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</si>
  <si>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</si>
  <si>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</si>
  <si>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</si>
  <si>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</si>
  <si>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</si>
  <si>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</si>
  <si>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</si>
  <si>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</si>
  <si>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</si>
  <si>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</si>
  <si>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</si>
  <si>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event</t>
  </si>
  <si>
    <t>replicate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</si>
  <si>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</si>
  <si>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</si>
  <si>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</si>
  <si>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</si>
  <si>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</si>
  <si>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</si>
  <si>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</si>
  <si>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</si>
  <si>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</si>
  <si>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</si>
  <si>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</si>
  <si>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</si>
  <si>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</si>
  <si>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</si>
  <si>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</si>
  <si>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</si>
  <si>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</si>
  <si>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</si>
  <si>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</si>
  <si>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</si>
  <si>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</si>
  <si>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</si>
  <si>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</si>
  <si>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</si>
  <si>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</si>
  <si>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</si>
  <si>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</si>
  <si>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</si>
  <si>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</si>
  <si>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</si>
  <si>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</si>
  <si>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</si>
  <si>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</si>
  <si>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</si>
  <si>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</si>
  <si>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</si>
  <si>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</si>
  <si>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</si>
  <si>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</si>
  <si>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</si>
  <si>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</si>
  <si>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</si>
  <si>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</si>
  <si>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</si>
  <si>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</si>
  <si>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</si>
  <si>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</si>
  <si>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</si>
  <si>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</si>
  <si>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</si>
  <si>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</si>
  <si>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</si>
  <si>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</si>
  <si>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</si>
  <si>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</si>
  <si>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</si>
  <si>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</si>
  <si>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</si>
  <si>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</si>
  <si>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</si>
  <si>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</si>
  <si>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</si>
  <si>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</si>
  <si>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</si>
  <si>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</si>
  <si>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</si>
  <si>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</si>
  <si>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</si>
  <si>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</si>
  <si>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</si>
  <si>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</si>
  <si>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</si>
  <si>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</si>
  <si>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</si>
  <si>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</si>
  <si>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</si>
  <si>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</si>
  <si>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</si>
  <si>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</si>
  <si>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</si>
  <si>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</si>
  <si>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</si>
  <si>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</si>
  <si>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</si>
  <si>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</si>
  <si>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</si>
  <si>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</si>
  <si>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</si>
  <si>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</si>
  <si>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</si>
  <si>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</si>
  <si>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</si>
  <si>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</si>
  <si>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</si>
  <si>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</si>
  <si>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</si>
  <si>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</si>
  <si>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</si>
  <si>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</si>
  <si>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</si>
  <si>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</si>
  <si>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</si>
  <si>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</si>
  <si>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</si>
  <si>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</si>
  <si>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</si>
  <si>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</si>
  <si>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</si>
  <si>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</si>
  <si>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</si>
  <si>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</si>
  <si>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</si>
  <si>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</si>
  <si>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</si>
  <si>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</si>
  <si>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</si>
  <si>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</si>
  <si>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</si>
  <si>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</si>
  <si>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</si>
  <si>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</si>
  <si>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</si>
  <si>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</si>
  <si>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</si>
  <si>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</si>
  <si>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</si>
  <si>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</si>
  <si>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</si>
  <si>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</si>
  <si>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</si>
  <si>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</si>
  <si>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</si>
  <si>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</si>
  <si>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</si>
  <si>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</si>
  <si>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</si>
  <si>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</si>
  <si>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</si>
  <si>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</si>
  <si>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</si>
  <si>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</si>
  <si>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</si>
  <si>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</si>
  <si>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</si>
  <si>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</si>
  <si>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</si>
  <si>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</si>
  <si>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</si>
  <si>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</si>
  <si>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</si>
  <si>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</si>
  <si>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</si>
  <si>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</si>
  <si>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</si>
  <si>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</si>
  <si>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</si>
  <si>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</si>
  <si>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A:MN</t>
  </si>
  <si>
    <t>A:SLP</t>
  </si>
  <si>
    <t>A:SD</t>
  </si>
  <si>
    <t>A:OK</t>
  </si>
  <si>
    <t>gsw:MN</t>
  </si>
  <si>
    <t>gsw:SLP</t>
  </si>
  <si>
    <t>gsw:SD</t>
  </si>
  <si>
    <t>gsw:OK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</si>
  <si>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</si>
  <si>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</si>
  <si>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</si>
  <si>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</si>
  <si>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</si>
  <si>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</si>
  <si>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</si>
  <si>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</si>
  <si>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</si>
  <si>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</si>
  <si>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</si>
  <si>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</si>
  <si>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</si>
  <si>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</si>
  <si>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</si>
  <si>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</si>
  <si>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</si>
  <si>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</si>
  <si>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</si>
  <si>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</si>
  <si>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</si>
  <si>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</si>
  <si>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</si>
  <si>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</si>
  <si>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</si>
  <si>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</si>
  <si>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</si>
  <si>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</si>
  <si>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</si>
  <si>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</si>
  <si>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</si>
  <si>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</si>
  <si>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</si>
  <si>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</si>
  <si>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</si>
  <si>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</si>
  <si>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</si>
  <si>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</si>
  <si>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</si>
  <si>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</si>
  <si>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</si>
  <si>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</si>
  <si>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</si>
  <si>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</si>
  <si>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</si>
  <si>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</si>
  <si>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</si>
  <si>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</si>
  <si>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</si>
  <si>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</si>
  <si>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</si>
  <si>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</si>
  <si>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</si>
  <si>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</si>
  <si>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</si>
  <si>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</si>
  <si>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</si>
  <si>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</si>
  <si>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</si>
  <si>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</si>
  <si>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</si>
  <si>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</si>
  <si>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</si>
  <si>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</si>
  <si>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</si>
  <si>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</si>
  <si>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</si>
  <si>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</si>
  <si>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</si>
  <si>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</si>
  <si>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</si>
  <si>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</si>
  <si>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</si>
  <si>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</si>
  <si>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</si>
  <si>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</si>
  <si>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</si>
  <si>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</si>
  <si>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</si>
  <si>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</si>
  <si>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</si>
  <si>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</si>
  <si>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</si>
  <si>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</si>
  <si>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</si>
  <si>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</si>
  <si>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</si>
  <si>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</si>
  <si>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</si>
  <si>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</si>
  <si>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</si>
  <si>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</si>
  <si>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</si>
  <si>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</si>
  <si>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</si>
  <si>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</si>
  <si>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</si>
  <si>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</si>
  <si>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</si>
  <si>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</si>
  <si>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</si>
  <si>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</si>
  <si>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</si>
  <si>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</si>
  <si>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</si>
  <si>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</si>
  <si>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</si>
  <si>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</si>
  <si>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</si>
  <si>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</si>
  <si>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</si>
  <si>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</si>
  <si>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</si>
  <si>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</si>
  <si>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</si>
  <si>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</si>
  <si>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</si>
  <si>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</si>
  <si>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mmol mol⁻¹</t>
  </si>
  <si>
    <t>rpm</t>
  </si>
  <si>
    <t>min⁻¹</t>
  </si>
  <si>
    <t>secs</t>
  </si>
  <si>
    <t>µmol/mol</t>
  </si>
  <si>
    <t>mmol/mol</t>
  </si>
  <si>
    <t>µmol m⁻² s⁻¹ min⁻¹</t>
  </si>
  <si>
    <t>mol m⁻² s⁻¹ min⁻¹</t>
  </si>
  <si>
    <t>V</t>
  </si>
  <si>
    <t>mV</t>
  </si>
  <si>
    <t>mg</t>
  </si>
  <si>
    <t>hrs</t>
  </si>
  <si>
    <t>min</t>
  </si>
  <si>
    <t>20231116 09:12:09</t>
  </si>
  <si>
    <t>09:12:09</t>
  </si>
  <si>
    <t>none</t>
  </si>
  <si>
    <t>9</t>
  </si>
  <si>
    <t>6</t>
  </si>
  <si>
    <t>MPF-520-20231106-15_10_56</t>
  </si>
  <si>
    <t>MPF-23-20231116-09_11_59</t>
  </si>
  <si>
    <t>DARK-24-20231116-09_12_06</t>
  </si>
  <si>
    <t>0: Broadleaf</t>
  </si>
  <si>
    <t>09:11:29</t>
  </si>
  <si>
    <t>2/2</t>
  </si>
  <si>
    <t>00000000</t>
  </si>
  <si>
    <t>iiiiiiii</t>
  </si>
  <si>
    <t>off</t>
  </si>
  <si>
    <t>on</t>
  </si>
  <si>
    <t>20231116 09:14:16</t>
  </si>
  <si>
    <t>09:14:16</t>
  </si>
  <si>
    <t>-</t>
  </si>
  <si>
    <t>09:13:38</t>
  </si>
  <si>
    <t>20231116 09:16:31</t>
  </si>
  <si>
    <t>09:16:31</t>
  </si>
  <si>
    <t>MPF-25-20231116-09_16_20</t>
  </si>
  <si>
    <t>DARK-26-20231116-09_16_27</t>
  </si>
  <si>
    <t>09:15:49</t>
  </si>
  <si>
    <t>20231116 09:18:18</t>
  </si>
  <si>
    <t>09:18:18</t>
  </si>
  <si>
    <t>09:17:42</t>
  </si>
  <si>
    <t>20231116 09:20:54</t>
  </si>
  <si>
    <t>09:20:54</t>
  </si>
  <si>
    <t>MPF-27-20231116-09_20_44</t>
  </si>
  <si>
    <t>DARK-28-20231116-09_20_51</t>
  </si>
  <si>
    <t>09:19:28</t>
  </si>
  <si>
    <t>20231116 09:23:59</t>
  </si>
  <si>
    <t>09:23:59</t>
  </si>
  <si>
    <t>MPF-29-20231116-09_23_48</t>
  </si>
  <si>
    <t>DARK-30-20231116-09_23_55</t>
  </si>
  <si>
    <t>09:22:07</t>
  </si>
  <si>
    <t>20231116 09:26:29</t>
  </si>
  <si>
    <t>09:26:29</t>
  </si>
  <si>
    <t>09:25:56</t>
  </si>
  <si>
    <t>20231116 09:29:41</t>
  </si>
  <si>
    <t>09:29:41</t>
  </si>
  <si>
    <t>MPF-31-20231116-09_29_31</t>
  </si>
  <si>
    <t>DARK-32-20231116-09_29_38</t>
  </si>
  <si>
    <t>09:27:35</t>
  </si>
  <si>
    <t>20231116 09:32:46</t>
  </si>
  <si>
    <t>09:32:46</t>
  </si>
  <si>
    <t>MPF-33-20231116-09_32_35</t>
  </si>
  <si>
    <t>DARK-34-20231116-09_32_42</t>
  </si>
  <si>
    <t>09:31:19</t>
  </si>
  <si>
    <t>20231116 09:35:49</t>
  </si>
  <si>
    <t>09:35:49</t>
  </si>
  <si>
    <t>MPF-35-20231116-09_35_38</t>
  </si>
  <si>
    <t>DARK-36-20231116-09_35_45</t>
  </si>
  <si>
    <t>09:34:05</t>
  </si>
  <si>
    <t>20231116 09:38:15</t>
  </si>
  <si>
    <t>09:38:15</t>
  </si>
  <si>
    <t>09:37:17</t>
  </si>
  <si>
    <t>20231116 09:40:06</t>
  </si>
  <si>
    <t>09:40:06</t>
  </si>
  <si>
    <t>MPF-37-20231116-09_39_55</t>
  </si>
  <si>
    <t>DARK-38-20231116-09_40_02</t>
  </si>
  <si>
    <t>09:39:29</t>
  </si>
  <si>
    <t>20231116 09:42:20</t>
  </si>
  <si>
    <t>09:42:20</t>
  </si>
  <si>
    <t>09:41:45</t>
  </si>
  <si>
    <t>20231116 09:44:00</t>
  </si>
  <si>
    <t>09:44:00</t>
  </si>
  <si>
    <t>MPF-39-20231116-09_43_50</t>
  </si>
  <si>
    <t>DARK-40-20231116-09_43_57</t>
  </si>
  <si>
    <t>09:43:25</t>
  </si>
  <si>
    <t>20231116 10:28:01</t>
  </si>
  <si>
    <t>10:28:01</t>
  </si>
  <si>
    <t>3</t>
  </si>
  <si>
    <t>MPF-41-20231116-10_27_51</t>
  </si>
  <si>
    <t>DARK-42-20231116-10_27_58</t>
  </si>
  <si>
    <t>10:27:16</t>
  </si>
  <si>
    <t>20231116 10:30:03</t>
  </si>
  <si>
    <t>10:30:03</t>
  </si>
  <si>
    <t>10:30:31</t>
  </si>
  <si>
    <t>20231116 10:34:12</t>
  </si>
  <si>
    <t>10:34:12</t>
  </si>
  <si>
    <t>MPF-43-20231116-10_34_01</t>
  </si>
  <si>
    <t>DARK-44-20231116-10_34_08</t>
  </si>
  <si>
    <t>10:32:14</t>
  </si>
  <si>
    <t>20231116 10:37:33</t>
  </si>
  <si>
    <t>10:37:33</t>
  </si>
  <si>
    <t>MPF-45-20231116-10_37_23</t>
  </si>
  <si>
    <t>DARK-46-20231116-10_37_30</t>
  </si>
  <si>
    <t>10:35:24</t>
  </si>
  <si>
    <t>20231116 10:41:32</t>
  </si>
  <si>
    <t>10:41:32</t>
  </si>
  <si>
    <t>MPF-47-20231116-10_41_21</t>
  </si>
  <si>
    <t>DARK-48-20231116-10_41_29</t>
  </si>
  <si>
    <t>10:39:59</t>
  </si>
  <si>
    <t>20231116 10:44:52</t>
  </si>
  <si>
    <t>10:44:52</t>
  </si>
  <si>
    <t>MPF-49-20231116-10_44_42</t>
  </si>
  <si>
    <t>DARK-50-20231116-10_44_49</t>
  </si>
  <si>
    <t>10:42:43</t>
  </si>
  <si>
    <t>20231116 10:49:02</t>
  </si>
  <si>
    <t>10:49:02</t>
  </si>
  <si>
    <t>MPF-51-20231116-10_48_52</t>
  </si>
  <si>
    <t>DARK-52-20231116-10_48_59</t>
  </si>
  <si>
    <t>10:46:06</t>
  </si>
  <si>
    <t>20231116 10:52:28</t>
  </si>
  <si>
    <t>10:52:28</t>
  </si>
  <si>
    <t>MPF-53-20231116-10_52_18</t>
  </si>
  <si>
    <t>DARK-54-20231116-10_52_25</t>
  </si>
  <si>
    <t>10:50:18</t>
  </si>
  <si>
    <t>20231116 10:55:10</t>
  </si>
  <si>
    <t>10:55:10</t>
  </si>
  <si>
    <t>10:54:15</t>
  </si>
  <si>
    <t>20231116 10:57:54</t>
  </si>
  <si>
    <t>10:57:54</t>
  </si>
  <si>
    <t>MPF-55-20231116-10_57_43</t>
  </si>
  <si>
    <t>DARK-56-20231116-10_57_51</t>
  </si>
  <si>
    <t>10:56:18</t>
  </si>
  <si>
    <t>20231116 11:00:16</t>
  </si>
  <si>
    <t>11:00:16</t>
  </si>
  <si>
    <t>10:59:34</t>
  </si>
  <si>
    <t>20231116 11:02:03</t>
  </si>
  <si>
    <t>11:02:03</t>
  </si>
  <si>
    <t>MPF-57-20231116-11_01_52</t>
  </si>
  <si>
    <t>DARK-58-20231116-11_02_00</t>
  </si>
  <si>
    <t>11:01:24</t>
  </si>
  <si>
    <t>20231116 11:04:02</t>
  </si>
  <si>
    <t>11:04:02</t>
  </si>
  <si>
    <t>11:03:19</t>
  </si>
  <si>
    <t>20231116 11:05:43</t>
  </si>
  <si>
    <t>11:05:43</t>
  </si>
  <si>
    <t>MPF-59-20231116-11_05_33</t>
  </si>
  <si>
    <t>DARK-60-20231116-11_05_40</t>
  </si>
  <si>
    <t>11:05:03</t>
  </si>
  <si>
    <t>20231116 11:24:07</t>
  </si>
  <si>
    <t>11:24:07</t>
  </si>
  <si>
    <t>25</t>
  </si>
  <si>
    <t>2</t>
  </si>
  <si>
    <t>MPF-61-20231116-11_23_56</t>
  </si>
  <si>
    <t>DARK-62-20231116-11_24_04</t>
  </si>
  <si>
    <t>11:23:02</t>
  </si>
  <si>
    <t>20231116 11:27:00</t>
  </si>
  <si>
    <t>11:27:00</t>
  </si>
  <si>
    <t>11:27:28</t>
  </si>
  <si>
    <t>20231116 11:29:23</t>
  </si>
  <si>
    <t>11:29:23</t>
  </si>
  <si>
    <t>MPF-63-20231116-11_29_13</t>
  </si>
  <si>
    <t>DARK-64-20231116-11_29_20</t>
  </si>
  <si>
    <t>11:28:51</t>
  </si>
  <si>
    <t>20231116 11:32:03</t>
  </si>
  <si>
    <t>11:32:03</t>
  </si>
  <si>
    <t>11:30:38</t>
  </si>
  <si>
    <t>20231116 11:34:48</t>
  </si>
  <si>
    <t>11:34:48</t>
  </si>
  <si>
    <t>MPF-65-20231116-11_34_37</t>
  </si>
  <si>
    <t>DARK-66-20231116-11_34_45</t>
  </si>
  <si>
    <t>11:33:02</t>
  </si>
  <si>
    <t>20231116 11:38:10</t>
  </si>
  <si>
    <t>11:38:10</t>
  </si>
  <si>
    <t>MPF-67-20231116-11_37_59</t>
  </si>
  <si>
    <t>DARK-68-20231116-11_38_07</t>
  </si>
  <si>
    <t>11:36:50</t>
  </si>
  <si>
    <t>20231116 11:41:46</t>
  </si>
  <si>
    <t>11:41:46</t>
  </si>
  <si>
    <t>MPF-69-20231116-11_41_36</t>
  </si>
  <si>
    <t>DARK-70-20231116-11_41_43</t>
  </si>
  <si>
    <t>11:40:21</t>
  </si>
  <si>
    <t>20231116 11:43:37</t>
  </si>
  <si>
    <t>11:43:37</t>
  </si>
  <si>
    <t>11:43:06</t>
  </si>
  <si>
    <t>20231116 11:47:25</t>
  </si>
  <si>
    <t>11:47:25</t>
  </si>
  <si>
    <t>MPF-71-20231116-11_47_14</t>
  </si>
  <si>
    <t>DARK-72-20231116-11_47_22</t>
  </si>
  <si>
    <t>11:45:56</t>
  </si>
  <si>
    <t>20231116 11:50:05</t>
  </si>
  <si>
    <t>11:50:05</t>
  </si>
  <si>
    <t>11:48:53</t>
  </si>
  <si>
    <t>20231116 11:52:20</t>
  </si>
  <si>
    <t>11:52:20</t>
  </si>
  <si>
    <t>MPF-73-20231116-11_52_10</t>
  </si>
  <si>
    <t>DARK-74-20231116-11_52_17</t>
  </si>
  <si>
    <t>11:51:36</t>
  </si>
  <si>
    <t>20231116 11:54:38</t>
  </si>
  <si>
    <t>11:54:38</t>
  </si>
  <si>
    <t>11:53:53</t>
  </si>
  <si>
    <t>20231116 11:57:32</t>
  </si>
  <si>
    <t>11:57:32</t>
  </si>
  <si>
    <t>MPF-75-20231116-11_57_21</t>
  </si>
  <si>
    <t>DARK-76-20231116-11_57_29</t>
  </si>
  <si>
    <t>11:56:27</t>
  </si>
  <si>
    <t>20231116 11:59:35</t>
  </si>
  <si>
    <t>11:59:35</t>
  </si>
  <si>
    <t>11:58:54</t>
  </si>
  <si>
    <t>20231116 13:39:13</t>
  </si>
  <si>
    <t>13:39:13</t>
  </si>
  <si>
    <t>7</t>
  </si>
  <si>
    <t>MPF-95-20231116-13_39_03</t>
  </si>
  <si>
    <t>DARK-96-20231116-13_39_10</t>
  </si>
  <si>
    <t>13:38:39</t>
  </si>
  <si>
    <t>20231116 13:41:17</t>
  </si>
  <si>
    <t>13:41:17</t>
  </si>
  <si>
    <t>13:40:43</t>
  </si>
  <si>
    <t>20231116 13:43:53</t>
  </si>
  <si>
    <t>13:43:53</t>
  </si>
  <si>
    <t>MPF-97-20231116-13_43_43</t>
  </si>
  <si>
    <t>DARK-98-20231116-13_43_50</t>
  </si>
  <si>
    <t>13:43:22</t>
  </si>
  <si>
    <t>20231116 13:45:47</t>
  </si>
  <si>
    <t>13:45:47</t>
  </si>
  <si>
    <t>13:45:12</t>
  </si>
  <si>
    <t>20231116 13:49:44</t>
  </si>
  <si>
    <t>13:49:44</t>
  </si>
  <si>
    <t>MPF-99-20231116-13_49_34</t>
  </si>
  <si>
    <t>DARK-100-20231116-13_49_41</t>
  </si>
  <si>
    <t>13:46:52</t>
  </si>
  <si>
    <t>20231116 13:53:11</t>
  </si>
  <si>
    <t>13:53:11</t>
  </si>
  <si>
    <t>MPF-101-20231116-13_53_01</t>
  </si>
  <si>
    <t>DARK-102-20231116-13_53_08</t>
  </si>
  <si>
    <t>13:51:01</t>
  </si>
  <si>
    <t>20231116 13:56:36</t>
  </si>
  <si>
    <t>13:56:36</t>
  </si>
  <si>
    <t>MPF-103-20231116-13_56_26</t>
  </si>
  <si>
    <t>DARK-104-20231116-13_56_33</t>
  </si>
  <si>
    <t>13:54:31</t>
  </si>
  <si>
    <t>20231116 13:59:49</t>
  </si>
  <si>
    <t>13:59:49</t>
  </si>
  <si>
    <t>MPF-105-20231116-13_59_39</t>
  </si>
  <si>
    <t>DARK-106-20231116-13_59_46</t>
  </si>
  <si>
    <t>13:58:25</t>
  </si>
  <si>
    <t>20231116 14:03:04</t>
  </si>
  <si>
    <t>14:03:04</t>
  </si>
  <si>
    <t>MPF-107-20231116-14_02_54</t>
  </si>
  <si>
    <t>DARK-108-20231116-14_03_01</t>
  </si>
  <si>
    <t>14:01:11</t>
  </si>
  <si>
    <t>20231116 14:06:04</t>
  </si>
  <si>
    <t>14:06:04</t>
  </si>
  <si>
    <t>14:04:30</t>
  </si>
  <si>
    <t>20231116 14:08:32</t>
  </si>
  <si>
    <t>14:08:32</t>
  </si>
  <si>
    <t>MPF-109-20231116-14_08_22</t>
  </si>
  <si>
    <t>DARK-110-20231116-14_08_29</t>
  </si>
  <si>
    <t>14:07:51</t>
  </si>
  <si>
    <t>20231116 14:10:31</t>
  </si>
  <si>
    <t>14:10:31</t>
  </si>
  <si>
    <t>14:09:49</t>
  </si>
  <si>
    <t>20231116 14:12:26</t>
  </si>
  <si>
    <t>14:12:26</t>
  </si>
  <si>
    <t>MPF-111-20231116-14_12_16</t>
  </si>
  <si>
    <t>DARK-112-20231116-14_12_23</t>
  </si>
  <si>
    <t>14:11:46</t>
  </si>
  <si>
    <t>20231116 14:14:34</t>
  </si>
  <si>
    <t>14:14:34</t>
  </si>
  <si>
    <t>14:13:52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</si>
</sst>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T72"/>
  <sheetViews>
    <sheetView tabSelected="1" topLeftCell="A49" workbookViewId="0">
      <selection activeCell="A59" sqref="A59:XFD72"/>
    </sheetView>
  </sheetViews>
  <sheetFormatPr defaultRowHeight="15" x14ac:dyDescent="0.25"/>
  <sheetData>
    <row r="2" spans="1:280" x14ac:dyDescent="0.25">
      <c r="A2" t="s">
        <v>29</v>
      </c>
      <c r="B2" t="s">
        <v>30</v>
      </c>
      <c r="C2" t="s">
        <v>32</v>
      </c>
    </row>
    <row r="3" spans="1:280" x14ac:dyDescent="0.25">
      <c r="B3" t="s">
        <v>31</v>
      </c>
      <c r="C3">
        <v>21</v>
      </c>
    </row>
    <row r="4" spans="1:280" x14ac:dyDescent="0.25">
      <c r="A4" t="s">
        <v>33</v>
      </c>
      <c r="B4" t="s">
        <v>34</v>
      </c>
      <c r="C4" t="s">
        <v>35</v>
      </c>
      <c r="D4" t="s">
        <v>37</v>
      </c>
      <c r="E4" t="s">
        <v>38</v>
      </c>
      <c r="F4" t="s">
        <v>39</v>
      </c>
      <c r="G4" t="s">
        <v>40</v>
      </c>
      <c r="H4" t="s">
        <v>41</v>
      </c>
      <c r="I4" t="s">
        <v>42</v>
      </c>
      <c r="J4" t="s">
        <v>43</v>
      </c>
      <c r="K4" t="s">
        <v>44</v>
      </c>
    </row>
    <row r="5" spans="1:280" x14ac:dyDescent="0.25">
      <c r="B5" t="s">
        <v>19</v>
      </c>
      <c r="C5" t="s">
        <v>36</v>
      </c>
      <c r="D5">
        <v>0.57799999999999996</v>
      </c>
      <c r="E5">
        <v>0.52297389999999999</v>
      </c>
      <c r="F5">
        <v>3.7402519999999999E-3</v>
      </c>
      <c r="G5">
        <v>-6.1979609999999997E-2</v>
      </c>
      <c r="H5">
        <v>-5.6085859999999996E-3</v>
      </c>
      <c r="I5">
        <v>1</v>
      </c>
      <c r="J5">
        <v>6</v>
      </c>
      <c r="K5">
        <v>96.9</v>
      </c>
    </row>
    <row r="6" spans="1:280" x14ac:dyDescent="0.25">
      <c r="A6" t="s">
        <v>45</v>
      </c>
      <c r="B6" t="s">
        <v>46</v>
      </c>
      <c r="C6" t="s">
        <v>47</v>
      </c>
      <c r="D6" t="s">
        <v>48</v>
      </c>
      <c r="E6" t="s">
        <v>49</v>
      </c>
    </row>
    <row r="7" spans="1:280" x14ac:dyDescent="0.25">
      <c r="B7">
        <v>0</v>
      </c>
      <c r="C7">
        <v>1</v>
      </c>
      <c r="D7">
        <v>0</v>
      </c>
      <c r="E7">
        <v>0</v>
      </c>
    </row>
    <row r="8" spans="1:280" x14ac:dyDescent="0.25">
      <c r="A8" t="s">
        <v>50</v>
      </c>
      <c r="B8" t="s">
        <v>51</v>
      </c>
      <c r="C8" t="s">
        <v>53</v>
      </c>
      <c r="D8" t="s">
        <v>55</v>
      </c>
      <c r="E8" t="s">
        <v>56</v>
      </c>
      <c r="F8" t="s">
        <v>57</v>
      </c>
      <c r="G8" t="s">
        <v>58</v>
      </c>
      <c r="H8" t="s">
        <v>59</v>
      </c>
      <c r="I8" t="s">
        <v>60</v>
      </c>
      <c r="J8" t="s">
        <v>61</v>
      </c>
      <c r="K8" t="s">
        <v>62</v>
      </c>
      <c r="L8" t="s">
        <v>63</v>
      </c>
      <c r="M8" t="s">
        <v>64</v>
      </c>
      <c r="N8" t="s">
        <v>65</v>
      </c>
      <c r="O8" t="s">
        <v>66</v>
      </c>
      <c r="P8" t="s">
        <v>67</v>
      </c>
      <c r="Q8" t="s">
        <v>68</v>
      </c>
    </row>
    <row r="9" spans="1:280" x14ac:dyDescent="0.25">
      <c r="B9" t="s">
        <v>52</v>
      </c>
      <c r="C9" t="s">
        <v>54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80" x14ac:dyDescent="0.25">
      <c r="A10" t="s">
        <v>69</v>
      </c>
      <c r="B10" t="s">
        <v>70</v>
      </c>
      <c r="C10" t="s">
        <v>71</v>
      </c>
      <c r="D10" t="s">
        <v>72</v>
      </c>
      <c r="E10" t="s">
        <v>73</v>
      </c>
      <c r="F10" t="s">
        <v>74</v>
      </c>
    </row>
    <row r="11" spans="1:280" x14ac:dyDescent="0.25">
      <c r="B11">
        <v>0</v>
      </c>
      <c r="C11">
        <v>0</v>
      </c>
      <c r="D11">
        <v>0</v>
      </c>
      <c r="E11">
        <v>0</v>
      </c>
      <c r="F11">
        <v>1</v>
      </c>
    </row>
    <row r="12" spans="1:280" x14ac:dyDescent="0.25">
      <c r="A12" t="s">
        <v>75</v>
      </c>
      <c r="B12" t="s">
        <v>76</v>
      </c>
      <c r="C12" t="s">
        <v>77</v>
      </c>
      <c r="D12" t="s">
        <v>78</v>
      </c>
      <c r="E12" t="s">
        <v>79</v>
      </c>
      <c r="F12" t="s">
        <v>80</v>
      </c>
      <c r="G12" t="s">
        <v>82</v>
      </c>
      <c r="H12" t="s">
        <v>84</v>
      </c>
    </row>
    <row r="13" spans="1:280" x14ac:dyDescent="0.25">
      <c r="B13">
        <v>-6276</v>
      </c>
      <c r="C13">
        <v>6.6</v>
      </c>
      <c r="D13">
        <v>1.7090000000000001E-5</v>
      </c>
      <c r="E13">
        <v>3.11</v>
      </c>
      <c r="F13" t="s">
        <v>81</v>
      </c>
      <c r="G13" t="s">
        <v>83</v>
      </c>
      <c r="H13">
        <v>0</v>
      </c>
    </row>
    <row r="14" spans="1:280" x14ac:dyDescent="0.25">
      <c r="A14" t="s">
        <v>85</v>
      </c>
      <c r="B14" t="s">
        <v>85</v>
      </c>
      <c r="C14" t="s">
        <v>85</v>
      </c>
      <c r="D14" t="s">
        <v>85</v>
      </c>
      <c r="E14" t="s">
        <v>85</v>
      </c>
      <c r="F14" t="s">
        <v>85</v>
      </c>
      <c r="G14" t="s">
        <v>86</v>
      </c>
      <c r="H14" t="s">
        <v>86</v>
      </c>
      <c r="I14" t="s">
        <v>87</v>
      </c>
      <c r="J14" t="s">
        <v>87</v>
      </c>
      <c r="K14" t="s">
        <v>87</v>
      </c>
      <c r="L14" t="s">
        <v>87</v>
      </c>
      <c r="M14" t="s">
        <v>87</v>
      </c>
      <c r="N14" t="s">
        <v>87</v>
      </c>
      <c r="O14" t="s">
        <v>87</v>
      </c>
      <c r="P14" t="s">
        <v>87</v>
      </c>
      <c r="Q14" t="s">
        <v>87</v>
      </c>
      <c r="R14" t="s">
        <v>87</v>
      </c>
      <c r="S14" t="s">
        <v>87</v>
      </c>
      <c r="T14" t="s">
        <v>87</v>
      </c>
      <c r="U14" t="s">
        <v>87</v>
      </c>
      <c r="V14" t="s">
        <v>87</v>
      </c>
      <c r="W14" t="s">
        <v>87</v>
      </c>
      <c r="X14" t="s">
        <v>87</v>
      </c>
      <c r="Y14" t="s">
        <v>87</v>
      </c>
      <c r="Z14" t="s">
        <v>87</v>
      </c>
      <c r="AA14" t="s">
        <v>87</v>
      </c>
      <c r="AB14" t="s">
        <v>87</v>
      </c>
      <c r="AC14" t="s">
        <v>87</v>
      </c>
      <c r="AD14" t="s">
        <v>87</v>
      </c>
      <c r="AE14" t="s">
        <v>87</v>
      </c>
      <c r="AF14" t="s">
        <v>87</v>
      </c>
      <c r="AG14" t="s">
        <v>88</v>
      </c>
      <c r="AH14" t="s">
        <v>88</v>
      </c>
      <c r="AI14" t="s">
        <v>88</v>
      </c>
      <c r="AJ14" t="s">
        <v>88</v>
      </c>
      <c r="AK14" t="s">
        <v>88</v>
      </c>
      <c r="AL14" t="s">
        <v>89</v>
      </c>
      <c r="AM14" t="s">
        <v>89</v>
      </c>
      <c r="AN14" t="s">
        <v>89</v>
      </c>
      <c r="AO14" t="s">
        <v>89</v>
      </c>
      <c r="AP14" t="s">
        <v>89</v>
      </c>
      <c r="AQ14" t="s">
        <v>89</v>
      </c>
      <c r="AR14" t="s">
        <v>89</v>
      </c>
      <c r="AS14" t="s">
        <v>89</v>
      </c>
      <c r="AT14" t="s">
        <v>89</v>
      </c>
      <c r="AU14" t="s">
        <v>89</v>
      </c>
      <c r="AV14" t="s">
        <v>89</v>
      </c>
      <c r="AW14" t="s">
        <v>89</v>
      </c>
      <c r="AX14" t="s">
        <v>89</v>
      </c>
      <c r="AY14" t="s">
        <v>89</v>
      </c>
      <c r="AZ14" t="s">
        <v>89</v>
      </c>
      <c r="BA14" t="s">
        <v>89</v>
      </c>
      <c r="BB14" t="s">
        <v>89</v>
      </c>
      <c r="BC14" t="s">
        <v>89</v>
      </c>
      <c r="BD14" t="s">
        <v>89</v>
      </c>
      <c r="BE14" t="s">
        <v>89</v>
      </c>
      <c r="BF14" t="s">
        <v>89</v>
      </c>
      <c r="BG14" t="s">
        <v>89</v>
      </c>
      <c r="BH14" t="s">
        <v>89</v>
      </c>
      <c r="BI14" t="s">
        <v>89</v>
      </c>
      <c r="BJ14" t="s">
        <v>89</v>
      </c>
      <c r="BK14" t="s">
        <v>89</v>
      </c>
      <c r="BL14" t="s">
        <v>89</v>
      </c>
      <c r="BM14" t="s">
        <v>89</v>
      </c>
      <c r="BN14" t="s">
        <v>90</v>
      </c>
      <c r="BO14" t="s">
        <v>90</v>
      </c>
      <c r="BP14" t="s">
        <v>90</v>
      </c>
      <c r="BQ14" t="s">
        <v>90</v>
      </c>
      <c r="BR14" t="s">
        <v>90</v>
      </c>
      <c r="BS14" t="s">
        <v>90</v>
      </c>
      <c r="BT14" t="s">
        <v>90</v>
      </c>
      <c r="BU14" t="s">
        <v>90</v>
      </c>
      <c r="BV14" t="s">
        <v>90</v>
      </c>
      <c r="BW14" t="s">
        <v>90</v>
      </c>
      <c r="BX14" t="s">
        <v>90</v>
      </c>
      <c r="BY14" t="s">
        <v>90</v>
      </c>
      <c r="BZ14" t="s">
        <v>90</v>
      </c>
      <c r="CA14" t="s">
        <v>90</v>
      </c>
      <c r="CB14" t="s">
        <v>90</v>
      </c>
      <c r="CC14" t="s">
        <v>90</v>
      </c>
      <c r="CD14" t="s">
        <v>90</v>
      </c>
      <c r="CE14" t="s">
        <v>90</v>
      </c>
      <c r="CF14" t="s">
        <v>90</v>
      </c>
      <c r="CG14" t="s">
        <v>90</v>
      </c>
      <c r="CH14" t="s">
        <v>90</v>
      </c>
      <c r="CI14" t="s">
        <v>91</v>
      </c>
      <c r="CJ14" t="s">
        <v>91</v>
      </c>
      <c r="CK14" t="s">
        <v>91</v>
      </c>
      <c r="CL14" t="s">
        <v>91</v>
      </c>
      <c r="CM14" t="s">
        <v>91</v>
      </c>
      <c r="CN14" t="s">
        <v>91</v>
      </c>
      <c r="CO14" t="s">
        <v>91</v>
      </c>
      <c r="CP14" t="s">
        <v>91</v>
      </c>
      <c r="CQ14" t="s">
        <v>91</v>
      </c>
      <c r="CR14" t="s">
        <v>91</v>
      </c>
      <c r="CS14" t="s">
        <v>91</v>
      </c>
      <c r="CT14" t="s">
        <v>91</v>
      </c>
      <c r="CU14" t="s">
        <v>91</v>
      </c>
      <c r="CV14" t="s">
        <v>92</v>
      </c>
      <c r="CW14" t="s">
        <v>92</v>
      </c>
      <c r="CX14" t="s">
        <v>92</v>
      </c>
      <c r="CY14" t="s">
        <v>92</v>
      </c>
      <c r="CZ14" t="s">
        <v>93</v>
      </c>
      <c r="DA14" t="s">
        <v>93</v>
      </c>
      <c r="DB14" t="s">
        <v>93</v>
      </c>
      <c r="DC14" t="s">
        <v>93</v>
      </c>
      <c r="DD14" t="s">
        <v>94</v>
      </c>
      <c r="DE14" t="s">
        <v>94</v>
      </c>
      <c r="DF14" t="s">
        <v>94</v>
      </c>
      <c r="DG14" t="s">
        <v>94</v>
      </c>
      <c r="DH14" t="s">
        <v>94</v>
      </c>
      <c r="DI14" t="s">
        <v>94</v>
      </c>
      <c r="DJ14" t="s">
        <v>94</v>
      </c>
      <c r="DK14" t="s">
        <v>94</v>
      </c>
      <c r="DL14" t="s">
        <v>94</v>
      </c>
      <c r="DM14" t="s">
        <v>94</v>
      </c>
      <c r="DN14" t="s">
        <v>94</v>
      </c>
      <c r="DO14" t="s">
        <v>94</v>
      </c>
      <c r="DP14" t="s">
        <v>94</v>
      </c>
      <c r="DQ14" t="s">
        <v>94</v>
      </c>
      <c r="DR14" t="s">
        <v>94</v>
      </c>
      <c r="DS14" t="s">
        <v>94</v>
      </c>
      <c r="DT14" t="s">
        <v>94</v>
      </c>
      <c r="DU14" t="s">
        <v>94</v>
      </c>
      <c r="DV14" t="s">
        <v>95</v>
      </c>
      <c r="DW14" t="s">
        <v>95</v>
      </c>
      <c r="DX14" t="s">
        <v>95</v>
      </c>
      <c r="DY14" t="s">
        <v>95</v>
      </c>
      <c r="DZ14" t="s">
        <v>95</v>
      </c>
      <c r="EA14" t="s">
        <v>95</v>
      </c>
      <c r="EB14" t="s">
        <v>95</v>
      </c>
      <c r="EC14" t="s">
        <v>95</v>
      </c>
      <c r="ED14" t="s">
        <v>95</v>
      </c>
      <c r="EE14" t="s">
        <v>95</v>
      </c>
      <c r="EF14" t="s">
        <v>96</v>
      </c>
      <c r="EG14" t="s">
        <v>96</v>
      </c>
      <c r="EH14" t="s">
        <v>96</v>
      </c>
      <c r="EI14" t="s">
        <v>96</v>
      </c>
      <c r="EJ14" t="s">
        <v>96</v>
      </c>
      <c r="EK14" t="s">
        <v>96</v>
      </c>
      <c r="EL14" t="s">
        <v>96</v>
      </c>
      <c r="EM14" t="s">
        <v>96</v>
      </c>
      <c r="EN14" t="s">
        <v>96</v>
      </c>
      <c r="EO14" t="s">
        <v>96</v>
      </c>
      <c r="EP14" t="s">
        <v>96</v>
      </c>
      <c r="EQ14" t="s">
        <v>96</v>
      </c>
      <c r="ER14" t="s">
        <v>96</v>
      </c>
      <c r="ES14" t="s">
        <v>96</v>
      </c>
      <c r="ET14" t="s">
        <v>96</v>
      </c>
      <c r="EU14" t="s">
        <v>96</v>
      </c>
      <c r="EV14" t="s">
        <v>96</v>
      </c>
      <c r="EW14" t="s">
        <v>96</v>
      </c>
      <c r="EX14" t="s">
        <v>97</v>
      </c>
      <c r="EY14" t="s">
        <v>97</v>
      </c>
      <c r="EZ14" t="s">
        <v>97</v>
      </c>
      <c r="FA14" t="s">
        <v>97</v>
      </c>
      <c r="FB14" t="s">
        <v>97</v>
      </c>
      <c r="FC14" t="s">
        <v>98</v>
      </c>
      <c r="FD14" t="s">
        <v>98</v>
      </c>
      <c r="FE14" t="s">
        <v>98</v>
      </c>
      <c r="FF14" t="s">
        <v>98</v>
      </c>
      <c r="FG14" t="s">
        <v>98</v>
      </c>
      <c r="FH14" t="s">
        <v>98</v>
      </c>
      <c r="FI14" t="s">
        <v>98</v>
      </c>
      <c r="FJ14" t="s">
        <v>98</v>
      </c>
      <c r="FK14" t="s">
        <v>98</v>
      </c>
      <c r="FL14" t="s">
        <v>98</v>
      </c>
      <c r="FM14" t="s">
        <v>98</v>
      </c>
      <c r="FN14" t="s">
        <v>98</v>
      </c>
      <c r="FO14" t="s">
        <v>98</v>
      </c>
      <c r="FP14" t="s">
        <v>99</v>
      </c>
      <c r="FQ14" t="s">
        <v>99</v>
      </c>
      <c r="FR14" t="s">
        <v>99</v>
      </c>
      <c r="FS14" t="s">
        <v>99</v>
      </c>
      <c r="FT14" t="s">
        <v>99</v>
      </c>
      <c r="FU14" t="s">
        <v>99</v>
      </c>
      <c r="FV14" t="s">
        <v>99</v>
      </c>
      <c r="FW14" t="s">
        <v>99</v>
      </c>
      <c r="FX14" t="s">
        <v>99</v>
      </c>
      <c r="FY14" t="s">
        <v>99</v>
      </c>
      <c r="FZ14" t="s">
        <v>99</v>
      </c>
      <c r="GA14" t="s">
        <v>100</v>
      </c>
      <c r="GB14" t="s">
        <v>100</v>
      </c>
      <c r="GC14" t="s">
        <v>100</v>
      </c>
      <c r="GD14" t="s">
        <v>100</v>
      </c>
      <c r="GE14" t="s">
        <v>100</v>
      </c>
      <c r="GF14" t="s">
        <v>100</v>
      </c>
      <c r="GG14" t="s">
        <v>100</v>
      </c>
      <c r="GH14" t="s">
        <v>100</v>
      </c>
      <c r="GI14" t="s">
        <v>100</v>
      </c>
      <c r="GJ14" t="s">
        <v>100</v>
      </c>
      <c r="GK14" t="s">
        <v>100</v>
      </c>
      <c r="GL14" t="s">
        <v>100</v>
      </c>
      <c r="GM14" t="s">
        <v>100</v>
      </c>
      <c r="GN14" t="s">
        <v>100</v>
      </c>
      <c r="GO14" t="s">
        <v>100</v>
      </c>
      <c r="GP14" t="s">
        <v>100</v>
      </c>
      <c r="GQ14" t="s">
        <v>100</v>
      </c>
      <c r="GR14" t="s">
        <v>100</v>
      </c>
      <c r="GS14" t="s">
        <v>101</v>
      </c>
      <c r="GT14" t="s">
        <v>101</v>
      </c>
      <c r="GU14" t="s">
        <v>101</v>
      </c>
      <c r="GV14" t="s">
        <v>101</v>
      </c>
      <c r="GW14" t="s">
        <v>101</v>
      </c>
      <c r="GX14" t="s">
        <v>101</v>
      </c>
      <c r="GY14" t="s">
        <v>101</v>
      </c>
      <c r="GZ14" t="s">
        <v>101</v>
      </c>
      <c r="HA14" t="s">
        <v>101</v>
      </c>
      <c r="HB14" t="s">
        <v>101</v>
      </c>
      <c r="HC14" t="s">
        <v>101</v>
      </c>
      <c r="HD14" t="s">
        <v>101</v>
      </c>
      <c r="HE14" t="s">
        <v>101</v>
      </c>
      <c r="HF14" t="s">
        <v>101</v>
      </c>
      <c r="HG14" t="s">
        <v>101</v>
      </c>
      <c r="HH14" t="s">
        <v>101</v>
      </c>
      <c r="HI14" t="s">
        <v>101</v>
      </c>
      <c r="HJ14" t="s">
        <v>101</v>
      </c>
      <c r="HK14" t="s">
        <v>101</v>
      </c>
      <c r="HL14" t="s">
        <v>102</v>
      </c>
      <c r="HM14" t="s">
        <v>102</v>
      </c>
      <c r="HN14" t="s">
        <v>102</v>
      </c>
      <c r="HO14" t="s">
        <v>102</v>
      </c>
      <c r="HP14" t="s">
        <v>102</v>
      </c>
      <c r="HQ14" t="s">
        <v>102</v>
      </c>
      <c r="HR14" t="s">
        <v>102</v>
      </c>
      <c r="HS14" t="s">
        <v>102</v>
      </c>
      <c r="HT14" t="s">
        <v>102</v>
      </c>
      <c r="HU14" t="s">
        <v>102</v>
      </c>
      <c r="HV14" t="s">
        <v>102</v>
      </c>
      <c r="HW14" t="s">
        <v>102</v>
      </c>
      <c r="HX14" t="s">
        <v>102</v>
      </c>
      <c r="HY14" t="s">
        <v>102</v>
      </c>
      <c r="HZ14" t="s">
        <v>102</v>
      </c>
      <c r="IA14" t="s">
        <v>102</v>
      </c>
      <c r="IB14" t="s">
        <v>102</v>
      </c>
      <c r="IC14" t="s">
        <v>102</v>
      </c>
      <c r="ID14" t="s">
        <v>102</v>
      </c>
      <c r="IE14" t="s">
        <v>103</v>
      </c>
      <c r="IF14" t="s">
        <v>103</v>
      </c>
      <c r="IG14" t="s">
        <v>103</v>
      </c>
      <c r="IH14" t="s">
        <v>103</v>
      </c>
      <c r="II14" t="s">
        <v>103</v>
      </c>
      <c r="IJ14" t="s">
        <v>103</v>
      </c>
      <c r="IK14" t="s">
        <v>103</v>
      </c>
      <c r="IL14" t="s">
        <v>103</v>
      </c>
      <c r="IM14" t="s">
        <v>103</v>
      </c>
      <c r="IN14" t="s">
        <v>103</v>
      </c>
      <c r="IO14" t="s">
        <v>103</v>
      </c>
      <c r="IP14" t="s">
        <v>103</v>
      </c>
      <c r="IQ14" t="s">
        <v>103</v>
      </c>
      <c r="IR14" t="s">
        <v>103</v>
      </c>
      <c r="IS14" t="s">
        <v>103</v>
      </c>
      <c r="IT14" t="s">
        <v>103</v>
      </c>
      <c r="IU14" t="s">
        <v>103</v>
      </c>
      <c r="IV14" t="s">
        <v>103</v>
      </c>
      <c r="IW14" t="s">
        <v>104</v>
      </c>
      <c r="IX14" t="s">
        <v>104</v>
      </c>
      <c r="IY14" t="s">
        <v>104</v>
      </c>
      <c r="IZ14" t="s">
        <v>104</v>
      </c>
      <c r="JA14" t="s">
        <v>104</v>
      </c>
      <c r="JB14" t="s">
        <v>104</v>
      </c>
      <c r="JC14" t="s">
        <v>104</v>
      </c>
      <c r="JD14" t="s">
        <v>104</v>
      </c>
      <c r="JE14" t="s">
        <v>105</v>
      </c>
      <c r="JF14" t="s">
        <v>105</v>
      </c>
      <c r="JG14" t="s">
        <v>105</v>
      </c>
      <c r="JH14" t="s">
        <v>105</v>
      </c>
      <c r="JI14" t="s">
        <v>105</v>
      </c>
      <c r="JJ14" t="s">
        <v>105</v>
      </c>
      <c r="JK14" t="s">
        <v>105</v>
      </c>
      <c r="JL14" t="s">
        <v>105</v>
      </c>
      <c r="JM14" t="s">
        <v>105</v>
      </c>
      <c r="JN14" t="s">
        <v>105</v>
      </c>
      <c r="JO14" t="s">
        <v>105</v>
      </c>
      <c r="JP14" t="s">
        <v>105</v>
      </c>
      <c r="JQ14" t="s">
        <v>105</v>
      </c>
      <c r="JR14" t="s">
        <v>105</v>
      </c>
      <c r="JS14" t="s">
        <v>105</v>
      </c>
      <c r="JT14" t="s">
        <v>105</v>
      </c>
    </row>
    <row r="15" spans="1:280" x14ac:dyDescent="0.25">
      <c r="A15" t="s">
        <v>106</v>
      </c>
      <c r="B15" t="s">
        <v>107</v>
      </c>
      <c r="C15" t="s">
        <v>108</v>
      </c>
      <c r="D15" t="s">
        <v>109</v>
      </c>
      <c r="E15" t="s">
        <v>110</v>
      </c>
      <c r="F15" t="s">
        <v>111</v>
      </c>
      <c r="G15" t="s">
        <v>112</v>
      </c>
      <c r="H15" t="s">
        <v>113</v>
      </c>
      <c r="I15" t="s">
        <v>114</v>
      </c>
      <c r="J15" t="s">
        <v>115</v>
      </c>
      <c r="K15" t="s">
        <v>116</v>
      </c>
      <c r="L15" t="s">
        <v>117</v>
      </c>
      <c r="M15" t="s">
        <v>118</v>
      </c>
      <c r="N15" t="s">
        <v>119</v>
      </c>
      <c r="O15" t="s">
        <v>120</v>
      </c>
      <c r="P15" t="s">
        <v>121</v>
      </c>
      <c r="Q15" t="s">
        <v>122</v>
      </c>
      <c r="R15" t="s">
        <v>123</v>
      </c>
      <c r="S15" t="s">
        <v>124</v>
      </c>
      <c r="T15" t="s">
        <v>125</v>
      </c>
      <c r="U15" t="s">
        <v>126</v>
      </c>
      <c r="V15" t="s">
        <v>127</v>
      </c>
      <c r="W15" t="s">
        <v>128</v>
      </c>
      <c r="X15" t="s">
        <v>129</v>
      </c>
      <c r="Y15" t="s">
        <v>130</v>
      </c>
      <c r="Z15" t="s">
        <v>131</v>
      </c>
      <c r="AA15" t="s">
        <v>132</v>
      </c>
      <c r="AB15" t="s">
        <v>133</v>
      </c>
      <c r="AC15" t="s">
        <v>134</v>
      </c>
      <c r="AD15" t="s">
        <v>135</v>
      </c>
      <c r="AE15" t="s">
        <v>136</v>
      </c>
      <c r="AF15" t="s">
        <v>137</v>
      </c>
      <c r="AG15" t="s">
        <v>88</v>
      </c>
      <c r="AH15" t="s">
        <v>138</v>
      </c>
      <c r="AI15" t="s">
        <v>139</v>
      </c>
      <c r="AJ15" t="s">
        <v>140</v>
      </c>
      <c r="AK15" t="s">
        <v>141</v>
      </c>
      <c r="AL15" t="s">
        <v>142</v>
      </c>
      <c r="AM15" t="s">
        <v>143</v>
      </c>
      <c r="AN15" t="s">
        <v>144</v>
      </c>
      <c r="AO15" t="s">
        <v>145</v>
      </c>
      <c r="AP15" t="s">
        <v>146</v>
      </c>
      <c r="AQ15" t="s">
        <v>147</v>
      </c>
      <c r="AR15" t="s">
        <v>148</v>
      </c>
      <c r="AS15" t="s">
        <v>149</v>
      </c>
      <c r="AT15" t="s">
        <v>150</v>
      </c>
      <c r="AU15" t="s">
        <v>151</v>
      </c>
      <c r="AV15" t="s">
        <v>152</v>
      </c>
      <c r="AW15" t="s">
        <v>153</v>
      </c>
      <c r="AX15" t="s">
        <v>154</v>
      </c>
      <c r="AY15" t="s">
        <v>155</v>
      </c>
      <c r="AZ15" t="s">
        <v>156</v>
      </c>
      <c r="BA15" t="s">
        <v>157</v>
      </c>
      <c r="BB15" t="s">
        <v>158</v>
      </c>
      <c r="BC15" t="s">
        <v>159</v>
      </c>
      <c r="BD15" t="s">
        <v>160</v>
      </c>
      <c r="BE15" t="s">
        <v>161</v>
      </c>
      <c r="BF15" t="s">
        <v>162</v>
      </c>
      <c r="BG15" t="s">
        <v>163</v>
      </c>
      <c r="BH15" t="s">
        <v>164</v>
      </c>
      <c r="BI15" t="s">
        <v>165</v>
      </c>
      <c r="BJ15" t="s">
        <v>166</v>
      </c>
      <c r="BK15" t="s">
        <v>167</v>
      </c>
      <c r="BL15" t="s">
        <v>168</v>
      </c>
      <c r="BM15" t="s">
        <v>169</v>
      </c>
      <c r="BN15" t="s">
        <v>170</v>
      </c>
      <c r="BO15" t="s">
        <v>171</v>
      </c>
      <c r="BP15" t="s">
        <v>172</v>
      </c>
      <c r="BQ15" t="s">
        <v>173</v>
      </c>
      <c r="BR15" t="s">
        <v>174</v>
      </c>
      <c r="BS15" t="s">
        <v>175</v>
      </c>
      <c r="BT15" t="s">
        <v>176</v>
      </c>
      <c r="BU15" t="s">
        <v>177</v>
      </c>
      <c r="BV15" t="s">
        <v>178</v>
      </c>
      <c r="BW15" t="s">
        <v>179</v>
      </c>
      <c r="BX15" t="s">
        <v>180</v>
      </c>
      <c r="BY15" t="s">
        <v>181</v>
      </c>
      <c r="BZ15" t="s">
        <v>182</v>
      </c>
      <c r="CA15" t="s">
        <v>183</v>
      </c>
      <c r="CB15" t="s">
        <v>184</v>
      </c>
      <c r="CC15" t="s">
        <v>185</v>
      </c>
      <c r="CD15" t="s">
        <v>186</v>
      </c>
      <c r="CE15" t="s">
        <v>187</v>
      </c>
      <c r="CF15" t="s">
        <v>188</v>
      </c>
      <c r="CG15" t="s">
        <v>189</v>
      </c>
      <c r="CH15" t="s">
        <v>190</v>
      </c>
      <c r="CI15" t="s">
        <v>170</v>
      </c>
      <c r="CJ15" t="s">
        <v>191</v>
      </c>
      <c r="CK15" t="s">
        <v>192</v>
      </c>
      <c r="CL15" t="s">
        <v>193</v>
      </c>
      <c r="CM15" t="s">
        <v>144</v>
      </c>
      <c r="CN15" t="s">
        <v>194</v>
      </c>
      <c r="CO15" t="s">
        <v>195</v>
      </c>
      <c r="CP15" t="s">
        <v>196</v>
      </c>
      <c r="CQ15" t="s">
        <v>197</v>
      </c>
      <c r="CR15" t="s">
        <v>198</v>
      </c>
      <c r="CS15" t="s">
        <v>199</v>
      </c>
      <c r="CT15" t="s">
        <v>200</v>
      </c>
      <c r="CU15" t="s">
        <v>201</v>
      </c>
      <c r="CV15" t="s">
        <v>202</v>
      </c>
      <c r="CW15" t="s">
        <v>203</v>
      </c>
      <c r="CX15" t="s">
        <v>204</v>
      </c>
      <c r="CY15" t="s">
        <v>205</v>
      </c>
      <c r="CZ15" t="s">
        <v>206</v>
      </c>
      <c r="DA15" t="s">
        <v>207</v>
      </c>
      <c r="DB15" t="s">
        <v>208</v>
      </c>
      <c r="DC15" t="s">
        <v>209</v>
      </c>
      <c r="DD15" t="s">
        <v>114</v>
      </c>
      <c r="DE15" t="s">
        <v>210</v>
      </c>
      <c r="DF15" t="s">
        <v>211</v>
      </c>
      <c r="DG15" t="s">
        <v>212</v>
      </c>
      <c r="DH15" t="s">
        <v>213</v>
      </c>
      <c r="DI15" t="s">
        <v>214</v>
      </c>
      <c r="DJ15" t="s">
        <v>215</v>
      </c>
      <c r="DK15" t="s">
        <v>216</v>
      </c>
      <c r="DL15" t="s">
        <v>217</v>
      </c>
      <c r="DM15" t="s">
        <v>218</v>
      </c>
      <c r="DN15" t="s">
        <v>219</v>
      </c>
      <c r="DO15" t="s">
        <v>220</v>
      </c>
      <c r="DP15" t="s">
        <v>221</v>
      </c>
      <c r="DQ15" t="s">
        <v>222</v>
      </c>
      <c r="DR15" t="s">
        <v>223</v>
      </c>
      <c r="DS15" t="s">
        <v>224</v>
      </c>
      <c r="DT15" t="s">
        <v>225</v>
      </c>
      <c r="DU15" t="s">
        <v>226</v>
      </c>
      <c r="DV15" t="s">
        <v>227</v>
      </c>
      <c r="DW15" t="s">
        <v>228</v>
      </c>
      <c r="DX15" t="s">
        <v>229</v>
      </c>
      <c r="DY15" t="s">
        <v>230</v>
      </c>
      <c r="DZ15" t="s">
        <v>231</v>
      </c>
      <c r="EA15" t="s">
        <v>232</v>
      </c>
      <c r="EB15" t="s">
        <v>233</v>
      </c>
      <c r="EC15" t="s">
        <v>234</v>
      </c>
      <c r="ED15" t="s">
        <v>235</v>
      </c>
      <c r="EE15" t="s">
        <v>236</v>
      </c>
      <c r="EF15" t="s">
        <v>237</v>
      </c>
      <c r="EG15" t="s">
        <v>238</v>
      </c>
      <c r="EH15" t="s">
        <v>239</v>
      </c>
      <c r="EI15" t="s">
        <v>240</v>
      </c>
      <c r="EJ15" t="s">
        <v>241</v>
      </c>
      <c r="EK15" t="s">
        <v>242</v>
      </c>
      <c r="EL15" t="s">
        <v>243</v>
      </c>
      <c r="EM15" t="s">
        <v>244</v>
      </c>
      <c r="EN15" t="s">
        <v>245</v>
      </c>
      <c r="EO15" t="s">
        <v>246</v>
      </c>
      <c r="EP15" t="s">
        <v>247</v>
      </c>
      <c r="EQ15" t="s">
        <v>248</v>
      </c>
      <c r="ER15" t="s">
        <v>249</v>
      </c>
      <c r="ES15" t="s">
        <v>250</v>
      </c>
      <c r="ET15" t="s">
        <v>251</v>
      </c>
      <c r="EU15" t="s">
        <v>252</v>
      </c>
      <c r="EV15" t="s">
        <v>253</v>
      </c>
      <c r="EW15" t="s">
        <v>254</v>
      </c>
      <c r="EX15" t="s">
        <v>255</v>
      </c>
      <c r="EY15" t="s">
        <v>256</v>
      </c>
      <c r="EZ15" t="s">
        <v>257</v>
      </c>
      <c r="FA15" t="s">
        <v>258</v>
      </c>
      <c r="FB15" t="s">
        <v>259</v>
      </c>
      <c r="FC15" t="s">
        <v>107</v>
      </c>
      <c r="FD15" t="s">
        <v>110</v>
      </c>
      <c r="FE15" t="s">
        <v>260</v>
      </c>
      <c r="FF15" t="s">
        <v>261</v>
      </c>
      <c r="FG15" t="s">
        <v>262</v>
      </c>
      <c r="FH15" t="s">
        <v>263</v>
      </c>
      <c r="FI15" t="s">
        <v>264</v>
      </c>
      <c r="FJ15" t="s">
        <v>265</v>
      </c>
      <c r="FK15" t="s">
        <v>266</v>
      </c>
      <c r="FL15" t="s">
        <v>267</v>
      </c>
      <c r="FM15" t="s">
        <v>268</v>
      </c>
      <c r="FN15" t="s">
        <v>269</v>
      </c>
      <c r="FO15" t="s">
        <v>270</v>
      </c>
      <c r="FP15" t="s">
        <v>271</v>
      </c>
      <c r="FQ15" t="s">
        <v>272</v>
      </c>
      <c r="FR15" t="s">
        <v>273</v>
      </c>
      <c r="FS15" t="s">
        <v>274</v>
      </c>
      <c r="FT15" t="s">
        <v>275</v>
      </c>
      <c r="FU15" t="s">
        <v>276</v>
      </c>
      <c r="FV15" t="s">
        <v>277</v>
      </c>
      <c r="FW15" t="s">
        <v>278</v>
      </c>
      <c r="FX15" t="s">
        <v>279</v>
      </c>
      <c r="FY15" t="s">
        <v>280</v>
      </c>
      <c r="FZ15" t="s">
        <v>281</v>
      </c>
      <c r="GA15" t="s">
        <v>282</v>
      </c>
      <c r="GB15" t="s">
        <v>283</v>
      </c>
      <c r="GC15" t="s">
        <v>284</v>
      </c>
      <c r="GD15" t="s">
        <v>285</v>
      </c>
      <c r="GE15" t="s">
        <v>286</v>
      </c>
      <c r="GF15" t="s">
        <v>287</v>
      </c>
      <c r="GG15" t="s">
        <v>288</v>
      </c>
      <c r="GH15" t="s">
        <v>289</v>
      </c>
      <c r="GI15" t="s">
        <v>290</v>
      </c>
      <c r="GJ15" t="s">
        <v>291</v>
      </c>
      <c r="GK15" t="s">
        <v>292</v>
      </c>
      <c r="GL15" t="s">
        <v>293</v>
      </c>
      <c r="GM15" t="s">
        <v>294</v>
      </c>
      <c r="GN15" t="s">
        <v>295</v>
      </c>
      <c r="GO15" t="s">
        <v>296</v>
      </c>
      <c r="GP15" t="s">
        <v>297</v>
      </c>
      <c r="GQ15" t="s">
        <v>298</v>
      </c>
      <c r="GR15" t="s">
        <v>299</v>
      </c>
      <c r="GS15" t="s">
        <v>300</v>
      </c>
      <c r="GT15" t="s">
        <v>301</v>
      </c>
      <c r="GU15" t="s">
        <v>302</v>
      </c>
      <c r="GV15" t="s">
        <v>303</v>
      </c>
      <c r="GW15" t="s">
        <v>304</v>
      </c>
      <c r="GX15" t="s">
        <v>305</v>
      </c>
      <c r="GY15" t="s">
        <v>306</v>
      </c>
      <c r="GZ15" t="s">
        <v>307</v>
      </c>
      <c r="HA15" t="s">
        <v>308</v>
      </c>
      <c r="HB15" t="s">
        <v>309</v>
      </c>
      <c r="HC15" t="s">
        <v>310</v>
      </c>
      <c r="HD15" t="s">
        <v>311</v>
      </c>
      <c r="HE15" t="s">
        <v>312</v>
      </c>
      <c r="HF15" t="s">
        <v>313</v>
      </c>
      <c r="HG15" t="s">
        <v>314</v>
      </c>
      <c r="HH15" t="s">
        <v>315</v>
      </c>
      <c r="HI15" t="s">
        <v>316</v>
      </c>
      <c r="HJ15" t="s">
        <v>317</v>
      </c>
      <c r="HK15" t="s">
        <v>318</v>
      </c>
      <c r="HL15" t="s">
        <v>319</v>
      </c>
      <c r="HM15" t="s">
        <v>320</v>
      </c>
      <c r="HN15" t="s">
        <v>321</v>
      </c>
      <c r="HO15" t="s">
        <v>322</v>
      </c>
      <c r="HP15" t="s">
        <v>323</v>
      </c>
      <c r="HQ15" t="s">
        <v>324</v>
      </c>
      <c r="HR15" t="s">
        <v>325</v>
      </c>
      <c r="HS15" t="s">
        <v>326</v>
      </c>
      <c r="HT15" t="s">
        <v>327</v>
      </c>
      <c r="HU15" t="s">
        <v>328</v>
      </c>
      <c r="HV15" t="s">
        <v>329</v>
      </c>
      <c r="HW15" t="s">
        <v>330</v>
      </c>
      <c r="HX15" t="s">
        <v>331</v>
      </c>
      <c r="HY15" t="s">
        <v>332</v>
      </c>
      <c r="HZ15" t="s">
        <v>333</v>
      </c>
      <c r="IA15" t="s">
        <v>334</v>
      </c>
      <c r="IB15" t="s">
        <v>335</v>
      </c>
      <c r="IC15" t="s">
        <v>336</v>
      </c>
      <c r="ID15" t="s">
        <v>337</v>
      </c>
      <c r="IE15" t="s">
        <v>338</v>
      </c>
      <c r="IF15" t="s">
        <v>339</v>
      </c>
      <c r="IG15" t="s">
        <v>340</v>
      </c>
      <c r="IH15" t="s">
        <v>341</v>
      </c>
      <c r="II15" t="s">
        <v>342</v>
      </c>
      <c r="IJ15" t="s">
        <v>343</v>
      </c>
      <c r="IK15" t="s">
        <v>344</v>
      </c>
      <c r="IL15" t="s">
        <v>345</v>
      </c>
      <c r="IM15" t="s">
        <v>346</v>
      </c>
      <c r="IN15" t="s">
        <v>347</v>
      </c>
      <c r="IO15" t="s">
        <v>348</v>
      </c>
      <c r="IP15" t="s">
        <v>349</v>
      </c>
      <c r="IQ15" t="s">
        <v>350</v>
      </c>
      <c r="IR15" t="s">
        <v>351</v>
      </c>
      <c r="IS15" t="s">
        <v>352</v>
      </c>
      <c r="IT15" t="s">
        <v>353</v>
      </c>
      <c r="IU15" t="s">
        <v>354</v>
      </c>
      <c r="IV15" t="s">
        <v>355</v>
      </c>
      <c r="IW15" t="s">
        <v>356</v>
      </c>
      <c r="IX15" t="s">
        <v>357</v>
      </c>
      <c r="IY15" t="s">
        <v>358</v>
      </c>
      <c r="IZ15" t="s">
        <v>359</v>
      </c>
      <c r="JA15" t="s">
        <v>360</v>
      </c>
      <c r="JB15" t="s">
        <v>361</v>
      </c>
      <c r="JC15" t="s">
        <v>362</v>
      </c>
      <c r="JD15" t="s">
        <v>363</v>
      </c>
      <c r="JE15" t="s">
        <v>364</v>
      </c>
      <c r="JF15" t="s">
        <v>365</v>
      </c>
      <c r="JG15" t="s">
        <v>366</v>
      </c>
      <c r="JH15" t="s">
        <v>367</v>
      </c>
      <c r="JI15" t="s">
        <v>368</v>
      </c>
      <c r="JJ15" t="s">
        <v>369</v>
      </c>
      <c r="JK15" t="s">
        <v>370</v>
      </c>
      <c r="JL15" t="s">
        <v>371</v>
      </c>
      <c r="JM15" t="s">
        <v>372</v>
      </c>
      <c r="JN15" t="s">
        <v>373</v>
      </c>
      <c r="JO15" t="s">
        <v>374</v>
      </c>
      <c r="JP15" t="s">
        <v>375</v>
      </c>
      <c r="JQ15" t="s">
        <v>376</v>
      </c>
      <c r="JR15" t="s">
        <v>377</v>
      </c>
      <c r="JS15" t="s">
        <v>378</v>
      </c>
      <c r="JT15" t="s">
        <v>379</v>
      </c>
    </row>
    <row r="16" spans="1:280" x14ac:dyDescent="0.25">
      <c r="B16" t="s">
        <v>380</v>
      </c>
      <c r="C16" t="s">
        <v>380</v>
      </c>
      <c r="F16" t="s">
        <v>380</v>
      </c>
      <c r="I16" t="s">
        <v>380</v>
      </c>
      <c r="J16" t="s">
        <v>381</v>
      </c>
      <c r="K16" t="s">
        <v>382</v>
      </c>
      <c r="L16" t="s">
        <v>383</v>
      </c>
      <c r="M16" t="s">
        <v>384</v>
      </c>
      <c r="N16" t="s">
        <v>384</v>
      </c>
      <c r="O16" t="s">
        <v>217</v>
      </c>
      <c r="P16" t="s">
        <v>217</v>
      </c>
      <c r="Q16" t="s">
        <v>381</v>
      </c>
      <c r="R16" t="s">
        <v>381</v>
      </c>
      <c r="S16" t="s">
        <v>381</v>
      </c>
      <c r="T16" t="s">
        <v>381</v>
      </c>
      <c r="U16" t="s">
        <v>385</v>
      </c>
      <c r="V16" t="s">
        <v>386</v>
      </c>
      <c r="W16" t="s">
        <v>386</v>
      </c>
      <c r="X16" t="s">
        <v>387</v>
      </c>
      <c r="Y16" t="s">
        <v>388</v>
      </c>
      <c r="Z16" t="s">
        <v>387</v>
      </c>
      <c r="AA16" t="s">
        <v>387</v>
      </c>
      <c r="AB16" t="s">
        <v>387</v>
      </c>
      <c r="AC16" t="s">
        <v>385</v>
      </c>
      <c r="AD16" t="s">
        <v>385</v>
      </c>
      <c r="AE16" t="s">
        <v>385</v>
      </c>
      <c r="AF16" t="s">
        <v>385</v>
      </c>
      <c r="AG16" t="s">
        <v>389</v>
      </c>
      <c r="AH16" t="s">
        <v>388</v>
      </c>
      <c r="AJ16" t="s">
        <v>388</v>
      </c>
      <c r="AK16" t="s">
        <v>389</v>
      </c>
      <c r="AQ16" t="s">
        <v>383</v>
      </c>
      <c r="AX16" t="s">
        <v>383</v>
      </c>
      <c r="AY16" t="s">
        <v>383</v>
      </c>
      <c r="AZ16" t="s">
        <v>383</v>
      </c>
      <c r="BA16" t="s">
        <v>390</v>
      </c>
      <c r="BO16" t="s">
        <v>391</v>
      </c>
      <c r="BQ16" t="s">
        <v>391</v>
      </c>
      <c r="BR16" t="s">
        <v>383</v>
      </c>
      <c r="BU16" t="s">
        <v>391</v>
      </c>
      <c r="BV16" t="s">
        <v>388</v>
      </c>
      <c r="BY16" t="s">
        <v>392</v>
      </c>
      <c r="BZ16" t="s">
        <v>392</v>
      </c>
      <c r="CB16" t="s">
        <v>393</v>
      </c>
      <c r="CC16" t="s">
        <v>391</v>
      </c>
      <c r="CE16" t="s">
        <v>391</v>
      </c>
      <c r="CF16" t="s">
        <v>383</v>
      </c>
      <c r="CJ16" t="s">
        <v>391</v>
      </c>
      <c r="CL16" t="s">
        <v>394</v>
      </c>
      <c r="CO16" t="s">
        <v>391</v>
      </c>
      <c r="CP16" t="s">
        <v>391</v>
      </c>
      <c r="CR16" t="s">
        <v>391</v>
      </c>
      <c r="CT16" t="s">
        <v>391</v>
      </c>
      <c r="CV16" t="s">
        <v>383</v>
      </c>
      <c r="CW16" t="s">
        <v>383</v>
      </c>
      <c r="CY16" t="s">
        <v>395</v>
      </c>
      <c r="CZ16" t="s">
        <v>396</v>
      </c>
      <c r="DC16" t="s">
        <v>381</v>
      </c>
      <c r="DD16" t="s">
        <v>380</v>
      </c>
      <c r="DE16" t="s">
        <v>384</v>
      </c>
      <c r="DF16" t="s">
        <v>384</v>
      </c>
      <c r="DG16" t="s">
        <v>397</v>
      </c>
      <c r="DH16" t="s">
        <v>397</v>
      </c>
      <c r="DI16" t="s">
        <v>384</v>
      </c>
      <c r="DJ16" t="s">
        <v>397</v>
      </c>
      <c r="DK16" t="s">
        <v>389</v>
      </c>
      <c r="DL16" t="s">
        <v>387</v>
      </c>
      <c r="DM16" t="s">
        <v>387</v>
      </c>
      <c r="DN16" t="s">
        <v>386</v>
      </c>
      <c r="DO16" t="s">
        <v>386</v>
      </c>
      <c r="DP16" t="s">
        <v>386</v>
      </c>
      <c r="DQ16" t="s">
        <v>386</v>
      </c>
      <c r="DR16" t="s">
        <v>386</v>
      </c>
      <c r="DS16" t="s">
        <v>398</v>
      </c>
      <c r="DT16" t="s">
        <v>383</v>
      </c>
      <c r="DU16" t="s">
        <v>383</v>
      </c>
      <c r="DV16" t="s">
        <v>384</v>
      </c>
      <c r="DW16" t="s">
        <v>384</v>
      </c>
      <c r="DX16" t="s">
        <v>384</v>
      </c>
      <c r="DY16" t="s">
        <v>397</v>
      </c>
      <c r="DZ16" t="s">
        <v>384</v>
      </c>
      <c r="EA16" t="s">
        <v>397</v>
      </c>
      <c r="EB16" t="s">
        <v>387</v>
      </c>
      <c r="EC16" t="s">
        <v>387</v>
      </c>
      <c r="ED16" t="s">
        <v>386</v>
      </c>
      <c r="EE16" t="s">
        <v>386</v>
      </c>
      <c r="EF16" t="s">
        <v>383</v>
      </c>
      <c r="EK16" t="s">
        <v>383</v>
      </c>
      <c r="EN16" t="s">
        <v>386</v>
      </c>
      <c r="EO16" t="s">
        <v>386</v>
      </c>
      <c r="EP16" t="s">
        <v>386</v>
      </c>
      <c r="EQ16" t="s">
        <v>386</v>
      </c>
      <c r="ER16" t="s">
        <v>386</v>
      </c>
      <c r="ES16" t="s">
        <v>383</v>
      </c>
      <c r="ET16" t="s">
        <v>383</v>
      </c>
      <c r="EU16" t="s">
        <v>383</v>
      </c>
      <c r="EV16" t="s">
        <v>380</v>
      </c>
      <c r="EY16" t="s">
        <v>399</v>
      </c>
      <c r="EZ16" t="s">
        <v>399</v>
      </c>
      <c r="FB16" t="s">
        <v>380</v>
      </c>
      <c r="FC16" t="s">
        <v>400</v>
      </c>
      <c r="FE16" t="s">
        <v>380</v>
      </c>
      <c r="FF16" t="s">
        <v>380</v>
      </c>
      <c r="FH16" t="s">
        <v>401</v>
      </c>
      <c r="FI16" t="s">
        <v>402</v>
      </c>
      <c r="FJ16" t="s">
        <v>401</v>
      </c>
      <c r="FK16" t="s">
        <v>402</v>
      </c>
      <c r="FL16" t="s">
        <v>401</v>
      </c>
      <c r="FM16" t="s">
        <v>402</v>
      </c>
      <c r="FN16" t="s">
        <v>388</v>
      </c>
      <c r="FO16" t="s">
        <v>388</v>
      </c>
      <c r="FP16" t="s">
        <v>383</v>
      </c>
      <c r="FQ16" t="s">
        <v>403</v>
      </c>
      <c r="FR16" t="s">
        <v>383</v>
      </c>
      <c r="FT16" t="s">
        <v>381</v>
      </c>
      <c r="FU16" t="s">
        <v>404</v>
      </c>
      <c r="FV16" t="s">
        <v>381</v>
      </c>
      <c r="GA16" t="s">
        <v>405</v>
      </c>
      <c r="GB16" t="s">
        <v>405</v>
      </c>
      <c r="GO16" t="s">
        <v>405</v>
      </c>
      <c r="GP16" t="s">
        <v>405</v>
      </c>
      <c r="GQ16" t="s">
        <v>406</v>
      </c>
      <c r="GR16" t="s">
        <v>406</v>
      </c>
      <c r="GS16" t="s">
        <v>386</v>
      </c>
      <c r="GT16" t="s">
        <v>386</v>
      </c>
      <c r="GU16" t="s">
        <v>388</v>
      </c>
      <c r="GV16" t="s">
        <v>386</v>
      </c>
      <c r="GW16" t="s">
        <v>397</v>
      </c>
      <c r="GX16" t="s">
        <v>388</v>
      </c>
      <c r="GY16" t="s">
        <v>388</v>
      </c>
      <c r="HA16" t="s">
        <v>405</v>
      </c>
      <c r="HB16" t="s">
        <v>405</v>
      </c>
      <c r="HC16" t="s">
        <v>405</v>
      </c>
      <c r="HD16" t="s">
        <v>405</v>
      </c>
      <c r="HE16" t="s">
        <v>405</v>
      </c>
      <c r="HF16" t="s">
        <v>405</v>
      </c>
      <c r="HG16" t="s">
        <v>405</v>
      </c>
      <c r="HH16" t="s">
        <v>407</v>
      </c>
      <c r="HI16" t="s">
        <v>407</v>
      </c>
      <c r="HJ16" t="s">
        <v>407</v>
      </c>
      <c r="HK16" t="s">
        <v>408</v>
      </c>
      <c r="HL16" t="s">
        <v>405</v>
      </c>
      <c r="HM16" t="s">
        <v>405</v>
      </c>
      <c r="HN16" t="s">
        <v>405</v>
      </c>
      <c r="HO16" t="s">
        <v>405</v>
      </c>
      <c r="HP16" t="s">
        <v>405</v>
      </c>
      <c r="HQ16" t="s">
        <v>405</v>
      </c>
      <c r="HR16" t="s">
        <v>405</v>
      </c>
      <c r="HS16" t="s">
        <v>405</v>
      </c>
      <c r="HT16" t="s">
        <v>405</v>
      </c>
      <c r="HU16" t="s">
        <v>405</v>
      </c>
      <c r="HV16" t="s">
        <v>405</v>
      </c>
      <c r="HW16" t="s">
        <v>405</v>
      </c>
      <c r="ID16" t="s">
        <v>405</v>
      </c>
      <c r="IE16" t="s">
        <v>388</v>
      </c>
      <c r="IF16" t="s">
        <v>388</v>
      </c>
      <c r="IG16" t="s">
        <v>401</v>
      </c>
      <c r="IH16" t="s">
        <v>402</v>
      </c>
      <c r="II16" t="s">
        <v>402</v>
      </c>
      <c r="IM16" t="s">
        <v>402</v>
      </c>
      <c r="IQ16" t="s">
        <v>384</v>
      </c>
      <c r="IR16" t="s">
        <v>384</v>
      </c>
      <c r="IS16" t="s">
        <v>397</v>
      </c>
      <c r="IT16" t="s">
        <v>397</v>
      </c>
      <c r="IU16" t="s">
        <v>409</v>
      </c>
      <c r="IV16" t="s">
        <v>409</v>
      </c>
      <c r="IW16" t="s">
        <v>405</v>
      </c>
      <c r="IX16" t="s">
        <v>405</v>
      </c>
      <c r="IY16" t="s">
        <v>405</v>
      </c>
      <c r="IZ16" t="s">
        <v>405</v>
      </c>
      <c r="JA16" t="s">
        <v>405</v>
      </c>
      <c r="JB16" t="s">
        <v>405</v>
      </c>
      <c r="JC16" t="s">
        <v>386</v>
      </c>
      <c r="JD16" t="s">
        <v>405</v>
      </c>
      <c r="JF16" t="s">
        <v>389</v>
      </c>
      <c r="JG16" t="s">
        <v>389</v>
      </c>
      <c r="JH16" t="s">
        <v>386</v>
      </c>
      <c r="JI16" t="s">
        <v>386</v>
      </c>
      <c r="JJ16" t="s">
        <v>386</v>
      </c>
      <c r="JK16" t="s">
        <v>386</v>
      </c>
      <c r="JL16" t="s">
        <v>386</v>
      </c>
      <c r="JM16" t="s">
        <v>388</v>
      </c>
      <c r="JN16" t="s">
        <v>388</v>
      </c>
      <c r="JO16" t="s">
        <v>388</v>
      </c>
      <c r="JP16" t="s">
        <v>386</v>
      </c>
      <c r="JQ16" t="s">
        <v>384</v>
      </c>
      <c r="JR16" t="s">
        <v>397</v>
      </c>
      <c r="JS16" t="s">
        <v>388</v>
      </c>
      <c r="JT16" t="s">
        <v>388</v>
      </c>
    </row>
    <row r="17" spans="1:280" x14ac:dyDescent="0.25">
      <c r="A17">
        <v>1</v>
      </c>
      <c r="B17">
        <v>1700147529.5999999</v>
      </c>
      <c r="C17">
        <v>0</v>
      </c>
      <c r="D17" t="s">
        <v>410</v>
      </c>
      <c r="E17" t="s">
        <v>411</v>
      </c>
      <c r="F17" t="s">
        <v>412</v>
      </c>
      <c r="G17" t="s">
        <v>413</v>
      </c>
      <c r="H17" t="s">
        <v>414</v>
      </c>
      <c r="I17">
        <v>1700147529.5999999</v>
      </c>
      <c r="J17">
        <f t="shared" ref="J17:J48" si="0">(K17)/1000</f>
        <v>4.4124314629371292E-3</v>
      </c>
      <c r="K17">
        <f t="shared" ref="K17:K48" si="1">1000*DK17*AI17*(DG17-DH17)/(100*CZ17*(1000-AI17*DG17))</f>
        <v>4.4124314629371293</v>
      </c>
      <c r="L17">
        <f t="shared" ref="L17:L48" si="2">DK17*AI17*(DF17-DE17*(1000-AI17*DH17)/(1000-AI17*DG17))/(100*CZ17)</f>
        <v>50.624699984702069</v>
      </c>
      <c r="M17">
        <f t="shared" ref="M17:M48" si="3">DE17 - IF(AI17&gt;1, L17*CZ17*100/(AK17*DS17), 0)</f>
        <v>393.84399999999999</v>
      </c>
      <c r="N17">
        <f t="shared" ref="N17:N48" si="4">((T17-J17/2)*M17-L17)/(T17+J17/2)</f>
        <v>109.34824509924934</v>
      </c>
      <c r="O17">
        <f t="shared" ref="O17:O48" si="5">N17*(DL17+DM17)/1000</f>
        <v>10.884912066056403</v>
      </c>
      <c r="P17">
        <f t="shared" ref="P17:P48" si="6">(DE17 - IF(AI17&gt;1, L17*CZ17*100/(AK17*DS17), 0))*(DL17+DM17)/1000</f>
        <v>39.204628330824001</v>
      </c>
      <c r="Q17">
        <f t="shared" ref="Q17:Q48" si="7">2/((1/S17-1/R17)+SIGN(S17)*SQRT((1/S17-1/R17)*(1/S17-1/R17) + 4*DA17/((DA17+1)*(DA17+1))*(2*1/S17*1/R17-1/R17*1/R17)))</f>
        <v>0.3047311190336297</v>
      </c>
      <c r="R17">
        <f t="shared" ref="R17:R48" si="8">IF(LEFT(DB17,1)&lt;&gt;"0",IF(LEFT(DB17,1)="1",3,DC17),$D$5+$E$5*(DS17*DL17/($K$5*1000))+$F$5*(DS17*DL17/($K$5*1000))*MAX(MIN(CZ17,$J$5),$I$5)*MAX(MIN(CZ17,$J$5),$I$5)+$G$5*MAX(MIN(CZ17,$J$5),$I$5)*(DS17*DL17/($K$5*1000))+$H$5*(DS17*DL17/($K$5*1000))*(DS17*DL17/($K$5*1000)))</f>
        <v>3.0505986702000456</v>
      </c>
      <c r="S17">
        <f t="shared" ref="S17:S48" si="9">J17*(1000-(1000*0.61365*EXP(17.502*W17/(240.97+W17))/(DL17+DM17)+DG17)/2)/(1000*0.61365*EXP(17.502*W17/(240.97+W17))/(DL17+DM17)-DG17)</f>
        <v>0.28877355644502206</v>
      </c>
      <c r="T17">
        <f t="shared" ref="T17:T48" si="10">1/((DA17+1)/(Q17/1.6)+1/(R17/1.37)) + DA17/((DA17+1)/(Q17/1.6) + DA17/(R17/1.37))</f>
        <v>0.18184753108123269</v>
      </c>
      <c r="U17">
        <f t="shared" ref="U17:U48" si="11">(CV17*CY17)</f>
        <v>289.56966284757027</v>
      </c>
      <c r="V17">
        <f t="shared" ref="V17:V48" si="12">(DN17+(U17+2*0.95*0.0000000567*(((DN17+$B$7)+273)^4-(DN17+273)^4)-44100*J17)/(1.84*29.3*R17+8*0.95*0.0000000567*(DN17+273)^3))</f>
        <v>30.604063253498808</v>
      </c>
      <c r="W17">
        <f t="shared" ref="W17:W48" si="13">($C$7*DO17+$D$7*DP17+$E$7*V17)</f>
        <v>29.985800000000001</v>
      </c>
      <c r="X17">
        <f t="shared" ref="X17:X48" si="14">0.61365*EXP(17.502*W17/(240.97+W17))</f>
        <v>4.2569760294780696</v>
      </c>
      <c r="Y17">
        <f t="shared" ref="Y17:Y48" si="15">(Z17/AA17*100)</f>
        <v>65.234330429919197</v>
      </c>
      <c r="Z17">
        <f t="shared" ref="Z17:Z48" si="16">DG17*(DL17+DM17)/1000</f>
        <v>2.7897974658414002</v>
      </c>
      <c r="AA17">
        <f t="shared" ref="AA17:AA48" si="17">0.61365*EXP(17.502*DN17/(240.97+DN17))</f>
        <v>4.2765786779071195</v>
      </c>
      <c r="AB17">
        <f t="shared" ref="AB17:AB48" si="18">(X17-DG17*(DL17+DM17)/1000)</f>
        <v>1.4671785636366694</v>
      </c>
      <c r="AC17">
        <f t="shared" ref="AC17:AC48" si="19">(-J17*44100)</f>
        <v>-194.58822751552739</v>
      </c>
      <c r="AD17">
        <f t="shared" ref="AD17:AD48" si="20">2*29.3*R17*0.92*(DN17-W17)</f>
        <v>13.157110040625708</v>
      </c>
      <c r="AE17">
        <f t="shared" ref="AE17:AE48" si="21">2*0.95*0.0000000567*(((DN17+$B$7)+273)^4-(W17+273)^4)</f>
        <v>0.95923599049524066</v>
      </c>
      <c r="AF17">
        <f t="shared" ref="AF17:AF48" si="22">U17+AE17+AC17+AD17</f>
        <v>109.09778136316383</v>
      </c>
      <c r="AG17">
        <v>5</v>
      </c>
      <c r="AH17">
        <v>1</v>
      </c>
      <c r="AI17">
        <f t="shared" ref="AI17:AI48" si="23">IF(AG17*$H$13&gt;=AK17,1,(AK17/(AK17-AG17*$H$13)))</f>
        <v>1</v>
      </c>
      <c r="AJ17">
        <f t="shared" ref="AJ17:AJ48" si="24">(AI17-1)*100</f>
        <v>0</v>
      </c>
      <c r="AK17">
        <f t="shared" ref="AK17:AK48" si="25">MAX(0,($B$13+$C$13*DS17)/(1+$D$13*DS17)*DL17/(DN17+273)*$E$13)</f>
        <v>52125.85248226815</v>
      </c>
      <c r="AL17" t="s">
        <v>415</v>
      </c>
      <c r="AM17">
        <v>6960.3</v>
      </c>
      <c r="AN17">
        <v>244.8124</v>
      </c>
      <c r="AO17">
        <v>892.86711584811997</v>
      </c>
      <c r="AP17">
        <f t="shared" ref="AP17:AP48" si="26">1-AN17/AO17</f>
        <v>0.72581317459826411</v>
      </c>
      <c r="AQ17">
        <v>-0.43209471141234851</v>
      </c>
      <c r="AR17" t="s">
        <v>416</v>
      </c>
      <c r="AS17">
        <v>7140.81</v>
      </c>
      <c r="AT17">
        <v>590.68161538461538</v>
      </c>
      <c r="AU17">
        <v>875.95338981760301</v>
      </c>
      <c r="AV17">
        <f t="shared" ref="AV17:AV48" si="27">1-AT17/AU17</f>
        <v>0.32567003878184531</v>
      </c>
      <c r="AW17">
        <v>0.5</v>
      </c>
      <c r="AX17">
        <f t="shared" ref="AX17:AX48" si="28">CW17</f>
        <v>1513.201499921021</v>
      </c>
      <c r="AY17">
        <f t="shared" ref="AY17:AY48" si="29">L17</f>
        <v>50.624699984702069</v>
      </c>
      <c r="AZ17">
        <f t="shared" ref="AZ17:AZ48" si="30">AV17*AW17*AX17</f>
        <v>246.40219558201269</v>
      </c>
      <c r="BA17">
        <f t="shared" ref="BA17:BA48" si="31">(AY17-AQ17)/AX17</f>
        <v>3.3740909388987016E-2</v>
      </c>
      <c r="BB17">
        <f t="shared" ref="BB17:BB48" si="32">(AO17-AU17)/AU17</f>
        <v>1.9308933816716944E-2</v>
      </c>
      <c r="BC17">
        <f t="shared" ref="BC17:BC48" si="33">AN17/(AP17+AN17/AU17)</f>
        <v>243.52312640585271</v>
      </c>
      <c r="BD17" t="s">
        <v>417</v>
      </c>
      <c r="BE17">
        <v>438.97</v>
      </c>
      <c r="BF17">
        <f t="shared" ref="BF17:BF48" si="34">IF(BE17&lt;&gt;0, BE17, BC17)</f>
        <v>438.97</v>
      </c>
      <c r="BG17">
        <f t="shared" ref="BG17:BG48" si="35">1-BF17/AU17</f>
        <v>0.49886602974228422</v>
      </c>
      <c r="BH17">
        <f t="shared" ref="BH17:BH48" si="36">(AU17-AT17)/(AU17-BF17)</f>
        <v>0.65282063593323347</v>
      </c>
      <c r="BI17">
        <f t="shared" ref="BI17:BI48" si="37">(AO17-AU17)/(AO17-BF17)</f>
        <v>3.726334766175627E-2</v>
      </c>
      <c r="BJ17">
        <f t="shared" ref="BJ17:BJ48" si="38">(AU17-AT17)/(AU17-AN17)</f>
        <v>0.45199373679632177</v>
      </c>
      <c r="BK17">
        <f t="shared" ref="BK17:BK48" si="39">(AO17-AU17)/(AO17-AN17)</f>
        <v>2.6099225292083063E-2</v>
      </c>
      <c r="BL17">
        <f t="shared" ref="BL17:BL48" si="40">(BH17*BF17/AT17)</f>
        <v>0.48514913464678544</v>
      </c>
      <c r="BM17">
        <f t="shared" ref="BM17:BM48" si="41">(1-BL17)</f>
        <v>0.51485086535321456</v>
      </c>
      <c r="BN17">
        <v>23</v>
      </c>
      <c r="BO17">
        <v>290.00000000000011</v>
      </c>
      <c r="BP17">
        <v>796.29</v>
      </c>
      <c r="BQ17">
        <v>295</v>
      </c>
      <c r="BR17">
        <v>7140.81</v>
      </c>
      <c r="BS17">
        <v>797.65</v>
      </c>
      <c r="BT17">
        <v>-1.36</v>
      </c>
      <c r="BU17">
        <v>300.00000000000011</v>
      </c>
      <c r="BV17">
        <v>38.200000000000003</v>
      </c>
      <c r="BW17">
        <v>875.95338981760301</v>
      </c>
      <c r="BX17">
        <v>1.343241196250081</v>
      </c>
      <c r="BY17">
        <v>-55.9118307029498</v>
      </c>
      <c r="BZ17">
        <v>0.80398348734320446</v>
      </c>
      <c r="CA17">
        <v>0.99424377521434548</v>
      </c>
      <c r="CB17">
        <v>-7.0471172413793196E-3</v>
      </c>
      <c r="CC17">
        <v>289.99999999999989</v>
      </c>
      <c r="CD17">
        <v>807.54</v>
      </c>
      <c r="CE17">
        <v>815</v>
      </c>
      <c r="CF17">
        <v>7135.63</v>
      </c>
      <c r="CG17">
        <v>797.6</v>
      </c>
      <c r="CH17">
        <v>9.94</v>
      </c>
      <c r="CV17">
        <f t="shared" ref="CV17:CV48" si="42">$B$11*DT17+$C$11*DU17+$F$11*EF17*(1-EI17)</f>
        <v>1800.02</v>
      </c>
      <c r="CW17">
        <f t="shared" ref="CW17:CW48" si="43">CV17*CX17</f>
        <v>1513.201499921021</v>
      </c>
      <c r="CX17">
        <f t="shared" ref="CX17:CX48" si="44">($B$11*$D$9+$C$11*$D$9+$F$11*((ES17+EK17)/MAX(ES17+EK17+ET17, 0.1)*$I$9+ET17/MAX(ES17+EK17+ET17, 0.1)*$J$9))/($B$11+$C$11+$F$11)</f>
        <v>0.84065815930990817</v>
      </c>
      <c r="CY17">
        <f t="shared" ref="CY17:CY48" si="45">($B$11*$K$9+$C$11*$K$9+$F$11*((ES17+EK17)/MAX(ES17+EK17+ET17, 0.1)*$P$9+ET17/MAX(ES17+EK17+ET17, 0.1)*$Q$9))/($B$11+$C$11+$F$11)</f>
        <v>0.16087024746812273</v>
      </c>
      <c r="CZ17">
        <v>5.36</v>
      </c>
      <c r="DA17">
        <v>0.5</v>
      </c>
      <c r="DB17" t="s">
        <v>418</v>
      </c>
      <c r="DC17">
        <v>2</v>
      </c>
      <c r="DD17">
        <v>1700147529.5999999</v>
      </c>
      <c r="DE17">
        <v>393.84399999999999</v>
      </c>
      <c r="DF17">
        <v>449.96</v>
      </c>
      <c r="DG17">
        <v>28.0259</v>
      </c>
      <c r="DH17">
        <v>23.4297</v>
      </c>
      <c r="DI17">
        <v>392.62099999999998</v>
      </c>
      <c r="DJ17">
        <v>27.730799999999999</v>
      </c>
      <c r="DK17">
        <v>500.14800000000002</v>
      </c>
      <c r="DL17">
        <v>99.4435</v>
      </c>
      <c r="DM17">
        <v>0.100046</v>
      </c>
      <c r="DN17">
        <v>30.065799999999999</v>
      </c>
      <c r="DO17">
        <v>29.985800000000001</v>
      </c>
      <c r="DP17">
        <v>999.9</v>
      </c>
      <c r="DQ17">
        <v>0</v>
      </c>
      <c r="DR17">
        <v>0</v>
      </c>
      <c r="DS17">
        <v>10015</v>
      </c>
      <c r="DT17">
        <v>0</v>
      </c>
      <c r="DU17">
        <v>394.12799999999999</v>
      </c>
      <c r="DV17">
        <v>-56.116500000000002</v>
      </c>
      <c r="DW17">
        <v>405.2</v>
      </c>
      <c r="DX17">
        <v>460.75599999999997</v>
      </c>
      <c r="DY17">
        <v>4.5961600000000002</v>
      </c>
      <c r="DZ17">
        <v>449.96</v>
      </c>
      <c r="EA17">
        <v>23.4297</v>
      </c>
      <c r="EB17">
        <v>2.7869899999999999</v>
      </c>
      <c r="EC17">
        <v>2.3299400000000001</v>
      </c>
      <c r="ED17">
        <v>22.807200000000002</v>
      </c>
      <c r="EE17">
        <v>19.884899999999998</v>
      </c>
      <c r="EF17">
        <v>1800.02</v>
      </c>
      <c r="EG17">
        <v>0.97799999999999998</v>
      </c>
      <c r="EH17">
        <v>2.20003E-2</v>
      </c>
      <c r="EI17">
        <v>0</v>
      </c>
      <c r="EJ17">
        <v>590.80600000000004</v>
      </c>
      <c r="EK17">
        <v>5.0001199999999999</v>
      </c>
      <c r="EL17">
        <v>11365.1</v>
      </c>
      <c r="EM17">
        <v>15630.1</v>
      </c>
      <c r="EN17">
        <v>51.311999999999998</v>
      </c>
      <c r="EO17">
        <v>52.311999999999998</v>
      </c>
      <c r="EP17">
        <v>52.125</v>
      </c>
      <c r="EQ17">
        <v>52.186999999999998</v>
      </c>
      <c r="ER17">
        <v>53</v>
      </c>
      <c r="ES17">
        <v>1755.53</v>
      </c>
      <c r="ET17">
        <v>39.49</v>
      </c>
      <c r="EU17">
        <v>0</v>
      </c>
      <c r="EV17">
        <v>1700147535.2</v>
      </c>
      <c r="EW17">
        <v>0</v>
      </c>
      <c r="EX17">
        <v>590.68161538461538</v>
      </c>
      <c r="EY17">
        <v>0.47760682994269799</v>
      </c>
      <c r="EZ17">
        <v>12.051282041395689</v>
      </c>
      <c r="FA17">
        <v>11363.926923076921</v>
      </c>
      <c r="FB17">
        <v>15</v>
      </c>
      <c r="FC17">
        <v>1700147489.0999999</v>
      </c>
      <c r="FD17" t="s">
        <v>419</v>
      </c>
      <c r="FE17">
        <v>1700147489.0999999</v>
      </c>
      <c r="FF17">
        <v>1700147484.5999999</v>
      </c>
      <c r="FG17">
        <v>3</v>
      </c>
      <c r="FH17">
        <v>0.27500000000000002</v>
      </c>
      <c r="FI17">
        <v>-1.7999999999999999E-2</v>
      </c>
      <c r="FJ17">
        <v>1.2450000000000001</v>
      </c>
      <c r="FK17">
        <v>0.29499999999999998</v>
      </c>
      <c r="FL17">
        <v>449</v>
      </c>
      <c r="FM17">
        <v>23</v>
      </c>
      <c r="FN17">
        <v>0.03</v>
      </c>
      <c r="FO17">
        <v>0.02</v>
      </c>
      <c r="FP17">
        <v>50.530256809382443</v>
      </c>
      <c r="FQ17">
        <v>-0.62688012842552854</v>
      </c>
      <c r="FR17">
        <v>5.5942968915461168E-2</v>
      </c>
      <c r="FS17">
        <v>1</v>
      </c>
      <c r="FT17">
        <v>0.30721606462830858</v>
      </c>
      <c r="FU17">
        <v>-1.0752320220365451E-2</v>
      </c>
      <c r="FV17">
        <v>1.487939752142276E-3</v>
      </c>
      <c r="FW17">
        <v>1</v>
      </c>
      <c r="FX17">
        <v>2</v>
      </c>
      <c r="FY17">
        <v>2</v>
      </c>
      <c r="FZ17" t="s">
        <v>420</v>
      </c>
      <c r="GA17">
        <v>2.9139300000000001</v>
      </c>
      <c r="GB17">
        <v>2.7511800000000002</v>
      </c>
      <c r="GC17">
        <v>8.9669700000000005E-2</v>
      </c>
      <c r="GD17">
        <v>0.101119</v>
      </c>
      <c r="GE17">
        <v>0.128079</v>
      </c>
      <c r="GF17">
        <v>0.115453</v>
      </c>
      <c r="GG17">
        <v>28160.400000000001</v>
      </c>
      <c r="GH17">
        <v>27696.5</v>
      </c>
      <c r="GI17">
        <v>28179.5</v>
      </c>
      <c r="GJ17">
        <v>28177.9</v>
      </c>
      <c r="GK17">
        <v>33479.5</v>
      </c>
      <c r="GL17">
        <v>34802.1</v>
      </c>
      <c r="GM17">
        <v>42327.6</v>
      </c>
      <c r="GN17">
        <v>43790.9</v>
      </c>
      <c r="GO17">
        <v>1.7519</v>
      </c>
      <c r="GP17">
        <v>1.94425</v>
      </c>
      <c r="GQ17">
        <v>1.13025E-2</v>
      </c>
      <c r="GR17">
        <v>0</v>
      </c>
      <c r="GS17">
        <v>29.8019</v>
      </c>
      <c r="GT17">
        <v>999.9</v>
      </c>
      <c r="GU17">
        <v>63.6</v>
      </c>
      <c r="GV17">
        <v>32.200000000000003</v>
      </c>
      <c r="GW17">
        <v>30.886099999999999</v>
      </c>
      <c r="GX17">
        <v>61.306399999999996</v>
      </c>
      <c r="GY17">
        <v>28.830100000000002</v>
      </c>
      <c r="GZ17">
        <v>1</v>
      </c>
      <c r="HA17">
        <v>0.61531999999999998</v>
      </c>
      <c r="HB17">
        <v>3.7606799999999998</v>
      </c>
      <c r="HC17">
        <v>20.279</v>
      </c>
      <c r="HD17">
        <v>5.2752400000000002</v>
      </c>
      <c r="HE17">
        <v>12.0878</v>
      </c>
      <c r="HF17">
        <v>5.0129999999999999</v>
      </c>
      <c r="HG17">
        <v>3.2919800000000001</v>
      </c>
      <c r="HH17">
        <v>9999</v>
      </c>
      <c r="HI17">
        <v>9999</v>
      </c>
      <c r="HJ17">
        <v>9999</v>
      </c>
      <c r="HK17">
        <v>999.9</v>
      </c>
      <c r="HL17">
        <v>1.875</v>
      </c>
      <c r="HM17">
        <v>1.8754500000000001</v>
      </c>
      <c r="HN17">
        <v>1.87517</v>
      </c>
      <c r="HO17">
        <v>1.8791199999999999</v>
      </c>
      <c r="HP17">
        <v>1.87256</v>
      </c>
      <c r="HQ17">
        <v>1.8757699999999999</v>
      </c>
      <c r="HR17">
        <v>1.8754599999999999</v>
      </c>
      <c r="HS17">
        <v>1.87687</v>
      </c>
      <c r="HT17">
        <v>0</v>
      </c>
      <c r="HU17">
        <v>0</v>
      </c>
      <c r="HV17">
        <v>0</v>
      </c>
      <c r="HW17">
        <v>0</v>
      </c>
      <c r="HX17" t="s">
        <v>421</v>
      </c>
      <c r="HY17" t="s">
        <v>422</v>
      </c>
      <c r="HZ17" t="s">
        <v>423</v>
      </c>
      <c r="IA17" t="s">
        <v>424</v>
      </c>
      <c r="IB17" t="s">
        <v>424</v>
      </c>
      <c r="IC17" t="s">
        <v>423</v>
      </c>
      <c r="ID17">
        <v>0</v>
      </c>
      <c r="IE17">
        <v>100</v>
      </c>
      <c r="IF17">
        <v>100</v>
      </c>
      <c r="IG17">
        <v>1.2230000000000001</v>
      </c>
      <c r="IH17">
        <v>0.29509999999999997</v>
      </c>
      <c r="II17">
        <v>0.97001619376173831</v>
      </c>
      <c r="IJ17">
        <v>8.9576739069318506E-4</v>
      </c>
      <c r="IK17">
        <v>-7.2130504814809596E-7</v>
      </c>
      <c r="IL17">
        <v>1.9987036519832741E-10</v>
      </c>
      <c r="IM17">
        <v>0.2951285714285703</v>
      </c>
      <c r="IN17">
        <v>0</v>
      </c>
      <c r="IO17">
        <v>0</v>
      </c>
      <c r="IP17">
        <v>0</v>
      </c>
      <c r="IQ17">
        <v>1</v>
      </c>
      <c r="IR17">
        <v>2126</v>
      </c>
      <c r="IS17">
        <v>0</v>
      </c>
      <c r="IT17">
        <v>20</v>
      </c>
      <c r="IU17">
        <v>0.7</v>
      </c>
      <c r="IV17">
        <v>0.8</v>
      </c>
      <c r="IW17">
        <v>1.1218300000000001</v>
      </c>
      <c r="IX17">
        <v>2.64771</v>
      </c>
      <c r="IY17">
        <v>1.69434</v>
      </c>
      <c r="IZ17">
        <v>2.35107</v>
      </c>
      <c r="JA17">
        <v>1.5466299999999999</v>
      </c>
      <c r="JB17">
        <v>2.3034699999999999</v>
      </c>
      <c r="JC17">
        <v>37.433799999999998</v>
      </c>
      <c r="JD17">
        <v>13.904400000000001</v>
      </c>
      <c r="JE17">
        <v>18</v>
      </c>
      <c r="JF17">
        <v>496.68400000000003</v>
      </c>
      <c r="JG17">
        <v>533.005</v>
      </c>
      <c r="JH17">
        <v>25.967300000000002</v>
      </c>
      <c r="JI17">
        <v>34.782299999999999</v>
      </c>
      <c r="JJ17">
        <v>30</v>
      </c>
      <c r="JK17">
        <v>34.592100000000002</v>
      </c>
      <c r="JL17">
        <v>34.519100000000002</v>
      </c>
      <c r="JM17">
        <v>22.547799999999999</v>
      </c>
      <c r="JN17">
        <v>28.9344</v>
      </c>
      <c r="JO17">
        <v>86.9268</v>
      </c>
      <c r="JP17">
        <v>25.9895</v>
      </c>
      <c r="JQ17">
        <v>450</v>
      </c>
      <c r="JR17">
        <v>23.472100000000001</v>
      </c>
      <c r="JS17">
        <v>98.698099999999997</v>
      </c>
      <c r="JT17">
        <v>98.672799999999995</v>
      </c>
    </row>
    <row r="18" spans="1:280" x14ac:dyDescent="0.25">
      <c r="A18">
        <v>2</v>
      </c>
      <c r="B18">
        <v>1700147656.0999999</v>
      </c>
      <c r="C18">
        <v>126.5</v>
      </c>
      <c r="D18" t="s">
        <v>425</v>
      </c>
      <c r="E18" t="s">
        <v>426</v>
      </c>
      <c r="F18" t="s">
        <v>412</v>
      </c>
      <c r="G18" t="s">
        <v>413</v>
      </c>
      <c r="H18" t="s">
        <v>414</v>
      </c>
      <c r="I18">
        <v>1700147656.0999999</v>
      </c>
      <c r="J18">
        <f t="shared" si="0"/>
        <v>3.2937029833379019E-3</v>
      </c>
      <c r="K18">
        <f t="shared" si="1"/>
        <v>3.2937029833379019</v>
      </c>
      <c r="L18">
        <f t="shared" si="2"/>
        <v>56.568500665013367</v>
      </c>
      <c r="M18">
        <f t="shared" si="3"/>
        <v>1434.31</v>
      </c>
      <c r="N18">
        <f t="shared" si="4"/>
        <v>974.07880853863378</v>
      </c>
      <c r="O18">
        <f t="shared" si="5"/>
        <v>96.967171949596107</v>
      </c>
      <c r="P18">
        <f t="shared" si="6"/>
        <v>142.78206566025398</v>
      </c>
      <c r="Q18">
        <f t="shared" si="7"/>
        <v>0.21757217154002437</v>
      </c>
      <c r="R18">
        <f t="shared" si="8"/>
        <v>3.0500941511375363</v>
      </c>
      <c r="S18">
        <f t="shared" si="9"/>
        <v>0.20930310190450038</v>
      </c>
      <c r="T18">
        <f t="shared" si="10"/>
        <v>0.13153119668977412</v>
      </c>
      <c r="U18">
        <f t="shared" si="11"/>
        <v>289.56487484756775</v>
      </c>
      <c r="V18">
        <f t="shared" si="12"/>
        <v>30.772312049603492</v>
      </c>
      <c r="W18">
        <f t="shared" si="13"/>
        <v>30.058800000000002</v>
      </c>
      <c r="X18">
        <f t="shared" si="14"/>
        <v>4.2748603114120014</v>
      </c>
      <c r="Y18">
        <f t="shared" si="15"/>
        <v>65.03948405484519</v>
      </c>
      <c r="Z18">
        <f t="shared" si="16"/>
        <v>2.7637091384051797</v>
      </c>
      <c r="AA18">
        <f t="shared" si="17"/>
        <v>4.2492790011597492</v>
      </c>
      <c r="AB18">
        <f t="shared" si="18"/>
        <v>1.5111511730068217</v>
      </c>
      <c r="AC18">
        <f t="shared" si="19"/>
        <v>-145.25230156520146</v>
      </c>
      <c r="AD18">
        <f t="shared" si="20"/>
        <v>-17.18363262905552</v>
      </c>
      <c r="AE18">
        <f t="shared" si="21"/>
        <v>-1.252763248768648</v>
      </c>
      <c r="AF18">
        <f t="shared" si="22"/>
        <v>125.87617740454212</v>
      </c>
      <c r="AG18">
        <v>6</v>
      </c>
      <c r="AH18">
        <v>1</v>
      </c>
      <c r="AI18">
        <f t="shared" si="23"/>
        <v>1</v>
      </c>
      <c r="AJ18">
        <f t="shared" si="24"/>
        <v>0</v>
      </c>
      <c r="AK18">
        <f t="shared" si="25"/>
        <v>52131.710364204242</v>
      </c>
      <c r="AL18" t="s">
        <v>427</v>
      </c>
      <c r="AM18" t="s">
        <v>427</v>
      </c>
      <c r="AN18">
        <v>0</v>
      </c>
      <c r="AO18">
        <v>0</v>
      </c>
      <c r="AP18" t="e">
        <f t="shared" si="26"/>
        <v>#DIV/0!</v>
      </c>
      <c r="AQ18">
        <v>0</v>
      </c>
      <c r="AR18" t="s">
        <v>427</v>
      </c>
      <c r="AS18" t="s">
        <v>427</v>
      </c>
      <c r="AT18">
        <v>0</v>
      </c>
      <c r="AU18">
        <v>0</v>
      </c>
      <c r="AV18" t="e">
        <f t="shared" si="27"/>
        <v>#DIV/0!</v>
      </c>
      <c r="AW18">
        <v>0.5</v>
      </c>
      <c r="AX18">
        <f t="shared" si="28"/>
        <v>1513.1762999210193</v>
      </c>
      <c r="AY18">
        <f t="shared" si="29"/>
        <v>56.568500665013367</v>
      </c>
      <c r="AZ18" t="e">
        <f t="shared" si="30"/>
        <v>#DIV/0!</v>
      </c>
      <c r="BA18">
        <f t="shared" si="31"/>
        <v>3.7383945722627279E-2</v>
      </c>
      <c r="BB18" t="e">
        <f t="shared" si="32"/>
        <v>#DIV/0!</v>
      </c>
      <c r="BC18" t="e">
        <f t="shared" si="33"/>
        <v>#DIV/0!</v>
      </c>
      <c r="BD18" t="s">
        <v>427</v>
      </c>
      <c r="BE18">
        <v>0</v>
      </c>
      <c r="BF18" t="e">
        <f t="shared" si="34"/>
        <v>#DIV/0!</v>
      </c>
      <c r="BG18" t="e">
        <f t="shared" si="35"/>
        <v>#DIV/0!</v>
      </c>
      <c r="BH18" t="e">
        <f t="shared" si="36"/>
        <v>#DIV/0!</v>
      </c>
      <c r="BI18" t="e">
        <f t="shared" si="37"/>
        <v>#DIV/0!</v>
      </c>
      <c r="BJ18" t="e">
        <f t="shared" si="38"/>
        <v>#DIV/0!</v>
      </c>
      <c r="BK18" t="e">
        <f t="shared" si="39"/>
        <v>#DIV/0!</v>
      </c>
      <c r="BL18" t="e">
        <f t="shared" si="40"/>
        <v>#DIV/0!</v>
      </c>
      <c r="BM18" t="e">
        <f t="shared" si="41"/>
        <v>#DIV/0!</v>
      </c>
      <c r="BN18">
        <v>23</v>
      </c>
      <c r="BO18">
        <v>290.00000000000011</v>
      </c>
      <c r="BP18">
        <v>796.29</v>
      </c>
      <c r="BQ18">
        <v>295</v>
      </c>
      <c r="BR18">
        <v>7140.81</v>
      </c>
      <c r="BS18">
        <v>797.65</v>
      </c>
      <c r="BT18">
        <v>-1.36</v>
      </c>
      <c r="BU18">
        <v>300.00000000000011</v>
      </c>
      <c r="BV18">
        <v>38.200000000000003</v>
      </c>
      <c r="BW18">
        <v>875.95338981760301</v>
      </c>
      <c r="BX18">
        <v>1.343241196250081</v>
      </c>
      <c r="BY18">
        <v>-55.9118307029498</v>
      </c>
      <c r="BZ18">
        <v>0.80398348734320446</v>
      </c>
      <c r="CA18">
        <v>0.99424377521434548</v>
      </c>
      <c r="CB18">
        <v>-7.0471172413793196E-3</v>
      </c>
      <c r="CC18">
        <v>289.99999999999989</v>
      </c>
      <c r="CD18">
        <v>807.54</v>
      </c>
      <c r="CE18">
        <v>815</v>
      </c>
      <c r="CF18">
        <v>7135.63</v>
      </c>
      <c r="CG18">
        <v>797.6</v>
      </c>
      <c r="CH18">
        <v>9.94</v>
      </c>
      <c r="CV18">
        <f t="shared" si="42"/>
        <v>1799.99</v>
      </c>
      <c r="CW18">
        <f t="shared" si="43"/>
        <v>1513.1762999210193</v>
      </c>
      <c r="CX18">
        <f t="shared" si="44"/>
        <v>0.84065817027929013</v>
      </c>
      <c r="CY18">
        <f t="shared" si="45"/>
        <v>0.16087026863903006</v>
      </c>
      <c r="CZ18">
        <v>5.36</v>
      </c>
      <c r="DA18">
        <v>0.5</v>
      </c>
      <c r="DB18" t="s">
        <v>418</v>
      </c>
      <c r="DC18">
        <v>2</v>
      </c>
      <c r="DD18">
        <v>1700147656.0999999</v>
      </c>
      <c r="DE18">
        <v>1434.31</v>
      </c>
      <c r="DF18">
        <v>1500</v>
      </c>
      <c r="DG18">
        <v>27.762699999999999</v>
      </c>
      <c r="DH18">
        <v>24.3307</v>
      </c>
      <c r="DI18">
        <v>1432.43</v>
      </c>
      <c r="DJ18">
        <v>27.4621</v>
      </c>
      <c r="DK18">
        <v>500.12</v>
      </c>
      <c r="DL18">
        <v>99.447599999999994</v>
      </c>
      <c r="DM18">
        <v>9.9963399999999994E-2</v>
      </c>
      <c r="DN18">
        <v>29.9543</v>
      </c>
      <c r="DO18">
        <v>30.058800000000002</v>
      </c>
      <c r="DP18">
        <v>999.9</v>
      </c>
      <c r="DQ18">
        <v>0</v>
      </c>
      <c r="DR18">
        <v>0</v>
      </c>
      <c r="DS18">
        <v>10011.9</v>
      </c>
      <c r="DT18">
        <v>0</v>
      </c>
      <c r="DU18">
        <v>401.767</v>
      </c>
      <c r="DV18">
        <v>-65.695599999999999</v>
      </c>
      <c r="DW18">
        <v>1475.27</v>
      </c>
      <c r="DX18">
        <v>1537.41</v>
      </c>
      <c r="DY18">
        <v>3.43207</v>
      </c>
      <c r="DZ18">
        <v>1500</v>
      </c>
      <c r="EA18">
        <v>24.3307</v>
      </c>
      <c r="EB18">
        <v>2.7609400000000002</v>
      </c>
      <c r="EC18">
        <v>2.4196300000000002</v>
      </c>
      <c r="ED18">
        <v>22.6524</v>
      </c>
      <c r="EE18">
        <v>20.495699999999999</v>
      </c>
      <c r="EF18">
        <v>1799.99</v>
      </c>
      <c r="EG18">
        <v>0.97799999999999998</v>
      </c>
      <c r="EH18">
        <v>2.20003E-2</v>
      </c>
      <c r="EI18">
        <v>0</v>
      </c>
      <c r="EJ18">
        <v>583.45500000000004</v>
      </c>
      <c r="EK18">
        <v>5.0001199999999999</v>
      </c>
      <c r="EL18">
        <v>11242.5</v>
      </c>
      <c r="EM18">
        <v>15629.9</v>
      </c>
      <c r="EN18">
        <v>51.436999999999998</v>
      </c>
      <c r="EO18">
        <v>52.311999999999998</v>
      </c>
      <c r="EP18">
        <v>52.186999999999998</v>
      </c>
      <c r="EQ18">
        <v>52.25</v>
      </c>
      <c r="ER18">
        <v>53</v>
      </c>
      <c r="ES18">
        <v>1755.5</v>
      </c>
      <c r="ET18">
        <v>39.49</v>
      </c>
      <c r="EU18">
        <v>0</v>
      </c>
      <c r="EV18">
        <v>124.4000000953674</v>
      </c>
      <c r="EW18">
        <v>0</v>
      </c>
      <c r="EX18">
        <v>583.60492307692311</v>
      </c>
      <c r="EY18">
        <v>-2.3461196564046758</v>
      </c>
      <c r="EZ18">
        <v>-5.1042734714322959</v>
      </c>
      <c r="FA18">
        <v>11244.58076923077</v>
      </c>
      <c r="FB18">
        <v>15</v>
      </c>
      <c r="FC18">
        <v>1700147618.5999999</v>
      </c>
      <c r="FD18" t="s">
        <v>428</v>
      </c>
      <c r="FE18">
        <v>1700147618.5999999</v>
      </c>
      <c r="FF18">
        <v>1700147617.0999999</v>
      </c>
      <c r="FG18">
        <v>4</v>
      </c>
      <c r="FH18">
        <v>0.51600000000000001</v>
      </c>
      <c r="FI18">
        <v>6.0000000000000001E-3</v>
      </c>
      <c r="FJ18">
        <v>1.881</v>
      </c>
      <c r="FK18">
        <v>0.30099999999999999</v>
      </c>
      <c r="FL18">
        <v>1500</v>
      </c>
      <c r="FM18">
        <v>23</v>
      </c>
      <c r="FN18">
        <v>0.04</v>
      </c>
      <c r="FO18">
        <v>0.02</v>
      </c>
      <c r="FP18">
        <v>56.585170518238343</v>
      </c>
      <c r="FQ18">
        <v>-0.37280929921431882</v>
      </c>
      <c r="FR18">
        <v>8.8641488765647466E-2</v>
      </c>
      <c r="FS18">
        <v>1</v>
      </c>
      <c r="FT18">
        <v>0.21978453320577551</v>
      </c>
      <c r="FU18">
        <v>-1.1957094444355989E-2</v>
      </c>
      <c r="FV18">
        <v>9.3682188422209507E-4</v>
      </c>
      <c r="FW18">
        <v>1</v>
      </c>
      <c r="FX18">
        <v>2</v>
      </c>
      <c r="FY18">
        <v>2</v>
      </c>
      <c r="FZ18" t="s">
        <v>420</v>
      </c>
      <c r="GA18">
        <v>2.9136299999999999</v>
      </c>
      <c r="GB18">
        <v>2.7510599999999998</v>
      </c>
      <c r="GC18">
        <v>0.21639</v>
      </c>
      <c r="GD18">
        <v>0.22534399999999999</v>
      </c>
      <c r="GE18">
        <v>0.127195</v>
      </c>
      <c r="GF18">
        <v>0.118488</v>
      </c>
      <c r="GG18">
        <v>24235.599999999999</v>
      </c>
      <c r="GH18">
        <v>23861.200000000001</v>
      </c>
      <c r="GI18">
        <v>28180.400000000001</v>
      </c>
      <c r="GJ18">
        <v>28175.9</v>
      </c>
      <c r="GK18">
        <v>33515.5</v>
      </c>
      <c r="GL18">
        <v>34680.6</v>
      </c>
      <c r="GM18">
        <v>42330.8</v>
      </c>
      <c r="GN18">
        <v>43788.9</v>
      </c>
      <c r="GO18">
        <v>1.74977</v>
      </c>
      <c r="GP18">
        <v>1.9458</v>
      </c>
      <c r="GQ18">
        <v>1.6648300000000001E-2</v>
      </c>
      <c r="GR18">
        <v>0</v>
      </c>
      <c r="GS18">
        <v>29.787800000000001</v>
      </c>
      <c r="GT18">
        <v>999.9</v>
      </c>
      <c r="GU18">
        <v>62.7</v>
      </c>
      <c r="GV18">
        <v>32.5</v>
      </c>
      <c r="GW18">
        <v>30.970600000000001</v>
      </c>
      <c r="GX18">
        <v>62.106400000000001</v>
      </c>
      <c r="GY18">
        <v>28.4495</v>
      </c>
      <c r="GZ18">
        <v>1</v>
      </c>
      <c r="HA18">
        <v>0.62881900000000002</v>
      </c>
      <c r="HB18">
        <v>5.49716</v>
      </c>
      <c r="HC18">
        <v>20.228999999999999</v>
      </c>
      <c r="HD18">
        <v>5.2758399999999996</v>
      </c>
      <c r="HE18">
        <v>12.089</v>
      </c>
      <c r="HF18">
        <v>5.01295</v>
      </c>
      <c r="HG18">
        <v>3.2919800000000001</v>
      </c>
      <c r="HH18">
        <v>9999</v>
      </c>
      <c r="HI18">
        <v>9999</v>
      </c>
      <c r="HJ18">
        <v>9999</v>
      </c>
      <c r="HK18">
        <v>999.9</v>
      </c>
      <c r="HL18">
        <v>1.875</v>
      </c>
      <c r="HM18">
        <v>1.87544</v>
      </c>
      <c r="HN18">
        <v>1.8752200000000001</v>
      </c>
      <c r="HO18">
        <v>1.8791199999999999</v>
      </c>
      <c r="HP18">
        <v>1.87256</v>
      </c>
      <c r="HQ18">
        <v>1.8757600000000001</v>
      </c>
      <c r="HR18">
        <v>1.87548</v>
      </c>
      <c r="HS18">
        <v>1.8768800000000001</v>
      </c>
      <c r="HT18">
        <v>0</v>
      </c>
      <c r="HU18">
        <v>0</v>
      </c>
      <c r="HV18">
        <v>0</v>
      </c>
      <c r="HW18">
        <v>0</v>
      </c>
      <c r="HX18" t="s">
        <v>421</v>
      </c>
      <c r="HY18" t="s">
        <v>422</v>
      </c>
      <c r="HZ18" t="s">
        <v>423</v>
      </c>
      <c r="IA18" t="s">
        <v>424</v>
      </c>
      <c r="IB18" t="s">
        <v>424</v>
      </c>
      <c r="IC18" t="s">
        <v>423</v>
      </c>
      <c r="ID18">
        <v>0</v>
      </c>
      <c r="IE18">
        <v>100</v>
      </c>
      <c r="IF18">
        <v>100</v>
      </c>
      <c r="IG18">
        <v>1.88</v>
      </c>
      <c r="IH18">
        <v>0.30059999999999998</v>
      </c>
      <c r="II18">
        <v>1.4863277345568779</v>
      </c>
      <c r="IJ18">
        <v>8.9576739069318506E-4</v>
      </c>
      <c r="IK18">
        <v>-7.2130504814809596E-7</v>
      </c>
      <c r="IL18">
        <v>1.9987036519832741E-10</v>
      </c>
      <c r="IM18">
        <v>0.30065000000000452</v>
      </c>
      <c r="IN18">
        <v>0</v>
      </c>
      <c r="IO18">
        <v>0</v>
      </c>
      <c r="IP18">
        <v>0</v>
      </c>
      <c r="IQ18">
        <v>1</v>
      </c>
      <c r="IR18">
        <v>2126</v>
      </c>
      <c r="IS18">
        <v>0</v>
      </c>
      <c r="IT18">
        <v>20</v>
      </c>
      <c r="IU18">
        <v>0.6</v>
      </c>
      <c r="IV18">
        <v>0.7</v>
      </c>
      <c r="IW18">
        <v>2.9992700000000001</v>
      </c>
      <c r="IX18">
        <v>2.5988799999999999</v>
      </c>
      <c r="IY18">
        <v>1.69434</v>
      </c>
      <c r="IZ18">
        <v>2.35107</v>
      </c>
      <c r="JA18">
        <v>1.5466299999999999</v>
      </c>
      <c r="JB18">
        <v>2.4621599999999999</v>
      </c>
      <c r="JC18">
        <v>37.674500000000002</v>
      </c>
      <c r="JD18">
        <v>13.8606</v>
      </c>
      <c r="JE18">
        <v>18</v>
      </c>
      <c r="JF18">
        <v>496.00900000000001</v>
      </c>
      <c r="JG18">
        <v>535.25</v>
      </c>
      <c r="JH18">
        <v>25.009699999999999</v>
      </c>
      <c r="JI18">
        <v>34.886699999999998</v>
      </c>
      <c r="JJ18">
        <v>30.000599999999999</v>
      </c>
      <c r="JK18">
        <v>34.710700000000003</v>
      </c>
      <c r="JL18">
        <v>34.641199999999998</v>
      </c>
      <c r="JM18">
        <v>60.0946</v>
      </c>
      <c r="JN18">
        <v>25.783200000000001</v>
      </c>
      <c r="JO18">
        <v>85.358999999999995</v>
      </c>
      <c r="JP18">
        <v>24.986499999999999</v>
      </c>
      <c r="JQ18">
        <v>1500</v>
      </c>
      <c r="JR18">
        <v>24.3108</v>
      </c>
      <c r="JS18">
        <v>98.703699999999998</v>
      </c>
      <c r="JT18">
        <v>98.667199999999994</v>
      </c>
    </row>
    <row r="19" spans="1:280" x14ac:dyDescent="0.25">
      <c r="A19">
        <v>3</v>
      </c>
      <c r="B19">
        <v>1700147791.0999999</v>
      </c>
      <c r="C19">
        <v>261.5</v>
      </c>
      <c r="D19" t="s">
        <v>429</v>
      </c>
      <c r="E19" t="s">
        <v>430</v>
      </c>
      <c r="F19" t="s">
        <v>412</v>
      </c>
      <c r="G19" t="s">
        <v>413</v>
      </c>
      <c r="H19" t="s">
        <v>414</v>
      </c>
      <c r="I19">
        <v>1700147791.0999999</v>
      </c>
      <c r="J19">
        <f t="shared" si="0"/>
        <v>3.0040758566071794E-3</v>
      </c>
      <c r="K19">
        <f t="shared" si="1"/>
        <v>3.0040758566071792</v>
      </c>
      <c r="L19">
        <f t="shared" si="2"/>
        <v>56.234901925293336</v>
      </c>
      <c r="M19">
        <f t="shared" si="3"/>
        <v>1185.8499999999999</v>
      </c>
      <c r="N19">
        <f t="shared" si="4"/>
        <v>687.35973553639951</v>
      </c>
      <c r="O19">
        <f t="shared" si="5"/>
        <v>68.424309527633568</v>
      </c>
      <c r="P19">
        <f t="shared" si="6"/>
        <v>118.04730952129999</v>
      </c>
      <c r="Q19">
        <f t="shared" si="7"/>
        <v>0.19529318588760938</v>
      </c>
      <c r="R19">
        <f t="shared" si="8"/>
        <v>3.0465430489446255</v>
      </c>
      <c r="S19">
        <f t="shared" si="9"/>
        <v>0.18859536442529659</v>
      </c>
      <c r="T19">
        <f t="shared" si="10"/>
        <v>0.11845473864825751</v>
      </c>
      <c r="U19">
        <f t="shared" si="11"/>
        <v>289.57285484757193</v>
      </c>
      <c r="V19">
        <f t="shared" si="12"/>
        <v>30.747282877474618</v>
      </c>
      <c r="W19">
        <f t="shared" si="13"/>
        <v>30.039400000000001</v>
      </c>
      <c r="X19">
        <f t="shared" si="14"/>
        <v>4.2701011256493295</v>
      </c>
      <c r="Y19">
        <f t="shared" si="15"/>
        <v>64.854463568262048</v>
      </c>
      <c r="Z19">
        <f t="shared" si="16"/>
        <v>2.7402883352106002</v>
      </c>
      <c r="AA19">
        <f t="shared" si="17"/>
        <v>4.2252887225353906</v>
      </c>
      <c r="AB19">
        <f t="shared" si="18"/>
        <v>1.5298127904387293</v>
      </c>
      <c r="AC19">
        <f t="shared" si="19"/>
        <v>-132.4797452763766</v>
      </c>
      <c r="AD19">
        <f t="shared" si="20"/>
        <v>-30.155424017723732</v>
      </c>
      <c r="AE19">
        <f t="shared" si="21"/>
        <v>-2.1997428603795037</v>
      </c>
      <c r="AF19">
        <f t="shared" si="22"/>
        <v>124.73794269309209</v>
      </c>
      <c r="AG19">
        <v>6</v>
      </c>
      <c r="AH19">
        <v>1</v>
      </c>
      <c r="AI19">
        <f t="shared" si="23"/>
        <v>1</v>
      </c>
      <c r="AJ19">
        <f t="shared" si="24"/>
        <v>0</v>
      </c>
      <c r="AK19">
        <f t="shared" si="25"/>
        <v>52054.21903861122</v>
      </c>
      <c r="AL19" t="s">
        <v>415</v>
      </c>
      <c r="AM19">
        <v>6960.3</v>
      </c>
      <c r="AN19">
        <v>244.8124</v>
      </c>
      <c r="AO19">
        <v>892.86711584811997</v>
      </c>
      <c r="AP19">
        <f t="shared" si="26"/>
        <v>0.72581317459826411</v>
      </c>
      <c r="AQ19">
        <v>-0.43209471141234851</v>
      </c>
      <c r="AR19" t="s">
        <v>431</v>
      </c>
      <c r="AS19">
        <v>7140.99</v>
      </c>
      <c r="AT19">
        <v>582.41615999999999</v>
      </c>
      <c r="AU19">
        <v>914.57468698310163</v>
      </c>
      <c r="AV19">
        <f t="shared" si="27"/>
        <v>0.3631835996672832</v>
      </c>
      <c r="AW19">
        <v>0.5</v>
      </c>
      <c r="AX19">
        <f t="shared" si="28"/>
        <v>1513.2182999210215</v>
      </c>
      <c r="AY19">
        <f t="shared" si="29"/>
        <v>56.234901925293336</v>
      </c>
      <c r="AZ19">
        <f t="shared" si="30"/>
        <v>274.78803462386156</v>
      </c>
      <c r="BA19">
        <f t="shared" si="31"/>
        <v>3.7447998507329223E-2</v>
      </c>
      <c r="BB19">
        <f t="shared" si="32"/>
        <v>-2.3735154103803387E-2</v>
      </c>
      <c r="BC19">
        <f t="shared" si="33"/>
        <v>246.41604272284019</v>
      </c>
      <c r="BD19" t="s">
        <v>432</v>
      </c>
      <c r="BE19">
        <v>446.61</v>
      </c>
      <c r="BF19">
        <f t="shared" si="34"/>
        <v>446.61</v>
      </c>
      <c r="BG19">
        <f t="shared" si="35"/>
        <v>0.51167465450719174</v>
      </c>
      <c r="BH19">
        <f t="shared" si="36"/>
        <v>0.709793999894475</v>
      </c>
      <c r="BI19">
        <f t="shared" si="37"/>
        <v>-4.8643641443623861E-2</v>
      </c>
      <c r="BJ19">
        <f t="shared" si="38"/>
        <v>0.49593495100968882</v>
      </c>
      <c r="BK19">
        <f t="shared" si="39"/>
        <v>-3.3496509791727393E-2</v>
      </c>
      <c r="BL19">
        <f t="shared" si="40"/>
        <v>0.54428623390681929</v>
      </c>
      <c r="BM19">
        <f t="shared" si="41"/>
        <v>0.45571376609318071</v>
      </c>
      <c r="BN19">
        <v>25</v>
      </c>
      <c r="BO19">
        <v>290.00000000000011</v>
      </c>
      <c r="BP19">
        <v>816.48</v>
      </c>
      <c r="BQ19">
        <v>285</v>
      </c>
      <c r="BR19">
        <v>7140.99</v>
      </c>
      <c r="BS19">
        <v>818.59</v>
      </c>
      <c r="BT19">
        <v>-2.11</v>
      </c>
      <c r="BU19">
        <v>300.00000000000011</v>
      </c>
      <c r="BV19">
        <v>38.200000000000003</v>
      </c>
      <c r="BW19">
        <v>914.57468698310163</v>
      </c>
      <c r="BX19">
        <v>1.485562850666464</v>
      </c>
      <c r="BY19">
        <v>-68.542296180870096</v>
      </c>
      <c r="BZ19">
        <v>0.88918386031837582</v>
      </c>
      <c r="CA19">
        <v>0.99530989896451805</v>
      </c>
      <c r="CB19">
        <v>-7.0473399332591728E-3</v>
      </c>
      <c r="CC19">
        <v>289.99999999999989</v>
      </c>
      <c r="CD19">
        <v>827.65</v>
      </c>
      <c r="CE19">
        <v>845</v>
      </c>
      <c r="CF19">
        <v>7135.45</v>
      </c>
      <c r="CG19">
        <v>818.52</v>
      </c>
      <c r="CH19">
        <v>9.1300000000000008</v>
      </c>
      <c r="CV19">
        <f t="shared" si="42"/>
        <v>1800.04</v>
      </c>
      <c r="CW19">
        <f t="shared" si="43"/>
        <v>1513.2182999210215</v>
      </c>
      <c r="CX19">
        <f t="shared" si="44"/>
        <v>0.84065815199718985</v>
      </c>
      <c r="CY19">
        <f t="shared" si="45"/>
        <v>0.16087023335457654</v>
      </c>
      <c r="CZ19">
        <v>5.36</v>
      </c>
      <c r="DA19">
        <v>0.5</v>
      </c>
      <c r="DB19" t="s">
        <v>418</v>
      </c>
      <c r="DC19">
        <v>2</v>
      </c>
      <c r="DD19">
        <v>1700147791.0999999</v>
      </c>
      <c r="DE19">
        <v>1185.8499999999999</v>
      </c>
      <c r="DF19">
        <v>1249.94</v>
      </c>
      <c r="DG19">
        <v>27.527699999999999</v>
      </c>
      <c r="DH19">
        <v>24.396599999999999</v>
      </c>
      <c r="DI19">
        <v>1184.23</v>
      </c>
      <c r="DJ19">
        <v>27.2193</v>
      </c>
      <c r="DK19">
        <v>500.09899999999999</v>
      </c>
      <c r="DL19">
        <v>99.446399999999997</v>
      </c>
      <c r="DM19">
        <v>0.100178</v>
      </c>
      <c r="DN19">
        <v>29.855799999999999</v>
      </c>
      <c r="DO19">
        <v>30.039400000000001</v>
      </c>
      <c r="DP19">
        <v>999.9</v>
      </c>
      <c r="DQ19">
        <v>0</v>
      </c>
      <c r="DR19">
        <v>0</v>
      </c>
      <c r="DS19">
        <v>9993.1200000000008</v>
      </c>
      <c r="DT19">
        <v>0</v>
      </c>
      <c r="DU19">
        <v>400.209</v>
      </c>
      <c r="DV19">
        <v>-64.080699999999993</v>
      </c>
      <c r="DW19">
        <v>1219.42</v>
      </c>
      <c r="DX19">
        <v>1281.19</v>
      </c>
      <c r="DY19">
        <v>3.13103</v>
      </c>
      <c r="DZ19">
        <v>1249.94</v>
      </c>
      <c r="EA19">
        <v>24.396599999999999</v>
      </c>
      <c r="EB19">
        <v>2.73753</v>
      </c>
      <c r="EC19">
        <v>2.4261599999999999</v>
      </c>
      <c r="ED19">
        <v>22.5121</v>
      </c>
      <c r="EE19">
        <v>20.539400000000001</v>
      </c>
      <c r="EF19">
        <v>1800.04</v>
      </c>
      <c r="EG19">
        <v>0.97799999999999998</v>
      </c>
      <c r="EH19">
        <v>2.20003E-2</v>
      </c>
      <c r="EI19">
        <v>0</v>
      </c>
      <c r="EJ19">
        <v>582.41899999999998</v>
      </c>
      <c r="EK19">
        <v>5.0001199999999999</v>
      </c>
      <c r="EL19">
        <v>11257.5</v>
      </c>
      <c r="EM19">
        <v>15630.3</v>
      </c>
      <c r="EN19">
        <v>51.436999999999998</v>
      </c>
      <c r="EO19">
        <v>52.5</v>
      </c>
      <c r="EP19">
        <v>52.25</v>
      </c>
      <c r="EQ19">
        <v>52.375</v>
      </c>
      <c r="ER19">
        <v>53.061999999999998</v>
      </c>
      <c r="ES19">
        <v>1755.55</v>
      </c>
      <c r="ET19">
        <v>39.49</v>
      </c>
      <c r="EU19">
        <v>0</v>
      </c>
      <c r="EV19">
        <v>259.40000009536737</v>
      </c>
      <c r="EW19">
        <v>0</v>
      </c>
      <c r="EX19">
        <v>582.41615999999999</v>
      </c>
      <c r="EY19">
        <v>0.8203076812557526</v>
      </c>
      <c r="EZ19">
        <v>1.630769222243166</v>
      </c>
      <c r="FA19">
        <v>11256.948</v>
      </c>
      <c r="FB19">
        <v>15</v>
      </c>
      <c r="FC19">
        <v>1700147749.0999999</v>
      </c>
      <c r="FD19" t="s">
        <v>433</v>
      </c>
      <c r="FE19">
        <v>1700147745.0999999</v>
      </c>
      <c r="FF19">
        <v>1700147749.0999999</v>
      </c>
      <c r="FG19">
        <v>5</v>
      </c>
      <c r="FH19">
        <v>-0.245</v>
      </c>
      <c r="FI19">
        <v>8.0000000000000002E-3</v>
      </c>
      <c r="FJ19">
        <v>1.623</v>
      </c>
      <c r="FK19">
        <v>0.308</v>
      </c>
      <c r="FL19">
        <v>1250</v>
      </c>
      <c r="FM19">
        <v>24</v>
      </c>
      <c r="FN19">
        <v>0.03</v>
      </c>
      <c r="FO19">
        <v>0.04</v>
      </c>
      <c r="FP19">
        <v>56.178721055563969</v>
      </c>
      <c r="FQ19">
        <v>-0.61816531628615301</v>
      </c>
      <c r="FR19">
        <v>7.1955496277552933E-2</v>
      </c>
      <c r="FS19">
        <v>1</v>
      </c>
      <c r="FT19">
        <v>0.199503721090484</v>
      </c>
      <c r="FU19">
        <v>-3.1286987983223408E-2</v>
      </c>
      <c r="FV19">
        <v>2.363199464513425E-3</v>
      </c>
      <c r="FW19">
        <v>1</v>
      </c>
      <c r="FX19">
        <v>2</v>
      </c>
      <c r="FY19">
        <v>2</v>
      </c>
      <c r="FZ19" t="s">
        <v>420</v>
      </c>
      <c r="GA19">
        <v>2.91343</v>
      </c>
      <c r="GB19">
        <v>2.7511100000000002</v>
      </c>
      <c r="GC19">
        <v>0.19253100000000001</v>
      </c>
      <c r="GD19">
        <v>0.20178399999999999</v>
      </c>
      <c r="GE19">
        <v>0.12639800000000001</v>
      </c>
      <c r="GF19">
        <v>0.118689</v>
      </c>
      <c r="GG19">
        <v>24980.6</v>
      </c>
      <c r="GH19">
        <v>24588.799999999999</v>
      </c>
      <c r="GI19">
        <v>28186.1</v>
      </c>
      <c r="GJ19">
        <v>28175.8</v>
      </c>
      <c r="GK19">
        <v>33555.199999999997</v>
      </c>
      <c r="GL19">
        <v>34673.1</v>
      </c>
      <c r="GM19">
        <v>42342</v>
      </c>
      <c r="GN19">
        <v>43789</v>
      </c>
      <c r="GO19">
        <v>1.74912</v>
      </c>
      <c r="GP19">
        <v>1.94225</v>
      </c>
      <c r="GQ19">
        <v>2.4408099999999999E-2</v>
      </c>
      <c r="GR19">
        <v>0</v>
      </c>
      <c r="GS19">
        <v>29.642099999999999</v>
      </c>
      <c r="GT19">
        <v>999.9</v>
      </c>
      <c r="GU19">
        <v>61.6</v>
      </c>
      <c r="GV19">
        <v>32.799999999999997</v>
      </c>
      <c r="GW19">
        <v>30.943899999999999</v>
      </c>
      <c r="GX19">
        <v>61.686399999999999</v>
      </c>
      <c r="GY19">
        <v>28.3614</v>
      </c>
      <c r="GZ19">
        <v>1</v>
      </c>
      <c r="HA19">
        <v>0.62568100000000004</v>
      </c>
      <c r="HB19">
        <v>4.7907299999999999</v>
      </c>
      <c r="HC19">
        <v>20.2027</v>
      </c>
      <c r="HD19">
        <v>5.2746399999999998</v>
      </c>
      <c r="HE19">
        <v>12.088900000000001</v>
      </c>
      <c r="HF19">
        <v>5.01335</v>
      </c>
      <c r="HG19">
        <v>3.2919800000000001</v>
      </c>
      <c r="HH19">
        <v>9999</v>
      </c>
      <c r="HI19">
        <v>9999</v>
      </c>
      <c r="HJ19">
        <v>9999</v>
      </c>
      <c r="HK19">
        <v>999.9</v>
      </c>
      <c r="HL19">
        <v>1.87531</v>
      </c>
      <c r="HM19">
        <v>1.87575</v>
      </c>
      <c r="HN19">
        <v>1.8755299999999999</v>
      </c>
      <c r="HO19">
        <v>1.8794299999999999</v>
      </c>
      <c r="HP19">
        <v>1.87286</v>
      </c>
      <c r="HQ19">
        <v>1.8761300000000001</v>
      </c>
      <c r="HR19">
        <v>1.8757999999999999</v>
      </c>
      <c r="HS19">
        <v>1.8771899999999999</v>
      </c>
      <c r="HT19">
        <v>0</v>
      </c>
      <c r="HU19">
        <v>0</v>
      </c>
      <c r="HV19">
        <v>0</v>
      </c>
      <c r="HW19">
        <v>0</v>
      </c>
      <c r="HX19" t="s">
        <v>421</v>
      </c>
      <c r="HY19" t="s">
        <v>422</v>
      </c>
      <c r="HZ19" t="s">
        <v>423</v>
      </c>
      <c r="IA19" t="s">
        <v>424</v>
      </c>
      <c r="IB19" t="s">
        <v>424</v>
      </c>
      <c r="IC19" t="s">
        <v>423</v>
      </c>
      <c r="ID19">
        <v>0</v>
      </c>
      <c r="IE19">
        <v>100</v>
      </c>
      <c r="IF19">
        <v>100</v>
      </c>
      <c r="IG19">
        <v>1.62</v>
      </c>
      <c r="IH19">
        <v>0.30840000000000001</v>
      </c>
      <c r="II19">
        <v>1.2403503038917101</v>
      </c>
      <c r="IJ19">
        <v>8.9576739069318506E-4</v>
      </c>
      <c r="IK19">
        <v>-7.2130504814809596E-7</v>
      </c>
      <c r="IL19">
        <v>1.9987036519832741E-10</v>
      </c>
      <c r="IM19">
        <v>0.30835238095238182</v>
      </c>
      <c r="IN19">
        <v>0</v>
      </c>
      <c r="IO19">
        <v>0</v>
      </c>
      <c r="IP19">
        <v>0</v>
      </c>
      <c r="IQ19">
        <v>1</v>
      </c>
      <c r="IR19">
        <v>2126</v>
      </c>
      <c r="IS19">
        <v>0</v>
      </c>
      <c r="IT19">
        <v>20</v>
      </c>
      <c r="IU19">
        <v>0.8</v>
      </c>
      <c r="IV19">
        <v>0.7</v>
      </c>
      <c r="IW19">
        <v>2.5891099999999998</v>
      </c>
      <c r="IX19">
        <v>2.6000999999999999</v>
      </c>
      <c r="IY19">
        <v>1.69434</v>
      </c>
      <c r="IZ19">
        <v>2.34985</v>
      </c>
      <c r="JA19">
        <v>1.5466299999999999</v>
      </c>
      <c r="JB19">
        <v>2.3974600000000001</v>
      </c>
      <c r="JC19">
        <v>37.9649</v>
      </c>
      <c r="JD19">
        <v>23.763500000000001</v>
      </c>
      <c r="JE19">
        <v>18</v>
      </c>
      <c r="JF19">
        <v>496.11099999999999</v>
      </c>
      <c r="JG19">
        <v>533.20399999999995</v>
      </c>
      <c r="JH19">
        <v>25.253599999999999</v>
      </c>
      <c r="JI19">
        <v>34.948599999999999</v>
      </c>
      <c r="JJ19">
        <v>30.000499999999999</v>
      </c>
      <c r="JK19">
        <v>34.782600000000002</v>
      </c>
      <c r="JL19">
        <v>34.715800000000002</v>
      </c>
      <c r="JM19">
        <v>51.888100000000001</v>
      </c>
      <c r="JN19">
        <v>24.917100000000001</v>
      </c>
      <c r="JO19">
        <v>84.281599999999997</v>
      </c>
      <c r="JP19">
        <v>25.2376</v>
      </c>
      <c r="JQ19">
        <v>1250</v>
      </c>
      <c r="JR19">
        <v>24.456600000000002</v>
      </c>
      <c r="JS19">
        <v>98.727400000000003</v>
      </c>
      <c r="JT19">
        <v>98.667400000000001</v>
      </c>
    </row>
    <row r="20" spans="1:280" x14ac:dyDescent="0.25">
      <c r="A20">
        <v>4</v>
      </c>
      <c r="B20">
        <v>1700147898.5999999</v>
      </c>
      <c r="C20">
        <v>369</v>
      </c>
      <c r="D20" t="s">
        <v>434</v>
      </c>
      <c r="E20" t="s">
        <v>435</v>
      </c>
      <c r="F20" t="s">
        <v>412</v>
      </c>
      <c r="G20" t="s">
        <v>413</v>
      </c>
      <c r="H20" t="s">
        <v>414</v>
      </c>
      <c r="I20">
        <v>1700147898.5999999</v>
      </c>
      <c r="J20">
        <f t="shared" si="0"/>
        <v>2.9413764091167473E-3</v>
      </c>
      <c r="K20">
        <f t="shared" si="1"/>
        <v>2.9413764091167471</v>
      </c>
      <c r="L20">
        <f t="shared" si="2"/>
        <v>54.616757599912958</v>
      </c>
      <c r="M20">
        <f t="shared" si="3"/>
        <v>938.54</v>
      </c>
      <c r="N20">
        <f t="shared" si="4"/>
        <v>456.83844682141392</v>
      </c>
      <c r="O20">
        <f t="shared" si="5"/>
        <v>45.477242692435539</v>
      </c>
      <c r="P20">
        <f t="shared" si="6"/>
        <v>93.429551854780001</v>
      </c>
      <c r="Q20">
        <f t="shared" si="7"/>
        <v>0.19391310942710785</v>
      </c>
      <c r="R20">
        <f t="shared" si="8"/>
        <v>3.0475017585635995</v>
      </c>
      <c r="S20">
        <f t="shared" si="9"/>
        <v>0.1873098955209557</v>
      </c>
      <c r="T20">
        <f t="shared" si="10"/>
        <v>0.11764322503967253</v>
      </c>
      <c r="U20">
        <f t="shared" si="11"/>
        <v>289.55370284756185</v>
      </c>
      <c r="V20">
        <f t="shared" si="12"/>
        <v>30.610192478511223</v>
      </c>
      <c r="W20">
        <f t="shared" si="13"/>
        <v>29.968900000000001</v>
      </c>
      <c r="X20">
        <f t="shared" si="14"/>
        <v>4.2528450033332108</v>
      </c>
      <c r="Y20">
        <f t="shared" si="15"/>
        <v>65.528008562833065</v>
      </c>
      <c r="Z20">
        <f t="shared" si="16"/>
        <v>2.7445615248171</v>
      </c>
      <c r="AA20">
        <f t="shared" si="17"/>
        <v>4.1883792671425581</v>
      </c>
      <c r="AB20">
        <f t="shared" si="18"/>
        <v>1.5082834785161108</v>
      </c>
      <c r="AC20">
        <f t="shared" si="19"/>
        <v>-129.71469964204854</v>
      </c>
      <c r="AD20">
        <f t="shared" si="20"/>
        <v>-43.637260572920468</v>
      </c>
      <c r="AE20">
        <f t="shared" si="21"/>
        <v>-3.1786868052994062</v>
      </c>
      <c r="AF20">
        <f t="shared" si="22"/>
        <v>113.02305582729346</v>
      </c>
      <c r="AG20">
        <v>5</v>
      </c>
      <c r="AH20">
        <v>1</v>
      </c>
      <c r="AI20">
        <f t="shared" si="23"/>
        <v>1</v>
      </c>
      <c r="AJ20">
        <f t="shared" si="24"/>
        <v>0</v>
      </c>
      <c r="AK20">
        <f t="shared" si="25"/>
        <v>52105.963155137011</v>
      </c>
      <c r="AL20" t="s">
        <v>427</v>
      </c>
      <c r="AM20" t="s">
        <v>427</v>
      </c>
      <c r="AN20">
        <v>0</v>
      </c>
      <c r="AO20">
        <v>0</v>
      </c>
      <c r="AP20" t="e">
        <f t="shared" si="26"/>
        <v>#DIV/0!</v>
      </c>
      <c r="AQ20">
        <v>0</v>
      </c>
      <c r="AR20" t="s">
        <v>427</v>
      </c>
      <c r="AS20" t="s">
        <v>427</v>
      </c>
      <c r="AT20">
        <v>0</v>
      </c>
      <c r="AU20">
        <v>0</v>
      </c>
      <c r="AV20" t="e">
        <f t="shared" si="27"/>
        <v>#DIV/0!</v>
      </c>
      <c r="AW20">
        <v>0.5</v>
      </c>
      <c r="AX20">
        <f t="shared" si="28"/>
        <v>1513.1174999210164</v>
      </c>
      <c r="AY20">
        <f t="shared" si="29"/>
        <v>54.616757599912958</v>
      </c>
      <c r="AZ20" t="e">
        <f t="shared" si="30"/>
        <v>#DIV/0!</v>
      </c>
      <c r="BA20">
        <f t="shared" si="31"/>
        <v>3.6095516443874265E-2</v>
      </c>
      <c r="BB20" t="e">
        <f t="shared" si="32"/>
        <v>#DIV/0!</v>
      </c>
      <c r="BC20" t="e">
        <f t="shared" si="33"/>
        <v>#DIV/0!</v>
      </c>
      <c r="BD20" t="s">
        <v>427</v>
      </c>
      <c r="BE20">
        <v>0</v>
      </c>
      <c r="BF20" t="e">
        <f t="shared" si="34"/>
        <v>#DIV/0!</v>
      </c>
      <c r="BG20" t="e">
        <f t="shared" si="35"/>
        <v>#DIV/0!</v>
      </c>
      <c r="BH20" t="e">
        <f t="shared" si="36"/>
        <v>#DIV/0!</v>
      </c>
      <c r="BI20" t="e">
        <f t="shared" si="37"/>
        <v>#DIV/0!</v>
      </c>
      <c r="BJ20" t="e">
        <f t="shared" si="38"/>
        <v>#DIV/0!</v>
      </c>
      <c r="BK20" t="e">
        <f t="shared" si="39"/>
        <v>#DIV/0!</v>
      </c>
      <c r="BL20" t="e">
        <f t="shared" si="40"/>
        <v>#DIV/0!</v>
      </c>
      <c r="BM20" t="e">
        <f t="shared" si="41"/>
        <v>#DIV/0!</v>
      </c>
      <c r="BN20">
        <v>25</v>
      </c>
      <c r="BO20">
        <v>290.00000000000011</v>
      </c>
      <c r="BP20">
        <v>816.48</v>
      </c>
      <c r="BQ20">
        <v>285</v>
      </c>
      <c r="BR20">
        <v>7140.99</v>
      </c>
      <c r="BS20">
        <v>818.59</v>
      </c>
      <c r="BT20">
        <v>-2.11</v>
      </c>
      <c r="BU20">
        <v>300.00000000000011</v>
      </c>
      <c r="BV20">
        <v>38.200000000000003</v>
      </c>
      <c r="BW20">
        <v>914.57468698310163</v>
      </c>
      <c r="BX20">
        <v>1.485562850666464</v>
      </c>
      <c r="BY20">
        <v>-68.542296180870096</v>
      </c>
      <c r="BZ20">
        <v>0.88918386031837582</v>
      </c>
      <c r="CA20">
        <v>0.99530989896451805</v>
      </c>
      <c r="CB20">
        <v>-7.0473399332591728E-3</v>
      </c>
      <c r="CC20">
        <v>289.99999999999989</v>
      </c>
      <c r="CD20">
        <v>827.65</v>
      </c>
      <c r="CE20">
        <v>845</v>
      </c>
      <c r="CF20">
        <v>7135.45</v>
      </c>
      <c r="CG20">
        <v>818.52</v>
      </c>
      <c r="CH20">
        <v>9.1300000000000008</v>
      </c>
      <c r="CV20">
        <f t="shared" si="42"/>
        <v>1799.92</v>
      </c>
      <c r="CW20">
        <f t="shared" si="43"/>
        <v>1513.1174999210164</v>
      </c>
      <c r="CX20">
        <f t="shared" si="44"/>
        <v>0.84065819587593693</v>
      </c>
      <c r="CY20">
        <f t="shared" si="45"/>
        <v>0.16087031804055837</v>
      </c>
      <c r="CZ20">
        <v>5.36</v>
      </c>
      <c r="DA20">
        <v>0.5</v>
      </c>
      <c r="DB20" t="s">
        <v>418</v>
      </c>
      <c r="DC20">
        <v>2</v>
      </c>
      <c r="DD20">
        <v>1700147898.5999999</v>
      </c>
      <c r="DE20">
        <v>938.54</v>
      </c>
      <c r="DF20">
        <v>1000.02</v>
      </c>
      <c r="DG20">
        <v>27.5703</v>
      </c>
      <c r="DH20">
        <v>24.505500000000001</v>
      </c>
      <c r="DI20">
        <v>936.93600000000004</v>
      </c>
      <c r="DJ20">
        <v>27.258900000000001</v>
      </c>
      <c r="DK20">
        <v>500.23200000000003</v>
      </c>
      <c r="DL20">
        <v>99.447400000000002</v>
      </c>
      <c r="DM20">
        <v>0.100357</v>
      </c>
      <c r="DN20">
        <v>29.703299999999999</v>
      </c>
      <c r="DO20">
        <v>29.968900000000001</v>
      </c>
      <c r="DP20">
        <v>999.9</v>
      </c>
      <c r="DQ20">
        <v>0</v>
      </c>
      <c r="DR20">
        <v>0</v>
      </c>
      <c r="DS20">
        <v>9998.1200000000008</v>
      </c>
      <c r="DT20">
        <v>0</v>
      </c>
      <c r="DU20">
        <v>404.04</v>
      </c>
      <c r="DV20">
        <v>-61.481499999999997</v>
      </c>
      <c r="DW20">
        <v>965.149</v>
      </c>
      <c r="DX20">
        <v>1025.1400000000001</v>
      </c>
      <c r="DY20">
        <v>3.0647799999999998</v>
      </c>
      <c r="DZ20">
        <v>1000.02</v>
      </c>
      <c r="EA20">
        <v>24.505500000000001</v>
      </c>
      <c r="EB20">
        <v>2.7417899999999999</v>
      </c>
      <c r="EC20">
        <v>2.4370099999999999</v>
      </c>
      <c r="ED20">
        <v>22.537800000000001</v>
      </c>
      <c r="EE20">
        <v>20.611799999999999</v>
      </c>
      <c r="EF20">
        <v>1799.92</v>
      </c>
      <c r="EG20">
        <v>0.97799999999999998</v>
      </c>
      <c r="EH20">
        <v>2.20003E-2</v>
      </c>
      <c r="EI20">
        <v>0</v>
      </c>
      <c r="EJ20">
        <v>582.79600000000005</v>
      </c>
      <c r="EK20">
        <v>5.0001199999999999</v>
      </c>
      <c r="EL20">
        <v>11247.7</v>
      </c>
      <c r="EM20">
        <v>15629.3</v>
      </c>
      <c r="EN20">
        <v>51.5</v>
      </c>
      <c r="EO20">
        <v>52.436999999999998</v>
      </c>
      <c r="EP20">
        <v>52.125</v>
      </c>
      <c r="EQ20">
        <v>52.436999999999998</v>
      </c>
      <c r="ER20">
        <v>53</v>
      </c>
      <c r="ES20">
        <v>1755.43</v>
      </c>
      <c r="ET20">
        <v>39.49</v>
      </c>
      <c r="EU20">
        <v>0</v>
      </c>
      <c r="EV20">
        <v>105.7999999523163</v>
      </c>
      <c r="EW20">
        <v>0</v>
      </c>
      <c r="EX20">
        <v>582.82092</v>
      </c>
      <c r="EY20">
        <v>-0.36030770081101737</v>
      </c>
      <c r="EZ20">
        <v>-8.4538461185433231</v>
      </c>
      <c r="FA20">
        <v>11251.144</v>
      </c>
      <c r="FB20">
        <v>15</v>
      </c>
      <c r="FC20">
        <v>1700147862.0999999</v>
      </c>
      <c r="FD20" t="s">
        <v>436</v>
      </c>
      <c r="FE20">
        <v>1700147862.0999999</v>
      </c>
      <c r="FF20">
        <v>1700147859.5999999</v>
      </c>
      <c r="FG20">
        <v>6</v>
      </c>
      <c r="FH20">
        <v>-7.0000000000000001E-3</v>
      </c>
      <c r="FI20">
        <v>3.0000000000000001E-3</v>
      </c>
      <c r="FJ20">
        <v>1.607</v>
      </c>
      <c r="FK20">
        <v>0.311</v>
      </c>
      <c r="FL20">
        <v>1000</v>
      </c>
      <c r="FM20">
        <v>24</v>
      </c>
      <c r="FN20">
        <v>0.05</v>
      </c>
      <c r="FO20">
        <v>0.04</v>
      </c>
      <c r="FP20">
        <v>54.59498927184702</v>
      </c>
      <c r="FQ20">
        <v>-0.32400449399528058</v>
      </c>
      <c r="FR20">
        <v>7.0988884870402308E-2</v>
      </c>
      <c r="FS20">
        <v>1</v>
      </c>
      <c r="FT20">
        <v>0.18878110728346351</v>
      </c>
      <c r="FU20">
        <v>4.4540773171191657E-2</v>
      </c>
      <c r="FV20">
        <v>3.372310636305251E-3</v>
      </c>
      <c r="FW20">
        <v>1</v>
      </c>
      <c r="FX20">
        <v>2</v>
      </c>
      <c r="FY20">
        <v>2</v>
      </c>
      <c r="FZ20" t="s">
        <v>420</v>
      </c>
      <c r="GA20">
        <v>2.9137499999999998</v>
      </c>
      <c r="GB20">
        <v>2.7513399999999999</v>
      </c>
      <c r="GC20">
        <v>0.16587199999999999</v>
      </c>
      <c r="GD20">
        <v>0.17544699999999999</v>
      </c>
      <c r="GE20">
        <v>0.12651799999999999</v>
      </c>
      <c r="GF20">
        <v>0.119048</v>
      </c>
      <c r="GG20">
        <v>25809.7</v>
      </c>
      <c r="GH20">
        <v>25403.7</v>
      </c>
      <c r="GI20">
        <v>28189</v>
      </c>
      <c r="GJ20">
        <v>28177.8</v>
      </c>
      <c r="GK20">
        <v>33555.1</v>
      </c>
      <c r="GL20">
        <v>34661.4</v>
      </c>
      <c r="GM20">
        <v>42347.4</v>
      </c>
      <c r="GN20">
        <v>43791.9</v>
      </c>
      <c r="GO20">
        <v>1.7493700000000001</v>
      </c>
      <c r="GP20">
        <v>1.93937</v>
      </c>
      <c r="GQ20">
        <v>2.42367E-2</v>
      </c>
      <c r="GR20">
        <v>0</v>
      </c>
      <c r="GS20">
        <v>29.574400000000001</v>
      </c>
      <c r="GT20">
        <v>999.9</v>
      </c>
      <c r="GU20">
        <v>60.9</v>
      </c>
      <c r="GV20">
        <v>33</v>
      </c>
      <c r="GW20">
        <v>30.9375</v>
      </c>
      <c r="GX20">
        <v>61.366399999999999</v>
      </c>
      <c r="GY20">
        <v>29.182700000000001</v>
      </c>
      <c r="GZ20">
        <v>1</v>
      </c>
      <c r="HA20">
        <v>0.62195900000000004</v>
      </c>
      <c r="HB20">
        <v>4.3985900000000004</v>
      </c>
      <c r="HC20">
        <v>20.2133</v>
      </c>
      <c r="HD20">
        <v>5.2765899999999997</v>
      </c>
      <c r="HE20">
        <v>12.0886</v>
      </c>
      <c r="HF20">
        <v>5.0132500000000002</v>
      </c>
      <c r="HG20">
        <v>3.2919499999999999</v>
      </c>
      <c r="HH20">
        <v>9999</v>
      </c>
      <c r="HI20">
        <v>9999</v>
      </c>
      <c r="HJ20">
        <v>9999</v>
      </c>
      <c r="HK20">
        <v>999.9</v>
      </c>
      <c r="HL20">
        <v>1.8757699999999999</v>
      </c>
      <c r="HM20">
        <v>1.87622</v>
      </c>
      <c r="HN20">
        <v>1.8760300000000001</v>
      </c>
      <c r="HO20">
        <v>1.8798999999999999</v>
      </c>
      <c r="HP20">
        <v>1.87341</v>
      </c>
      <c r="HQ20">
        <v>1.87663</v>
      </c>
      <c r="HR20">
        <v>1.87635</v>
      </c>
      <c r="HS20">
        <v>1.8777299999999999</v>
      </c>
      <c r="HT20">
        <v>0</v>
      </c>
      <c r="HU20">
        <v>0</v>
      </c>
      <c r="HV20">
        <v>0</v>
      </c>
      <c r="HW20">
        <v>0</v>
      </c>
      <c r="HX20" t="s">
        <v>421</v>
      </c>
      <c r="HY20" t="s">
        <v>422</v>
      </c>
      <c r="HZ20" t="s">
        <v>423</v>
      </c>
      <c r="IA20" t="s">
        <v>424</v>
      </c>
      <c r="IB20" t="s">
        <v>424</v>
      </c>
      <c r="IC20" t="s">
        <v>423</v>
      </c>
      <c r="ID20">
        <v>0</v>
      </c>
      <c r="IE20">
        <v>100</v>
      </c>
      <c r="IF20">
        <v>100</v>
      </c>
      <c r="IG20">
        <v>1.6040000000000001</v>
      </c>
      <c r="IH20">
        <v>0.31140000000000001</v>
      </c>
      <c r="II20">
        <v>1.2332465892349309</v>
      </c>
      <c r="IJ20">
        <v>8.9576739069318506E-4</v>
      </c>
      <c r="IK20">
        <v>-7.2130504814809596E-7</v>
      </c>
      <c r="IL20">
        <v>1.9987036519832741E-10</v>
      </c>
      <c r="IM20">
        <v>0.31140000000000262</v>
      </c>
      <c r="IN20">
        <v>0</v>
      </c>
      <c r="IO20">
        <v>0</v>
      </c>
      <c r="IP20">
        <v>0</v>
      </c>
      <c r="IQ20">
        <v>1</v>
      </c>
      <c r="IR20">
        <v>2126</v>
      </c>
      <c r="IS20">
        <v>0</v>
      </c>
      <c r="IT20">
        <v>20</v>
      </c>
      <c r="IU20">
        <v>0.6</v>
      </c>
      <c r="IV20">
        <v>0.7</v>
      </c>
      <c r="IW20">
        <v>2.1594199999999999</v>
      </c>
      <c r="IX20">
        <v>2.6159699999999999</v>
      </c>
      <c r="IY20">
        <v>1.69434</v>
      </c>
      <c r="IZ20">
        <v>2.35107</v>
      </c>
      <c r="JA20">
        <v>1.5466299999999999</v>
      </c>
      <c r="JB20">
        <v>2.4523899999999998</v>
      </c>
      <c r="JC20">
        <v>38.550400000000003</v>
      </c>
      <c r="JD20">
        <v>23.772300000000001</v>
      </c>
      <c r="JE20">
        <v>18</v>
      </c>
      <c r="JF20">
        <v>496.54899999999998</v>
      </c>
      <c r="JG20">
        <v>531.28200000000004</v>
      </c>
      <c r="JH20">
        <v>25.2532</v>
      </c>
      <c r="JI20">
        <v>34.961399999999998</v>
      </c>
      <c r="JJ20">
        <v>30.000299999999999</v>
      </c>
      <c r="JK20">
        <v>34.810099999999998</v>
      </c>
      <c r="JL20">
        <v>34.745399999999997</v>
      </c>
      <c r="JM20">
        <v>43.288800000000002</v>
      </c>
      <c r="JN20">
        <v>24.971299999999999</v>
      </c>
      <c r="JO20">
        <v>83.284199999999998</v>
      </c>
      <c r="JP20">
        <v>25.270499999999998</v>
      </c>
      <c r="JQ20">
        <v>1000</v>
      </c>
      <c r="JR20">
        <v>24.453299999999999</v>
      </c>
      <c r="JS20">
        <v>98.739099999999993</v>
      </c>
      <c r="JT20">
        <v>98.674000000000007</v>
      </c>
    </row>
    <row r="21" spans="1:280" x14ac:dyDescent="0.25">
      <c r="A21">
        <v>5</v>
      </c>
      <c r="B21">
        <v>1700148054.5999999</v>
      </c>
      <c r="C21">
        <v>525</v>
      </c>
      <c r="D21" t="s">
        <v>437</v>
      </c>
      <c r="E21" t="s">
        <v>438</v>
      </c>
      <c r="F21" t="s">
        <v>412</v>
      </c>
      <c r="G21" t="s">
        <v>413</v>
      </c>
      <c r="H21" t="s">
        <v>414</v>
      </c>
      <c r="I21">
        <v>1700148054.5999999</v>
      </c>
      <c r="J21">
        <f t="shared" si="0"/>
        <v>3.1327068071686777E-3</v>
      </c>
      <c r="K21">
        <f t="shared" si="1"/>
        <v>3.1327068071686779</v>
      </c>
      <c r="L21">
        <f t="shared" si="2"/>
        <v>53.265601234887683</v>
      </c>
      <c r="M21">
        <f t="shared" si="3"/>
        <v>690.56200000000001</v>
      </c>
      <c r="N21">
        <f t="shared" si="4"/>
        <v>247.61007999525395</v>
      </c>
      <c r="O21">
        <f t="shared" si="5"/>
        <v>24.649031788269305</v>
      </c>
      <c r="P21">
        <f t="shared" si="6"/>
        <v>68.743908527864008</v>
      </c>
      <c r="Q21">
        <f t="shared" si="7"/>
        <v>0.20399957427020787</v>
      </c>
      <c r="R21">
        <f t="shared" si="8"/>
        <v>3.0430387586757481</v>
      </c>
      <c r="S21">
        <f t="shared" si="9"/>
        <v>0.19669517300677061</v>
      </c>
      <c r="T21">
        <f t="shared" si="10"/>
        <v>0.12356896492276087</v>
      </c>
      <c r="U21">
        <f t="shared" si="11"/>
        <v>289.57285484757193</v>
      </c>
      <c r="V21">
        <f t="shared" si="12"/>
        <v>30.635360471962006</v>
      </c>
      <c r="W21">
        <f t="shared" si="13"/>
        <v>29.9819</v>
      </c>
      <c r="X21">
        <f t="shared" si="14"/>
        <v>4.2560224054886646</v>
      </c>
      <c r="Y21">
        <f t="shared" si="15"/>
        <v>64.820158858150904</v>
      </c>
      <c r="Z21">
        <f t="shared" si="16"/>
        <v>2.7261555553288002</v>
      </c>
      <c r="AA21">
        <f t="shared" si="17"/>
        <v>4.2057218053022334</v>
      </c>
      <c r="AB21">
        <f t="shared" si="18"/>
        <v>1.5298668501598645</v>
      </c>
      <c r="AC21">
        <f t="shared" si="19"/>
        <v>-138.15237019613869</v>
      </c>
      <c r="AD21">
        <f t="shared" si="20"/>
        <v>-33.926843989338131</v>
      </c>
      <c r="AE21">
        <f t="shared" si="21"/>
        <v>-2.4760110217755011</v>
      </c>
      <c r="AF21">
        <f t="shared" si="22"/>
        <v>115.01762964031963</v>
      </c>
      <c r="AG21">
        <v>5</v>
      </c>
      <c r="AH21">
        <v>1</v>
      </c>
      <c r="AI21">
        <f t="shared" si="23"/>
        <v>1</v>
      </c>
      <c r="AJ21">
        <f t="shared" si="24"/>
        <v>0</v>
      </c>
      <c r="AK21">
        <f t="shared" si="25"/>
        <v>51974.97451252849</v>
      </c>
      <c r="AL21" t="s">
        <v>415</v>
      </c>
      <c r="AM21">
        <v>6960.3</v>
      </c>
      <c r="AN21">
        <v>244.8124</v>
      </c>
      <c r="AO21">
        <v>892.86711584811997</v>
      </c>
      <c r="AP21">
        <f t="shared" si="26"/>
        <v>0.72581317459826411</v>
      </c>
      <c r="AQ21">
        <v>-0.43209471141234851</v>
      </c>
      <c r="AR21" t="s">
        <v>439</v>
      </c>
      <c r="AS21">
        <v>7139.74</v>
      </c>
      <c r="AT21">
        <v>582.0684</v>
      </c>
      <c r="AU21">
        <v>880.73164083129473</v>
      </c>
      <c r="AV21">
        <f t="shared" si="27"/>
        <v>0.33910810851463902</v>
      </c>
      <c r="AW21">
        <v>0.5</v>
      </c>
      <c r="AX21">
        <f t="shared" si="28"/>
        <v>1513.2182999210215</v>
      </c>
      <c r="AY21">
        <f t="shared" si="29"/>
        <v>53.265601234887683</v>
      </c>
      <c r="AZ21">
        <f t="shared" si="30"/>
        <v>256.57229772797768</v>
      </c>
      <c r="BA21">
        <f t="shared" si="31"/>
        <v>3.5485756383664302E-2</v>
      </c>
      <c r="BB21">
        <f t="shared" si="32"/>
        <v>1.3778856639430995E-2</v>
      </c>
      <c r="BC21">
        <f t="shared" si="33"/>
        <v>243.89098450431698</v>
      </c>
      <c r="BD21" t="s">
        <v>440</v>
      </c>
      <c r="BE21">
        <v>439.87</v>
      </c>
      <c r="BF21">
        <f t="shared" si="34"/>
        <v>439.87</v>
      </c>
      <c r="BG21">
        <f t="shared" si="35"/>
        <v>0.50056296423639257</v>
      </c>
      <c r="BH21">
        <f t="shared" si="36"/>
        <v>0.67745345289767389</v>
      </c>
      <c r="BI21">
        <f t="shared" si="37"/>
        <v>2.6789298634064592E-2</v>
      </c>
      <c r="BJ21">
        <f t="shared" si="38"/>
        <v>0.46965592744272411</v>
      </c>
      <c r="BK21">
        <f t="shared" si="39"/>
        <v>1.8726003715509334E-2</v>
      </c>
      <c r="BL21">
        <f t="shared" si="40"/>
        <v>0.51195263361848853</v>
      </c>
      <c r="BM21">
        <f t="shared" si="41"/>
        <v>0.48804736638151147</v>
      </c>
      <c r="BN21">
        <v>27</v>
      </c>
      <c r="BO21">
        <v>290.00000000000011</v>
      </c>
      <c r="BP21">
        <v>798.3</v>
      </c>
      <c r="BQ21">
        <v>295</v>
      </c>
      <c r="BR21">
        <v>7139.74</v>
      </c>
      <c r="BS21">
        <v>799.84</v>
      </c>
      <c r="BT21">
        <v>-1.54</v>
      </c>
      <c r="BU21">
        <v>300.00000000000011</v>
      </c>
      <c r="BV21">
        <v>38.200000000000003</v>
      </c>
      <c r="BW21">
        <v>880.73164083129473</v>
      </c>
      <c r="BX21">
        <v>1.724824641504515</v>
      </c>
      <c r="BY21">
        <v>-57.752145411022873</v>
      </c>
      <c r="BZ21">
        <v>1.0322196996569331</v>
      </c>
      <c r="CA21">
        <v>0.99113459240930746</v>
      </c>
      <c r="CB21">
        <v>-7.0462349276974399E-3</v>
      </c>
      <c r="CC21">
        <v>289.99999999999989</v>
      </c>
      <c r="CD21">
        <v>810.17</v>
      </c>
      <c r="CE21">
        <v>845</v>
      </c>
      <c r="CF21">
        <v>7134.18</v>
      </c>
      <c r="CG21">
        <v>799.78</v>
      </c>
      <c r="CH21">
        <v>10.39</v>
      </c>
      <c r="CV21">
        <f t="shared" si="42"/>
        <v>1800.04</v>
      </c>
      <c r="CW21">
        <f t="shared" si="43"/>
        <v>1513.2182999210215</v>
      </c>
      <c r="CX21">
        <f t="shared" si="44"/>
        <v>0.84065815199718985</v>
      </c>
      <c r="CY21">
        <f t="shared" si="45"/>
        <v>0.16087023335457654</v>
      </c>
      <c r="CZ21">
        <v>5.36</v>
      </c>
      <c r="DA21">
        <v>0.5</v>
      </c>
      <c r="DB21" t="s">
        <v>418</v>
      </c>
      <c r="DC21">
        <v>2</v>
      </c>
      <c r="DD21">
        <v>1700148054.5999999</v>
      </c>
      <c r="DE21">
        <v>690.56200000000001</v>
      </c>
      <c r="DF21">
        <v>749.971</v>
      </c>
      <c r="DG21">
        <v>27.385400000000001</v>
      </c>
      <c r="DH21">
        <v>24.119700000000002</v>
      </c>
      <c r="DI21">
        <v>688.98400000000004</v>
      </c>
      <c r="DJ21">
        <v>27.076799999999999</v>
      </c>
      <c r="DK21">
        <v>500.09100000000001</v>
      </c>
      <c r="DL21">
        <v>99.447500000000005</v>
      </c>
      <c r="DM21">
        <v>0.100272</v>
      </c>
      <c r="DN21">
        <v>29.775099999999998</v>
      </c>
      <c r="DO21">
        <v>29.9819</v>
      </c>
      <c r="DP21">
        <v>999.9</v>
      </c>
      <c r="DQ21">
        <v>0</v>
      </c>
      <c r="DR21">
        <v>0</v>
      </c>
      <c r="DS21">
        <v>9974.3799999999992</v>
      </c>
      <c r="DT21">
        <v>0</v>
      </c>
      <c r="DU21">
        <v>363.45699999999999</v>
      </c>
      <c r="DV21">
        <v>-59.408999999999999</v>
      </c>
      <c r="DW21">
        <v>710.005</v>
      </c>
      <c r="DX21">
        <v>768.50699999999995</v>
      </c>
      <c r="DY21">
        <v>3.2656399999999999</v>
      </c>
      <c r="DZ21">
        <v>749.971</v>
      </c>
      <c r="EA21">
        <v>24.119700000000002</v>
      </c>
      <c r="EB21">
        <v>2.7234099999999999</v>
      </c>
      <c r="EC21">
        <v>2.3986499999999999</v>
      </c>
      <c r="ED21">
        <v>22.427</v>
      </c>
      <c r="EE21">
        <v>20.354600000000001</v>
      </c>
      <c r="EF21">
        <v>1800.04</v>
      </c>
      <c r="EG21">
        <v>0.97800299999999996</v>
      </c>
      <c r="EH21">
        <v>2.19969E-2</v>
      </c>
      <c r="EI21">
        <v>0</v>
      </c>
      <c r="EJ21">
        <v>582.40300000000002</v>
      </c>
      <c r="EK21">
        <v>5.0001199999999999</v>
      </c>
      <c r="EL21">
        <v>11251.7</v>
      </c>
      <c r="EM21">
        <v>15630.3</v>
      </c>
      <c r="EN21">
        <v>51.686999999999998</v>
      </c>
      <c r="EO21">
        <v>52.936999999999998</v>
      </c>
      <c r="EP21">
        <v>52.625</v>
      </c>
      <c r="EQ21">
        <v>52.75</v>
      </c>
      <c r="ER21">
        <v>53.186999999999998</v>
      </c>
      <c r="ES21">
        <v>1755.55</v>
      </c>
      <c r="ET21">
        <v>39.49</v>
      </c>
      <c r="EU21">
        <v>0</v>
      </c>
      <c r="EV21">
        <v>261.79999995231628</v>
      </c>
      <c r="EW21">
        <v>0</v>
      </c>
      <c r="EX21">
        <v>582.0684</v>
      </c>
      <c r="EY21">
        <v>-0.21099999904959069</v>
      </c>
      <c r="EZ21">
        <v>-23.053846164996859</v>
      </c>
      <c r="FA21">
        <v>11254.036</v>
      </c>
      <c r="FB21">
        <v>15</v>
      </c>
      <c r="FC21">
        <v>1700147968.0999999</v>
      </c>
      <c r="FD21" t="s">
        <v>441</v>
      </c>
      <c r="FE21">
        <v>1700147968.0999999</v>
      </c>
      <c r="FF21">
        <v>1700147961.5999999</v>
      </c>
      <c r="FG21">
        <v>7</v>
      </c>
      <c r="FH21">
        <v>4.0000000000000001E-3</v>
      </c>
      <c r="FI21">
        <v>-3.0000000000000001E-3</v>
      </c>
      <c r="FJ21">
        <v>1.587</v>
      </c>
      <c r="FK21">
        <v>0.309</v>
      </c>
      <c r="FL21">
        <v>750</v>
      </c>
      <c r="FM21">
        <v>24</v>
      </c>
      <c r="FN21">
        <v>0.03</v>
      </c>
      <c r="FO21">
        <v>0.04</v>
      </c>
      <c r="FP21">
        <v>53.224586340198456</v>
      </c>
      <c r="FQ21">
        <v>0.69802307447669543</v>
      </c>
      <c r="FR21">
        <v>6.1920781420794331E-2</v>
      </c>
      <c r="FS21">
        <v>1</v>
      </c>
      <c r="FT21">
        <v>0.2015712059933096</v>
      </c>
      <c r="FU21">
        <v>2.2405150165076791E-2</v>
      </c>
      <c r="FV21">
        <v>1.8909062702107109E-3</v>
      </c>
      <c r="FW21">
        <v>1</v>
      </c>
      <c r="FX21">
        <v>2</v>
      </c>
      <c r="FY21">
        <v>2</v>
      </c>
      <c r="FZ21" t="s">
        <v>420</v>
      </c>
      <c r="GA21">
        <v>2.9133200000000001</v>
      </c>
      <c r="GB21">
        <v>2.7510500000000002</v>
      </c>
      <c r="GC21">
        <v>0.13505700000000001</v>
      </c>
      <c r="GD21">
        <v>0.145235</v>
      </c>
      <c r="GE21">
        <v>0.125919</v>
      </c>
      <c r="GF21">
        <v>0.117732</v>
      </c>
      <c r="GG21">
        <v>26762.7</v>
      </c>
      <c r="GH21">
        <v>26331.7</v>
      </c>
      <c r="GI21">
        <v>28187.4</v>
      </c>
      <c r="GJ21">
        <v>28173.5</v>
      </c>
      <c r="GK21">
        <v>33576.300000000003</v>
      </c>
      <c r="GL21">
        <v>34709.4</v>
      </c>
      <c r="GM21">
        <v>42344.800000000003</v>
      </c>
      <c r="GN21">
        <v>43786.8</v>
      </c>
      <c r="GO21">
        <v>1.74875</v>
      </c>
      <c r="GP21">
        <v>1.93397</v>
      </c>
      <c r="GQ21">
        <v>2.2709400000000001E-2</v>
      </c>
      <c r="GR21">
        <v>0</v>
      </c>
      <c r="GS21">
        <v>29.612200000000001</v>
      </c>
      <c r="GT21">
        <v>999.9</v>
      </c>
      <c r="GU21">
        <v>59.6</v>
      </c>
      <c r="GV21">
        <v>33.5</v>
      </c>
      <c r="GW21">
        <v>31.1416</v>
      </c>
      <c r="GX21">
        <v>61.906399999999998</v>
      </c>
      <c r="GY21">
        <v>28.874199999999998</v>
      </c>
      <c r="GZ21">
        <v>1</v>
      </c>
      <c r="HA21">
        <v>0.62532299999999996</v>
      </c>
      <c r="HB21">
        <v>3.71577</v>
      </c>
      <c r="HC21">
        <v>20.227799999999998</v>
      </c>
      <c r="HD21">
        <v>5.2716500000000002</v>
      </c>
      <c r="HE21">
        <v>12.087999999999999</v>
      </c>
      <c r="HF21">
        <v>5.0135500000000004</v>
      </c>
      <c r="HG21">
        <v>3.2919999999999998</v>
      </c>
      <c r="HH21">
        <v>9999</v>
      </c>
      <c r="HI21">
        <v>9999</v>
      </c>
      <c r="HJ21">
        <v>9999</v>
      </c>
      <c r="HK21">
        <v>999.9</v>
      </c>
      <c r="HL21">
        <v>1.8760600000000001</v>
      </c>
      <c r="HM21">
        <v>1.87652</v>
      </c>
      <c r="HN21">
        <v>1.8762700000000001</v>
      </c>
      <c r="HO21">
        <v>1.88019</v>
      </c>
      <c r="HP21">
        <v>1.8736299999999999</v>
      </c>
      <c r="HQ21">
        <v>1.87683</v>
      </c>
      <c r="HR21">
        <v>1.8765799999999999</v>
      </c>
      <c r="HS21">
        <v>1.8779300000000001</v>
      </c>
      <c r="HT21">
        <v>0</v>
      </c>
      <c r="HU21">
        <v>0</v>
      </c>
      <c r="HV21">
        <v>0</v>
      </c>
      <c r="HW21">
        <v>0</v>
      </c>
      <c r="HX21" t="s">
        <v>421</v>
      </c>
      <c r="HY21" t="s">
        <v>422</v>
      </c>
      <c r="HZ21" t="s">
        <v>423</v>
      </c>
      <c r="IA21" t="s">
        <v>424</v>
      </c>
      <c r="IB21" t="s">
        <v>424</v>
      </c>
      <c r="IC21" t="s">
        <v>423</v>
      </c>
      <c r="ID21">
        <v>0</v>
      </c>
      <c r="IE21">
        <v>100</v>
      </c>
      <c r="IF21">
        <v>100</v>
      </c>
      <c r="IG21">
        <v>1.5780000000000001</v>
      </c>
      <c r="IH21">
        <v>0.30859999999999999</v>
      </c>
      <c r="II21">
        <v>1.236977081111537</v>
      </c>
      <c r="IJ21">
        <v>8.9576739069318506E-4</v>
      </c>
      <c r="IK21">
        <v>-7.2130504814809596E-7</v>
      </c>
      <c r="IL21">
        <v>1.9987036519832741E-10</v>
      </c>
      <c r="IM21">
        <v>0.30855000000000388</v>
      </c>
      <c r="IN21">
        <v>0</v>
      </c>
      <c r="IO21">
        <v>0</v>
      </c>
      <c r="IP21">
        <v>0</v>
      </c>
      <c r="IQ21">
        <v>1</v>
      </c>
      <c r="IR21">
        <v>2126</v>
      </c>
      <c r="IS21">
        <v>0</v>
      </c>
      <c r="IT21">
        <v>20</v>
      </c>
      <c r="IU21">
        <v>1.4</v>
      </c>
      <c r="IV21">
        <v>1.6</v>
      </c>
      <c r="IW21">
        <v>1.7077599999999999</v>
      </c>
      <c r="IX21">
        <v>2.6232899999999999</v>
      </c>
      <c r="IY21">
        <v>1.69434</v>
      </c>
      <c r="IZ21">
        <v>2.35107</v>
      </c>
      <c r="JA21">
        <v>1.5466299999999999</v>
      </c>
      <c r="JB21">
        <v>2.3168899999999999</v>
      </c>
      <c r="JC21">
        <v>39.541600000000003</v>
      </c>
      <c r="JD21">
        <v>23.754799999999999</v>
      </c>
      <c r="JE21">
        <v>18</v>
      </c>
      <c r="JF21">
        <v>496.52699999999999</v>
      </c>
      <c r="JG21">
        <v>527.71900000000005</v>
      </c>
      <c r="JH21">
        <v>25.825099999999999</v>
      </c>
      <c r="JI21">
        <v>35.000399999999999</v>
      </c>
      <c r="JJ21">
        <v>30.000299999999999</v>
      </c>
      <c r="JK21">
        <v>34.865600000000001</v>
      </c>
      <c r="JL21">
        <v>34.804900000000004</v>
      </c>
      <c r="JM21">
        <v>34.245100000000001</v>
      </c>
      <c r="JN21">
        <v>26.022300000000001</v>
      </c>
      <c r="JO21">
        <v>81.531400000000005</v>
      </c>
      <c r="JP21">
        <v>25.834399999999999</v>
      </c>
      <c r="JQ21">
        <v>750</v>
      </c>
      <c r="JR21">
        <v>24.131499999999999</v>
      </c>
      <c r="JS21">
        <v>98.733199999999997</v>
      </c>
      <c r="JT21">
        <v>98.661199999999994</v>
      </c>
    </row>
    <row r="22" spans="1:280" x14ac:dyDescent="0.25">
      <c r="A22">
        <v>6</v>
      </c>
      <c r="B22">
        <v>1700148239.0999999</v>
      </c>
      <c r="C22">
        <v>709.5</v>
      </c>
      <c r="D22" t="s">
        <v>442</v>
      </c>
      <c r="E22" t="s">
        <v>443</v>
      </c>
      <c r="F22" t="s">
        <v>412</v>
      </c>
      <c r="G22" t="s">
        <v>413</v>
      </c>
      <c r="H22" t="s">
        <v>414</v>
      </c>
      <c r="I22">
        <v>1700148239.0999999</v>
      </c>
      <c r="J22">
        <f t="shared" si="0"/>
        <v>3.5667114905853139E-3</v>
      </c>
      <c r="K22">
        <f t="shared" si="1"/>
        <v>3.5667114905853139</v>
      </c>
      <c r="L22">
        <f t="shared" si="2"/>
        <v>51.873500416559743</v>
      </c>
      <c r="M22">
        <f t="shared" si="3"/>
        <v>542.32899999999995</v>
      </c>
      <c r="N22">
        <f t="shared" si="4"/>
        <v>169.28111832575647</v>
      </c>
      <c r="O22">
        <f t="shared" si="5"/>
        <v>16.853075437660976</v>
      </c>
      <c r="P22">
        <f t="shared" si="6"/>
        <v>53.992504535814987</v>
      </c>
      <c r="Q22">
        <f t="shared" si="7"/>
        <v>0.236321354334248</v>
      </c>
      <c r="R22">
        <f t="shared" si="8"/>
        <v>3.0440329533496735</v>
      </c>
      <c r="S22">
        <f t="shared" si="9"/>
        <v>0.22658145352622694</v>
      </c>
      <c r="T22">
        <f t="shared" si="10"/>
        <v>0.14245504939199741</v>
      </c>
      <c r="U22">
        <f t="shared" si="11"/>
        <v>289.54833584759791</v>
      </c>
      <c r="V22">
        <f t="shared" si="12"/>
        <v>30.577929046542174</v>
      </c>
      <c r="W22">
        <f t="shared" si="13"/>
        <v>29.967099999999999</v>
      </c>
      <c r="X22">
        <f t="shared" si="14"/>
        <v>4.2524052183257499</v>
      </c>
      <c r="Y22">
        <f t="shared" si="15"/>
        <v>64.962494785977938</v>
      </c>
      <c r="Z22">
        <f t="shared" si="16"/>
        <v>2.7402792195279995</v>
      </c>
      <c r="AA22">
        <f t="shared" si="17"/>
        <v>4.2182481269476808</v>
      </c>
      <c r="AB22">
        <f t="shared" si="18"/>
        <v>1.5121259987977504</v>
      </c>
      <c r="AC22">
        <f t="shared" si="19"/>
        <v>-157.29197673481235</v>
      </c>
      <c r="AD22">
        <f t="shared" si="20"/>
        <v>-23.024619612712538</v>
      </c>
      <c r="AE22">
        <f t="shared" si="21"/>
        <v>-1.6801151433942225</v>
      </c>
      <c r="AF22">
        <f t="shared" si="22"/>
        <v>107.55162435667879</v>
      </c>
      <c r="AG22">
        <v>6</v>
      </c>
      <c r="AH22">
        <v>1</v>
      </c>
      <c r="AI22">
        <f t="shared" si="23"/>
        <v>1</v>
      </c>
      <c r="AJ22">
        <f t="shared" si="24"/>
        <v>0</v>
      </c>
      <c r="AK22">
        <f t="shared" si="25"/>
        <v>51992.707908856224</v>
      </c>
      <c r="AL22" t="s">
        <v>415</v>
      </c>
      <c r="AM22">
        <v>6960.3</v>
      </c>
      <c r="AN22">
        <v>244.8124</v>
      </c>
      <c r="AO22">
        <v>892.86711584811997</v>
      </c>
      <c r="AP22">
        <f t="shared" si="26"/>
        <v>0.72581317459826411</v>
      </c>
      <c r="AQ22">
        <v>-0.43209471141234851</v>
      </c>
      <c r="AR22" t="s">
        <v>444</v>
      </c>
      <c r="AS22">
        <v>7139.27</v>
      </c>
      <c r="AT22">
        <v>581.52057692307687</v>
      </c>
      <c r="AU22">
        <v>868.94352131328787</v>
      </c>
      <c r="AV22">
        <f t="shared" si="27"/>
        <v>0.33077287227576191</v>
      </c>
      <c r="AW22">
        <v>0.5</v>
      </c>
      <c r="AX22">
        <f t="shared" si="28"/>
        <v>1513.091999921035</v>
      </c>
      <c r="AY22">
        <f t="shared" si="29"/>
        <v>51.873500416559743</v>
      </c>
      <c r="AZ22">
        <f t="shared" si="30"/>
        <v>250.24489341567883</v>
      </c>
      <c r="BA22">
        <f t="shared" si="31"/>
        <v>3.4568681303385258E-2</v>
      </c>
      <c r="BB22">
        <f t="shared" si="32"/>
        <v>2.7531817601533976E-2</v>
      </c>
      <c r="BC22">
        <f t="shared" si="33"/>
        <v>242.97819124649718</v>
      </c>
      <c r="BD22" t="s">
        <v>445</v>
      </c>
      <c r="BE22">
        <v>435.51</v>
      </c>
      <c r="BF22">
        <f t="shared" si="34"/>
        <v>435.51</v>
      </c>
      <c r="BG22">
        <f t="shared" si="35"/>
        <v>0.49880517051121243</v>
      </c>
      <c r="BH22">
        <f t="shared" si="36"/>
        <v>0.66313040006534307</v>
      </c>
      <c r="BI22">
        <f t="shared" si="37"/>
        <v>5.230834659797156E-2</v>
      </c>
      <c r="BJ22">
        <f t="shared" si="38"/>
        <v>0.46051692436906483</v>
      </c>
      <c r="BK22">
        <f t="shared" si="39"/>
        <v>3.6916010253120198E-2</v>
      </c>
      <c r="BL22">
        <f t="shared" si="40"/>
        <v>0.49662889327243842</v>
      </c>
      <c r="BM22">
        <f t="shared" si="41"/>
        <v>0.50337110672756158</v>
      </c>
      <c r="BN22">
        <v>29</v>
      </c>
      <c r="BO22">
        <v>290.00000000000011</v>
      </c>
      <c r="BP22">
        <v>789.04</v>
      </c>
      <c r="BQ22">
        <v>295</v>
      </c>
      <c r="BR22">
        <v>7139.27</v>
      </c>
      <c r="BS22">
        <v>790.89</v>
      </c>
      <c r="BT22">
        <v>-1.85</v>
      </c>
      <c r="BU22">
        <v>300.00000000000011</v>
      </c>
      <c r="BV22">
        <v>38.200000000000003</v>
      </c>
      <c r="BW22">
        <v>868.94352131328787</v>
      </c>
      <c r="BX22">
        <v>1.1969313648966939</v>
      </c>
      <c r="BY22">
        <v>-55.725131120793918</v>
      </c>
      <c r="BZ22">
        <v>0.71625184692651189</v>
      </c>
      <c r="CA22">
        <v>0.99539549431496477</v>
      </c>
      <c r="CB22">
        <v>-7.0456324805339351E-3</v>
      </c>
      <c r="CC22">
        <v>289.99999999999989</v>
      </c>
      <c r="CD22">
        <v>801.74</v>
      </c>
      <c r="CE22">
        <v>895</v>
      </c>
      <c r="CF22">
        <v>7133.29</v>
      </c>
      <c r="CG22">
        <v>790.82</v>
      </c>
      <c r="CH22">
        <v>10.92</v>
      </c>
      <c r="CV22">
        <f t="shared" si="42"/>
        <v>1799.89</v>
      </c>
      <c r="CW22">
        <f t="shared" si="43"/>
        <v>1513.091999921035</v>
      </c>
      <c r="CX22">
        <f t="shared" si="44"/>
        <v>0.84065804016969647</v>
      </c>
      <c r="CY22">
        <f t="shared" si="45"/>
        <v>0.1608700175275144</v>
      </c>
      <c r="CZ22">
        <v>5.36</v>
      </c>
      <c r="DA22">
        <v>0.5</v>
      </c>
      <c r="DB22" t="s">
        <v>418</v>
      </c>
      <c r="DC22">
        <v>2</v>
      </c>
      <c r="DD22">
        <v>1700148239.0999999</v>
      </c>
      <c r="DE22">
        <v>542.32899999999995</v>
      </c>
      <c r="DF22">
        <v>599.99900000000002</v>
      </c>
      <c r="DG22">
        <v>27.524799999999999</v>
      </c>
      <c r="DH22">
        <v>23.807300000000001</v>
      </c>
      <c r="DI22">
        <v>540.97400000000005</v>
      </c>
      <c r="DJ22">
        <v>27.215900000000001</v>
      </c>
      <c r="DK22">
        <v>500.10399999999998</v>
      </c>
      <c r="DL22">
        <v>99.456599999999995</v>
      </c>
      <c r="DM22">
        <v>0.100135</v>
      </c>
      <c r="DN22">
        <v>29.826799999999999</v>
      </c>
      <c r="DO22">
        <v>29.967099999999999</v>
      </c>
      <c r="DP22">
        <v>999.9</v>
      </c>
      <c r="DQ22">
        <v>0</v>
      </c>
      <c r="DR22">
        <v>0</v>
      </c>
      <c r="DS22">
        <v>9978.75</v>
      </c>
      <c r="DT22">
        <v>0</v>
      </c>
      <c r="DU22">
        <v>287.892</v>
      </c>
      <c r="DV22">
        <v>-57.669600000000003</v>
      </c>
      <c r="DW22">
        <v>557.67999999999995</v>
      </c>
      <c r="DX22">
        <v>614.63199999999995</v>
      </c>
      <c r="DY22">
        <v>3.71759</v>
      </c>
      <c r="DZ22">
        <v>599.99900000000002</v>
      </c>
      <c r="EA22">
        <v>23.807300000000001</v>
      </c>
      <c r="EB22">
        <v>2.73753</v>
      </c>
      <c r="EC22">
        <v>2.3677899999999998</v>
      </c>
      <c r="ED22">
        <v>22.5121</v>
      </c>
      <c r="EE22">
        <v>20.145099999999999</v>
      </c>
      <c r="EF22">
        <v>1799.89</v>
      </c>
      <c r="EG22">
        <v>0.97800299999999996</v>
      </c>
      <c r="EH22">
        <v>2.19969E-2</v>
      </c>
      <c r="EI22">
        <v>0</v>
      </c>
      <c r="EJ22">
        <v>581.48599999999999</v>
      </c>
      <c r="EK22">
        <v>5.0001199999999999</v>
      </c>
      <c r="EL22">
        <v>10836</v>
      </c>
      <c r="EM22">
        <v>15629.1</v>
      </c>
      <c r="EN22">
        <v>51.75</v>
      </c>
      <c r="EO22">
        <v>53.061999999999998</v>
      </c>
      <c r="EP22">
        <v>52.686999999999998</v>
      </c>
      <c r="EQ22">
        <v>52.875</v>
      </c>
      <c r="ER22">
        <v>53.186999999999998</v>
      </c>
      <c r="ES22">
        <v>1755.41</v>
      </c>
      <c r="ET22">
        <v>39.479999999999997</v>
      </c>
      <c r="EU22">
        <v>0</v>
      </c>
      <c r="EV22">
        <v>182.39999985694891</v>
      </c>
      <c r="EW22">
        <v>0</v>
      </c>
      <c r="EX22">
        <v>581.52057692307687</v>
      </c>
      <c r="EY22">
        <v>0.64639317532073293</v>
      </c>
      <c r="EZ22">
        <v>-278.40683753175369</v>
      </c>
      <c r="FA22">
        <v>10868.66153846154</v>
      </c>
      <c r="FB22">
        <v>15</v>
      </c>
      <c r="FC22">
        <v>1700148127.0999999</v>
      </c>
      <c r="FD22" t="s">
        <v>446</v>
      </c>
      <c r="FE22">
        <v>1700148127.0999999</v>
      </c>
      <c r="FF22">
        <v>1700148126.0999999</v>
      </c>
      <c r="FG22">
        <v>8</v>
      </c>
      <c r="FH22">
        <v>-0.187</v>
      </c>
      <c r="FI22">
        <v>0</v>
      </c>
      <c r="FJ22">
        <v>1.371</v>
      </c>
      <c r="FK22">
        <v>0.309</v>
      </c>
      <c r="FL22">
        <v>600</v>
      </c>
      <c r="FM22">
        <v>24</v>
      </c>
      <c r="FN22">
        <v>0.03</v>
      </c>
      <c r="FO22">
        <v>0.03</v>
      </c>
      <c r="FP22">
        <v>51.767724455461831</v>
      </c>
      <c r="FQ22">
        <v>0.67173368317614135</v>
      </c>
      <c r="FR22">
        <v>7.470305973115636E-2</v>
      </c>
      <c r="FS22">
        <v>1</v>
      </c>
      <c r="FT22">
        <v>0.2349795478786765</v>
      </c>
      <c r="FU22">
        <v>9.6126968861250193E-3</v>
      </c>
      <c r="FV22">
        <v>8.6017195244893641E-4</v>
      </c>
      <c r="FW22">
        <v>1</v>
      </c>
      <c r="FX22">
        <v>2</v>
      </c>
      <c r="FY22">
        <v>2</v>
      </c>
      <c r="FZ22" t="s">
        <v>420</v>
      </c>
      <c r="GA22">
        <v>2.9131399999999998</v>
      </c>
      <c r="GB22">
        <v>2.75095</v>
      </c>
      <c r="GC22">
        <v>0.113871</v>
      </c>
      <c r="GD22">
        <v>0.12452199999999999</v>
      </c>
      <c r="GE22">
        <v>0.12634799999999999</v>
      </c>
      <c r="GF22">
        <v>0.116656</v>
      </c>
      <c r="GG22">
        <v>27412.1</v>
      </c>
      <c r="GH22">
        <v>26962.7</v>
      </c>
      <c r="GI22">
        <v>28181.200000000001</v>
      </c>
      <c r="GJ22">
        <v>28166.1</v>
      </c>
      <c r="GK22">
        <v>33552.199999999997</v>
      </c>
      <c r="GL22">
        <v>34744.300000000003</v>
      </c>
      <c r="GM22">
        <v>42334.9</v>
      </c>
      <c r="GN22">
        <v>43776.9</v>
      </c>
      <c r="GO22">
        <v>1.7474499999999999</v>
      </c>
      <c r="GP22">
        <v>1.9272800000000001</v>
      </c>
      <c r="GQ22">
        <v>7.5958700000000002E-3</v>
      </c>
      <c r="GR22">
        <v>0</v>
      </c>
      <c r="GS22">
        <v>29.843399999999999</v>
      </c>
      <c r="GT22">
        <v>999.9</v>
      </c>
      <c r="GU22">
        <v>58</v>
      </c>
      <c r="GV22">
        <v>34</v>
      </c>
      <c r="GW22">
        <v>31.157599999999999</v>
      </c>
      <c r="GX22">
        <v>61.376399999999997</v>
      </c>
      <c r="GY22">
        <v>29.379000000000001</v>
      </c>
      <c r="GZ22">
        <v>1</v>
      </c>
      <c r="HA22">
        <v>0.63671999999999995</v>
      </c>
      <c r="HB22">
        <v>3.5139499999999999</v>
      </c>
      <c r="HC22">
        <v>20.230899999999998</v>
      </c>
      <c r="HD22">
        <v>5.27644</v>
      </c>
      <c r="HE22">
        <v>12.0878</v>
      </c>
      <c r="HF22">
        <v>5.0135500000000004</v>
      </c>
      <c r="HG22">
        <v>3.2919800000000001</v>
      </c>
      <c r="HH22">
        <v>9999</v>
      </c>
      <c r="HI22">
        <v>9999</v>
      </c>
      <c r="HJ22">
        <v>9999</v>
      </c>
      <c r="HK22">
        <v>999.9</v>
      </c>
      <c r="HL22">
        <v>1.8762099999999999</v>
      </c>
      <c r="HM22">
        <v>1.8766700000000001</v>
      </c>
      <c r="HN22">
        <v>1.87639</v>
      </c>
      <c r="HO22">
        <v>1.88032</v>
      </c>
      <c r="HP22">
        <v>1.87378</v>
      </c>
      <c r="HQ22">
        <v>1.8769800000000001</v>
      </c>
      <c r="HR22">
        <v>1.8767100000000001</v>
      </c>
      <c r="HS22">
        <v>1.87808</v>
      </c>
      <c r="HT22">
        <v>0</v>
      </c>
      <c r="HU22">
        <v>0</v>
      </c>
      <c r="HV22">
        <v>0</v>
      </c>
      <c r="HW22">
        <v>0</v>
      </c>
      <c r="HX22" t="s">
        <v>421</v>
      </c>
      <c r="HY22" t="s">
        <v>422</v>
      </c>
      <c r="HZ22" t="s">
        <v>423</v>
      </c>
      <c r="IA22" t="s">
        <v>424</v>
      </c>
      <c r="IB22" t="s">
        <v>424</v>
      </c>
      <c r="IC22" t="s">
        <v>423</v>
      </c>
      <c r="ID22">
        <v>0</v>
      </c>
      <c r="IE22">
        <v>100</v>
      </c>
      <c r="IF22">
        <v>100</v>
      </c>
      <c r="IG22">
        <v>1.355</v>
      </c>
      <c r="IH22">
        <v>0.30890000000000001</v>
      </c>
      <c r="II22">
        <v>1.0504527427742369</v>
      </c>
      <c r="IJ22">
        <v>8.9576739069318506E-4</v>
      </c>
      <c r="IK22">
        <v>-7.2130504814809596E-7</v>
      </c>
      <c r="IL22">
        <v>1.9987036519832741E-10</v>
      </c>
      <c r="IM22">
        <v>0.30898499999999629</v>
      </c>
      <c r="IN22">
        <v>0</v>
      </c>
      <c r="IO22">
        <v>0</v>
      </c>
      <c r="IP22">
        <v>0</v>
      </c>
      <c r="IQ22">
        <v>1</v>
      </c>
      <c r="IR22">
        <v>2126</v>
      </c>
      <c r="IS22">
        <v>0</v>
      </c>
      <c r="IT22">
        <v>20</v>
      </c>
      <c r="IU22">
        <v>1.9</v>
      </c>
      <c r="IV22">
        <v>1.9</v>
      </c>
      <c r="IW22">
        <v>1.42456</v>
      </c>
      <c r="IX22">
        <v>2.63184</v>
      </c>
      <c r="IY22">
        <v>1.69434</v>
      </c>
      <c r="IZ22">
        <v>2.35107</v>
      </c>
      <c r="JA22">
        <v>1.5466299999999999</v>
      </c>
      <c r="JB22">
        <v>2.4218799999999998</v>
      </c>
      <c r="JC22">
        <v>40.553100000000001</v>
      </c>
      <c r="JD22">
        <v>23.754799999999999</v>
      </c>
      <c r="JE22">
        <v>18</v>
      </c>
      <c r="JF22">
        <v>496.339</v>
      </c>
      <c r="JG22">
        <v>523.54100000000005</v>
      </c>
      <c r="JH22">
        <v>26.129899999999999</v>
      </c>
      <c r="JI22">
        <v>35.105800000000002</v>
      </c>
      <c r="JJ22">
        <v>30.000599999999999</v>
      </c>
      <c r="JK22">
        <v>34.964799999999997</v>
      </c>
      <c r="JL22">
        <v>34.904699999999998</v>
      </c>
      <c r="JM22">
        <v>28.581</v>
      </c>
      <c r="JN22">
        <v>26.646000000000001</v>
      </c>
      <c r="JO22">
        <v>79.3095</v>
      </c>
      <c r="JP22">
        <v>26.138500000000001</v>
      </c>
      <c r="JQ22">
        <v>600</v>
      </c>
      <c r="JR22">
        <v>23.872199999999999</v>
      </c>
      <c r="JS22">
        <v>98.710599999999999</v>
      </c>
      <c r="JT22">
        <v>98.6374</v>
      </c>
    </row>
    <row r="23" spans="1:280" x14ac:dyDescent="0.25">
      <c r="A23">
        <v>7</v>
      </c>
      <c r="B23">
        <v>1700148389</v>
      </c>
      <c r="C23">
        <v>859.40000009536743</v>
      </c>
      <c r="D23" t="s">
        <v>447</v>
      </c>
      <c r="E23" t="s">
        <v>448</v>
      </c>
      <c r="F23" t="s">
        <v>412</v>
      </c>
      <c r="G23" t="s">
        <v>413</v>
      </c>
      <c r="H23" t="s">
        <v>414</v>
      </c>
      <c r="I23">
        <v>1700148389</v>
      </c>
      <c r="J23">
        <f t="shared" si="0"/>
        <v>3.9492962943248923E-3</v>
      </c>
      <c r="K23">
        <f t="shared" si="1"/>
        <v>3.9492962943248919</v>
      </c>
      <c r="L23">
        <f t="shared" si="2"/>
        <v>48.699532118036657</v>
      </c>
      <c r="M23">
        <f t="shared" si="3"/>
        <v>445.95600000000002</v>
      </c>
      <c r="N23">
        <f t="shared" si="4"/>
        <v>137.50680293776017</v>
      </c>
      <c r="O23">
        <f t="shared" si="5"/>
        <v>13.691724018254888</v>
      </c>
      <c r="P23">
        <f t="shared" si="6"/>
        <v>44.404395606874807</v>
      </c>
      <c r="Q23">
        <f t="shared" si="7"/>
        <v>0.26943577914347433</v>
      </c>
      <c r="R23">
        <f t="shared" si="8"/>
        <v>3.0466636846208672</v>
      </c>
      <c r="S23">
        <f t="shared" si="9"/>
        <v>0.25686347039878643</v>
      </c>
      <c r="T23">
        <f t="shared" si="10"/>
        <v>0.16162034570229949</v>
      </c>
      <c r="U23">
        <f t="shared" si="11"/>
        <v>289.57706384761315</v>
      </c>
      <c r="V23">
        <f t="shared" si="12"/>
        <v>30.502433737459654</v>
      </c>
      <c r="W23">
        <f t="shared" si="13"/>
        <v>29.940200000000001</v>
      </c>
      <c r="X23">
        <f t="shared" si="14"/>
        <v>4.2458375962212092</v>
      </c>
      <c r="Y23">
        <f t="shared" si="15"/>
        <v>65.561654597608964</v>
      </c>
      <c r="Z23">
        <f t="shared" si="16"/>
        <v>2.7688474013519104</v>
      </c>
      <c r="AA23">
        <f t="shared" si="17"/>
        <v>4.2232726101041544</v>
      </c>
      <c r="AB23">
        <f t="shared" si="18"/>
        <v>1.4769901948692987</v>
      </c>
      <c r="AC23">
        <f t="shared" si="19"/>
        <v>-174.16396657972774</v>
      </c>
      <c r="AD23">
        <f t="shared" si="20"/>
        <v>-15.226135608801586</v>
      </c>
      <c r="AE23">
        <f t="shared" si="21"/>
        <v>-1.1100633440134486</v>
      </c>
      <c r="AF23">
        <f t="shared" si="22"/>
        <v>99.07689831507038</v>
      </c>
      <c r="AG23">
        <v>6</v>
      </c>
      <c r="AH23">
        <v>1</v>
      </c>
      <c r="AI23">
        <f t="shared" si="23"/>
        <v>1</v>
      </c>
      <c r="AJ23">
        <f t="shared" si="24"/>
        <v>0</v>
      </c>
      <c r="AK23">
        <f t="shared" si="25"/>
        <v>52059.38484106103</v>
      </c>
      <c r="AL23" t="s">
        <v>427</v>
      </c>
      <c r="AM23" t="s">
        <v>427</v>
      </c>
      <c r="AN23">
        <v>0</v>
      </c>
      <c r="AO23">
        <v>0</v>
      </c>
      <c r="AP23" t="e">
        <f t="shared" si="26"/>
        <v>#DIV/0!</v>
      </c>
      <c r="AQ23">
        <v>0</v>
      </c>
      <c r="AR23" t="s">
        <v>427</v>
      </c>
      <c r="AS23" t="s">
        <v>427</v>
      </c>
      <c r="AT23">
        <v>0</v>
      </c>
      <c r="AU23">
        <v>0</v>
      </c>
      <c r="AV23" t="e">
        <f t="shared" si="27"/>
        <v>#DIV/0!</v>
      </c>
      <c r="AW23">
        <v>0.5</v>
      </c>
      <c r="AX23">
        <f t="shared" si="28"/>
        <v>1513.2431999210428</v>
      </c>
      <c r="AY23">
        <f t="shared" si="29"/>
        <v>48.699532118036657</v>
      </c>
      <c r="AZ23" t="e">
        <f t="shared" si="30"/>
        <v>#DIV/0!</v>
      </c>
      <c r="BA23">
        <f t="shared" si="31"/>
        <v>3.2182224324931827E-2</v>
      </c>
      <c r="BB23" t="e">
        <f t="shared" si="32"/>
        <v>#DIV/0!</v>
      </c>
      <c r="BC23" t="e">
        <f t="shared" si="33"/>
        <v>#DIV/0!</v>
      </c>
      <c r="BD23" t="s">
        <v>427</v>
      </c>
      <c r="BE23">
        <v>0</v>
      </c>
      <c r="BF23" t="e">
        <f t="shared" si="34"/>
        <v>#DIV/0!</v>
      </c>
      <c r="BG23" t="e">
        <f t="shared" si="35"/>
        <v>#DIV/0!</v>
      </c>
      <c r="BH23" t="e">
        <f t="shared" si="36"/>
        <v>#DIV/0!</v>
      </c>
      <c r="BI23" t="e">
        <f t="shared" si="37"/>
        <v>#DIV/0!</v>
      </c>
      <c r="BJ23" t="e">
        <f t="shared" si="38"/>
        <v>#DIV/0!</v>
      </c>
      <c r="BK23" t="e">
        <f t="shared" si="39"/>
        <v>#DIV/0!</v>
      </c>
      <c r="BL23" t="e">
        <f t="shared" si="40"/>
        <v>#DIV/0!</v>
      </c>
      <c r="BM23" t="e">
        <f t="shared" si="41"/>
        <v>#DIV/0!</v>
      </c>
      <c r="BN23">
        <v>29</v>
      </c>
      <c r="BO23">
        <v>290.00000000000011</v>
      </c>
      <c r="BP23">
        <v>789.04</v>
      </c>
      <c r="BQ23">
        <v>295</v>
      </c>
      <c r="BR23">
        <v>7139.27</v>
      </c>
      <c r="BS23">
        <v>790.89</v>
      </c>
      <c r="BT23">
        <v>-1.85</v>
      </c>
      <c r="BU23">
        <v>300.00000000000011</v>
      </c>
      <c r="BV23">
        <v>38.200000000000003</v>
      </c>
      <c r="BW23">
        <v>868.94352131328787</v>
      </c>
      <c r="BX23">
        <v>1.1969313648966939</v>
      </c>
      <c r="BY23">
        <v>-55.725131120793918</v>
      </c>
      <c r="BZ23">
        <v>0.71625184692651189</v>
      </c>
      <c r="CA23">
        <v>0.99539549431496477</v>
      </c>
      <c r="CB23">
        <v>-7.0456324805339351E-3</v>
      </c>
      <c r="CC23">
        <v>289.99999999999989</v>
      </c>
      <c r="CD23">
        <v>801.74</v>
      </c>
      <c r="CE23">
        <v>895</v>
      </c>
      <c r="CF23">
        <v>7133.29</v>
      </c>
      <c r="CG23">
        <v>790.82</v>
      </c>
      <c r="CH23">
        <v>10.92</v>
      </c>
      <c r="CV23">
        <f t="shared" si="42"/>
        <v>1800.07</v>
      </c>
      <c r="CW23">
        <f t="shared" si="43"/>
        <v>1513.2431999210428</v>
      </c>
      <c r="CX23">
        <f t="shared" si="44"/>
        <v>0.84065797436824286</v>
      </c>
      <c r="CY23">
        <f t="shared" si="45"/>
        <v>0.16086989053070888</v>
      </c>
      <c r="CZ23">
        <v>5.36</v>
      </c>
      <c r="DA23">
        <v>0.5</v>
      </c>
      <c r="DB23" t="s">
        <v>418</v>
      </c>
      <c r="DC23">
        <v>2</v>
      </c>
      <c r="DD23">
        <v>1700148389</v>
      </c>
      <c r="DE23">
        <v>445.95600000000002</v>
      </c>
      <c r="DF23">
        <v>500.05099999999999</v>
      </c>
      <c r="DG23">
        <v>27.807700000000001</v>
      </c>
      <c r="DH23">
        <v>23.691700000000001</v>
      </c>
      <c r="DI23">
        <v>444.74400000000003</v>
      </c>
      <c r="DJ23">
        <v>27.502099999999999</v>
      </c>
      <c r="DK23">
        <v>499.99</v>
      </c>
      <c r="DL23">
        <v>99.471400000000003</v>
      </c>
      <c r="DM23">
        <v>9.9848300000000001E-2</v>
      </c>
      <c r="DN23">
        <v>29.8475</v>
      </c>
      <c r="DO23">
        <v>29.940200000000001</v>
      </c>
      <c r="DP23">
        <v>999.9</v>
      </c>
      <c r="DQ23">
        <v>0</v>
      </c>
      <c r="DR23">
        <v>0</v>
      </c>
      <c r="DS23">
        <v>9991.25</v>
      </c>
      <c r="DT23">
        <v>0</v>
      </c>
      <c r="DU23">
        <v>259.25599999999997</v>
      </c>
      <c r="DV23">
        <v>-54.094999999999999</v>
      </c>
      <c r="DW23">
        <v>458.71199999999999</v>
      </c>
      <c r="DX23">
        <v>512.18600000000004</v>
      </c>
      <c r="DY23">
        <v>4.1160100000000002</v>
      </c>
      <c r="DZ23">
        <v>500.05099999999999</v>
      </c>
      <c r="EA23">
        <v>23.691700000000001</v>
      </c>
      <c r="EB23">
        <v>2.76607</v>
      </c>
      <c r="EC23">
        <v>2.3566500000000001</v>
      </c>
      <c r="ED23">
        <v>22.683</v>
      </c>
      <c r="EE23">
        <v>20.068899999999999</v>
      </c>
      <c r="EF23">
        <v>1800.07</v>
      </c>
      <c r="EG23">
        <v>0.97800699999999996</v>
      </c>
      <c r="EH23">
        <v>2.1993499999999999E-2</v>
      </c>
      <c r="EI23">
        <v>0</v>
      </c>
      <c r="EJ23">
        <v>583.19600000000003</v>
      </c>
      <c r="EK23">
        <v>5.0001199999999999</v>
      </c>
      <c r="EL23">
        <v>10788.4</v>
      </c>
      <c r="EM23">
        <v>15630.6</v>
      </c>
      <c r="EN23">
        <v>51.75</v>
      </c>
      <c r="EO23">
        <v>53.061999999999998</v>
      </c>
      <c r="EP23">
        <v>52.75</v>
      </c>
      <c r="EQ23">
        <v>52.875</v>
      </c>
      <c r="ER23">
        <v>53.25</v>
      </c>
      <c r="ES23">
        <v>1755.59</v>
      </c>
      <c r="ET23">
        <v>39.479999999999997</v>
      </c>
      <c r="EU23">
        <v>0</v>
      </c>
      <c r="EV23">
        <v>147.79999995231631</v>
      </c>
      <c r="EW23">
        <v>0</v>
      </c>
      <c r="EX23">
        <v>583.22068000000002</v>
      </c>
      <c r="EY23">
        <v>-1.8413846240380991</v>
      </c>
      <c r="EZ23">
        <v>136.76153868028351</v>
      </c>
      <c r="FA23">
        <v>10774.164000000001</v>
      </c>
      <c r="FB23">
        <v>15</v>
      </c>
      <c r="FC23">
        <v>1700148356.5999999</v>
      </c>
      <c r="FD23" t="s">
        <v>449</v>
      </c>
      <c r="FE23">
        <v>1700148355.5999999</v>
      </c>
      <c r="FF23">
        <v>1700148356.5999999</v>
      </c>
      <c r="FG23">
        <v>9</v>
      </c>
      <c r="FH23">
        <v>-0.112</v>
      </c>
      <c r="FI23">
        <v>-3.0000000000000001E-3</v>
      </c>
      <c r="FJ23">
        <v>1.2310000000000001</v>
      </c>
      <c r="FK23">
        <v>0.30599999999999999</v>
      </c>
      <c r="FL23">
        <v>500</v>
      </c>
      <c r="FM23">
        <v>24</v>
      </c>
      <c r="FN23">
        <v>0.02</v>
      </c>
      <c r="FO23">
        <v>0.03</v>
      </c>
      <c r="FP23">
        <v>48.441271060455662</v>
      </c>
      <c r="FQ23">
        <v>0.56153742598360901</v>
      </c>
      <c r="FR23">
        <v>6.7608044550206983E-2</v>
      </c>
      <c r="FS23">
        <v>1</v>
      </c>
      <c r="FT23">
        <v>0.26993184418125998</v>
      </c>
      <c r="FU23">
        <v>4.6355426991341452E-2</v>
      </c>
      <c r="FV23">
        <v>4.4811815862628281E-3</v>
      </c>
      <c r="FW23">
        <v>1</v>
      </c>
      <c r="FX23">
        <v>2</v>
      </c>
      <c r="FY23">
        <v>2</v>
      </c>
      <c r="FZ23" t="s">
        <v>420</v>
      </c>
      <c r="GA23">
        <v>2.91262</v>
      </c>
      <c r="GB23">
        <v>2.7507799999999998</v>
      </c>
      <c r="GC23">
        <v>9.8533700000000002E-2</v>
      </c>
      <c r="GD23">
        <v>0.109238</v>
      </c>
      <c r="GE23">
        <v>0.127249</v>
      </c>
      <c r="GF23">
        <v>0.11625099999999999</v>
      </c>
      <c r="GG23">
        <v>27880.799999999999</v>
      </c>
      <c r="GH23">
        <v>27425.200000000001</v>
      </c>
      <c r="GI23">
        <v>28175.7</v>
      </c>
      <c r="GJ23">
        <v>28157.9</v>
      </c>
      <c r="GK23">
        <v>33511</v>
      </c>
      <c r="GL23">
        <v>34751.5</v>
      </c>
      <c r="GM23">
        <v>42326.2</v>
      </c>
      <c r="GN23">
        <v>43765.599999999999</v>
      </c>
      <c r="GO23">
        <v>1.7456799999999999</v>
      </c>
      <c r="GP23">
        <v>1.9216</v>
      </c>
      <c r="GQ23">
        <v>8.29622E-3</v>
      </c>
      <c r="GR23">
        <v>0</v>
      </c>
      <c r="GS23">
        <v>29.805099999999999</v>
      </c>
      <c r="GT23">
        <v>999.9</v>
      </c>
      <c r="GU23">
        <v>56.5</v>
      </c>
      <c r="GV23">
        <v>34.4</v>
      </c>
      <c r="GW23">
        <v>31.032499999999999</v>
      </c>
      <c r="GX23">
        <v>61.526499999999999</v>
      </c>
      <c r="GY23">
        <v>28.994399999999999</v>
      </c>
      <c r="GZ23">
        <v>1</v>
      </c>
      <c r="HA23">
        <v>0.64737</v>
      </c>
      <c r="HB23">
        <v>3.3548399999999998</v>
      </c>
      <c r="HC23">
        <v>20.233599999999999</v>
      </c>
      <c r="HD23">
        <v>5.2731500000000002</v>
      </c>
      <c r="HE23">
        <v>12.087999999999999</v>
      </c>
      <c r="HF23">
        <v>5.0121500000000001</v>
      </c>
      <c r="HG23">
        <v>3.29142</v>
      </c>
      <c r="HH23">
        <v>9999</v>
      </c>
      <c r="HI23">
        <v>9999</v>
      </c>
      <c r="HJ23">
        <v>9999</v>
      </c>
      <c r="HK23">
        <v>999.9</v>
      </c>
      <c r="HL23">
        <v>1.8762300000000001</v>
      </c>
      <c r="HM23">
        <v>1.8767</v>
      </c>
      <c r="HN23">
        <v>1.87653</v>
      </c>
      <c r="HO23">
        <v>1.8803399999999999</v>
      </c>
      <c r="HP23">
        <v>1.87392</v>
      </c>
      <c r="HQ23">
        <v>1.87704</v>
      </c>
      <c r="HR23">
        <v>1.87683</v>
      </c>
      <c r="HS23">
        <v>1.8782000000000001</v>
      </c>
      <c r="HT23">
        <v>0</v>
      </c>
      <c r="HU23">
        <v>0</v>
      </c>
      <c r="HV23">
        <v>0</v>
      </c>
      <c r="HW23">
        <v>0</v>
      </c>
      <c r="HX23" t="s">
        <v>421</v>
      </c>
      <c r="HY23" t="s">
        <v>422</v>
      </c>
      <c r="HZ23" t="s">
        <v>423</v>
      </c>
      <c r="IA23" t="s">
        <v>424</v>
      </c>
      <c r="IB23" t="s">
        <v>424</v>
      </c>
      <c r="IC23" t="s">
        <v>423</v>
      </c>
      <c r="ID23">
        <v>0</v>
      </c>
      <c r="IE23">
        <v>100</v>
      </c>
      <c r="IF23">
        <v>100</v>
      </c>
      <c r="IG23">
        <v>1.212</v>
      </c>
      <c r="IH23">
        <v>0.30559999999999998</v>
      </c>
      <c r="II23">
        <v>0.93879129570326236</v>
      </c>
      <c r="IJ23">
        <v>8.9576739069318506E-4</v>
      </c>
      <c r="IK23">
        <v>-7.2130504814809596E-7</v>
      </c>
      <c r="IL23">
        <v>1.9987036519832741E-10</v>
      </c>
      <c r="IM23">
        <v>0.30563499999999522</v>
      </c>
      <c r="IN23">
        <v>0</v>
      </c>
      <c r="IO23">
        <v>0</v>
      </c>
      <c r="IP23">
        <v>0</v>
      </c>
      <c r="IQ23">
        <v>1</v>
      </c>
      <c r="IR23">
        <v>2126</v>
      </c>
      <c r="IS23">
        <v>0</v>
      </c>
      <c r="IT23">
        <v>20</v>
      </c>
      <c r="IU23">
        <v>0.6</v>
      </c>
      <c r="IV23">
        <v>0.5</v>
      </c>
      <c r="IW23">
        <v>1.22925</v>
      </c>
      <c r="IX23">
        <v>2.6269499999999999</v>
      </c>
      <c r="IY23">
        <v>1.69434</v>
      </c>
      <c r="IZ23">
        <v>2.34985</v>
      </c>
      <c r="JA23">
        <v>1.5466299999999999</v>
      </c>
      <c r="JB23">
        <v>2.4475099999999999</v>
      </c>
      <c r="JC23">
        <v>41.326099999999997</v>
      </c>
      <c r="JD23">
        <v>23.737300000000001</v>
      </c>
      <c r="JE23">
        <v>18</v>
      </c>
      <c r="JF23">
        <v>495.87200000000001</v>
      </c>
      <c r="JG23">
        <v>520.21799999999996</v>
      </c>
      <c r="JH23">
        <v>26.262899999999998</v>
      </c>
      <c r="JI23">
        <v>35.216900000000003</v>
      </c>
      <c r="JJ23">
        <v>30.0002</v>
      </c>
      <c r="JK23">
        <v>35.076000000000001</v>
      </c>
      <c r="JL23">
        <v>35.012999999999998</v>
      </c>
      <c r="JM23">
        <v>24.693200000000001</v>
      </c>
      <c r="JN23">
        <v>27.280200000000001</v>
      </c>
      <c r="JO23">
        <v>77.327799999999996</v>
      </c>
      <c r="JP23">
        <v>26.286799999999999</v>
      </c>
      <c r="JQ23">
        <v>500</v>
      </c>
      <c r="JR23">
        <v>23.563800000000001</v>
      </c>
      <c r="JS23">
        <v>98.690799999999996</v>
      </c>
      <c r="JT23">
        <v>98.610699999999994</v>
      </c>
    </row>
    <row r="24" spans="1:280" x14ac:dyDescent="0.25">
      <c r="A24">
        <v>8</v>
      </c>
      <c r="B24">
        <v>1700148581.5</v>
      </c>
      <c r="C24">
        <v>1051.900000095367</v>
      </c>
      <c r="D24" t="s">
        <v>450</v>
      </c>
      <c r="E24" t="s">
        <v>451</v>
      </c>
      <c r="F24" t="s">
        <v>412</v>
      </c>
      <c r="G24" t="s">
        <v>413</v>
      </c>
      <c r="H24" t="s">
        <v>414</v>
      </c>
      <c r="I24">
        <v>1700148581.5</v>
      </c>
      <c r="J24">
        <f t="shared" si="0"/>
        <v>4.6050590221694615E-3</v>
      </c>
      <c r="K24">
        <f t="shared" si="1"/>
        <v>4.6050590221694616</v>
      </c>
      <c r="L24">
        <f t="shared" si="2"/>
        <v>46.320525689753019</v>
      </c>
      <c r="M24">
        <f t="shared" si="3"/>
        <v>348.64499999999998</v>
      </c>
      <c r="N24">
        <f t="shared" si="4"/>
        <v>98.665641247733703</v>
      </c>
      <c r="O24">
        <f t="shared" si="5"/>
        <v>9.8252621940188618</v>
      </c>
      <c r="P24">
        <f t="shared" si="6"/>
        <v>34.718555459775004</v>
      </c>
      <c r="Q24">
        <f t="shared" si="7"/>
        <v>0.31806502668815911</v>
      </c>
      <c r="R24">
        <f t="shared" si="8"/>
        <v>3.0459103122966038</v>
      </c>
      <c r="S24">
        <f t="shared" si="9"/>
        <v>0.30069796604060811</v>
      </c>
      <c r="T24">
        <f t="shared" si="10"/>
        <v>0.1894175258236952</v>
      </c>
      <c r="U24">
        <f t="shared" si="11"/>
        <v>289.57067984760971</v>
      </c>
      <c r="V24">
        <f t="shared" si="12"/>
        <v>30.560929889902415</v>
      </c>
      <c r="W24">
        <f t="shared" si="13"/>
        <v>29.9941</v>
      </c>
      <c r="X24">
        <f t="shared" si="14"/>
        <v>4.2590061568326636</v>
      </c>
      <c r="Y24">
        <f t="shared" si="15"/>
        <v>65.17435134038638</v>
      </c>
      <c r="Z24">
        <f t="shared" si="16"/>
        <v>2.7879205669780003</v>
      </c>
      <c r="AA24">
        <f t="shared" si="17"/>
        <v>4.2776345443278982</v>
      </c>
      <c r="AB24">
        <f t="shared" si="18"/>
        <v>1.4710855898546633</v>
      </c>
      <c r="AC24">
        <f t="shared" si="19"/>
        <v>-203.08310287767324</v>
      </c>
      <c r="AD24">
        <f t="shared" si="20"/>
        <v>12.480044873496707</v>
      </c>
      <c r="AE24">
        <f t="shared" si="21"/>
        <v>0.91133102761890294</v>
      </c>
      <c r="AF24">
        <f t="shared" si="22"/>
        <v>99.878952871052107</v>
      </c>
      <c r="AG24">
        <v>5</v>
      </c>
      <c r="AH24">
        <v>1</v>
      </c>
      <c r="AI24">
        <f t="shared" si="23"/>
        <v>1</v>
      </c>
      <c r="AJ24">
        <f t="shared" si="24"/>
        <v>0</v>
      </c>
      <c r="AK24">
        <f t="shared" si="25"/>
        <v>52001.346445727337</v>
      </c>
      <c r="AL24" t="s">
        <v>415</v>
      </c>
      <c r="AM24">
        <v>6960.3</v>
      </c>
      <c r="AN24">
        <v>244.8124</v>
      </c>
      <c r="AO24">
        <v>892.86711584811997</v>
      </c>
      <c r="AP24">
        <f t="shared" si="26"/>
        <v>0.72581317459826411</v>
      </c>
      <c r="AQ24">
        <v>-0.43209471141234851</v>
      </c>
      <c r="AR24" t="s">
        <v>452</v>
      </c>
      <c r="AS24">
        <v>7138.56</v>
      </c>
      <c r="AT24">
        <v>585.229923076923</v>
      </c>
      <c r="AU24">
        <v>835.9195895351553</v>
      </c>
      <c r="AV24">
        <f t="shared" si="27"/>
        <v>0.29989686758942657</v>
      </c>
      <c r="AW24">
        <v>0.5</v>
      </c>
      <c r="AX24">
        <f t="shared" si="28"/>
        <v>1513.2095999210412</v>
      </c>
      <c r="AY24">
        <f t="shared" si="29"/>
        <v>46.320525689753019</v>
      </c>
      <c r="AZ24">
        <f t="shared" si="30"/>
        <v>226.90340951128482</v>
      </c>
      <c r="BA24">
        <f t="shared" si="31"/>
        <v>3.0896328177937082E-2</v>
      </c>
      <c r="BB24">
        <f t="shared" si="32"/>
        <v>6.8125603258840359E-2</v>
      </c>
      <c r="BC24">
        <f t="shared" si="33"/>
        <v>240.32336551664147</v>
      </c>
      <c r="BD24" t="s">
        <v>453</v>
      </c>
      <c r="BE24">
        <v>434.05</v>
      </c>
      <c r="BF24">
        <f t="shared" si="34"/>
        <v>434.05</v>
      </c>
      <c r="BG24">
        <f t="shared" si="35"/>
        <v>0.48075149161013209</v>
      </c>
      <c r="BH24">
        <f t="shared" si="36"/>
        <v>0.62380850152957923</v>
      </c>
      <c r="BI24">
        <f t="shared" si="37"/>
        <v>0.12411813846067533</v>
      </c>
      <c r="BJ24">
        <f t="shared" si="38"/>
        <v>0.42410187339351058</v>
      </c>
      <c r="BK24">
        <f t="shared" si="39"/>
        <v>8.7874565095073021E-2</v>
      </c>
      <c r="BL24">
        <f t="shared" si="40"/>
        <v>0.4626627405949037</v>
      </c>
      <c r="BM24">
        <f t="shared" si="41"/>
        <v>0.53733725940509625</v>
      </c>
      <c r="BN24">
        <v>31</v>
      </c>
      <c r="BO24">
        <v>290.00000000000011</v>
      </c>
      <c r="BP24">
        <v>767.58</v>
      </c>
      <c r="BQ24">
        <v>285</v>
      </c>
      <c r="BR24">
        <v>7138.56</v>
      </c>
      <c r="BS24">
        <v>769</v>
      </c>
      <c r="BT24">
        <v>-1.42</v>
      </c>
      <c r="BU24">
        <v>300.00000000000011</v>
      </c>
      <c r="BV24">
        <v>38.200000000000003</v>
      </c>
      <c r="BW24">
        <v>835.9195895351553</v>
      </c>
      <c r="BX24">
        <v>1.6310483081683369</v>
      </c>
      <c r="BY24">
        <v>-47.768997502864117</v>
      </c>
      <c r="BZ24">
        <v>0.97593226877121431</v>
      </c>
      <c r="CA24">
        <v>0.98844795320319556</v>
      </c>
      <c r="CB24">
        <v>-7.0449054505005524E-3</v>
      </c>
      <c r="CC24">
        <v>289.99999999999989</v>
      </c>
      <c r="CD24">
        <v>778.81</v>
      </c>
      <c r="CE24">
        <v>855</v>
      </c>
      <c r="CF24">
        <v>7132.89</v>
      </c>
      <c r="CG24">
        <v>768.95</v>
      </c>
      <c r="CH24">
        <v>9.86</v>
      </c>
      <c r="CV24">
        <f t="shared" si="42"/>
        <v>1800.03</v>
      </c>
      <c r="CW24">
        <f t="shared" si="43"/>
        <v>1513.2095999210412</v>
      </c>
      <c r="CX24">
        <f t="shared" si="44"/>
        <v>0.84065798898965083</v>
      </c>
      <c r="CY24">
        <f t="shared" si="45"/>
        <v>0.16086991875002624</v>
      </c>
      <c r="CZ24">
        <v>5.36</v>
      </c>
      <c r="DA24">
        <v>0.5</v>
      </c>
      <c r="DB24" t="s">
        <v>418</v>
      </c>
      <c r="DC24">
        <v>2</v>
      </c>
      <c r="DD24">
        <v>1700148581.5</v>
      </c>
      <c r="DE24">
        <v>348.64499999999998</v>
      </c>
      <c r="DF24">
        <v>400.01299999999998</v>
      </c>
      <c r="DG24">
        <v>27.996400000000001</v>
      </c>
      <c r="DH24">
        <v>23.198799999999999</v>
      </c>
      <c r="DI24">
        <v>347.40499999999997</v>
      </c>
      <c r="DJ24">
        <v>27.703499999999998</v>
      </c>
      <c r="DK24">
        <v>500.08499999999998</v>
      </c>
      <c r="DL24">
        <v>99.481300000000005</v>
      </c>
      <c r="DM24">
        <v>0.100095</v>
      </c>
      <c r="DN24">
        <v>30.0701</v>
      </c>
      <c r="DO24">
        <v>29.9941</v>
      </c>
      <c r="DP24">
        <v>999.9</v>
      </c>
      <c r="DQ24">
        <v>0</v>
      </c>
      <c r="DR24">
        <v>0</v>
      </c>
      <c r="DS24">
        <v>9986.25</v>
      </c>
      <c r="DT24">
        <v>0</v>
      </c>
      <c r="DU24">
        <v>261.30599999999998</v>
      </c>
      <c r="DV24">
        <v>-51.368000000000002</v>
      </c>
      <c r="DW24">
        <v>358.68700000000001</v>
      </c>
      <c r="DX24">
        <v>409.51299999999998</v>
      </c>
      <c r="DY24">
        <v>4.79765</v>
      </c>
      <c r="DZ24">
        <v>400.01299999999998</v>
      </c>
      <c r="EA24">
        <v>23.198799999999999</v>
      </c>
      <c r="EB24">
        <v>2.78512</v>
      </c>
      <c r="EC24">
        <v>2.3078400000000001</v>
      </c>
      <c r="ED24">
        <v>22.796099999999999</v>
      </c>
      <c r="EE24">
        <v>19.731200000000001</v>
      </c>
      <c r="EF24">
        <v>1800.03</v>
      </c>
      <c r="EG24">
        <v>0.97800699999999996</v>
      </c>
      <c r="EH24">
        <v>2.1993499999999999E-2</v>
      </c>
      <c r="EI24">
        <v>0</v>
      </c>
      <c r="EJ24">
        <v>585.08500000000004</v>
      </c>
      <c r="EK24">
        <v>5.0001199999999999</v>
      </c>
      <c r="EL24">
        <v>10944.1</v>
      </c>
      <c r="EM24">
        <v>15630.3</v>
      </c>
      <c r="EN24">
        <v>51.75</v>
      </c>
      <c r="EO24">
        <v>52.875</v>
      </c>
      <c r="EP24">
        <v>52.5</v>
      </c>
      <c r="EQ24">
        <v>52.936999999999998</v>
      </c>
      <c r="ER24">
        <v>53.125</v>
      </c>
      <c r="ES24">
        <v>1755.55</v>
      </c>
      <c r="ET24">
        <v>39.479999999999997</v>
      </c>
      <c r="EU24">
        <v>0</v>
      </c>
      <c r="EV24">
        <v>340.40000009536737</v>
      </c>
      <c r="EW24">
        <v>0</v>
      </c>
      <c r="EX24">
        <v>585.229923076923</v>
      </c>
      <c r="EY24">
        <v>-0.70311112258637309</v>
      </c>
      <c r="EZ24">
        <v>-67.295726525611002</v>
      </c>
      <c r="FA24">
        <v>10951.176923076921</v>
      </c>
      <c r="FB24">
        <v>15</v>
      </c>
      <c r="FC24">
        <v>1700148455</v>
      </c>
      <c r="FD24" t="s">
        <v>454</v>
      </c>
      <c r="FE24">
        <v>1700148451</v>
      </c>
      <c r="FF24">
        <v>1700148455</v>
      </c>
      <c r="FG24">
        <v>10</v>
      </c>
      <c r="FH24">
        <v>6.9000000000000006E-2</v>
      </c>
      <c r="FI24">
        <v>-1.2999999999999999E-2</v>
      </c>
      <c r="FJ24">
        <v>1.2629999999999999</v>
      </c>
      <c r="FK24">
        <v>0.29299999999999998</v>
      </c>
      <c r="FL24">
        <v>400</v>
      </c>
      <c r="FM24">
        <v>23</v>
      </c>
      <c r="FN24">
        <v>0.04</v>
      </c>
      <c r="FO24">
        <v>0.02</v>
      </c>
      <c r="FP24">
        <v>46.286392732806512</v>
      </c>
      <c r="FQ24">
        <v>0.68715567469282268</v>
      </c>
      <c r="FR24">
        <v>6.8782024656354634E-2</v>
      </c>
      <c r="FS24">
        <v>1</v>
      </c>
      <c r="FT24">
        <v>0.3180914421902476</v>
      </c>
      <c r="FU24">
        <v>1.7736231063252131E-2</v>
      </c>
      <c r="FV24">
        <v>1.5778541800396679E-3</v>
      </c>
      <c r="FW24">
        <v>1</v>
      </c>
      <c r="FX24">
        <v>2</v>
      </c>
      <c r="FY24">
        <v>2</v>
      </c>
      <c r="FZ24" t="s">
        <v>420</v>
      </c>
      <c r="GA24">
        <v>2.9125999999999999</v>
      </c>
      <c r="GB24">
        <v>2.7509700000000001</v>
      </c>
      <c r="GC24">
        <v>8.1364300000000001E-2</v>
      </c>
      <c r="GD24">
        <v>9.2377200000000007E-2</v>
      </c>
      <c r="GE24">
        <v>0.127861</v>
      </c>
      <c r="GF24">
        <v>0.114536</v>
      </c>
      <c r="GG24">
        <v>28405.7</v>
      </c>
      <c r="GH24">
        <v>27938.7</v>
      </c>
      <c r="GI24">
        <v>28170.5</v>
      </c>
      <c r="GJ24">
        <v>28152.9</v>
      </c>
      <c r="GK24">
        <v>33481.1</v>
      </c>
      <c r="GL24">
        <v>34814.300000000003</v>
      </c>
      <c r="GM24">
        <v>42317.7</v>
      </c>
      <c r="GN24">
        <v>43759.199999999997</v>
      </c>
      <c r="GO24">
        <v>1.74485</v>
      </c>
      <c r="GP24">
        <v>1.91418</v>
      </c>
      <c r="GQ24">
        <v>6.6906200000000004E-3</v>
      </c>
      <c r="GR24">
        <v>0</v>
      </c>
      <c r="GS24">
        <v>29.885200000000001</v>
      </c>
      <c r="GT24">
        <v>999.9</v>
      </c>
      <c r="GU24">
        <v>54.6</v>
      </c>
      <c r="GV24">
        <v>35</v>
      </c>
      <c r="GW24">
        <v>31.001999999999999</v>
      </c>
      <c r="GX24">
        <v>61.4664</v>
      </c>
      <c r="GY24">
        <v>29.539300000000001</v>
      </c>
      <c r="GZ24">
        <v>1</v>
      </c>
      <c r="HA24">
        <v>0.65680899999999998</v>
      </c>
      <c r="HB24">
        <v>2.9448099999999999</v>
      </c>
      <c r="HC24">
        <v>20.241099999999999</v>
      </c>
      <c r="HD24">
        <v>5.2747900000000003</v>
      </c>
      <c r="HE24">
        <v>12.087999999999999</v>
      </c>
      <c r="HF24">
        <v>5.01295</v>
      </c>
      <c r="HG24">
        <v>3.2917999999999998</v>
      </c>
      <c r="HH24">
        <v>9999</v>
      </c>
      <c r="HI24">
        <v>9999</v>
      </c>
      <c r="HJ24">
        <v>9999</v>
      </c>
      <c r="HK24">
        <v>999.9</v>
      </c>
      <c r="HL24">
        <v>1.87636</v>
      </c>
      <c r="HM24">
        <v>1.87683</v>
      </c>
      <c r="HN24">
        <v>1.8765799999999999</v>
      </c>
      <c r="HO24">
        <v>1.8804799999999999</v>
      </c>
      <c r="HP24">
        <v>1.8739399999999999</v>
      </c>
      <c r="HQ24">
        <v>1.87714</v>
      </c>
      <c r="HR24">
        <v>1.8769199999999999</v>
      </c>
      <c r="HS24">
        <v>1.87835</v>
      </c>
      <c r="HT24">
        <v>0</v>
      </c>
      <c r="HU24">
        <v>0</v>
      </c>
      <c r="HV24">
        <v>0</v>
      </c>
      <c r="HW24">
        <v>0</v>
      </c>
      <c r="HX24" t="s">
        <v>421</v>
      </c>
      <c r="HY24" t="s">
        <v>422</v>
      </c>
      <c r="HZ24" t="s">
        <v>423</v>
      </c>
      <c r="IA24" t="s">
        <v>424</v>
      </c>
      <c r="IB24" t="s">
        <v>424</v>
      </c>
      <c r="IC24" t="s">
        <v>423</v>
      </c>
      <c r="ID24">
        <v>0</v>
      </c>
      <c r="IE24">
        <v>100</v>
      </c>
      <c r="IF24">
        <v>100</v>
      </c>
      <c r="IG24">
        <v>1.24</v>
      </c>
      <c r="IH24">
        <v>0.29289999999999999</v>
      </c>
      <c r="II24">
        <v>1.007504056037513</v>
      </c>
      <c r="IJ24">
        <v>8.9576739069318506E-4</v>
      </c>
      <c r="IK24">
        <v>-7.2130504814809596E-7</v>
      </c>
      <c r="IL24">
        <v>1.9987036519832741E-10</v>
      </c>
      <c r="IM24">
        <v>0.29288000000000031</v>
      </c>
      <c r="IN24">
        <v>0</v>
      </c>
      <c r="IO24">
        <v>0</v>
      </c>
      <c r="IP24">
        <v>0</v>
      </c>
      <c r="IQ24">
        <v>1</v>
      </c>
      <c r="IR24">
        <v>2126</v>
      </c>
      <c r="IS24">
        <v>0</v>
      </c>
      <c r="IT24">
        <v>20</v>
      </c>
      <c r="IU24">
        <v>2.2000000000000002</v>
      </c>
      <c r="IV24">
        <v>2.1</v>
      </c>
      <c r="IW24">
        <v>1.02905</v>
      </c>
      <c r="IX24">
        <v>2.64893</v>
      </c>
      <c r="IY24">
        <v>1.69434</v>
      </c>
      <c r="IZ24">
        <v>2.34863</v>
      </c>
      <c r="JA24">
        <v>1.5466299999999999</v>
      </c>
      <c r="JB24">
        <v>2.4047900000000002</v>
      </c>
      <c r="JC24">
        <v>42.164999999999999</v>
      </c>
      <c r="JD24">
        <v>23.7285</v>
      </c>
      <c r="JE24">
        <v>18</v>
      </c>
      <c r="JF24">
        <v>496.42200000000003</v>
      </c>
      <c r="JG24">
        <v>515.91899999999998</v>
      </c>
      <c r="JH24">
        <v>26.815000000000001</v>
      </c>
      <c r="JI24">
        <v>35.347700000000003</v>
      </c>
      <c r="JJ24">
        <v>30</v>
      </c>
      <c r="JK24">
        <v>35.217100000000002</v>
      </c>
      <c r="JL24">
        <v>35.1584</v>
      </c>
      <c r="JM24">
        <v>20.668399999999998</v>
      </c>
      <c r="JN24">
        <v>27.6706</v>
      </c>
      <c r="JO24">
        <v>73.499499999999998</v>
      </c>
      <c r="JP24">
        <v>26.829899999999999</v>
      </c>
      <c r="JQ24">
        <v>400</v>
      </c>
      <c r="JR24">
        <v>23.124099999999999</v>
      </c>
      <c r="JS24">
        <v>98.671499999999995</v>
      </c>
      <c r="JT24">
        <v>98.594999999999999</v>
      </c>
    </row>
    <row r="25" spans="1:280" x14ac:dyDescent="0.25">
      <c r="A25">
        <v>9</v>
      </c>
      <c r="B25">
        <v>1700148766</v>
      </c>
      <c r="C25">
        <v>1236.400000095367</v>
      </c>
      <c r="D25" t="s">
        <v>455</v>
      </c>
      <c r="E25" t="s">
        <v>456</v>
      </c>
      <c r="F25" t="s">
        <v>412</v>
      </c>
      <c r="G25" t="s">
        <v>413</v>
      </c>
      <c r="H25" t="s">
        <v>414</v>
      </c>
      <c r="I25">
        <v>1700148766</v>
      </c>
      <c r="J25">
        <f t="shared" si="0"/>
        <v>5.2550901377683623E-3</v>
      </c>
      <c r="K25">
        <f t="shared" si="1"/>
        <v>5.2550901377683621</v>
      </c>
      <c r="L25">
        <f t="shared" si="2"/>
        <v>40.071904079316091</v>
      </c>
      <c r="M25">
        <f t="shared" si="3"/>
        <v>255.613</v>
      </c>
      <c r="N25">
        <f t="shared" si="4"/>
        <v>71.0971617941467</v>
      </c>
      <c r="O25">
        <f t="shared" si="5"/>
        <v>7.0801834137656465</v>
      </c>
      <c r="P25">
        <f t="shared" si="6"/>
        <v>25.455121938382</v>
      </c>
      <c r="Q25">
        <f t="shared" si="7"/>
        <v>0.37563346512461809</v>
      </c>
      <c r="R25">
        <f t="shared" si="8"/>
        <v>3.0482045438406229</v>
      </c>
      <c r="S25">
        <f t="shared" si="9"/>
        <v>0.35168175457958617</v>
      </c>
      <c r="T25">
        <f t="shared" si="10"/>
        <v>0.22182567172487982</v>
      </c>
      <c r="U25">
        <f t="shared" si="11"/>
        <v>289.57967684765339</v>
      </c>
      <c r="V25">
        <f t="shared" si="12"/>
        <v>30.4914441700429</v>
      </c>
      <c r="W25">
        <f t="shared" si="13"/>
        <v>29.939299999999999</v>
      </c>
      <c r="X25">
        <f t="shared" si="14"/>
        <v>4.2456180145715523</v>
      </c>
      <c r="Y25">
        <f t="shared" si="15"/>
        <v>65.345567238231354</v>
      </c>
      <c r="Z25">
        <f t="shared" si="16"/>
        <v>2.8102678486185999</v>
      </c>
      <c r="AA25">
        <f t="shared" si="17"/>
        <v>4.3006250728119975</v>
      </c>
      <c r="AB25">
        <f t="shared" si="18"/>
        <v>1.4353501659529524</v>
      </c>
      <c r="AC25">
        <f t="shared" si="19"/>
        <v>-231.74947507558477</v>
      </c>
      <c r="AD25">
        <f t="shared" si="20"/>
        <v>36.843862915001452</v>
      </c>
      <c r="AE25">
        <f t="shared" si="21"/>
        <v>2.6889405644446995</v>
      </c>
      <c r="AF25">
        <f t="shared" si="22"/>
        <v>97.363005251514764</v>
      </c>
      <c r="AG25">
        <v>5</v>
      </c>
      <c r="AH25">
        <v>1</v>
      </c>
      <c r="AI25">
        <f t="shared" si="23"/>
        <v>1</v>
      </c>
      <c r="AJ25">
        <f t="shared" si="24"/>
        <v>0</v>
      </c>
      <c r="AK25">
        <f t="shared" si="25"/>
        <v>52046.32821885623</v>
      </c>
      <c r="AL25" t="s">
        <v>415</v>
      </c>
      <c r="AM25">
        <v>6960.3</v>
      </c>
      <c r="AN25">
        <v>244.8124</v>
      </c>
      <c r="AO25">
        <v>892.86711584811997</v>
      </c>
      <c r="AP25">
        <f t="shared" si="26"/>
        <v>0.72581317459826411</v>
      </c>
      <c r="AQ25">
        <v>-0.43209471141234851</v>
      </c>
      <c r="AR25" t="s">
        <v>457</v>
      </c>
      <c r="AS25">
        <v>7137.6</v>
      </c>
      <c r="AT25">
        <v>591.79103846153839</v>
      </c>
      <c r="AU25">
        <v>806.11997427781455</v>
      </c>
      <c r="AV25">
        <f t="shared" si="27"/>
        <v>0.26587721760435079</v>
      </c>
      <c r="AW25">
        <v>0.5</v>
      </c>
      <c r="AX25">
        <f t="shared" si="28"/>
        <v>1513.2596999210637</v>
      </c>
      <c r="AY25">
        <f t="shared" si="29"/>
        <v>40.071904079316091</v>
      </c>
      <c r="AZ25">
        <f t="shared" si="30"/>
        <v>201.17063926390361</v>
      </c>
      <c r="BA25">
        <f t="shared" si="31"/>
        <v>2.6766059251324314E-2</v>
      </c>
      <c r="BB25">
        <f t="shared" si="32"/>
        <v>0.1076107085028135</v>
      </c>
      <c r="BC25">
        <f t="shared" si="33"/>
        <v>237.79612116116834</v>
      </c>
      <c r="BD25" t="s">
        <v>458</v>
      </c>
      <c r="BE25">
        <v>435.67</v>
      </c>
      <c r="BF25">
        <f t="shared" si="34"/>
        <v>435.67</v>
      </c>
      <c r="BG25">
        <f t="shared" si="35"/>
        <v>0.45954694846718402</v>
      </c>
      <c r="BH25">
        <f t="shared" si="36"/>
        <v>0.57856377567337269</v>
      </c>
      <c r="BI25">
        <f t="shared" si="37"/>
        <v>0.1897368521439288</v>
      </c>
      <c r="BJ25">
        <f t="shared" si="38"/>
        <v>0.38183866678092576</v>
      </c>
      <c r="BK25">
        <f t="shared" si="39"/>
        <v>0.13385774294810585</v>
      </c>
      <c r="BL25">
        <f t="shared" si="40"/>
        <v>0.42593223581570056</v>
      </c>
      <c r="BM25">
        <f t="shared" si="41"/>
        <v>0.5740677641842995</v>
      </c>
      <c r="BN25">
        <v>33</v>
      </c>
      <c r="BO25">
        <v>290.00000000000011</v>
      </c>
      <c r="BP25">
        <v>747.3</v>
      </c>
      <c r="BQ25">
        <v>295</v>
      </c>
      <c r="BR25">
        <v>7137.6</v>
      </c>
      <c r="BS25">
        <v>748.33</v>
      </c>
      <c r="BT25">
        <v>-1.03</v>
      </c>
      <c r="BU25">
        <v>300.00000000000011</v>
      </c>
      <c r="BV25">
        <v>38.200000000000003</v>
      </c>
      <c r="BW25">
        <v>806.11997427781455</v>
      </c>
      <c r="BX25">
        <v>1.285005501874747</v>
      </c>
      <c r="BY25">
        <v>-41.247588100274143</v>
      </c>
      <c r="BZ25">
        <v>0.76877581288194929</v>
      </c>
      <c r="CA25">
        <v>0.99036711122894339</v>
      </c>
      <c r="CB25">
        <v>-7.0440220244716448E-3</v>
      </c>
      <c r="CC25">
        <v>289.99999999999989</v>
      </c>
      <c r="CD25">
        <v>756.45</v>
      </c>
      <c r="CE25">
        <v>845</v>
      </c>
      <c r="CF25">
        <v>7131.95</v>
      </c>
      <c r="CG25">
        <v>748.29</v>
      </c>
      <c r="CH25">
        <v>8.16</v>
      </c>
      <c r="CV25">
        <f t="shared" si="42"/>
        <v>1800.09</v>
      </c>
      <c r="CW25">
        <f t="shared" si="43"/>
        <v>1513.2596999210637</v>
      </c>
      <c r="CX25">
        <f t="shared" si="44"/>
        <v>0.84065780039945992</v>
      </c>
      <c r="CY25">
        <f t="shared" si="45"/>
        <v>0.1608695547709578</v>
      </c>
      <c r="CZ25">
        <v>5.36</v>
      </c>
      <c r="DA25">
        <v>0.5</v>
      </c>
      <c r="DB25" t="s">
        <v>418</v>
      </c>
      <c r="DC25">
        <v>2</v>
      </c>
      <c r="DD25">
        <v>1700148766</v>
      </c>
      <c r="DE25">
        <v>255.613</v>
      </c>
      <c r="DF25">
        <v>299.99400000000003</v>
      </c>
      <c r="DG25">
        <v>28.219899999999999</v>
      </c>
      <c r="DH25">
        <v>22.747399999999999</v>
      </c>
      <c r="DI25">
        <v>254.453</v>
      </c>
      <c r="DJ25">
        <v>27.930099999999999</v>
      </c>
      <c r="DK25">
        <v>500.18099999999998</v>
      </c>
      <c r="DL25">
        <v>99.4846</v>
      </c>
      <c r="DM25">
        <v>0.10001400000000001</v>
      </c>
      <c r="DN25">
        <v>30.163499999999999</v>
      </c>
      <c r="DO25">
        <v>29.939299999999999</v>
      </c>
      <c r="DP25">
        <v>999.9</v>
      </c>
      <c r="DQ25">
        <v>0</v>
      </c>
      <c r="DR25">
        <v>0</v>
      </c>
      <c r="DS25">
        <v>9998.1200000000008</v>
      </c>
      <c r="DT25">
        <v>0</v>
      </c>
      <c r="DU25">
        <v>262.73599999999999</v>
      </c>
      <c r="DV25">
        <v>-44.381700000000002</v>
      </c>
      <c r="DW25">
        <v>263.03500000000003</v>
      </c>
      <c r="DX25">
        <v>306.97699999999998</v>
      </c>
      <c r="DY25">
        <v>5.4725099999999998</v>
      </c>
      <c r="DZ25">
        <v>299.99400000000003</v>
      </c>
      <c r="EA25">
        <v>22.747399999999999</v>
      </c>
      <c r="EB25">
        <v>2.8074400000000002</v>
      </c>
      <c r="EC25">
        <v>2.26301</v>
      </c>
      <c r="ED25">
        <v>22.927900000000001</v>
      </c>
      <c r="EE25">
        <v>19.415500000000002</v>
      </c>
      <c r="EF25">
        <v>1800.09</v>
      </c>
      <c r="EG25">
        <v>0.97801000000000005</v>
      </c>
      <c r="EH25">
        <v>2.1990099999999999E-2</v>
      </c>
      <c r="EI25">
        <v>0</v>
      </c>
      <c r="EJ25">
        <v>591.66499999999996</v>
      </c>
      <c r="EK25">
        <v>5.0001199999999999</v>
      </c>
      <c r="EL25">
        <v>10874</v>
      </c>
      <c r="EM25">
        <v>15630.8</v>
      </c>
      <c r="EN25">
        <v>51.936999999999998</v>
      </c>
      <c r="EO25">
        <v>53.25</v>
      </c>
      <c r="EP25">
        <v>52.936999999999998</v>
      </c>
      <c r="EQ25">
        <v>53</v>
      </c>
      <c r="ER25">
        <v>53.436999999999998</v>
      </c>
      <c r="ES25">
        <v>1755.62</v>
      </c>
      <c r="ET25">
        <v>39.47</v>
      </c>
      <c r="EU25">
        <v>0</v>
      </c>
      <c r="EV25">
        <v>182.5999999046326</v>
      </c>
      <c r="EW25">
        <v>0</v>
      </c>
      <c r="EX25">
        <v>591.79103846153839</v>
      </c>
      <c r="EY25">
        <v>-0.28762393912398587</v>
      </c>
      <c r="EZ25">
        <v>-59.562392977231688</v>
      </c>
      <c r="FA25">
        <v>10882.56923076923</v>
      </c>
      <c r="FB25">
        <v>15</v>
      </c>
      <c r="FC25">
        <v>1700148679</v>
      </c>
      <c r="FD25" t="s">
        <v>459</v>
      </c>
      <c r="FE25">
        <v>1700148676</v>
      </c>
      <c r="FF25">
        <v>1700148679</v>
      </c>
      <c r="FG25">
        <v>11</v>
      </c>
      <c r="FH25">
        <v>-3.3000000000000002E-2</v>
      </c>
      <c r="FI25">
        <v>-3.0000000000000001E-3</v>
      </c>
      <c r="FJ25">
        <v>1.1830000000000001</v>
      </c>
      <c r="FK25">
        <v>0.28999999999999998</v>
      </c>
      <c r="FL25">
        <v>300</v>
      </c>
      <c r="FM25">
        <v>23</v>
      </c>
      <c r="FN25">
        <v>0.04</v>
      </c>
      <c r="FO25">
        <v>0.02</v>
      </c>
      <c r="FP25">
        <v>39.922338173689432</v>
      </c>
      <c r="FQ25">
        <v>0.63503148708086132</v>
      </c>
      <c r="FR25">
        <v>5.1075896558155968E-2</v>
      </c>
      <c r="FS25">
        <v>1</v>
      </c>
      <c r="FT25">
        <v>0.37073401782456877</v>
      </c>
      <c r="FU25">
        <v>2.208881050490662E-2</v>
      </c>
      <c r="FV25">
        <v>1.6790877466344261E-3</v>
      </c>
      <c r="FW25">
        <v>1</v>
      </c>
      <c r="FX25">
        <v>2</v>
      </c>
      <c r="FY25">
        <v>2</v>
      </c>
      <c r="FZ25" t="s">
        <v>420</v>
      </c>
      <c r="GA25">
        <v>2.9126300000000001</v>
      </c>
      <c r="GB25">
        <v>2.7509999999999999</v>
      </c>
      <c r="GC25">
        <v>6.3002199999999994E-2</v>
      </c>
      <c r="GD25">
        <v>7.3534699999999995E-2</v>
      </c>
      <c r="GE25">
        <v>0.128548</v>
      </c>
      <c r="GF25">
        <v>0.11294899999999999</v>
      </c>
      <c r="GG25">
        <v>28968.9</v>
      </c>
      <c r="GH25">
        <v>28512.5</v>
      </c>
      <c r="GI25">
        <v>28167</v>
      </c>
      <c r="GJ25">
        <v>28147.599999999999</v>
      </c>
      <c r="GK25">
        <v>33450.300000000003</v>
      </c>
      <c r="GL25">
        <v>34871.1</v>
      </c>
      <c r="GM25">
        <v>42311.6</v>
      </c>
      <c r="GN25">
        <v>43751.6</v>
      </c>
      <c r="GO25">
        <v>1.7437800000000001</v>
      </c>
      <c r="GP25">
        <v>1.9072499999999999</v>
      </c>
      <c r="GQ25">
        <v>-6.1541800000000004E-3</v>
      </c>
      <c r="GR25">
        <v>0</v>
      </c>
      <c r="GS25">
        <v>30.0395</v>
      </c>
      <c r="GT25">
        <v>999.9</v>
      </c>
      <c r="GU25">
        <v>52.6</v>
      </c>
      <c r="GV25">
        <v>35.6</v>
      </c>
      <c r="GW25">
        <v>30.871099999999998</v>
      </c>
      <c r="GX25">
        <v>61.4465</v>
      </c>
      <c r="GY25">
        <v>28.982399999999998</v>
      </c>
      <c r="GZ25">
        <v>1</v>
      </c>
      <c r="HA25">
        <v>0.66604699999999994</v>
      </c>
      <c r="HB25">
        <v>2.86361</v>
      </c>
      <c r="HC25">
        <v>20.241399999999999</v>
      </c>
      <c r="HD25">
        <v>5.2724000000000002</v>
      </c>
      <c r="HE25">
        <v>12.0878</v>
      </c>
      <c r="HF25">
        <v>5.0129999999999999</v>
      </c>
      <c r="HG25">
        <v>3.2919</v>
      </c>
      <c r="HH25">
        <v>9999</v>
      </c>
      <c r="HI25">
        <v>9999</v>
      </c>
      <c r="HJ25">
        <v>9999</v>
      </c>
      <c r="HK25">
        <v>999.9</v>
      </c>
      <c r="HL25">
        <v>1.8763799999999999</v>
      </c>
      <c r="HM25">
        <v>1.8769499999999999</v>
      </c>
      <c r="HN25">
        <v>1.8766799999999999</v>
      </c>
      <c r="HO25">
        <v>1.88049</v>
      </c>
      <c r="HP25">
        <v>1.87408</v>
      </c>
      <c r="HQ25">
        <v>1.87717</v>
      </c>
      <c r="HR25">
        <v>1.8769800000000001</v>
      </c>
      <c r="HS25">
        <v>1.87836</v>
      </c>
      <c r="HT25">
        <v>0</v>
      </c>
      <c r="HU25">
        <v>0</v>
      </c>
      <c r="HV25">
        <v>0</v>
      </c>
      <c r="HW25">
        <v>0</v>
      </c>
      <c r="HX25" t="s">
        <v>421</v>
      </c>
      <c r="HY25" t="s">
        <v>422</v>
      </c>
      <c r="HZ25" t="s">
        <v>423</v>
      </c>
      <c r="IA25" t="s">
        <v>424</v>
      </c>
      <c r="IB25" t="s">
        <v>424</v>
      </c>
      <c r="IC25" t="s">
        <v>423</v>
      </c>
      <c r="ID25">
        <v>0</v>
      </c>
      <c r="IE25">
        <v>100</v>
      </c>
      <c r="IF25">
        <v>100</v>
      </c>
      <c r="IG25">
        <v>1.1599999999999999</v>
      </c>
      <c r="IH25">
        <v>0.2898</v>
      </c>
      <c r="II25">
        <v>0.97463484192788186</v>
      </c>
      <c r="IJ25">
        <v>8.9576739069318506E-4</v>
      </c>
      <c r="IK25">
        <v>-7.2130504814809596E-7</v>
      </c>
      <c r="IL25">
        <v>1.9987036519832741E-10</v>
      </c>
      <c r="IM25">
        <v>0.28977500000000228</v>
      </c>
      <c r="IN25">
        <v>0</v>
      </c>
      <c r="IO25">
        <v>0</v>
      </c>
      <c r="IP25">
        <v>0</v>
      </c>
      <c r="IQ25">
        <v>1</v>
      </c>
      <c r="IR25">
        <v>2126</v>
      </c>
      <c r="IS25">
        <v>0</v>
      </c>
      <c r="IT25">
        <v>20</v>
      </c>
      <c r="IU25">
        <v>1.5</v>
      </c>
      <c r="IV25">
        <v>1.4</v>
      </c>
      <c r="IW25">
        <v>0.82031200000000004</v>
      </c>
      <c r="IX25">
        <v>2.65747</v>
      </c>
      <c r="IY25">
        <v>1.69434</v>
      </c>
      <c r="IZ25">
        <v>2.34619</v>
      </c>
      <c r="JA25">
        <v>1.5466299999999999</v>
      </c>
      <c r="JB25">
        <v>2.2936999999999999</v>
      </c>
      <c r="JC25">
        <v>42.885199999999998</v>
      </c>
      <c r="JD25">
        <v>23.719799999999999</v>
      </c>
      <c r="JE25">
        <v>18</v>
      </c>
      <c r="JF25">
        <v>496.65100000000001</v>
      </c>
      <c r="JG25">
        <v>511.88</v>
      </c>
      <c r="JH25">
        <v>26.895199999999999</v>
      </c>
      <c r="JI25">
        <v>35.458500000000001</v>
      </c>
      <c r="JJ25">
        <v>30.0001</v>
      </c>
      <c r="JK25">
        <v>35.3446</v>
      </c>
      <c r="JL25">
        <v>35.288699999999999</v>
      </c>
      <c r="JM25">
        <v>16.503299999999999</v>
      </c>
      <c r="JN25">
        <v>28.1358</v>
      </c>
      <c r="JO25">
        <v>69.674899999999994</v>
      </c>
      <c r="JP25">
        <v>26.930199999999999</v>
      </c>
      <c r="JQ25">
        <v>300</v>
      </c>
      <c r="JR25">
        <v>22.659800000000001</v>
      </c>
      <c r="JS25">
        <v>98.658199999999994</v>
      </c>
      <c r="JT25">
        <v>98.577500000000001</v>
      </c>
    </row>
    <row r="26" spans="1:280" x14ac:dyDescent="0.25">
      <c r="A26">
        <v>10</v>
      </c>
      <c r="B26">
        <v>1700148949</v>
      </c>
      <c r="C26">
        <v>1419.400000095367</v>
      </c>
      <c r="D26" t="s">
        <v>460</v>
      </c>
      <c r="E26" t="s">
        <v>461</v>
      </c>
      <c r="F26" t="s">
        <v>412</v>
      </c>
      <c r="G26" t="s">
        <v>413</v>
      </c>
      <c r="H26" t="s">
        <v>414</v>
      </c>
      <c r="I26">
        <v>1700148949</v>
      </c>
      <c r="J26">
        <f t="shared" si="0"/>
        <v>6.2589431050061308E-3</v>
      </c>
      <c r="K26">
        <f t="shared" si="1"/>
        <v>6.2589431050061313</v>
      </c>
      <c r="L26">
        <f t="shared" si="2"/>
        <v>31.074022497617847</v>
      </c>
      <c r="M26">
        <f t="shared" si="3"/>
        <v>165.60499999999999</v>
      </c>
      <c r="N26">
        <f t="shared" si="4"/>
        <v>46.433033153242292</v>
      </c>
      <c r="O26">
        <f t="shared" si="5"/>
        <v>4.6242193851312798</v>
      </c>
      <c r="P26">
        <f t="shared" si="6"/>
        <v>16.492436510605</v>
      </c>
      <c r="Q26">
        <f t="shared" si="7"/>
        <v>0.45635890260097578</v>
      </c>
      <c r="R26">
        <f t="shared" si="8"/>
        <v>3.0413437513602468</v>
      </c>
      <c r="S26">
        <f t="shared" si="9"/>
        <v>0.42144594429093873</v>
      </c>
      <c r="T26">
        <f t="shared" si="10"/>
        <v>0.26631757728082756</v>
      </c>
      <c r="U26">
        <f t="shared" si="11"/>
        <v>289.55573684764073</v>
      </c>
      <c r="V26">
        <f t="shared" si="12"/>
        <v>30.451612437864366</v>
      </c>
      <c r="W26">
        <f t="shared" si="13"/>
        <v>29.938199999999998</v>
      </c>
      <c r="X26">
        <f t="shared" si="14"/>
        <v>4.2453496504403914</v>
      </c>
      <c r="Y26">
        <f t="shared" si="15"/>
        <v>64.755128023831233</v>
      </c>
      <c r="Z26">
        <f t="shared" si="16"/>
        <v>2.8187969610043</v>
      </c>
      <c r="AA26">
        <f t="shared" si="17"/>
        <v>4.3530096334099193</v>
      </c>
      <c r="AB26">
        <f t="shared" si="18"/>
        <v>1.4265526894360914</v>
      </c>
      <c r="AC26">
        <f t="shared" si="19"/>
        <v>-276.01939093077038</v>
      </c>
      <c r="AD26">
        <f t="shared" si="20"/>
        <v>71.570689467135523</v>
      </c>
      <c r="AE26">
        <f t="shared" si="21"/>
        <v>5.2406066384619177</v>
      </c>
      <c r="AF26">
        <f t="shared" si="22"/>
        <v>90.347642022467809</v>
      </c>
      <c r="AG26">
        <v>5</v>
      </c>
      <c r="AH26">
        <v>1</v>
      </c>
      <c r="AI26">
        <f t="shared" si="23"/>
        <v>1</v>
      </c>
      <c r="AJ26">
        <f t="shared" si="24"/>
        <v>0</v>
      </c>
      <c r="AK26">
        <f t="shared" si="25"/>
        <v>51828.165323150286</v>
      </c>
      <c r="AL26" t="s">
        <v>415</v>
      </c>
      <c r="AM26">
        <v>6960.3</v>
      </c>
      <c r="AN26">
        <v>244.8124</v>
      </c>
      <c r="AO26">
        <v>892.86711584811997</v>
      </c>
      <c r="AP26">
        <f t="shared" si="26"/>
        <v>0.72581317459826411</v>
      </c>
      <c r="AQ26">
        <v>-0.43209471141234851</v>
      </c>
      <c r="AR26" t="s">
        <v>462</v>
      </c>
      <c r="AS26">
        <v>7137.06</v>
      </c>
      <c r="AT26">
        <v>605.93565384615374</v>
      </c>
      <c r="AU26">
        <v>769.48414971742113</v>
      </c>
      <c r="AV26">
        <f t="shared" si="27"/>
        <v>0.21254303409800912</v>
      </c>
      <c r="AW26">
        <v>0.5</v>
      </c>
      <c r="AX26">
        <f t="shared" si="28"/>
        <v>1513.1336999210573</v>
      </c>
      <c r="AY26">
        <f t="shared" si="29"/>
        <v>31.074022497617847</v>
      </c>
      <c r="AZ26">
        <f t="shared" si="30"/>
        <v>160.803013788584</v>
      </c>
      <c r="BA26">
        <f t="shared" si="31"/>
        <v>2.0821766913706252E-2</v>
      </c>
      <c r="BB26">
        <f t="shared" si="32"/>
        <v>0.16034503917463272</v>
      </c>
      <c r="BC26">
        <f t="shared" si="33"/>
        <v>234.50261061797409</v>
      </c>
      <c r="BD26" t="s">
        <v>463</v>
      </c>
      <c r="BE26">
        <v>441.39</v>
      </c>
      <c r="BF26">
        <f t="shared" si="34"/>
        <v>441.39</v>
      </c>
      <c r="BG26">
        <f t="shared" si="35"/>
        <v>0.42638194670794416</v>
      </c>
      <c r="BH26">
        <f t="shared" si="36"/>
        <v>0.49848037830643249</v>
      </c>
      <c r="BI26">
        <f t="shared" si="37"/>
        <v>0.27328730914504584</v>
      </c>
      <c r="BJ26">
        <f t="shared" si="38"/>
        <v>0.3117158413033515</v>
      </c>
      <c r="BK26">
        <f t="shared" si="39"/>
        <v>0.19038973579449306</v>
      </c>
      <c r="BL26">
        <f t="shared" si="40"/>
        <v>0.36311488321256646</v>
      </c>
      <c r="BM26">
        <f t="shared" si="41"/>
        <v>0.63688511678743354</v>
      </c>
      <c r="BN26">
        <v>35</v>
      </c>
      <c r="BO26">
        <v>290.00000000000011</v>
      </c>
      <c r="BP26">
        <v>724.64</v>
      </c>
      <c r="BQ26">
        <v>275</v>
      </c>
      <c r="BR26">
        <v>7137.06</v>
      </c>
      <c r="BS26">
        <v>725.16</v>
      </c>
      <c r="BT26">
        <v>-0.52</v>
      </c>
      <c r="BU26">
        <v>300.00000000000011</v>
      </c>
      <c r="BV26">
        <v>38.200000000000003</v>
      </c>
      <c r="BW26">
        <v>769.48414971742113</v>
      </c>
      <c r="BX26">
        <v>0.97987980654798656</v>
      </c>
      <c r="BY26">
        <v>-31.63218811507825</v>
      </c>
      <c r="BZ26">
        <v>0.58616537952489145</v>
      </c>
      <c r="CA26">
        <v>0.99047677192173222</v>
      </c>
      <c r="CB26">
        <v>-7.0431666295884404E-3</v>
      </c>
      <c r="CC26">
        <v>289.99999999999989</v>
      </c>
      <c r="CD26">
        <v>730.73</v>
      </c>
      <c r="CE26">
        <v>885</v>
      </c>
      <c r="CF26">
        <v>7130.73</v>
      </c>
      <c r="CG26">
        <v>725.12</v>
      </c>
      <c r="CH26">
        <v>5.61</v>
      </c>
      <c r="CV26">
        <f t="shared" si="42"/>
        <v>1799.94</v>
      </c>
      <c r="CW26">
        <f t="shared" si="43"/>
        <v>1513.1336999210573</v>
      </c>
      <c r="CX26">
        <f t="shared" si="44"/>
        <v>0.84065785521798353</v>
      </c>
      <c r="CY26">
        <f t="shared" si="45"/>
        <v>0.16086966057070831</v>
      </c>
      <c r="CZ26">
        <v>5.36</v>
      </c>
      <c r="DA26">
        <v>0.5</v>
      </c>
      <c r="DB26" t="s">
        <v>418</v>
      </c>
      <c r="DC26">
        <v>2</v>
      </c>
      <c r="DD26">
        <v>1700148949</v>
      </c>
      <c r="DE26">
        <v>165.60499999999999</v>
      </c>
      <c r="DF26">
        <v>200.01599999999999</v>
      </c>
      <c r="DG26">
        <v>28.304300000000001</v>
      </c>
      <c r="DH26">
        <v>21.786799999999999</v>
      </c>
      <c r="DI26">
        <v>164.58699999999999</v>
      </c>
      <c r="DJ26">
        <v>28.020199999999999</v>
      </c>
      <c r="DK26">
        <v>500.16699999999997</v>
      </c>
      <c r="DL26">
        <v>99.488699999999994</v>
      </c>
      <c r="DM26">
        <v>0.100301</v>
      </c>
      <c r="DN26">
        <v>30.374700000000001</v>
      </c>
      <c r="DO26">
        <v>29.938199999999998</v>
      </c>
      <c r="DP26">
        <v>999.9</v>
      </c>
      <c r="DQ26">
        <v>0</v>
      </c>
      <c r="DR26">
        <v>0</v>
      </c>
      <c r="DS26">
        <v>9961.25</v>
      </c>
      <c r="DT26">
        <v>0</v>
      </c>
      <c r="DU26">
        <v>264.85700000000003</v>
      </c>
      <c r="DV26">
        <v>-34.410600000000002</v>
      </c>
      <c r="DW26">
        <v>170.429</v>
      </c>
      <c r="DX26">
        <v>204.471</v>
      </c>
      <c r="DY26">
        <v>6.51755</v>
      </c>
      <c r="DZ26">
        <v>200.01599999999999</v>
      </c>
      <c r="EA26">
        <v>21.786799999999999</v>
      </c>
      <c r="EB26">
        <v>2.81596</v>
      </c>
      <c r="EC26">
        <v>2.1675399999999998</v>
      </c>
      <c r="ED26">
        <v>22.977900000000002</v>
      </c>
      <c r="EE26">
        <v>18.724399999999999</v>
      </c>
      <c r="EF26">
        <v>1799.94</v>
      </c>
      <c r="EG26">
        <v>0.97801000000000005</v>
      </c>
      <c r="EH26">
        <v>2.1990099999999999E-2</v>
      </c>
      <c r="EI26">
        <v>0</v>
      </c>
      <c r="EJ26">
        <v>605.92399999999998</v>
      </c>
      <c r="EK26">
        <v>5.0001199999999999</v>
      </c>
      <c r="EL26">
        <v>11060.3</v>
      </c>
      <c r="EM26">
        <v>15629.5</v>
      </c>
      <c r="EN26">
        <v>52.125</v>
      </c>
      <c r="EO26">
        <v>53.375</v>
      </c>
      <c r="EP26">
        <v>53.125</v>
      </c>
      <c r="EQ26">
        <v>53.311999999999998</v>
      </c>
      <c r="ER26">
        <v>53.561999999999998</v>
      </c>
      <c r="ES26">
        <v>1755.47</v>
      </c>
      <c r="ET26">
        <v>39.47</v>
      </c>
      <c r="EU26">
        <v>0</v>
      </c>
      <c r="EV26">
        <v>180.79999995231631</v>
      </c>
      <c r="EW26">
        <v>0</v>
      </c>
      <c r="EX26">
        <v>605.93565384615374</v>
      </c>
      <c r="EY26">
        <v>-1.5226324765431209</v>
      </c>
      <c r="EZ26">
        <v>-26.02051280825432</v>
      </c>
      <c r="FA26">
        <v>11064.926923076921</v>
      </c>
      <c r="FB26">
        <v>15</v>
      </c>
      <c r="FC26">
        <v>1700148845</v>
      </c>
      <c r="FD26" t="s">
        <v>464</v>
      </c>
      <c r="FE26">
        <v>1700148834.5</v>
      </c>
      <c r="FF26">
        <v>1700148845</v>
      </c>
      <c r="FG26">
        <v>12</v>
      </c>
      <c r="FH26">
        <v>-8.5000000000000006E-2</v>
      </c>
      <c r="FI26">
        <v>-6.0000000000000001E-3</v>
      </c>
      <c r="FJ26">
        <v>1.0409999999999999</v>
      </c>
      <c r="FK26">
        <v>0.28399999999999997</v>
      </c>
      <c r="FL26">
        <v>200</v>
      </c>
      <c r="FM26">
        <v>23</v>
      </c>
      <c r="FN26">
        <v>0.04</v>
      </c>
      <c r="FO26">
        <v>0.04</v>
      </c>
      <c r="FP26">
        <v>30.948709121352199</v>
      </c>
      <c r="FQ26">
        <v>0.62957935628606831</v>
      </c>
      <c r="FR26">
        <v>5.4709652848945668E-2</v>
      </c>
      <c r="FS26">
        <v>1</v>
      </c>
      <c r="FT26">
        <v>0.45732107190766608</v>
      </c>
      <c r="FU26">
        <v>1.358022964904629E-2</v>
      </c>
      <c r="FV26">
        <v>2.6290598454881951E-3</v>
      </c>
      <c r="FW26">
        <v>1</v>
      </c>
      <c r="FX26">
        <v>2</v>
      </c>
      <c r="FY26">
        <v>2</v>
      </c>
      <c r="FZ26" t="s">
        <v>420</v>
      </c>
      <c r="GA26">
        <v>2.9124099999999999</v>
      </c>
      <c r="GB26">
        <v>2.7509700000000001</v>
      </c>
      <c r="GC26">
        <v>4.2968100000000002E-2</v>
      </c>
      <c r="GD26">
        <v>5.2133199999999998E-2</v>
      </c>
      <c r="GE26">
        <v>0.128806</v>
      </c>
      <c r="GF26">
        <v>0.109567</v>
      </c>
      <c r="GG26">
        <v>29582.9</v>
      </c>
      <c r="GH26">
        <v>29164.2</v>
      </c>
      <c r="GI26">
        <v>28163.1</v>
      </c>
      <c r="GJ26">
        <v>28142.1</v>
      </c>
      <c r="GK26">
        <v>33435.699999999997</v>
      </c>
      <c r="GL26">
        <v>34998.800000000003</v>
      </c>
      <c r="GM26">
        <v>42305.3</v>
      </c>
      <c r="GN26">
        <v>43744.7</v>
      </c>
      <c r="GO26">
        <v>1.7436</v>
      </c>
      <c r="GP26">
        <v>1.8998999999999999</v>
      </c>
      <c r="GQ26">
        <v>-6.4224E-3</v>
      </c>
      <c r="GR26">
        <v>0</v>
      </c>
      <c r="GS26">
        <v>30.0427</v>
      </c>
      <c r="GT26">
        <v>999.9</v>
      </c>
      <c r="GU26">
        <v>50.5</v>
      </c>
      <c r="GV26">
        <v>36.1</v>
      </c>
      <c r="GW26">
        <v>30.463799999999999</v>
      </c>
      <c r="GX26">
        <v>61.476500000000001</v>
      </c>
      <c r="GY26">
        <v>29.178699999999999</v>
      </c>
      <c r="GZ26">
        <v>1</v>
      </c>
      <c r="HA26">
        <v>0.67323200000000005</v>
      </c>
      <c r="HB26">
        <v>2.4346800000000002</v>
      </c>
      <c r="HC26">
        <v>20.247900000000001</v>
      </c>
      <c r="HD26">
        <v>5.27135</v>
      </c>
      <c r="HE26">
        <v>12.0878</v>
      </c>
      <c r="HF26">
        <v>5.01295</v>
      </c>
      <c r="HG26">
        <v>3.29183</v>
      </c>
      <c r="HH26">
        <v>9999</v>
      </c>
      <c r="HI26">
        <v>9999</v>
      </c>
      <c r="HJ26">
        <v>9999</v>
      </c>
      <c r="HK26">
        <v>999.9</v>
      </c>
      <c r="HL26">
        <v>1.8765099999999999</v>
      </c>
      <c r="HM26">
        <v>1.877</v>
      </c>
      <c r="HN26">
        <v>1.8767199999999999</v>
      </c>
      <c r="HO26">
        <v>1.8805799999999999</v>
      </c>
      <c r="HP26">
        <v>1.8741000000000001</v>
      </c>
      <c r="HQ26">
        <v>1.8772800000000001</v>
      </c>
      <c r="HR26">
        <v>1.87706</v>
      </c>
      <c r="HS26">
        <v>1.87849</v>
      </c>
      <c r="HT26">
        <v>0</v>
      </c>
      <c r="HU26">
        <v>0</v>
      </c>
      <c r="HV26">
        <v>0</v>
      </c>
      <c r="HW26">
        <v>0</v>
      </c>
      <c r="HX26" t="s">
        <v>421</v>
      </c>
      <c r="HY26" t="s">
        <v>422</v>
      </c>
      <c r="HZ26" t="s">
        <v>423</v>
      </c>
      <c r="IA26" t="s">
        <v>424</v>
      </c>
      <c r="IB26" t="s">
        <v>424</v>
      </c>
      <c r="IC26" t="s">
        <v>423</v>
      </c>
      <c r="ID26">
        <v>0</v>
      </c>
      <c r="IE26">
        <v>100</v>
      </c>
      <c r="IF26">
        <v>100</v>
      </c>
      <c r="IG26">
        <v>1.018</v>
      </c>
      <c r="IH26">
        <v>0.28410000000000002</v>
      </c>
      <c r="II26">
        <v>0.8898626484621851</v>
      </c>
      <c r="IJ26">
        <v>8.9576739069318506E-4</v>
      </c>
      <c r="IK26">
        <v>-7.2130504814809596E-7</v>
      </c>
      <c r="IL26">
        <v>1.9987036519832741E-10</v>
      </c>
      <c r="IM26">
        <v>0.28410952380952642</v>
      </c>
      <c r="IN26">
        <v>0</v>
      </c>
      <c r="IO26">
        <v>0</v>
      </c>
      <c r="IP26">
        <v>0</v>
      </c>
      <c r="IQ26">
        <v>1</v>
      </c>
      <c r="IR26">
        <v>2126</v>
      </c>
      <c r="IS26">
        <v>0</v>
      </c>
      <c r="IT26">
        <v>20</v>
      </c>
      <c r="IU26">
        <v>1.9</v>
      </c>
      <c r="IV26">
        <v>1.7</v>
      </c>
      <c r="IW26">
        <v>0.60302699999999998</v>
      </c>
      <c r="IX26">
        <v>2.6684600000000001</v>
      </c>
      <c r="IY26">
        <v>1.69434</v>
      </c>
      <c r="IZ26">
        <v>2.34497</v>
      </c>
      <c r="JA26">
        <v>1.5466299999999999</v>
      </c>
      <c r="JB26">
        <v>2.32666</v>
      </c>
      <c r="JC26">
        <v>43.508099999999999</v>
      </c>
      <c r="JD26">
        <v>23.719799999999999</v>
      </c>
      <c r="JE26">
        <v>18</v>
      </c>
      <c r="JF26">
        <v>497.44600000000003</v>
      </c>
      <c r="JG26">
        <v>507.39400000000001</v>
      </c>
      <c r="JH26">
        <v>27.472200000000001</v>
      </c>
      <c r="JI26">
        <v>35.546500000000002</v>
      </c>
      <c r="JJ26">
        <v>30</v>
      </c>
      <c r="JK26">
        <v>35.453600000000002</v>
      </c>
      <c r="JL26">
        <v>35.400300000000001</v>
      </c>
      <c r="JM26">
        <v>12.160399999999999</v>
      </c>
      <c r="JN26">
        <v>30.0943</v>
      </c>
      <c r="JO26">
        <v>65.507800000000003</v>
      </c>
      <c r="JP26">
        <v>27.511500000000002</v>
      </c>
      <c r="JQ26">
        <v>200</v>
      </c>
      <c r="JR26">
        <v>21.9176</v>
      </c>
      <c r="JS26">
        <v>98.643900000000002</v>
      </c>
      <c r="JT26">
        <v>98.560400000000001</v>
      </c>
    </row>
    <row r="27" spans="1:280" x14ac:dyDescent="0.25">
      <c r="A27">
        <v>11</v>
      </c>
      <c r="B27">
        <v>1700149095</v>
      </c>
      <c r="C27">
        <v>1565.400000095367</v>
      </c>
      <c r="D27" t="s">
        <v>465</v>
      </c>
      <c r="E27" t="s">
        <v>466</v>
      </c>
      <c r="F27" t="s">
        <v>412</v>
      </c>
      <c r="G27" t="s">
        <v>413</v>
      </c>
      <c r="H27" t="s">
        <v>414</v>
      </c>
      <c r="I27">
        <v>1700149095</v>
      </c>
      <c r="J27">
        <f t="shared" si="0"/>
        <v>6.724501014280097E-3</v>
      </c>
      <c r="K27">
        <f t="shared" si="1"/>
        <v>6.7245010142800972</v>
      </c>
      <c r="L27">
        <f t="shared" si="2"/>
        <v>20.191918931135231</v>
      </c>
      <c r="M27">
        <f t="shared" si="3"/>
        <v>97.62</v>
      </c>
      <c r="N27">
        <f t="shared" si="4"/>
        <v>28.080678873816662</v>
      </c>
      <c r="O27">
        <f t="shared" si="5"/>
        <v>2.7963363778666457</v>
      </c>
      <c r="P27">
        <f t="shared" si="6"/>
        <v>9.721216443306</v>
      </c>
      <c r="Q27">
        <f t="shared" si="7"/>
        <v>0.51186599395166921</v>
      </c>
      <c r="R27">
        <f t="shared" si="8"/>
        <v>3.0568547330474662</v>
      </c>
      <c r="S27">
        <f t="shared" si="9"/>
        <v>0.46857756871413703</v>
      </c>
      <c r="T27">
        <f t="shared" si="10"/>
        <v>0.29644459808602674</v>
      </c>
      <c r="U27">
        <f t="shared" si="11"/>
        <v>289.56284084748887</v>
      </c>
      <c r="V27">
        <f t="shared" si="12"/>
        <v>30.36318520585651</v>
      </c>
      <c r="W27">
        <f t="shared" si="13"/>
        <v>29.891500000000001</v>
      </c>
      <c r="X27">
        <f t="shared" si="14"/>
        <v>4.2339700016419703</v>
      </c>
      <c r="Y27">
        <f t="shared" si="15"/>
        <v>65.498893884773921</v>
      </c>
      <c r="Z27">
        <f t="shared" si="16"/>
        <v>2.8557492348864897</v>
      </c>
      <c r="AA27">
        <f t="shared" si="17"/>
        <v>4.3599961243778287</v>
      </c>
      <c r="AB27">
        <f t="shared" si="18"/>
        <v>1.3782207667554807</v>
      </c>
      <c r="AC27">
        <f t="shared" si="19"/>
        <v>-296.5504947297523</v>
      </c>
      <c r="AD27">
        <f t="shared" si="20"/>
        <v>84.246349090549515</v>
      </c>
      <c r="AE27">
        <f t="shared" si="21"/>
        <v>6.1368860456568388</v>
      </c>
      <c r="AF27">
        <f t="shared" si="22"/>
        <v>83.39558125394295</v>
      </c>
      <c r="AG27">
        <v>5</v>
      </c>
      <c r="AH27">
        <v>1</v>
      </c>
      <c r="AI27">
        <f t="shared" si="23"/>
        <v>1</v>
      </c>
      <c r="AJ27">
        <f t="shared" si="24"/>
        <v>0</v>
      </c>
      <c r="AK27">
        <f t="shared" si="25"/>
        <v>52235.039406662989</v>
      </c>
      <c r="AL27" t="s">
        <v>427</v>
      </c>
      <c r="AM27" t="s">
        <v>427</v>
      </c>
      <c r="AN27">
        <v>0</v>
      </c>
      <c r="AO27">
        <v>0</v>
      </c>
      <c r="AP27" t="e">
        <f t="shared" si="26"/>
        <v>#DIV/0!</v>
      </c>
      <c r="AQ27">
        <v>0</v>
      </c>
      <c r="AR27" t="s">
        <v>427</v>
      </c>
      <c r="AS27" t="s">
        <v>427</v>
      </c>
      <c r="AT27">
        <v>0</v>
      </c>
      <c r="AU27">
        <v>0</v>
      </c>
      <c r="AV27" t="e">
        <f t="shared" si="27"/>
        <v>#DIV/0!</v>
      </c>
      <c r="AW27">
        <v>0.5</v>
      </c>
      <c r="AX27">
        <f t="shared" si="28"/>
        <v>1513.1600999209786</v>
      </c>
      <c r="AY27">
        <f t="shared" si="29"/>
        <v>20.191918931135231</v>
      </c>
      <c r="AZ27" t="e">
        <f t="shared" si="30"/>
        <v>#DIV/0!</v>
      </c>
      <c r="BA27">
        <f t="shared" si="31"/>
        <v>1.3344205237892348E-2</v>
      </c>
      <c r="BB27" t="e">
        <f t="shared" si="32"/>
        <v>#DIV/0!</v>
      </c>
      <c r="BC27" t="e">
        <f t="shared" si="33"/>
        <v>#DIV/0!</v>
      </c>
      <c r="BD27" t="s">
        <v>427</v>
      </c>
      <c r="BE27">
        <v>0</v>
      </c>
      <c r="BF27" t="e">
        <f t="shared" si="34"/>
        <v>#DIV/0!</v>
      </c>
      <c r="BG27" t="e">
        <f t="shared" si="35"/>
        <v>#DIV/0!</v>
      </c>
      <c r="BH27" t="e">
        <f t="shared" si="36"/>
        <v>#DIV/0!</v>
      </c>
      <c r="BI27" t="e">
        <f t="shared" si="37"/>
        <v>#DIV/0!</v>
      </c>
      <c r="BJ27" t="e">
        <f t="shared" si="38"/>
        <v>#DIV/0!</v>
      </c>
      <c r="BK27" t="e">
        <f t="shared" si="39"/>
        <v>#DIV/0!</v>
      </c>
      <c r="BL27" t="e">
        <f t="shared" si="40"/>
        <v>#DIV/0!</v>
      </c>
      <c r="BM27" t="e">
        <f t="shared" si="41"/>
        <v>#DIV/0!</v>
      </c>
      <c r="BN27">
        <v>35</v>
      </c>
      <c r="BO27">
        <v>290.00000000000011</v>
      </c>
      <c r="BP27">
        <v>724.64</v>
      </c>
      <c r="BQ27">
        <v>275</v>
      </c>
      <c r="BR27">
        <v>7137.06</v>
      </c>
      <c r="BS27">
        <v>725.16</v>
      </c>
      <c r="BT27">
        <v>-0.52</v>
      </c>
      <c r="BU27">
        <v>300.00000000000011</v>
      </c>
      <c r="BV27">
        <v>38.200000000000003</v>
      </c>
      <c r="BW27">
        <v>769.48414971742113</v>
      </c>
      <c r="BX27">
        <v>0.97987980654798656</v>
      </c>
      <c r="BY27">
        <v>-31.63218811507825</v>
      </c>
      <c r="BZ27">
        <v>0.58616537952489145</v>
      </c>
      <c r="CA27">
        <v>0.99047677192173222</v>
      </c>
      <c r="CB27">
        <v>-7.0431666295884404E-3</v>
      </c>
      <c r="CC27">
        <v>289.99999999999989</v>
      </c>
      <c r="CD27">
        <v>730.73</v>
      </c>
      <c r="CE27">
        <v>885</v>
      </c>
      <c r="CF27">
        <v>7130.73</v>
      </c>
      <c r="CG27">
        <v>725.12</v>
      </c>
      <c r="CH27">
        <v>5.61</v>
      </c>
      <c r="CV27">
        <f t="shared" si="42"/>
        <v>1799.97</v>
      </c>
      <c r="CW27">
        <f t="shared" si="43"/>
        <v>1513.1600999209786</v>
      </c>
      <c r="CX27">
        <f t="shared" si="44"/>
        <v>0.84065851093128141</v>
      </c>
      <c r="CY27">
        <f t="shared" si="45"/>
        <v>0.16087092609737322</v>
      </c>
      <c r="CZ27">
        <v>5.36</v>
      </c>
      <c r="DA27">
        <v>0.5</v>
      </c>
      <c r="DB27" t="s">
        <v>418</v>
      </c>
      <c r="DC27">
        <v>2</v>
      </c>
      <c r="DD27">
        <v>1700149095</v>
      </c>
      <c r="DE27">
        <v>97.62</v>
      </c>
      <c r="DF27">
        <v>119.96899999999999</v>
      </c>
      <c r="DG27">
        <v>28.677299999999999</v>
      </c>
      <c r="DH27">
        <v>21.6755</v>
      </c>
      <c r="DI27">
        <v>96.5976</v>
      </c>
      <c r="DJ27">
        <v>28.3963</v>
      </c>
      <c r="DK27">
        <v>500.01</v>
      </c>
      <c r="DL27">
        <v>99.482699999999994</v>
      </c>
      <c r="DM27">
        <v>9.9521299999999993E-2</v>
      </c>
      <c r="DN27">
        <v>30.402699999999999</v>
      </c>
      <c r="DO27">
        <v>29.891500000000001</v>
      </c>
      <c r="DP27">
        <v>999.9</v>
      </c>
      <c r="DQ27">
        <v>0</v>
      </c>
      <c r="DR27">
        <v>0</v>
      </c>
      <c r="DS27">
        <v>10044.4</v>
      </c>
      <c r="DT27">
        <v>0</v>
      </c>
      <c r="DU27">
        <v>270.72300000000001</v>
      </c>
      <c r="DV27">
        <v>-22.3491</v>
      </c>
      <c r="DW27">
        <v>100.502</v>
      </c>
      <c r="DX27">
        <v>122.627</v>
      </c>
      <c r="DY27">
        <v>7.0017199999999997</v>
      </c>
      <c r="DZ27">
        <v>119.96899999999999</v>
      </c>
      <c r="EA27">
        <v>21.6755</v>
      </c>
      <c r="EB27">
        <v>2.8528899999999999</v>
      </c>
      <c r="EC27">
        <v>2.1563400000000001</v>
      </c>
      <c r="ED27">
        <v>23.1934</v>
      </c>
      <c r="EE27">
        <v>18.6416</v>
      </c>
      <c r="EF27">
        <v>1799.97</v>
      </c>
      <c r="EG27">
        <v>0.977989</v>
      </c>
      <c r="EH27">
        <v>2.2010700000000001E-2</v>
      </c>
      <c r="EI27">
        <v>0</v>
      </c>
      <c r="EJ27">
        <v>627.41600000000005</v>
      </c>
      <c r="EK27">
        <v>5.0001199999999999</v>
      </c>
      <c r="EL27">
        <v>11438</v>
      </c>
      <c r="EM27">
        <v>15629.6</v>
      </c>
      <c r="EN27">
        <v>52.25</v>
      </c>
      <c r="EO27">
        <v>53.375</v>
      </c>
      <c r="EP27">
        <v>53.186999999999998</v>
      </c>
      <c r="EQ27">
        <v>53.375</v>
      </c>
      <c r="ER27">
        <v>53.686999999999998</v>
      </c>
      <c r="ES27">
        <v>1755.46</v>
      </c>
      <c r="ET27">
        <v>39.51</v>
      </c>
      <c r="EU27">
        <v>0</v>
      </c>
      <c r="EV27">
        <v>144</v>
      </c>
      <c r="EW27">
        <v>0</v>
      </c>
      <c r="EX27">
        <v>627.07334615384616</v>
      </c>
      <c r="EY27">
        <v>0.19962391815740649</v>
      </c>
      <c r="EZ27">
        <v>-4.9914529583334906</v>
      </c>
      <c r="FA27">
        <v>11439.14615384615</v>
      </c>
      <c r="FB27">
        <v>15</v>
      </c>
      <c r="FC27">
        <v>1700149037</v>
      </c>
      <c r="FD27" t="s">
        <v>467</v>
      </c>
      <c r="FE27">
        <v>1700149021.5</v>
      </c>
      <c r="FF27">
        <v>1700149037</v>
      </c>
      <c r="FG27">
        <v>13</v>
      </c>
      <c r="FH27">
        <v>5.2999999999999999E-2</v>
      </c>
      <c r="FI27">
        <v>-3.0000000000000001E-3</v>
      </c>
      <c r="FJ27">
        <v>1.0389999999999999</v>
      </c>
      <c r="FK27">
        <v>0.28100000000000003</v>
      </c>
      <c r="FL27">
        <v>120</v>
      </c>
      <c r="FM27">
        <v>22</v>
      </c>
      <c r="FN27">
        <v>0.06</v>
      </c>
      <c r="FO27">
        <v>0.02</v>
      </c>
      <c r="FP27">
        <v>20.112841307986351</v>
      </c>
      <c r="FQ27">
        <v>0.62317448846404111</v>
      </c>
      <c r="FR27">
        <v>5.192607274232261E-2</v>
      </c>
      <c r="FS27">
        <v>1</v>
      </c>
      <c r="FT27">
        <v>0.51653028690199465</v>
      </c>
      <c r="FU27">
        <v>-4.6202906190377681E-2</v>
      </c>
      <c r="FV27">
        <v>3.53850881507918E-3</v>
      </c>
      <c r="FW27">
        <v>1</v>
      </c>
      <c r="FX27">
        <v>2</v>
      </c>
      <c r="FY27">
        <v>2</v>
      </c>
      <c r="FZ27" t="s">
        <v>420</v>
      </c>
      <c r="GA27">
        <v>2.91188</v>
      </c>
      <c r="GB27">
        <v>2.7509100000000002</v>
      </c>
      <c r="GC27">
        <v>2.6115599999999999E-2</v>
      </c>
      <c r="GD27">
        <v>3.2737200000000001E-2</v>
      </c>
      <c r="GE27">
        <v>0.129965</v>
      </c>
      <c r="GF27">
        <v>0.109151</v>
      </c>
      <c r="GG27">
        <v>30103.7</v>
      </c>
      <c r="GH27">
        <v>29759.200000000001</v>
      </c>
      <c r="GI27">
        <v>28164.3</v>
      </c>
      <c r="GJ27">
        <v>28141.8</v>
      </c>
      <c r="GK27">
        <v>33393.1</v>
      </c>
      <c r="GL27">
        <v>35015.4</v>
      </c>
      <c r="GM27">
        <v>42307.4</v>
      </c>
      <c r="GN27">
        <v>43744.7</v>
      </c>
      <c r="GO27">
        <v>1.7426200000000001</v>
      </c>
      <c r="GP27">
        <v>1.89527</v>
      </c>
      <c r="GQ27">
        <v>-6.41495E-3</v>
      </c>
      <c r="GR27">
        <v>0</v>
      </c>
      <c r="GS27">
        <v>29.995899999999999</v>
      </c>
      <c r="GT27">
        <v>999.9</v>
      </c>
      <c r="GU27">
        <v>48.8</v>
      </c>
      <c r="GV27">
        <v>36.6</v>
      </c>
      <c r="GW27">
        <v>30.257400000000001</v>
      </c>
      <c r="GX27">
        <v>60.976500000000001</v>
      </c>
      <c r="GY27">
        <v>29.939900000000002</v>
      </c>
      <c r="GZ27">
        <v>1</v>
      </c>
      <c r="HA27">
        <v>0.67711900000000003</v>
      </c>
      <c r="HB27">
        <v>2.6526700000000001</v>
      </c>
      <c r="HC27">
        <v>20.2441</v>
      </c>
      <c r="HD27">
        <v>5.2747900000000003</v>
      </c>
      <c r="HE27">
        <v>12.0878</v>
      </c>
      <c r="HF27">
        <v>5.0128500000000003</v>
      </c>
      <c r="HG27">
        <v>3.2919499999999999</v>
      </c>
      <c r="HH27">
        <v>9999</v>
      </c>
      <c r="HI27">
        <v>9999</v>
      </c>
      <c r="HJ27">
        <v>9999</v>
      </c>
      <c r="HK27">
        <v>999.9</v>
      </c>
      <c r="HL27">
        <v>1.87653</v>
      </c>
      <c r="HM27">
        <v>1.87704</v>
      </c>
      <c r="HN27">
        <v>1.8768100000000001</v>
      </c>
      <c r="HO27">
        <v>1.8806400000000001</v>
      </c>
      <c r="HP27">
        <v>1.8742300000000001</v>
      </c>
      <c r="HQ27">
        <v>1.8772899999999999</v>
      </c>
      <c r="HR27">
        <v>1.87714</v>
      </c>
      <c r="HS27">
        <v>1.8785099999999999</v>
      </c>
      <c r="HT27">
        <v>0</v>
      </c>
      <c r="HU27">
        <v>0</v>
      </c>
      <c r="HV27">
        <v>0</v>
      </c>
      <c r="HW27">
        <v>0</v>
      </c>
      <c r="HX27" t="s">
        <v>421</v>
      </c>
      <c r="HY27" t="s">
        <v>422</v>
      </c>
      <c r="HZ27" t="s">
        <v>423</v>
      </c>
      <c r="IA27" t="s">
        <v>424</v>
      </c>
      <c r="IB27" t="s">
        <v>424</v>
      </c>
      <c r="IC27" t="s">
        <v>423</v>
      </c>
      <c r="ID27">
        <v>0</v>
      </c>
      <c r="IE27">
        <v>100</v>
      </c>
      <c r="IF27">
        <v>100</v>
      </c>
      <c r="IG27">
        <v>1.022</v>
      </c>
      <c r="IH27">
        <v>0.28100000000000003</v>
      </c>
      <c r="II27">
        <v>0.94243211267908222</v>
      </c>
      <c r="IJ27">
        <v>8.9576739069318506E-4</v>
      </c>
      <c r="IK27">
        <v>-7.2130504814809596E-7</v>
      </c>
      <c r="IL27">
        <v>1.9987036519832741E-10</v>
      </c>
      <c r="IM27">
        <v>0.28098571428570912</v>
      </c>
      <c r="IN27">
        <v>0</v>
      </c>
      <c r="IO27">
        <v>0</v>
      </c>
      <c r="IP27">
        <v>0</v>
      </c>
      <c r="IQ27">
        <v>1</v>
      </c>
      <c r="IR27">
        <v>2126</v>
      </c>
      <c r="IS27">
        <v>0</v>
      </c>
      <c r="IT27">
        <v>20</v>
      </c>
      <c r="IU27">
        <v>1.2</v>
      </c>
      <c r="IV27">
        <v>1</v>
      </c>
      <c r="IW27">
        <v>0.42480499999999999</v>
      </c>
      <c r="IX27">
        <v>2.68066</v>
      </c>
      <c r="IY27">
        <v>1.69434</v>
      </c>
      <c r="IZ27">
        <v>2.34497</v>
      </c>
      <c r="JA27">
        <v>1.5466299999999999</v>
      </c>
      <c r="JB27">
        <v>2.4865699999999999</v>
      </c>
      <c r="JC27">
        <v>44.029499999999999</v>
      </c>
      <c r="JD27">
        <v>23.710999999999999</v>
      </c>
      <c r="JE27">
        <v>18</v>
      </c>
      <c r="JF27">
        <v>497.21800000000002</v>
      </c>
      <c r="JG27">
        <v>504.53800000000001</v>
      </c>
      <c r="JH27">
        <v>27.2837</v>
      </c>
      <c r="JI27">
        <v>35.608800000000002</v>
      </c>
      <c r="JJ27">
        <v>30.0001</v>
      </c>
      <c r="JK27">
        <v>35.518700000000003</v>
      </c>
      <c r="JL27">
        <v>35.465200000000003</v>
      </c>
      <c r="JM27">
        <v>8.5868099999999998</v>
      </c>
      <c r="JN27">
        <v>30.253699999999998</v>
      </c>
      <c r="JO27">
        <v>62.428199999999997</v>
      </c>
      <c r="JP27">
        <v>27.3048</v>
      </c>
      <c r="JQ27">
        <v>120</v>
      </c>
      <c r="JR27">
        <v>21.5061</v>
      </c>
      <c r="JS27">
        <v>98.648399999999995</v>
      </c>
      <c r="JT27">
        <v>98.56</v>
      </c>
    </row>
    <row r="28" spans="1:280" x14ac:dyDescent="0.25">
      <c r="A28">
        <v>12</v>
      </c>
      <c r="B28">
        <v>1700149206</v>
      </c>
      <c r="C28">
        <v>1676.400000095367</v>
      </c>
      <c r="D28" t="s">
        <v>468</v>
      </c>
      <c r="E28" t="s">
        <v>469</v>
      </c>
      <c r="F28" t="s">
        <v>412</v>
      </c>
      <c r="G28" t="s">
        <v>413</v>
      </c>
      <c r="H28" t="s">
        <v>414</v>
      </c>
      <c r="I28">
        <v>1700149206</v>
      </c>
      <c r="J28">
        <f t="shared" si="0"/>
        <v>6.7485747202039948E-3</v>
      </c>
      <c r="K28">
        <f t="shared" si="1"/>
        <v>6.7485747202039947</v>
      </c>
      <c r="L28">
        <f t="shared" si="2"/>
        <v>12.482552808110306</v>
      </c>
      <c r="M28">
        <f t="shared" si="3"/>
        <v>56.1845</v>
      </c>
      <c r="N28">
        <f t="shared" si="4"/>
        <v>13.549048538596351</v>
      </c>
      <c r="O28">
        <f t="shared" si="5"/>
        <v>1.3492766468419448</v>
      </c>
      <c r="P28">
        <f t="shared" si="6"/>
        <v>5.5951112396224998</v>
      </c>
      <c r="Q28">
        <f t="shared" si="7"/>
        <v>0.51539001537002538</v>
      </c>
      <c r="R28">
        <f t="shared" si="8"/>
        <v>3.0508986307315911</v>
      </c>
      <c r="S28">
        <f t="shared" si="9"/>
        <v>0.4714530044587234</v>
      </c>
      <c r="T28">
        <f t="shared" si="10"/>
        <v>0.29829293237418086</v>
      </c>
      <c r="U28">
        <f t="shared" si="11"/>
        <v>289.56531284764577</v>
      </c>
      <c r="V28">
        <f t="shared" si="12"/>
        <v>30.578319634308627</v>
      </c>
      <c r="W28">
        <f t="shared" si="13"/>
        <v>30.021000000000001</v>
      </c>
      <c r="X28">
        <f t="shared" si="14"/>
        <v>4.2655915259724431</v>
      </c>
      <c r="Y28">
        <f t="shared" si="15"/>
        <v>65.480634510284858</v>
      </c>
      <c r="Z28">
        <f t="shared" si="16"/>
        <v>2.8913195046490001</v>
      </c>
      <c r="AA28">
        <f t="shared" si="17"/>
        <v>4.4155337318774288</v>
      </c>
      <c r="AB28">
        <f t="shared" si="18"/>
        <v>1.3742720213234429</v>
      </c>
      <c r="AC28">
        <f t="shared" si="19"/>
        <v>-297.61214516099619</v>
      </c>
      <c r="AD28">
        <f t="shared" si="20"/>
        <v>99.165020324242647</v>
      </c>
      <c r="AE28">
        <f t="shared" si="21"/>
        <v>7.2503008787218297</v>
      </c>
      <c r="AF28">
        <f t="shared" si="22"/>
        <v>98.368488889614042</v>
      </c>
      <c r="AG28">
        <v>5</v>
      </c>
      <c r="AH28">
        <v>1</v>
      </c>
      <c r="AI28">
        <f t="shared" si="23"/>
        <v>1</v>
      </c>
      <c r="AJ28">
        <f t="shared" si="24"/>
        <v>0</v>
      </c>
      <c r="AK28">
        <f t="shared" si="25"/>
        <v>52038.87511808984</v>
      </c>
      <c r="AL28" t="s">
        <v>415</v>
      </c>
      <c r="AM28">
        <v>6960.3</v>
      </c>
      <c r="AN28">
        <v>244.8124</v>
      </c>
      <c r="AO28">
        <v>892.86711584811997</v>
      </c>
      <c r="AP28">
        <f t="shared" si="26"/>
        <v>0.72581317459826411</v>
      </c>
      <c r="AQ28">
        <v>-0.43209471141234851</v>
      </c>
      <c r="AR28" t="s">
        <v>470</v>
      </c>
      <c r="AS28">
        <v>7137.06</v>
      </c>
      <c r="AT28">
        <v>644.95587999999998</v>
      </c>
      <c r="AU28">
        <v>727.74939152830268</v>
      </c>
      <c r="AV28">
        <f t="shared" si="27"/>
        <v>0.11376651425902673</v>
      </c>
      <c r="AW28">
        <v>0.5</v>
      </c>
      <c r="AX28">
        <f t="shared" si="28"/>
        <v>1513.1840999210599</v>
      </c>
      <c r="AY28">
        <f t="shared" si="29"/>
        <v>12.482552808110306</v>
      </c>
      <c r="AZ28">
        <f t="shared" si="30"/>
        <v>86.074840240100897</v>
      </c>
      <c r="BA28">
        <f t="shared" si="31"/>
        <v>8.5347496845865536E-3</v>
      </c>
      <c r="BB28">
        <f t="shared" si="32"/>
        <v>0.2268881654068628</v>
      </c>
      <c r="BC28">
        <f t="shared" si="33"/>
        <v>230.47463174702165</v>
      </c>
      <c r="BD28" t="s">
        <v>471</v>
      </c>
      <c r="BE28">
        <v>468.57</v>
      </c>
      <c r="BF28">
        <f t="shared" si="34"/>
        <v>468.57</v>
      </c>
      <c r="BG28">
        <f t="shared" si="35"/>
        <v>0.35613824559030638</v>
      </c>
      <c r="BH28">
        <f t="shared" si="36"/>
        <v>0.31944481017604964</v>
      </c>
      <c r="BI28">
        <f t="shared" si="37"/>
        <v>0.38915589607477391</v>
      </c>
      <c r="BJ28">
        <f t="shared" si="38"/>
        <v>0.17143750216005263</v>
      </c>
      <c r="BK28">
        <f t="shared" si="39"/>
        <v>0.25478978901299248</v>
      </c>
      <c r="BL28">
        <f t="shared" si="40"/>
        <v>0.2320813862557414</v>
      </c>
      <c r="BM28">
        <f t="shared" si="41"/>
        <v>0.76791861374425863</v>
      </c>
      <c r="BN28">
        <v>37</v>
      </c>
      <c r="BO28">
        <v>290.00000000000011</v>
      </c>
      <c r="BP28">
        <v>707.54</v>
      </c>
      <c r="BQ28">
        <v>265</v>
      </c>
      <c r="BR28">
        <v>7137.06</v>
      </c>
      <c r="BS28">
        <v>708.5</v>
      </c>
      <c r="BT28">
        <v>-0.96</v>
      </c>
      <c r="BU28">
        <v>300.00000000000011</v>
      </c>
      <c r="BV28">
        <v>38.200000000000003</v>
      </c>
      <c r="BW28">
        <v>727.74939152830268</v>
      </c>
      <c r="BX28">
        <v>1.2659541089496551</v>
      </c>
      <c r="BY28">
        <v>-13.73985795935306</v>
      </c>
      <c r="BZ28">
        <v>0.75727164719433548</v>
      </c>
      <c r="CA28">
        <v>0.92161275258359054</v>
      </c>
      <c r="CB28">
        <v>-7.0427779755283674E-3</v>
      </c>
      <c r="CC28">
        <v>289.99999999999989</v>
      </c>
      <c r="CD28">
        <v>710.88</v>
      </c>
      <c r="CE28">
        <v>685</v>
      </c>
      <c r="CF28">
        <v>7133.21</v>
      </c>
      <c r="CG28">
        <v>708.49</v>
      </c>
      <c r="CH28">
        <v>2.39</v>
      </c>
      <c r="CV28">
        <f t="shared" si="42"/>
        <v>1800</v>
      </c>
      <c r="CW28">
        <f t="shared" si="43"/>
        <v>1513.1840999210599</v>
      </c>
      <c r="CX28">
        <f t="shared" si="44"/>
        <v>0.84065783328947774</v>
      </c>
      <c r="CY28">
        <f t="shared" si="45"/>
        <v>0.16086961824869209</v>
      </c>
      <c r="CZ28">
        <v>5.36</v>
      </c>
      <c r="DA28">
        <v>0.5</v>
      </c>
      <c r="DB28" t="s">
        <v>418</v>
      </c>
      <c r="DC28">
        <v>2</v>
      </c>
      <c r="DD28">
        <v>1700149206</v>
      </c>
      <c r="DE28">
        <v>56.1845</v>
      </c>
      <c r="DF28">
        <v>69.967299999999994</v>
      </c>
      <c r="DG28">
        <v>29.033799999999999</v>
      </c>
      <c r="DH28">
        <v>22.011900000000001</v>
      </c>
      <c r="DI28">
        <v>55.235700000000001</v>
      </c>
      <c r="DJ28">
        <v>28.7715</v>
      </c>
      <c r="DK28">
        <v>500.18</v>
      </c>
      <c r="DL28">
        <v>99.484200000000001</v>
      </c>
      <c r="DM28">
        <v>0.10040499999999999</v>
      </c>
      <c r="DN28">
        <v>30.623899999999999</v>
      </c>
      <c r="DO28">
        <v>30.021000000000001</v>
      </c>
      <c r="DP28">
        <v>999.9</v>
      </c>
      <c r="DQ28">
        <v>0</v>
      </c>
      <c r="DR28">
        <v>0</v>
      </c>
      <c r="DS28">
        <v>10012.5</v>
      </c>
      <c r="DT28">
        <v>0</v>
      </c>
      <c r="DU28">
        <v>268.60199999999998</v>
      </c>
      <c r="DV28">
        <v>-13.7828</v>
      </c>
      <c r="DW28">
        <v>57.8645</v>
      </c>
      <c r="DX28">
        <v>71.542100000000005</v>
      </c>
      <c r="DY28">
        <v>7.0219699999999996</v>
      </c>
      <c r="DZ28">
        <v>69.967299999999994</v>
      </c>
      <c r="EA28">
        <v>22.011900000000001</v>
      </c>
      <c r="EB28">
        <v>2.8884099999999999</v>
      </c>
      <c r="EC28">
        <v>2.1898300000000002</v>
      </c>
      <c r="ED28">
        <v>23.398199999999999</v>
      </c>
      <c r="EE28">
        <v>18.888100000000001</v>
      </c>
      <c r="EF28">
        <v>1800</v>
      </c>
      <c r="EG28">
        <v>0.97801000000000005</v>
      </c>
      <c r="EH28">
        <v>2.1990099999999999E-2</v>
      </c>
      <c r="EI28">
        <v>0</v>
      </c>
      <c r="EJ28">
        <v>645.27800000000002</v>
      </c>
      <c r="EK28">
        <v>5.0001199999999999</v>
      </c>
      <c r="EL28">
        <v>11750.9</v>
      </c>
      <c r="EM28">
        <v>15630</v>
      </c>
      <c r="EN28">
        <v>52.25</v>
      </c>
      <c r="EO28">
        <v>53.375</v>
      </c>
      <c r="EP28">
        <v>53.186999999999998</v>
      </c>
      <c r="EQ28">
        <v>53.25</v>
      </c>
      <c r="ER28">
        <v>53.686999999999998</v>
      </c>
      <c r="ES28">
        <v>1755.53</v>
      </c>
      <c r="ET28">
        <v>39.47</v>
      </c>
      <c r="EU28">
        <v>0</v>
      </c>
      <c r="EV28">
        <v>255</v>
      </c>
      <c r="EW28">
        <v>0</v>
      </c>
      <c r="EX28">
        <v>644.95587999999998</v>
      </c>
      <c r="EY28">
        <v>-0.28669232862089461</v>
      </c>
      <c r="EZ28">
        <v>1.9230769662936751</v>
      </c>
      <c r="FA28">
        <v>11751.227999999999</v>
      </c>
      <c r="FB28">
        <v>15</v>
      </c>
      <c r="FC28">
        <v>1700149169.5</v>
      </c>
      <c r="FD28" t="s">
        <v>472</v>
      </c>
      <c r="FE28">
        <v>1700149166</v>
      </c>
      <c r="FF28">
        <v>1700149169.5</v>
      </c>
      <c r="FG28">
        <v>14</v>
      </c>
      <c r="FH28">
        <v>-4.1000000000000002E-2</v>
      </c>
      <c r="FI28">
        <v>-1.9E-2</v>
      </c>
      <c r="FJ28">
        <v>0.96</v>
      </c>
      <c r="FK28">
        <v>0.26200000000000001</v>
      </c>
      <c r="FL28">
        <v>70</v>
      </c>
      <c r="FM28">
        <v>22</v>
      </c>
      <c r="FN28">
        <v>0.12</v>
      </c>
      <c r="FO28">
        <v>0.01</v>
      </c>
      <c r="FP28">
        <v>12.47863382578862</v>
      </c>
      <c r="FQ28">
        <v>-1.6870427037264379E-2</v>
      </c>
      <c r="FR28">
        <v>1.8452016564151921E-2</v>
      </c>
      <c r="FS28">
        <v>1</v>
      </c>
      <c r="FT28">
        <v>0.51510847985295749</v>
      </c>
      <c r="FU28">
        <v>4.1207156787999633E-2</v>
      </c>
      <c r="FV28">
        <v>3.299333330376165E-3</v>
      </c>
      <c r="FW28">
        <v>1</v>
      </c>
      <c r="FX28">
        <v>2</v>
      </c>
      <c r="FY28">
        <v>2</v>
      </c>
      <c r="FZ28" t="s">
        <v>420</v>
      </c>
      <c r="GA28">
        <v>2.91228</v>
      </c>
      <c r="GB28">
        <v>2.7515100000000001</v>
      </c>
      <c r="GC28">
        <v>1.5181500000000001E-2</v>
      </c>
      <c r="GD28">
        <v>1.9548599999999999E-2</v>
      </c>
      <c r="GE28">
        <v>0.131134</v>
      </c>
      <c r="GF28">
        <v>0.110331</v>
      </c>
      <c r="GG28">
        <v>30442.6</v>
      </c>
      <c r="GH28">
        <v>30164.5</v>
      </c>
      <c r="GI28">
        <v>28165.9</v>
      </c>
      <c r="GJ28">
        <v>28142.2</v>
      </c>
      <c r="GK28">
        <v>33350.9</v>
      </c>
      <c r="GL28">
        <v>34970</v>
      </c>
      <c r="GM28">
        <v>42310.7</v>
      </c>
      <c r="GN28">
        <v>43745.8</v>
      </c>
      <c r="GO28">
        <v>1.7427299999999999</v>
      </c>
      <c r="GP28">
        <v>1.8927499999999999</v>
      </c>
      <c r="GQ28">
        <v>7.4505800000000005E-4</v>
      </c>
      <c r="GR28">
        <v>0</v>
      </c>
      <c r="GS28">
        <v>30.008900000000001</v>
      </c>
      <c r="GT28">
        <v>999.9</v>
      </c>
      <c r="GU28">
        <v>47.4</v>
      </c>
      <c r="GV28">
        <v>37</v>
      </c>
      <c r="GW28">
        <v>30.041</v>
      </c>
      <c r="GX28">
        <v>61.396500000000003</v>
      </c>
      <c r="GY28">
        <v>29.931899999999999</v>
      </c>
      <c r="GZ28">
        <v>1</v>
      </c>
      <c r="HA28">
        <v>0.681535</v>
      </c>
      <c r="HB28">
        <v>3.6979600000000001</v>
      </c>
      <c r="HC28">
        <v>20.2226</v>
      </c>
      <c r="HD28">
        <v>5.2714999999999996</v>
      </c>
      <c r="HE28">
        <v>12.0878</v>
      </c>
      <c r="HF28">
        <v>5.0132500000000002</v>
      </c>
      <c r="HG28">
        <v>3.2919499999999999</v>
      </c>
      <c r="HH28">
        <v>9999</v>
      </c>
      <c r="HI28">
        <v>9999</v>
      </c>
      <c r="HJ28">
        <v>9999</v>
      </c>
      <c r="HK28">
        <v>999.9</v>
      </c>
      <c r="HL28">
        <v>1.8765400000000001</v>
      </c>
      <c r="HM28">
        <v>1.87713</v>
      </c>
      <c r="HN28">
        <v>1.87683</v>
      </c>
      <c r="HO28">
        <v>1.8806499999999999</v>
      </c>
      <c r="HP28">
        <v>1.8742399999999999</v>
      </c>
      <c r="HQ28">
        <v>1.8772899999999999</v>
      </c>
      <c r="HR28">
        <v>1.87714</v>
      </c>
      <c r="HS28">
        <v>1.87852</v>
      </c>
      <c r="HT28">
        <v>0</v>
      </c>
      <c r="HU28">
        <v>0</v>
      </c>
      <c r="HV28">
        <v>0</v>
      </c>
      <c r="HW28">
        <v>0</v>
      </c>
      <c r="HX28" t="s">
        <v>421</v>
      </c>
      <c r="HY28" t="s">
        <v>422</v>
      </c>
      <c r="HZ28" t="s">
        <v>423</v>
      </c>
      <c r="IA28" t="s">
        <v>424</v>
      </c>
      <c r="IB28" t="s">
        <v>424</v>
      </c>
      <c r="IC28" t="s">
        <v>423</v>
      </c>
      <c r="ID28">
        <v>0</v>
      </c>
      <c r="IE28">
        <v>100</v>
      </c>
      <c r="IF28">
        <v>100</v>
      </c>
      <c r="IG28">
        <v>0.94899999999999995</v>
      </c>
      <c r="IH28">
        <v>0.26229999999999998</v>
      </c>
      <c r="II28">
        <v>0.9014441522116895</v>
      </c>
      <c r="IJ28">
        <v>8.9576739069318506E-4</v>
      </c>
      <c r="IK28">
        <v>-7.2130504814809596E-7</v>
      </c>
      <c r="IL28">
        <v>1.9987036519832741E-10</v>
      </c>
      <c r="IM28">
        <v>0.2623549999999959</v>
      </c>
      <c r="IN28">
        <v>0</v>
      </c>
      <c r="IO28">
        <v>0</v>
      </c>
      <c r="IP28">
        <v>0</v>
      </c>
      <c r="IQ28">
        <v>1</v>
      </c>
      <c r="IR28">
        <v>2126</v>
      </c>
      <c r="IS28">
        <v>0</v>
      </c>
      <c r="IT28">
        <v>20</v>
      </c>
      <c r="IU28">
        <v>0.7</v>
      </c>
      <c r="IV28">
        <v>0.6</v>
      </c>
      <c r="IW28">
        <v>0.31372100000000003</v>
      </c>
      <c r="IX28">
        <v>2.7014200000000002</v>
      </c>
      <c r="IY28">
        <v>1.69434</v>
      </c>
      <c r="IZ28">
        <v>2.34375</v>
      </c>
      <c r="JA28">
        <v>1.5466299999999999</v>
      </c>
      <c r="JB28">
        <v>2.4499499999999999</v>
      </c>
      <c r="JC28">
        <v>44.389899999999997</v>
      </c>
      <c r="JD28">
        <v>23.6935</v>
      </c>
      <c r="JE28">
        <v>18</v>
      </c>
      <c r="JF28">
        <v>497.55</v>
      </c>
      <c r="JG28">
        <v>502.928</v>
      </c>
      <c r="JH28">
        <v>26.975899999999999</v>
      </c>
      <c r="JI28">
        <v>35.628599999999999</v>
      </c>
      <c r="JJ28">
        <v>30.0002</v>
      </c>
      <c r="JK28">
        <v>35.548099999999998</v>
      </c>
      <c r="JL28">
        <v>35.493600000000001</v>
      </c>
      <c r="JM28">
        <v>6.34335</v>
      </c>
      <c r="JN28">
        <v>27.2319</v>
      </c>
      <c r="JO28">
        <v>60.434899999999999</v>
      </c>
      <c r="JP28">
        <v>26.952999999999999</v>
      </c>
      <c r="JQ28">
        <v>70</v>
      </c>
      <c r="JR28">
        <v>21.950199999999999</v>
      </c>
      <c r="JS28">
        <v>98.655299999999997</v>
      </c>
      <c r="JT28">
        <v>98.562100000000001</v>
      </c>
    </row>
    <row r="29" spans="1:280" x14ac:dyDescent="0.25">
      <c r="A29">
        <v>13</v>
      </c>
      <c r="B29">
        <v>1700149340</v>
      </c>
      <c r="C29">
        <v>1810.400000095367</v>
      </c>
      <c r="D29" t="s">
        <v>473</v>
      </c>
      <c r="E29" t="s">
        <v>474</v>
      </c>
      <c r="F29" t="s">
        <v>412</v>
      </c>
      <c r="G29" t="s">
        <v>413</v>
      </c>
      <c r="H29" t="s">
        <v>414</v>
      </c>
      <c r="I29">
        <v>1700149340</v>
      </c>
      <c r="J29">
        <f t="shared" si="0"/>
        <v>7.1821868388227735E-3</v>
      </c>
      <c r="K29">
        <f t="shared" si="1"/>
        <v>7.1821868388227736</v>
      </c>
      <c r="L29">
        <f t="shared" si="2"/>
        <v>5.4976980213230897</v>
      </c>
      <c r="M29">
        <f t="shared" si="3"/>
        <v>23.919</v>
      </c>
      <c r="N29">
        <f t="shared" si="4"/>
        <v>6.3460096529142955</v>
      </c>
      <c r="O29">
        <f t="shared" si="5"/>
        <v>0.63195254700692105</v>
      </c>
      <c r="P29">
        <f t="shared" si="6"/>
        <v>2.3819177402160001</v>
      </c>
      <c r="Q29">
        <f t="shared" si="7"/>
        <v>0.55429410107156174</v>
      </c>
      <c r="R29">
        <f t="shared" si="8"/>
        <v>3.0502861882501455</v>
      </c>
      <c r="S29">
        <f t="shared" si="9"/>
        <v>0.50381193197408158</v>
      </c>
      <c r="T29">
        <f t="shared" si="10"/>
        <v>0.31903406236468179</v>
      </c>
      <c r="U29">
        <f t="shared" si="11"/>
        <v>289.57082084749317</v>
      </c>
      <c r="V29">
        <f t="shared" si="12"/>
        <v>30.485407591524368</v>
      </c>
      <c r="W29">
        <f t="shared" si="13"/>
        <v>29.992899999999999</v>
      </c>
      <c r="X29">
        <f t="shared" si="14"/>
        <v>4.2587125922785471</v>
      </c>
      <c r="Y29">
        <f t="shared" si="15"/>
        <v>65.394241825557259</v>
      </c>
      <c r="Z29">
        <f t="shared" si="16"/>
        <v>2.8900482415424005</v>
      </c>
      <c r="AA29">
        <f t="shared" si="17"/>
        <v>4.419423118707857</v>
      </c>
      <c r="AB29">
        <f t="shared" si="18"/>
        <v>1.3686643507361467</v>
      </c>
      <c r="AC29">
        <f t="shared" si="19"/>
        <v>-316.7344395920843</v>
      </c>
      <c r="AD29">
        <f t="shared" si="20"/>
        <v>106.29855953328079</v>
      </c>
      <c r="AE29">
        <f t="shared" si="21"/>
        <v>7.7729322398615741</v>
      </c>
      <c r="AF29">
        <f t="shared" si="22"/>
        <v>86.907873028551236</v>
      </c>
      <c r="AG29">
        <v>5</v>
      </c>
      <c r="AH29">
        <v>1</v>
      </c>
      <c r="AI29">
        <f t="shared" si="23"/>
        <v>1</v>
      </c>
      <c r="AJ29">
        <f t="shared" si="24"/>
        <v>0</v>
      </c>
      <c r="AK29">
        <f t="shared" si="25"/>
        <v>52019.950715084124</v>
      </c>
      <c r="AL29" t="s">
        <v>427</v>
      </c>
      <c r="AM29" t="s">
        <v>427</v>
      </c>
      <c r="AN29">
        <v>0</v>
      </c>
      <c r="AO29">
        <v>0</v>
      </c>
      <c r="AP29" t="e">
        <f t="shared" si="26"/>
        <v>#DIV/0!</v>
      </c>
      <c r="AQ29">
        <v>0</v>
      </c>
      <c r="AR29" t="s">
        <v>427</v>
      </c>
      <c r="AS29" t="s">
        <v>427</v>
      </c>
      <c r="AT29">
        <v>0</v>
      </c>
      <c r="AU29">
        <v>0</v>
      </c>
      <c r="AV29" t="e">
        <f t="shared" si="27"/>
        <v>#DIV/0!</v>
      </c>
      <c r="AW29">
        <v>0.5</v>
      </c>
      <c r="AX29">
        <f t="shared" si="28"/>
        <v>1513.202099920981</v>
      </c>
      <c r="AY29">
        <f t="shared" si="29"/>
        <v>5.4976980213230897</v>
      </c>
      <c r="AZ29" t="e">
        <f t="shared" si="30"/>
        <v>#DIV/0!</v>
      </c>
      <c r="BA29">
        <f t="shared" si="31"/>
        <v>3.6331551625590382E-3</v>
      </c>
      <c r="BB29" t="e">
        <f t="shared" si="32"/>
        <v>#DIV/0!</v>
      </c>
      <c r="BC29" t="e">
        <f t="shared" si="33"/>
        <v>#DIV/0!</v>
      </c>
      <c r="BD29" t="s">
        <v>427</v>
      </c>
      <c r="BE29">
        <v>0</v>
      </c>
      <c r="BF29" t="e">
        <f t="shared" si="34"/>
        <v>#DIV/0!</v>
      </c>
      <c r="BG29" t="e">
        <f t="shared" si="35"/>
        <v>#DIV/0!</v>
      </c>
      <c r="BH29" t="e">
        <f t="shared" si="36"/>
        <v>#DIV/0!</v>
      </c>
      <c r="BI29" t="e">
        <f t="shared" si="37"/>
        <v>#DIV/0!</v>
      </c>
      <c r="BJ29" t="e">
        <f t="shared" si="38"/>
        <v>#DIV/0!</v>
      </c>
      <c r="BK29" t="e">
        <f t="shared" si="39"/>
        <v>#DIV/0!</v>
      </c>
      <c r="BL29" t="e">
        <f t="shared" si="40"/>
        <v>#DIV/0!</v>
      </c>
      <c r="BM29" t="e">
        <f t="shared" si="41"/>
        <v>#DIV/0!</v>
      </c>
      <c r="BN29">
        <v>37</v>
      </c>
      <c r="BO29">
        <v>290.00000000000011</v>
      </c>
      <c r="BP29">
        <v>707.54</v>
      </c>
      <c r="BQ29">
        <v>265</v>
      </c>
      <c r="BR29">
        <v>7137.06</v>
      </c>
      <c r="BS29">
        <v>708.5</v>
      </c>
      <c r="BT29">
        <v>-0.96</v>
      </c>
      <c r="BU29">
        <v>300.00000000000011</v>
      </c>
      <c r="BV29">
        <v>38.200000000000003</v>
      </c>
      <c r="BW29">
        <v>727.74939152830268</v>
      </c>
      <c r="BX29">
        <v>1.2659541089496551</v>
      </c>
      <c r="BY29">
        <v>-13.73985795935306</v>
      </c>
      <c r="BZ29">
        <v>0.75727164719433548</v>
      </c>
      <c r="CA29">
        <v>0.92161275258359054</v>
      </c>
      <c r="CB29">
        <v>-7.0427779755283674E-3</v>
      </c>
      <c r="CC29">
        <v>289.99999999999989</v>
      </c>
      <c r="CD29">
        <v>710.88</v>
      </c>
      <c r="CE29">
        <v>685</v>
      </c>
      <c r="CF29">
        <v>7133.21</v>
      </c>
      <c r="CG29">
        <v>708.49</v>
      </c>
      <c r="CH29">
        <v>2.39</v>
      </c>
      <c r="CV29">
        <f t="shared" si="42"/>
        <v>1800.02</v>
      </c>
      <c r="CW29">
        <f t="shared" si="43"/>
        <v>1513.202099920981</v>
      </c>
      <c r="CX29">
        <f t="shared" si="44"/>
        <v>0.84065849263951564</v>
      </c>
      <c r="CY29">
        <f t="shared" si="45"/>
        <v>0.16087089079426514</v>
      </c>
      <c r="CZ29">
        <v>5.36</v>
      </c>
      <c r="DA29">
        <v>0.5</v>
      </c>
      <c r="DB29" t="s">
        <v>418</v>
      </c>
      <c r="DC29">
        <v>2</v>
      </c>
      <c r="DD29">
        <v>1700149340</v>
      </c>
      <c r="DE29">
        <v>23.919</v>
      </c>
      <c r="DF29">
        <v>29.995100000000001</v>
      </c>
      <c r="DG29">
        <v>29.021599999999999</v>
      </c>
      <c r="DH29">
        <v>21.547699999999999</v>
      </c>
      <c r="DI29">
        <v>22.917300000000001</v>
      </c>
      <c r="DJ29">
        <v>28.758500000000002</v>
      </c>
      <c r="DK29">
        <v>500.13099999999997</v>
      </c>
      <c r="DL29">
        <v>99.482600000000005</v>
      </c>
      <c r="DM29">
        <v>0.100064</v>
      </c>
      <c r="DN29">
        <v>30.639299999999999</v>
      </c>
      <c r="DO29">
        <v>29.992899999999999</v>
      </c>
      <c r="DP29">
        <v>999.9</v>
      </c>
      <c r="DQ29">
        <v>0</v>
      </c>
      <c r="DR29">
        <v>0</v>
      </c>
      <c r="DS29">
        <v>10009.4</v>
      </c>
      <c r="DT29">
        <v>0</v>
      </c>
      <c r="DU29">
        <v>266.07799999999997</v>
      </c>
      <c r="DV29">
        <v>-6.0760899999999998</v>
      </c>
      <c r="DW29">
        <v>24.633900000000001</v>
      </c>
      <c r="DX29">
        <v>30.6556</v>
      </c>
      <c r="DY29">
        <v>7.4738800000000003</v>
      </c>
      <c r="DZ29">
        <v>29.995100000000001</v>
      </c>
      <c r="EA29">
        <v>21.547699999999999</v>
      </c>
      <c r="EB29">
        <v>2.88714</v>
      </c>
      <c r="EC29">
        <v>2.1436199999999999</v>
      </c>
      <c r="ED29">
        <v>23.390999999999998</v>
      </c>
      <c r="EE29">
        <v>18.5471</v>
      </c>
      <c r="EF29">
        <v>1800.02</v>
      </c>
      <c r="EG29">
        <v>0.977989</v>
      </c>
      <c r="EH29">
        <v>2.2010700000000001E-2</v>
      </c>
      <c r="EI29">
        <v>0</v>
      </c>
      <c r="EJ29">
        <v>660.61500000000001</v>
      </c>
      <c r="EK29">
        <v>5.0001199999999999</v>
      </c>
      <c r="EL29">
        <v>12051.2</v>
      </c>
      <c r="EM29">
        <v>15630</v>
      </c>
      <c r="EN29">
        <v>52.311999999999998</v>
      </c>
      <c r="EO29">
        <v>53.375</v>
      </c>
      <c r="EP29">
        <v>53.186999999999998</v>
      </c>
      <c r="EQ29">
        <v>53.311999999999998</v>
      </c>
      <c r="ER29">
        <v>53.811999999999998</v>
      </c>
      <c r="ES29">
        <v>1755.51</v>
      </c>
      <c r="ET29">
        <v>39.51</v>
      </c>
      <c r="EU29">
        <v>0</v>
      </c>
      <c r="EV29">
        <v>132.20000004768369</v>
      </c>
      <c r="EW29">
        <v>0</v>
      </c>
      <c r="EX29">
        <v>660.94396000000006</v>
      </c>
      <c r="EY29">
        <v>0.42923076205323862</v>
      </c>
      <c r="EZ29">
        <v>9.3461538194010902</v>
      </c>
      <c r="FA29">
        <v>12051.588</v>
      </c>
      <c r="FB29">
        <v>15</v>
      </c>
      <c r="FC29">
        <v>1700149305</v>
      </c>
      <c r="FD29" t="s">
        <v>475</v>
      </c>
      <c r="FE29">
        <v>1700149305</v>
      </c>
      <c r="FF29">
        <v>1700149303</v>
      </c>
      <c r="FG29">
        <v>15</v>
      </c>
      <c r="FH29">
        <v>0.08</v>
      </c>
      <c r="FI29">
        <v>1E-3</v>
      </c>
      <c r="FJ29">
        <v>1.0069999999999999</v>
      </c>
      <c r="FK29">
        <v>0.26300000000000001</v>
      </c>
      <c r="FL29">
        <v>30</v>
      </c>
      <c r="FM29">
        <v>22</v>
      </c>
      <c r="FN29">
        <v>0.19</v>
      </c>
      <c r="FO29">
        <v>0.02</v>
      </c>
      <c r="FP29">
        <v>5.5307791747282868</v>
      </c>
      <c r="FQ29">
        <v>1.367322903429219E-3</v>
      </c>
      <c r="FR29">
        <v>1.7973938541532151E-2</v>
      </c>
      <c r="FS29">
        <v>1</v>
      </c>
      <c r="FT29">
        <v>0.55358967405893311</v>
      </c>
      <c r="FU29">
        <v>4.6046626267014251E-2</v>
      </c>
      <c r="FV29">
        <v>3.609642126385107E-3</v>
      </c>
      <c r="FW29">
        <v>1</v>
      </c>
      <c r="FX29">
        <v>2</v>
      </c>
      <c r="FY29">
        <v>2</v>
      </c>
      <c r="FZ29" t="s">
        <v>420</v>
      </c>
      <c r="GA29">
        <v>2.9121000000000001</v>
      </c>
      <c r="GB29">
        <v>2.7511399999999999</v>
      </c>
      <c r="GC29">
        <v>6.3551099999999998E-3</v>
      </c>
      <c r="GD29">
        <v>8.4951200000000001E-3</v>
      </c>
      <c r="GE29">
        <v>0.131081</v>
      </c>
      <c r="GF29">
        <v>0.108683</v>
      </c>
      <c r="GG29">
        <v>30715.3</v>
      </c>
      <c r="GH29">
        <v>30503.3</v>
      </c>
      <c r="GI29">
        <v>28166.7</v>
      </c>
      <c r="GJ29">
        <v>28142</v>
      </c>
      <c r="GK29">
        <v>33353.9</v>
      </c>
      <c r="GL29">
        <v>35035.199999999997</v>
      </c>
      <c r="GM29">
        <v>42311.7</v>
      </c>
      <c r="GN29">
        <v>43746.2</v>
      </c>
      <c r="GO29">
        <v>1.7424200000000001</v>
      </c>
      <c r="GP29">
        <v>1.889</v>
      </c>
      <c r="GQ29">
        <v>-5.34207E-3</v>
      </c>
      <c r="GR29">
        <v>0</v>
      </c>
      <c r="GS29">
        <v>30.079799999999999</v>
      </c>
      <c r="GT29">
        <v>999.9</v>
      </c>
      <c r="GU29">
        <v>45.9</v>
      </c>
      <c r="GV29">
        <v>37.4</v>
      </c>
      <c r="GW29">
        <v>29.7334</v>
      </c>
      <c r="GX29">
        <v>61.346499999999999</v>
      </c>
      <c r="GY29">
        <v>29.491199999999999</v>
      </c>
      <c r="GZ29">
        <v>1</v>
      </c>
      <c r="HA29">
        <v>0.68097300000000005</v>
      </c>
      <c r="HB29">
        <v>3.3800500000000002</v>
      </c>
      <c r="HC29">
        <v>20.228300000000001</v>
      </c>
      <c r="HD29">
        <v>5.2722499999999997</v>
      </c>
      <c r="HE29">
        <v>12.0878</v>
      </c>
      <c r="HF29">
        <v>5.0121500000000001</v>
      </c>
      <c r="HG29">
        <v>3.2913000000000001</v>
      </c>
      <c r="HH29">
        <v>9999</v>
      </c>
      <c r="HI29">
        <v>9999</v>
      </c>
      <c r="HJ29">
        <v>9999</v>
      </c>
      <c r="HK29">
        <v>999.9</v>
      </c>
      <c r="HL29">
        <v>1.8765499999999999</v>
      </c>
      <c r="HM29">
        <v>1.87717</v>
      </c>
      <c r="HN29">
        <v>1.8768800000000001</v>
      </c>
      <c r="HO29">
        <v>1.8806799999999999</v>
      </c>
      <c r="HP29">
        <v>1.8742799999999999</v>
      </c>
      <c r="HQ29">
        <v>1.87737</v>
      </c>
      <c r="HR29">
        <v>1.8771599999999999</v>
      </c>
      <c r="HS29">
        <v>1.8786</v>
      </c>
      <c r="HT29">
        <v>0</v>
      </c>
      <c r="HU29">
        <v>0</v>
      </c>
      <c r="HV29">
        <v>0</v>
      </c>
      <c r="HW29">
        <v>0</v>
      </c>
      <c r="HX29" t="s">
        <v>421</v>
      </c>
      <c r="HY29" t="s">
        <v>422</v>
      </c>
      <c r="HZ29" t="s">
        <v>423</v>
      </c>
      <c r="IA29" t="s">
        <v>424</v>
      </c>
      <c r="IB29" t="s">
        <v>424</v>
      </c>
      <c r="IC29" t="s">
        <v>423</v>
      </c>
      <c r="ID29">
        <v>0</v>
      </c>
      <c r="IE29">
        <v>100</v>
      </c>
      <c r="IF29">
        <v>100</v>
      </c>
      <c r="IG29">
        <v>1.002</v>
      </c>
      <c r="IH29">
        <v>0.2631</v>
      </c>
      <c r="II29">
        <v>0.98155389205164978</v>
      </c>
      <c r="IJ29">
        <v>8.9576739069318506E-4</v>
      </c>
      <c r="IK29">
        <v>-7.2130504814809596E-7</v>
      </c>
      <c r="IL29">
        <v>1.9987036519832741E-10</v>
      </c>
      <c r="IM29">
        <v>0.26312499999999872</v>
      </c>
      <c r="IN29">
        <v>0</v>
      </c>
      <c r="IO29">
        <v>0</v>
      </c>
      <c r="IP29">
        <v>0</v>
      </c>
      <c r="IQ29">
        <v>1</v>
      </c>
      <c r="IR29">
        <v>2126</v>
      </c>
      <c r="IS29">
        <v>0</v>
      </c>
      <c r="IT29">
        <v>20</v>
      </c>
      <c r="IU29">
        <v>0.6</v>
      </c>
      <c r="IV29">
        <v>0.6</v>
      </c>
      <c r="IW29">
        <v>0.223389</v>
      </c>
      <c r="IX29">
        <v>2.7209500000000002</v>
      </c>
      <c r="IY29">
        <v>1.69434</v>
      </c>
      <c r="IZ29">
        <v>2.34375</v>
      </c>
      <c r="JA29">
        <v>1.5466299999999999</v>
      </c>
      <c r="JB29">
        <v>2.4084500000000002</v>
      </c>
      <c r="JC29">
        <v>44.893999999999998</v>
      </c>
      <c r="JD29">
        <v>23.684699999999999</v>
      </c>
      <c r="JE29">
        <v>18</v>
      </c>
      <c r="JF29">
        <v>497.589</v>
      </c>
      <c r="JG29">
        <v>500.483</v>
      </c>
      <c r="JH29">
        <v>27.150400000000001</v>
      </c>
      <c r="JI29">
        <v>35.657499999999999</v>
      </c>
      <c r="JJ29">
        <v>30.000399999999999</v>
      </c>
      <c r="JK29">
        <v>35.5809</v>
      </c>
      <c r="JL29">
        <v>35.528599999999997</v>
      </c>
      <c r="JM29">
        <v>4.5565100000000003</v>
      </c>
      <c r="JN29">
        <v>27.8504</v>
      </c>
      <c r="JO29">
        <v>57.144399999999997</v>
      </c>
      <c r="JP29">
        <v>27.150099999999998</v>
      </c>
      <c r="JQ29">
        <v>30</v>
      </c>
      <c r="JR29">
        <v>21.537600000000001</v>
      </c>
      <c r="JS29">
        <v>98.657799999999995</v>
      </c>
      <c r="JT29">
        <v>98.562200000000004</v>
      </c>
    </row>
    <row r="30" spans="1:280" x14ac:dyDescent="0.25">
      <c r="A30">
        <v>14</v>
      </c>
      <c r="B30">
        <v>1700149440.5</v>
      </c>
      <c r="C30">
        <v>1910.900000095367</v>
      </c>
      <c r="D30" t="s">
        <v>476</v>
      </c>
      <c r="E30" t="s">
        <v>477</v>
      </c>
      <c r="F30" t="s">
        <v>412</v>
      </c>
      <c r="G30" t="s">
        <v>413</v>
      </c>
      <c r="H30" t="s">
        <v>414</v>
      </c>
      <c r="I30">
        <v>1700149440.5</v>
      </c>
      <c r="J30">
        <f t="shared" si="0"/>
        <v>7.3264982825930044E-3</v>
      </c>
      <c r="K30">
        <f t="shared" si="1"/>
        <v>7.3264982825930041</v>
      </c>
      <c r="L30">
        <f t="shared" si="2"/>
        <v>1.8743329621543159</v>
      </c>
      <c r="M30">
        <f t="shared" si="3"/>
        <v>7.8991800000000003</v>
      </c>
      <c r="N30">
        <f t="shared" si="4"/>
        <v>2.0690149178674981</v>
      </c>
      <c r="O30">
        <f t="shared" si="5"/>
        <v>0.20603066616698348</v>
      </c>
      <c r="P30">
        <f t="shared" si="6"/>
        <v>0.78659332202898002</v>
      </c>
      <c r="Q30">
        <f t="shared" si="7"/>
        <v>0.57082087020642269</v>
      </c>
      <c r="R30">
        <f t="shared" si="8"/>
        <v>3.0472791652177982</v>
      </c>
      <c r="S30">
        <f t="shared" si="9"/>
        <v>0.5173910932837037</v>
      </c>
      <c r="T30">
        <f t="shared" si="10"/>
        <v>0.32775211622799161</v>
      </c>
      <c r="U30">
        <f t="shared" si="11"/>
        <v>289.56531284764577</v>
      </c>
      <c r="V30">
        <f t="shared" si="12"/>
        <v>30.477250068324437</v>
      </c>
      <c r="W30">
        <f t="shared" si="13"/>
        <v>29.9941</v>
      </c>
      <c r="X30">
        <f t="shared" si="14"/>
        <v>4.2590061568326636</v>
      </c>
      <c r="Y30">
        <f t="shared" si="15"/>
        <v>65.505165940755631</v>
      </c>
      <c r="Z30">
        <f t="shared" si="16"/>
        <v>2.8996043015646</v>
      </c>
      <c r="AA30">
        <f t="shared" si="17"/>
        <v>4.426527679033847</v>
      </c>
      <c r="AB30">
        <f t="shared" si="18"/>
        <v>1.3594018552680636</v>
      </c>
      <c r="AC30">
        <f t="shared" si="19"/>
        <v>-323.09857426235152</v>
      </c>
      <c r="AD30">
        <f t="shared" si="20"/>
        <v>110.61303283537113</v>
      </c>
      <c r="AE30">
        <f t="shared" si="21"/>
        <v>8.0975775769206706</v>
      </c>
      <c r="AF30">
        <f t="shared" si="22"/>
        <v>85.177348997586066</v>
      </c>
      <c r="AG30">
        <v>5</v>
      </c>
      <c r="AH30">
        <v>1</v>
      </c>
      <c r="AI30">
        <f t="shared" si="23"/>
        <v>1</v>
      </c>
      <c r="AJ30">
        <f t="shared" si="24"/>
        <v>0</v>
      </c>
      <c r="AK30">
        <f t="shared" si="25"/>
        <v>51935.307176601011</v>
      </c>
      <c r="AL30" t="s">
        <v>415</v>
      </c>
      <c r="AM30">
        <v>6960.3</v>
      </c>
      <c r="AN30">
        <v>244.8124</v>
      </c>
      <c r="AO30">
        <v>892.86711584811997</v>
      </c>
      <c r="AP30">
        <f t="shared" si="26"/>
        <v>0.72581317459826411</v>
      </c>
      <c r="AQ30">
        <v>-0.43209471141234851</v>
      </c>
      <c r="AR30" t="s">
        <v>478</v>
      </c>
      <c r="AS30">
        <v>7142.5</v>
      </c>
      <c r="AT30">
        <v>670.434153846154</v>
      </c>
      <c r="AU30">
        <v>713.95367626425491</v>
      </c>
      <c r="AV30">
        <f t="shared" si="27"/>
        <v>6.0955666823953814E-2</v>
      </c>
      <c r="AW30">
        <v>0.5</v>
      </c>
      <c r="AX30">
        <f t="shared" si="28"/>
        <v>1513.1840999210599</v>
      </c>
      <c r="AY30">
        <f t="shared" si="29"/>
        <v>1.8743329621543159</v>
      </c>
      <c r="AZ30">
        <f t="shared" si="30"/>
        <v>46.118572919046279</v>
      </c>
      <c r="BA30">
        <f t="shared" si="31"/>
        <v>1.5242214570500619E-3</v>
      </c>
      <c r="BB30">
        <f t="shared" si="32"/>
        <v>0.2505953054545853</v>
      </c>
      <c r="BC30">
        <f t="shared" si="33"/>
        <v>229.07282213672499</v>
      </c>
      <c r="BD30" t="s">
        <v>479</v>
      </c>
      <c r="BE30">
        <v>498.33</v>
      </c>
      <c r="BF30">
        <f t="shared" si="34"/>
        <v>498.33</v>
      </c>
      <c r="BG30">
        <f t="shared" si="35"/>
        <v>0.30201353873895642</v>
      </c>
      <c r="BH30">
        <f t="shared" si="36"/>
        <v>0.20183090823832395</v>
      </c>
      <c r="BI30">
        <f t="shared" si="37"/>
        <v>0.45347682739369727</v>
      </c>
      <c r="BJ30">
        <f t="shared" si="38"/>
        <v>9.2764215429186642E-2</v>
      </c>
      <c r="BK30">
        <f t="shared" si="39"/>
        <v>0.27607767555509272</v>
      </c>
      <c r="BL30">
        <f t="shared" si="40"/>
        <v>0.15001979825372072</v>
      </c>
      <c r="BM30">
        <f t="shared" si="41"/>
        <v>0.84998020174627931</v>
      </c>
      <c r="BN30">
        <v>39</v>
      </c>
      <c r="BO30">
        <v>290.00000000000011</v>
      </c>
      <c r="BP30">
        <v>699.71</v>
      </c>
      <c r="BQ30">
        <v>105</v>
      </c>
      <c r="BR30">
        <v>7142.5</v>
      </c>
      <c r="BS30">
        <v>699.77</v>
      </c>
      <c r="BT30">
        <v>-0.06</v>
      </c>
      <c r="BU30">
        <v>300.00000000000011</v>
      </c>
      <c r="BV30">
        <v>38.200000000000003</v>
      </c>
      <c r="BW30">
        <v>713.95367626425491</v>
      </c>
      <c r="BX30">
        <v>1.086354408433865</v>
      </c>
      <c r="BY30">
        <v>-10.13064413418256</v>
      </c>
      <c r="BZ30">
        <v>0.64982419460451657</v>
      </c>
      <c r="CA30">
        <v>0.89669519792532515</v>
      </c>
      <c r="CB30">
        <v>-7.0426996662958851E-3</v>
      </c>
      <c r="CC30">
        <v>289.99999999999989</v>
      </c>
      <c r="CD30">
        <v>699.16</v>
      </c>
      <c r="CE30">
        <v>675</v>
      </c>
      <c r="CF30">
        <v>7133.28</v>
      </c>
      <c r="CG30">
        <v>699.75</v>
      </c>
      <c r="CH30">
        <v>-0.59</v>
      </c>
      <c r="CV30">
        <f t="shared" si="42"/>
        <v>1800</v>
      </c>
      <c r="CW30">
        <f t="shared" si="43"/>
        <v>1513.1840999210599</v>
      </c>
      <c r="CX30">
        <f t="shared" si="44"/>
        <v>0.84065783328947774</v>
      </c>
      <c r="CY30">
        <f t="shared" si="45"/>
        <v>0.16086961824869209</v>
      </c>
      <c r="CZ30">
        <v>5.36</v>
      </c>
      <c r="DA30">
        <v>0.5</v>
      </c>
      <c r="DB30" t="s">
        <v>418</v>
      </c>
      <c r="DC30">
        <v>2</v>
      </c>
      <c r="DD30">
        <v>1700149440.5</v>
      </c>
      <c r="DE30">
        <v>7.8991800000000003</v>
      </c>
      <c r="DF30">
        <v>9.9705300000000001</v>
      </c>
      <c r="DG30">
        <v>29.118600000000001</v>
      </c>
      <c r="DH30">
        <v>21.493200000000002</v>
      </c>
      <c r="DI30">
        <v>6.89079</v>
      </c>
      <c r="DJ30">
        <v>28.8521</v>
      </c>
      <c r="DK30">
        <v>499.99400000000003</v>
      </c>
      <c r="DL30">
        <v>99.479100000000003</v>
      </c>
      <c r="DM30">
        <v>0.100011</v>
      </c>
      <c r="DN30">
        <v>30.667400000000001</v>
      </c>
      <c r="DO30">
        <v>29.9941</v>
      </c>
      <c r="DP30">
        <v>999.9</v>
      </c>
      <c r="DQ30">
        <v>0</v>
      </c>
      <c r="DR30">
        <v>0</v>
      </c>
      <c r="DS30">
        <v>9993.75</v>
      </c>
      <c r="DT30">
        <v>0</v>
      </c>
      <c r="DU30">
        <v>265.45400000000001</v>
      </c>
      <c r="DV30">
        <v>-2.0713599999999999</v>
      </c>
      <c r="DW30">
        <v>8.1360899999999994</v>
      </c>
      <c r="DX30">
        <v>10.189500000000001</v>
      </c>
      <c r="DY30">
        <v>7.6253900000000003</v>
      </c>
      <c r="DZ30">
        <v>9.9705300000000001</v>
      </c>
      <c r="EA30">
        <v>21.493200000000002</v>
      </c>
      <c r="EB30">
        <v>2.89669</v>
      </c>
      <c r="EC30">
        <v>2.1381299999999999</v>
      </c>
      <c r="ED30">
        <v>23.445699999999999</v>
      </c>
      <c r="EE30">
        <v>18.5061</v>
      </c>
      <c r="EF30">
        <v>1800</v>
      </c>
      <c r="EG30">
        <v>0.97801000000000005</v>
      </c>
      <c r="EH30">
        <v>2.1990099999999999E-2</v>
      </c>
      <c r="EI30">
        <v>0</v>
      </c>
      <c r="EJ30">
        <v>670.399</v>
      </c>
      <c r="EK30">
        <v>5.0001199999999999</v>
      </c>
      <c r="EL30">
        <v>12221.4</v>
      </c>
      <c r="EM30">
        <v>15630</v>
      </c>
      <c r="EN30">
        <v>52.311999999999998</v>
      </c>
      <c r="EO30">
        <v>53.436999999999998</v>
      </c>
      <c r="EP30">
        <v>53.25</v>
      </c>
      <c r="EQ30">
        <v>53.311999999999998</v>
      </c>
      <c r="ER30">
        <v>53.936999999999998</v>
      </c>
      <c r="ES30">
        <v>1755.53</v>
      </c>
      <c r="ET30">
        <v>39.47</v>
      </c>
      <c r="EU30">
        <v>0</v>
      </c>
      <c r="EV30">
        <v>232.4000000953674</v>
      </c>
      <c r="EW30">
        <v>0</v>
      </c>
      <c r="EX30">
        <v>670.434153846154</v>
      </c>
      <c r="EY30">
        <v>-0.46188032982679073</v>
      </c>
      <c r="EZ30">
        <v>0.62222221924228049</v>
      </c>
      <c r="FA30">
        <v>12224.6</v>
      </c>
      <c r="FB30">
        <v>15</v>
      </c>
      <c r="FC30">
        <v>1700149405</v>
      </c>
      <c r="FD30" t="s">
        <v>480</v>
      </c>
      <c r="FE30">
        <v>1700149400.5</v>
      </c>
      <c r="FF30">
        <v>1700149405</v>
      </c>
      <c r="FG30">
        <v>16</v>
      </c>
      <c r="FH30">
        <v>2.1000000000000001E-2</v>
      </c>
      <c r="FI30">
        <v>3.0000000000000001E-3</v>
      </c>
      <c r="FJ30">
        <v>1.01</v>
      </c>
      <c r="FK30">
        <v>0.26700000000000002</v>
      </c>
      <c r="FL30">
        <v>10</v>
      </c>
      <c r="FM30">
        <v>22</v>
      </c>
      <c r="FN30">
        <v>0.36</v>
      </c>
      <c r="FO30">
        <v>0.03</v>
      </c>
      <c r="FP30">
        <v>1.8870279312084881</v>
      </c>
      <c r="FQ30">
        <v>0.10382922632381621</v>
      </c>
      <c r="FR30">
        <v>1.553479211295403E-2</v>
      </c>
      <c r="FS30">
        <v>1</v>
      </c>
      <c r="FT30">
        <v>0.57169747546755134</v>
      </c>
      <c r="FU30">
        <v>3.5626225377842033E-2</v>
      </c>
      <c r="FV30">
        <v>4.3895623388396079E-3</v>
      </c>
      <c r="FW30">
        <v>1</v>
      </c>
      <c r="FX30">
        <v>2</v>
      </c>
      <c r="FY30">
        <v>2</v>
      </c>
      <c r="FZ30" t="s">
        <v>420</v>
      </c>
      <c r="GA30">
        <v>2.91167</v>
      </c>
      <c r="GB30">
        <v>2.7509600000000001</v>
      </c>
      <c r="GC30">
        <v>1.91617E-3</v>
      </c>
      <c r="GD30">
        <v>2.8362999999999999E-3</v>
      </c>
      <c r="GE30">
        <v>0.13136100000000001</v>
      </c>
      <c r="GF30">
        <v>0.10847900000000001</v>
      </c>
      <c r="GG30">
        <v>30851.7</v>
      </c>
      <c r="GH30">
        <v>30676.9</v>
      </c>
      <c r="GI30">
        <v>28166.400000000001</v>
      </c>
      <c r="GJ30">
        <v>28142.1</v>
      </c>
      <c r="GK30">
        <v>33342.400000000001</v>
      </c>
      <c r="GL30">
        <v>35043.5</v>
      </c>
      <c r="GM30">
        <v>42310.7</v>
      </c>
      <c r="GN30">
        <v>43746.400000000001</v>
      </c>
      <c r="GO30">
        <v>1.7420500000000001</v>
      </c>
      <c r="GP30">
        <v>1.88615</v>
      </c>
      <c r="GQ30">
        <v>-4.4293700000000002E-3</v>
      </c>
      <c r="GR30">
        <v>0</v>
      </c>
      <c r="GS30">
        <v>30.066099999999999</v>
      </c>
      <c r="GT30">
        <v>999.9</v>
      </c>
      <c r="GU30">
        <v>44.9</v>
      </c>
      <c r="GV30">
        <v>37.700000000000003</v>
      </c>
      <c r="GW30">
        <v>29.561299999999999</v>
      </c>
      <c r="GX30">
        <v>61.186500000000002</v>
      </c>
      <c r="GY30">
        <v>30.040099999999999</v>
      </c>
      <c r="GZ30">
        <v>1</v>
      </c>
      <c r="HA30">
        <v>0.68228100000000003</v>
      </c>
      <c r="HB30">
        <v>3.44495</v>
      </c>
      <c r="HC30">
        <v>20.2272</v>
      </c>
      <c r="HD30">
        <v>5.2717999999999998</v>
      </c>
      <c r="HE30">
        <v>12.0878</v>
      </c>
      <c r="HF30">
        <v>5.0118999999999998</v>
      </c>
      <c r="HG30">
        <v>3.29122</v>
      </c>
      <c r="HH30">
        <v>9999</v>
      </c>
      <c r="HI30">
        <v>9999</v>
      </c>
      <c r="HJ30">
        <v>9999</v>
      </c>
      <c r="HK30">
        <v>999.9</v>
      </c>
      <c r="HL30">
        <v>1.8766499999999999</v>
      </c>
      <c r="HM30">
        <v>1.87721</v>
      </c>
      <c r="HN30">
        <v>1.8769499999999999</v>
      </c>
      <c r="HO30">
        <v>1.8807100000000001</v>
      </c>
      <c r="HP30">
        <v>1.8743700000000001</v>
      </c>
      <c r="HQ30">
        <v>1.87738</v>
      </c>
      <c r="HR30">
        <v>1.8772599999999999</v>
      </c>
      <c r="HS30">
        <v>1.8786499999999999</v>
      </c>
      <c r="HT30">
        <v>0</v>
      </c>
      <c r="HU30">
        <v>0</v>
      </c>
      <c r="HV30">
        <v>0</v>
      </c>
      <c r="HW30">
        <v>0</v>
      </c>
      <c r="HX30" t="s">
        <v>421</v>
      </c>
      <c r="HY30" t="s">
        <v>422</v>
      </c>
      <c r="HZ30" t="s">
        <v>423</v>
      </c>
      <c r="IA30" t="s">
        <v>424</v>
      </c>
      <c r="IB30" t="s">
        <v>424</v>
      </c>
      <c r="IC30" t="s">
        <v>423</v>
      </c>
      <c r="ID30">
        <v>0</v>
      </c>
      <c r="IE30">
        <v>100</v>
      </c>
      <c r="IF30">
        <v>100</v>
      </c>
      <c r="IG30">
        <v>1.008</v>
      </c>
      <c r="IH30">
        <v>0.26650000000000001</v>
      </c>
      <c r="II30">
        <v>1.0022466789860061</v>
      </c>
      <c r="IJ30">
        <v>8.9576739069318506E-4</v>
      </c>
      <c r="IK30">
        <v>-7.2130504814809596E-7</v>
      </c>
      <c r="IL30">
        <v>1.9987036519832741E-10</v>
      </c>
      <c r="IM30">
        <v>0.26651904761904532</v>
      </c>
      <c r="IN30">
        <v>0</v>
      </c>
      <c r="IO30">
        <v>0</v>
      </c>
      <c r="IP30">
        <v>0</v>
      </c>
      <c r="IQ30">
        <v>1</v>
      </c>
      <c r="IR30">
        <v>2126</v>
      </c>
      <c r="IS30">
        <v>0</v>
      </c>
      <c r="IT30">
        <v>20</v>
      </c>
      <c r="IU30">
        <v>0.7</v>
      </c>
      <c r="IV30">
        <v>0.6</v>
      </c>
      <c r="IW30">
        <v>0.17944299999999999</v>
      </c>
      <c r="IX30">
        <v>2.7319300000000002</v>
      </c>
      <c r="IY30">
        <v>1.69434</v>
      </c>
      <c r="IZ30">
        <v>2.34253</v>
      </c>
      <c r="JA30">
        <v>1.5466299999999999</v>
      </c>
      <c r="JB30">
        <v>2.49268</v>
      </c>
      <c r="JC30">
        <v>45.261899999999997</v>
      </c>
      <c r="JD30">
        <v>23.684699999999999</v>
      </c>
      <c r="JE30">
        <v>18</v>
      </c>
      <c r="JF30">
        <v>497.53899999999999</v>
      </c>
      <c r="JG30">
        <v>498.66699999999997</v>
      </c>
      <c r="JH30">
        <v>27.1251</v>
      </c>
      <c r="JI30">
        <v>35.6877</v>
      </c>
      <c r="JJ30">
        <v>30</v>
      </c>
      <c r="JK30">
        <v>35.610399999999998</v>
      </c>
      <c r="JL30">
        <v>35.559600000000003</v>
      </c>
      <c r="JM30">
        <v>3.68255</v>
      </c>
      <c r="JN30">
        <v>27.4026</v>
      </c>
      <c r="JO30">
        <v>55.353700000000003</v>
      </c>
      <c r="JP30">
        <v>27.127600000000001</v>
      </c>
      <c r="JQ30">
        <v>10</v>
      </c>
      <c r="JR30">
        <v>21.416399999999999</v>
      </c>
      <c r="JS30">
        <v>98.656000000000006</v>
      </c>
      <c r="JT30">
        <v>98.562700000000007</v>
      </c>
    </row>
    <row r="31" spans="1:280" x14ac:dyDescent="0.25">
      <c r="A31">
        <v>15</v>
      </c>
      <c r="B31">
        <v>1700152081.5</v>
      </c>
      <c r="C31">
        <v>4551.9000000953674</v>
      </c>
      <c r="D31" t="s">
        <v>481</v>
      </c>
      <c r="E31" t="s">
        <v>482</v>
      </c>
      <c r="F31" t="s">
        <v>412</v>
      </c>
      <c r="G31" t="s">
        <v>483</v>
      </c>
      <c r="H31" t="s">
        <v>414</v>
      </c>
      <c r="I31">
        <v>1700152081.5</v>
      </c>
      <c r="J31">
        <f t="shared" si="0"/>
        <v>4.2966333533049489E-3</v>
      </c>
      <c r="K31">
        <f t="shared" si="1"/>
        <v>4.2966333533049488</v>
      </c>
      <c r="L31">
        <f t="shared" si="2"/>
        <v>50.679096998858377</v>
      </c>
      <c r="M31">
        <f t="shared" si="3"/>
        <v>397.64400000000001</v>
      </c>
      <c r="N31">
        <f t="shared" si="4"/>
        <v>103.33257984475904</v>
      </c>
      <c r="O31">
        <f t="shared" si="5"/>
        <v>10.277223516405746</v>
      </c>
      <c r="P31">
        <f t="shared" si="6"/>
        <v>39.548768395187999</v>
      </c>
      <c r="Q31">
        <f t="shared" si="7"/>
        <v>0.29387588724088265</v>
      </c>
      <c r="R31">
        <f t="shared" si="8"/>
        <v>3.132775079348475</v>
      </c>
      <c r="S31">
        <f t="shared" si="9"/>
        <v>0.27937457083660444</v>
      </c>
      <c r="T31">
        <f t="shared" si="10"/>
        <v>0.17585234481438641</v>
      </c>
      <c r="U31">
        <f t="shared" si="11"/>
        <v>289.53933884755418</v>
      </c>
      <c r="V31">
        <f t="shared" si="12"/>
        <v>30.50998322854327</v>
      </c>
      <c r="W31">
        <f t="shared" si="13"/>
        <v>29.980599999999999</v>
      </c>
      <c r="X31">
        <f t="shared" si="14"/>
        <v>4.2557045722008198</v>
      </c>
      <c r="Y31">
        <f t="shared" si="15"/>
        <v>65.418208198064931</v>
      </c>
      <c r="Z31">
        <f t="shared" si="16"/>
        <v>2.7802015174672001</v>
      </c>
      <c r="AA31">
        <f t="shared" si="17"/>
        <v>4.2498894329995398</v>
      </c>
      <c r="AB31">
        <f t="shared" si="18"/>
        <v>1.4755030547336196</v>
      </c>
      <c r="AC31">
        <f t="shared" si="19"/>
        <v>-189.48153088074824</v>
      </c>
      <c r="AD31">
        <f t="shared" si="20"/>
        <v>-4.0196812478521053</v>
      </c>
      <c r="AE31">
        <f t="shared" si="21"/>
        <v>-0.28521141230360014</v>
      </c>
      <c r="AF31">
        <f t="shared" si="22"/>
        <v>95.752915306650209</v>
      </c>
      <c r="AG31">
        <v>69</v>
      </c>
      <c r="AH31">
        <v>14</v>
      </c>
      <c r="AI31">
        <f t="shared" si="23"/>
        <v>1</v>
      </c>
      <c r="AJ31">
        <f t="shared" si="24"/>
        <v>0</v>
      </c>
      <c r="AK31">
        <f t="shared" si="25"/>
        <v>52046.738935176138</v>
      </c>
      <c r="AL31" t="s">
        <v>415</v>
      </c>
      <c r="AM31">
        <v>6960.3</v>
      </c>
      <c r="AN31">
        <v>244.8124</v>
      </c>
      <c r="AO31">
        <v>892.86711584811997</v>
      </c>
      <c r="AP31">
        <f t="shared" si="26"/>
        <v>0.72581317459826411</v>
      </c>
      <c r="AQ31">
        <v>-0.43209471141234851</v>
      </c>
      <c r="AR31" t="s">
        <v>484</v>
      </c>
      <c r="AS31">
        <v>7140.49</v>
      </c>
      <c r="AT31">
        <v>568.78531999999996</v>
      </c>
      <c r="AU31">
        <v>843.73386647123732</v>
      </c>
      <c r="AV31">
        <f t="shared" si="27"/>
        <v>0.32587117502010365</v>
      </c>
      <c r="AW31">
        <v>0.5</v>
      </c>
      <c r="AX31">
        <f t="shared" si="28"/>
        <v>1513.0418999210124</v>
      </c>
      <c r="AY31">
        <f t="shared" si="29"/>
        <v>50.679096998858377</v>
      </c>
      <c r="AZ31">
        <f t="shared" si="30"/>
        <v>246.52837089095519</v>
      </c>
      <c r="BA31">
        <f t="shared" si="31"/>
        <v>3.3780420563990304E-2</v>
      </c>
      <c r="BB31">
        <f t="shared" si="32"/>
        <v>5.8233112749608455E-2</v>
      </c>
      <c r="BC31">
        <f t="shared" si="33"/>
        <v>240.96497197514068</v>
      </c>
      <c r="BD31" t="s">
        <v>485</v>
      </c>
      <c r="BE31">
        <v>403.22</v>
      </c>
      <c r="BF31">
        <f t="shared" si="34"/>
        <v>403.22</v>
      </c>
      <c r="BG31">
        <f t="shared" si="35"/>
        <v>0.52210049160833849</v>
      </c>
      <c r="BH31">
        <f t="shared" si="36"/>
        <v>0.62415412407724902</v>
      </c>
      <c r="BI31">
        <f t="shared" si="37"/>
        <v>0.10034420256265315</v>
      </c>
      <c r="BJ31">
        <f t="shared" si="38"/>
        <v>0.4590727864392577</v>
      </c>
      <c r="BK31">
        <f t="shared" si="39"/>
        <v>7.5816513907442443E-2</v>
      </c>
      <c r="BL31">
        <f t="shared" si="40"/>
        <v>0.44247173241114657</v>
      </c>
      <c r="BM31">
        <f t="shared" si="41"/>
        <v>0.55752826758885343</v>
      </c>
      <c r="BN31">
        <v>41</v>
      </c>
      <c r="BO31">
        <v>290.00000000000011</v>
      </c>
      <c r="BP31">
        <v>764.15</v>
      </c>
      <c r="BQ31">
        <v>265</v>
      </c>
      <c r="BR31">
        <v>7140.49</v>
      </c>
      <c r="BS31">
        <v>766.72</v>
      </c>
      <c r="BT31">
        <v>-2.57</v>
      </c>
      <c r="BU31">
        <v>300.00000000000011</v>
      </c>
      <c r="BV31">
        <v>38.200000000000003</v>
      </c>
      <c r="BW31">
        <v>843.73386647123732</v>
      </c>
      <c r="BX31">
        <v>1.445434714656729</v>
      </c>
      <c r="BY31">
        <v>-54.991325235828143</v>
      </c>
      <c r="BZ31">
        <v>0.86504386675146483</v>
      </c>
      <c r="CA31">
        <v>0.99311906836751296</v>
      </c>
      <c r="CB31">
        <v>-7.0465379310344807E-3</v>
      </c>
      <c r="CC31">
        <v>289.99999999999989</v>
      </c>
      <c r="CD31">
        <v>776.73</v>
      </c>
      <c r="CE31">
        <v>845</v>
      </c>
      <c r="CF31">
        <v>7134.35</v>
      </c>
      <c r="CG31">
        <v>766.65</v>
      </c>
      <c r="CH31">
        <v>10.08</v>
      </c>
      <c r="CV31">
        <f t="shared" si="42"/>
        <v>1799.83</v>
      </c>
      <c r="CW31">
        <f t="shared" si="43"/>
        <v>1513.0418999210124</v>
      </c>
      <c r="CX31">
        <f t="shared" si="44"/>
        <v>0.840658228788837</v>
      </c>
      <c r="CY31">
        <f t="shared" si="45"/>
        <v>0.16087038156245545</v>
      </c>
      <c r="CZ31">
        <v>5</v>
      </c>
      <c r="DA31">
        <v>0.5</v>
      </c>
      <c r="DB31" t="s">
        <v>418</v>
      </c>
      <c r="DC31">
        <v>2</v>
      </c>
      <c r="DD31">
        <v>1700152081.5</v>
      </c>
      <c r="DE31">
        <v>397.64400000000001</v>
      </c>
      <c r="DF31">
        <v>450.02</v>
      </c>
      <c r="DG31">
        <v>27.953600000000002</v>
      </c>
      <c r="DH31">
        <v>23.777999999999999</v>
      </c>
      <c r="DI31">
        <v>396.21199999999999</v>
      </c>
      <c r="DJ31">
        <v>27.652899999999999</v>
      </c>
      <c r="DK31">
        <v>500.11099999999999</v>
      </c>
      <c r="DL31">
        <v>99.357699999999994</v>
      </c>
      <c r="DM31">
        <v>0.100027</v>
      </c>
      <c r="DN31">
        <v>29.956800000000001</v>
      </c>
      <c r="DO31">
        <v>29.980599999999999</v>
      </c>
      <c r="DP31">
        <v>999.9</v>
      </c>
      <c r="DQ31">
        <v>0</v>
      </c>
      <c r="DR31">
        <v>0</v>
      </c>
      <c r="DS31">
        <v>10004.4</v>
      </c>
      <c r="DT31">
        <v>0</v>
      </c>
      <c r="DU31">
        <v>229.64500000000001</v>
      </c>
      <c r="DV31">
        <v>-52.3765</v>
      </c>
      <c r="DW31">
        <v>409.07900000000001</v>
      </c>
      <c r="DX31">
        <v>460.98099999999999</v>
      </c>
      <c r="DY31">
        <v>4.1755599999999999</v>
      </c>
      <c r="DZ31">
        <v>450.02</v>
      </c>
      <c r="EA31">
        <v>23.777999999999999</v>
      </c>
      <c r="EB31">
        <v>2.7774000000000001</v>
      </c>
      <c r="EC31">
        <v>2.36253</v>
      </c>
      <c r="ED31">
        <v>22.750399999999999</v>
      </c>
      <c r="EE31">
        <v>20.109200000000001</v>
      </c>
      <c r="EF31">
        <v>1799.83</v>
      </c>
      <c r="EG31">
        <v>0.97799999999999998</v>
      </c>
      <c r="EH31">
        <v>2.20003E-2</v>
      </c>
      <c r="EI31">
        <v>0</v>
      </c>
      <c r="EJ31">
        <v>568.61300000000006</v>
      </c>
      <c r="EK31">
        <v>5.0001199999999999</v>
      </c>
      <c r="EL31">
        <v>10383.299999999999</v>
      </c>
      <c r="EM31">
        <v>15628.5</v>
      </c>
      <c r="EN31">
        <v>51.875</v>
      </c>
      <c r="EO31">
        <v>53.061999999999998</v>
      </c>
      <c r="EP31">
        <v>52.811999999999998</v>
      </c>
      <c r="EQ31">
        <v>52.811999999999998</v>
      </c>
      <c r="ER31">
        <v>53.375</v>
      </c>
      <c r="ES31">
        <v>1755.34</v>
      </c>
      <c r="ET31">
        <v>39.49</v>
      </c>
      <c r="EU31">
        <v>0</v>
      </c>
      <c r="EV31">
        <v>2639</v>
      </c>
      <c r="EW31">
        <v>0</v>
      </c>
      <c r="EX31">
        <v>568.78531999999996</v>
      </c>
      <c r="EY31">
        <v>-1.2109230712225669</v>
      </c>
      <c r="EZ31">
        <v>-23.45384617352812</v>
      </c>
      <c r="FA31">
        <v>10386.376</v>
      </c>
      <c r="FB31">
        <v>15</v>
      </c>
      <c r="FC31">
        <v>1700152036</v>
      </c>
      <c r="FD31" t="s">
        <v>486</v>
      </c>
      <c r="FE31">
        <v>1700152034.5</v>
      </c>
      <c r="FF31">
        <v>1700152036</v>
      </c>
      <c r="FG31">
        <v>20</v>
      </c>
      <c r="FH31">
        <v>-8.7999999999999995E-2</v>
      </c>
      <c r="FI31">
        <v>-7.0000000000000001E-3</v>
      </c>
      <c r="FJ31">
        <v>1.452</v>
      </c>
      <c r="FK31">
        <v>0.30099999999999999</v>
      </c>
      <c r="FL31">
        <v>450</v>
      </c>
      <c r="FM31">
        <v>24</v>
      </c>
      <c r="FN31">
        <v>0.02</v>
      </c>
      <c r="FO31">
        <v>0.03</v>
      </c>
      <c r="FP31">
        <v>50.589935337685141</v>
      </c>
      <c r="FQ31">
        <v>3.8314681304242818E-3</v>
      </c>
      <c r="FR31">
        <v>3.0499679609692389E-2</v>
      </c>
      <c r="FS31">
        <v>1</v>
      </c>
      <c r="FT31">
        <v>0.29472368735828153</v>
      </c>
      <c r="FU31">
        <v>3.4630775483426503E-2</v>
      </c>
      <c r="FV31">
        <v>4.0524300240300341E-3</v>
      </c>
      <c r="FW31">
        <v>1</v>
      </c>
      <c r="FX31">
        <v>2</v>
      </c>
      <c r="FY31">
        <v>2</v>
      </c>
      <c r="FZ31" t="s">
        <v>420</v>
      </c>
      <c r="GA31">
        <v>2.9112300000000002</v>
      </c>
      <c r="GB31">
        <v>2.7510699999999999</v>
      </c>
      <c r="GC31">
        <v>8.9916300000000005E-2</v>
      </c>
      <c r="GD31">
        <v>0.100706</v>
      </c>
      <c r="GE31">
        <v>0.127332</v>
      </c>
      <c r="GF31">
        <v>0.116178</v>
      </c>
      <c r="GG31">
        <v>28142.7</v>
      </c>
      <c r="GH31">
        <v>27661.3</v>
      </c>
      <c r="GI31">
        <v>28174.6</v>
      </c>
      <c r="GJ31">
        <v>28134.2</v>
      </c>
      <c r="GK31">
        <v>33513.699999999997</v>
      </c>
      <c r="GL31">
        <v>34735.599999999999</v>
      </c>
      <c r="GM31">
        <v>42331.8</v>
      </c>
      <c r="GN31">
        <v>43739.5</v>
      </c>
      <c r="GO31">
        <v>1.6189800000000001</v>
      </c>
      <c r="GP31">
        <v>1.8412299999999999</v>
      </c>
      <c r="GQ31">
        <v>-1.2591499999999999E-3</v>
      </c>
      <c r="GR31">
        <v>0</v>
      </c>
      <c r="GS31">
        <v>30.001100000000001</v>
      </c>
      <c r="GT31">
        <v>999.9</v>
      </c>
      <c r="GU31">
        <v>31.8</v>
      </c>
      <c r="GV31">
        <v>44.4</v>
      </c>
      <c r="GW31">
        <v>29.9054</v>
      </c>
      <c r="GX31">
        <v>61.484900000000003</v>
      </c>
      <c r="GY31">
        <v>30.632999999999999</v>
      </c>
      <c r="GZ31">
        <v>1</v>
      </c>
      <c r="HA31">
        <v>0.71031999999999995</v>
      </c>
      <c r="HB31">
        <v>3.7907500000000001</v>
      </c>
      <c r="HC31">
        <v>20.217199999999998</v>
      </c>
      <c r="HD31">
        <v>5.2725499999999998</v>
      </c>
      <c r="HE31">
        <v>12.0878</v>
      </c>
      <c r="HF31">
        <v>5.0129999999999999</v>
      </c>
      <c r="HG31">
        <v>3.2919999999999998</v>
      </c>
      <c r="HH31">
        <v>9999</v>
      </c>
      <c r="HI31">
        <v>9999</v>
      </c>
      <c r="HJ31">
        <v>9999</v>
      </c>
      <c r="HK31">
        <v>999.9</v>
      </c>
      <c r="HL31">
        <v>1.87683</v>
      </c>
      <c r="HM31">
        <v>1.8775900000000001</v>
      </c>
      <c r="HN31">
        <v>1.87724</v>
      </c>
      <c r="HO31">
        <v>1.8809499999999999</v>
      </c>
      <c r="HP31">
        <v>1.8746799999999999</v>
      </c>
      <c r="HQ31">
        <v>1.87757</v>
      </c>
      <c r="HR31">
        <v>1.87747</v>
      </c>
      <c r="HS31">
        <v>1.87897</v>
      </c>
      <c r="HT31">
        <v>0</v>
      </c>
      <c r="HU31">
        <v>0</v>
      </c>
      <c r="HV31">
        <v>0</v>
      </c>
      <c r="HW31">
        <v>0</v>
      </c>
      <c r="HX31" t="s">
        <v>421</v>
      </c>
      <c r="HY31" t="s">
        <v>422</v>
      </c>
      <c r="HZ31" t="s">
        <v>423</v>
      </c>
      <c r="IA31" t="s">
        <v>424</v>
      </c>
      <c r="IB31" t="s">
        <v>424</v>
      </c>
      <c r="IC31" t="s">
        <v>423</v>
      </c>
      <c r="ID31">
        <v>0</v>
      </c>
      <c r="IE31">
        <v>100</v>
      </c>
      <c r="IF31">
        <v>100</v>
      </c>
      <c r="IG31">
        <v>1.4319999999999999</v>
      </c>
      <c r="IH31">
        <v>0.30070000000000002</v>
      </c>
      <c r="II31">
        <v>1.17735022791766</v>
      </c>
      <c r="IJ31">
        <v>8.9576739069318506E-4</v>
      </c>
      <c r="IK31">
        <v>-7.2130504814809596E-7</v>
      </c>
      <c r="IL31">
        <v>1.9987036519832741E-10</v>
      </c>
      <c r="IM31">
        <v>0.30068571428571289</v>
      </c>
      <c r="IN31">
        <v>0</v>
      </c>
      <c r="IO31">
        <v>0</v>
      </c>
      <c r="IP31">
        <v>0</v>
      </c>
      <c r="IQ31">
        <v>1</v>
      </c>
      <c r="IR31">
        <v>2126</v>
      </c>
      <c r="IS31">
        <v>0</v>
      </c>
      <c r="IT31">
        <v>20</v>
      </c>
      <c r="IU31">
        <v>0.8</v>
      </c>
      <c r="IV31">
        <v>0.8</v>
      </c>
      <c r="IW31">
        <v>1.1437999999999999</v>
      </c>
      <c r="IX31">
        <v>2.7258300000000002</v>
      </c>
      <c r="IY31">
        <v>1.69434</v>
      </c>
      <c r="IZ31">
        <v>2.33643</v>
      </c>
      <c r="JA31">
        <v>1.5466299999999999</v>
      </c>
      <c r="JB31">
        <v>2.5280800000000001</v>
      </c>
      <c r="JC31">
        <v>50.672899999999998</v>
      </c>
      <c r="JD31">
        <v>23.745999999999999</v>
      </c>
      <c r="JE31">
        <v>18</v>
      </c>
      <c r="JF31">
        <v>407.79700000000003</v>
      </c>
      <c r="JG31">
        <v>469.59800000000001</v>
      </c>
      <c r="JH31">
        <v>26.261199999999999</v>
      </c>
      <c r="JI31">
        <v>36.015900000000002</v>
      </c>
      <c r="JJ31">
        <v>29.9999</v>
      </c>
      <c r="JK31">
        <v>35.967399999999998</v>
      </c>
      <c r="JL31">
        <v>35.914700000000003</v>
      </c>
      <c r="JM31">
        <v>22.9834</v>
      </c>
      <c r="JN31">
        <v>12.7659</v>
      </c>
      <c r="JO31">
        <v>37.194000000000003</v>
      </c>
      <c r="JP31">
        <v>26.281300000000002</v>
      </c>
      <c r="JQ31">
        <v>450</v>
      </c>
      <c r="JR31">
        <v>23.678599999999999</v>
      </c>
      <c r="JS31">
        <v>98.697000000000003</v>
      </c>
      <c r="JT31">
        <v>98.542400000000001</v>
      </c>
    </row>
    <row r="32" spans="1:280" x14ac:dyDescent="0.25">
      <c r="A32">
        <v>16</v>
      </c>
      <c r="B32">
        <v>1700152203</v>
      </c>
      <c r="C32">
        <v>4673.4000000953674</v>
      </c>
      <c r="D32" t="s">
        <v>487</v>
      </c>
      <c r="E32" t="s">
        <v>488</v>
      </c>
      <c r="F32" t="s">
        <v>412</v>
      </c>
      <c r="G32" t="s">
        <v>483</v>
      </c>
      <c r="H32" t="s">
        <v>414</v>
      </c>
      <c r="I32">
        <v>1700152203</v>
      </c>
      <c r="J32">
        <f t="shared" si="0"/>
        <v>2.97643083971218E-3</v>
      </c>
      <c r="K32">
        <f t="shared" si="1"/>
        <v>2.9764308397121799</v>
      </c>
      <c r="L32">
        <f t="shared" si="2"/>
        <v>61.28041150641954</v>
      </c>
      <c r="M32">
        <f t="shared" si="3"/>
        <v>1434.2539999999999</v>
      </c>
      <c r="N32">
        <f t="shared" si="4"/>
        <v>883.97393180688414</v>
      </c>
      <c r="O32">
        <f t="shared" si="5"/>
        <v>87.910208185664729</v>
      </c>
      <c r="P32">
        <f t="shared" si="6"/>
        <v>142.63493887585301</v>
      </c>
      <c r="Q32">
        <f t="shared" si="7"/>
        <v>0.19373516291166798</v>
      </c>
      <c r="R32">
        <f t="shared" si="8"/>
        <v>3.1326030509098715</v>
      </c>
      <c r="S32">
        <f t="shared" si="9"/>
        <v>0.18731651862139906</v>
      </c>
      <c r="T32">
        <f t="shared" si="10"/>
        <v>0.11763179842915752</v>
      </c>
      <c r="U32">
        <f t="shared" si="11"/>
        <v>289.57764284757451</v>
      </c>
      <c r="V32">
        <f t="shared" si="12"/>
        <v>30.888489839162453</v>
      </c>
      <c r="W32">
        <f t="shared" si="13"/>
        <v>30.075099999999999</v>
      </c>
      <c r="X32">
        <f t="shared" si="14"/>
        <v>4.2788625816398289</v>
      </c>
      <c r="Y32">
        <f t="shared" si="15"/>
        <v>64.604149149020017</v>
      </c>
      <c r="Z32">
        <f t="shared" si="16"/>
        <v>2.7545148976371001</v>
      </c>
      <c r="AA32">
        <f t="shared" si="17"/>
        <v>4.2636811008583395</v>
      </c>
      <c r="AB32">
        <f t="shared" si="18"/>
        <v>1.5243476840027288</v>
      </c>
      <c r="AC32">
        <f t="shared" si="19"/>
        <v>-131.26060003130715</v>
      </c>
      <c r="AD32">
        <f t="shared" si="20"/>
        <v>-10.453975042632058</v>
      </c>
      <c r="AE32">
        <f t="shared" si="21"/>
        <v>-0.74234368599283673</v>
      </c>
      <c r="AF32">
        <f t="shared" si="22"/>
        <v>147.12072408764243</v>
      </c>
      <c r="AG32">
        <v>68</v>
      </c>
      <c r="AH32">
        <v>14</v>
      </c>
      <c r="AI32">
        <f t="shared" si="23"/>
        <v>1</v>
      </c>
      <c r="AJ32">
        <f t="shared" si="24"/>
        <v>0</v>
      </c>
      <c r="AK32">
        <f t="shared" si="25"/>
        <v>52032.494959553689</v>
      </c>
      <c r="AL32" t="s">
        <v>427</v>
      </c>
      <c r="AM32" t="s">
        <v>427</v>
      </c>
      <c r="AN32">
        <v>0</v>
      </c>
      <c r="AO32">
        <v>0</v>
      </c>
      <c r="AP32" t="e">
        <f t="shared" si="26"/>
        <v>#DIV/0!</v>
      </c>
      <c r="AQ32">
        <v>0</v>
      </c>
      <c r="AR32" t="s">
        <v>427</v>
      </c>
      <c r="AS32" t="s">
        <v>427</v>
      </c>
      <c r="AT32">
        <v>0</v>
      </c>
      <c r="AU32">
        <v>0</v>
      </c>
      <c r="AV32" t="e">
        <f t="shared" si="27"/>
        <v>#DIV/0!</v>
      </c>
      <c r="AW32">
        <v>0.5</v>
      </c>
      <c r="AX32">
        <f t="shared" si="28"/>
        <v>1513.2434999210229</v>
      </c>
      <c r="AY32">
        <f t="shared" si="29"/>
        <v>61.28041150641954</v>
      </c>
      <c r="AZ32" t="e">
        <f t="shared" si="30"/>
        <v>#DIV/0!</v>
      </c>
      <c r="BA32">
        <f t="shared" si="31"/>
        <v>4.0496067889680541E-2</v>
      </c>
      <c r="BB32" t="e">
        <f t="shared" si="32"/>
        <v>#DIV/0!</v>
      </c>
      <c r="BC32" t="e">
        <f t="shared" si="33"/>
        <v>#DIV/0!</v>
      </c>
      <c r="BD32" t="s">
        <v>427</v>
      </c>
      <c r="BE32">
        <v>0</v>
      </c>
      <c r="BF32" t="e">
        <f t="shared" si="34"/>
        <v>#DIV/0!</v>
      </c>
      <c r="BG32" t="e">
        <f t="shared" si="35"/>
        <v>#DIV/0!</v>
      </c>
      <c r="BH32" t="e">
        <f t="shared" si="36"/>
        <v>#DIV/0!</v>
      </c>
      <c r="BI32" t="e">
        <f t="shared" si="37"/>
        <v>#DIV/0!</v>
      </c>
      <c r="BJ32" t="e">
        <f t="shared" si="38"/>
        <v>#DIV/0!</v>
      </c>
      <c r="BK32" t="e">
        <f t="shared" si="39"/>
        <v>#DIV/0!</v>
      </c>
      <c r="BL32" t="e">
        <f t="shared" si="40"/>
        <v>#DIV/0!</v>
      </c>
      <c r="BM32" t="e">
        <f t="shared" si="41"/>
        <v>#DIV/0!</v>
      </c>
      <c r="BN32">
        <v>41</v>
      </c>
      <c r="BO32">
        <v>290.00000000000011</v>
      </c>
      <c r="BP32">
        <v>764.15</v>
      </c>
      <c r="BQ32">
        <v>265</v>
      </c>
      <c r="BR32">
        <v>7140.49</v>
      </c>
      <c r="BS32">
        <v>766.72</v>
      </c>
      <c r="BT32">
        <v>-2.57</v>
      </c>
      <c r="BU32">
        <v>300.00000000000011</v>
      </c>
      <c r="BV32">
        <v>38.200000000000003</v>
      </c>
      <c r="BW32">
        <v>843.73386647123732</v>
      </c>
      <c r="BX32">
        <v>1.445434714656729</v>
      </c>
      <c r="BY32">
        <v>-54.991325235828143</v>
      </c>
      <c r="BZ32">
        <v>0.86504386675146483</v>
      </c>
      <c r="CA32">
        <v>0.99311906836751296</v>
      </c>
      <c r="CB32">
        <v>-7.0465379310344807E-3</v>
      </c>
      <c r="CC32">
        <v>289.99999999999989</v>
      </c>
      <c r="CD32">
        <v>776.73</v>
      </c>
      <c r="CE32">
        <v>845</v>
      </c>
      <c r="CF32">
        <v>7134.35</v>
      </c>
      <c r="CG32">
        <v>766.65</v>
      </c>
      <c r="CH32">
        <v>10.08</v>
      </c>
      <c r="CV32">
        <f t="shared" si="42"/>
        <v>1800.07</v>
      </c>
      <c r="CW32">
        <f t="shared" si="43"/>
        <v>1513.2434999210229</v>
      </c>
      <c r="CX32">
        <f t="shared" si="44"/>
        <v>0.84065814102841718</v>
      </c>
      <c r="CY32">
        <f t="shared" si="45"/>
        <v>0.16087021218484532</v>
      </c>
      <c r="CZ32">
        <v>5</v>
      </c>
      <c r="DA32">
        <v>0.5</v>
      </c>
      <c r="DB32" t="s">
        <v>418</v>
      </c>
      <c r="DC32">
        <v>2</v>
      </c>
      <c r="DD32">
        <v>1700152203</v>
      </c>
      <c r="DE32">
        <v>1434.2539999999999</v>
      </c>
      <c r="DF32">
        <v>1499.79</v>
      </c>
      <c r="DG32">
        <v>27.697800000000001</v>
      </c>
      <c r="DH32">
        <v>24.804400000000001</v>
      </c>
      <c r="DI32">
        <v>1432.07</v>
      </c>
      <c r="DJ32">
        <v>27.379799999999999</v>
      </c>
      <c r="DK32">
        <v>500.10199999999998</v>
      </c>
      <c r="DL32">
        <v>99.349000000000004</v>
      </c>
      <c r="DM32">
        <v>9.98695E-2</v>
      </c>
      <c r="DN32">
        <v>30.013200000000001</v>
      </c>
      <c r="DO32">
        <v>30.075099999999999</v>
      </c>
      <c r="DP32">
        <v>999.9</v>
      </c>
      <c r="DQ32">
        <v>0</v>
      </c>
      <c r="DR32">
        <v>0</v>
      </c>
      <c r="DS32">
        <v>10004.4</v>
      </c>
      <c r="DT32">
        <v>0</v>
      </c>
      <c r="DU32">
        <v>231.45400000000001</v>
      </c>
      <c r="DV32">
        <v>-66.152299999999997</v>
      </c>
      <c r="DW32">
        <v>1474.45</v>
      </c>
      <c r="DX32">
        <v>1537.93</v>
      </c>
      <c r="DY32">
        <v>2.8761700000000001</v>
      </c>
      <c r="DZ32">
        <v>1499.79</v>
      </c>
      <c r="EA32">
        <v>24.804400000000001</v>
      </c>
      <c r="EB32">
        <v>2.7500300000000002</v>
      </c>
      <c r="EC32">
        <v>2.4642900000000001</v>
      </c>
      <c r="ED32">
        <v>22.587199999999999</v>
      </c>
      <c r="EE32">
        <v>20.7925</v>
      </c>
      <c r="EF32">
        <v>1800.07</v>
      </c>
      <c r="EG32">
        <v>0.97800299999999996</v>
      </c>
      <c r="EH32">
        <v>2.19969E-2</v>
      </c>
      <c r="EI32">
        <v>0</v>
      </c>
      <c r="EJ32">
        <v>556.57600000000002</v>
      </c>
      <c r="EK32">
        <v>5.0001199999999999</v>
      </c>
      <c r="EL32">
        <v>10276.5</v>
      </c>
      <c r="EM32">
        <v>15630.6</v>
      </c>
      <c r="EN32">
        <v>51.875</v>
      </c>
      <c r="EO32">
        <v>53.061999999999998</v>
      </c>
      <c r="EP32">
        <v>52.811999999999998</v>
      </c>
      <c r="EQ32">
        <v>52.625</v>
      </c>
      <c r="ER32">
        <v>53.375</v>
      </c>
      <c r="ES32">
        <v>1755.58</v>
      </c>
      <c r="ET32">
        <v>39.49</v>
      </c>
      <c r="EU32">
        <v>0</v>
      </c>
      <c r="EV32">
        <v>119.6000001430511</v>
      </c>
      <c r="EW32">
        <v>0</v>
      </c>
      <c r="EX32">
        <v>556.40126923076923</v>
      </c>
      <c r="EY32">
        <v>5.3299148530507073E-2</v>
      </c>
      <c r="EZ32">
        <v>97.603418760314014</v>
      </c>
      <c r="FA32">
        <v>10265.119230769231</v>
      </c>
      <c r="FB32">
        <v>15</v>
      </c>
      <c r="FC32">
        <v>1700152231.5</v>
      </c>
      <c r="FD32" t="s">
        <v>489</v>
      </c>
      <c r="FE32">
        <v>1700152231.5</v>
      </c>
      <c r="FF32">
        <v>1700152222.5</v>
      </c>
      <c r="FG32">
        <v>21</v>
      </c>
      <c r="FH32">
        <v>0.61099999999999999</v>
      </c>
      <c r="FI32">
        <v>1.7000000000000001E-2</v>
      </c>
      <c r="FJ32">
        <v>2.1840000000000002</v>
      </c>
      <c r="FK32">
        <v>0.318</v>
      </c>
      <c r="FL32">
        <v>1500</v>
      </c>
      <c r="FM32">
        <v>25</v>
      </c>
      <c r="FN32">
        <v>0.04</v>
      </c>
      <c r="FO32">
        <v>0.03</v>
      </c>
      <c r="FP32">
        <v>62.247042027101124</v>
      </c>
      <c r="FQ32">
        <v>-0.56741416340485151</v>
      </c>
      <c r="FR32">
        <v>6.94708266343982E-2</v>
      </c>
      <c r="FS32">
        <v>1</v>
      </c>
      <c r="FT32">
        <v>0.20000720739020841</v>
      </c>
      <c r="FU32">
        <v>-4.5601514013401283E-2</v>
      </c>
      <c r="FV32">
        <v>3.402122753313596E-3</v>
      </c>
      <c r="FW32">
        <v>1</v>
      </c>
      <c r="FX32">
        <v>2</v>
      </c>
      <c r="FY32">
        <v>2</v>
      </c>
      <c r="FZ32" t="s">
        <v>420</v>
      </c>
      <c r="GA32">
        <v>2.91127</v>
      </c>
      <c r="GB32">
        <v>2.7509000000000001</v>
      </c>
      <c r="GC32">
        <v>0.21562899999999999</v>
      </c>
      <c r="GD32">
        <v>0.22458600000000001</v>
      </c>
      <c r="GE32">
        <v>0.12646399999999999</v>
      </c>
      <c r="GF32">
        <v>0.11963</v>
      </c>
      <c r="GG32">
        <v>24249.8</v>
      </c>
      <c r="GH32">
        <v>23844.400000000001</v>
      </c>
      <c r="GI32">
        <v>28174.799999999999</v>
      </c>
      <c r="GJ32">
        <v>28133.9</v>
      </c>
      <c r="GK32">
        <v>33546.800000000003</v>
      </c>
      <c r="GL32">
        <v>34599.199999999997</v>
      </c>
      <c r="GM32">
        <v>42332.5</v>
      </c>
      <c r="GN32">
        <v>43739.7</v>
      </c>
      <c r="GO32">
        <v>1.62035</v>
      </c>
      <c r="GP32">
        <v>1.84562</v>
      </c>
      <c r="GQ32">
        <v>1.9893100000000002E-3</v>
      </c>
      <c r="GR32">
        <v>0</v>
      </c>
      <c r="GS32">
        <v>30.0427</v>
      </c>
      <c r="GT32">
        <v>999.9</v>
      </c>
      <c r="GU32">
        <v>31.5</v>
      </c>
      <c r="GV32">
        <v>44.6</v>
      </c>
      <c r="GW32">
        <v>29.934000000000001</v>
      </c>
      <c r="GX32">
        <v>61.854900000000001</v>
      </c>
      <c r="GY32">
        <v>30.492799999999999</v>
      </c>
      <c r="GZ32">
        <v>1</v>
      </c>
      <c r="HA32">
        <v>0.71474099999999996</v>
      </c>
      <c r="HB32">
        <v>4.9834500000000004</v>
      </c>
      <c r="HC32">
        <v>20.184100000000001</v>
      </c>
      <c r="HD32">
        <v>5.2746399999999998</v>
      </c>
      <c r="HE32">
        <v>12.0884</v>
      </c>
      <c r="HF32">
        <v>5.0128500000000003</v>
      </c>
      <c r="HG32">
        <v>3.2919999999999998</v>
      </c>
      <c r="HH32">
        <v>9999</v>
      </c>
      <c r="HI32">
        <v>9999</v>
      </c>
      <c r="HJ32">
        <v>9999</v>
      </c>
      <c r="HK32">
        <v>999.9</v>
      </c>
      <c r="HL32">
        <v>1.8768499999999999</v>
      </c>
      <c r="HM32">
        <v>1.8775900000000001</v>
      </c>
      <c r="HN32">
        <v>1.8772800000000001</v>
      </c>
      <c r="HO32">
        <v>1.8809400000000001</v>
      </c>
      <c r="HP32">
        <v>1.87469</v>
      </c>
      <c r="HQ32">
        <v>1.8775900000000001</v>
      </c>
      <c r="HR32">
        <v>1.8775500000000001</v>
      </c>
      <c r="HS32">
        <v>1.87897</v>
      </c>
      <c r="HT32">
        <v>0</v>
      </c>
      <c r="HU32">
        <v>0</v>
      </c>
      <c r="HV32">
        <v>0</v>
      </c>
      <c r="HW32">
        <v>0</v>
      </c>
      <c r="HX32" t="s">
        <v>421</v>
      </c>
      <c r="HY32" t="s">
        <v>422</v>
      </c>
      <c r="HZ32" t="s">
        <v>423</v>
      </c>
      <c r="IA32" t="s">
        <v>424</v>
      </c>
      <c r="IB32" t="s">
        <v>424</v>
      </c>
      <c r="IC32" t="s">
        <v>423</v>
      </c>
      <c r="ID32">
        <v>0</v>
      </c>
      <c r="IE32">
        <v>100</v>
      </c>
      <c r="IF32">
        <v>100</v>
      </c>
      <c r="IG32">
        <v>2.1840000000000002</v>
      </c>
      <c r="IH32">
        <v>0.318</v>
      </c>
      <c r="II32">
        <v>1.17735022791766</v>
      </c>
      <c r="IJ32">
        <v>8.9576739069318506E-4</v>
      </c>
      <c r="IK32">
        <v>-7.2130504814809596E-7</v>
      </c>
      <c r="IL32">
        <v>1.9987036519832741E-10</v>
      </c>
      <c r="IM32">
        <v>0.30068571428571289</v>
      </c>
      <c r="IN32">
        <v>0</v>
      </c>
      <c r="IO32">
        <v>0</v>
      </c>
      <c r="IP32">
        <v>0</v>
      </c>
      <c r="IQ32">
        <v>1</v>
      </c>
      <c r="IR32">
        <v>2126</v>
      </c>
      <c r="IS32">
        <v>0</v>
      </c>
      <c r="IT32">
        <v>20</v>
      </c>
      <c r="IU32">
        <v>2.8</v>
      </c>
      <c r="IV32">
        <v>2.8</v>
      </c>
      <c r="IW32">
        <v>3.0505399999999998</v>
      </c>
      <c r="IX32">
        <v>2.67334</v>
      </c>
      <c r="IY32">
        <v>1.69434</v>
      </c>
      <c r="IZ32">
        <v>2.33521</v>
      </c>
      <c r="JA32">
        <v>1.5466299999999999</v>
      </c>
      <c r="JB32">
        <v>2.4352999999999998</v>
      </c>
      <c r="JC32">
        <v>50.738199999999999</v>
      </c>
      <c r="JD32">
        <v>23.7285</v>
      </c>
      <c r="JE32">
        <v>18</v>
      </c>
      <c r="JF32">
        <v>408.50200000000001</v>
      </c>
      <c r="JG32">
        <v>472.387</v>
      </c>
      <c r="JH32">
        <v>25.68</v>
      </c>
      <c r="JI32">
        <v>35.979199999999999</v>
      </c>
      <c r="JJ32">
        <v>30</v>
      </c>
      <c r="JK32">
        <v>35.930900000000001</v>
      </c>
      <c r="JL32">
        <v>35.879199999999997</v>
      </c>
      <c r="JM32">
        <v>61.099299999999999</v>
      </c>
      <c r="JN32">
        <v>4.6200799999999997</v>
      </c>
      <c r="JO32">
        <v>36.450400000000002</v>
      </c>
      <c r="JP32">
        <v>25.690899999999999</v>
      </c>
      <c r="JQ32">
        <v>1500</v>
      </c>
      <c r="JR32">
        <v>25.0337</v>
      </c>
      <c r="JS32">
        <v>98.698400000000007</v>
      </c>
      <c r="JT32">
        <v>98.542299999999997</v>
      </c>
    </row>
    <row r="33" spans="1:280" x14ac:dyDescent="0.25">
      <c r="A33">
        <v>17</v>
      </c>
      <c r="B33">
        <v>1700152452</v>
      </c>
      <c r="C33">
        <v>4922.4000000953674</v>
      </c>
      <c r="D33" t="s">
        <v>490</v>
      </c>
      <c r="E33" t="s">
        <v>491</v>
      </c>
      <c r="F33" t="s">
        <v>412</v>
      </c>
      <c r="G33" t="s">
        <v>483</v>
      </c>
      <c r="H33" t="s">
        <v>414</v>
      </c>
      <c r="I33">
        <v>1700152452</v>
      </c>
      <c r="J33">
        <f t="shared" si="0"/>
        <v>2.0743359968173874E-3</v>
      </c>
      <c r="K33">
        <f t="shared" si="1"/>
        <v>2.0743359968173873</v>
      </c>
      <c r="L33">
        <f t="shared" si="2"/>
        <v>53.399234786200587</v>
      </c>
      <c r="M33">
        <f t="shared" si="3"/>
        <v>1194.0999999999999</v>
      </c>
      <c r="N33">
        <f t="shared" si="4"/>
        <v>500.95598595818586</v>
      </c>
      <c r="O33">
        <f t="shared" si="5"/>
        <v>49.812276926488103</v>
      </c>
      <c r="P33">
        <f t="shared" si="6"/>
        <v>118.73466241579999</v>
      </c>
      <c r="Q33">
        <f t="shared" si="7"/>
        <v>0.12983347059638317</v>
      </c>
      <c r="R33">
        <f t="shared" si="8"/>
        <v>3.1246869247416806</v>
      </c>
      <c r="S33">
        <f t="shared" si="9"/>
        <v>0.12690923281810229</v>
      </c>
      <c r="T33">
        <f t="shared" si="10"/>
        <v>7.9575516044231673E-2</v>
      </c>
      <c r="U33">
        <f t="shared" si="11"/>
        <v>289.53875984759281</v>
      </c>
      <c r="V33">
        <f t="shared" si="12"/>
        <v>30.680520695195408</v>
      </c>
      <c r="W33">
        <f t="shared" si="13"/>
        <v>30.0562</v>
      </c>
      <c r="X33">
        <f t="shared" si="14"/>
        <v>4.2742222142693871</v>
      </c>
      <c r="Y33">
        <f t="shared" si="15"/>
        <v>65.05820515005243</v>
      </c>
      <c r="Z33">
        <f t="shared" si="16"/>
        <v>2.7060087957319996</v>
      </c>
      <c r="AA33">
        <f t="shared" si="17"/>
        <v>4.1593658931886761</v>
      </c>
      <c r="AB33">
        <f t="shared" si="18"/>
        <v>1.5682134185373875</v>
      </c>
      <c r="AC33">
        <f t="shared" si="19"/>
        <v>-91.478217459646785</v>
      </c>
      <c r="AD33">
        <f t="shared" si="20"/>
        <v>-79.781766336088751</v>
      </c>
      <c r="AE33">
        <f t="shared" si="21"/>
        <v>-5.6670845782738777</v>
      </c>
      <c r="AF33">
        <f t="shared" si="22"/>
        <v>112.61169147358341</v>
      </c>
      <c r="AG33">
        <v>70</v>
      </c>
      <c r="AH33">
        <v>14</v>
      </c>
      <c r="AI33">
        <f t="shared" si="23"/>
        <v>1</v>
      </c>
      <c r="AJ33">
        <f t="shared" si="24"/>
        <v>0</v>
      </c>
      <c r="AK33">
        <f t="shared" si="25"/>
        <v>51904.994948881067</v>
      </c>
      <c r="AL33" t="s">
        <v>415</v>
      </c>
      <c r="AM33">
        <v>6960.3</v>
      </c>
      <c r="AN33">
        <v>244.8124</v>
      </c>
      <c r="AO33">
        <v>892.86711584811997</v>
      </c>
      <c r="AP33">
        <f t="shared" si="26"/>
        <v>0.72581317459826411</v>
      </c>
      <c r="AQ33">
        <v>-0.43209471141234851</v>
      </c>
      <c r="AR33" t="s">
        <v>492</v>
      </c>
      <c r="AS33">
        <v>7138.79</v>
      </c>
      <c r="AT33">
        <v>564.66539999999998</v>
      </c>
      <c r="AU33">
        <v>872.88367589739823</v>
      </c>
      <c r="AV33">
        <f t="shared" si="27"/>
        <v>0.35310349409447228</v>
      </c>
      <c r="AW33">
        <v>0.5</v>
      </c>
      <c r="AX33">
        <f t="shared" si="28"/>
        <v>1513.0415999210325</v>
      </c>
      <c r="AY33">
        <f t="shared" si="29"/>
        <v>53.399234786200587</v>
      </c>
      <c r="AZ33">
        <f t="shared" si="30"/>
        <v>267.13013782120356</v>
      </c>
      <c r="BA33">
        <f t="shared" si="31"/>
        <v>3.5578221709450991E-2</v>
      </c>
      <c r="BB33">
        <f t="shared" si="32"/>
        <v>2.2893588805148711E-2</v>
      </c>
      <c r="BC33">
        <f t="shared" si="33"/>
        <v>243.28526906563977</v>
      </c>
      <c r="BD33" t="s">
        <v>493</v>
      </c>
      <c r="BE33">
        <v>405.8</v>
      </c>
      <c r="BF33">
        <f t="shared" si="34"/>
        <v>405.8</v>
      </c>
      <c r="BG33">
        <f t="shared" si="35"/>
        <v>0.53510414823280628</v>
      </c>
      <c r="BH33">
        <f t="shared" si="36"/>
        <v>0.65987807282115962</v>
      </c>
      <c r="BI33">
        <f t="shared" si="37"/>
        <v>4.1028103315751421E-2</v>
      </c>
      <c r="BJ33">
        <f t="shared" si="38"/>
        <v>0.49073773586765468</v>
      </c>
      <c r="BK33">
        <f t="shared" si="39"/>
        <v>3.0836038164723596E-2</v>
      </c>
      <c r="BL33">
        <f t="shared" si="40"/>
        <v>0.47422512863516447</v>
      </c>
      <c r="BM33">
        <f t="shared" si="41"/>
        <v>0.52577487136483558</v>
      </c>
      <c r="BN33">
        <v>43</v>
      </c>
      <c r="BO33">
        <v>290.00000000000011</v>
      </c>
      <c r="BP33">
        <v>784.78</v>
      </c>
      <c r="BQ33">
        <v>295</v>
      </c>
      <c r="BR33">
        <v>7138.79</v>
      </c>
      <c r="BS33">
        <v>787.25</v>
      </c>
      <c r="BT33">
        <v>-2.4700000000000002</v>
      </c>
      <c r="BU33">
        <v>300.00000000000011</v>
      </c>
      <c r="BV33">
        <v>38.200000000000003</v>
      </c>
      <c r="BW33">
        <v>872.88367589739823</v>
      </c>
      <c r="BX33">
        <v>1.256967969394601</v>
      </c>
      <c r="BY33">
        <v>-61.135198392435093</v>
      </c>
      <c r="BZ33">
        <v>0.75212090194914649</v>
      </c>
      <c r="CA33">
        <v>0.99577998408998636</v>
      </c>
      <c r="CB33">
        <v>-7.0452184649610712E-3</v>
      </c>
      <c r="CC33">
        <v>289.99999999999989</v>
      </c>
      <c r="CD33">
        <v>797.11</v>
      </c>
      <c r="CE33">
        <v>815</v>
      </c>
      <c r="CF33">
        <v>7133.43</v>
      </c>
      <c r="CG33">
        <v>787.18</v>
      </c>
      <c r="CH33">
        <v>9.93</v>
      </c>
      <c r="CV33">
        <f t="shared" si="42"/>
        <v>1799.83</v>
      </c>
      <c r="CW33">
        <f t="shared" si="43"/>
        <v>1513.0415999210325</v>
      </c>
      <c r="CX33">
        <f t="shared" si="44"/>
        <v>0.84065806210643923</v>
      </c>
      <c r="CY33">
        <f t="shared" si="45"/>
        <v>0.16087005986542774</v>
      </c>
      <c r="CZ33">
        <v>5</v>
      </c>
      <c r="DA33">
        <v>0.5</v>
      </c>
      <c r="DB33" t="s">
        <v>418</v>
      </c>
      <c r="DC33">
        <v>2</v>
      </c>
      <c r="DD33">
        <v>1700152452</v>
      </c>
      <c r="DE33">
        <v>1194.0999999999999</v>
      </c>
      <c r="DF33">
        <v>1249.96</v>
      </c>
      <c r="DG33">
        <v>27.213999999999999</v>
      </c>
      <c r="DH33">
        <v>25.1967</v>
      </c>
      <c r="DI33">
        <v>1192.0899999999999</v>
      </c>
      <c r="DJ33">
        <v>26.903199999999998</v>
      </c>
      <c r="DK33">
        <v>500.14499999999998</v>
      </c>
      <c r="DL33">
        <v>99.334199999999996</v>
      </c>
      <c r="DM33">
        <v>0.10023799999999999</v>
      </c>
      <c r="DN33">
        <v>29.582599999999999</v>
      </c>
      <c r="DO33">
        <v>30.0562</v>
      </c>
      <c r="DP33">
        <v>999.9</v>
      </c>
      <c r="DQ33">
        <v>0</v>
      </c>
      <c r="DR33">
        <v>0</v>
      </c>
      <c r="DS33">
        <v>9965.6200000000008</v>
      </c>
      <c r="DT33">
        <v>0</v>
      </c>
      <c r="DU33">
        <v>148.536</v>
      </c>
      <c r="DV33">
        <v>-55.860799999999998</v>
      </c>
      <c r="DW33">
        <v>1227.5</v>
      </c>
      <c r="DX33">
        <v>1282.27</v>
      </c>
      <c r="DY33">
        <v>2.0172699999999999</v>
      </c>
      <c r="DZ33">
        <v>1249.96</v>
      </c>
      <c r="EA33">
        <v>25.1967</v>
      </c>
      <c r="EB33">
        <v>2.7032799999999999</v>
      </c>
      <c r="EC33">
        <v>2.5028999999999999</v>
      </c>
      <c r="ED33">
        <v>22.305099999999999</v>
      </c>
      <c r="EE33">
        <v>21.045300000000001</v>
      </c>
      <c r="EF33">
        <v>1799.83</v>
      </c>
      <c r="EG33">
        <v>0.97800299999999996</v>
      </c>
      <c r="EH33">
        <v>2.19969E-2</v>
      </c>
      <c r="EI33">
        <v>0</v>
      </c>
      <c r="EJ33">
        <v>564.51700000000005</v>
      </c>
      <c r="EK33">
        <v>5.0001199999999999</v>
      </c>
      <c r="EL33">
        <v>10815.2</v>
      </c>
      <c r="EM33">
        <v>15628.5</v>
      </c>
      <c r="EN33">
        <v>51.875</v>
      </c>
      <c r="EO33">
        <v>53.25</v>
      </c>
      <c r="EP33">
        <v>53</v>
      </c>
      <c r="EQ33">
        <v>52.875</v>
      </c>
      <c r="ER33">
        <v>53.375</v>
      </c>
      <c r="ES33">
        <v>1755.35</v>
      </c>
      <c r="ET33">
        <v>39.479999999999997</v>
      </c>
      <c r="EU33">
        <v>0</v>
      </c>
      <c r="EV33">
        <v>368.60000014305109</v>
      </c>
      <c r="EW33">
        <v>0</v>
      </c>
      <c r="EX33">
        <v>564.66539999999998</v>
      </c>
      <c r="EY33">
        <v>-2.1697692178754111</v>
      </c>
      <c r="EZ33">
        <v>-113.6384613860928</v>
      </c>
      <c r="FA33">
        <v>10830.34</v>
      </c>
      <c r="FB33">
        <v>15</v>
      </c>
      <c r="FC33">
        <v>1700152334</v>
      </c>
      <c r="FD33" t="s">
        <v>494</v>
      </c>
      <c r="FE33">
        <v>1700152334</v>
      </c>
      <c r="FF33">
        <v>1700152327</v>
      </c>
      <c r="FG33">
        <v>22</v>
      </c>
      <c r="FH33">
        <v>-0.159</v>
      </c>
      <c r="FI33">
        <v>-7.0000000000000001E-3</v>
      </c>
      <c r="FJ33">
        <v>2.0129999999999999</v>
      </c>
      <c r="FK33">
        <v>0.311</v>
      </c>
      <c r="FL33">
        <v>1250</v>
      </c>
      <c r="FM33">
        <v>24</v>
      </c>
      <c r="FN33">
        <v>7.0000000000000007E-2</v>
      </c>
      <c r="FO33">
        <v>0.04</v>
      </c>
      <c r="FP33">
        <v>53.408635490155213</v>
      </c>
      <c r="FQ33">
        <v>-0.3466298043477935</v>
      </c>
      <c r="FR33">
        <v>7.6156961066476389E-2</v>
      </c>
      <c r="FS33">
        <v>1</v>
      </c>
      <c r="FT33">
        <v>0.1376778947561513</v>
      </c>
      <c r="FU33">
        <v>-4.6193945242178867E-2</v>
      </c>
      <c r="FV33">
        <v>3.4056935891307958E-3</v>
      </c>
      <c r="FW33">
        <v>1</v>
      </c>
      <c r="FX33">
        <v>2</v>
      </c>
      <c r="FY33">
        <v>2</v>
      </c>
      <c r="FZ33" t="s">
        <v>420</v>
      </c>
      <c r="GA33">
        <v>2.9114900000000001</v>
      </c>
      <c r="GB33">
        <v>2.7509399999999999</v>
      </c>
      <c r="GC33">
        <v>0.19267300000000001</v>
      </c>
      <c r="GD33">
        <v>0.20113900000000001</v>
      </c>
      <c r="GE33">
        <v>0.12493600000000001</v>
      </c>
      <c r="GF33">
        <v>0.12092799999999999</v>
      </c>
      <c r="GG33">
        <v>24961.8</v>
      </c>
      <c r="GH33">
        <v>24566.6</v>
      </c>
      <c r="GI33">
        <v>28174.5</v>
      </c>
      <c r="GJ33">
        <v>28132.1</v>
      </c>
      <c r="GK33">
        <v>33604.300000000003</v>
      </c>
      <c r="GL33">
        <v>34546.199999999997</v>
      </c>
      <c r="GM33">
        <v>42331</v>
      </c>
      <c r="GN33">
        <v>43737.2</v>
      </c>
      <c r="GO33">
        <v>1.6169</v>
      </c>
      <c r="GP33">
        <v>1.8425800000000001</v>
      </c>
      <c r="GQ33">
        <v>3.3453100000000002E-3</v>
      </c>
      <c r="GR33">
        <v>0</v>
      </c>
      <c r="GS33">
        <v>30.0017</v>
      </c>
      <c r="GT33">
        <v>999.9</v>
      </c>
      <c r="GU33">
        <v>31.2</v>
      </c>
      <c r="GV33">
        <v>45</v>
      </c>
      <c r="GW33">
        <v>30.2759</v>
      </c>
      <c r="GX33">
        <v>62.064900000000002</v>
      </c>
      <c r="GY33">
        <v>30.649000000000001</v>
      </c>
      <c r="GZ33">
        <v>1</v>
      </c>
      <c r="HA33">
        <v>0.71476099999999998</v>
      </c>
      <c r="HB33">
        <v>4.9220300000000003</v>
      </c>
      <c r="HC33">
        <v>20.186499999999999</v>
      </c>
      <c r="HD33">
        <v>5.2768899999999999</v>
      </c>
      <c r="HE33">
        <v>12.0901</v>
      </c>
      <c r="HF33">
        <v>5.01335</v>
      </c>
      <c r="HG33">
        <v>3.2919800000000001</v>
      </c>
      <c r="HH33">
        <v>9999</v>
      </c>
      <c r="HI33">
        <v>9999</v>
      </c>
      <c r="HJ33">
        <v>9999</v>
      </c>
      <c r="HK33">
        <v>999.9</v>
      </c>
      <c r="HL33">
        <v>1.87686</v>
      </c>
      <c r="HM33">
        <v>1.8775999999999999</v>
      </c>
      <c r="HN33">
        <v>1.8772899999999999</v>
      </c>
      <c r="HO33">
        <v>1.8809499999999999</v>
      </c>
      <c r="HP33">
        <v>1.8747</v>
      </c>
      <c r="HQ33">
        <v>1.8775900000000001</v>
      </c>
      <c r="HR33">
        <v>1.87757</v>
      </c>
      <c r="HS33">
        <v>1.87897</v>
      </c>
      <c r="HT33">
        <v>0</v>
      </c>
      <c r="HU33">
        <v>0</v>
      </c>
      <c r="HV33">
        <v>0</v>
      </c>
      <c r="HW33">
        <v>0</v>
      </c>
      <c r="HX33" t="s">
        <v>421</v>
      </c>
      <c r="HY33" t="s">
        <v>422</v>
      </c>
      <c r="HZ33" t="s">
        <v>423</v>
      </c>
      <c r="IA33" t="s">
        <v>424</v>
      </c>
      <c r="IB33" t="s">
        <v>424</v>
      </c>
      <c r="IC33" t="s">
        <v>423</v>
      </c>
      <c r="ID33">
        <v>0</v>
      </c>
      <c r="IE33">
        <v>100</v>
      </c>
      <c r="IF33">
        <v>100</v>
      </c>
      <c r="IG33">
        <v>2.0099999999999998</v>
      </c>
      <c r="IH33">
        <v>0.31080000000000002</v>
      </c>
      <c r="II33">
        <v>1.629873443999774</v>
      </c>
      <c r="IJ33">
        <v>8.9576739069318506E-4</v>
      </c>
      <c r="IK33">
        <v>-7.2130504814809596E-7</v>
      </c>
      <c r="IL33">
        <v>1.9987036519832741E-10</v>
      </c>
      <c r="IM33">
        <v>0.31079523809523119</v>
      </c>
      <c r="IN33">
        <v>0</v>
      </c>
      <c r="IO33">
        <v>0</v>
      </c>
      <c r="IP33">
        <v>0</v>
      </c>
      <c r="IQ33">
        <v>1</v>
      </c>
      <c r="IR33">
        <v>2126</v>
      </c>
      <c r="IS33">
        <v>0</v>
      </c>
      <c r="IT33">
        <v>20</v>
      </c>
      <c r="IU33">
        <v>2</v>
      </c>
      <c r="IV33">
        <v>2.1</v>
      </c>
      <c r="IW33">
        <v>2.63306</v>
      </c>
      <c r="IX33">
        <v>2.67944</v>
      </c>
      <c r="IY33">
        <v>1.69434</v>
      </c>
      <c r="IZ33">
        <v>2.33521</v>
      </c>
      <c r="JA33">
        <v>1.5466299999999999</v>
      </c>
      <c r="JB33">
        <v>2.4328599999999998</v>
      </c>
      <c r="JC33">
        <v>51.000700000000002</v>
      </c>
      <c r="JD33">
        <v>23.719799999999999</v>
      </c>
      <c r="JE33">
        <v>18</v>
      </c>
      <c r="JF33">
        <v>405.791</v>
      </c>
      <c r="JG33">
        <v>469.94099999999997</v>
      </c>
      <c r="JH33">
        <v>25.253900000000002</v>
      </c>
      <c r="JI33">
        <v>35.926000000000002</v>
      </c>
      <c r="JJ33">
        <v>30.000599999999999</v>
      </c>
      <c r="JK33">
        <v>35.885899999999999</v>
      </c>
      <c r="JL33">
        <v>35.835299999999997</v>
      </c>
      <c r="JM33">
        <v>52.763800000000003</v>
      </c>
      <c r="JN33">
        <v>5.8089300000000001</v>
      </c>
      <c r="JO33">
        <v>37.557000000000002</v>
      </c>
      <c r="JP33">
        <v>25.206099999999999</v>
      </c>
      <c r="JQ33">
        <v>1250</v>
      </c>
      <c r="JR33">
        <v>25.175899999999999</v>
      </c>
      <c r="JS33">
        <v>98.695899999999995</v>
      </c>
      <c r="JT33">
        <v>98.5364</v>
      </c>
    </row>
    <row r="34" spans="1:280" x14ac:dyDescent="0.25">
      <c r="A34">
        <v>18</v>
      </c>
      <c r="B34">
        <v>1700152653.5</v>
      </c>
      <c r="C34">
        <v>5123.9000000953674</v>
      </c>
      <c r="D34" t="s">
        <v>495</v>
      </c>
      <c r="E34" t="s">
        <v>496</v>
      </c>
      <c r="F34" t="s">
        <v>412</v>
      </c>
      <c r="G34" t="s">
        <v>483</v>
      </c>
      <c r="H34" t="s">
        <v>414</v>
      </c>
      <c r="I34">
        <v>1700152653.5</v>
      </c>
      <c r="J34">
        <f t="shared" si="0"/>
        <v>2.3229890897489705E-3</v>
      </c>
      <c r="K34">
        <f t="shared" si="1"/>
        <v>2.3229890897489707</v>
      </c>
      <c r="L34">
        <f t="shared" si="2"/>
        <v>56.735012259157202</v>
      </c>
      <c r="M34">
        <f t="shared" si="3"/>
        <v>941.05600000000004</v>
      </c>
      <c r="N34">
        <f t="shared" si="4"/>
        <v>290.3418793311929</v>
      </c>
      <c r="O34">
        <f t="shared" si="5"/>
        <v>28.866503535720099</v>
      </c>
      <c r="P34">
        <f t="shared" si="6"/>
        <v>93.562101388492806</v>
      </c>
      <c r="Q34">
        <f t="shared" si="7"/>
        <v>0.14618718102466022</v>
      </c>
      <c r="R34">
        <f t="shared" si="8"/>
        <v>3.1336709821445412</v>
      </c>
      <c r="S34">
        <f t="shared" si="9"/>
        <v>0.14250148323514852</v>
      </c>
      <c r="T34">
        <f t="shared" si="10"/>
        <v>8.9386832605980418E-2</v>
      </c>
      <c r="U34">
        <f t="shared" si="11"/>
        <v>289.60419584762752</v>
      </c>
      <c r="V34">
        <f t="shared" si="12"/>
        <v>30.580444011202534</v>
      </c>
      <c r="W34">
        <f t="shared" si="13"/>
        <v>29.976400000000002</v>
      </c>
      <c r="X34">
        <f t="shared" si="14"/>
        <v>4.2546778675612345</v>
      </c>
      <c r="Y34">
        <f t="shared" si="15"/>
        <v>64.824251551116959</v>
      </c>
      <c r="Z34">
        <f t="shared" si="16"/>
        <v>2.6905506955538403</v>
      </c>
      <c r="AA34">
        <f t="shared" si="17"/>
        <v>4.1505310607901347</v>
      </c>
      <c r="AB34">
        <f t="shared" si="18"/>
        <v>1.5641271720073942</v>
      </c>
      <c r="AC34">
        <f t="shared" si="19"/>
        <v>-102.4438188579296</v>
      </c>
      <c r="AD34">
        <f t="shared" si="20"/>
        <v>-72.763521824424743</v>
      </c>
      <c r="AE34">
        <f t="shared" si="21"/>
        <v>-5.1507651768701068</v>
      </c>
      <c r="AF34">
        <f t="shared" si="22"/>
        <v>109.24608998840307</v>
      </c>
      <c r="AG34">
        <v>71</v>
      </c>
      <c r="AH34">
        <v>14</v>
      </c>
      <c r="AI34">
        <f t="shared" si="23"/>
        <v>1</v>
      </c>
      <c r="AJ34">
        <f t="shared" si="24"/>
        <v>0</v>
      </c>
      <c r="AK34">
        <f t="shared" si="25"/>
        <v>52139.497054552317</v>
      </c>
      <c r="AL34" t="s">
        <v>415</v>
      </c>
      <c r="AM34">
        <v>6960.3</v>
      </c>
      <c r="AN34">
        <v>244.8124</v>
      </c>
      <c r="AO34">
        <v>892.86711584811997</v>
      </c>
      <c r="AP34">
        <f t="shared" si="26"/>
        <v>0.72581317459826411</v>
      </c>
      <c r="AQ34">
        <v>-0.43209471141234851</v>
      </c>
      <c r="AR34" t="s">
        <v>497</v>
      </c>
      <c r="AS34">
        <v>7138.17</v>
      </c>
      <c r="AT34">
        <v>557.98130769230761</v>
      </c>
      <c r="AU34">
        <v>863.27931649112975</v>
      </c>
      <c r="AV34">
        <f t="shared" si="27"/>
        <v>0.35364916425859849</v>
      </c>
      <c r="AW34">
        <v>0.5</v>
      </c>
      <c r="AX34">
        <f t="shared" si="28"/>
        <v>1513.3859999210506</v>
      </c>
      <c r="AY34">
        <f t="shared" si="29"/>
        <v>56.735012259157202</v>
      </c>
      <c r="AZ34">
        <f t="shared" si="30"/>
        <v>267.60384703637146</v>
      </c>
      <c r="BA34">
        <f t="shared" si="31"/>
        <v>3.7774306735724926E-2</v>
      </c>
      <c r="BB34">
        <f t="shared" si="32"/>
        <v>3.4273726697463661E-2</v>
      </c>
      <c r="BC34">
        <f t="shared" si="33"/>
        <v>242.53321729655184</v>
      </c>
      <c r="BD34" t="s">
        <v>498</v>
      </c>
      <c r="BE34">
        <v>405.61</v>
      </c>
      <c r="BF34">
        <f t="shared" si="34"/>
        <v>405.61</v>
      </c>
      <c r="BG34">
        <f t="shared" si="35"/>
        <v>0.53015206984381891</v>
      </c>
      <c r="BH34">
        <f t="shared" si="36"/>
        <v>0.66707117518711623</v>
      </c>
      <c r="BI34">
        <f t="shared" si="37"/>
        <v>6.0723175495322794E-2</v>
      </c>
      <c r="BJ34">
        <f t="shared" si="38"/>
        <v>0.49363676642710252</v>
      </c>
      <c r="BK34">
        <f t="shared" si="39"/>
        <v>4.565632906207337E-2</v>
      </c>
      <c r="BL34">
        <f t="shared" si="40"/>
        <v>0.48491004203468652</v>
      </c>
      <c r="BM34">
        <f t="shared" si="41"/>
        <v>0.51508995796531343</v>
      </c>
      <c r="BN34">
        <v>45</v>
      </c>
      <c r="BO34">
        <v>290.00000000000011</v>
      </c>
      <c r="BP34">
        <v>775.44</v>
      </c>
      <c r="BQ34">
        <v>295</v>
      </c>
      <c r="BR34">
        <v>7138.17</v>
      </c>
      <c r="BS34">
        <v>777.66</v>
      </c>
      <c r="BT34">
        <v>-2.2200000000000002</v>
      </c>
      <c r="BU34">
        <v>300.00000000000011</v>
      </c>
      <c r="BV34">
        <v>38.200000000000003</v>
      </c>
      <c r="BW34">
        <v>863.27931649112975</v>
      </c>
      <c r="BX34">
        <v>1.2764099264828741</v>
      </c>
      <c r="BY34">
        <v>-61.114328539305284</v>
      </c>
      <c r="BZ34">
        <v>0.76368921111263377</v>
      </c>
      <c r="CA34">
        <v>0.99564678069406021</v>
      </c>
      <c r="CB34">
        <v>-7.0446749721913282E-3</v>
      </c>
      <c r="CC34">
        <v>289.99999999999989</v>
      </c>
      <c r="CD34">
        <v>787.8</v>
      </c>
      <c r="CE34">
        <v>895</v>
      </c>
      <c r="CF34">
        <v>7132.07</v>
      </c>
      <c r="CG34">
        <v>777.59</v>
      </c>
      <c r="CH34">
        <v>10.210000000000001</v>
      </c>
      <c r="CV34">
        <f t="shared" si="42"/>
        <v>1800.24</v>
      </c>
      <c r="CW34">
        <f t="shared" si="43"/>
        <v>1513.3859999210506</v>
      </c>
      <c r="CX34">
        <f t="shared" si="44"/>
        <v>0.84065791223450792</v>
      </c>
      <c r="CY34">
        <f t="shared" si="45"/>
        <v>0.16086977061260027</v>
      </c>
      <c r="CZ34">
        <v>5</v>
      </c>
      <c r="DA34">
        <v>0.5</v>
      </c>
      <c r="DB34" t="s">
        <v>418</v>
      </c>
      <c r="DC34">
        <v>2</v>
      </c>
      <c r="DD34">
        <v>1700152653.5</v>
      </c>
      <c r="DE34">
        <v>941.05600000000004</v>
      </c>
      <c r="DF34">
        <v>999.96600000000001</v>
      </c>
      <c r="DG34">
        <v>27.061800000000002</v>
      </c>
      <c r="DH34">
        <v>24.802099999999999</v>
      </c>
      <c r="DI34">
        <v>939.09400000000005</v>
      </c>
      <c r="DJ34">
        <v>26.7424</v>
      </c>
      <c r="DK34">
        <v>500.09399999999999</v>
      </c>
      <c r="DL34">
        <v>99.322599999999994</v>
      </c>
      <c r="DM34">
        <v>9.9858799999999998E-2</v>
      </c>
      <c r="DN34">
        <v>29.5457</v>
      </c>
      <c r="DO34">
        <v>29.976400000000002</v>
      </c>
      <c r="DP34">
        <v>999.9</v>
      </c>
      <c r="DQ34">
        <v>0</v>
      </c>
      <c r="DR34">
        <v>0</v>
      </c>
      <c r="DS34">
        <v>10012.5</v>
      </c>
      <c r="DT34">
        <v>0</v>
      </c>
      <c r="DU34">
        <v>157.26</v>
      </c>
      <c r="DV34">
        <v>-58.910400000000003</v>
      </c>
      <c r="DW34">
        <v>967.23099999999999</v>
      </c>
      <c r="DX34">
        <v>1025.4000000000001</v>
      </c>
      <c r="DY34">
        <v>2.2597100000000001</v>
      </c>
      <c r="DZ34">
        <v>999.96600000000001</v>
      </c>
      <c r="EA34">
        <v>24.802099999999999</v>
      </c>
      <c r="EB34">
        <v>2.6878500000000001</v>
      </c>
      <c r="EC34">
        <v>2.4634100000000001</v>
      </c>
      <c r="ED34">
        <v>22.210999999999999</v>
      </c>
      <c r="EE34">
        <v>20.786799999999999</v>
      </c>
      <c r="EF34">
        <v>1800.24</v>
      </c>
      <c r="EG34">
        <v>0.97801000000000005</v>
      </c>
      <c r="EH34">
        <v>2.1990099999999999E-2</v>
      </c>
      <c r="EI34">
        <v>0</v>
      </c>
      <c r="EJ34">
        <v>557.94299999999998</v>
      </c>
      <c r="EK34">
        <v>5.0001199999999999</v>
      </c>
      <c r="EL34">
        <v>10774.4</v>
      </c>
      <c r="EM34">
        <v>15632.1</v>
      </c>
      <c r="EN34">
        <v>52</v>
      </c>
      <c r="EO34">
        <v>53.311999999999998</v>
      </c>
      <c r="EP34">
        <v>53.061999999999998</v>
      </c>
      <c r="EQ34">
        <v>52.936999999999998</v>
      </c>
      <c r="ER34">
        <v>53.436999999999998</v>
      </c>
      <c r="ES34">
        <v>1755.76</v>
      </c>
      <c r="ET34">
        <v>39.479999999999997</v>
      </c>
      <c r="EU34">
        <v>0</v>
      </c>
      <c r="EV34">
        <v>199.4000000953674</v>
      </c>
      <c r="EW34">
        <v>0</v>
      </c>
      <c r="EX34">
        <v>557.98130769230761</v>
      </c>
      <c r="EY34">
        <v>-0.37059829834043301</v>
      </c>
      <c r="EZ34">
        <v>31.654700934504181</v>
      </c>
      <c r="FA34">
        <v>10770.72692307692</v>
      </c>
      <c r="FB34">
        <v>15</v>
      </c>
      <c r="FC34">
        <v>1700152524.5</v>
      </c>
      <c r="FD34" t="s">
        <v>499</v>
      </c>
      <c r="FE34">
        <v>1700152524.5</v>
      </c>
      <c r="FF34">
        <v>1700152515</v>
      </c>
      <c r="FG34">
        <v>23</v>
      </c>
      <c r="FH34">
        <v>-3.9E-2</v>
      </c>
      <c r="FI34">
        <v>8.9999999999999993E-3</v>
      </c>
      <c r="FJ34">
        <v>1.9650000000000001</v>
      </c>
      <c r="FK34">
        <v>0.31900000000000001</v>
      </c>
      <c r="FL34">
        <v>1000</v>
      </c>
      <c r="FM34">
        <v>25</v>
      </c>
      <c r="FN34">
        <v>7.0000000000000007E-2</v>
      </c>
      <c r="FO34">
        <v>0.08</v>
      </c>
      <c r="FP34">
        <v>56.648724607684343</v>
      </c>
      <c r="FQ34">
        <v>0.27608625626055011</v>
      </c>
      <c r="FR34">
        <v>6.4879960178772511E-2</v>
      </c>
      <c r="FS34">
        <v>1</v>
      </c>
      <c r="FT34">
        <v>0.14857219192944909</v>
      </c>
      <c r="FU34">
        <v>-2.327403158543237E-2</v>
      </c>
      <c r="FV34">
        <v>1.763185653770956E-3</v>
      </c>
      <c r="FW34">
        <v>1</v>
      </c>
      <c r="FX34">
        <v>2</v>
      </c>
      <c r="FY34">
        <v>2</v>
      </c>
      <c r="FZ34" t="s">
        <v>420</v>
      </c>
      <c r="GA34">
        <v>2.9115700000000002</v>
      </c>
      <c r="GB34">
        <v>2.7509700000000001</v>
      </c>
      <c r="GC34">
        <v>0.16556000000000001</v>
      </c>
      <c r="GD34">
        <v>0.17487</v>
      </c>
      <c r="GE34">
        <v>0.124431</v>
      </c>
      <c r="GF34">
        <v>0.119627</v>
      </c>
      <c r="GG34">
        <v>25809</v>
      </c>
      <c r="GH34">
        <v>25382.6</v>
      </c>
      <c r="GI34">
        <v>28181.599999999999</v>
      </c>
      <c r="GJ34">
        <v>28138.400000000001</v>
      </c>
      <c r="GK34">
        <v>33633</v>
      </c>
      <c r="GL34">
        <v>34604.699999999997</v>
      </c>
      <c r="GM34">
        <v>42342.8</v>
      </c>
      <c r="GN34">
        <v>43746.6</v>
      </c>
      <c r="GO34">
        <v>1.6169</v>
      </c>
      <c r="GP34">
        <v>1.8408800000000001</v>
      </c>
      <c r="GQ34">
        <v>-1.4819199999999999E-2</v>
      </c>
      <c r="GR34">
        <v>0</v>
      </c>
      <c r="GS34">
        <v>30.217500000000001</v>
      </c>
      <c r="GT34">
        <v>999.9</v>
      </c>
      <c r="GU34">
        <v>31</v>
      </c>
      <c r="GV34">
        <v>45.2</v>
      </c>
      <c r="GW34">
        <v>30.396699999999999</v>
      </c>
      <c r="GX34">
        <v>61.555</v>
      </c>
      <c r="GY34">
        <v>30.953499999999998</v>
      </c>
      <c r="GZ34">
        <v>1</v>
      </c>
      <c r="HA34">
        <v>0.69878799999999996</v>
      </c>
      <c r="HB34">
        <v>3.7565300000000001</v>
      </c>
      <c r="HC34">
        <v>20.218599999999999</v>
      </c>
      <c r="HD34">
        <v>5.2761399999999998</v>
      </c>
      <c r="HE34">
        <v>12.0878</v>
      </c>
      <c r="HF34">
        <v>5.0132500000000002</v>
      </c>
      <c r="HG34">
        <v>3.2919999999999998</v>
      </c>
      <c r="HH34">
        <v>9999</v>
      </c>
      <c r="HI34">
        <v>9999</v>
      </c>
      <c r="HJ34">
        <v>9999</v>
      </c>
      <c r="HK34">
        <v>999.9</v>
      </c>
      <c r="HL34">
        <v>1.87686</v>
      </c>
      <c r="HM34">
        <v>1.8775900000000001</v>
      </c>
      <c r="HN34">
        <v>1.8772899999999999</v>
      </c>
      <c r="HO34">
        <v>1.8809499999999999</v>
      </c>
      <c r="HP34">
        <v>1.87469</v>
      </c>
      <c r="HQ34">
        <v>1.8775900000000001</v>
      </c>
      <c r="HR34">
        <v>1.8775900000000001</v>
      </c>
      <c r="HS34">
        <v>1.8789800000000001</v>
      </c>
      <c r="HT34">
        <v>0</v>
      </c>
      <c r="HU34">
        <v>0</v>
      </c>
      <c r="HV34">
        <v>0</v>
      </c>
      <c r="HW34">
        <v>0</v>
      </c>
      <c r="HX34" t="s">
        <v>421</v>
      </c>
      <c r="HY34" t="s">
        <v>422</v>
      </c>
      <c r="HZ34" t="s">
        <v>423</v>
      </c>
      <c r="IA34" t="s">
        <v>424</v>
      </c>
      <c r="IB34" t="s">
        <v>424</v>
      </c>
      <c r="IC34" t="s">
        <v>423</v>
      </c>
      <c r="ID34">
        <v>0</v>
      </c>
      <c r="IE34">
        <v>100</v>
      </c>
      <c r="IF34">
        <v>100</v>
      </c>
      <c r="IG34">
        <v>1.962</v>
      </c>
      <c r="IH34">
        <v>0.31940000000000002</v>
      </c>
      <c r="II34">
        <v>1.590878407293548</v>
      </c>
      <c r="IJ34">
        <v>8.9576739069318506E-4</v>
      </c>
      <c r="IK34">
        <v>-7.2130504814809596E-7</v>
      </c>
      <c r="IL34">
        <v>1.9987036519832741E-10</v>
      </c>
      <c r="IM34">
        <v>0.31940476190476369</v>
      </c>
      <c r="IN34">
        <v>0</v>
      </c>
      <c r="IO34">
        <v>0</v>
      </c>
      <c r="IP34">
        <v>0</v>
      </c>
      <c r="IQ34">
        <v>1</v>
      </c>
      <c r="IR34">
        <v>2126</v>
      </c>
      <c r="IS34">
        <v>0</v>
      </c>
      <c r="IT34">
        <v>20</v>
      </c>
      <c r="IU34">
        <v>2.1</v>
      </c>
      <c r="IV34">
        <v>2.2999999999999998</v>
      </c>
      <c r="IW34">
        <v>2.19482</v>
      </c>
      <c r="IX34">
        <v>2.68066</v>
      </c>
      <c r="IY34">
        <v>1.69434</v>
      </c>
      <c r="IZ34">
        <v>2.33521</v>
      </c>
      <c r="JA34">
        <v>1.5466299999999999</v>
      </c>
      <c r="JB34">
        <v>2.49756</v>
      </c>
      <c r="JC34">
        <v>51.099699999999999</v>
      </c>
      <c r="JD34">
        <v>23.737300000000001</v>
      </c>
      <c r="JE34">
        <v>18</v>
      </c>
      <c r="JF34">
        <v>405.17099999999999</v>
      </c>
      <c r="JG34">
        <v>468.10599999999999</v>
      </c>
      <c r="JH34">
        <v>25.545500000000001</v>
      </c>
      <c r="JI34">
        <v>35.820099999999996</v>
      </c>
      <c r="JJ34">
        <v>29.999099999999999</v>
      </c>
      <c r="JK34">
        <v>35.795999999999999</v>
      </c>
      <c r="JL34">
        <v>35.746899999999997</v>
      </c>
      <c r="JM34">
        <v>43.9985</v>
      </c>
      <c r="JN34">
        <v>8.7069200000000002</v>
      </c>
      <c r="JO34">
        <v>37.4621</v>
      </c>
      <c r="JP34">
        <v>25.561199999999999</v>
      </c>
      <c r="JQ34">
        <v>1000</v>
      </c>
      <c r="JR34">
        <v>24.763300000000001</v>
      </c>
      <c r="JS34">
        <v>98.722300000000004</v>
      </c>
      <c r="JT34">
        <v>98.557900000000004</v>
      </c>
    </row>
    <row r="35" spans="1:280" x14ac:dyDescent="0.25">
      <c r="A35">
        <v>19</v>
      </c>
      <c r="B35">
        <v>1700152892</v>
      </c>
      <c r="C35">
        <v>5362.4000000953674</v>
      </c>
      <c r="D35" t="s">
        <v>500</v>
      </c>
      <c r="E35" t="s">
        <v>501</v>
      </c>
      <c r="F35" t="s">
        <v>412</v>
      </c>
      <c r="G35" t="s">
        <v>483</v>
      </c>
      <c r="H35" t="s">
        <v>414</v>
      </c>
      <c r="I35">
        <v>1700152892</v>
      </c>
      <c r="J35">
        <f t="shared" si="0"/>
        <v>2.7601058243905282E-3</v>
      </c>
      <c r="K35">
        <f t="shared" si="1"/>
        <v>2.7601058243905281</v>
      </c>
      <c r="L35">
        <f t="shared" si="2"/>
        <v>56.76108316778911</v>
      </c>
      <c r="M35">
        <f t="shared" si="3"/>
        <v>691.33600000000001</v>
      </c>
      <c r="N35">
        <f t="shared" si="4"/>
        <v>136.71385394586557</v>
      </c>
      <c r="O35">
        <f t="shared" si="5"/>
        <v>13.590592838744852</v>
      </c>
      <c r="P35">
        <f t="shared" si="6"/>
        <v>68.725047386103995</v>
      </c>
      <c r="Q35">
        <f t="shared" si="7"/>
        <v>0.17138883318324147</v>
      </c>
      <c r="R35">
        <f t="shared" si="8"/>
        <v>3.1278790358990869</v>
      </c>
      <c r="S35">
        <f t="shared" si="9"/>
        <v>0.16633738140801479</v>
      </c>
      <c r="T35">
        <f t="shared" si="10"/>
        <v>0.10440231460666953</v>
      </c>
      <c r="U35">
        <f t="shared" si="11"/>
        <v>289.56212084764411</v>
      </c>
      <c r="V35">
        <f t="shared" si="12"/>
        <v>30.690310014871354</v>
      </c>
      <c r="W35">
        <f t="shared" si="13"/>
        <v>30.133900000000001</v>
      </c>
      <c r="X35">
        <f t="shared" si="14"/>
        <v>4.2933273684001048</v>
      </c>
      <c r="Y35">
        <f t="shared" si="15"/>
        <v>64.294236403196422</v>
      </c>
      <c r="Z35">
        <f t="shared" si="16"/>
        <v>2.7018283300770993</v>
      </c>
      <c r="AA35">
        <f t="shared" si="17"/>
        <v>4.2022869874892494</v>
      </c>
      <c r="AB35">
        <f t="shared" si="18"/>
        <v>1.5914990383230054</v>
      </c>
      <c r="AC35">
        <f t="shared" si="19"/>
        <v>-121.7206668556223</v>
      </c>
      <c r="AD35">
        <f t="shared" si="20"/>
        <v>-62.899070039605249</v>
      </c>
      <c r="AE35">
        <f t="shared" si="21"/>
        <v>-4.4689689406274304</v>
      </c>
      <c r="AF35">
        <f t="shared" si="22"/>
        <v>100.47341501178914</v>
      </c>
      <c r="AG35">
        <v>70</v>
      </c>
      <c r="AH35">
        <v>14</v>
      </c>
      <c r="AI35">
        <f t="shared" si="23"/>
        <v>1</v>
      </c>
      <c r="AJ35">
        <f t="shared" si="24"/>
        <v>0</v>
      </c>
      <c r="AK35">
        <f t="shared" si="25"/>
        <v>51954.959820997385</v>
      </c>
      <c r="AL35" t="s">
        <v>415</v>
      </c>
      <c r="AM35">
        <v>6960.3</v>
      </c>
      <c r="AN35">
        <v>244.8124</v>
      </c>
      <c r="AO35">
        <v>892.86711584811997</v>
      </c>
      <c r="AP35">
        <f t="shared" si="26"/>
        <v>0.72581317459826411</v>
      </c>
      <c r="AQ35">
        <v>-0.43209471141234851</v>
      </c>
      <c r="AR35" t="s">
        <v>502</v>
      </c>
      <c r="AS35">
        <v>7137.18</v>
      </c>
      <c r="AT35">
        <v>555.42007999999998</v>
      </c>
      <c r="AU35">
        <v>853.19139502457358</v>
      </c>
      <c r="AV35">
        <f t="shared" si="27"/>
        <v>0.34900881181062215</v>
      </c>
      <c r="AW35">
        <v>0.5</v>
      </c>
      <c r="AX35">
        <f t="shared" si="28"/>
        <v>1513.1672999210591</v>
      </c>
      <c r="AY35">
        <f t="shared" si="29"/>
        <v>56.76108316778911</v>
      </c>
      <c r="AZ35">
        <f t="shared" si="30"/>
        <v>264.05436070806809</v>
      </c>
      <c r="BA35">
        <f t="shared" si="31"/>
        <v>3.7796995667422353E-2</v>
      </c>
      <c r="BB35">
        <f t="shared" si="32"/>
        <v>4.6502720321509629E-2</v>
      </c>
      <c r="BC35">
        <f t="shared" si="33"/>
        <v>241.73023477517935</v>
      </c>
      <c r="BD35" t="s">
        <v>503</v>
      </c>
      <c r="BE35">
        <v>404.37</v>
      </c>
      <c r="BF35">
        <f t="shared" si="34"/>
        <v>404.37</v>
      </c>
      <c r="BG35">
        <f t="shared" si="35"/>
        <v>0.52605007228377709</v>
      </c>
      <c r="BH35">
        <f t="shared" si="36"/>
        <v>0.66345169442795882</v>
      </c>
      <c r="BI35">
        <f t="shared" si="37"/>
        <v>8.1219969445801343E-2</v>
      </c>
      <c r="BJ35">
        <f t="shared" si="38"/>
        <v>0.4894503548935743</v>
      </c>
      <c r="BK35">
        <f t="shared" si="39"/>
        <v>6.1222794701250048E-2</v>
      </c>
      <c r="BL35">
        <f t="shared" si="40"/>
        <v>0.48302171876075078</v>
      </c>
      <c r="BM35">
        <f t="shared" si="41"/>
        <v>0.51697828123924916</v>
      </c>
      <c r="BN35">
        <v>47</v>
      </c>
      <c r="BO35">
        <v>290.00000000000011</v>
      </c>
      <c r="BP35">
        <v>769.7</v>
      </c>
      <c r="BQ35">
        <v>295</v>
      </c>
      <c r="BR35">
        <v>7137.18</v>
      </c>
      <c r="BS35">
        <v>771.97</v>
      </c>
      <c r="BT35">
        <v>-2.27</v>
      </c>
      <c r="BU35">
        <v>300.00000000000011</v>
      </c>
      <c r="BV35">
        <v>38.200000000000003</v>
      </c>
      <c r="BW35">
        <v>853.19139502457358</v>
      </c>
      <c r="BX35">
        <v>1.385129727558611</v>
      </c>
      <c r="BY35">
        <v>-57.966945311294658</v>
      </c>
      <c r="BZ35">
        <v>0.82862427989129195</v>
      </c>
      <c r="CA35">
        <v>0.99431101535690458</v>
      </c>
      <c r="CB35">
        <v>-7.0437873192436048E-3</v>
      </c>
      <c r="CC35">
        <v>289.99999999999989</v>
      </c>
      <c r="CD35">
        <v>782.79</v>
      </c>
      <c r="CE35">
        <v>845</v>
      </c>
      <c r="CF35">
        <v>7131.5</v>
      </c>
      <c r="CG35">
        <v>771.91</v>
      </c>
      <c r="CH35">
        <v>10.88</v>
      </c>
      <c r="CV35">
        <f t="shared" si="42"/>
        <v>1799.98</v>
      </c>
      <c r="CW35">
        <f t="shared" si="43"/>
        <v>1513.1672999210591</v>
      </c>
      <c r="CX35">
        <f t="shared" si="44"/>
        <v>0.84065784059881721</v>
      </c>
      <c r="CY35">
        <f t="shared" si="45"/>
        <v>0.16086963235571736</v>
      </c>
      <c r="CZ35">
        <v>5</v>
      </c>
      <c r="DA35">
        <v>0.5</v>
      </c>
      <c r="DB35" t="s">
        <v>418</v>
      </c>
      <c r="DC35">
        <v>2</v>
      </c>
      <c r="DD35">
        <v>1700152892</v>
      </c>
      <c r="DE35">
        <v>691.33600000000001</v>
      </c>
      <c r="DF35">
        <v>749.98800000000006</v>
      </c>
      <c r="DG35">
        <v>27.178899999999999</v>
      </c>
      <c r="DH35">
        <v>24.494599999999998</v>
      </c>
      <c r="DI35">
        <v>689.51700000000005</v>
      </c>
      <c r="DJ35">
        <v>26.8536</v>
      </c>
      <c r="DK35">
        <v>500.14699999999999</v>
      </c>
      <c r="DL35">
        <v>99.308999999999997</v>
      </c>
      <c r="DM35">
        <v>0.100039</v>
      </c>
      <c r="DN35">
        <v>29.760899999999999</v>
      </c>
      <c r="DO35">
        <v>30.133900000000001</v>
      </c>
      <c r="DP35">
        <v>999.9</v>
      </c>
      <c r="DQ35">
        <v>0</v>
      </c>
      <c r="DR35">
        <v>0</v>
      </c>
      <c r="DS35">
        <v>9984.3799999999992</v>
      </c>
      <c r="DT35">
        <v>0</v>
      </c>
      <c r="DU35">
        <v>144.161</v>
      </c>
      <c r="DV35">
        <v>-58.652099999999997</v>
      </c>
      <c r="DW35">
        <v>710.65099999999995</v>
      </c>
      <c r="DX35">
        <v>768.82</v>
      </c>
      <c r="DY35">
        <v>2.6842800000000002</v>
      </c>
      <c r="DZ35">
        <v>749.98800000000006</v>
      </c>
      <c r="EA35">
        <v>24.494599999999998</v>
      </c>
      <c r="EB35">
        <v>2.6991100000000001</v>
      </c>
      <c r="EC35">
        <v>2.4325399999999999</v>
      </c>
      <c r="ED35">
        <v>22.279699999999998</v>
      </c>
      <c r="EE35">
        <v>20.582000000000001</v>
      </c>
      <c r="EF35">
        <v>1799.98</v>
      </c>
      <c r="EG35">
        <v>0.97801000000000005</v>
      </c>
      <c r="EH35">
        <v>2.1990099999999999E-2</v>
      </c>
      <c r="EI35">
        <v>0</v>
      </c>
      <c r="EJ35">
        <v>555.09900000000005</v>
      </c>
      <c r="EK35">
        <v>5.0001199999999999</v>
      </c>
      <c r="EL35">
        <v>10761.1</v>
      </c>
      <c r="EM35">
        <v>15629.9</v>
      </c>
      <c r="EN35">
        <v>52.186999999999998</v>
      </c>
      <c r="EO35">
        <v>53.375</v>
      </c>
      <c r="EP35">
        <v>53.186999999999998</v>
      </c>
      <c r="EQ35">
        <v>53.125</v>
      </c>
      <c r="ER35">
        <v>53.625</v>
      </c>
      <c r="ES35">
        <v>1755.51</v>
      </c>
      <c r="ET35">
        <v>39.47</v>
      </c>
      <c r="EU35">
        <v>0</v>
      </c>
      <c r="EV35">
        <v>236.60000014305109</v>
      </c>
      <c r="EW35">
        <v>0</v>
      </c>
      <c r="EX35">
        <v>555.42007999999998</v>
      </c>
      <c r="EY35">
        <v>-0.92830768954308585</v>
      </c>
      <c r="EZ35">
        <v>-71.415384532770659</v>
      </c>
      <c r="FA35">
        <v>10770.4</v>
      </c>
      <c r="FB35">
        <v>15</v>
      </c>
      <c r="FC35">
        <v>1700152799</v>
      </c>
      <c r="FD35" t="s">
        <v>504</v>
      </c>
      <c r="FE35">
        <v>1700152799</v>
      </c>
      <c r="FF35">
        <v>1700152797</v>
      </c>
      <c r="FG35">
        <v>24</v>
      </c>
      <c r="FH35">
        <v>-0.113</v>
      </c>
      <c r="FI35">
        <v>6.0000000000000001E-3</v>
      </c>
      <c r="FJ35">
        <v>1.8280000000000001</v>
      </c>
      <c r="FK35">
        <v>0.32500000000000001</v>
      </c>
      <c r="FL35">
        <v>750</v>
      </c>
      <c r="FM35">
        <v>25</v>
      </c>
      <c r="FN35">
        <v>0.05</v>
      </c>
      <c r="FO35">
        <v>0.09</v>
      </c>
      <c r="FP35">
        <v>56.824173604486766</v>
      </c>
      <c r="FQ35">
        <v>2.3028149284061449E-2</v>
      </c>
      <c r="FR35">
        <v>6.7559332038291828E-2</v>
      </c>
      <c r="FS35">
        <v>1</v>
      </c>
      <c r="FT35">
        <v>0.17487357672738399</v>
      </c>
      <c r="FU35">
        <v>-4.3055130227934987E-2</v>
      </c>
      <c r="FV35">
        <v>3.243953019055498E-3</v>
      </c>
      <c r="FW35">
        <v>1</v>
      </c>
      <c r="FX35">
        <v>2</v>
      </c>
      <c r="FY35">
        <v>2</v>
      </c>
      <c r="FZ35" t="s">
        <v>420</v>
      </c>
      <c r="GA35">
        <v>2.9120599999999999</v>
      </c>
      <c r="GB35">
        <v>2.7509199999999998</v>
      </c>
      <c r="GC35">
        <v>0.13471</v>
      </c>
      <c r="GD35">
        <v>0.14479800000000001</v>
      </c>
      <c r="GE35">
        <v>0.124815</v>
      </c>
      <c r="GF35">
        <v>0.11862399999999999</v>
      </c>
      <c r="GG35">
        <v>26773.200000000001</v>
      </c>
      <c r="GH35">
        <v>26319.3</v>
      </c>
      <c r="GI35">
        <v>28189.9</v>
      </c>
      <c r="GJ35">
        <v>28148.5</v>
      </c>
      <c r="GK35">
        <v>33627.699999999997</v>
      </c>
      <c r="GL35">
        <v>34656.1</v>
      </c>
      <c r="GM35">
        <v>42354.9</v>
      </c>
      <c r="GN35">
        <v>43762</v>
      </c>
      <c r="GO35">
        <v>1.6187800000000001</v>
      </c>
      <c r="GP35">
        <v>1.8403</v>
      </c>
      <c r="GQ35">
        <v>-2.16551E-2</v>
      </c>
      <c r="GR35">
        <v>0</v>
      </c>
      <c r="GS35">
        <v>30.4861</v>
      </c>
      <c r="GT35">
        <v>999.9</v>
      </c>
      <c r="GU35">
        <v>30.6</v>
      </c>
      <c r="GV35">
        <v>45.5</v>
      </c>
      <c r="GW35">
        <v>30.473199999999999</v>
      </c>
      <c r="GX35">
        <v>61.835000000000001</v>
      </c>
      <c r="GY35">
        <v>30.320499999999999</v>
      </c>
      <c r="GZ35">
        <v>1</v>
      </c>
      <c r="HA35">
        <v>0.68689</v>
      </c>
      <c r="HB35">
        <v>4.4351599999999998</v>
      </c>
      <c r="HC35">
        <v>20.1998</v>
      </c>
      <c r="HD35">
        <v>5.27135</v>
      </c>
      <c r="HE35">
        <v>12.0886</v>
      </c>
      <c r="HF35">
        <v>5.01145</v>
      </c>
      <c r="HG35">
        <v>3.2911999999999999</v>
      </c>
      <c r="HH35">
        <v>9999</v>
      </c>
      <c r="HI35">
        <v>9999</v>
      </c>
      <c r="HJ35">
        <v>9999</v>
      </c>
      <c r="HK35">
        <v>999.9</v>
      </c>
      <c r="HL35">
        <v>1.8768800000000001</v>
      </c>
      <c r="HM35">
        <v>1.8775900000000001</v>
      </c>
      <c r="HN35">
        <v>1.8772899999999999</v>
      </c>
      <c r="HO35">
        <v>1.8809499999999999</v>
      </c>
      <c r="HP35">
        <v>1.8747100000000001</v>
      </c>
      <c r="HQ35">
        <v>1.8775900000000001</v>
      </c>
      <c r="HR35">
        <v>1.87758</v>
      </c>
      <c r="HS35">
        <v>1.8789899999999999</v>
      </c>
      <c r="HT35">
        <v>0</v>
      </c>
      <c r="HU35">
        <v>0</v>
      </c>
      <c r="HV35">
        <v>0</v>
      </c>
      <c r="HW35">
        <v>0</v>
      </c>
      <c r="HX35" t="s">
        <v>421</v>
      </c>
      <c r="HY35" t="s">
        <v>422</v>
      </c>
      <c r="HZ35" t="s">
        <v>423</v>
      </c>
      <c r="IA35" t="s">
        <v>424</v>
      </c>
      <c r="IB35" t="s">
        <v>424</v>
      </c>
      <c r="IC35" t="s">
        <v>423</v>
      </c>
      <c r="ID35">
        <v>0</v>
      </c>
      <c r="IE35">
        <v>100</v>
      </c>
      <c r="IF35">
        <v>100</v>
      </c>
      <c r="IG35">
        <v>1.819</v>
      </c>
      <c r="IH35">
        <v>0.32529999999999998</v>
      </c>
      <c r="II35">
        <v>1.478169795841286</v>
      </c>
      <c r="IJ35">
        <v>8.9576739069318506E-4</v>
      </c>
      <c r="IK35">
        <v>-7.2130504814809596E-7</v>
      </c>
      <c r="IL35">
        <v>1.9987036519832741E-10</v>
      </c>
      <c r="IM35">
        <v>0.32535999999999993</v>
      </c>
      <c r="IN35">
        <v>0</v>
      </c>
      <c r="IO35">
        <v>0</v>
      </c>
      <c r="IP35">
        <v>0</v>
      </c>
      <c r="IQ35">
        <v>1</v>
      </c>
      <c r="IR35">
        <v>2126</v>
      </c>
      <c r="IS35">
        <v>0</v>
      </c>
      <c r="IT35">
        <v>20</v>
      </c>
      <c r="IU35">
        <v>1.6</v>
      </c>
      <c r="IV35">
        <v>1.6</v>
      </c>
      <c r="IW35">
        <v>1.73584</v>
      </c>
      <c r="IX35">
        <v>2.6916500000000001</v>
      </c>
      <c r="IY35">
        <v>1.69434</v>
      </c>
      <c r="IZ35">
        <v>2.3339799999999999</v>
      </c>
      <c r="JA35">
        <v>1.5466299999999999</v>
      </c>
      <c r="JB35">
        <v>2.34619</v>
      </c>
      <c r="JC35">
        <v>51.198900000000002</v>
      </c>
      <c r="JD35">
        <v>23.710999999999999</v>
      </c>
      <c r="JE35">
        <v>18</v>
      </c>
      <c r="JF35">
        <v>405.35899999999998</v>
      </c>
      <c r="JG35">
        <v>466.541</v>
      </c>
      <c r="JH35">
        <v>25.538799999999998</v>
      </c>
      <c r="JI35">
        <v>35.644100000000002</v>
      </c>
      <c r="JJ35">
        <v>30.000699999999998</v>
      </c>
      <c r="JK35">
        <v>35.634900000000002</v>
      </c>
      <c r="JL35">
        <v>35.5899</v>
      </c>
      <c r="JM35">
        <v>34.812600000000003</v>
      </c>
      <c r="JN35">
        <v>9.9845000000000006</v>
      </c>
      <c r="JO35">
        <v>36.7059</v>
      </c>
      <c r="JP35">
        <v>25.407900000000001</v>
      </c>
      <c r="JQ35">
        <v>750</v>
      </c>
      <c r="JR35">
        <v>24.765699999999999</v>
      </c>
      <c r="JS35">
        <v>98.750799999999998</v>
      </c>
      <c r="JT35">
        <v>98.592799999999997</v>
      </c>
    </row>
    <row r="36" spans="1:280" x14ac:dyDescent="0.25">
      <c r="A36">
        <v>20</v>
      </c>
      <c r="B36">
        <v>1700153092.5</v>
      </c>
      <c r="C36">
        <v>5562.9000000953674</v>
      </c>
      <c r="D36" t="s">
        <v>505</v>
      </c>
      <c r="E36" t="s">
        <v>506</v>
      </c>
      <c r="F36" t="s">
        <v>412</v>
      </c>
      <c r="G36" t="s">
        <v>483</v>
      </c>
      <c r="H36" t="s">
        <v>414</v>
      </c>
      <c r="I36">
        <v>1700153092.5</v>
      </c>
      <c r="J36">
        <f t="shared" si="0"/>
        <v>3.0830790603498261E-3</v>
      </c>
      <c r="K36">
        <f t="shared" si="1"/>
        <v>3.0830790603498262</v>
      </c>
      <c r="L36">
        <f t="shared" si="2"/>
        <v>53.9689413331716</v>
      </c>
      <c r="M36">
        <f t="shared" si="3"/>
        <v>544.21500000000003</v>
      </c>
      <c r="N36">
        <f t="shared" si="4"/>
        <v>81.589667393347341</v>
      </c>
      <c r="O36">
        <f t="shared" si="5"/>
        <v>8.1108328334663611</v>
      </c>
      <c r="P36">
        <f t="shared" si="6"/>
        <v>54.100439816535008</v>
      </c>
      <c r="Q36">
        <f t="shared" si="7"/>
        <v>0.19561629564160368</v>
      </c>
      <c r="R36">
        <f t="shared" si="8"/>
        <v>3.134522434476648</v>
      </c>
      <c r="S36">
        <f t="shared" si="9"/>
        <v>0.18907852480773696</v>
      </c>
      <c r="T36">
        <f t="shared" si="10"/>
        <v>0.11874326824388096</v>
      </c>
      <c r="U36">
        <f t="shared" si="11"/>
        <v>289.56704984752997</v>
      </c>
      <c r="V36">
        <f t="shared" si="12"/>
        <v>30.531127223802304</v>
      </c>
      <c r="W36">
        <f t="shared" si="13"/>
        <v>30.013999999999999</v>
      </c>
      <c r="X36">
        <f t="shared" si="14"/>
        <v>4.2638770075721739</v>
      </c>
      <c r="Y36">
        <f t="shared" si="15"/>
        <v>64.534986620740227</v>
      </c>
      <c r="Z36">
        <f t="shared" si="16"/>
        <v>2.6996886416979002</v>
      </c>
      <c r="AA36">
        <f t="shared" si="17"/>
        <v>4.1832946484725468</v>
      </c>
      <c r="AB36">
        <f t="shared" si="18"/>
        <v>1.5641883658742737</v>
      </c>
      <c r="AC36">
        <f t="shared" si="19"/>
        <v>-135.96378656142733</v>
      </c>
      <c r="AD36">
        <f t="shared" si="20"/>
        <v>-56.070342323153774</v>
      </c>
      <c r="AE36">
        <f t="shared" si="21"/>
        <v>-3.9714374170798954</v>
      </c>
      <c r="AF36">
        <f t="shared" si="22"/>
        <v>93.56148354586901</v>
      </c>
      <c r="AG36">
        <v>70</v>
      </c>
      <c r="AH36">
        <v>14</v>
      </c>
      <c r="AI36">
        <f t="shared" si="23"/>
        <v>1</v>
      </c>
      <c r="AJ36">
        <f t="shared" si="24"/>
        <v>0</v>
      </c>
      <c r="AK36">
        <f t="shared" si="25"/>
        <v>52137.367448446981</v>
      </c>
      <c r="AL36" t="s">
        <v>415</v>
      </c>
      <c r="AM36">
        <v>6960.3</v>
      </c>
      <c r="AN36">
        <v>244.8124</v>
      </c>
      <c r="AO36">
        <v>892.86711584811997</v>
      </c>
      <c r="AP36">
        <f t="shared" si="26"/>
        <v>0.72581317459826411</v>
      </c>
      <c r="AQ36">
        <v>-0.43209471141234851</v>
      </c>
      <c r="AR36" t="s">
        <v>507</v>
      </c>
      <c r="AS36">
        <v>7136</v>
      </c>
      <c r="AT36">
        <v>557.31344000000001</v>
      </c>
      <c r="AU36">
        <v>839.87197953494513</v>
      </c>
      <c r="AV36">
        <f t="shared" si="27"/>
        <v>0.33643048752668681</v>
      </c>
      <c r="AW36">
        <v>0.5</v>
      </c>
      <c r="AX36">
        <f t="shared" si="28"/>
        <v>1513.1849999209999</v>
      </c>
      <c r="AY36">
        <f t="shared" si="29"/>
        <v>53.9689413331716</v>
      </c>
      <c r="AZ36">
        <f t="shared" si="30"/>
        <v>254.54078362074577</v>
      </c>
      <c r="BA36">
        <f t="shared" si="31"/>
        <v>3.5951345042029959E-2</v>
      </c>
      <c r="BB36">
        <f t="shared" si="32"/>
        <v>6.309906462472932E-2</v>
      </c>
      <c r="BC36">
        <f t="shared" si="33"/>
        <v>240.64894884829874</v>
      </c>
      <c r="BD36" t="s">
        <v>508</v>
      </c>
      <c r="BE36">
        <v>405.21</v>
      </c>
      <c r="BF36">
        <f t="shared" si="34"/>
        <v>405.21</v>
      </c>
      <c r="BG36">
        <f t="shared" si="35"/>
        <v>0.51753361241510487</v>
      </c>
      <c r="BH36">
        <f t="shared" si="36"/>
        <v>0.65006499955956809</v>
      </c>
      <c r="BI36">
        <f t="shared" si="37"/>
        <v>0.10867294783755414</v>
      </c>
      <c r="BJ36">
        <f t="shared" si="38"/>
        <v>0.47484075419098726</v>
      </c>
      <c r="BK36">
        <f t="shared" si="39"/>
        <v>8.177571278656498E-2</v>
      </c>
      <c r="BL36">
        <f t="shared" si="40"/>
        <v>0.47264756161547539</v>
      </c>
      <c r="BM36">
        <f t="shared" si="41"/>
        <v>0.52735243838452461</v>
      </c>
      <c r="BN36">
        <v>49</v>
      </c>
      <c r="BO36">
        <v>290.00000000000011</v>
      </c>
      <c r="BP36">
        <v>761.19</v>
      </c>
      <c r="BQ36">
        <v>295</v>
      </c>
      <c r="BR36">
        <v>7136</v>
      </c>
      <c r="BS36">
        <v>763.26</v>
      </c>
      <c r="BT36">
        <v>-2.0699999999999998</v>
      </c>
      <c r="BU36">
        <v>300.00000000000011</v>
      </c>
      <c r="BV36">
        <v>38.200000000000003</v>
      </c>
      <c r="BW36">
        <v>839.87197953494513</v>
      </c>
      <c r="BX36">
        <v>1.666354145792986</v>
      </c>
      <c r="BY36">
        <v>-54.671804777039782</v>
      </c>
      <c r="BZ36">
        <v>0.99669891703339197</v>
      </c>
      <c r="CA36">
        <v>0.99077988445932486</v>
      </c>
      <c r="CB36">
        <v>-7.0426502780867603E-3</v>
      </c>
      <c r="CC36">
        <v>289.99999999999989</v>
      </c>
      <c r="CD36">
        <v>773.92</v>
      </c>
      <c r="CE36">
        <v>875</v>
      </c>
      <c r="CF36">
        <v>7129.96</v>
      </c>
      <c r="CG36">
        <v>763.19</v>
      </c>
      <c r="CH36">
        <v>10.73</v>
      </c>
      <c r="CV36">
        <f t="shared" si="42"/>
        <v>1800</v>
      </c>
      <c r="CW36">
        <f t="shared" si="43"/>
        <v>1513.1849999209999</v>
      </c>
      <c r="CX36">
        <f t="shared" si="44"/>
        <v>0.84065833328944439</v>
      </c>
      <c r="CY36">
        <f t="shared" si="45"/>
        <v>0.16087058324862777</v>
      </c>
      <c r="CZ36">
        <v>5</v>
      </c>
      <c r="DA36">
        <v>0.5</v>
      </c>
      <c r="DB36" t="s">
        <v>418</v>
      </c>
      <c r="DC36">
        <v>2</v>
      </c>
      <c r="DD36">
        <v>1700153092.5</v>
      </c>
      <c r="DE36">
        <v>544.21500000000003</v>
      </c>
      <c r="DF36">
        <v>599.846</v>
      </c>
      <c r="DG36">
        <v>27.1571</v>
      </c>
      <c r="DH36">
        <v>24.1586</v>
      </c>
      <c r="DI36">
        <v>542.67600000000004</v>
      </c>
      <c r="DJ36">
        <v>26.837299999999999</v>
      </c>
      <c r="DK36">
        <v>500.142</v>
      </c>
      <c r="DL36">
        <v>99.310100000000006</v>
      </c>
      <c r="DM36">
        <v>9.9948999999999996E-2</v>
      </c>
      <c r="DN36">
        <v>29.682200000000002</v>
      </c>
      <c r="DO36">
        <v>30.013999999999999</v>
      </c>
      <c r="DP36">
        <v>999.9</v>
      </c>
      <c r="DQ36">
        <v>0</v>
      </c>
      <c r="DR36">
        <v>0</v>
      </c>
      <c r="DS36">
        <v>10018.1</v>
      </c>
      <c r="DT36">
        <v>0</v>
      </c>
      <c r="DU36">
        <v>172.846</v>
      </c>
      <c r="DV36">
        <v>-55.631700000000002</v>
      </c>
      <c r="DW36">
        <v>559.40599999999995</v>
      </c>
      <c r="DX36">
        <v>614.697</v>
      </c>
      <c r="DY36">
        <v>2.9984500000000001</v>
      </c>
      <c r="DZ36">
        <v>599.846</v>
      </c>
      <c r="EA36">
        <v>24.1586</v>
      </c>
      <c r="EB36">
        <v>2.6969699999999999</v>
      </c>
      <c r="EC36">
        <v>2.3991899999999999</v>
      </c>
      <c r="ED36">
        <v>22.2667</v>
      </c>
      <c r="EE36">
        <v>20.3583</v>
      </c>
      <c r="EF36">
        <v>1800</v>
      </c>
      <c r="EG36">
        <v>0.977993</v>
      </c>
      <c r="EH36">
        <v>2.2007200000000001E-2</v>
      </c>
      <c r="EI36">
        <v>0</v>
      </c>
      <c r="EJ36">
        <v>557.59</v>
      </c>
      <c r="EK36">
        <v>5.0001199999999999</v>
      </c>
      <c r="EL36">
        <v>10685.9</v>
      </c>
      <c r="EM36">
        <v>15630</v>
      </c>
      <c r="EN36">
        <v>52.311999999999998</v>
      </c>
      <c r="EO36">
        <v>53.561999999999998</v>
      </c>
      <c r="EP36">
        <v>53.25</v>
      </c>
      <c r="EQ36">
        <v>53.25</v>
      </c>
      <c r="ER36">
        <v>53.75</v>
      </c>
      <c r="ES36">
        <v>1755.5</v>
      </c>
      <c r="ET36">
        <v>39.5</v>
      </c>
      <c r="EU36">
        <v>0</v>
      </c>
      <c r="EV36">
        <v>198.79999995231631</v>
      </c>
      <c r="EW36">
        <v>0</v>
      </c>
      <c r="EX36">
        <v>557.31344000000001</v>
      </c>
      <c r="EY36">
        <v>0.24869230222253499</v>
      </c>
      <c r="EZ36">
        <v>-92.846154057811546</v>
      </c>
      <c r="FA36">
        <v>10693.516</v>
      </c>
      <c r="FB36">
        <v>15</v>
      </c>
      <c r="FC36">
        <v>1700152963.5</v>
      </c>
      <c r="FD36" t="s">
        <v>509</v>
      </c>
      <c r="FE36">
        <v>1700152963.5</v>
      </c>
      <c r="FF36">
        <v>1700152958.5</v>
      </c>
      <c r="FG36">
        <v>25</v>
      </c>
      <c r="FH36">
        <v>-0.245</v>
      </c>
      <c r="FI36">
        <v>-6.0000000000000001E-3</v>
      </c>
      <c r="FJ36">
        <v>1.554</v>
      </c>
      <c r="FK36">
        <v>0.32</v>
      </c>
      <c r="FL36">
        <v>600</v>
      </c>
      <c r="FM36">
        <v>25</v>
      </c>
      <c r="FN36">
        <v>0.08</v>
      </c>
      <c r="FO36">
        <v>0.06</v>
      </c>
      <c r="FP36">
        <v>54.074140811106012</v>
      </c>
      <c r="FQ36">
        <v>0.51042847397056079</v>
      </c>
      <c r="FR36">
        <v>7.8471189827447399E-2</v>
      </c>
      <c r="FS36">
        <v>1</v>
      </c>
      <c r="FT36">
        <v>0.1966016185932897</v>
      </c>
      <c r="FU36">
        <v>1.1991452033100661E-2</v>
      </c>
      <c r="FV36">
        <v>2.019014392886472E-3</v>
      </c>
      <c r="FW36">
        <v>1</v>
      </c>
      <c r="FX36">
        <v>2</v>
      </c>
      <c r="FY36">
        <v>2</v>
      </c>
      <c r="FZ36" t="s">
        <v>420</v>
      </c>
      <c r="GA36">
        <v>2.9120300000000001</v>
      </c>
      <c r="GB36">
        <v>2.7511100000000002</v>
      </c>
      <c r="GC36">
        <v>0.113791</v>
      </c>
      <c r="GD36">
        <v>0.124144</v>
      </c>
      <c r="GE36">
        <v>0.124775</v>
      </c>
      <c r="GF36">
        <v>0.117508</v>
      </c>
      <c r="GG36">
        <v>27418.3</v>
      </c>
      <c r="GH36">
        <v>26952.400000000001</v>
      </c>
      <c r="GI36">
        <v>28187.3</v>
      </c>
      <c r="GJ36">
        <v>28145.3</v>
      </c>
      <c r="GK36">
        <v>33626.300000000003</v>
      </c>
      <c r="GL36">
        <v>34696.5</v>
      </c>
      <c r="GM36">
        <v>42351</v>
      </c>
      <c r="GN36">
        <v>43757.3</v>
      </c>
      <c r="GO36">
        <v>1.61917</v>
      </c>
      <c r="GP36">
        <v>1.83755</v>
      </c>
      <c r="GQ36">
        <v>-3.8351900000000001E-2</v>
      </c>
      <c r="GR36">
        <v>0</v>
      </c>
      <c r="GS36">
        <v>30.637699999999999</v>
      </c>
      <c r="GT36">
        <v>999.9</v>
      </c>
      <c r="GU36">
        <v>30.1</v>
      </c>
      <c r="GV36">
        <v>45.7</v>
      </c>
      <c r="GW36">
        <v>30.284300000000002</v>
      </c>
      <c r="GX36">
        <v>61.424999999999997</v>
      </c>
      <c r="GY36">
        <v>31.081700000000001</v>
      </c>
      <c r="GZ36">
        <v>1</v>
      </c>
      <c r="HA36">
        <v>0.69213199999999997</v>
      </c>
      <c r="HB36">
        <v>4.4441199999999998</v>
      </c>
      <c r="HC36">
        <v>20.202000000000002</v>
      </c>
      <c r="HD36">
        <v>5.2750899999999996</v>
      </c>
      <c r="HE36">
        <v>12.087999999999999</v>
      </c>
      <c r="HF36">
        <v>5.0128000000000004</v>
      </c>
      <c r="HG36">
        <v>3.2919200000000002</v>
      </c>
      <c r="HH36">
        <v>9999</v>
      </c>
      <c r="HI36">
        <v>9999</v>
      </c>
      <c r="HJ36">
        <v>9999</v>
      </c>
      <c r="HK36">
        <v>999.9</v>
      </c>
      <c r="HL36">
        <v>1.8768400000000001</v>
      </c>
      <c r="HM36">
        <v>1.8775900000000001</v>
      </c>
      <c r="HN36">
        <v>1.8772899999999999</v>
      </c>
      <c r="HO36">
        <v>1.8809499999999999</v>
      </c>
      <c r="HP36">
        <v>1.8747100000000001</v>
      </c>
      <c r="HQ36">
        <v>1.8775900000000001</v>
      </c>
      <c r="HR36">
        <v>1.87757</v>
      </c>
      <c r="HS36">
        <v>1.8789800000000001</v>
      </c>
      <c r="HT36">
        <v>0</v>
      </c>
      <c r="HU36">
        <v>0</v>
      </c>
      <c r="HV36">
        <v>0</v>
      </c>
      <c r="HW36">
        <v>0</v>
      </c>
      <c r="HX36" t="s">
        <v>421</v>
      </c>
      <c r="HY36" t="s">
        <v>422</v>
      </c>
      <c r="HZ36" t="s">
        <v>423</v>
      </c>
      <c r="IA36" t="s">
        <v>424</v>
      </c>
      <c r="IB36" t="s">
        <v>424</v>
      </c>
      <c r="IC36" t="s">
        <v>423</v>
      </c>
      <c r="ID36">
        <v>0</v>
      </c>
      <c r="IE36">
        <v>100</v>
      </c>
      <c r="IF36">
        <v>100</v>
      </c>
      <c r="IG36">
        <v>1.5389999999999999</v>
      </c>
      <c r="IH36">
        <v>0.31979999999999997</v>
      </c>
      <c r="II36">
        <v>1.2334801455486819</v>
      </c>
      <c r="IJ36">
        <v>8.9576739069318506E-4</v>
      </c>
      <c r="IK36">
        <v>-7.2130504814809596E-7</v>
      </c>
      <c r="IL36">
        <v>1.9987036519832741E-10</v>
      </c>
      <c r="IM36">
        <v>0.31977142857142132</v>
      </c>
      <c r="IN36">
        <v>0</v>
      </c>
      <c r="IO36">
        <v>0</v>
      </c>
      <c r="IP36">
        <v>0</v>
      </c>
      <c r="IQ36">
        <v>1</v>
      </c>
      <c r="IR36">
        <v>2126</v>
      </c>
      <c r="IS36">
        <v>0</v>
      </c>
      <c r="IT36">
        <v>20</v>
      </c>
      <c r="IU36">
        <v>2.1</v>
      </c>
      <c r="IV36">
        <v>2.2000000000000002</v>
      </c>
      <c r="IW36">
        <v>1.4477500000000001</v>
      </c>
      <c r="IX36">
        <v>2.6916500000000001</v>
      </c>
      <c r="IY36">
        <v>1.69434</v>
      </c>
      <c r="IZ36">
        <v>2.3339799999999999</v>
      </c>
      <c r="JA36">
        <v>1.54541</v>
      </c>
      <c r="JB36">
        <v>2.49634</v>
      </c>
      <c r="JC36">
        <v>51.2652</v>
      </c>
      <c r="JD36">
        <v>23.737300000000001</v>
      </c>
      <c r="JE36">
        <v>18</v>
      </c>
      <c r="JF36">
        <v>405.39800000000002</v>
      </c>
      <c r="JG36">
        <v>464.33</v>
      </c>
      <c r="JH36">
        <v>25.234300000000001</v>
      </c>
      <c r="JI36">
        <v>35.654800000000002</v>
      </c>
      <c r="JJ36">
        <v>29.998899999999999</v>
      </c>
      <c r="JK36">
        <v>35.6006</v>
      </c>
      <c r="JL36">
        <v>35.546599999999998</v>
      </c>
      <c r="JM36">
        <v>29.052900000000001</v>
      </c>
      <c r="JN36">
        <v>10.609400000000001</v>
      </c>
      <c r="JO36">
        <v>35.321199999999997</v>
      </c>
      <c r="JP36">
        <v>25.263500000000001</v>
      </c>
      <c r="JQ36">
        <v>600</v>
      </c>
      <c r="JR36">
        <v>24.3459</v>
      </c>
      <c r="JS36">
        <v>98.741799999999998</v>
      </c>
      <c r="JT36">
        <v>98.582099999999997</v>
      </c>
    </row>
    <row r="37" spans="1:280" x14ac:dyDescent="0.25">
      <c r="A37">
        <v>21</v>
      </c>
      <c r="B37">
        <v>1700153342.5</v>
      </c>
      <c r="C37">
        <v>5812.9000000953674</v>
      </c>
      <c r="D37" t="s">
        <v>510</v>
      </c>
      <c r="E37" t="s">
        <v>511</v>
      </c>
      <c r="F37" t="s">
        <v>412</v>
      </c>
      <c r="G37" t="s">
        <v>483</v>
      </c>
      <c r="H37" t="s">
        <v>414</v>
      </c>
      <c r="I37">
        <v>1700153342.5</v>
      </c>
      <c r="J37">
        <f t="shared" si="0"/>
        <v>4.0208654926665354E-3</v>
      </c>
      <c r="K37">
        <f t="shared" si="1"/>
        <v>4.0208654926665357</v>
      </c>
      <c r="L37">
        <f t="shared" si="2"/>
        <v>54.574519431780551</v>
      </c>
      <c r="M37">
        <f t="shared" si="3"/>
        <v>443.59500000000003</v>
      </c>
      <c r="N37">
        <f t="shared" si="4"/>
        <v>100.6678304567258</v>
      </c>
      <c r="O37">
        <f t="shared" si="5"/>
        <v>10.006129308739908</v>
      </c>
      <c r="P37">
        <f t="shared" si="6"/>
        <v>44.092227979608005</v>
      </c>
      <c r="Q37">
        <f t="shared" si="7"/>
        <v>0.27037576922685636</v>
      </c>
      <c r="R37">
        <f t="shared" si="8"/>
        <v>3.129247438532329</v>
      </c>
      <c r="S37">
        <f t="shared" si="9"/>
        <v>0.25803546921680809</v>
      </c>
      <c r="T37">
        <f t="shared" si="10"/>
        <v>0.16233395365810441</v>
      </c>
      <c r="U37">
        <f t="shared" si="11"/>
        <v>289.57024184753169</v>
      </c>
      <c r="V37">
        <f t="shared" si="12"/>
        <v>30.566747645508432</v>
      </c>
      <c r="W37">
        <f t="shared" si="13"/>
        <v>29.913499999999999</v>
      </c>
      <c r="X37">
        <f t="shared" si="14"/>
        <v>4.2393275476650665</v>
      </c>
      <c r="Y37">
        <f t="shared" si="15"/>
        <v>64.628842351835118</v>
      </c>
      <c r="Z37">
        <f t="shared" si="16"/>
        <v>2.7448715266846402</v>
      </c>
      <c r="AA37">
        <f t="shared" si="17"/>
        <v>4.247130888933059</v>
      </c>
      <c r="AB37">
        <f t="shared" si="18"/>
        <v>1.4944560209804263</v>
      </c>
      <c r="AC37">
        <f t="shared" si="19"/>
        <v>-177.32016822659421</v>
      </c>
      <c r="AD37">
        <f t="shared" si="20"/>
        <v>5.398527612996963</v>
      </c>
      <c r="AE37">
        <f t="shared" si="21"/>
        <v>0.38332869866490776</v>
      </c>
      <c r="AF37">
        <f t="shared" si="22"/>
        <v>118.03192993259935</v>
      </c>
      <c r="AG37">
        <v>68</v>
      </c>
      <c r="AH37">
        <v>14</v>
      </c>
      <c r="AI37">
        <f t="shared" si="23"/>
        <v>1</v>
      </c>
      <c r="AJ37">
        <f t="shared" si="24"/>
        <v>0</v>
      </c>
      <c r="AK37">
        <f t="shared" si="25"/>
        <v>51957.796434177777</v>
      </c>
      <c r="AL37" t="s">
        <v>415</v>
      </c>
      <c r="AM37">
        <v>6960.3</v>
      </c>
      <c r="AN37">
        <v>244.8124</v>
      </c>
      <c r="AO37">
        <v>892.86711584811997</v>
      </c>
      <c r="AP37">
        <f t="shared" si="26"/>
        <v>0.72581317459826411</v>
      </c>
      <c r="AQ37">
        <v>-0.43209471141234851</v>
      </c>
      <c r="AR37" t="s">
        <v>512</v>
      </c>
      <c r="AS37">
        <v>7136.28</v>
      </c>
      <c r="AT37">
        <v>557.03680769230778</v>
      </c>
      <c r="AU37">
        <v>840.74283702532978</v>
      </c>
      <c r="AV37">
        <f t="shared" si="27"/>
        <v>0.3374468587051126</v>
      </c>
      <c r="AW37">
        <v>0.5</v>
      </c>
      <c r="AX37">
        <f t="shared" si="28"/>
        <v>1513.2017999210007</v>
      </c>
      <c r="AY37">
        <f t="shared" si="29"/>
        <v>54.574519431780551</v>
      </c>
      <c r="AZ37">
        <f t="shared" si="30"/>
        <v>255.31259698513199</v>
      </c>
      <c r="BA37">
        <f t="shared" si="31"/>
        <v>3.6351142422685868E-2</v>
      </c>
      <c r="BB37">
        <f t="shared" si="32"/>
        <v>6.1997886306368606E-2</v>
      </c>
      <c r="BC37">
        <f t="shared" si="33"/>
        <v>240.72039316329298</v>
      </c>
      <c r="BD37" t="s">
        <v>513</v>
      </c>
      <c r="BE37">
        <v>405.64</v>
      </c>
      <c r="BF37">
        <f t="shared" si="34"/>
        <v>405.64</v>
      </c>
      <c r="BG37">
        <f t="shared" si="35"/>
        <v>0.51752190784614571</v>
      </c>
      <c r="BH37">
        <f t="shared" si="36"/>
        <v>0.65204362093485013</v>
      </c>
      <c r="BI37">
        <f t="shared" si="37"/>
        <v>0.10698148179223781</v>
      </c>
      <c r="BJ37">
        <f t="shared" si="38"/>
        <v>0.47607239319605887</v>
      </c>
      <c r="BK37">
        <f t="shared" si="39"/>
        <v>8.0431910374379856E-2</v>
      </c>
      <c r="BL37">
        <f t="shared" si="40"/>
        <v>0.47482495006346609</v>
      </c>
      <c r="BM37">
        <f t="shared" si="41"/>
        <v>0.52517504993653397</v>
      </c>
      <c r="BN37">
        <v>51</v>
      </c>
      <c r="BO37">
        <v>290.00000000000011</v>
      </c>
      <c r="BP37">
        <v>762.48</v>
      </c>
      <c r="BQ37">
        <v>295</v>
      </c>
      <c r="BR37">
        <v>7136.28</v>
      </c>
      <c r="BS37">
        <v>764.27</v>
      </c>
      <c r="BT37">
        <v>-1.79</v>
      </c>
      <c r="BU37">
        <v>300.00000000000011</v>
      </c>
      <c r="BV37">
        <v>38.200000000000003</v>
      </c>
      <c r="BW37">
        <v>840.74283702532978</v>
      </c>
      <c r="BX37">
        <v>1.383306710618855</v>
      </c>
      <c r="BY37">
        <v>-54.570620586625743</v>
      </c>
      <c r="BZ37">
        <v>0.82742240203235184</v>
      </c>
      <c r="CA37">
        <v>0.99360400479775923</v>
      </c>
      <c r="CB37">
        <v>-7.0428945494994503E-3</v>
      </c>
      <c r="CC37">
        <v>289.99999999999989</v>
      </c>
      <c r="CD37">
        <v>775.52</v>
      </c>
      <c r="CE37">
        <v>885</v>
      </c>
      <c r="CF37">
        <v>7130.08</v>
      </c>
      <c r="CG37">
        <v>764.21</v>
      </c>
      <c r="CH37">
        <v>11.31</v>
      </c>
      <c r="CV37">
        <f t="shared" si="42"/>
        <v>1800.02</v>
      </c>
      <c r="CW37">
        <f t="shared" si="43"/>
        <v>1513.2017999210007</v>
      </c>
      <c r="CX37">
        <f t="shared" si="44"/>
        <v>0.8406583259747118</v>
      </c>
      <c r="CY37">
        <f t="shared" si="45"/>
        <v>0.16087056913119394</v>
      </c>
      <c r="CZ37">
        <v>5</v>
      </c>
      <c r="DA37">
        <v>0.5</v>
      </c>
      <c r="DB37" t="s">
        <v>418</v>
      </c>
      <c r="DC37">
        <v>2</v>
      </c>
      <c r="DD37">
        <v>1700153342.5</v>
      </c>
      <c r="DE37">
        <v>443.59500000000003</v>
      </c>
      <c r="DF37">
        <v>499.93400000000003</v>
      </c>
      <c r="DG37">
        <v>27.615100000000002</v>
      </c>
      <c r="DH37">
        <v>23.706600000000002</v>
      </c>
      <c r="DI37">
        <v>442.25599999999997</v>
      </c>
      <c r="DJ37">
        <v>27.3095</v>
      </c>
      <c r="DK37">
        <v>500.17</v>
      </c>
      <c r="DL37">
        <v>99.297499999999999</v>
      </c>
      <c r="DM37">
        <v>9.9986400000000003E-2</v>
      </c>
      <c r="DN37">
        <v>29.945499999999999</v>
      </c>
      <c r="DO37">
        <v>29.913499999999999</v>
      </c>
      <c r="DP37">
        <v>999.9</v>
      </c>
      <c r="DQ37">
        <v>0</v>
      </c>
      <c r="DR37">
        <v>0</v>
      </c>
      <c r="DS37">
        <v>9992.5</v>
      </c>
      <c r="DT37">
        <v>0</v>
      </c>
      <c r="DU37">
        <v>186.15600000000001</v>
      </c>
      <c r="DV37">
        <v>-56.339199999999998</v>
      </c>
      <c r="DW37">
        <v>456.19299999999998</v>
      </c>
      <c r="DX37">
        <v>512.07399999999996</v>
      </c>
      <c r="DY37">
        <v>3.9085100000000002</v>
      </c>
      <c r="DZ37">
        <v>499.93400000000003</v>
      </c>
      <c r="EA37">
        <v>23.706600000000002</v>
      </c>
      <c r="EB37">
        <v>2.7421099999999998</v>
      </c>
      <c r="EC37">
        <v>2.3540100000000002</v>
      </c>
      <c r="ED37">
        <v>22.5397</v>
      </c>
      <c r="EE37">
        <v>20.050799999999999</v>
      </c>
      <c r="EF37">
        <v>1800.02</v>
      </c>
      <c r="EG37">
        <v>0.977993</v>
      </c>
      <c r="EH37">
        <v>2.2007200000000001E-2</v>
      </c>
      <c r="EI37">
        <v>0</v>
      </c>
      <c r="EJ37">
        <v>556.92999999999995</v>
      </c>
      <c r="EK37">
        <v>5.0001199999999999</v>
      </c>
      <c r="EL37">
        <v>10226</v>
      </c>
      <c r="EM37">
        <v>15630.1</v>
      </c>
      <c r="EN37">
        <v>52.436999999999998</v>
      </c>
      <c r="EO37">
        <v>53.561999999999998</v>
      </c>
      <c r="EP37">
        <v>53.311999999999998</v>
      </c>
      <c r="EQ37">
        <v>53.375</v>
      </c>
      <c r="ER37">
        <v>53.875</v>
      </c>
      <c r="ES37">
        <v>1755.52</v>
      </c>
      <c r="ET37">
        <v>39.5</v>
      </c>
      <c r="EU37">
        <v>0</v>
      </c>
      <c r="EV37">
        <v>247.79999995231631</v>
      </c>
      <c r="EW37">
        <v>0</v>
      </c>
      <c r="EX37">
        <v>557.03680769230778</v>
      </c>
      <c r="EY37">
        <v>1.4048888973753739</v>
      </c>
      <c r="EZ37">
        <v>31.894017099978999</v>
      </c>
      <c r="FA37">
        <v>10224.15</v>
      </c>
      <c r="FB37">
        <v>15</v>
      </c>
      <c r="FC37">
        <v>1700153166</v>
      </c>
      <c r="FD37" t="s">
        <v>514</v>
      </c>
      <c r="FE37">
        <v>1700153161</v>
      </c>
      <c r="FF37">
        <v>1700153166</v>
      </c>
      <c r="FG37">
        <v>26</v>
      </c>
      <c r="FH37">
        <v>-0.16700000000000001</v>
      </c>
      <c r="FI37">
        <v>-1.4E-2</v>
      </c>
      <c r="FJ37">
        <v>1.359</v>
      </c>
      <c r="FK37">
        <v>0.30599999999999999</v>
      </c>
      <c r="FL37">
        <v>500</v>
      </c>
      <c r="FM37">
        <v>24</v>
      </c>
      <c r="FN37">
        <v>0.04</v>
      </c>
      <c r="FO37">
        <v>0.03</v>
      </c>
      <c r="FP37">
        <v>54.529487815581817</v>
      </c>
      <c r="FQ37">
        <v>0.54869042978647431</v>
      </c>
      <c r="FR37">
        <v>5.5569015708899612E-2</v>
      </c>
      <c r="FS37">
        <v>1</v>
      </c>
      <c r="FT37">
        <v>0.26511693169655898</v>
      </c>
      <c r="FU37">
        <v>3.8042877300044263E-2</v>
      </c>
      <c r="FV37">
        <v>3.201801414829817E-3</v>
      </c>
      <c r="FW37">
        <v>1</v>
      </c>
      <c r="FX37">
        <v>2</v>
      </c>
      <c r="FY37">
        <v>2</v>
      </c>
      <c r="FZ37" t="s">
        <v>420</v>
      </c>
      <c r="GA37">
        <v>2.9121000000000001</v>
      </c>
      <c r="GB37">
        <v>2.7509199999999998</v>
      </c>
      <c r="GC37">
        <v>9.7825400000000007E-2</v>
      </c>
      <c r="GD37">
        <v>0.108899</v>
      </c>
      <c r="GE37">
        <v>0.126272</v>
      </c>
      <c r="GF37">
        <v>0.115966</v>
      </c>
      <c r="GG37">
        <v>27912.400000000001</v>
      </c>
      <c r="GH37">
        <v>27420.9</v>
      </c>
      <c r="GI37">
        <v>28187.5</v>
      </c>
      <c r="GJ37">
        <v>28144.6</v>
      </c>
      <c r="GK37">
        <v>33569.4</v>
      </c>
      <c r="GL37">
        <v>34756.699999999997</v>
      </c>
      <c r="GM37">
        <v>42351.6</v>
      </c>
      <c r="GN37">
        <v>43756.800000000003</v>
      </c>
      <c r="GO37">
        <v>1.6244000000000001</v>
      </c>
      <c r="GP37">
        <v>1.83528</v>
      </c>
      <c r="GQ37">
        <v>-2.9373900000000001E-2</v>
      </c>
      <c r="GR37">
        <v>0</v>
      </c>
      <c r="GS37">
        <v>30.391400000000001</v>
      </c>
      <c r="GT37">
        <v>999.9</v>
      </c>
      <c r="GU37">
        <v>29.3</v>
      </c>
      <c r="GV37">
        <v>45.8</v>
      </c>
      <c r="GW37">
        <v>29.637</v>
      </c>
      <c r="GX37">
        <v>61.475000000000001</v>
      </c>
      <c r="GY37">
        <v>31.061699999999998</v>
      </c>
      <c r="GZ37">
        <v>1</v>
      </c>
      <c r="HA37">
        <v>0.69054400000000005</v>
      </c>
      <c r="HB37">
        <v>3.9914499999999999</v>
      </c>
      <c r="HC37">
        <v>20.212599999999998</v>
      </c>
      <c r="HD37">
        <v>5.27494</v>
      </c>
      <c r="HE37">
        <v>12.087999999999999</v>
      </c>
      <c r="HF37">
        <v>5.0132500000000002</v>
      </c>
      <c r="HG37">
        <v>3.2919800000000001</v>
      </c>
      <c r="HH37">
        <v>9999</v>
      </c>
      <c r="HI37">
        <v>9999</v>
      </c>
      <c r="HJ37">
        <v>9999</v>
      </c>
      <c r="HK37">
        <v>999.9</v>
      </c>
      <c r="HL37">
        <v>1.87683</v>
      </c>
      <c r="HM37">
        <v>1.8775900000000001</v>
      </c>
      <c r="HN37">
        <v>1.8772800000000001</v>
      </c>
      <c r="HO37">
        <v>1.8809400000000001</v>
      </c>
      <c r="HP37">
        <v>1.87469</v>
      </c>
      <c r="HQ37">
        <v>1.8775900000000001</v>
      </c>
      <c r="HR37">
        <v>1.8775599999999999</v>
      </c>
      <c r="HS37">
        <v>1.87897</v>
      </c>
      <c r="HT37">
        <v>0</v>
      </c>
      <c r="HU37">
        <v>0</v>
      </c>
      <c r="HV37">
        <v>0</v>
      </c>
      <c r="HW37">
        <v>0</v>
      </c>
      <c r="HX37" t="s">
        <v>421</v>
      </c>
      <c r="HY37" t="s">
        <v>422</v>
      </c>
      <c r="HZ37" t="s">
        <v>423</v>
      </c>
      <c r="IA37" t="s">
        <v>424</v>
      </c>
      <c r="IB37" t="s">
        <v>424</v>
      </c>
      <c r="IC37" t="s">
        <v>423</v>
      </c>
      <c r="ID37">
        <v>0</v>
      </c>
      <c r="IE37">
        <v>100</v>
      </c>
      <c r="IF37">
        <v>100</v>
      </c>
      <c r="IG37">
        <v>1.339</v>
      </c>
      <c r="IH37">
        <v>0.30559999999999998</v>
      </c>
      <c r="II37">
        <v>1.0667679247890789</v>
      </c>
      <c r="IJ37">
        <v>8.9576739069318506E-4</v>
      </c>
      <c r="IK37">
        <v>-7.2130504814809596E-7</v>
      </c>
      <c r="IL37">
        <v>1.9987036519832741E-10</v>
      </c>
      <c r="IM37">
        <v>0.30559999999999832</v>
      </c>
      <c r="IN37">
        <v>0</v>
      </c>
      <c r="IO37">
        <v>0</v>
      </c>
      <c r="IP37">
        <v>0</v>
      </c>
      <c r="IQ37">
        <v>1</v>
      </c>
      <c r="IR37">
        <v>2126</v>
      </c>
      <c r="IS37">
        <v>0</v>
      </c>
      <c r="IT37">
        <v>20</v>
      </c>
      <c r="IU37">
        <v>3</v>
      </c>
      <c r="IV37">
        <v>2.9</v>
      </c>
      <c r="IW37">
        <v>1.25</v>
      </c>
      <c r="IX37">
        <v>2.6940900000000001</v>
      </c>
      <c r="IY37">
        <v>1.69434</v>
      </c>
      <c r="IZ37">
        <v>2.3339799999999999</v>
      </c>
      <c r="JA37">
        <v>1.5466299999999999</v>
      </c>
      <c r="JB37">
        <v>2.5</v>
      </c>
      <c r="JC37">
        <v>51.198900000000002</v>
      </c>
      <c r="JD37">
        <v>23.745999999999999</v>
      </c>
      <c r="JE37">
        <v>18</v>
      </c>
      <c r="JF37">
        <v>408.959</v>
      </c>
      <c r="JG37">
        <v>462.67599999999999</v>
      </c>
      <c r="JH37">
        <v>25.836200000000002</v>
      </c>
      <c r="JI37">
        <v>35.655200000000001</v>
      </c>
      <c r="JJ37">
        <v>29.999099999999999</v>
      </c>
      <c r="JK37">
        <v>35.590699999999998</v>
      </c>
      <c r="JL37">
        <v>35.533499999999997</v>
      </c>
      <c r="JM37">
        <v>25.091999999999999</v>
      </c>
      <c r="JN37">
        <v>9.7029599999999991</v>
      </c>
      <c r="JO37">
        <v>33.698</v>
      </c>
      <c r="JP37">
        <v>25.896699999999999</v>
      </c>
      <c r="JQ37">
        <v>500</v>
      </c>
      <c r="JR37">
        <v>23.815000000000001</v>
      </c>
      <c r="JS37">
        <v>98.742699999999999</v>
      </c>
      <c r="JT37">
        <v>98.580299999999994</v>
      </c>
    </row>
    <row r="38" spans="1:280" x14ac:dyDescent="0.25">
      <c r="A38">
        <v>22</v>
      </c>
      <c r="B38">
        <v>1700153548.5</v>
      </c>
      <c r="C38">
        <v>6018.9000000953674</v>
      </c>
      <c r="D38" t="s">
        <v>515</v>
      </c>
      <c r="E38" t="s">
        <v>516</v>
      </c>
      <c r="F38" t="s">
        <v>412</v>
      </c>
      <c r="G38" t="s">
        <v>483</v>
      </c>
      <c r="H38" t="s">
        <v>414</v>
      </c>
      <c r="I38">
        <v>1700153548.5</v>
      </c>
      <c r="J38">
        <f t="shared" si="0"/>
        <v>4.9633755169721629E-3</v>
      </c>
      <c r="K38">
        <f t="shared" si="1"/>
        <v>4.9633755169721629</v>
      </c>
      <c r="L38">
        <f t="shared" si="2"/>
        <v>50.150691488533766</v>
      </c>
      <c r="M38">
        <f t="shared" si="3"/>
        <v>348.11599999999999</v>
      </c>
      <c r="N38">
        <f t="shared" si="4"/>
        <v>98.788464366374754</v>
      </c>
      <c r="O38">
        <f t="shared" si="5"/>
        <v>9.8184561889106714</v>
      </c>
      <c r="P38">
        <f t="shared" si="6"/>
        <v>34.5987936605908</v>
      </c>
      <c r="Q38">
        <f t="shared" si="7"/>
        <v>0.34617477079168202</v>
      </c>
      <c r="R38">
        <f t="shared" si="8"/>
        <v>3.1316460399194037</v>
      </c>
      <c r="S38">
        <f t="shared" si="9"/>
        <v>0.32623404321583249</v>
      </c>
      <c r="T38">
        <f t="shared" si="10"/>
        <v>0.20559208872255627</v>
      </c>
      <c r="U38">
        <f t="shared" si="11"/>
        <v>289.55964884748715</v>
      </c>
      <c r="V38">
        <f t="shared" si="12"/>
        <v>30.498128118705498</v>
      </c>
      <c r="W38">
        <f t="shared" si="13"/>
        <v>29.959099999999999</v>
      </c>
      <c r="X38">
        <f t="shared" si="14"/>
        <v>4.2504510977895285</v>
      </c>
      <c r="Y38">
        <f t="shared" si="15"/>
        <v>65.128343963526589</v>
      </c>
      <c r="Z38">
        <f t="shared" si="16"/>
        <v>2.7919078495700402</v>
      </c>
      <c r="AA38">
        <f t="shared" si="17"/>
        <v>4.2867785048143929</v>
      </c>
      <c r="AB38">
        <f t="shared" si="18"/>
        <v>1.4585432482194882</v>
      </c>
      <c r="AC38">
        <f t="shared" si="19"/>
        <v>-218.88486029847238</v>
      </c>
      <c r="AD38">
        <f t="shared" si="20"/>
        <v>25.021095253272662</v>
      </c>
      <c r="AE38">
        <f t="shared" si="21"/>
        <v>1.7771149346974586</v>
      </c>
      <c r="AF38">
        <f t="shared" si="22"/>
        <v>97.472998736984906</v>
      </c>
      <c r="AG38">
        <v>66</v>
      </c>
      <c r="AH38">
        <v>13</v>
      </c>
      <c r="AI38">
        <f t="shared" si="23"/>
        <v>1</v>
      </c>
      <c r="AJ38">
        <f t="shared" si="24"/>
        <v>0</v>
      </c>
      <c r="AK38">
        <f t="shared" si="25"/>
        <v>51990.749834507624</v>
      </c>
      <c r="AL38" t="s">
        <v>415</v>
      </c>
      <c r="AM38">
        <v>6960.3</v>
      </c>
      <c r="AN38">
        <v>244.8124</v>
      </c>
      <c r="AO38">
        <v>892.86711584811997</v>
      </c>
      <c r="AP38">
        <f t="shared" si="26"/>
        <v>0.72581317459826411</v>
      </c>
      <c r="AQ38">
        <v>-0.43209471141234851</v>
      </c>
      <c r="AR38" t="s">
        <v>517</v>
      </c>
      <c r="AS38">
        <v>7136.87</v>
      </c>
      <c r="AT38">
        <v>560.9942400000001</v>
      </c>
      <c r="AU38">
        <v>821.69840137163135</v>
      </c>
      <c r="AV38">
        <f t="shared" si="27"/>
        <v>0.31727475791171944</v>
      </c>
      <c r="AW38">
        <v>0.5</v>
      </c>
      <c r="AX38">
        <f t="shared" si="28"/>
        <v>1513.1432999209778</v>
      </c>
      <c r="AY38">
        <f t="shared" si="29"/>
        <v>50.150691488533766</v>
      </c>
      <c r="AZ38">
        <f t="shared" si="30"/>
        <v>240.04108708408427</v>
      </c>
      <c r="BA38">
        <f t="shared" si="31"/>
        <v>3.342894635464317E-2</v>
      </c>
      <c r="BB38">
        <f t="shared" si="32"/>
        <v>8.6611723179318909E-2</v>
      </c>
      <c r="BC38">
        <f t="shared" si="33"/>
        <v>239.1335068785815</v>
      </c>
      <c r="BD38" t="s">
        <v>518</v>
      </c>
      <c r="BE38">
        <v>407.37</v>
      </c>
      <c r="BF38">
        <f t="shared" si="34"/>
        <v>407.37</v>
      </c>
      <c r="BG38">
        <f t="shared" si="35"/>
        <v>0.50423415778831737</v>
      </c>
      <c r="BH38">
        <f t="shared" si="36"/>
        <v>0.62922107320804443</v>
      </c>
      <c r="BI38">
        <f t="shared" si="37"/>
        <v>0.14658936614311963</v>
      </c>
      <c r="BJ38">
        <f t="shared" si="38"/>
        <v>0.45191625512106159</v>
      </c>
      <c r="BK38">
        <f t="shared" si="39"/>
        <v>0.10981899018102036</v>
      </c>
      <c r="BL38">
        <f t="shared" si="40"/>
        <v>0.45691340537250613</v>
      </c>
      <c r="BM38">
        <f t="shared" si="41"/>
        <v>0.54308659462749387</v>
      </c>
      <c r="BN38">
        <v>53</v>
      </c>
      <c r="BO38">
        <v>290.00000000000011</v>
      </c>
      <c r="BP38">
        <v>749.35</v>
      </c>
      <c r="BQ38">
        <v>295</v>
      </c>
      <c r="BR38">
        <v>7136.87</v>
      </c>
      <c r="BS38">
        <v>751.15</v>
      </c>
      <c r="BT38">
        <v>-1.8</v>
      </c>
      <c r="BU38">
        <v>300.00000000000011</v>
      </c>
      <c r="BV38">
        <v>38.200000000000003</v>
      </c>
      <c r="BW38">
        <v>821.69840137163135</v>
      </c>
      <c r="BX38">
        <v>1.472400632549222</v>
      </c>
      <c r="BY38">
        <v>-50.346252780193893</v>
      </c>
      <c r="BZ38">
        <v>0.88079272103655826</v>
      </c>
      <c r="CA38">
        <v>0.99150300823429882</v>
      </c>
      <c r="CB38">
        <v>-7.0434402669632811E-3</v>
      </c>
      <c r="CC38">
        <v>289.99999999999989</v>
      </c>
      <c r="CD38">
        <v>761.68</v>
      </c>
      <c r="CE38">
        <v>885</v>
      </c>
      <c r="CF38">
        <v>7130.7</v>
      </c>
      <c r="CG38">
        <v>751.09</v>
      </c>
      <c r="CH38">
        <v>10.59</v>
      </c>
      <c r="CV38">
        <f t="shared" si="42"/>
        <v>1799.95</v>
      </c>
      <c r="CW38">
        <f t="shared" si="43"/>
        <v>1513.1432999209778</v>
      </c>
      <c r="CX38">
        <f t="shared" si="44"/>
        <v>0.84065851824827231</v>
      </c>
      <c r="CY38">
        <f t="shared" si="45"/>
        <v>0.16087094021916562</v>
      </c>
      <c r="CZ38">
        <v>5</v>
      </c>
      <c r="DA38">
        <v>0.5</v>
      </c>
      <c r="DB38" t="s">
        <v>418</v>
      </c>
      <c r="DC38">
        <v>2</v>
      </c>
      <c r="DD38">
        <v>1700153548.5</v>
      </c>
      <c r="DE38">
        <v>348.11599999999999</v>
      </c>
      <c r="DF38">
        <v>399.98</v>
      </c>
      <c r="DG38">
        <v>28.090800000000002</v>
      </c>
      <c r="DH38">
        <v>23.2682</v>
      </c>
      <c r="DI38">
        <v>346.75200000000001</v>
      </c>
      <c r="DJ38">
        <v>27.790900000000001</v>
      </c>
      <c r="DK38">
        <v>500.14</v>
      </c>
      <c r="DL38">
        <v>99.288700000000006</v>
      </c>
      <c r="DM38">
        <v>9.9991300000000005E-2</v>
      </c>
      <c r="DN38">
        <v>30.107299999999999</v>
      </c>
      <c r="DO38">
        <v>29.959099999999999</v>
      </c>
      <c r="DP38">
        <v>999.9</v>
      </c>
      <c r="DQ38">
        <v>0</v>
      </c>
      <c r="DR38">
        <v>0</v>
      </c>
      <c r="DS38">
        <v>10005.6</v>
      </c>
      <c r="DT38">
        <v>0</v>
      </c>
      <c r="DU38">
        <v>162.73599999999999</v>
      </c>
      <c r="DV38">
        <v>-51.864800000000002</v>
      </c>
      <c r="DW38">
        <v>358.17700000000002</v>
      </c>
      <c r="DX38">
        <v>409.50900000000001</v>
      </c>
      <c r="DY38">
        <v>4.8225800000000003</v>
      </c>
      <c r="DZ38">
        <v>399.98</v>
      </c>
      <c r="EA38">
        <v>23.2682</v>
      </c>
      <c r="EB38">
        <v>2.7890999999999999</v>
      </c>
      <c r="EC38">
        <v>2.31027</v>
      </c>
      <c r="ED38">
        <v>22.819700000000001</v>
      </c>
      <c r="EE38">
        <v>19.748200000000001</v>
      </c>
      <c r="EF38">
        <v>1799.95</v>
      </c>
      <c r="EG38">
        <v>0.977989</v>
      </c>
      <c r="EH38">
        <v>2.2010700000000001E-2</v>
      </c>
      <c r="EI38">
        <v>0</v>
      </c>
      <c r="EJ38">
        <v>561.173</v>
      </c>
      <c r="EK38">
        <v>5.0001199999999999</v>
      </c>
      <c r="EL38">
        <v>10262.799999999999</v>
      </c>
      <c r="EM38">
        <v>15629.5</v>
      </c>
      <c r="EN38">
        <v>52.25</v>
      </c>
      <c r="EO38">
        <v>53.436999999999998</v>
      </c>
      <c r="EP38">
        <v>53.25</v>
      </c>
      <c r="EQ38">
        <v>53.311999999999998</v>
      </c>
      <c r="ER38">
        <v>53.75</v>
      </c>
      <c r="ES38">
        <v>1755.44</v>
      </c>
      <c r="ET38">
        <v>39.51</v>
      </c>
      <c r="EU38">
        <v>0</v>
      </c>
      <c r="EV38">
        <v>204</v>
      </c>
      <c r="EW38">
        <v>0</v>
      </c>
      <c r="EX38">
        <v>560.9942400000001</v>
      </c>
      <c r="EY38">
        <v>4.7076938649998852E-2</v>
      </c>
      <c r="EZ38">
        <v>-38.276923138308518</v>
      </c>
      <c r="FA38">
        <v>10271.451999999999</v>
      </c>
      <c r="FB38">
        <v>15</v>
      </c>
      <c r="FC38">
        <v>1700153418</v>
      </c>
      <c r="FD38" t="s">
        <v>519</v>
      </c>
      <c r="FE38">
        <v>1700153416.5</v>
      </c>
      <c r="FF38">
        <v>1700153418</v>
      </c>
      <c r="FG38">
        <v>27</v>
      </c>
      <c r="FH38">
        <v>6.5000000000000002E-2</v>
      </c>
      <c r="FI38">
        <v>-6.0000000000000001E-3</v>
      </c>
      <c r="FJ38">
        <v>1.387</v>
      </c>
      <c r="FK38">
        <v>0.3</v>
      </c>
      <c r="FL38">
        <v>400</v>
      </c>
      <c r="FM38">
        <v>24</v>
      </c>
      <c r="FN38">
        <v>0.06</v>
      </c>
      <c r="FO38">
        <v>0.03</v>
      </c>
      <c r="FP38">
        <v>50.123813856553362</v>
      </c>
      <c r="FQ38">
        <v>9.9817595059658634E-2</v>
      </c>
      <c r="FR38">
        <v>4.6990972356643262E-2</v>
      </c>
      <c r="FS38">
        <v>1</v>
      </c>
      <c r="FT38">
        <v>0.34506233799308872</v>
      </c>
      <c r="FU38">
        <v>4.1451190989512818E-2</v>
      </c>
      <c r="FV38">
        <v>3.803756583332265E-3</v>
      </c>
      <c r="FW38">
        <v>1</v>
      </c>
      <c r="FX38">
        <v>2</v>
      </c>
      <c r="FY38">
        <v>2</v>
      </c>
      <c r="FZ38" t="s">
        <v>420</v>
      </c>
      <c r="GA38">
        <v>2.9119899999999999</v>
      </c>
      <c r="GB38">
        <v>2.7510400000000002</v>
      </c>
      <c r="GC38">
        <v>8.1013799999999997E-2</v>
      </c>
      <c r="GD38">
        <v>9.2114299999999996E-2</v>
      </c>
      <c r="GE38">
        <v>0.12778999999999999</v>
      </c>
      <c r="GF38">
        <v>0.11446199999999999</v>
      </c>
      <c r="GG38">
        <v>28434.400000000001</v>
      </c>
      <c r="GH38">
        <v>27939.4</v>
      </c>
      <c r="GI38">
        <v>28189.599999999999</v>
      </c>
      <c r="GJ38">
        <v>28146.799999999999</v>
      </c>
      <c r="GK38">
        <v>33513.699999999997</v>
      </c>
      <c r="GL38">
        <v>34818.400000000001</v>
      </c>
      <c r="GM38">
        <v>42354.7</v>
      </c>
      <c r="GN38">
        <v>43759.8</v>
      </c>
      <c r="GO38">
        <v>1.6273</v>
      </c>
      <c r="GP38">
        <v>1.8333999999999999</v>
      </c>
      <c r="GQ38">
        <v>1.76951E-3</v>
      </c>
      <c r="GR38">
        <v>0</v>
      </c>
      <c r="GS38">
        <v>29.930299999999999</v>
      </c>
      <c r="GT38">
        <v>999.9</v>
      </c>
      <c r="GU38">
        <v>28.8</v>
      </c>
      <c r="GV38">
        <v>45.9</v>
      </c>
      <c r="GW38">
        <v>29.280899999999999</v>
      </c>
      <c r="GX38">
        <v>61.064999999999998</v>
      </c>
      <c r="GY38">
        <v>31.254000000000001</v>
      </c>
      <c r="GZ38">
        <v>1</v>
      </c>
      <c r="HA38">
        <v>0.68341499999999999</v>
      </c>
      <c r="HB38">
        <v>2.7633100000000002</v>
      </c>
      <c r="HC38">
        <v>20.238499999999998</v>
      </c>
      <c r="HD38">
        <v>5.2759900000000002</v>
      </c>
      <c r="HE38">
        <v>12.0878</v>
      </c>
      <c r="HF38">
        <v>5.0129999999999999</v>
      </c>
      <c r="HG38">
        <v>3.2919800000000001</v>
      </c>
      <c r="HH38">
        <v>9999</v>
      </c>
      <c r="HI38">
        <v>9999</v>
      </c>
      <c r="HJ38">
        <v>9999</v>
      </c>
      <c r="HK38">
        <v>999.9</v>
      </c>
      <c r="HL38">
        <v>1.8768400000000001</v>
      </c>
      <c r="HM38">
        <v>1.8775900000000001</v>
      </c>
      <c r="HN38">
        <v>1.87727</v>
      </c>
      <c r="HO38">
        <v>1.8809499999999999</v>
      </c>
      <c r="HP38">
        <v>1.87469</v>
      </c>
      <c r="HQ38">
        <v>1.8775900000000001</v>
      </c>
      <c r="HR38">
        <v>1.8775900000000001</v>
      </c>
      <c r="HS38">
        <v>1.87897</v>
      </c>
      <c r="HT38">
        <v>0</v>
      </c>
      <c r="HU38">
        <v>0</v>
      </c>
      <c r="HV38">
        <v>0</v>
      </c>
      <c r="HW38">
        <v>0</v>
      </c>
      <c r="HX38" t="s">
        <v>421</v>
      </c>
      <c r="HY38" t="s">
        <v>422</v>
      </c>
      <c r="HZ38" t="s">
        <v>423</v>
      </c>
      <c r="IA38" t="s">
        <v>424</v>
      </c>
      <c r="IB38" t="s">
        <v>424</v>
      </c>
      <c r="IC38" t="s">
        <v>423</v>
      </c>
      <c r="ID38">
        <v>0</v>
      </c>
      <c r="IE38">
        <v>100</v>
      </c>
      <c r="IF38">
        <v>100</v>
      </c>
      <c r="IG38">
        <v>1.3640000000000001</v>
      </c>
      <c r="IH38">
        <v>0.2999</v>
      </c>
      <c r="II38">
        <v>1.131542364292252</v>
      </c>
      <c r="IJ38">
        <v>8.9576739069318506E-4</v>
      </c>
      <c r="IK38">
        <v>-7.2130504814809596E-7</v>
      </c>
      <c r="IL38">
        <v>1.9987036519832741E-10</v>
      </c>
      <c r="IM38">
        <v>0.29988500000000329</v>
      </c>
      <c r="IN38">
        <v>0</v>
      </c>
      <c r="IO38">
        <v>0</v>
      </c>
      <c r="IP38">
        <v>0</v>
      </c>
      <c r="IQ38">
        <v>1</v>
      </c>
      <c r="IR38">
        <v>2126</v>
      </c>
      <c r="IS38">
        <v>0</v>
      </c>
      <c r="IT38">
        <v>20</v>
      </c>
      <c r="IU38">
        <v>2.2000000000000002</v>
      </c>
      <c r="IV38">
        <v>2.2000000000000002</v>
      </c>
      <c r="IW38">
        <v>1.0449200000000001</v>
      </c>
      <c r="IX38">
        <v>2.6928700000000001</v>
      </c>
      <c r="IY38">
        <v>1.69434</v>
      </c>
      <c r="IZ38">
        <v>2.3327599999999999</v>
      </c>
      <c r="JA38">
        <v>1.54541</v>
      </c>
      <c r="JB38">
        <v>2.5134300000000001</v>
      </c>
      <c r="JC38">
        <v>51.165799999999997</v>
      </c>
      <c r="JD38">
        <v>23.754799999999999</v>
      </c>
      <c r="JE38">
        <v>18</v>
      </c>
      <c r="JF38">
        <v>410.96199999999999</v>
      </c>
      <c r="JG38">
        <v>461.34800000000001</v>
      </c>
      <c r="JH38">
        <v>26.905100000000001</v>
      </c>
      <c r="JI38">
        <v>35.675800000000002</v>
      </c>
      <c r="JJ38">
        <v>29.9998</v>
      </c>
      <c r="JK38">
        <v>35.587499999999999</v>
      </c>
      <c r="JL38">
        <v>35.527000000000001</v>
      </c>
      <c r="JM38">
        <v>20.998100000000001</v>
      </c>
      <c r="JN38">
        <v>11.291600000000001</v>
      </c>
      <c r="JO38">
        <v>32.270800000000001</v>
      </c>
      <c r="JP38">
        <v>26.924499999999998</v>
      </c>
      <c r="JQ38">
        <v>400</v>
      </c>
      <c r="JR38">
        <v>23.139900000000001</v>
      </c>
      <c r="JS38">
        <v>98.750200000000007</v>
      </c>
      <c r="JT38">
        <v>98.587500000000006</v>
      </c>
    </row>
    <row r="39" spans="1:280" x14ac:dyDescent="0.25">
      <c r="A39">
        <v>23</v>
      </c>
      <c r="B39">
        <v>1700153710.0999999</v>
      </c>
      <c r="C39">
        <v>6180.5</v>
      </c>
      <c r="D39" t="s">
        <v>520</v>
      </c>
      <c r="E39" t="s">
        <v>521</v>
      </c>
      <c r="F39" t="s">
        <v>412</v>
      </c>
      <c r="G39" t="s">
        <v>483</v>
      </c>
      <c r="H39" t="s">
        <v>414</v>
      </c>
      <c r="I39">
        <v>1700153710.0999999</v>
      </c>
      <c r="J39">
        <f t="shared" si="0"/>
        <v>5.5615085078294917E-3</v>
      </c>
      <c r="K39">
        <f t="shared" si="1"/>
        <v>5.5615085078294921</v>
      </c>
      <c r="L39">
        <f t="shared" si="2"/>
        <v>41.975322074010066</v>
      </c>
      <c r="M39">
        <f t="shared" si="3"/>
        <v>256.58600000000001</v>
      </c>
      <c r="N39">
        <f t="shared" si="4"/>
        <v>74.479129638600043</v>
      </c>
      <c r="O39">
        <f t="shared" si="5"/>
        <v>7.4017807548159409</v>
      </c>
      <c r="P39">
        <f t="shared" si="6"/>
        <v>25.499671196089203</v>
      </c>
      <c r="Q39">
        <f t="shared" si="7"/>
        <v>0.39966659390594644</v>
      </c>
      <c r="R39">
        <f t="shared" si="8"/>
        <v>3.1307613990832994</v>
      </c>
      <c r="S39">
        <f t="shared" si="9"/>
        <v>0.37333166420639474</v>
      </c>
      <c r="T39">
        <f t="shared" si="10"/>
        <v>0.23555362165329824</v>
      </c>
      <c r="U39">
        <f t="shared" si="11"/>
        <v>289.57010084764829</v>
      </c>
      <c r="V39">
        <f t="shared" si="12"/>
        <v>30.418872651685305</v>
      </c>
      <c r="W39">
        <f t="shared" si="13"/>
        <v>29.9419</v>
      </c>
      <c r="X39">
        <f t="shared" si="14"/>
        <v>4.2462523885643355</v>
      </c>
      <c r="Y39">
        <f t="shared" si="15"/>
        <v>65.496041804827982</v>
      </c>
      <c r="Z39">
        <f t="shared" si="16"/>
        <v>2.8184040642113399</v>
      </c>
      <c r="AA39">
        <f t="shared" si="17"/>
        <v>4.3031670106262574</v>
      </c>
      <c r="AB39">
        <f t="shared" si="18"/>
        <v>1.4278483243529956</v>
      </c>
      <c r="AC39">
        <f t="shared" si="19"/>
        <v>-245.26252519528057</v>
      </c>
      <c r="AD39">
        <f t="shared" si="20"/>
        <v>39.14138262213708</v>
      </c>
      <c r="AE39">
        <f t="shared" si="21"/>
        <v>2.7814680583916807</v>
      </c>
      <c r="AF39">
        <f t="shared" si="22"/>
        <v>86.230426332896485</v>
      </c>
      <c r="AG39">
        <v>66</v>
      </c>
      <c r="AH39">
        <v>13</v>
      </c>
      <c r="AI39">
        <f t="shared" si="23"/>
        <v>1</v>
      </c>
      <c r="AJ39">
        <f t="shared" si="24"/>
        <v>0</v>
      </c>
      <c r="AK39">
        <f t="shared" si="25"/>
        <v>51956.724852471372</v>
      </c>
      <c r="AL39" t="s">
        <v>427</v>
      </c>
      <c r="AM39" t="s">
        <v>427</v>
      </c>
      <c r="AN39">
        <v>0</v>
      </c>
      <c r="AO39">
        <v>0</v>
      </c>
      <c r="AP39" t="e">
        <f t="shared" si="26"/>
        <v>#DIV/0!</v>
      </c>
      <c r="AQ39">
        <v>0</v>
      </c>
      <c r="AR39" t="s">
        <v>427</v>
      </c>
      <c r="AS39" t="s">
        <v>427</v>
      </c>
      <c r="AT39">
        <v>0</v>
      </c>
      <c r="AU39">
        <v>0</v>
      </c>
      <c r="AV39" t="e">
        <f t="shared" si="27"/>
        <v>#DIV/0!</v>
      </c>
      <c r="AW39">
        <v>0.5</v>
      </c>
      <c r="AX39">
        <f t="shared" si="28"/>
        <v>1513.2092999210611</v>
      </c>
      <c r="AY39">
        <f t="shared" si="29"/>
        <v>41.975322074010066</v>
      </c>
      <c r="AZ39" t="e">
        <f t="shared" si="30"/>
        <v>#DIV/0!</v>
      </c>
      <c r="BA39">
        <f t="shared" si="31"/>
        <v>2.7739270487036904E-2</v>
      </c>
      <c r="BB39" t="e">
        <f t="shared" si="32"/>
        <v>#DIV/0!</v>
      </c>
      <c r="BC39" t="e">
        <f t="shared" si="33"/>
        <v>#DIV/0!</v>
      </c>
      <c r="BD39" t="s">
        <v>427</v>
      </c>
      <c r="BE39">
        <v>0</v>
      </c>
      <c r="BF39" t="e">
        <f t="shared" si="34"/>
        <v>#DIV/0!</v>
      </c>
      <c r="BG39" t="e">
        <f t="shared" si="35"/>
        <v>#DIV/0!</v>
      </c>
      <c r="BH39" t="e">
        <f t="shared" si="36"/>
        <v>#DIV/0!</v>
      </c>
      <c r="BI39" t="e">
        <f t="shared" si="37"/>
        <v>#DIV/0!</v>
      </c>
      <c r="BJ39" t="e">
        <f t="shared" si="38"/>
        <v>#DIV/0!</v>
      </c>
      <c r="BK39" t="e">
        <f t="shared" si="39"/>
        <v>#DIV/0!</v>
      </c>
      <c r="BL39" t="e">
        <f t="shared" si="40"/>
        <v>#DIV/0!</v>
      </c>
      <c r="BM39" t="e">
        <f t="shared" si="41"/>
        <v>#DIV/0!</v>
      </c>
      <c r="BN39">
        <v>53</v>
      </c>
      <c r="BO39">
        <v>290.00000000000011</v>
      </c>
      <c r="BP39">
        <v>749.35</v>
      </c>
      <c r="BQ39">
        <v>295</v>
      </c>
      <c r="BR39">
        <v>7136.87</v>
      </c>
      <c r="BS39">
        <v>751.15</v>
      </c>
      <c r="BT39">
        <v>-1.8</v>
      </c>
      <c r="BU39">
        <v>300.00000000000011</v>
      </c>
      <c r="BV39">
        <v>38.200000000000003</v>
      </c>
      <c r="BW39">
        <v>821.69840137163135</v>
      </c>
      <c r="BX39">
        <v>1.472400632549222</v>
      </c>
      <c r="BY39">
        <v>-50.346252780193893</v>
      </c>
      <c r="BZ39">
        <v>0.88079272103655826</v>
      </c>
      <c r="CA39">
        <v>0.99150300823429882</v>
      </c>
      <c r="CB39">
        <v>-7.0434402669632811E-3</v>
      </c>
      <c r="CC39">
        <v>289.99999999999989</v>
      </c>
      <c r="CD39">
        <v>761.68</v>
      </c>
      <c r="CE39">
        <v>885</v>
      </c>
      <c r="CF39">
        <v>7130.7</v>
      </c>
      <c r="CG39">
        <v>751.09</v>
      </c>
      <c r="CH39">
        <v>10.59</v>
      </c>
      <c r="CV39">
        <f t="shared" si="42"/>
        <v>1800.03</v>
      </c>
      <c r="CW39">
        <f t="shared" si="43"/>
        <v>1513.2092999210611</v>
      </c>
      <c r="CX39">
        <f t="shared" si="44"/>
        <v>0.84065782232577302</v>
      </c>
      <c r="CY39">
        <f t="shared" si="45"/>
        <v>0.16086959708874202</v>
      </c>
      <c r="CZ39">
        <v>5</v>
      </c>
      <c r="DA39">
        <v>0.5</v>
      </c>
      <c r="DB39" t="s">
        <v>418</v>
      </c>
      <c r="DC39">
        <v>2</v>
      </c>
      <c r="DD39">
        <v>1700153710.0999999</v>
      </c>
      <c r="DE39">
        <v>256.58600000000001</v>
      </c>
      <c r="DF39">
        <v>299.97800000000001</v>
      </c>
      <c r="DG39">
        <v>28.3597</v>
      </c>
      <c r="DH39">
        <v>22.9572</v>
      </c>
      <c r="DI39">
        <v>255.3</v>
      </c>
      <c r="DJ39">
        <v>28.062999999999999</v>
      </c>
      <c r="DK39">
        <v>500.11900000000003</v>
      </c>
      <c r="DL39">
        <v>99.280699999999996</v>
      </c>
      <c r="DM39">
        <v>9.9902199999999997E-2</v>
      </c>
      <c r="DN39">
        <v>30.1738</v>
      </c>
      <c r="DO39">
        <v>29.9419</v>
      </c>
      <c r="DP39">
        <v>999.9</v>
      </c>
      <c r="DQ39">
        <v>0</v>
      </c>
      <c r="DR39">
        <v>0</v>
      </c>
      <c r="DS39">
        <v>10001.9</v>
      </c>
      <c r="DT39">
        <v>0</v>
      </c>
      <c r="DU39">
        <v>140.084</v>
      </c>
      <c r="DV39">
        <v>-43.3917</v>
      </c>
      <c r="DW39">
        <v>264.07499999999999</v>
      </c>
      <c r="DX39">
        <v>307.02600000000001</v>
      </c>
      <c r="DY39">
        <v>5.4024700000000001</v>
      </c>
      <c r="DZ39">
        <v>299.97800000000001</v>
      </c>
      <c r="EA39">
        <v>22.9572</v>
      </c>
      <c r="EB39">
        <v>2.8155700000000001</v>
      </c>
      <c r="EC39">
        <v>2.27921</v>
      </c>
      <c r="ED39">
        <v>22.9757</v>
      </c>
      <c r="EE39">
        <v>19.530200000000001</v>
      </c>
      <c r="EF39">
        <v>1800.03</v>
      </c>
      <c r="EG39">
        <v>0.97801000000000005</v>
      </c>
      <c r="EH39">
        <v>2.1990200000000001E-2</v>
      </c>
      <c r="EI39">
        <v>0</v>
      </c>
      <c r="EJ39">
        <v>571.01900000000001</v>
      </c>
      <c r="EK39">
        <v>5.0001199999999999</v>
      </c>
      <c r="EL39">
        <v>10412.200000000001</v>
      </c>
      <c r="EM39">
        <v>15630.3</v>
      </c>
      <c r="EN39">
        <v>52.125</v>
      </c>
      <c r="EO39">
        <v>53.25</v>
      </c>
      <c r="EP39">
        <v>53.061999999999998</v>
      </c>
      <c r="EQ39">
        <v>53.125</v>
      </c>
      <c r="ER39">
        <v>53.561999999999998</v>
      </c>
      <c r="ES39">
        <v>1755.56</v>
      </c>
      <c r="ET39">
        <v>39.47</v>
      </c>
      <c r="EU39">
        <v>0</v>
      </c>
      <c r="EV39">
        <v>159.79999995231631</v>
      </c>
      <c r="EW39">
        <v>0</v>
      </c>
      <c r="EX39">
        <v>571.34934615384611</v>
      </c>
      <c r="EY39">
        <v>-1.8001025727146731</v>
      </c>
      <c r="EZ39">
        <v>-67.664957168987158</v>
      </c>
      <c r="FA39">
        <v>10419.030769230771</v>
      </c>
      <c r="FB39">
        <v>15</v>
      </c>
      <c r="FC39">
        <v>1700153655.0999999</v>
      </c>
      <c r="FD39" t="s">
        <v>522</v>
      </c>
      <c r="FE39">
        <v>1700153655.0999999</v>
      </c>
      <c r="FF39">
        <v>1700153653.0999999</v>
      </c>
      <c r="FG39">
        <v>28</v>
      </c>
      <c r="FH39">
        <v>-3.1E-2</v>
      </c>
      <c r="FI39">
        <v>-3.0000000000000001E-3</v>
      </c>
      <c r="FJ39">
        <v>1.3089999999999999</v>
      </c>
      <c r="FK39">
        <v>0.29699999999999999</v>
      </c>
      <c r="FL39">
        <v>300</v>
      </c>
      <c r="FM39">
        <v>24</v>
      </c>
      <c r="FN39">
        <v>0.04</v>
      </c>
      <c r="FO39">
        <v>0.03</v>
      </c>
      <c r="FP39">
        <v>41.848665691083973</v>
      </c>
      <c r="FQ39">
        <v>0.67997649010393602</v>
      </c>
      <c r="FR39">
        <v>6.6404669010580994E-2</v>
      </c>
      <c r="FS39">
        <v>1</v>
      </c>
      <c r="FT39">
        <v>0.40043983189301458</v>
      </c>
      <c r="FU39">
        <v>-2.988393739652553E-2</v>
      </c>
      <c r="FV39">
        <v>2.4587344203358648E-3</v>
      </c>
      <c r="FW39">
        <v>1</v>
      </c>
      <c r="FX39">
        <v>2</v>
      </c>
      <c r="FY39">
        <v>2</v>
      </c>
      <c r="FZ39" t="s">
        <v>420</v>
      </c>
      <c r="GA39">
        <v>2.9117999999999999</v>
      </c>
      <c r="GB39">
        <v>2.7509199999999998</v>
      </c>
      <c r="GC39">
        <v>6.3004599999999994E-2</v>
      </c>
      <c r="GD39">
        <v>7.3332400000000006E-2</v>
      </c>
      <c r="GE39">
        <v>0.12862599999999999</v>
      </c>
      <c r="GF39">
        <v>0.113375</v>
      </c>
      <c r="GG39">
        <v>28987.8</v>
      </c>
      <c r="GH39">
        <v>28515</v>
      </c>
      <c r="GI39">
        <v>28186.6</v>
      </c>
      <c r="GJ39">
        <v>28145.1</v>
      </c>
      <c r="GK39">
        <v>33478.199999999997</v>
      </c>
      <c r="GL39">
        <v>34859.199999999997</v>
      </c>
      <c r="GM39">
        <v>42350.1</v>
      </c>
      <c r="GN39">
        <v>43757</v>
      </c>
      <c r="GO39">
        <v>1.6284700000000001</v>
      </c>
      <c r="GP39">
        <v>1.83148</v>
      </c>
      <c r="GQ39">
        <v>3.5203999999999999E-3</v>
      </c>
      <c r="GR39">
        <v>0</v>
      </c>
      <c r="GS39">
        <v>29.884599999999999</v>
      </c>
      <c r="GT39">
        <v>999.9</v>
      </c>
      <c r="GU39">
        <v>28.5</v>
      </c>
      <c r="GV39">
        <v>46</v>
      </c>
      <c r="GW39">
        <v>29.128299999999999</v>
      </c>
      <c r="GX39">
        <v>61.569499999999998</v>
      </c>
      <c r="GY39">
        <v>30.404599999999999</v>
      </c>
      <c r="GZ39">
        <v>1</v>
      </c>
      <c r="HA39">
        <v>0.68818599999999996</v>
      </c>
      <c r="HB39">
        <v>2.7080500000000001</v>
      </c>
      <c r="HC39">
        <v>20.2392</v>
      </c>
      <c r="HD39">
        <v>5.2768899999999999</v>
      </c>
      <c r="HE39">
        <v>12.0878</v>
      </c>
      <c r="HF39">
        <v>5.0136000000000003</v>
      </c>
      <c r="HG39">
        <v>3.2919999999999998</v>
      </c>
      <c r="HH39">
        <v>9999</v>
      </c>
      <c r="HI39">
        <v>9999</v>
      </c>
      <c r="HJ39">
        <v>9999</v>
      </c>
      <c r="HK39">
        <v>999.9</v>
      </c>
      <c r="HL39">
        <v>1.8768499999999999</v>
      </c>
      <c r="HM39">
        <v>1.8775900000000001</v>
      </c>
      <c r="HN39">
        <v>1.87727</v>
      </c>
      <c r="HO39">
        <v>1.8809499999999999</v>
      </c>
      <c r="HP39">
        <v>1.87469</v>
      </c>
      <c r="HQ39">
        <v>1.8775900000000001</v>
      </c>
      <c r="HR39">
        <v>1.8775900000000001</v>
      </c>
      <c r="HS39">
        <v>1.879</v>
      </c>
      <c r="HT39">
        <v>0</v>
      </c>
      <c r="HU39">
        <v>0</v>
      </c>
      <c r="HV39">
        <v>0</v>
      </c>
      <c r="HW39">
        <v>0</v>
      </c>
      <c r="HX39" t="s">
        <v>421</v>
      </c>
      <c r="HY39" t="s">
        <v>422</v>
      </c>
      <c r="HZ39" t="s">
        <v>423</v>
      </c>
      <c r="IA39" t="s">
        <v>424</v>
      </c>
      <c r="IB39" t="s">
        <v>424</v>
      </c>
      <c r="IC39" t="s">
        <v>423</v>
      </c>
      <c r="ID39">
        <v>0</v>
      </c>
      <c r="IE39">
        <v>100</v>
      </c>
      <c r="IF39">
        <v>100</v>
      </c>
      <c r="IG39">
        <v>1.286</v>
      </c>
      <c r="IH39">
        <v>0.29670000000000002</v>
      </c>
      <c r="II39">
        <v>1.100620969913277</v>
      </c>
      <c r="IJ39">
        <v>8.9576739069318506E-4</v>
      </c>
      <c r="IK39">
        <v>-7.2130504814809596E-7</v>
      </c>
      <c r="IL39">
        <v>1.9987036519832741E-10</v>
      </c>
      <c r="IM39">
        <v>0.29673999999999978</v>
      </c>
      <c r="IN39">
        <v>0</v>
      </c>
      <c r="IO39">
        <v>0</v>
      </c>
      <c r="IP39">
        <v>0</v>
      </c>
      <c r="IQ39">
        <v>1</v>
      </c>
      <c r="IR39">
        <v>2126</v>
      </c>
      <c r="IS39">
        <v>0</v>
      </c>
      <c r="IT39">
        <v>20</v>
      </c>
      <c r="IU39">
        <v>0.9</v>
      </c>
      <c r="IV39">
        <v>0.9</v>
      </c>
      <c r="IW39">
        <v>0.83252000000000004</v>
      </c>
      <c r="IX39">
        <v>2.6965300000000001</v>
      </c>
      <c r="IY39">
        <v>1.69434</v>
      </c>
      <c r="IZ39">
        <v>2.3339799999999999</v>
      </c>
      <c r="JA39">
        <v>1.54541</v>
      </c>
      <c r="JB39">
        <v>2.5293000000000001</v>
      </c>
      <c r="JC39">
        <v>51.198900000000002</v>
      </c>
      <c r="JD39">
        <v>23.763500000000001</v>
      </c>
      <c r="JE39">
        <v>18</v>
      </c>
      <c r="JF39">
        <v>412.108</v>
      </c>
      <c r="JG39">
        <v>460.32900000000001</v>
      </c>
      <c r="JH39">
        <v>27.150700000000001</v>
      </c>
      <c r="JI39">
        <v>35.737200000000001</v>
      </c>
      <c r="JJ39">
        <v>30.0002</v>
      </c>
      <c r="JK39">
        <v>35.633400000000002</v>
      </c>
      <c r="JL39">
        <v>35.566899999999997</v>
      </c>
      <c r="JM39">
        <v>16.747499999999999</v>
      </c>
      <c r="JN39">
        <v>12.2622</v>
      </c>
      <c r="JO39">
        <v>31.1767</v>
      </c>
      <c r="JP39">
        <v>27.168500000000002</v>
      </c>
      <c r="JQ39">
        <v>300</v>
      </c>
      <c r="JR39">
        <v>22.752199999999998</v>
      </c>
      <c r="JS39">
        <v>98.739500000000007</v>
      </c>
      <c r="JT39">
        <v>98.581400000000002</v>
      </c>
    </row>
    <row r="40" spans="1:280" x14ac:dyDescent="0.25">
      <c r="A40">
        <v>24</v>
      </c>
      <c r="B40">
        <v>1700153874.0999999</v>
      </c>
      <c r="C40">
        <v>6344.5</v>
      </c>
      <c r="D40" t="s">
        <v>523</v>
      </c>
      <c r="E40" t="s">
        <v>524</v>
      </c>
      <c r="F40" t="s">
        <v>412</v>
      </c>
      <c r="G40" t="s">
        <v>483</v>
      </c>
      <c r="H40" t="s">
        <v>414</v>
      </c>
      <c r="I40">
        <v>1700153874.0999999</v>
      </c>
      <c r="J40">
        <f t="shared" si="0"/>
        <v>6.2168671324209059E-3</v>
      </c>
      <c r="K40">
        <f t="shared" si="1"/>
        <v>6.2168671324209059</v>
      </c>
      <c r="L40">
        <f t="shared" si="2"/>
        <v>31.467864178256594</v>
      </c>
      <c r="M40">
        <f t="shared" si="3"/>
        <v>167.49199999999999</v>
      </c>
      <c r="N40">
        <f t="shared" si="4"/>
        <v>44.552847529741243</v>
      </c>
      <c r="O40">
        <f t="shared" si="5"/>
        <v>4.4272428120397018</v>
      </c>
      <c r="P40">
        <f t="shared" si="6"/>
        <v>16.643779111518</v>
      </c>
      <c r="Q40">
        <f t="shared" si="7"/>
        <v>0.44632312054538675</v>
      </c>
      <c r="R40">
        <f t="shared" si="8"/>
        <v>3.131289943421466</v>
      </c>
      <c r="S40">
        <f t="shared" si="9"/>
        <v>0.41375436828959217</v>
      </c>
      <c r="T40">
        <f t="shared" si="10"/>
        <v>0.26132432877827205</v>
      </c>
      <c r="U40">
        <f t="shared" si="11"/>
        <v>289.53498884762968</v>
      </c>
      <c r="V40">
        <f t="shared" si="12"/>
        <v>30.422797843065073</v>
      </c>
      <c r="W40">
        <f t="shared" si="13"/>
        <v>29.995000000000001</v>
      </c>
      <c r="X40">
        <f t="shared" si="14"/>
        <v>4.2592263418216714</v>
      </c>
      <c r="Y40">
        <f t="shared" si="15"/>
        <v>64.904032394913699</v>
      </c>
      <c r="Z40">
        <f t="shared" si="16"/>
        <v>2.8193126108605502</v>
      </c>
      <c r="AA40">
        <f t="shared" si="17"/>
        <v>4.3438173358878851</v>
      </c>
      <c r="AB40">
        <f t="shared" si="18"/>
        <v>1.4399137309611212</v>
      </c>
      <c r="AC40">
        <f t="shared" si="19"/>
        <v>-274.16384053976196</v>
      </c>
      <c r="AD40">
        <f t="shared" si="20"/>
        <v>57.869474655714292</v>
      </c>
      <c r="AE40">
        <f t="shared" si="21"/>
        <v>4.1160515307678027</v>
      </c>
      <c r="AF40">
        <f t="shared" si="22"/>
        <v>77.356674494349789</v>
      </c>
      <c r="AG40">
        <v>67</v>
      </c>
      <c r="AH40">
        <v>13</v>
      </c>
      <c r="AI40">
        <f t="shared" si="23"/>
        <v>1</v>
      </c>
      <c r="AJ40">
        <f t="shared" si="24"/>
        <v>0</v>
      </c>
      <c r="AK40">
        <f t="shared" si="25"/>
        <v>51941.82494411341</v>
      </c>
      <c r="AL40" t="s">
        <v>415</v>
      </c>
      <c r="AM40">
        <v>6960.3</v>
      </c>
      <c r="AN40">
        <v>244.8124</v>
      </c>
      <c r="AO40">
        <v>892.86711584811997</v>
      </c>
      <c r="AP40">
        <f t="shared" si="26"/>
        <v>0.72581317459826411</v>
      </c>
      <c r="AQ40">
        <v>-0.43209471141234851</v>
      </c>
      <c r="AR40" t="s">
        <v>525</v>
      </c>
      <c r="AS40">
        <v>7137.9</v>
      </c>
      <c r="AT40">
        <v>592.04552000000001</v>
      </c>
      <c r="AU40">
        <v>758.18061711808173</v>
      </c>
      <c r="AV40">
        <f t="shared" si="27"/>
        <v>0.21912337689346029</v>
      </c>
      <c r="AW40">
        <v>0.5</v>
      </c>
      <c r="AX40">
        <f t="shared" si="28"/>
        <v>1513.0244999210515</v>
      </c>
      <c r="AY40">
        <f t="shared" si="29"/>
        <v>31.467864178256594</v>
      </c>
      <c r="AZ40">
        <f t="shared" si="30"/>
        <v>165.76951887261993</v>
      </c>
      <c r="BA40">
        <f t="shared" si="31"/>
        <v>2.1083570617219653E-2</v>
      </c>
      <c r="BB40">
        <f t="shared" si="32"/>
        <v>0.17764434448613936</v>
      </c>
      <c r="BC40">
        <f t="shared" si="33"/>
        <v>233.44196950897265</v>
      </c>
      <c r="BD40" t="s">
        <v>526</v>
      </c>
      <c r="BE40">
        <v>409.63</v>
      </c>
      <c r="BF40">
        <f t="shared" si="34"/>
        <v>409.63</v>
      </c>
      <c r="BG40">
        <f t="shared" si="35"/>
        <v>0.4597197676233884</v>
      </c>
      <c r="BH40">
        <f t="shared" si="36"/>
        <v>0.47664554001291176</v>
      </c>
      <c r="BI40">
        <f t="shared" si="37"/>
        <v>0.27871720592830002</v>
      </c>
      <c r="BJ40">
        <f t="shared" si="38"/>
        <v>0.32361780799505235</v>
      </c>
      <c r="BK40">
        <f t="shared" si="39"/>
        <v>0.20783198615223683</v>
      </c>
      <c r="BL40">
        <f t="shared" si="40"/>
        <v>0.32978598090817246</v>
      </c>
      <c r="BM40">
        <f t="shared" si="41"/>
        <v>0.67021401909182754</v>
      </c>
      <c r="BN40">
        <v>55</v>
      </c>
      <c r="BO40">
        <v>290.00000000000011</v>
      </c>
      <c r="BP40">
        <v>711.25</v>
      </c>
      <c r="BQ40">
        <v>255</v>
      </c>
      <c r="BR40">
        <v>7137.9</v>
      </c>
      <c r="BS40">
        <v>713.05</v>
      </c>
      <c r="BT40">
        <v>-1.8</v>
      </c>
      <c r="BU40">
        <v>300.00000000000011</v>
      </c>
      <c r="BV40">
        <v>38.200000000000003</v>
      </c>
      <c r="BW40">
        <v>758.18061711808173</v>
      </c>
      <c r="BX40">
        <v>1.206684009055677</v>
      </c>
      <c r="BY40">
        <v>-32.213487828261727</v>
      </c>
      <c r="BZ40">
        <v>0.72187622219743197</v>
      </c>
      <c r="CA40">
        <v>0.98613422848230459</v>
      </c>
      <c r="CB40">
        <v>-7.04350589543938E-3</v>
      </c>
      <c r="CC40">
        <v>289.99999999999989</v>
      </c>
      <c r="CD40">
        <v>718.58</v>
      </c>
      <c r="CE40">
        <v>825</v>
      </c>
      <c r="CF40">
        <v>7131.68</v>
      </c>
      <c r="CG40">
        <v>713.01</v>
      </c>
      <c r="CH40">
        <v>5.57</v>
      </c>
      <c r="CV40">
        <f t="shared" si="42"/>
        <v>1799.81</v>
      </c>
      <c r="CW40">
        <f t="shared" si="43"/>
        <v>1513.0244999210515</v>
      </c>
      <c r="CX40">
        <f t="shared" si="44"/>
        <v>0.84065790273476182</v>
      </c>
      <c r="CY40">
        <f t="shared" si="45"/>
        <v>0.16086975227809031</v>
      </c>
      <c r="CZ40">
        <v>5</v>
      </c>
      <c r="DA40">
        <v>0.5</v>
      </c>
      <c r="DB40" t="s">
        <v>418</v>
      </c>
      <c r="DC40">
        <v>2</v>
      </c>
      <c r="DD40">
        <v>1700153874.0999999</v>
      </c>
      <c r="DE40">
        <v>167.49199999999999</v>
      </c>
      <c r="DF40">
        <v>199.99100000000001</v>
      </c>
      <c r="DG40">
        <v>28.371700000000001</v>
      </c>
      <c r="DH40">
        <v>22.333100000000002</v>
      </c>
      <c r="DI40">
        <v>166.35</v>
      </c>
      <c r="DJ40">
        <v>28.0901</v>
      </c>
      <c r="DK40">
        <v>500.15600000000001</v>
      </c>
      <c r="DL40">
        <v>99.270700000000005</v>
      </c>
      <c r="DM40">
        <v>9.9891499999999994E-2</v>
      </c>
      <c r="DN40">
        <v>30.337800000000001</v>
      </c>
      <c r="DO40">
        <v>29.995000000000001</v>
      </c>
      <c r="DP40">
        <v>999.9</v>
      </c>
      <c r="DQ40">
        <v>0</v>
      </c>
      <c r="DR40">
        <v>0</v>
      </c>
      <c r="DS40">
        <v>10005.6</v>
      </c>
      <c r="DT40">
        <v>0</v>
      </c>
      <c r="DU40">
        <v>198.845</v>
      </c>
      <c r="DV40">
        <v>-32.4985</v>
      </c>
      <c r="DW40">
        <v>172.38300000000001</v>
      </c>
      <c r="DX40">
        <v>204.559</v>
      </c>
      <c r="DY40">
        <v>6.0385900000000001</v>
      </c>
      <c r="DZ40">
        <v>199.99100000000001</v>
      </c>
      <c r="EA40">
        <v>22.333100000000002</v>
      </c>
      <c r="EB40">
        <v>2.8164799999999999</v>
      </c>
      <c r="EC40">
        <v>2.2170299999999998</v>
      </c>
      <c r="ED40">
        <v>22.981000000000002</v>
      </c>
      <c r="EE40">
        <v>19.085899999999999</v>
      </c>
      <c r="EF40">
        <v>1799.81</v>
      </c>
      <c r="EG40">
        <v>0.97800699999999996</v>
      </c>
      <c r="EH40">
        <v>2.1993499999999999E-2</v>
      </c>
      <c r="EI40">
        <v>0</v>
      </c>
      <c r="EJ40">
        <v>591.86500000000001</v>
      </c>
      <c r="EK40">
        <v>5.0001199999999999</v>
      </c>
      <c r="EL40">
        <v>10776.4</v>
      </c>
      <c r="EM40">
        <v>15628.4</v>
      </c>
      <c r="EN40">
        <v>51.936999999999998</v>
      </c>
      <c r="EO40">
        <v>53.125</v>
      </c>
      <c r="EP40">
        <v>52.875</v>
      </c>
      <c r="EQ40">
        <v>52.875</v>
      </c>
      <c r="ER40">
        <v>53.436999999999998</v>
      </c>
      <c r="ES40">
        <v>1755.34</v>
      </c>
      <c r="ET40">
        <v>39.47</v>
      </c>
      <c r="EU40">
        <v>0</v>
      </c>
      <c r="EV40">
        <v>323.60000014305109</v>
      </c>
      <c r="EW40">
        <v>0</v>
      </c>
      <c r="EX40">
        <v>592.04552000000001</v>
      </c>
      <c r="EY40">
        <v>-1.085769234460332</v>
      </c>
      <c r="EZ40">
        <v>-21.223076881413601</v>
      </c>
      <c r="FA40">
        <v>10780.156000000001</v>
      </c>
      <c r="FB40">
        <v>15</v>
      </c>
      <c r="FC40">
        <v>1700153778.5999999</v>
      </c>
      <c r="FD40" t="s">
        <v>527</v>
      </c>
      <c r="FE40">
        <v>1700153773.5999999</v>
      </c>
      <c r="FF40">
        <v>1700153778.5999999</v>
      </c>
      <c r="FG40">
        <v>29</v>
      </c>
      <c r="FH40">
        <v>-8.8999999999999996E-2</v>
      </c>
      <c r="FI40">
        <v>-1.4999999999999999E-2</v>
      </c>
      <c r="FJ40">
        <v>1.163</v>
      </c>
      <c r="FK40">
        <v>0.28199999999999997</v>
      </c>
      <c r="FL40">
        <v>200</v>
      </c>
      <c r="FM40">
        <v>23</v>
      </c>
      <c r="FN40">
        <v>0.08</v>
      </c>
      <c r="FO40">
        <v>0.01</v>
      </c>
      <c r="FP40">
        <v>31.35442333557619</v>
      </c>
      <c r="FQ40">
        <v>0.63238127542942124</v>
      </c>
      <c r="FR40">
        <v>5.5569302504672458E-2</v>
      </c>
      <c r="FS40">
        <v>1</v>
      </c>
      <c r="FT40">
        <v>0.44725962400832658</v>
      </c>
      <c r="FU40">
        <v>3.083980468210715E-2</v>
      </c>
      <c r="FV40">
        <v>3.2039124222818442E-3</v>
      </c>
      <c r="FW40">
        <v>1</v>
      </c>
      <c r="FX40">
        <v>2</v>
      </c>
      <c r="FY40">
        <v>2</v>
      </c>
      <c r="FZ40" t="s">
        <v>420</v>
      </c>
      <c r="GA40">
        <v>2.9117999999999999</v>
      </c>
      <c r="GB40">
        <v>2.7509399999999999</v>
      </c>
      <c r="GC40">
        <v>4.3262700000000001E-2</v>
      </c>
      <c r="GD40">
        <v>5.1984000000000002E-2</v>
      </c>
      <c r="GE40">
        <v>0.12868099999999999</v>
      </c>
      <c r="GF40">
        <v>0.11118699999999999</v>
      </c>
      <c r="GG40">
        <v>29593.5</v>
      </c>
      <c r="GH40">
        <v>29166.6</v>
      </c>
      <c r="GI40">
        <v>28182.9</v>
      </c>
      <c r="GJ40">
        <v>28141</v>
      </c>
      <c r="GK40">
        <v>33471.199999999997</v>
      </c>
      <c r="GL40">
        <v>34941.4</v>
      </c>
      <c r="GM40">
        <v>42343.6</v>
      </c>
      <c r="GN40">
        <v>43751.8</v>
      </c>
      <c r="GO40">
        <v>1.6249</v>
      </c>
      <c r="GP40">
        <v>1.829</v>
      </c>
      <c r="GQ40">
        <v>4.0084099999999996E-3</v>
      </c>
      <c r="GR40">
        <v>0</v>
      </c>
      <c r="GS40">
        <v>29.9298</v>
      </c>
      <c r="GT40">
        <v>999.9</v>
      </c>
      <c r="GU40">
        <v>27.9</v>
      </c>
      <c r="GV40">
        <v>46.1</v>
      </c>
      <c r="GW40">
        <v>28.664400000000001</v>
      </c>
      <c r="GX40">
        <v>61.459499999999998</v>
      </c>
      <c r="GY40">
        <v>30.7332</v>
      </c>
      <c r="GZ40">
        <v>1</v>
      </c>
      <c r="HA40">
        <v>0.69522899999999999</v>
      </c>
      <c r="HB40">
        <v>2.9184899999999998</v>
      </c>
      <c r="HC40">
        <v>20.235099999999999</v>
      </c>
      <c r="HD40">
        <v>5.2765899999999997</v>
      </c>
      <c r="HE40">
        <v>12.0878</v>
      </c>
      <c r="HF40">
        <v>5.0133999999999999</v>
      </c>
      <c r="HG40">
        <v>3.2919999999999998</v>
      </c>
      <c r="HH40">
        <v>9999</v>
      </c>
      <c r="HI40">
        <v>9999</v>
      </c>
      <c r="HJ40">
        <v>9999</v>
      </c>
      <c r="HK40">
        <v>999.9</v>
      </c>
      <c r="HL40">
        <v>1.87683</v>
      </c>
      <c r="HM40">
        <v>1.8775900000000001</v>
      </c>
      <c r="HN40">
        <v>1.8772599999999999</v>
      </c>
      <c r="HO40">
        <v>1.8809499999999999</v>
      </c>
      <c r="HP40">
        <v>1.87469</v>
      </c>
      <c r="HQ40">
        <v>1.8775900000000001</v>
      </c>
      <c r="HR40">
        <v>1.87758</v>
      </c>
      <c r="HS40">
        <v>1.87897</v>
      </c>
      <c r="HT40">
        <v>0</v>
      </c>
      <c r="HU40">
        <v>0</v>
      </c>
      <c r="HV40">
        <v>0</v>
      </c>
      <c r="HW40">
        <v>0</v>
      </c>
      <c r="HX40" t="s">
        <v>421</v>
      </c>
      <c r="HY40" t="s">
        <v>422</v>
      </c>
      <c r="HZ40" t="s">
        <v>423</v>
      </c>
      <c r="IA40" t="s">
        <v>424</v>
      </c>
      <c r="IB40" t="s">
        <v>424</v>
      </c>
      <c r="IC40" t="s">
        <v>423</v>
      </c>
      <c r="ID40">
        <v>0</v>
      </c>
      <c r="IE40">
        <v>100</v>
      </c>
      <c r="IF40">
        <v>100</v>
      </c>
      <c r="IG40">
        <v>1.1419999999999999</v>
      </c>
      <c r="IH40">
        <v>0.28160000000000002</v>
      </c>
      <c r="II40">
        <v>1.012115378811264</v>
      </c>
      <c r="IJ40">
        <v>8.9576739069318506E-4</v>
      </c>
      <c r="IK40">
        <v>-7.2130504814809596E-7</v>
      </c>
      <c r="IL40">
        <v>1.9987036519832741E-10</v>
      </c>
      <c r="IM40">
        <v>0.28161000000000058</v>
      </c>
      <c r="IN40">
        <v>0</v>
      </c>
      <c r="IO40">
        <v>0</v>
      </c>
      <c r="IP40">
        <v>0</v>
      </c>
      <c r="IQ40">
        <v>1</v>
      </c>
      <c r="IR40">
        <v>2126</v>
      </c>
      <c r="IS40">
        <v>0</v>
      </c>
      <c r="IT40">
        <v>20</v>
      </c>
      <c r="IU40">
        <v>1.7</v>
      </c>
      <c r="IV40">
        <v>1.6</v>
      </c>
      <c r="IW40">
        <v>0.611572</v>
      </c>
      <c r="IX40">
        <v>2.7185100000000002</v>
      </c>
      <c r="IY40">
        <v>1.69434</v>
      </c>
      <c r="IZ40">
        <v>2.3327599999999999</v>
      </c>
      <c r="JA40">
        <v>1.5466299999999999</v>
      </c>
      <c r="JB40">
        <v>2.5</v>
      </c>
      <c r="JC40">
        <v>51.099699999999999</v>
      </c>
      <c r="JD40">
        <v>23.754799999999999</v>
      </c>
      <c r="JE40">
        <v>18</v>
      </c>
      <c r="JF40">
        <v>410.03699999999998</v>
      </c>
      <c r="JG40">
        <v>459.11799999999999</v>
      </c>
      <c r="JH40">
        <v>27.242599999999999</v>
      </c>
      <c r="JI40">
        <v>35.793300000000002</v>
      </c>
      <c r="JJ40">
        <v>30</v>
      </c>
      <c r="JK40">
        <v>35.695099999999996</v>
      </c>
      <c r="JL40">
        <v>35.631399999999999</v>
      </c>
      <c r="JM40">
        <v>12.3126</v>
      </c>
      <c r="JN40">
        <v>12.213699999999999</v>
      </c>
      <c r="JO40">
        <v>29.981999999999999</v>
      </c>
      <c r="JP40">
        <v>27.2471</v>
      </c>
      <c r="JQ40">
        <v>200</v>
      </c>
      <c r="JR40">
        <v>22.38</v>
      </c>
      <c r="JS40">
        <v>98.725200000000001</v>
      </c>
      <c r="JT40">
        <v>98.568700000000007</v>
      </c>
    </row>
    <row r="41" spans="1:280" x14ac:dyDescent="0.25">
      <c r="A41">
        <v>25</v>
      </c>
      <c r="B41">
        <v>1700154016.0999999</v>
      </c>
      <c r="C41">
        <v>6486.5</v>
      </c>
      <c r="D41" t="s">
        <v>528</v>
      </c>
      <c r="E41" t="s">
        <v>529</v>
      </c>
      <c r="F41" t="s">
        <v>412</v>
      </c>
      <c r="G41" t="s">
        <v>483</v>
      </c>
      <c r="H41" t="s">
        <v>414</v>
      </c>
      <c r="I41">
        <v>1700154016.0999999</v>
      </c>
      <c r="J41">
        <f t="shared" si="0"/>
        <v>6.5827894083641102E-3</v>
      </c>
      <c r="K41">
        <f t="shared" si="1"/>
        <v>6.5827894083641105</v>
      </c>
      <c r="L41">
        <f t="shared" si="2"/>
        <v>20.003462235756746</v>
      </c>
      <c r="M41">
        <f t="shared" si="3"/>
        <v>99.3309</v>
      </c>
      <c r="N41">
        <f t="shared" si="4"/>
        <v>27.736639176977288</v>
      </c>
      <c r="O41">
        <f t="shared" si="5"/>
        <v>2.7562758740709601</v>
      </c>
      <c r="P41">
        <f t="shared" si="6"/>
        <v>9.8708196574518006</v>
      </c>
      <c r="Q41">
        <f t="shared" si="7"/>
        <v>0.4902407366640128</v>
      </c>
      <c r="R41">
        <f t="shared" si="8"/>
        <v>3.1261846449195247</v>
      </c>
      <c r="S41">
        <f t="shared" si="9"/>
        <v>0.45118887694153248</v>
      </c>
      <c r="T41">
        <f t="shared" si="10"/>
        <v>0.28524202116924785</v>
      </c>
      <c r="U41">
        <f t="shared" si="11"/>
        <v>289.54513114735119</v>
      </c>
      <c r="V41">
        <f t="shared" si="12"/>
        <v>30.320913794134622</v>
      </c>
      <c r="W41">
        <f t="shared" si="13"/>
        <v>29.977699999999999</v>
      </c>
      <c r="X41">
        <f t="shared" si="14"/>
        <v>4.2549956340222623</v>
      </c>
      <c r="Y41">
        <f t="shared" si="15"/>
        <v>65.82035791526927</v>
      </c>
      <c r="Z41">
        <f t="shared" si="16"/>
        <v>2.8570363063611999</v>
      </c>
      <c r="AA41">
        <f t="shared" si="17"/>
        <v>4.3406575060546935</v>
      </c>
      <c r="AB41">
        <f t="shared" si="18"/>
        <v>1.3979593276610625</v>
      </c>
      <c r="AC41">
        <f t="shared" si="19"/>
        <v>-290.30101290885727</v>
      </c>
      <c r="AD41">
        <f t="shared" si="20"/>
        <v>58.550402248815622</v>
      </c>
      <c r="AE41">
        <f t="shared" si="21"/>
        <v>4.1706653367475566</v>
      </c>
      <c r="AF41">
        <f t="shared" si="22"/>
        <v>61.965185824057095</v>
      </c>
      <c r="AG41">
        <v>68</v>
      </c>
      <c r="AH41">
        <v>14</v>
      </c>
      <c r="AI41">
        <f t="shared" si="23"/>
        <v>1</v>
      </c>
      <c r="AJ41">
        <f t="shared" si="24"/>
        <v>0</v>
      </c>
      <c r="AK41">
        <f t="shared" si="25"/>
        <v>51814.611242962077</v>
      </c>
      <c r="AL41" t="s">
        <v>427</v>
      </c>
      <c r="AM41" t="s">
        <v>427</v>
      </c>
      <c r="AN41">
        <v>0</v>
      </c>
      <c r="AO41">
        <v>0</v>
      </c>
      <c r="AP41" t="e">
        <f t="shared" si="26"/>
        <v>#DIV/0!</v>
      </c>
      <c r="AQ41">
        <v>0</v>
      </c>
      <c r="AR41" t="s">
        <v>427</v>
      </c>
      <c r="AS41" t="s">
        <v>427</v>
      </c>
      <c r="AT41">
        <v>0</v>
      </c>
      <c r="AU41">
        <v>0</v>
      </c>
      <c r="AV41" t="e">
        <f t="shared" si="27"/>
        <v>#DIV/0!</v>
      </c>
      <c r="AW41">
        <v>0.5</v>
      </c>
      <c r="AX41">
        <f t="shared" si="28"/>
        <v>1513.0751933405961</v>
      </c>
      <c r="AY41">
        <f t="shared" si="29"/>
        <v>20.003462235756746</v>
      </c>
      <c r="AZ41" t="e">
        <f t="shared" si="30"/>
        <v>#DIV/0!</v>
      </c>
      <c r="BA41">
        <f t="shared" si="31"/>
        <v>1.3220401949484562E-2</v>
      </c>
      <c r="BB41" t="e">
        <f t="shared" si="32"/>
        <v>#DIV/0!</v>
      </c>
      <c r="BC41" t="e">
        <f t="shared" si="33"/>
        <v>#DIV/0!</v>
      </c>
      <c r="BD41" t="s">
        <v>427</v>
      </c>
      <c r="BE41">
        <v>0</v>
      </c>
      <c r="BF41" t="e">
        <f t="shared" si="34"/>
        <v>#DIV/0!</v>
      </c>
      <c r="BG41" t="e">
        <f t="shared" si="35"/>
        <v>#DIV/0!</v>
      </c>
      <c r="BH41" t="e">
        <f t="shared" si="36"/>
        <v>#DIV/0!</v>
      </c>
      <c r="BI41" t="e">
        <f t="shared" si="37"/>
        <v>#DIV/0!</v>
      </c>
      <c r="BJ41" t="e">
        <f t="shared" si="38"/>
        <v>#DIV/0!</v>
      </c>
      <c r="BK41" t="e">
        <f t="shared" si="39"/>
        <v>#DIV/0!</v>
      </c>
      <c r="BL41" t="e">
        <f t="shared" si="40"/>
        <v>#DIV/0!</v>
      </c>
      <c r="BM41" t="e">
        <f t="shared" si="41"/>
        <v>#DIV/0!</v>
      </c>
      <c r="BN41">
        <v>55</v>
      </c>
      <c r="BO41">
        <v>290.00000000000011</v>
      </c>
      <c r="BP41">
        <v>711.25</v>
      </c>
      <c r="BQ41">
        <v>255</v>
      </c>
      <c r="BR41">
        <v>7137.9</v>
      </c>
      <c r="BS41">
        <v>713.05</v>
      </c>
      <c r="BT41">
        <v>-1.8</v>
      </c>
      <c r="BU41">
        <v>300.00000000000011</v>
      </c>
      <c r="BV41">
        <v>38.200000000000003</v>
      </c>
      <c r="BW41">
        <v>758.18061711808173</v>
      </c>
      <c r="BX41">
        <v>1.206684009055677</v>
      </c>
      <c r="BY41">
        <v>-32.213487828261727</v>
      </c>
      <c r="BZ41">
        <v>0.72187622219743197</v>
      </c>
      <c r="CA41">
        <v>0.98613422848230459</v>
      </c>
      <c r="CB41">
        <v>-7.04350589543938E-3</v>
      </c>
      <c r="CC41">
        <v>289.99999999999989</v>
      </c>
      <c r="CD41">
        <v>718.58</v>
      </c>
      <c r="CE41">
        <v>825</v>
      </c>
      <c r="CF41">
        <v>7131.68</v>
      </c>
      <c r="CG41">
        <v>713.01</v>
      </c>
      <c r="CH41">
        <v>5.57</v>
      </c>
      <c r="CV41">
        <f t="shared" si="42"/>
        <v>1799.87</v>
      </c>
      <c r="CW41">
        <f t="shared" si="43"/>
        <v>1513.0751933405961</v>
      </c>
      <c r="CX41">
        <f t="shared" si="44"/>
        <v>0.84065804382571863</v>
      </c>
      <c r="CY41">
        <f t="shared" si="45"/>
        <v>0.16087002458363725</v>
      </c>
      <c r="CZ41">
        <v>5</v>
      </c>
      <c r="DA41">
        <v>0.5</v>
      </c>
      <c r="DB41" t="s">
        <v>418</v>
      </c>
      <c r="DC41">
        <v>2</v>
      </c>
      <c r="DD41">
        <v>1700154016.0999999</v>
      </c>
      <c r="DE41">
        <v>99.3309</v>
      </c>
      <c r="DF41">
        <v>119.982</v>
      </c>
      <c r="DG41">
        <v>28.750599999999999</v>
      </c>
      <c r="DH41">
        <v>22.359000000000002</v>
      </c>
      <c r="DI41">
        <v>98.259299999999996</v>
      </c>
      <c r="DJ41">
        <v>28.468299999999999</v>
      </c>
      <c r="DK41">
        <v>500.15100000000001</v>
      </c>
      <c r="DL41">
        <v>99.272999999999996</v>
      </c>
      <c r="DM41">
        <v>0.100102</v>
      </c>
      <c r="DN41">
        <v>30.325099999999999</v>
      </c>
      <c r="DO41">
        <v>29.977699999999999</v>
      </c>
      <c r="DP41">
        <v>999.9</v>
      </c>
      <c r="DQ41">
        <v>0</v>
      </c>
      <c r="DR41">
        <v>0</v>
      </c>
      <c r="DS41">
        <v>9979.3799999999992</v>
      </c>
      <c r="DT41">
        <v>0</v>
      </c>
      <c r="DU41">
        <v>207.363</v>
      </c>
      <c r="DV41">
        <v>-20.651399999999999</v>
      </c>
      <c r="DW41">
        <v>102.271</v>
      </c>
      <c r="DX41">
        <v>122.726</v>
      </c>
      <c r="DY41">
        <v>6.3916199999999996</v>
      </c>
      <c r="DZ41">
        <v>119.982</v>
      </c>
      <c r="EA41">
        <v>22.359000000000002</v>
      </c>
      <c r="EB41">
        <v>2.8541599999999998</v>
      </c>
      <c r="EC41">
        <v>2.2196400000000001</v>
      </c>
      <c r="ED41">
        <v>23.200700000000001</v>
      </c>
      <c r="EE41">
        <v>19.104800000000001</v>
      </c>
      <c r="EF41">
        <v>1799.87</v>
      </c>
      <c r="EG41">
        <v>0.97800699999999996</v>
      </c>
      <c r="EH41">
        <v>2.19934E-2</v>
      </c>
      <c r="EI41">
        <v>0</v>
      </c>
      <c r="EJ41">
        <v>616.23599999999999</v>
      </c>
      <c r="EK41">
        <v>5.0001199999999999</v>
      </c>
      <c r="EL41">
        <v>11210.2</v>
      </c>
      <c r="EM41">
        <v>15628.8</v>
      </c>
      <c r="EN41">
        <v>51.811999999999998</v>
      </c>
      <c r="EO41">
        <v>52.936999999999998</v>
      </c>
      <c r="EP41">
        <v>52.686999999999998</v>
      </c>
      <c r="EQ41">
        <v>52.561999999999998</v>
      </c>
      <c r="ER41">
        <v>53.311999999999998</v>
      </c>
      <c r="ES41">
        <v>1755.4</v>
      </c>
      <c r="ET41">
        <v>39.479999999999997</v>
      </c>
      <c r="EU41">
        <v>0</v>
      </c>
      <c r="EV41">
        <v>140</v>
      </c>
      <c r="EW41">
        <v>0</v>
      </c>
      <c r="EX41">
        <v>616.48119230769237</v>
      </c>
      <c r="EY41">
        <v>0.49494017034749233</v>
      </c>
      <c r="EZ41">
        <v>-19.264957182691319</v>
      </c>
      <c r="FA41">
        <v>11214.026923076921</v>
      </c>
      <c r="FB41">
        <v>15</v>
      </c>
      <c r="FC41">
        <v>1700153974.0999999</v>
      </c>
      <c r="FD41" t="s">
        <v>530</v>
      </c>
      <c r="FE41">
        <v>1700153968.0999999</v>
      </c>
      <c r="FF41">
        <v>1700153974.0999999</v>
      </c>
      <c r="FG41">
        <v>30</v>
      </c>
      <c r="FH41">
        <v>-2.1999999999999999E-2</v>
      </c>
      <c r="FI41">
        <v>1E-3</v>
      </c>
      <c r="FJ41">
        <v>1.087</v>
      </c>
      <c r="FK41">
        <v>0.28199999999999997</v>
      </c>
      <c r="FL41">
        <v>120</v>
      </c>
      <c r="FM41">
        <v>23</v>
      </c>
      <c r="FN41">
        <v>0.13</v>
      </c>
      <c r="FO41">
        <v>0.02</v>
      </c>
      <c r="FP41">
        <v>20.007182977106702</v>
      </c>
      <c r="FQ41">
        <v>0.29321430469797399</v>
      </c>
      <c r="FR41">
        <v>3.6300828069507587E-2</v>
      </c>
      <c r="FS41">
        <v>1</v>
      </c>
      <c r="FT41">
        <v>0.49109048299346969</v>
      </c>
      <c r="FU41">
        <v>4.1262348146383777E-2</v>
      </c>
      <c r="FV41">
        <v>5.4479502361984272E-3</v>
      </c>
      <c r="FW41">
        <v>1</v>
      </c>
      <c r="FX41">
        <v>2</v>
      </c>
      <c r="FY41">
        <v>2</v>
      </c>
      <c r="FZ41" t="s">
        <v>420</v>
      </c>
      <c r="GA41">
        <v>2.9117299999999999</v>
      </c>
      <c r="GB41">
        <v>2.7509299999999999</v>
      </c>
      <c r="GC41">
        <v>2.64725E-2</v>
      </c>
      <c r="GD41">
        <v>3.2653099999999997E-2</v>
      </c>
      <c r="GE41">
        <v>0.129858</v>
      </c>
      <c r="GF41">
        <v>0.111267</v>
      </c>
      <c r="GG41">
        <v>30109.599999999999</v>
      </c>
      <c r="GH41">
        <v>29758.3</v>
      </c>
      <c r="GI41">
        <v>28181</v>
      </c>
      <c r="GJ41">
        <v>28139.3</v>
      </c>
      <c r="GK41">
        <v>33423.4</v>
      </c>
      <c r="GL41">
        <v>34936.5</v>
      </c>
      <c r="GM41">
        <v>42340.1</v>
      </c>
      <c r="GN41">
        <v>43749.5</v>
      </c>
      <c r="GO41">
        <v>1.62205</v>
      </c>
      <c r="GP41">
        <v>1.8277300000000001</v>
      </c>
      <c r="GQ41">
        <v>-1.2777699999999999E-3</v>
      </c>
      <c r="GR41">
        <v>0</v>
      </c>
      <c r="GS41">
        <v>29.9985</v>
      </c>
      <c r="GT41">
        <v>999.9</v>
      </c>
      <c r="GU41">
        <v>27.5</v>
      </c>
      <c r="GV41">
        <v>46.1</v>
      </c>
      <c r="GW41">
        <v>28.251300000000001</v>
      </c>
      <c r="GX41">
        <v>61.389499999999998</v>
      </c>
      <c r="GY41">
        <v>31.209900000000001</v>
      </c>
      <c r="GZ41">
        <v>1</v>
      </c>
      <c r="HA41">
        <v>0.70005300000000004</v>
      </c>
      <c r="HB41">
        <v>3.1792099999999999</v>
      </c>
      <c r="HC41">
        <v>20.2302</v>
      </c>
      <c r="HD41">
        <v>5.2761399999999998</v>
      </c>
      <c r="HE41">
        <v>12.0878</v>
      </c>
      <c r="HF41">
        <v>5.0134999999999996</v>
      </c>
      <c r="HG41">
        <v>3.2919999999999998</v>
      </c>
      <c r="HH41">
        <v>9999</v>
      </c>
      <c r="HI41">
        <v>9999</v>
      </c>
      <c r="HJ41">
        <v>9999</v>
      </c>
      <c r="HK41">
        <v>999.9</v>
      </c>
      <c r="HL41">
        <v>1.8768400000000001</v>
      </c>
      <c r="HM41">
        <v>1.8775900000000001</v>
      </c>
      <c r="HN41">
        <v>1.87724</v>
      </c>
      <c r="HO41">
        <v>1.8809400000000001</v>
      </c>
      <c r="HP41">
        <v>1.87469</v>
      </c>
      <c r="HQ41">
        <v>1.87757</v>
      </c>
      <c r="HR41">
        <v>1.8775299999999999</v>
      </c>
      <c r="HS41">
        <v>1.87897</v>
      </c>
      <c r="HT41">
        <v>0</v>
      </c>
      <c r="HU41">
        <v>0</v>
      </c>
      <c r="HV41">
        <v>0</v>
      </c>
      <c r="HW41">
        <v>0</v>
      </c>
      <c r="HX41" t="s">
        <v>421</v>
      </c>
      <c r="HY41" t="s">
        <v>422</v>
      </c>
      <c r="HZ41" t="s">
        <v>423</v>
      </c>
      <c r="IA41" t="s">
        <v>424</v>
      </c>
      <c r="IB41" t="s">
        <v>424</v>
      </c>
      <c r="IC41" t="s">
        <v>423</v>
      </c>
      <c r="ID41">
        <v>0</v>
      </c>
      <c r="IE41">
        <v>100</v>
      </c>
      <c r="IF41">
        <v>100</v>
      </c>
      <c r="IG41">
        <v>1.0720000000000001</v>
      </c>
      <c r="IH41">
        <v>0.2823</v>
      </c>
      <c r="II41">
        <v>0.99044565417661656</v>
      </c>
      <c r="IJ41">
        <v>8.9576739069318506E-4</v>
      </c>
      <c r="IK41">
        <v>-7.2130504814809596E-7</v>
      </c>
      <c r="IL41">
        <v>1.9987036519832741E-10</v>
      </c>
      <c r="IM41">
        <v>0.28226666666666839</v>
      </c>
      <c r="IN41">
        <v>0</v>
      </c>
      <c r="IO41">
        <v>0</v>
      </c>
      <c r="IP41">
        <v>0</v>
      </c>
      <c r="IQ41">
        <v>1</v>
      </c>
      <c r="IR41">
        <v>2126</v>
      </c>
      <c r="IS41">
        <v>0</v>
      </c>
      <c r="IT41">
        <v>20</v>
      </c>
      <c r="IU41">
        <v>0.8</v>
      </c>
      <c r="IV41">
        <v>0.7</v>
      </c>
      <c r="IW41">
        <v>0.42968800000000001</v>
      </c>
      <c r="IX41">
        <v>2.7331500000000002</v>
      </c>
      <c r="IY41">
        <v>1.69434</v>
      </c>
      <c r="IZ41">
        <v>2.3327599999999999</v>
      </c>
      <c r="JA41">
        <v>1.5466299999999999</v>
      </c>
      <c r="JB41">
        <v>2.4621599999999999</v>
      </c>
      <c r="JC41">
        <v>51.066699999999997</v>
      </c>
      <c r="JD41">
        <v>23.754799999999999</v>
      </c>
      <c r="JE41">
        <v>18</v>
      </c>
      <c r="JF41">
        <v>408.358</v>
      </c>
      <c r="JG41">
        <v>458.60399999999998</v>
      </c>
      <c r="JH41">
        <v>27.020299999999999</v>
      </c>
      <c r="JI41">
        <v>35.813099999999999</v>
      </c>
      <c r="JJ41">
        <v>30</v>
      </c>
      <c r="JK41">
        <v>35.739600000000003</v>
      </c>
      <c r="JL41">
        <v>35.6798</v>
      </c>
      <c r="JM41">
        <v>8.6594499999999996</v>
      </c>
      <c r="JN41">
        <v>9.7871299999999994</v>
      </c>
      <c r="JO41">
        <v>29.209800000000001</v>
      </c>
      <c r="JP41">
        <v>27.039200000000001</v>
      </c>
      <c r="JQ41">
        <v>120</v>
      </c>
      <c r="JR41">
        <v>22.165800000000001</v>
      </c>
      <c r="JS41">
        <v>98.717699999999994</v>
      </c>
      <c r="JT41">
        <v>98.563199999999995</v>
      </c>
    </row>
    <row r="42" spans="1:280" x14ac:dyDescent="0.25">
      <c r="A42">
        <v>26</v>
      </c>
      <c r="B42">
        <v>1700154123.0999999</v>
      </c>
      <c r="C42">
        <v>6593.5</v>
      </c>
      <c r="D42" t="s">
        <v>531</v>
      </c>
      <c r="E42" t="s">
        <v>532</v>
      </c>
      <c r="F42" t="s">
        <v>412</v>
      </c>
      <c r="G42" t="s">
        <v>483</v>
      </c>
      <c r="H42" t="s">
        <v>414</v>
      </c>
      <c r="I42">
        <v>1700154123.0999999</v>
      </c>
      <c r="J42">
        <f t="shared" si="0"/>
        <v>6.6651795180246538E-3</v>
      </c>
      <c r="K42">
        <f t="shared" si="1"/>
        <v>6.6651795180246536</v>
      </c>
      <c r="L42">
        <f t="shared" si="2"/>
        <v>12.092888793973698</v>
      </c>
      <c r="M42">
        <f t="shared" si="3"/>
        <v>57.545900000000003</v>
      </c>
      <c r="N42">
        <f t="shared" si="4"/>
        <v>14.929391698535897</v>
      </c>
      <c r="O42">
        <f t="shared" si="5"/>
        <v>1.4835373854314367</v>
      </c>
      <c r="P42">
        <f t="shared" si="6"/>
        <v>5.7183504694750003</v>
      </c>
      <c r="Q42">
        <f t="shared" si="7"/>
        <v>0.49788899259551567</v>
      </c>
      <c r="R42">
        <f t="shared" si="8"/>
        <v>3.1333600530081327</v>
      </c>
      <c r="S42">
        <f t="shared" si="9"/>
        <v>0.45774682580148163</v>
      </c>
      <c r="T42">
        <f t="shared" si="10"/>
        <v>0.28942819814372067</v>
      </c>
      <c r="U42">
        <f t="shared" si="11"/>
        <v>289.55312384760043</v>
      </c>
      <c r="V42">
        <f t="shared" si="12"/>
        <v>30.38848889807284</v>
      </c>
      <c r="W42">
        <f t="shared" si="13"/>
        <v>29.957799999999999</v>
      </c>
      <c r="X42">
        <f t="shared" si="14"/>
        <v>4.2501336271336907</v>
      </c>
      <c r="Y42">
        <f t="shared" si="15"/>
        <v>65.44300688815477</v>
      </c>
      <c r="Z42">
        <f t="shared" si="16"/>
        <v>2.8549470306</v>
      </c>
      <c r="AA42">
        <f t="shared" si="17"/>
        <v>4.3624936664038696</v>
      </c>
      <c r="AB42">
        <f t="shared" si="18"/>
        <v>1.3951865965336907</v>
      </c>
      <c r="AC42">
        <f t="shared" si="19"/>
        <v>-293.93441674488724</v>
      </c>
      <c r="AD42">
        <f t="shared" si="20"/>
        <v>76.844304195169954</v>
      </c>
      <c r="AE42">
        <f t="shared" si="21"/>
        <v>5.4630734480406637</v>
      </c>
      <c r="AF42">
        <f t="shared" si="22"/>
        <v>77.926084745923831</v>
      </c>
      <c r="AG42">
        <v>69</v>
      </c>
      <c r="AH42">
        <v>14</v>
      </c>
      <c r="AI42">
        <f t="shared" si="23"/>
        <v>1</v>
      </c>
      <c r="AJ42">
        <f t="shared" si="24"/>
        <v>0</v>
      </c>
      <c r="AK42">
        <f t="shared" si="25"/>
        <v>51981.490635763221</v>
      </c>
      <c r="AL42" t="s">
        <v>415</v>
      </c>
      <c r="AM42">
        <v>6960.3</v>
      </c>
      <c r="AN42">
        <v>244.8124</v>
      </c>
      <c r="AO42">
        <v>892.86711584811997</v>
      </c>
      <c r="AP42">
        <f t="shared" si="26"/>
        <v>0.72581317459826411</v>
      </c>
      <c r="AQ42">
        <v>-0.43209471141234851</v>
      </c>
      <c r="AR42" t="s">
        <v>533</v>
      </c>
      <c r="AS42">
        <v>7138.12</v>
      </c>
      <c r="AT42">
        <v>635.8145384615384</v>
      </c>
      <c r="AU42">
        <v>728.74773567241994</v>
      </c>
      <c r="AV42">
        <f t="shared" si="27"/>
        <v>0.12752450904719659</v>
      </c>
      <c r="AW42">
        <v>0.5</v>
      </c>
      <c r="AX42">
        <f t="shared" si="28"/>
        <v>1513.1171999210364</v>
      </c>
      <c r="AY42">
        <f t="shared" si="29"/>
        <v>12.092888793973698</v>
      </c>
      <c r="AZ42">
        <f t="shared" si="30"/>
        <v>96.47976402539949</v>
      </c>
      <c r="BA42">
        <f t="shared" si="31"/>
        <v>8.2776030211272958E-3</v>
      </c>
      <c r="BB42">
        <f t="shared" si="32"/>
        <v>0.22520739638973436</v>
      </c>
      <c r="BC42">
        <f t="shared" si="33"/>
        <v>230.5746676568935</v>
      </c>
      <c r="BD42" t="s">
        <v>534</v>
      </c>
      <c r="BE42">
        <v>429.17</v>
      </c>
      <c r="BF42">
        <f t="shared" si="34"/>
        <v>429.17</v>
      </c>
      <c r="BG42">
        <f t="shared" si="35"/>
        <v>0.41108564872040076</v>
      </c>
      <c r="BH42">
        <f t="shared" si="36"/>
        <v>0.31021396500740445</v>
      </c>
      <c r="BI42">
        <f t="shared" si="37"/>
        <v>0.35393659905673414</v>
      </c>
      <c r="BJ42">
        <f t="shared" si="38"/>
        <v>0.19203639486617036</v>
      </c>
      <c r="BK42">
        <f t="shared" si="39"/>
        <v>0.25324926454846375</v>
      </c>
      <c r="BL42">
        <f t="shared" si="40"/>
        <v>0.20939207789172207</v>
      </c>
      <c r="BM42">
        <f t="shared" si="41"/>
        <v>0.79060792210827791</v>
      </c>
      <c r="BN42">
        <v>57</v>
      </c>
      <c r="BO42">
        <v>290.00000000000011</v>
      </c>
      <c r="BP42">
        <v>703.18</v>
      </c>
      <c r="BQ42">
        <v>255</v>
      </c>
      <c r="BR42">
        <v>7138.12</v>
      </c>
      <c r="BS42">
        <v>704.89</v>
      </c>
      <c r="BT42">
        <v>-1.71</v>
      </c>
      <c r="BU42">
        <v>300.00000000000011</v>
      </c>
      <c r="BV42">
        <v>38.200000000000003</v>
      </c>
      <c r="BW42">
        <v>728.74773567241994</v>
      </c>
      <c r="BX42">
        <v>1.1386011870779651</v>
      </c>
      <c r="BY42">
        <v>-17.032714413486719</v>
      </c>
      <c r="BZ42">
        <v>0.68116912108597849</v>
      </c>
      <c r="CA42">
        <v>0.95713777959741986</v>
      </c>
      <c r="CB42">
        <v>-7.0434936596218013E-3</v>
      </c>
      <c r="CC42">
        <v>289.99999999999989</v>
      </c>
      <c r="CD42">
        <v>706.21</v>
      </c>
      <c r="CE42">
        <v>695</v>
      </c>
      <c r="CF42">
        <v>7133.84</v>
      </c>
      <c r="CG42">
        <v>704.87</v>
      </c>
      <c r="CH42">
        <v>1.34</v>
      </c>
      <c r="CV42">
        <f t="shared" si="42"/>
        <v>1799.92</v>
      </c>
      <c r="CW42">
        <f t="shared" si="43"/>
        <v>1513.1171999210364</v>
      </c>
      <c r="CX42">
        <f t="shared" si="44"/>
        <v>0.8406580292018736</v>
      </c>
      <c r="CY42">
        <f t="shared" si="45"/>
        <v>0.16086999635961621</v>
      </c>
      <c r="CZ42">
        <v>5</v>
      </c>
      <c r="DA42">
        <v>0.5</v>
      </c>
      <c r="DB42" t="s">
        <v>418</v>
      </c>
      <c r="DC42">
        <v>2</v>
      </c>
      <c r="DD42">
        <v>1700154123.0999999</v>
      </c>
      <c r="DE42">
        <v>57.545900000000003</v>
      </c>
      <c r="DF42">
        <v>70.018900000000002</v>
      </c>
      <c r="DG42">
        <v>28.730399999999999</v>
      </c>
      <c r="DH42">
        <v>22.258500000000002</v>
      </c>
      <c r="DI42">
        <v>56.446199999999997</v>
      </c>
      <c r="DJ42">
        <v>28.456099999999999</v>
      </c>
      <c r="DK42">
        <v>500.13799999999998</v>
      </c>
      <c r="DL42">
        <v>99.270200000000003</v>
      </c>
      <c r="DM42">
        <v>0.10005</v>
      </c>
      <c r="DN42">
        <v>30.412700000000001</v>
      </c>
      <c r="DO42">
        <v>29.957799999999999</v>
      </c>
      <c r="DP42">
        <v>999.9</v>
      </c>
      <c r="DQ42">
        <v>0</v>
      </c>
      <c r="DR42">
        <v>0</v>
      </c>
      <c r="DS42">
        <v>10016.200000000001</v>
      </c>
      <c r="DT42">
        <v>0</v>
      </c>
      <c r="DU42">
        <v>198.75800000000001</v>
      </c>
      <c r="DV42">
        <v>-12.473100000000001</v>
      </c>
      <c r="DW42">
        <v>59.248100000000001</v>
      </c>
      <c r="DX42">
        <v>71.612899999999996</v>
      </c>
      <c r="DY42">
        <v>6.4719100000000003</v>
      </c>
      <c r="DZ42">
        <v>70.018900000000002</v>
      </c>
      <c r="EA42">
        <v>22.258500000000002</v>
      </c>
      <c r="EB42">
        <v>2.8520699999999999</v>
      </c>
      <c r="EC42">
        <v>2.2096100000000001</v>
      </c>
      <c r="ED42">
        <v>23.188600000000001</v>
      </c>
      <c r="EE42">
        <v>19.0321</v>
      </c>
      <c r="EF42">
        <v>1799.92</v>
      </c>
      <c r="EG42">
        <v>0.97800699999999996</v>
      </c>
      <c r="EH42">
        <v>2.1993499999999999E-2</v>
      </c>
      <c r="EI42">
        <v>0</v>
      </c>
      <c r="EJ42">
        <v>635.90300000000002</v>
      </c>
      <c r="EK42">
        <v>5.0001199999999999</v>
      </c>
      <c r="EL42">
        <v>11541.3</v>
      </c>
      <c r="EM42">
        <v>15629.3</v>
      </c>
      <c r="EN42">
        <v>51.811999999999998</v>
      </c>
      <c r="EO42">
        <v>52.875</v>
      </c>
      <c r="EP42">
        <v>52.686999999999998</v>
      </c>
      <c r="EQ42">
        <v>52.625</v>
      </c>
      <c r="ER42">
        <v>53.25</v>
      </c>
      <c r="ES42">
        <v>1755.44</v>
      </c>
      <c r="ET42">
        <v>39.479999999999997</v>
      </c>
      <c r="EU42">
        <v>0</v>
      </c>
      <c r="EV42">
        <v>246.79999995231631</v>
      </c>
      <c r="EW42">
        <v>0</v>
      </c>
      <c r="EX42">
        <v>635.8145384615384</v>
      </c>
      <c r="EY42">
        <v>-0.19849572506863339</v>
      </c>
      <c r="EZ42">
        <v>-19.56923079323937</v>
      </c>
      <c r="FA42">
        <v>11542.57692307692</v>
      </c>
      <c r="FB42">
        <v>15</v>
      </c>
      <c r="FC42">
        <v>1700154084.0999999</v>
      </c>
      <c r="FD42" t="s">
        <v>535</v>
      </c>
      <c r="FE42">
        <v>1700154084.0999999</v>
      </c>
      <c r="FF42">
        <v>1700154084.0999999</v>
      </c>
      <c r="FG42">
        <v>31</v>
      </c>
      <c r="FH42">
        <v>6.0999999999999999E-2</v>
      </c>
      <c r="FI42">
        <v>-8.0000000000000002E-3</v>
      </c>
      <c r="FJ42">
        <v>1.1100000000000001</v>
      </c>
      <c r="FK42">
        <v>0.27400000000000002</v>
      </c>
      <c r="FL42">
        <v>70</v>
      </c>
      <c r="FM42">
        <v>22</v>
      </c>
      <c r="FN42">
        <v>0.15</v>
      </c>
      <c r="FO42">
        <v>0.02</v>
      </c>
      <c r="FP42">
        <v>12.12200438176008</v>
      </c>
      <c r="FQ42">
        <v>-4.1799030843412438E-2</v>
      </c>
      <c r="FR42">
        <v>1.840923045540048E-2</v>
      </c>
      <c r="FS42">
        <v>1</v>
      </c>
      <c r="FT42">
        <v>0.4941963609596583</v>
      </c>
      <c r="FU42">
        <v>4.1695853724053308E-2</v>
      </c>
      <c r="FV42">
        <v>3.9749740954074277E-3</v>
      </c>
      <c r="FW42">
        <v>1</v>
      </c>
      <c r="FX42">
        <v>2</v>
      </c>
      <c r="FY42">
        <v>2</v>
      </c>
      <c r="FZ42" t="s">
        <v>420</v>
      </c>
      <c r="GA42">
        <v>2.9117099999999998</v>
      </c>
      <c r="GB42">
        <v>2.7511899999999998</v>
      </c>
      <c r="GC42">
        <v>1.54652E-2</v>
      </c>
      <c r="GD42">
        <v>1.9509100000000001E-2</v>
      </c>
      <c r="GE42">
        <v>0.12981100000000001</v>
      </c>
      <c r="GF42">
        <v>0.11090800000000001</v>
      </c>
      <c r="GG42">
        <v>30448.799999999999</v>
      </c>
      <c r="GH42">
        <v>30161.1</v>
      </c>
      <c r="GI42">
        <v>28180.6</v>
      </c>
      <c r="GJ42">
        <v>28138.7</v>
      </c>
      <c r="GK42">
        <v>33424.300000000003</v>
      </c>
      <c r="GL42">
        <v>34950.199999999997</v>
      </c>
      <c r="GM42">
        <v>42339</v>
      </c>
      <c r="GN42">
        <v>43749</v>
      </c>
      <c r="GO42">
        <v>1.6205499999999999</v>
      </c>
      <c r="GP42">
        <v>1.8273999999999999</v>
      </c>
      <c r="GQ42">
        <v>-3.46079E-3</v>
      </c>
      <c r="GR42">
        <v>0</v>
      </c>
      <c r="GS42">
        <v>30.014199999999999</v>
      </c>
      <c r="GT42">
        <v>999.9</v>
      </c>
      <c r="GU42">
        <v>27.2</v>
      </c>
      <c r="GV42">
        <v>46.2</v>
      </c>
      <c r="GW42">
        <v>28.0868</v>
      </c>
      <c r="GX42">
        <v>61.369500000000002</v>
      </c>
      <c r="GY42">
        <v>30.368600000000001</v>
      </c>
      <c r="GZ42">
        <v>1</v>
      </c>
      <c r="HA42">
        <v>0.70081300000000002</v>
      </c>
      <c r="HB42">
        <v>3.1472099999999998</v>
      </c>
      <c r="HC42">
        <v>20.230599999999999</v>
      </c>
      <c r="HD42">
        <v>5.2731500000000002</v>
      </c>
      <c r="HE42">
        <v>12.087999999999999</v>
      </c>
      <c r="HF42">
        <v>5.0130499999999998</v>
      </c>
      <c r="HG42">
        <v>3.2919999999999998</v>
      </c>
      <c r="HH42">
        <v>9999</v>
      </c>
      <c r="HI42">
        <v>9999</v>
      </c>
      <c r="HJ42">
        <v>9999</v>
      </c>
      <c r="HK42">
        <v>999.9</v>
      </c>
      <c r="HL42">
        <v>1.8768400000000001</v>
      </c>
      <c r="HM42">
        <v>1.8775900000000001</v>
      </c>
      <c r="HN42">
        <v>1.87723</v>
      </c>
      <c r="HO42">
        <v>1.88093</v>
      </c>
      <c r="HP42">
        <v>1.87469</v>
      </c>
      <c r="HQ42">
        <v>1.8775900000000001</v>
      </c>
      <c r="HR42">
        <v>1.8775299999999999</v>
      </c>
      <c r="HS42">
        <v>1.87897</v>
      </c>
      <c r="HT42">
        <v>0</v>
      </c>
      <c r="HU42">
        <v>0</v>
      </c>
      <c r="HV42">
        <v>0</v>
      </c>
      <c r="HW42">
        <v>0</v>
      </c>
      <c r="HX42" t="s">
        <v>421</v>
      </c>
      <c r="HY42" t="s">
        <v>422</v>
      </c>
      <c r="HZ42" t="s">
        <v>423</v>
      </c>
      <c r="IA42" t="s">
        <v>424</v>
      </c>
      <c r="IB42" t="s">
        <v>424</v>
      </c>
      <c r="IC42" t="s">
        <v>423</v>
      </c>
      <c r="ID42">
        <v>0</v>
      </c>
      <c r="IE42">
        <v>100</v>
      </c>
      <c r="IF42">
        <v>100</v>
      </c>
      <c r="IG42">
        <v>1.1000000000000001</v>
      </c>
      <c r="IH42">
        <v>0.27429999999999999</v>
      </c>
      <c r="II42">
        <v>1.051362590093984</v>
      </c>
      <c r="IJ42">
        <v>8.9576739069318506E-4</v>
      </c>
      <c r="IK42">
        <v>-7.2130504814809596E-7</v>
      </c>
      <c r="IL42">
        <v>1.9987036519832741E-10</v>
      </c>
      <c r="IM42">
        <v>0.27430476190476583</v>
      </c>
      <c r="IN42">
        <v>0</v>
      </c>
      <c r="IO42">
        <v>0</v>
      </c>
      <c r="IP42">
        <v>0</v>
      </c>
      <c r="IQ42">
        <v>1</v>
      </c>
      <c r="IR42">
        <v>2126</v>
      </c>
      <c r="IS42">
        <v>0</v>
      </c>
      <c r="IT42">
        <v>20</v>
      </c>
      <c r="IU42">
        <v>0.7</v>
      </c>
      <c r="IV42">
        <v>0.7</v>
      </c>
      <c r="IW42">
        <v>0.31372100000000003</v>
      </c>
      <c r="IX42">
        <v>2.7380399999999998</v>
      </c>
      <c r="IY42">
        <v>1.69434</v>
      </c>
      <c r="IZ42">
        <v>2.3327599999999999</v>
      </c>
      <c r="JA42">
        <v>1.5466299999999999</v>
      </c>
      <c r="JB42">
        <v>2.49756</v>
      </c>
      <c r="JC42">
        <v>51.033700000000003</v>
      </c>
      <c r="JD42">
        <v>23.745999999999999</v>
      </c>
      <c r="JE42">
        <v>18</v>
      </c>
      <c r="JF42">
        <v>407.44600000000003</v>
      </c>
      <c r="JG42">
        <v>458.55799999999999</v>
      </c>
      <c r="JH42">
        <v>27.095099999999999</v>
      </c>
      <c r="JI42">
        <v>35.803199999999997</v>
      </c>
      <c r="JJ42">
        <v>30.0001</v>
      </c>
      <c r="JK42">
        <v>35.758499999999998</v>
      </c>
      <c r="JL42">
        <v>35.703699999999998</v>
      </c>
      <c r="JM42">
        <v>6.3647099999999996</v>
      </c>
      <c r="JN42">
        <v>8.2611799999999995</v>
      </c>
      <c r="JO42">
        <v>28.583100000000002</v>
      </c>
      <c r="JP42">
        <v>27.121500000000001</v>
      </c>
      <c r="JQ42">
        <v>70</v>
      </c>
      <c r="JR42">
        <v>22.139800000000001</v>
      </c>
      <c r="JS42">
        <v>98.715500000000006</v>
      </c>
      <c r="JT42">
        <v>98.561499999999995</v>
      </c>
    </row>
    <row r="43" spans="1:280" x14ac:dyDescent="0.25">
      <c r="A43">
        <v>27</v>
      </c>
      <c r="B43">
        <v>1700154242.5999999</v>
      </c>
      <c r="C43">
        <v>6713</v>
      </c>
      <c r="D43" t="s">
        <v>536</v>
      </c>
      <c r="E43" t="s">
        <v>537</v>
      </c>
      <c r="F43" t="s">
        <v>412</v>
      </c>
      <c r="G43" t="s">
        <v>483</v>
      </c>
      <c r="H43" t="s">
        <v>414</v>
      </c>
      <c r="I43">
        <v>1700154242.5999999</v>
      </c>
      <c r="J43">
        <f t="shared" si="0"/>
        <v>6.7444716385347556E-3</v>
      </c>
      <c r="K43">
        <f t="shared" si="1"/>
        <v>6.7444716385347556</v>
      </c>
      <c r="L43">
        <f t="shared" si="2"/>
        <v>5.2364257352323822</v>
      </c>
      <c r="M43">
        <f t="shared" si="3"/>
        <v>24.611999999999998</v>
      </c>
      <c r="N43">
        <f t="shared" si="4"/>
        <v>6.3953099130420785</v>
      </c>
      <c r="O43">
        <f t="shared" si="5"/>
        <v>0.63546902939886896</v>
      </c>
      <c r="P43">
        <f t="shared" si="6"/>
        <v>2.4455677620360001</v>
      </c>
      <c r="Q43">
        <f t="shared" si="7"/>
        <v>0.50492161493364396</v>
      </c>
      <c r="R43">
        <f t="shared" si="8"/>
        <v>3.1278621690266335</v>
      </c>
      <c r="S43">
        <f t="shared" si="9"/>
        <v>0.46362157814160959</v>
      </c>
      <c r="T43">
        <f t="shared" si="10"/>
        <v>0.29319210410260543</v>
      </c>
      <c r="U43">
        <f t="shared" si="11"/>
        <v>289.56589184760719</v>
      </c>
      <c r="V43">
        <f t="shared" si="12"/>
        <v>30.386865372794588</v>
      </c>
      <c r="W43">
        <f t="shared" si="13"/>
        <v>29.994399999999999</v>
      </c>
      <c r="X43">
        <f t="shared" si="14"/>
        <v>4.2590795507267458</v>
      </c>
      <c r="Y43">
        <f t="shared" si="15"/>
        <v>65.616174866707084</v>
      </c>
      <c r="Z43">
        <f t="shared" si="16"/>
        <v>2.8654041389316003</v>
      </c>
      <c r="AA43">
        <f t="shared" si="17"/>
        <v>4.3669173717492544</v>
      </c>
      <c r="AB43">
        <f t="shared" si="18"/>
        <v>1.3936754117951455</v>
      </c>
      <c r="AC43">
        <f t="shared" si="19"/>
        <v>-297.43119925938271</v>
      </c>
      <c r="AD43">
        <f t="shared" si="20"/>
        <v>73.522377091861841</v>
      </c>
      <c r="AE43">
        <f t="shared" si="21"/>
        <v>5.237502446970157</v>
      </c>
      <c r="AF43">
        <f t="shared" si="22"/>
        <v>70.894572127056477</v>
      </c>
      <c r="AG43">
        <v>69</v>
      </c>
      <c r="AH43">
        <v>14</v>
      </c>
      <c r="AI43">
        <f t="shared" si="23"/>
        <v>1</v>
      </c>
      <c r="AJ43">
        <f t="shared" si="24"/>
        <v>0</v>
      </c>
      <c r="AK43">
        <f t="shared" si="25"/>
        <v>51838.959144622539</v>
      </c>
      <c r="AL43" t="s">
        <v>427</v>
      </c>
      <c r="AM43" t="s">
        <v>427</v>
      </c>
      <c r="AN43">
        <v>0</v>
      </c>
      <c r="AO43">
        <v>0</v>
      </c>
      <c r="AP43" t="e">
        <f t="shared" si="26"/>
        <v>#DIV/0!</v>
      </c>
      <c r="AQ43">
        <v>0</v>
      </c>
      <c r="AR43" t="s">
        <v>427</v>
      </c>
      <c r="AS43" t="s">
        <v>427</v>
      </c>
      <c r="AT43">
        <v>0</v>
      </c>
      <c r="AU43">
        <v>0</v>
      </c>
      <c r="AV43" t="e">
        <f t="shared" si="27"/>
        <v>#DIV/0!</v>
      </c>
      <c r="AW43">
        <v>0.5</v>
      </c>
      <c r="AX43">
        <f t="shared" si="28"/>
        <v>1513.18439992104</v>
      </c>
      <c r="AY43">
        <f t="shared" si="29"/>
        <v>5.2364257352323822</v>
      </c>
      <c r="AZ43" t="e">
        <f t="shared" si="30"/>
        <v>#DIV/0!</v>
      </c>
      <c r="BA43">
        <f t="shared" si="31"/>
        <v>3.4605337826015296E-3</v>
      </c>
      <c r="BB43" t="e">
        <f t="shared" si="32"/>
        <v>#DIV/0!</v>
      </c>
      <c r="BC43" t="e">
        <f t="shared" si="33"/>
        <v>#DIV/0!</v>
      </c>
      <c r="BD43" t="s">
        <v>427</v>
      </c>
      <c r="BE43">
        <v>0</v>
      </c>
      <c r="BF43" t="e">
        <f t="shared" si="34"/>
        <v>#DIV/0!</v>
      </c>
      <c r="BG43" t="e">
        <f t="shared" si="35"/>
        <v>#DIV/0!</v>
      </c>
      <c r="BH43" t="e">
        <f t="shared" si="36"/>
        <v>#DIV/0!</v>
      </c>
      <c r="BI43" t="e">
        <f t="shared" si="37"/>
        <v>#DIV/0!</v>
      </c>
      <c r="BJ43" t="e">
        <f t="shared" si="38"/>
        <v>#DIV/0!</v>
      </c>
      <c r="BK43" t="e">
        <f t="shared" si="39"/>
        <v>#DIV/0!</v>
      </c>
      <c r="BL43" t="e">
        <f t="shared" si="40"/>
        <v>#DIV/0!</v>
      </c>
      <c r="BM43" t="e">
        <f t="shared" si="41"/>
        <v>#DIV/0!</v>
      </c>
      <c r="BN43">
        <v>57</v>
      </c>
      <c r="BO43">
        <v>290.00000000000011</v>
      </c>
      <c r="BP43">
        <v>703.18</v>
      </c>
      <c r="BQ43">
        <v>255</v>
      </c>
      <c r="BR43">
        <v>7138.12</v>
      </c>
      <c r="BS43">
        <v>704.89</v>
      </c>
      <c r="BT43">
        <v>-1.71</v>
      </c>
      <c r="BU43">
        <v>300.00000000000011</v>
      </c>
      <c r="BV43">
        <v>38.200000000000003</v>
      </c>
      <c r="BW43">
        <v>728.74773567241994</v>
      </c>
      <c r="BX43">
        <v>1.1386011870779651</v>
      </c>
      <c r="BY43">
        <v>-17.032714413486719</v>
      </c>
      <c r="BZ43">
        <v>0.68116912108597849</v>
      </c>
      <c r="CA43">
        <v>0.95713777959741986</v>
      </c>
      <c r="CB43">
        <v>-7.0434936596218013E-3</v>
      </c>
      <c r="CC43">
        <v>289.99999999999989</v>
      </c>
      <c r="CD43">
        <v>706.21</v>
      </c>
      <c r="CE43">
        <v>695</v>
      </c>
      <c r="CF43">
        <v>7133.84</v>
      </c>
      <c r="CG43">
        <v>704.87</v>
      </c>
      <c r="CH43">
        <v>1.34</v>
      </c>
      <c r="CV43">
        <f t="shared" si="42"/>
        <v>1800</v>
      </c>
      <c r="CW43">
        <f t="shared" si="43"/>
        <v>1513.18439992104</v>
      </c>
      <c r="CX43">
        <f t="shared" si="44"/>
        <v>0.84065799995613333</v>
      </c>
      <c r="CY43">
        <f t="shared" si="45"/>
        <v>0.16086993991533732</v>
      </c>
      <c r="CZ43">
        <v>5</v>
      </c>
      <c r="DA43">
        <v>0.5</v>
      </c>
      <c r="DB43" t="s">
        <v>418</v>
      </c>
      <c r="DC43">
        <v>2</v>
      </c>
      <c r="DD43">
        <v>1700154242.5999999</v>
      </c>
      <c r="DE43">
        <v>24.611999999999998</v>
      </c>
      <c r="DF43">
        <v>30.013200000000001</v>
      </c>
      <c r="DG43">
        <v>28.837199999999999</v>
      </c>
      <c r="DH43">
        <v>22.288699999999999</v>
      </c>
      <c r="DI43">
        <v>23.518000000000001</v>
      </c>
      <c r="DJ43">
        <v>28.562100000000001</v>
      </c>
      <c r="DK43">
        <v>500.113</v>
      </c>
      <c r="DL43">
        <v>99.264700000000005</v>
      </c>
      <c r="DM43">
        <v>0.10015300000000001</v>
      </c>
      <c r="DN43">
        <v>30.430399999999999</v>
      </c>
      <c r="DO43">
        <v>29.994399999999999</v>
      </c>
      <c r="DP43">
        <v>999.9</v>
      </c>
      <c r="DQ43">
        <v>0</v>
      </c>
      <c r="DR43">
        <v>0</v>
      </c>
      <c r="DS43">
        <v>9988.75</v>
      </c>
      <c r="DT43">
        <v>0</v>
      </c>
      <c r="DU43">
        <v>184.96199999999999</v>
      </c>
      <c r="DV43">
        <v>-5.4011699999999996</v>
      </c>
      <c r="DW43">
        <v>25.3429</v>
      </c>
      <c r="DX43">
        <v>30.697399999999998</v>
      </c>
      <c r="DY43">
        <v>6.5484900000000001</v>
      </c>
      <c r="DZ43">
        <v>30.013200000000001</v>
      </c>
      <c r="EA43">
        <v>22.288699999999999</v>
      </c>
      <c r="EB43">
        <v>2.86252</v>
      </c>
      <c r="EC43">
        <v>2.2124799999999998</v>
      </c>
      <c r="ED43">
        <v>23.249099999999999</v>
      </c>
      <c r="EE43">
        <v>19.053000000000001</v>
      </c>
      <c r="EF43">
        <v>1800</v>
      </c>
      <c r="EG43">
        <v>0.97800699999999996</v>
      </c>
      <c r="EH43">
        <v>2.1993499999999999E-2</v>
      </c>
      <c r="EI43">
        <v>0</v>
      </c>
      <c r="EJ43">
        <v>652.60699999999997</v>
      </c>
      <c r="EK43">
        <v>5.0001199999999999</v>
      </c>
      <c r="EL43">
        <v>11844.7</v>
      </c>
      <c r="EM43">
        <v>15630</v>
      </c>
      <c r="EN43">
        <v>51.625</v>
      </c>
      <c r="EO43">
        <v>52.811999999999998</v>
      </c>
      <c r="EP43">
        <v>52.625</v>
      </c>
      <c r="EQ43">
        <v>52.625</v>
      </c>
      <c r="ER43">
        <v>53.186999999999998</v>
      </c>
      <c r="ES43">
        <v>1755.52</v>
      </c>
      <c r="ET43">
        <v>39.479999999999997</v>
      </c>
      <c r="EU43">
        <v>0</v>
      </c>
      <c r="EV43">
        <v>117.7999999523163</v>
      </c>
      <c r="EW43">
        <v>0</v>
      </c>
      <c r="EX43">
        <v>652.22771999999998</v>
      </c>
      <c r="EY43">
        <v>0.29038460646076031</v>
      </c>
      <c r="EZ43">
        <v>16.830769248484248</v>
      </c>
      <c r="FA43">
        <v>11843.531999999999</v>
      </c>
      <c r="FB43">
        <v>15</v>
      </c>
      <c r="FC43">
        <v>1700154199.5999999</v>
      </c>
      <c r="FD43" t="s">
        <v>538</v>
      </c>
      <c r="FE43">
        <v>1700154196.5999999</v>
      </c>
      <c r="FF43">
        <v>1700154199.5999999</v>
      </c>
      <c r="FG43">
        <v>32</v>
      </c>
      <c r="FH43">
        <v>2.1999999999999999E-2</v>
      </c>
      <c r="FI43">
        <v>1E-3</v>
      </c>
      <c r="FJ43">
        <v>1.099</v>
      </c>
      <c r="FK43">
        <v>0.27500000000000002</v>
      </c>
      <c r="FL43">
        <v>30</v>
      </c>
      <c r="FM43">
        <v>22</v>
      </c>
      <c r="FN43">
        <v>0.2</v>
      </c>
      <c r="FO43">
        <v>0.02</v>
      </c>
      <c r="FP43">
        <v>5.2309477632169754</v>
      </c>
      <c r="FQ43">
        <v>3.2995471012680397E-2</v>
      </c>
      <c r="FR43">
        <v>2.9282878292682859E-2</v>
      </c>
      <c r="FS43">
        <v>1</v>
      </c>
      <c r="FT43">
        <v>0.49936605336608392</v>
      </c>
      <c r="FU43">
        <v>4.4432816005700412E-2</v>
      </c>
      <c r="FV43">
        <v>3.2551479856797049E-3</v>
      </c>
      <c r="FW43">
        <v>1</v>
      </c>
      <c r="FX43">
        <v>2</v>
      </c>
      <c r="FY43">
        <v>2</v>
      </c>
      <c r="FZ43" t="s">
        <v>420</v>
      </c>
      <c r="GA43">
        <v>2.9117000000000002</v>
      </c>
      <c r="GB43">
        <v>2.7510599999999998</v>
      </c>
      <c r="GC43">
        <v>6.5032500000000003E-3</v>
      </c>
      <c r="GD43">
        <v>8.4772300000000005E-3</v>
      </c>
      <c r="GE43">
        <v>0.130135</v>
      </c>
      <c r="GF43">
        <v>0.11100500000000001</v>
      </c>
      <c r="GG43">
        <v>30725.1</v>
      </c>
      <c r="GH43">
        <v>30499.599999999999</v>
      </c>
      <c r="GI43">
        <v>28180.400000000001</v>
      </c>
      <c r="GJ43">
        <v>28138.6</v>
      </c>
      <c r="GK43">
        <v>33411.699999999997</v>
      </c>
      <c r="GL43">
        <v>34946.699999999997</v>
      </c>
      <c r="GM43">
        <v>42338.7</v>
      </c>
      <c r="GN43">
        <v>43749.2</v>
      </c>
      <c r="GO43">
        <v>1.62073</v>
      </c>
      <c r="GP43">
        <v>1.8272200000000001</v>
      </c>
      <c r="GQ43">
        <v>-3.1292400000000001E-3</v>
      </c>
      <c r="GR43">
        <v>0</v>
      </c>
      <c r="GS43">
        <v>30.045300000000001</v>
      </c>
      <c r="GT43">
        <v>999.9</v>
      </c>
      <c r="GU43">
        <v>27</v>
      </c>
      <c r="GV43">
        <v>46.2</v>
      </c>
      <c r="GW43">
        <v>27.885300000000001</v>
      </c>
      <c r="GX43">
        <v>61.139499999999998</v>
      </c>
      <c r="GY43">
        <v>31.245999999999999</v>
      </c>
      <c r="GZ43">
        <v>1</v>
      </c>
      <c r="HA43">
        <v>0.703928</v>
      </c>
      <c r="HB43">
        <v>3.8159900000000002</v>
      </c>
      <c r="HC43">
        <v>20.216200000000001</v>
      </c>
      <c r="HD43">
        <v>5.27644</v>
      </c>
      <c r="HE43">
        <v>12.087999999999999</v>
      </c>
      <c r="HF43">
        <v>5.0133999999999999</v>
      </c>
      <c r="HG43">
        <v>3.2919999999999998</v>
      </c>
      <c r="HH43">
        <v>9999</v>
      </c>
      <c r="HI43">
        <v>9999</v>
      </c>
      <c r="HJ43">
        <v>9999</v>
      </c>
      <c r="HK43">
        <v>999.9</v>
      </c>
      <c r="HL43">
        <v>1.87683</v>
      </c>
      <c r="HM43">
        <v>1.8775900000000001</v>
      </c>
      <c r="HN43">
        <v>1.87727</v>
      </c>
      <c r="HO43">
        <v>1.88093</v>
      </c>
      <c r="HP43">
        <v>1.87469</v>
      </c>
      <c r="HQ43">
        <v>1.8775900000000001</v>
      </c>
      <c r="HR43">
        <v>1.8775200000000001</v>
      </c>
      <c r="HS43">
        <v>1.87897</v>
      </c>
      <c r="HT43">
        <v>0</v>
      </c>
      <c r="HU43">
        <v>0</v>
      </c>
      <c r="HV43">
        <v>0</v>
      </c>
      <c r="HW43">
        <v>0</v>
      </c>
      <c r="HX43" t="s">
        <v>421</v>
      </c>
      <c r="HY43" t="s">
        <v>422</v>
      </c>
      <c r="HZ43" t="s">
        <v>423</v>
      </c>
      <c r="IA43" t="s">
        <v>424</v>
      </c>
      <c r="IB43" t="s">
        <v>424</v>
      </c>
      <c r="IC43" t="s">
        <v>423</v>
      </c>
      <c r="ID43">
        <v>0</v>
      </c>
      <c r="IE43">
        <v>100</v>
      </c>
      <c r="IF43">
        <v>100</v>
      </c>
      <c r="IG43">
        <v>1.0940000000000001</v>
      </c>
      <c r="IH43">
        <v>0.27510000000000001</v>
      </c>
      <c r="II43">
        <v>1.073357953476193</v>
      </c>
      <c r="IJ43">
        <v>8.9576739069318506E-4</v>
      </c>
      <c r="IK43">
        <v>-7.2130504814809596E-7</v>
      </c>
      <c r="IL43">
        <v>1.9987036519832741E-10</v>
      </c>
      <c r="IM43">
        <v>0.27512500000000267</v>
      </c>
      <c r="IN43">
        <v>0</v>
      </c>
      <c r="IO43">
        <v>0</v>
      </c>
      <c r="IP43">
        <v>0</v>
      </c>
      <c r="IQ43">
        <v>1</v>
      </c>
      <c r="IR43">
        <v>2126</v>
      </c>
      <c r="IS43">
        <v>0</v>
      </c>
      <c r="IT43">
        <v>20</v>
      </c>
      <c r="IU43">
        <v>0.8</v>
      </c>
      <c r="IV43">
        <v>0.7</v>
      </c>
      <c r="IW43">
        <v>0.223389</v>
      </c>
      <c r="IX43">
        <v>2.7648899999999998</v>
      </c>
      <c r="IY43">
        <v>1.69434</v>
      </c>
      <c r="IZ43">
        <v>2.3327599999999999</v>
      </c>
      <c r="JA43">
        <v>1.5466299999999999</v>
      </c>
      <c r="JB43">
        <v>2.4511699999999998</v>
      </c>
      <c r="JC43">
        <v>51.000700000000002</v>
      </c>
      <c r="JD43">
        <v>23.737300000000001</v>
      </c>
      <c r="JE43">
        <v>18</v>
      </c>
      <c r="JF43">
        <v>407.59100000000001</v>
      </c>
      <c r="JG43">
        <v>458.505</v>
      </c>
      <c r="JH43">
        <v>26.716899999999999</v>
      </c>
      <c r="JI43">
        <v>35.776800000000001</v>
      </c>
      <c r="JJ43">
        <v>30</v>
      </c>
      <c r="JK43">
        <v>35.761800000000001</v>
      </c>
      <c r="JL43">
        <v>35.712699999999998</v>
      </c>
      <c r="JM43">
        <v>4.5420600000000002</v>
      </c>
      <c r="JN43">
        <v>7.6019399999999999</v>
      </c>
      <c r="JO43">
        <v>28.082599999999999</v>
      </c>
      <c r="JP43">
        <v>26.707000000000001</v>
      </c>
      <c r="JQ43">
        <v>30</v>
      </c>
      <c r="JR43">
        <v>22.1569</v>
      </c>
      <c r="JS43">
        <v>98.714799999999997</v>
      </c>
      <c r="JT43">
        <v>98.561899999999994</v>
      </c>
    </row>
    <row r="44" spans="1:280" x14ac:dyDescent="0.25">
      <c r="A44">
        <v>28</v>
      </c>
      <c r="B44">
        <v>1700154343.5999999</v>
      </c>
      <c r="C44">
        <v>6814</v>
      </c>
      <c r="D44" t="s">
        <v>539</v>
      </c>
      <c r="E44" t="s">
        <v>540</v>
      </c>
      <c r="F44" t="s">
        <v>412</v>
      </c>
      <c r="G44" t="s">
        <v>483</v>
      </c>
      <c r="H44" t="s">
        <v>414</v>
      </c>
      <c r="I44">
        <v>1700154343.5999999</v>
      </c>
      <c r="J44">
        <f t="shared" si="0"/>
        <v>7.0964507874398839E-3</v>
      </c>
      <c r="K44">
        <f t="shared" si="1"/>
        <v>7.0964507874398839</v>
      </c>
      <c r="L44">
        <f t="shared" si="2"/>
        <v>1.7226114005010247</v>
      </c>
      <c r="M44">
        <f t="shared" si="3"/>
        <v>8.1694800000000001</v>
      </c>
      <c r="N44">
        <f t="shared" si="4"/>
        <v>2.4442628505386734</v>
      </c>
      <c r="O44">
        <f t="shared" si="5"/>
        <v>0.24286068214644607</v>
      </c>
      <c r="P44">
        <f t="shared" si="6"/>
        <v>0.81171527241618002</v>
      </c>
      <c r="Q44">
        <f t="shared" si="7"/>
        <v>0.53138413033706233</v>
      </c>
      <c r="R44">
        <f t="shared" si="8"/>
        <v>3.1330305692961442</v>
      </c>
      <c r="S44">
        <f t="shared" si="9"/>
        <v>0.48591881892380051</v>
      </c>
      <c r="T44">
        <f t="shared" si="10"/>
        <v>0.30745931664292242</v>
      </c>
      <c r="U44">
        <f t="shared" si="11"/>
        <v>289.57546784761229</v>
      </c>
      <c r="V44">
        <f t="shared" si="12"/>
        <v>30.324703512744779</v>
      </c>
      <c r="W44">
        <f t="shared" si="13"/>
        <v>29.9786</v>
      </c>
      <c r="X44">
        <f t="shared" si="14"/>
        <v>4.2552156383037314</v>
      </c>
      <c r="Y44">
        <f t="shared" si="15"/>
        <v>65.314682450270595</v>
      </c>
      <c r="Z44">
        <f t="shared" si="16"/>
        <v>2.8560782735346502</v>
      </c>
      <c r="AA44">
        <f t="shared" si="17"/>
        <v>4.3727966919370944</v>
      </c>
      <c r="AB44">
        <f t="shared" si="18"/>
        <v>1.3991373647690812</v>
      </c>
      <c r="AC44">
        <f t="shared" si="19"/>
        <v>-312.95347972609886</v>
      </c>
      <c r="AD44">
        <f t="shared" si="20"/>
        <v>80.281945807865213</v>
      </c>
      <c r="AE44">
        <f t="shared" si="21"/>
        <v>5.7098164737960655</v>
      </c>
      <c r="AF44">
        <f t="shared" si="22"/>
        <v>62.61375040317472</v>
      </c>
      <c r="AG44">
        <v>69</v>
      </c>
      <c r="AH44">
        <v>14</v>
      </c>
      <c r="AI44">
        <f t="shared" si="23"/>
        <v>1</v>
      </c>
      <c r="AJ44">
        <f t="shared" si="24"/>
        <v>0</v>
      </c>
      <c r="AK44">
        <f t="shared" si="25"/>
        <v>51965.84628962072</v>
      </c>
      <c r="AL44" t="s">
        <v>415</v>
      </c>
      <c r="AM44">
        <v>6960.3</v>
      </c>
      <c r="AN44">
        <v>244.8124</v>
      </c>
      <c r="AO44">
        <v>892.86711584811997</v>
      </c>
      <c r="AP44">
        <f t="shared" si="26"/>
        <v>0.72581317459826411</v>
      </c>
      <c r="AQ44">
        <v>-0.43209471141234851</v>
      </c>
      <c r="AR44" t="s">
        <v>541</v>
      </c>
      <c r="AS44">
        <v>7139.93</v>
      </c>
      <c r="AT44">
        <v>662.25096000000008</v>
      </c>
      <c r="AU44">
        <v>711.4614438800736</v>
      </c>
      <c r="AV44">
        <f t="shared" si="27"/>
        <v>6.9168166881533266E-2</v>
      </c>
      <c r="AW44">
        <v>0.5</v>
      </c>
      <c r="AX44">
        <f t="shared" si="28"/>
        <v>1513.2347999210424</v>
      </c>
      <c r="AY44">
        <f t="shared" si="29"/>
        <v>1.7226114005010247</v>
      </c>
      <c r="AZ44">
        <f t="shared" si="30"/>
        <v>52.33383858594113</v>
      </c>
      <c r="BA44">
        <f t="shared" si="31"/>
        <v>1.4239073222647282E-3</v>
      </c>
      <c r="BB44">
        <f t="shared" si="32"/>
        <v>0.25497611083282362</v>
      </c>
      <c r="BC44">
        <f t="shared" si="33"/>
        <v>228.81564851568223</v>
      </c>
      <c r="BD44" t="s">
        <v>542</v>
      </c>
      <c r="BE44">
        <v>462.38</v>
      </c>
      <c r="BF44">
        <f t="shared" si="34"/>
        <v>462.38</v>
      </c>
      <c r="BG44">
        <f t="shared" si="35"/>
        <v>0.35009830261730901</v>
      </c>
      <c r="BH44">
        <f t="shared" si="36"/>
        <v>0.19756784412959771</v>
      </c>
      <c r="BI44">
        <f t="shared" si="37"/>
        <v>0.42139628641533616</v>
      </c>
      <c r="BJ44">
        <f t="shared" si="38"/>
        <v>0.10545501919579711</v>
      </c>
      <c r="BK44">
        <f t="shared" si="39"/>
        <v>0.2799233884605527</v>
      </c>
      <c r="BL44">
        <f t="shared" si="40"/>
        <v>0.13794078874365601</v>
      </c>
      <c r="BM44">
        <f t="shared" si="41"/>
        <v>0.86205921125634399</v>
      </c>
      <c r="BN44">
        <v>59</v>
      </c>
      <c r="BO44">
        <v>290.00000000000011</v>
      </c>
      <c r="BP44">
        <v>696.63</v>
      </c>
      <c r="BQ44">
        <v>205</v>
      </c>
      <c r="BR44">
        <v>7139.93</v>
      </c>
      <c r="BS44">
        <v>696.3</v>
      </c>
      <c r="BT44">
        <v>0.33</v>
      </c>
      <c r="BU44">
        <v>300.00000000000011</v>
      </c>
      <c r="BV44">
        <v>38.200000000000003</v>
      </c>
      <c r="BW44">
        <v>711.4614438800736</v>
      </c>
      <c r="BX44">
        <v>0.96003347732390765</v>
      </c>
      <c r="BY44">
        <v>-10.822637237659549</v>
      </c>
      <c r="BZ44">
        <v>0.57437638285696557</v>
      </c>
      <c r="CA44">
        <v>0.92689992480991301</v>
      </c>
      <c r="CB44">
        <v>-7.0438794215795337E-3</v>
      </c>
      <c r="CC44">
        <v>289.99999999999989</v>
      </c>
      <c r="CD44">
        <v>696.23</v>
      </c>
      <c r="CE44">
        <v>835</v>
      </c>
      <c r="CF44">
        <v>7132.23</v>
      </c>
      <c r="CG44">
        <v>696.29</v>
      </c>
      <c r="CH44">
        <v>-0.06</v>
      </c>
      <c r="CV44">
        <f t="shared" si="42"/>
        <v>1800.06</v>
      </c>
      <c r="CW44">
        <f t="shared" si="43"/>
        <v>1513.2347999210424</v>
      </c>
      <c r="CX44">
        <f t="shared" si="44"/>
        <v>0.84065797802353392</v>
      </c>
      <c r="CY44">
        <f t="shared" si="45"/>
        <v>0.16086989758542064</v>
      </c>
      <c r="CZ44">
        <v>5</v>
      </c>
      <c r="DA44">
        <v>0.5</v>
      </c>
      <c r="DB44" t="s">
        <v>418</v>
      </c>
      <c r="DC44">
        <v>2</v>
      </c>
      <c r="DD44">
        <v>1700154343.5999999</v>
      </c>
      <c r="DE44">
        <v>8.1694800000000001</v>
      </c>
      <c r="DF44">
        <v>9.9496099999999998</v>
      </c>
      <c r="DG44">
        <v>28.744900000000001</v>
      </c>
      <c r="DH44">
        <v>21.854199999999999</v>
      </c>
      <c r="DI44">
        <v>7.0941000000000001</v>
      </c>
      <c r="DJ44">
        <v>28.472000000000001</v>
      </c>
      <c r="DK44">
        <v>500.12799999999999</v>
      </c>
      <c r="DL44">
        <v>99.259500000000003</v>
      </c>
      <c r="DM44">
        <v>9.9978499999999998E-2</v>
      </c>
      <c r="DN44">
        <v>30.453900000000001</v>
      </c>
      <c r="DO44">
        <v>29.9786</v>
      </c>
      <c r="DP44">
        <v>999.9</v>
      </c>
      <c r="DQ44">
        <v>0</v>
      </c>
      <c r="DR44">
        <v>0</v>
      </c>
      <c r="DS44">
        <v>10015.6</v>
      </c>
      <c r="DT44">
        <v>0</v>
      </c>
      <c r="DU44">
        <v>152.70699999999999</v>
      </c>
      <c r="DV44">
        <v>-1.7801199999999999</v>
      </c>
      <c r="DW44">
        <v>8.41127</v>
      </c>
      <c r="DX44">
        <v>10.171900000000001</v>
      </c>
      <c r="DY44">
        <v>6.89072</v>
      </c>
      <c r="DZ44">
        <v>9.9496099999999998</v>
      </c>
      <c r="EA44">
        <v>21.854199999999999</v>
      </c>
      <c r="EB44">
        <v>2.8532000000000002</v>
      </c>
      <c r="EC44">
        <v>2.1692300000000002</v>
      </c>
      <c r="ED44">
        <v>23.1952</v>
      </c>
      <c r="EE44">
        <v>18.736899999999999</v>
      </c>
      <c r="EF44">
        <v>1800.06</v>
      </c>
      <c r="EG44">
        <v>0.97800600000000004</v>
      </c>
      <c r="EH44">
        <v>2.1993599999999999E-2</v>
      </c>
      <c r="EI44">
        <v>0</v>
      </c>
      <c r="EJ44">
        <v>662.27599999999995</v>
      </c>
      <c r="EK44">
        <v>5.0001199999999999</v>
      </c>
      <c r="EL44">
        <v>12021.1</v>
      </c>
      <c r="EM44">
        <v>15630.6</v>
      </c>
      <c r="EN44">
        <v>51.686999999999998</v>
      </c>
      <c r="EO44">
        <v>52.811999999999998</v>
      </c>
      <c r="EP44">
        <v>52.625</v>
      </c>
      <c r="EQ44">
        <v>52.686999999999998</v>
      </c>
      <c r="ER44">
        <v>53.186999999999998</v>
      </c>
      <c r="ES44">
        <v>1755.58</v>
      </c>
      <c r="ET44">
        <v>39.479999999999997</v>
      </c>
      <c r="EU44">
        <v>0</v>
      </c>
      <c r="EV44">
        <v>218.5999999046326</v>
      </c>
      <c r="EW44">
        <v>0</v>
      </c>
      <c r="EX44">
        <v>662.25096000000008</v>
      </c>
      <c r="EY44">
        <v>0.16830768497438769</v>
      </c>
      <c r="EZ44">
        <v>3.4384615199625981</v>
      </c>
      <c r="FA44">
        <v>12020.075999999999</v>
      </c>
      <c r="FB44">
        <v>15</v>
      </c>
      <c r="FC44">
        <v>1700154303.5999999</v>
      </c>
      <c r="FD44" t="s">
        <v>543</v>
      </c>
      <c r="FE44">
        <v>1700154303.0999999</v>
      </c>
      <c r="FF44">
        <v>1700154303.5999999</v>
      </c>
      <c r="FG44">
        <v>33</v>
      </c>
      <c r="FH44">
        <v>-4.0000000000000001E-3</v>
      </c>
      <c r="FI44">
        <v>-2E-3</v>
      </c>
      <c r="FJ44">
        <v>1.077</v>
      </c>
      <c r="FK44">
        <v>0.27300000000000002</v>
      </c>
      <c r="FL44">
        <v>10</v>
      </c>
      <c r="FM44">
        <v>22</v>
      </c>
      <c r="FN44">
        <v>0.28000000000000003</v>
      </c>
      <c r="FO44">
        <v>0.02</v>
      </c>
      <c r="FP44">
        <v>1.7545811729739751</v>
      </c>
      <c r="FQ44">
        <v>-0.44729385808254257</v>
      </c>
      <c r="FR44">
        <v>3.5957283462791013E-2</v>
      </c>
      <c r="FS44">
        <v>1</v>
      </c>
      <c r="FT44">
        <v>0.52565377504488142</v>
      </c>
      <c r="FU44">
        <v>4.579016394410252E-2</v>
      </c>
      <c r="FV44">
        <v>4.1119847832514298E-3</v>
      </c>
      <c r="FW44">
        <v>1</v>
      </c>
      <c r="FX44">
        <v>2</v>
      </c>
      <c r="FY44">
        <v>2</v>
      </c>
      <c r="FZ44" t="s">
        <v>420</v>
      </c>
      <c r="GA44">
        <v>2.9117700000000002</v>
      </c>
      <c r="GB44">
        <v>2.7511100000000002</v>
      </c>
      <c r="GC44">
        <v>1.9675199999999999E-3</v>
      </c>
      <c r="GD44">
        <v>2.8229499999999999E-3</v>
      </c>
      <c r="GE44">
        <v>0.12984799999999999</v>
      </c>
      <c r="GF44">
        <v>0.10947900000000001</v>
      </c>
      <c r="GG44">
        <v>30865.3</v>
      </c>
      <c r="GH44">
        <v>30674.799999999999</v>
      </c>
      <c r="GI44">
        <v>28180.6</v>
      </c>
      <c r="GJ44">
        <v>28140.1</v>
      </c>
      <c r="GK44">
        <v>33422</v>
      </c>
      <c r="GL44">
        <v>35008.5</v>
      </c>
      <c r="GM44">
        <v>42337.9</v>
      </c>
      <c r="GN44">
        <v>43751.6</v>
      </c>
      <c r="GO44">
        <v>1.6214999999999999</v>
      </c>
      <c r="GP44">
        <v>1.8259799999999999</v>
      </c>
      <c r="GQ44">
        <v>-6.2137800000000003E-3</v>
      </c>
      <c r="GR44">
        <v>0</v>
      </c>
      <c r="GS44">
        <v>30.079699999999999</v>
      </c>
      <c r="GT44">
        <v>999.9</v>
      </c>
      <c r="GU44">
        <v>26.8</v>
      </c>
      <c r="GV44">
        <v>46.3</v>
      </c>
      <c r="GW44">
        <v>27.817900000000002</v>
      </c>
      <c r="GX44">
        <v>61.449599999999997</v>
      </c>
      <c r="GY44">
        <v>30.885400000000001</v>
      </c>
      <c r="GZ44">
        <v>1</v>
      </c>
      <c r="HA44">
        <v>0.70100600000000002</v>
      </c>
      <c r="HB44">
        <v>3.4568699999999999</v>
      </c>
      <c r="HC44">
        <v>20.223800000000001</v>
      </c>
      <c r="HD44">
        <v>5.2762900000000004</v>
      </c>
      <c r="HE44">
        <v>12.0878</v>
      </c>
      <c r="HF44">
        <v>5.0134499999999997</v>
      </c>
      <c r="HG44">
        <v>3.2919999999999998</v>
      </c>
      <c r="HH44">
        <v>9999</v>
      </c>
      <c r="HI44">
        <v>9999</v>
      </c>
      <c r="HJ44">
        <v>9999</v>
      </c>
      <c r="HK44">
        <v>999.9</v>
      </c>
      <c r="HL44">
        <v>1.87683</v>
      </c>
      <c r="HM44">
        <v>1.87758</v>
      </c>
      <c r="HN44">
        <v>1.87721</v>
      </c>
      <c r="HO44">
        <v>1.88093</v>
      </c>
      <c r="HP44">
        <v>1.8746799999999999</v>
      </c>
      <c r="HQ44">
        <v>1.87758</v>
      </c>
      <c r="HR44">
        <v>1.87748</v>
      </c>
      <c r="HS44">
        <v>1.87897</v>
      </c>
      <c r="HT44">
        <v>0</v>
      </c>
      <c r="HU44">
        <v>0</v>
      </c>
      <c r="HV44">
        <v>0</v>
      </c>
      <c r="HW44">
        <v>0</v>
      </c>
      <c r="HX44" t="s">
        <v>421</v>
      </c>
      <c r="HY44" t="s">
        <v>422</v>
      </c>
      <c r="HZ44" t="s">
        <v>423</v>
      </c>
      <c r="IA44" t="s">
        <v>424</v>
      </c>
      <c r="IB44" t="s">
        <v>424</v>
      </c>
      <c r="IC44" t="s">
        <v>423</v>
      </c>
      <c r="ID44">
        <v>0</v>
      </c>
      <c r="IE44">
        <v>100</v>
      </c>
      <c r="IF44">
        <v>100</v>
      </c>
      <c r="IG44">
        <v>1.075</v>
      </c>
      <c r="IH44">
        <v>0.27289999999999998</v>
      </c>
      <c r="II44">
        <v>1.069062292840649</v>
      </c>
      <c r="IJ44">
        <v>8.9576739069318506E-4</v>
      </c>
      <c r="IK44">
        <v>-7.2130504814809596E-7</v>
      </c>
      <c r="IL44">
        <v>1.9987036519832741E-10</v>
      </c>
      <c r="IM44">
        <v>0.2728350000000006</v>
      </c>
      <c r="IN44">
        <v>0</v>
      </c>
      <c r="IO44">
        <v>0</v>
      </c>
      <c r="IP44">
        <v>0</v>
      </c>
      <c r="IQ44">
        <v>1</v>
      </c>
      <c r="IR44">
        <v>2126</v>
      </c>
      <c r="IS44">
        <v>0</v>
      </c>
      <c r="IT44">
        <v>20</v>
      </c>
      <c r="IU44">
        <v>0.7</v>
      </c>
      <c r="IV44">
        <v>0.7</v>
      </c>
      <c r="IW44">
        <v>0.17822299999999999</v>
      </c>
      <c r="IX44">
        <v>2.7661099999999998</v>
      </c>
      <c r="IY44">
        <v>1.69434</v>
      </c>
      <c r="IZ44">
        <v>2.3315399999999999</v>
      </c>
      <c r="JA44">
        <v>1.54541</v>
      </c>
      <c r="JB44">
        <v>2.52197</v>
      </c>
      <c r="JC44">
        <v>51.000700000000002</v>
      </c>
      <c r="JD44">
        <v>23.745999999999999</v>
      </c>
      <c r="JE44">
        <v>18</v>
      </c>
      <c r="JF44">
        <v>408.08499999999998</v>
      </c>
      <c r="JG44">
        <v>457.63799999999998</v>
      </c>
      <c r="JH44">
        <v>27.039400000000001</v>
      </c>
      <c r="JI44">
        <v>35.760300000000001</v>
      </c>
      <c r="JJ44">
        <v>30</v>
      </c>
      <c r="JK44">
        <v>35.755200000000002</v>
      </c>
      <c r="JL44">
        <v>35.7102</v>
      </c>
      <c r="JM44">
        <v>3.6501100000000002</v>
      </c>
      <c r="JN44">
        <v>9.3750499999999999</v>
      </c>
      <c r="JO44">
        <v>27.458200000000001</v>
      </c>
      <c r="JP44">
        <v>27.031600000000001</v>
      </c>
      <c r="JQ44">
        <v>10</v>
      </c>
      <c r="JR44">
        <v>21.6982</v>
      </c>
      <c r="JS44">
        <v>98.713899999999995</v>
      </c>
      <c r="JT44">
        <v>98.567099999999996</v>
      </c>
    </row>
    <row r="45" spans="1:280" x14ac:dyDescent="0.25">
      <c r="A45">
        <v>29</v>
      </c>
      <c r="B45">
        <v>1700155447</v>
      </c>
      <c r="C45">
        <v>7917.4000000953674</v>
      </c>
      <c r="D45" t="s">
        <v>544</v>
      </c>
      <c r="E45" t="s">
        <v>545</v>
      </c>
      <c r="F45" t="s">
        <v>412</v>
      </c>
      <c r="G45" t="s">
        <v>546</v>
      </c>
      <c r="H45" t="s">
        <v>547</v>
      </c>
      <c r="I45">
        <v>1700155447</v>
      </c>
      <c r="J45">
        <f t="shared" si="0"/>
        <v>4.0343665580145878E-3</v>
      </c>
      <c r="K45">
        <f t="shared" si="1"/>
        <v>4.0343665580145878</v>
      </c>
      <c r="L45">
        <f t="shared" si="2"/>
        <v>46.003403122209022</v>
      </c>
      <c r="M45">
        <f t="shared" si="3"/>
        <v>396.12400000000002</v>
      </c>
      <c r="N45">
        <f t="shared" si="4"/>
        <v>106.32686049379684</v>
      </c>
      <c r="O45">
        <f t="shared" si="5"/>
        <v>10.558290633668221</v>
      </c>
      <c r="P45">
        <f t="shared" si="6"/>
        <v>39.335237582936003</v>
      </c>
      <c r="Q45">
        <f t="shared" si="7"/>
        <v>0.27076478262540099</v>
      </c>
      <c r="R45">
        <f t="shared" si="8"/>
        <v>2.9807701624189087</v>
      </c>
      <c r="S45">
        <f t="shared" si="9"/>
        <v>0.25780510730469963</v>
      </c>
      <c r="T45">
        <f t="shared" si="10"/>
        <v>0.16224086502935797</v>
      </c>
      <c r="U45">
        <f t="shared" si="11"/>
        <v>289.58460584753931</v>
      </c>
      <c r="V45">
        <f t="shared" si="12"/>
        <v>30.704531249908818</v>
      </c>
      <c r="W45">
        <f t="shared" si="13"/>
        <v>29.9785</v>
      </c>
      <c r="X45">
        <f t="shared" si="14"/>
        <v>4.2551911928940127</v>
      </c>
      <c r="Y45">
        <f t="shared" si="15"/>
        <v>64.47584773644806</v>
      </c>
      <c r="Z45">
        <f t="shared" si="16"/>
        <v>2.7561100051641998</v>
      </c>
      <c r="AA45">
        <f t="shared" si="17"/>
        <v>4.2746394222377582</v>
      </c>
      <c r="AB45">
        <f t="shared" si="18"/>
        <v>1.4990811877298129</v>
      </c>
      <c r="AC45">
        <f t="shared" si="19"/>
        <v>-177.91556520844333</v>
      </c>
      <c r="AD45">
        <f t="shared" si="20"/>
        <v>12.759522911108411</v>
      </c>
      <c r="AE45">
        <f t="shared" si="21"/>
        <v>0.95197008943194283</v>
      </c>
      <c r="AF45">
        <f t="shared" si="22"/>
        <v>125.38053363963633</v>
      </c>
      <c r="AG45">
        <v>7</v>
      </c>
      <c r="AH45">
        <v>1</v>
      </c>
      <c r="AI45">
        <f t="shared" si="23"/>
        <v>1</v>
      </c>
      <c r="AJ45">
        <f t="shared" si="24"/>
        <v>0</v>
      </c>
      <c r="AK45">
        <f t="shared" si="25"/>
        <v>51962.179155607861</v>
      </c>
      <c r="AL45" t="s">
        <v>415</v>
      </c>
      <c r="AM45">
        <v>6960.3</v>
      </c>
      <c r="AN45">
        <v>244.8124</v>
      </c>
      <c r="AO45">
        <v>892.86711584811997</v>
      </c>
      <c r="AP45">
        <f t="shared" si="26"/>
        <v>0.72581317459826411</v>
      </c>
      <c r="AQ45">
        <v>-0.43209471141234851</v>
      </c>
      <c r="AR45" t="s">
        <v>548</v>
      </c>
      <c r="AS45">
        <v>7121.89</v>
      </c>
      <c r="AT45">
        <v>721.95667999999989</v>
      </c>
      <c r="AU45">
        <v>1024.433657864327</v>
      </c>
      <c r="AV45">
        <f t="shared" si="27"/>
        <v>0.29526263174026468</v>
      </c>
      <c r="AW45">
        <v>0.5</v>
      </c>
      <c r="AX45">
        <f t="shared" si="28"/>
        <v>1513.2773999210046</v>
      </c>
      <c r="AY45">
        <f t="shared" si="29"/>
        <v>46.003403122209022</v>
      </c>
      <c r="AZ45">
        <f t="shared" si="30"/>
        <v>223.40713382687042</v>
      </c>
      <c r="BA45">
        <f t="shared" si="31"/>
        <v>3.0685383813995618E-2</v>
      </c>
      <c r="BB45">
        <f t="shared" si="32"/>
        <v>-0.12842856246102691</v>
      </c>
      <c r="BC45">
        <f t="shared" si="33"/>
        <v>253.74772517813744</v>
      </c>
      <c r="BD45" t="s">
        <v>549</v>
      </c>
      <c r="BE45">
        <v>484.66</v>
      </c>
      <c r="BF45">
        <f t="shared" si="34"/>
        <v>484.66</v>
      </c>
      <c r="BG45">
        <f t="shared" si="35"/>
        <v>0.52689957394567855</v>
      </c>
      <c r="BH45">
        <f t="shared" si="36"/>
        <v>0.56037743498100689</v>
      </c>
      <c r="BI45">
        <f t="shared" si="37"/>
        <v>-0.32230340165152449</v>
      </c>
      <c r="BJ45">
        <f t="shared" si="38"/>
        <v>0.3879793871872147</v>
      </c>
      <c r="BK45">
        <f t="shared" si="39"/>
        <v>-0.20301764465061206</v>
      </c>
      <c r="BL45">
        <f t="shared" si="40"/>
        <v>0.3761895071569874</v>
      </c>
      <c r="BM45">
        <f t="shared" si="41"/>
        <v>0.6238104928430126</v>
      </c>
      <c r="BN45">
        <v>61</v>
      </c>
      <c r="BO45">
        <v>290.00000000000011</v>
      </c>
      <c r="BP45">
        <v>938.91</v>
      </c>
      <c r="BQ45">
        <v>295</v>
      </c>
      <c r="BR45">
        <v>7121.89</v>
      </c>
      <c r="BS45">
        <v>939.63</v>
      </c>
      <c r="BT45">
        <v>-0.72</v>
      </c>
      <c r="BU45">
        <v>300.00000000000011</v>
      </c>
      <c r="BV45">
        <v>38.200000000000003</v>
      </c>
      <c r="BW45">
        <v>1024.433657864327</v>
      </c>
      <c r="BX45">
        <v>1.152737872726399</v>
      </c>
      <c r="BY45">
        <v>-60.395840992493071</v>
      </c>
      <c r="BZ45">
        <v>0.68812411235724824</v>
      </c>
      <c r="CA45">
        <v>0.99637838886570573</v>
      </c>
      <c r="CB45">
        <v>-7.0284852057842066E-3</v>
      </c>
      <c r="CC45">
        <v>289.99999999999989</v>
      </c>
      <c r="CD45">
        <v>947.49</v>
      </c>
      <c r="CE45">
        <v>805</v>
      </c>
      <c r="CF45">
        <v>7116.64</v>
      </c>
      <c r="CG45">
        <v>939.57</v>
      </c>
      <c r="CH45">
        <v>7.92</v>
      </c>
      <c r="CV45">
        <f t="shared" si="42"/>
        <v>1800.11</v>
      </c>
      <c r="CW45">
        <f t="shared" si="43"/>
        <v>1513.2773999210046</v>
      </c>
      <c r="CX45">
        <f t="shared" si="44"/>
        <v>0.84065829306042672</v>
      </c>
      <c r="CY45">
        <f t="shared" si="45"/>
        <v>0.16087050560662366</v>
      </c>
      <c r="CZ45">
        <v>5.66</v>
      </c>
      <c r="DA45">
        <v>0.5</v>
      </c>
      <c r="DB45" t="s">
        <v>418</v>
      </c>
      <c r="DC45">
        <v>2</v>
      </c>
      <c r="DD45">
        <v>1700155447</v>
      </c>
      <c r="DE45">
        <v>396.12400000000002</v>
      </c>
      <c r="DF45">
        <v>449.97800000000001</v>
      </c>
      <c r="DG45">
        <v>27.755299999999998</v>
      </c>
      <c r="DH45">
        <v>23.317699999999999</v>
      </c>
      <c r="DI45">
        <v>394.52699999999999</v>
      </c>
      <c r="DJ45">
        <v>27.462800000000001</v>
      </c>
      <c r="DK45">
        <v>500.28699999999998</v>
      </c>
      <c r="DL45">
        <v>99.1999</v>
      </c>
      <c r="DM45">
        <v>0.100414</v>
      </c>
      <c r="DN45">
        <v>30.0579</v>
      </c>
      <c r="DO45">
        <v>29.9785</v>
      </c>
      <c r="DP45">
        <v>999.9</v>
      </c>
      <c r="DQ45">
        <v>0</v>
      </c>
      <c r="DR45">
        <v>0</v>
      </c>
      <c r="DS45">
        <v>10007.5</v>
      </c>
      <c r="DT45">
        <v>0</v>
      </c>
      <c r="DU45">
        <v>132.447</v>
      </c>
      <c r="DV45">
        <v>-53.8538</v>
      </c>
      <c r="DW45">
        <v>407.43299999999999</v>
      </c>
      <c r="DX45">
        <v>460.721</v>
      </c>
      <c r="DY45">
        <v>4.4376499999999997</v>
      </c>
      <c r="DZ45">
        <v>449.97800000000001</v>
      </c>
      <c r="EA45">
        <v>23.317699999999999</v>
      </c>
      <c r="EB45">
        <v>2.7533300000000001</v>
      </c>
      <c r="EC45">
        <v>2.31311</v>
      </c>
      <c r="ED45">
        <v>22.6069</v>
      </c>
      <c r="EE45">
        <v>19.768000000000001</v>
      </c>
      <c r="EF45">
        <v>1800.11</v>
      </c>
      <c r="EG45">
        <v>0.97799599999999998</v>
      </c>
      <c r="EH45">
        <v>2.20039E-2</v>
      </c>
      <c r="EI45">
        <v>0</v>
      </c>
      <c r="EJ45">
        <v>721.45799999999997</v>
      </c>
      <c r="EK45">
        <v>5.0001199999999999</v>
      </c>
      <c r="EL45">
        <v>13214.6</v>
      </c>
      <c r="EM45">
        <v>15630.9</v>
      </c>
      <c r="EN45">
        <v>52.186999999999998</v>
      </c>
      <c r="EO45">
        <v>53.375</v>
      </c>
      <c r="EP45">
        <v>53.186999999999998</v>
      </c>
      <c r="EQ45">
        <v>53.25</v>
      </c>
      <c r="ER45">
        <v>53.686999999999998</v>
      </c>
      <c r="ES45">
        <v>1755.61</v>
      </c>
      <c r="ET45">
        <v>39.5</v>
      </c>
      <c r="EU45">
        <v>0</v>
      </c>
      <c r="EV45">
        <v>1101.7999999523161</v>
      </c>
      <c r="EW45">
        <v>0</v>
      </c>
      <c r="EX45">
        <v>721.95667999999989</v>
      </c>
      <c r="EY45">
        <v>-4.0350769189061184</v>
      </c>
      <c r="EZ45">
        <v>-706.61538471931647</v>
      </c>
      <c r="FA45">
        <v>13388.183999999999</v>
      </c>
      <c r="FB45">
        <v>15</v>
      </c>
      <c r="FC45">
        <v>1700155382.5</v>
      </c>
      <c r="FD45" t="s">
        <v>550</v>
      </c>
      <c r="FE45">
        <v>1700155381.5</v>
      </c>
      <c r="FF45">
        <v>1700155382.5</v>
      </c>
      <c r="FG45">
        <v>35</v>
      </c>
      <c r="FH45">
        <v>-4.2999999999999997E-2</v>
      </c>
      <c r="FI45">
        <v>-5.3999999999999999E-2</v>
      </c>
      <c r="FJ45">
        <v>1.619</v>
      </c>
      <c r="FK45">
        <v>0.29299999999999998</v>
      </c>
      <c r="FL45">
        <v>450</v>
      </c>
      <c r="FM45">
        <v>23</v>
      </c>
      <c r="FN45">
        <v>7.0000000000000007E-2</v>
      </c>
      <c r="FO45">
        <v>0.04</v>
      </c>
      <c r="FP45">
        <v>45.964223703285477</v>
      </c>
      <c r="FQ45">
        <v>-0.51624541381268263</v>
      </c>
      <c r="FR45">
        <v>5.4642738282940813E-2</v>
      </c>
      <c r="FS45">
        <v>1</v>
      </c>
      <c r="FT45">
        <v>0.27500037252006232</v>
      </c>
      <c r="FU45">
        <v>-3.1898460581391418E-2</v>
      </c>
      <c r="FV45">
        <v>2.3093588573798E-3</v>
      </c>
      <c r="FW45">
        <v>1</v>
      </c>
      <c r="FX45">
        <v>2</v>
      </c>
      <c r="FY45">
        <v>2</v>
      </c>
      <c r="FZ45" t="s">
        <v>420</v>
      </c>
      <c r="GA45">
        <v>2.9121100000000002</v>
      </c>
      <c r="GB45">
        <v>2.7514799999999999</v>
      </c>
      <c r="GC45">
        <v>8.9531899999999998E-2</v>
      </c>
      <c r="GD45">
        <v>0.100595</v>
      </c>
      <c r="GE45">
        <v>0.12659599999999999</v>
      </c>
      <c r="GF45">
        <v>0.11448999999999999</v>
      </c>
      <c r="GG45">
        <v>28166.2</v>
      </c>
      <c r="GH45">
        <v>27669.599999999999</v>
      </c>
      <c r="GI45">
        <v>28185.3</v>
      </c>
      <c r="GJ45">
        <v>28138.3</v>
      </c>
      <c r="GK45">
        <v>33555.4</v>
      </c>
      <c r="GL45">
        <v>34809.699999999997</v>
      </c>
      <c r="GM45">
        <v>42349.3</v>
      </c>
      <c r="GN45">
        <v>43749.9</v>
      </c>
      <c r="GO45">
        <v>1.73732</v>
      </c>
      <c r="GP45">
        <v>1.8286800000000001</v>
      </c>
      <c r="GQ45">
        <v>-3.3713899999999998E-2</v>
      </c>
      <c r="GR45">
        <v>0</v>
      </c>
      <c r="GS45">
        <v>30.526900000000001</v>
      </c>
      <c r="GT45">
        <v>999.9</v>
      </c>
      <c r="GU45">
        <v>27.3</v>
      </c>
      <c r="GV45">
        <v>46.5</v>
      </c>
      <c r="GW45">
        <v>28.649000000000001</v>
      </c>
      <c r="GX45">
        <v>61.1496</v>
      </c>
      <c r="GY45">
        <v>30.396599999999999</v>
      </c>
      <c r="GZ45">
        <v>1</v>
      </c>
      <c r="HA45">
        <v>0.70119699999999996</v>
      </c>
      <c r="HB45">
        <v>3.40937</v>
      </c>
      <c r="HC45">
        <v>20.2273</v>
      </c>
      <c r="HD45">
        <v>5.2746399999999998</v>
      </c>
      <c r="HE45">
        <v>12.0878</v>
      </c>
      <c r="HF45">
        <v>5.0125500000000001</v>
      </c>
      <c r="HG45">
        <v>3.2919499999999999</v>
      </c>
      <c r="HH45">
        <v>9999</v>
      </c>
      <c r="HI45">
        <v>9999</v>
      </c>
      <c r="HJ45">
        <v>9999</v>
      </c>
      <c r="HK45">
        <v>999.9</v>
      </c>
      <c r="HL45">
        <v>1.87677</v>
      </c>
      <c r="HM45">
        <v>1.87747</v>
      </c>
      <c r="HN45">
        <v>1.87714</v>
      </c>
      <c r="HO45">
        <v>1.8808</v>
      </c>
      <c r="HP45">
        <v>1.8746400000000001</v>
      </c>
      <c r="HQ45">
        <v>1.8775500000000001</v>
      </c>
      <c r="HR45">
        <v>1.87744</v>
      </c>
      <c r="HS45">
        <v>1.87887</v>
      </c>
      <c r="HT45">
        <v>0</v>
      </c>
      <c r="HU45">
        <v>0</v>
      </c>
      <c r="HV45">
        <v>0</v>
      </c>
      <c r="HW45">
        <v>0</v>
      </c>
      <c r="HX45" t="s">
        <v>421</v>
      </c>
      <c r="HY45" t="s">
        <v>422</v>
      </c>
      <c r="HZ45" t="s">
        <v>423</v>
      </c>
      <c r="IA45" t="s">
        <v>424</v>
      </c>
      <c r="IB45" t="s">
        <v>424</v>
      </c>
      <c r="IC45" t="s">
        <v>423</v>
      </c>
      <c r="ID45">
        <v>0</v>
      </c>
      <c r="IE45">
        <v>100</v>
      </c>
      <c r="IF45">
        <v>100</v>
      </c>
      <c r="IG45">
        <v>1.597</v>
      </c>
      <c r="IH45">
        <v>0.29249999999999998</v>
      </c>
      <c r="II45">
        <v>1.3440689978906419</v>
      </c>
      <c r="IJ45">
        <v>8.9576739069318506E-4</v>
      </c>
      <c r="IK45">
        <v>-7.2130504814809596E-7</v>
      </c>
      <c r="IL45">
        <v>1.9987036519832741E-10</v>
      </c>
      <c r="IM45">
        <v>0.29257499999999942</v>
      </c>
      <c r="IN45">
        <v>0</v>
      </c>
      <c r="IO45">
        <v>0</v>
      </c>
      <c r="IP45">
        <v>0</v>
      </c>
      <c r="IQ45">
        <v>1</v>
      </c>
      <c r="IR45">
        <v>2126</v>
      </c>
      <c r="IS45">
        <v>0</v>
      </c>
      <c r="IT45">
        <v>20</v>
      </c>
      <c r="IU45">
        <v>1.1000000000000001</v>
      </c>
      <c r="IV45">
        <v>1.1000000000000001</v>
      </c>
      <c r="IW45">
        <v>1.1511199999999999</v>
      </c>
      <c r="IX45">
        <v>2.7331500000000002</v>
      </c>
      <c r="IY45">
        <v>1.69434</v>
      </c>
      <c r="IZ45">
        <v>2.3315399999999999</v>
      </c>
      <c r="JA45">
        <v>1.5466299999999999</v>
      </c>
      <c r="JB45">
        <v>2.4731399999999999</v>
      </c>
      <c r="JC45">
        <v>50.6402</v>
      </c>
      <c r="JD45">
        <v>23.745999999999999</v>
      </c>
      <c r="JE45">
        <v>18</v>
      </c>
      <c r="JF45">
        <v>494.822</v>
      </c>
      <c r="JG45">
        <v>459.30500000000001</v>
      </c>
      <c r="JH45">
        <v>26.467600000000001</v>
      </c>
      <c r="JI45">
        <v>35.799900000000001</v>
      </c>
      <c r="JJ45">
        <v>29.9999</v>
      </c>
      <c r="JK45">
        <v>35.738700000000001</v>
      </c>
      <c r="JL45">
        <v>35.687199999999997</v>
      </c>
      <c r="JM45">
        <v>23.125299999999999</v>
      </c>
      <c r="JN45">
        <v>6.0869099999999996</v>
      </c>
      <c r="JO45">
        <v>30.5276</v>
      </c>
      <c r="JP45">
        <v>26.483599999999999</v>
      </c>
      <c r="JQ45">
        <v>450</v>
      </c>
      <c r="JR45">
        <v>23.499400000000001</v>
      </c>
      <c r="JS45">
        <v>98.736500000000007</v>
      </c>
      <c r="JT45">
        <v>98.562299999999993</v>
      </c>
    </row>
    <row r="46" spans="1:280" x14ac:dyDescent="0.25">
      <c r="A46">
        <v>30</v>
      </c>
      <c r="B46">
        <v>1700155620.5</v>
      </c>
      <c r="C46">
        <v>8090.9000000953674</v>
      </c>
      <c r="D46" t="s">
        <v>551</v>
      </c>
      <c r="E46" t="s">
        <v>552</v>
      </c>
      <c r="F46" t="s">
        <v>412</v>
      </c>
      <c r="G46" t="s">
        <v>546</v>
      </c>
      <c r="H46" t="s">
        <v>547</v>
      </c>
      <c r="I46">
        <v>1700155620.5</v>
      </c>
      <c r="J46">
        <f t="shared" si="0"/>
        <v>2.6044929266566905E-3</v>
      </c>
      <c r="K46">
        <f t="shared" si="1"/>
        <v>2.6044929266566905</v>
      </c>
      <c r="L46">
        <f t="shared" si="2"/>
        <v>51.398251424915365</v>
      </c>
      <c r="M46">
        <f t="shared" si="3"/>
        <v>1437.836</v>
      </c>
      <c r="N46">
        <f t="shared" si="4"/>
        <v>928.69051774925288</v>
      </c>
      <c r="O46">
        <f t="shared" si="5"/>
        <v>92.21432774598361</v>
      </c>
      <c r="P46">
        <f t="shared" si="6"/>
        <v>142.769929933508</v>
      </c>
      <c r="Q46">
        <f t="shared" si="7"/>
        <v>0.17600734542197288</v>
      </c>
      <c r="R46">
        <f t="shared" si="8"/>
        <v>2.9780690215542824</v>
      </c>
      <c r="S46">
        <f t="shared" si="9"/>
        <v>0.17042590689256334</v>
      </c>
      <c r="T46">
        <f t="shared" si="10"/>
        <v>0.10700291785402979</v>
      </c>
      <c r="U46">
        <f t="shared" si="11"/>
        <v>289.60216184754864</v>
      </c>
      <c r="V46">
        <f t="shared" si="12"/>
        <v>30.855477466274426</v>
      </c>
      <c r="W46">
        <f t="shared" si="13"/>
        <v>29.974799999999998</v>
      </c>
      <c r="X46">
        <f t="shared" si="14"/>
        <v>4.2542867987702957</v>
      </c>
      <c r="Y46">
        <f t="shared" si="15"/>
        <v>66.096908876375167</v>
      </c>
      <c r="Z46">
        <f t="shared" si="16"/>
        <v>2.7906662003143996</v>
      </c>
      <c r="AA46">
        <f t="shared" si="17"/>
        <v>4.2220827687024549</v>
      </c>
      <c r="AB46">
        <f t="shared" si="18"/>
        <v>1.4636205984558961</v>
      </c>
      <c r="AC46">
        <f t="shared" si="19"/>
        <v>-114.85813806556006</v>
      </c>
      <c r="AD46">
        <f t="shared" si="20"/>
        <v>-21.225193467302148</v>
      </c>
      <c r="AE46">
        <f t="shared" si="21"/>
        <v>-1.5833005708157659</v>
      </c>
      <c r="AF46">
        <f t="shared" si="22"/>
        <v>151.93552974387066</v>
      </c>
      <c r="AG46">
        <v>7</v>
      </c>
      <c r="AH46">
        <v>1</v>
      </c>
      <c r="AI46">
        <f t="shared" si="23"/>
        <v>1</v>
      </c>
      <c r="AJ46">
        <f t="shared" si="24"/>
        <v>0</v>
      </c>
      <c r="AK46">
        <f t="shared" si="25"/>
        <v>51924.784693069036</v>
      </c>
      <c r="AL46" t="s">
        <v>427</v>
      </c>
      <c r="AM46" t="s">
        <v>427</v>
      </c>
      <c r="AN46">
        <v>0</v>
      </c>
      <c r="AO46">
        <v>0</v>
      </c>
      <c r="AP46" t="e">
        <f t="shared" si="26"/>
        <v>#DIV/0!</v>
      </c>
      <c r="AQ46">
        <v>0</v>
      </c>
      <c r="AR46" t="s">
        <v>427</v>
      </c>
      <c r="AS46" t="s">
        <v>427</v>
      </c>
      <c r="AT46">
        <v>0</v>
      </c>
      <c r="AU46">
        <v>0</v>
      </c>
      <c r="AV46" t="e">
        <f t="shared" si="27"/>
        <v>#DIV/0!</v>
      </c>
      <c r="AW46">
        <v>0.5</v>
      </c>
      <c r="AX46">
        <f t="shared" si="28"/>
        <v>1513.3697999210096</v>
      </c>
      <c r="AY46">
        <f t="shared" si="29"/>
        <v>51.398251424915365</v>
      </c>
      <c r="AZ46" t="e">
        <f t="shared" si="30"/>
        <v>#DIV/0!</v>
      </c>
      <c r="BA46">
        <f t="shared" si="31"/>
        <v>3.3962783866572532E-2</v>
      </c>
      <c r="BB46" t="e">
        <f t="shared" si="32"/>
        <v>#DIV/0!</v>
      </c>
      <c r="BC46" t="e">
        <f t="shared" si="33"/>
        <v>#DIV/0!</v>
      </c>
      <c r="BD46" t="s">
        <v>427</v>
      </c>
      <c r="BE46">
        <v>0</v>
      </c>
      <c r="BF46" t="e">
        <f t="shared" si="34"/>
        <v>#DIV/0!</v>
      </c>
      <c r="BG46" t="e">
        <f t="shared" si="35"/>
        <v>#DIV/0!</v>
      </c>
      <c r="BH46" t="e">
        <f t="shared" si="36"/>
        <v>#DIV/0!</v>
      </c>
      <c r="BI46" t="e">
        <f t="shared" si="37"/>
        <v>#DIV/0!</v>
      </c>
      <c r="BJ46" t="e">
        <f t="shared" si="38"/>
        <v>#DIV/0!</v>
      </c>
      <c r="BK46" t="e">
        <f t="shared" si="39"/>
        <v>#DIV/0!</v>
      </c>
      <c r="BL46" t="e">
        <f t="shared" si="40"/>
        <v>#DIV/0!</v>
      </c>
      <c r="BM46" t="e">
        <f t="shared" si="41"/>
        <v>#DIV/0!</v>
      </c>
      <c r="BN46">
        <v>61</v>
      </c>
      <c r="BO46">
        <v>290.00000000000011</v>
      </c>
      <c r="BP46">
        <v>938.91</v>
      </c>
      <c r="BQ46">
        <v>295</v>
      </c>
      <c r="BR46">
        <v>7121.89</v>
      </c>
      <c r="BS46">
        <v>939.63</v>
      </c>
      <c r="BT46">
        <v>-0.72</v>
      </c>
      <c r="BU46">
        <v>300.00000000000011</v>
      </c>
      <c r="BV46">
        <v>38.200000000000003</v>
      </c>
      <c r="BW46">
        <v>1024.433657864327</v>
      </c>
      <c r="BX46">
        <v>1.152737872726399</v>
      </c>
      <c r="BY46">
        <v>-60.395840992493071</v>
      </c>
      <c r="BZ46">
        <v>0.68812411235724824</v>
      </c>
      <c r="CA46">
        <v>0.99637838886570573</v>
      </c>
      <c r="CB46">
        <v>-7.0284852057842066E-3</v>
      </c>
      <c r="CC46">
        <v>289.99999999999989</v>
      </c>
      <c r="CD46">
        <v>947.49</v>
      </c>
      <c r="CE46">
        <v>805</v>
      </c>
      <c r="CF46">
        <v>7116.64</v>
      </c>
      <c r="CG46">
        <v>939.57</v>
      </c>
      <c r="CH46">
        <v>7.92</v>
      </c>
      <c r="CV46">
        <f t="shared" si="42"/>
        <v>1800.22</v>
      </c>
      <c r="CW46">
        <f t="shared" si="43"/>
        <v>1513.3697999210096</v>
      </c>
      <c r="CX46">
        <f t="shared" si="44"/>
        <v>0.84065825283632534</v>
      </c>
      <c r="CY46">
        <f t="shared" si="45"/>
        <v>0.16087042797410797</v>
      </c>
      <c r="CZ46">
        <v>5.66</v>
      </c>
      <c r="DA46">
        <v>0.5</v>
      </c>
      <c r="DB46" t="s">
        <v>418</v>
      </c>
      <c r="DC46">
        <v>2</v>
      </c>
      <c r="DD46">
        <v>1700155620.5</v>
      </c>
      <c r="DE46">
        <v>1437.836</v>
      </c>
      <c r="DF46">
        <v>1500.24</v>
      </c>
      <c r="DG46">
        <v>28.104800000000001</v>
      </c>
      <c r="DH46">
        <v>25.240200000000002</v>
      </c>
      <c r="DI46">
        <v>1435.62</v>
      </c>
      <c r="DJ46">
        <v>27.783799999999999</v>
      </c>
      <c r="DK46">
        <v>500.14400000000001</v>
      </c>
      <c r="DL46">
        <v>99.194800000000001</v>
      </c>
      <c r="DM46">
        <v>0.100203</v>
      </c>
      <c r="DN46">
        <v>29.842600000000001</v>
      </c>
      <c r="DO46">
        <v>29.974799999999998</v>
      </c>
      <c r="DP46">
        <v>999.9</v>
      </c>
      <c r="DQ46">
        <v>0</v>
      </c>
      <c r="DR46">
        <v>0</v>
      </c>
      <c r="DS46">
        <v>9993.1200000000008</v>
      </c>
      <c r="DT46">
        <v>0</v>
      </c>
      <c r="DU46">
        <v>169.14500000000001</v>
      </c>
      <c r="DV46">
        <v>-62.889499999999998</v>
      </c>
      <c r="DW46">
        <v>1478.87</v>
      </c>
      <c r="DX46">
        <v>1539.09</v>
      </c>
      <c r="DY46">
        <v>2.8361499999999999</v>
      </c>
      <c r="DZ46">
        <v>1500.24</v>
      </c>
      <c r="EA46">
        <v>25.240200000000002</v>
      </c>
      <c r="EB46">
        <v>2.7850299999999999</v>
      </c>
      <c r="EC46">
        <v>2.5036999999999998</v>
      </c>
      <c r="ED46">
        <v>22.7956</v>
      </c>
      <c r="EE46">
        <v>21.050599999999999</v>
      </c>
      <c r="EF46">
        <v>1800.22</v>
      </c>
      <c r="EG46">
        <v>0.97799599999999998</v>
      </c>
      <c r="EH46">
        <v>2.20039E-2</v>
      </c>
      <c r="EI46">
        <v>0</v>
      </c>
      <c r="EJ46">
        <v>710.61400000000003</v>
      </c>
      <c r="EK46">
        <v>5.0001199999999999</v>
      </c>
      <c r="EL46">
        <v>13305.7</v>
      </c>
      <c r="EM46">
        <v>15631.9</v>
      </c>
      <c r="EN46">
        <v>52.125</v>
      </c>
      <c r="EO46">
        <v>53.25</v>
      </c>
      <c r="EP46">
        <v>53.125</v>
      </c>
      <c r="EQ46">
        <v>53.061999999999998</v>
      </c>
      <c r="ER46">
        <v>53.625</v>
      </c>
      <c r="ES46">
        <v>1755.72</v>
      </c>
      <c r="ET46">
        <v>39.5</v>
      </c>
      <c r="EU46">
        <v>0</v>
      </c>
      <c r="EV46">
        <v>171.5999999046326</v>
      </c>
      <c r="EW46">
        <v>0</v>
      </c>
      <c r="EX46">
        <v>710.84176923076916</v>
      </c>
      <c r="EY46">
        <v>-2.7398290622179462</v>
      </c>
      <c r="EZ46">
        <v>-122.76581171430411</v>
      </c>
      <c r="FA46">
        <v>13310.719230769229</v>
      </c>
      <c r="FB46">
        <v>15</v>
      </c>
      <c r="FC46">
        <v>1700155648.5</v>
      </c>
      <c r="FD46" t="s">
        <v>553</v>
      </c>
      <c r="FE46">
        <v>1700155648.5</v>
      </c>
      <c r="FF46">
        <v>1700155639</v>
      </c>
      <c r="FG46">
        <v>36</v>
      </c>
      <c r="FH46">
        <v>0.47699999999999998</v>
      </c>
      <c r="FI46">
        <v>2.8000000000000001E-2</v>
      </c>
      <c r="FJ46">
        <v>2.2160000000000002</v>
      </c>
      <c r="FK46">
        <v>0.32100000000000001</v>
      </c>
      <c r="FL46">
        <v>1500</v>
      </c>
      <c r="FM46">
        <v>25</v>
      </c>
      <c r="FN46">
        <v>0.09</v>
      </c>
      <c r="FO46">
        <v>7.0000000000000007E-2</v>
      </c>
      <c r="FP46">
        <v>51.876825662411733</v>
      </c>
      <c r="FQ46">
        <v>-0.43437782699788652</v>
      </c>
      <c r="FR46">
        <v>5.8810344434437993E-2</v>
      </c>
      <c r="FS46">
        <v>1</v>
      </c>
      <c r="FT46">
        <v>0.16868281547319311</v>
      </c>
      <c r="FU46">
        <v>4.6234202531412201E-2</v>
      </c>
      <c r="FV46">
        <v>3.632879413445588E-3</v>
      </c>
      <c r="FW46">
        <v>1</v>
      </c>
      <c r="FX46">
        <v>2</v>
      </c>
      <c r="FY46">
        <v>2</v>
      </c>
      <c r="FZ46" t="s">
        <v>420</v>
      </c>
      <c r="GA46">
        <v>2.9119100000000002</v>
      </c>
      <c r="GB46">
        <v>2.7511399999999999</v>
      </c>
      <c r="GC46">
        <v>0.21574699999999999</v>
      </c>
      <c r="GD46">
        <v>0.224412</v>
      </c>
      <c r="GE46">
        <v>0.12762599999999999</v>
      </c>
      <c r="GF46">
        <v>0.120964</v>
      </c>
      <c r="GG46">
        <v>24260.7</v>
      </c>
      <c r="GH46">
        <v>23858.9</v>
      </c>
      <c r="GI46">
        <v>28190.400000000001</v>
      </c>
      <c r="GJ46">
        <v>28143.3</v>
      </c>
      <c r="GK46">
        <v>33522</v>
      </c>
      <c r="GL46">
        <v>34560.1</v>
      </c>
      <c r="GM46">
        <v>42358.2</v>
      </c>
      <c r="GN46">
        <v>43757.3</v>
      </c>
      <c r="GO46">
        <v>1.7372000000000001</v>
      </c>
      <c r="GP46">
        <v>1.83683</v>
      </c>
      <c r="GQ46">
        <v>-1.14739E-2</v>
      </c>
      <c r="GR46">
        <v>0</v>
      </c>
      <c r="GS46">
        <v>30.1615</v>
      </c>
      <c r="GT46">
        <v>999.9</v>
      </c>
      <c r="GU46">
        <v>28.8</v>
      </c>
      <c r="GV46">
        <v>46.3</v>
      </c>
      <c r="GW46">
        <v>29.918399999999998</v>
      </c>
      <c r="GX46">
        <v>61.069600000000001</v>
      </c>
      <c r="GY46">
        <v>30.576899999999998</v>
      </c>
      <c r="GZ46">
        <v>1</v>
      </c>
      <c r="HA46">
        <v>0.69649099999999997</v>
      </c>
      <c r="HB46">
        <v>4.1170099999999996</v>
      </c>
      <c r="HC46">
        <v>20.212599999999998</v>
      </c>
      <c r="HD46">
        <v>5.2752400000000002</v>
      </c>
      <c r="HE46">
        <v>12.0878</v>
      </c>
      <c r="HF46">
        <v>5.0125999999999999</v>
      </c>
      <c r="HG46">
        <v>3.2919999999999998</v>
      </c>
      <c r="HH46">
        <v>9999</v>
      </c>
      <c r="HI46">
        <v>9999</v>
      </c>
      <c r="HJ46">
        <v>9999</v>
      </c>
      <c r="HK46">
        <v>999.9</v>
      </c>
      <c r="HL46">
        <v>1.8767</v>
      </c>
      <c r="HM46">
        <v>1.87744</v>
      </c>
      <c r="HN46">
        <v>1.8771199999999999</v>
      </c>
      <c r="HO46">
        <v>1.8808</v>
      </c>
      <c r="HP46">
        <v>1.8745400000000001</v>
      </c>
      <c r="HQ46">
        <v>1.8774599999999999</v>
      </c>
      <c r="HR46">
        <v>1.8774200000000001</v>
      </c>
      <c r="HS46">
        <v>1.8788100000000001</v>
      </c>
      <c r="HT46">
        <v>0</v>
      </c>
      <c r="HU46">
        <v>0</v>
      </c>
      <c r="HV46">
        <v>0</v>
      </c>
      <c r="HW46">
        <v>0</v>
      </c>
      <c r="HX46" t="s">
        <v>421</v>
      </c>
      <c r="HY46" t="s">
        <v>422</v>
      </c>
      <c r="HZ46" t="s">
        <v>423</v>
      </c>
      <c r="IA46" t="s">
        <v>424</v>
      </c>
      <c r="IB46" t="s">
        <v>424</v>
      </c>
      <c r="IC46" t="s">
        <v>423</v>
      </c>
      <c r="ID46">
        <v>0</v>
      </c>
      <c r="IE46">
        <v>100</v>
      </c>
      <c r="IF46">
        <v>100</v>
      </c>
      <c r="IG46">
        <v>2.2160000000000002</v>
      </c>
      <c r="IH46">
        <v>0.32100000000000001</v>
      </c>
      <c r="II46">
        <v>1.3440689978906419</v>
      </c>
      <c r="IJ46">
        <v>8.9576739069318506E-4</v>
      </c>
      <c r="IK46">
        <v>-7.2130504814809596E-7</v>
      </c>
      <c r="IL46">
        <v>1.9987036519832741E-10</v>
      </c>
      <c r="IM46">
        <v>0.29257499999999942</v>
      </c>
      <c r="IN46">
        <v>0</v>
      </c>
      <c r="IO46">
        <v>0</v>
      </c>
      <c r="IP46">
        <v>0</v>
      </c>
      <c r="IQ46">
        <v>1</v>
      </c>
      <c r="IR46">
        <v>2126</v>
      </c>
      <c r="IS46">
        <v>0</v>
      </c>
      <c r="IT46">
        <v>20</v>
      </c>
      <c r="IU46">
        <v>4</v>
      </c>
      <c r="IV46">
        <v>4</v>
      </c>
      <c r="IW46">
        <v>3.0700699999999999</v>
      </c>
      <c r="IX46">
        <v>2.6709000000000001</v>
      </c>
      <c r="IY46">
        <v>1.69434</v>
      </c>
      <c r="IZ46">
        <v>2.3303199999999999</v>
      </c>
      <c r="JA46">
        <v>1.5466299999999999</v>
      </c>
      <c r="JB46">
        <v>2.4706999999999999</v>
      </c>
      <c r="JC46">
        <v>50.250900000000001</v>
      </c>
      <c r="JD46">
        <v>23.7285</v>
      </c>
      <c r="JE46">
        <v>18</v>
      </c>
      <c r="JF46">
        <v>494.13299999999998</v>
      </c>
      <c r="JG46">
        <v>464.39400000000001</v>
      </c>
      <c r="JH46">
        <v>25.786000000000001</v>
      </c>
      <c r="JI46">
        <v>35.710799999999999</v>
      </c>
      <c r="JJ46">
        <v>30</v>
      </c>
      <c r="JK46">
        <v>35.669499999999999</v>
      </c>
      <c r="JL46">
        <v>35.622300000000003</v>
      </c>
      <c r="JM46">
        <v>61.504899999999999</v>
      </c>
      <c r="JN46">
        <v>6.6257799999999998</v>
      </c>
      <c r="JO46">
        <v>35.634399999999999</v>
      </c>
      <c r="JP46">
        <v>25.7987</v>
      </c>
      <c r="JQ46">
        <v>1500</v>
      </c>
      <c r="JR46">
        <v>24.926200000000001</v>
      </c>
      <c r="JS46">
        <v>98.756100000000004</v>
      </c>
      <c r="JT46">
        <v>98.579400000000007</v>
      </c>
    </row>
    <row r="47" spans="1:280" x14ac:dyDescent="0.25">
      <c r="A47">
        <v>31</v>
      </c>
      <c r="B47">
        <v>1700155763.5</v>
      </c>
      <c r="C47">
        <v>8233.9000000953674</v>
      </c>
      <c r="D47" t="s">
        <v>554</v>
      </c>
      <c r="E47" t="s">
        <v>555</v>
      </c>
      <c r="F47" t="s">
        <v>412</v>
      </c>
      <c r="G47" t="s">
        <v>546</v>
      </c>
      <c r="H47" t="s">
        <v>547</v>
      </c>
      <c r="I47">
        <v>1700155763.5</v>
      </c>
      <c r="J47">
        <f t="shared" si="0"/>
        <v>1.8837333959549033E-3</v>
      </c>
      <c r="K47">
        <f t="shared" si="1"/>
        <v>1.8837333959549032</v>
      </c>
      <c r="L47">
        <f t="shared" si="2"/>
        <v>51.152096989530428</v>
      </c>
      <c r="M47">
        <f t="shared" si="3"/>
        <v>1189.6500000000001</v>
      </c>
      <c r="N47">
        <f t="shared" si="4"/>
        <v>486.03332155952228</v>
      </c>
      <c r="O47">
        <f t="shared" si="5"/>
        <v>48.252187759331783</v>
      </c>
      <c r="P47">
        <f t="shared" si="6"/>
        <v>118.10551380243001</v>
      </c>
      <c r="Q47">
        <f t="shared" si="7"/>
        <v>0.12224676462143093</v>
      </c>
      <c r="R47">
        <f t="shared" si="8"/>
        <v>2.9756020651058264</v>
      </c>
      <c r="S47">
        <f t="shared" si="9"/>
        <v>0.11952365932380188</v>
      </c>
      <c r="T47">
        <f t="shared" si="10"/>
        <v>7.494189510023716E-2</v>
      </c>
      <c r="U47">
        <f t="shared" si="11"/>
        <v>289.57502984753427</v>
      </c>
      <c r="V47">
        <f t="shared" si="12"/>
        <v>31.122915517479406</v>
      </c>
      <c r="W47">
        <f t="shared" si="13"/>
        <v>30.011800000000001</v>
      </c>
      <c r="X47">
        <f t="shared" si="14"/>
        <v>4.2633382829846225</v>
      </c>
      <c r="Y47">
        <f t="shared" si="15"/>
        <v>64.919565453556075</v>
      </c>
      <c r="Z47">
        <f t="shared" si="16"/>
        <v>2.7539884710070601</v>
      </c>
      <c r="AA47">
        <f t="shared" si="17"/>
        <v>4.2421548138323315</v>
      </c>
      <c r="AB47">
        <f t="shared" si="18"/>
        <v>1.5093498119775624</v>
      </c>
      <c r="AC47">
        <f t="shared" si="19"/>
        <v>-83.072642761611235</v>
      </c>
      <c r="AD47">
        <f t="shared" si="20"/>
        <v>-13.908471094896601</v>
      </c>
      <c r="AE47">
        <f t="shared" si="21"/>
        <v>-1.0389818781965303</v>
      </c>
      <c r="AF47">
        <f t="shared" si="22"/>
        <v>191.5549341128299</v>
      </c>
      <c r="AG47">
        <v>7</v>
      </c>
      <c r="AH47">
        <v>1</v>
      </c>
      <c r="AI47">
        <f t="shared" si="23"/>
        <v>1</v>
      </c>
      <c r="AJ47">
        <f t="shared" si="24"/>
        <v>0</v>
      </c>
      <c r="AK47">
        <f t="shared" si="25"/>
        <v>51842.544085222617</v>
      </c>
      <c r="AL47" t="s">
        <v>415</v>
      </c>
      <c r="AM47">
        <v>6960.3</v>
      </c>
      <c r="AN47">
        <v>244.8124</v>
      </c>
      <c r="AO47">
        <v>892.86711584811997</v>
      </c>
      <c r="AP47">
        <f t="shared" si="26"/>
        <v>0.72581317459826411</v>
      </c>
      <c r="AQ47">
        <v>-0.43209471141234851</v>
      </c>
      <c r="AR47" t="s">
        <v>556</v>
      </c>
      <c r="AS47">
        <v>7123.3</v>
      </c>
      <c r="AT47">
        <v>707.99361538461551</v>
      </c>
      <c r="AU47">
        <v>1046.6012284720771</v>
      </c>
      <c r="AV47">
        <f t="shared" si="27"/>
        <v>0.3235306856860769</v>
      </c>
      <c r="AW47">
        <v>0.5</v>
      </c>
      <c r="AX47">
        <f t="shared" si="28"/>
        <v>1513.2269999210021</v>
      </c>
      <c r="AY47">
        <f t="shared" si="29"/>
        <v>51.152096989530428</v>
      </c>
      <c r="AZ47">
        <f t="shared" si="30"/>
        <v>244.78768444156341</v>
      </c>
      <c r="BA47">
        <f t="shared" si="31"/>
        <v>3.4088865519605271E-2</v>
      </c>
      <c r="BB47">
        <f t="shared" si="32"/>
        <v>-0.14688890901493787</v>
      </c>
      <c r="BC47">
        <f t="shared" si="33"/>
        <v>255.0859891437068</v>
      </c>
      <c r="BD47" t="s">
        <v>557</v>
      </c>
      <c r="BE47">
        <v>487.49</v>
      </c>
      <c r="BF47">
        <f t="shared" si="34"/>
        <v>487.49</v>
      </c>
      <c r="BG47">
        <f t="shared" si="35"/>
        <v>0.5342161018560222</v>
      </c>
      <c r="BH47">
        <f t="shared" si="36"/>
        <v>0.60561762283472398</v>
      </c>
      <c r="BI47">
        <f t="shared" si="37"/>
        <v>-0.37923727466045637</v>
      </c>
      <c r="BJ47">
        <f t="shared" si="38"/>
        <v>0.42231520453175514</v>
      </c>
      <c r="BK47">
        <f t="shared" si="39"/>
        <v>-0.23722397023646799</v>
      </c>
      <c r="BL47">
        <f t="shared" si="40"/>
        <v>0.41699886628965621</v>
      </c>
      <c r="BM47">
        <f t="shared" si="41"/>
        <v>0.58300113371034379</v>
      </c>
      <c r="BN47">
        <v>63</v>
      </c>
      <c r="BO47">
        <v>290.00000000000011</v>
      </c>
      <c r="BP47">
        <v>947.74</v>
      </c>
      <c r="BQ47">
        <v>265</v>
      </c>
      <c r="BR47">
        <v>7123.3</v>
      </c>
      <c r="BS47">
        <v>949.29</v>
      </c>
      <c r="BT47">
        <v>-1.55</v>
      </c>
      <c r="BU47">
        <v>300.00000000000011</v>
      </c>
      <c r="BV47">
        <v>38.200000000000003</v>
      </c>
      <c r="BW47">
        <v>1046.6012284720771</v>
      </c>
      <c r="BX47">
        <v>1.387132311246035</v>
      </c>
      <c r="BY47">
        <v>-69.315837653649581</v>
      </c>
      <c r="BZ47">
        <v>0.82815508291744133</v>
      </c>
      <c r="CA47">
        <v>0.99601907424002656</v>
      </c>
      <c r="CB47">
        <v>-7.0293546162402748E-3</v>
      </c>
      <c r="CC47">
        <v>289.99999999999989</v>
      </c>
      <c r="CD47">
        <v>957.02</v>
      </c>
      <c r="CE47">
        <v>885</v>
      </c>
      <c r="CF47">
        <v>7116.72</v>
      </c>
      <c r="CG47">
        <v>949.2</v>
      </c>
      <c r="CH47">
        <v>7.82</v>
      </c>
      <c r="CV47">
        <f t="shared" si="42"/>
        <v>1800.05</v>
      </c>
      <c r="CW47">
        <f t="shared" si="43"/>
        <v>1513.2269999210021</v>
      </c>
      <c r="CX47">
        <f t="shared" si="44"/>
        <v>0.84065831500291777</v>
      </c>
      <c r="CY47">
        <f t="shared" si="45"/>
        <v>0.16087054795563138</v>
      </c>
      <c r="CZ47">
        <v>5.66</v>
      </c>
      <c r="DA47">
        <v>0.5</v>
      </c>
      <c r="DB47" t="s">
        <v>418</v>
      </c>
      <c r="DC47">
        <v>2</v>
      </c>
      <c r="DD47">
        <v>1700155763.5</v>
      </c>
      <c r="DE47">
        <v>1189.6500000000001</v>
      </c>
      <c r="DF47">
        <v>1250.0899999999999</v>
      </c>
      <c r="DG47">
        <v>27.740300000000001</v>
      </c>
      <c r="DH47">
        <v>25.667100000000001</v>
      </c>
      <c r="DI47">
        <v>1187.6199999999999</v>
      </c>
      <c r="DJ47">
        <v>27.421600000000002</v>
      </c>
      <c r="DK47">
        <v>500.00799999999998</v>
      </c>
      <c r="DL47">
        <v>99.177700000000002</v>
      </c>
      <c r="DM47">
        <v>9.9830199999999994E-2</v>
      </c>
      <c r="DN47">
        <v>29.9251</v>
      </c>
      <c r="DO47">
        <v>30.011800000000001</v>
      </c>
      <c r="DP47">
        <v>999.9</v>
      </c>
      <c r="DQ47">
        <v>0</v>
      </c>
      <c r="DR47">
        <v>0</v>
      </c>
      <c r="DS47">
        <v>9981.25</v>
      </c>
      <c r="DT47">
        <v>0</v>
      </c>
      <c r="DU47">
        <v>161.66200000000001</v>
      </c>
      <c r="DV47">
        <v>-60.443199999999997</v>
      </c>
      <c r="DW47">
        <v>1223.5899999999999</v>
      </c>
      <c r="DX47">
        <v>1283.02</v>
      </c>
      <c r="DY47">
        <v>2.0732400000000002</v>
      </c>
      <c r="DZ47">
        <v>1250.0899999999999</v>
      </c>
      <c r="EA47">
        <v>25.667100000000001</v>
      </c>
      <c r="EB47">
        <v>2.75122</v>
      </c>
      <c r="EC47">
        <v>2.5455999999999999</v>
      </c>
      <c r="ED47">
        <v>22.5943</v>
      </c>
      <c r="EE47">
        <v>21.321100000000001</v>
      </c>
      <c r="EF47">
        <v>1800.05</v>
      </c>
      <c r="EG47">
        <v>0.977993</v>
      </c>
      <c r="EH47">
        <v>2.20074E-2</v>
      </c>
      <c r="EI47">
        <v>0</v>
      </c>
      <c r="EJ47">
        <v>708.33500000000004</v>
      </c>
      <c r="EK47">
        <v>5.0001199999999999</v>
      </c>
      <c r="EL47">
        <v>13203.1</v>
      </c>
      <c r="EM47">
        <v>15630.4</v>
      </c>
      <c r="EN47">
        <v>52</v>
      </c>
      <c r="EO47">
        <v>53.061999999999998</v>
      </c>
      <c r="EP47">
        <v>53</v>
      </c>
      <c r="EQ47">
        <v>52.936999999999998</v>
      </c>
      <c r="ER47">
        <v>53.436999999999998</v>
      </c>
      <c r="ES47">
        <v>1755.55</v>
      </c>
      <c r="ET47">
        <v>39.5</v>
      </c>
      <c r="EU47">
        <v>0</v>
      </c>
      <c r="EV47">
        <v>314.39999985694891</v>
      </c>
      <c r="EW47">
        <v>0</v>
      </c>
      <c r="EX47">
        <v>707.99361538461551</v>
      </c>
      <c r="EY47">
        <v>-0.43958976009630679</v>
      </c>
      <c r="EZ47">
        <v>-109.68205142626501</v>
      </c>
      <c r="FA47">
        <v>13204.59230769231</v>
      </c>
      <c r="FB47">
        <v>15</v>
      </c>
      <c r="FC47">
        <v>1700155731</v>
      </c>
      <c r="FD47" t="s">
        <v>558</v>
      </c>
      <c r="FE47">
        <v>1700155731</v>
      </c>
      <c r="FF47">
        <v>1700155727</v>
      </c>
      <c r="FG47">
        <v>37</v>
      </c>
      <c r="FH47">
        <v>-0.17199999999999999</v>
      </c>
      <c r="FI47">
        <v>-2E-3</v>
      </c>
      <c r="FJ47">
        <v>2.0329999999999999</v>
      </c>
      <c r="FK47">
        <v>0.31900000000000001</v>
      </c>
      <c r="FL47">
        <v>1250</v>
      </c>
      <c r="FM47">
        <v>25</v>
      </c>
      <c r="FN47">
        <v>0.03</v>
      </c>
      <c r="FO47">
        <v>0.13</v>
      </c>
      <c r="FP47">
        <v>51.016346835477137</v>
      </c>
      <c r="FQ47">
        <v>0.38208936193599841</v>
      </c>
      <c r="FR47">
        <v>7.6633726999102397E-2</v>
      </c>
      <c r="FS47">
        <v>1</v>
      </c>
      <c r="FT47">
        <v>0.1222454319044394</v>
      </c>
      <c r="FU47">
        <v>-4.1260217542037472E-2</v>
      </c>
      <c r="FV47">
        <v>3.8206338219685661E-3</v>
      </c>
      <c r="FW47">
        <v>1</v>
      </c>
      <c r="FX47">
        <v>2</v>
      </c>
      <c r="FY47">
        <v>2</v>
      </c>
      <c r="FZ47" t="s">
        <v>420</v>
      </c>
      <c r="GA47">
        <v>2.9117999999999999</v>
      </c>
      <c r="GB47">
        <v>2.7506599999999999</v>
      </c>
      <c r="GC47">
        <v>0.19205900000000001</v>
      </c>
      <c r="GD47">
        <v>0.20097599999999999</v>
      </c>
      <c r="GE47">
        <v>0.12648200000000001</v>
      </c>
      <c r="GF47">
        <v>0.12237199999999999</v>
      </c>
      <c r="GG47">
        <v>25002.400000000001</v>
      </c>
      <c r="GH47">
        <v>24587.8</v>
      </c>
      <c r="GI47">
        <v>28197.200000000001</v>
      </c>
      <c r="GJ47">
        <v>28149</v>
      </c>
      <c r="GK47">
        <v>33574</v>
      </c>
      <c r="GL47">
        <v>34511.599999999999</v>
      </c>
      <c r="GM47">
        <v>42368.3</v>
      </c>
      <c r="GN47">
        <v>43766.1</v>
      </c>
      <c r="GO47">
        <v>1.7376799999999999</v>
      </c>
      <c r="GP47">
        <v>1.8392299999999999</v>
      </c>
      <c r="GQ47">
        <v>7.7858600000000003E-3</v>
      </c>
      <c r="GR47">
        <v>0</v>
      </c>
      <c r="GS47">
        <v>29.885100000000001</v>
      </c>
      <c r="GT47">
        <v>999.9</v>
      </c>
      <c r="GU47">
        <v>29.2</v>
      </c>
      <c r="GV47">
        <v>46.2</v>
      </c>
      <c r="GW47">
        <v>30.180900000000001</v>
      </c>
      <c r="GX47">
        <v>61.589599999999997</v>
      </c>
      <c r="GY47">
        <v>30.500800000000002</v>
      </c>
      <c r="GZ47">
        <v>1</v>
      </c>
      <c r="HA47">
        <v>0.685473</v>
      </c>
      <c r="HB47">
        <v>3.9003899999999998</v>
      </c>
      <c r="HC47">
        <v>20.216100000000001</v>
      </c>
      <c r="HD47">
        <v>5.2709000000000001</v>
      </c>
      <c r="HE47">
        <v>12.087999999999999</v>
      </c>
      <c r="HF47">
        <v>5.01145</v>
      </c>
      <c r="HG47">
        <v>3.29128</v>
      </c>
      <c r="HH47">
        <v>9999</v>
      </c>
      <c r="HI47">
        <v>9999</v>
      </c>
      <c r="HJ47">
        <v>9999</v>
      </c>
      <c r="HK47">
        <v>999.9</v>
      </c>
      <c r="HL47">
        <v>1.8766799999999999</v>
      </c>
      <c r="HM47">
        <v>1.87744</v>
      </c>
      <c r="HN47">
        <v>1.8770899999999999</v>
      </c>
      <c r="HO47">
        <v>1.8808</v>
      </c>
      <c r="HP47">
        <v>1.8745400000000001</v>
      </c>
      <c r="HQ47">
        <v>1.8774500000000001</v>
      </c>
      <c r="HR47">
        <v>1.8773899999999999</v>
      </c>
      <c r="HS47">
        <v>1.8788100000000001</v>
      </c>
      <c r="HT47">
        <v>0</v>
      </c>
      <c r="HU47">
        <v>0</v>
      </c>
      <c r="HV47">
        <v>0</v>
      </c>
      <c r="HW47">
        <v>0</v>
      </c>
      <c r="HX47" t="s">
        <v>421</v>
      </c>
      <c r="HY47" t="s">
        <v>422</v>
      </c>
      <c r="HZ47" t="s">
        <v>423</v>
      </c>
      <c r="IA47" t="s">
        <v>424</v>
      </c>
      <c r="IB47" t="s">
        <v>424</v>
      </c>
      <c r="IC47" t="s">
        <v>423</v>
      </c>
      <c r="ID47">
        <v>0</v>
      </c>
      <c r="IE47">
        <v>100</v>
      </c>
      <c r="IF47">
        <v>100</v>
      </c>
      <c r="IG47">
        <v>2.0299999999999998</v>
      </c>
      <c r="IH47">
        <v>0.31869999999999998</v>
      </c>
      <c r="II47">
        <v>1.649518795966747</v>
      </c>
      <c r="IJ47">
        <v>8.9576739069318506E-4</v>
      </c>
      <c r="IK47">
        <v>-7.2130504814809596E-7</v>
      </c>
      <c r="IL47">
        <v>1.9987036519832741E-10</v>
      </c>
      <c r="IM47">
        <v>0.31876499999999908</v>
      </c>
      <c r="IN47">
        <v>0</v>
      </c>
      <c r="IO47">
        <v>0</v>
      </c>
      <c r="IP47">
        <v>0</v>
      </c>
      <c r="IQ47">
        <v>1</v>
      </c>
      <c r="IR47">
        <v>2126</v>
      </c>
      <c r="IS47">
        <v>0</v>
      </c>
      <c r="IT47">
        <v>20</v>
      </c>
      <c r="IU47">
        <v>0.5</v>
      </c>
      <c r="IV47">
        <v>0.6</v>
      </c>
      <c r="IW47">
        <v>2.65015</v>
      </c>
      <c r="IX47">
        <v>2.6696800000000001</v>
      </c>
      <c r="IY47">
        <v>1.69434</v>
      </c>
      <c r="IZ47">
        <v>2.3315399999999999</v>
      </c>
      <c r="JA47">
        <v>1.5466299999999999</v>
      </c>
      <c r="JB47">
        <v>2.4658199999999999</v>
      </c>
      <c r="JC47">
        <v>49.929600000000001</v>
      </c>
      <c r="JD47">
        <v>23.7285</v>
      </c>
      <c r="JE47">
        <v>18</v>
      </c>
      <c r="JF47">
        <v>493.78</v>
      </c>
      <c r="JG47">
        <v>465.43</v>
      </c>
      <c r="JH47">
        <v>25.924099999999999</v>
      </c>
      <c r="JI47">
        <v>35.5916</v>
      </c>
      <c r="JJ47">
        <v>29.999300000000002</v>
      </c>
      <c r="JK47">
        <v>35.582900000000002</v>
      </c>
      <c r="JL47">
        <v>35.5398</v>
      </c>
      <c r="JM47">
        <v>53.102899999999998</v>
      </c>
      <c r="JN47">
        <v>4.16221</v>
      </c>
      <c r="JO47">
        <v>36.370199999999997</v>
      </c>
      <c r="JP47">
        <v>25.932400000000001</v>
      </c>
      <c r="JQ47">
        <v>1250</v>
      </c>
      <c r="JR47">
        <v>25.6187</v>
      </c>
      <c r="JS47">
        <v>98.779899999999998</v>
      </c>
      <c r="JT47">
        <v>98.599299999999999</v>
      </c>
    </row>
    <row r="48" spans="1:280" x14ac:dyDescent="0.25">
      <c r="A48">
        <v>32</v>
      </c>
      <c r="B48">
        <v>1700155923</v>
      </c>
      <c r="C48">
        <v>8393.4000000953674</v>
      </c>
      <c r="D48" t="s">
        <v>559</v>
      </c>
      <c r="E48" t="s">
        <v>560</v>
      </c>
      <c r="F48" t="s">
        <v>412</v>
      </c>
      <c r="G48" t="s">
        <v>546</v>
      </c>
      <c r="H48" t="s">
        <v>547</v>
      </c>
      <c r="I48">
        <v>1700155923</v>
      </c>
      <c r="J48">
        <f t="shared" si="0"/>
        <v>1.9250939417735091E-3</v>
      </c>
      <c r="K48">
        <f t="shared" si="1"/>
        <v>1.9250939417735091</v>
      </c>
      <c r="L48">
        <f t="shared" si="2"/>
        <v>48.429084823868457</v>
      </c>
      <c r="M48">
        <f t="shared" si="3"/>
        <v>943.18799999999999</v>
      </c>
      <c r="N48">
        <f t="shared" si="4"/>
        <v>301.2510632707569</v>
      </c>
      <c r="O48">
        <f t="shared" si="5"/>
        <v>29.904572774948768</v>
      </c>
      <c r="P48">
        <f t="shared" si="6"/>
        <v>93.628330735908008</v>
      </c>
      <c r="Q48">
        <f t="shared" si="7"/>
        <v>0.12618382924846738</v>
      </c>
      <c r="R48">
        <f t="shared" si="8"/>
        <v>2.9759912126291361</v>
      </c>
      <c r="S48">
        <f t="shared" si="9"/>
        <v>0.1232851099748276</v>
      </c>
      <c r="T48">
        <f t="shared" si="10"/>
        <v>7.7308085943034899E-2</v>
      </c>
      <c r="U48">
        <f t="shared" si="11"/>
        <v>289.53514255482725</v>
      </c>
      <c r="V48">
        <f t="shared" si="12"/>
        <v>31.044914403955175</v>
      </c>
      <c r="W48">
        <f t="shared" si="13"/>
        <v>29.988700000000001</v>
      </c>
      <c r="X48">
        <f t="shared" si="14"/>
        <v>4.2576852552078863</v>
      </c>
      <c r="Y48">
        <f t="shared" si="15"/>
        <v>65.370179864263861</v>
      </c>
      <c r="Z48">
        <f t="shared" si="16"/>
        <v>2.7624282621480001</v>
      </c>
      <c r="AA48">
        <f t="shared" si="17"/>
        <v>4.2258232544012717</v>
      </c>
      <c r="AB48">
        <f t="shared" si="18"/>
        <v>1.4952569930598862</v>
      </c>
      <c r="AC48">
        <f t="shared" si="19"/>
        <v>-84.896642832211754</v>
      </c>
      <c r="AD48">
        <f t="shared" si="20"/>
        <v>-20.969722119962892</v>
      </c>
      <c r="AE48">
        <f t="shared" si="21"/>
        <v>-1.5655628672226647</v>
      </c>
      <c r="AF48">
        <f t="shared" si="22"/>
        <v>182.10321473542999</v>
      </c>
      <c r="AG48">
        <v>7</v>
      </c>
      <c r="AH48">
        <v>1</v>
      </c>
      <c r="AI48">
        <f t="shared" si="23"/>
        <v>1</v>
      </c>
      <c r="AJ48">
        <f t="shared" si="24"/>
        <v>0</v>
      </c>
      <c r="AK48">
        <f t="shared" si="25"/>
        <v>51864.50755457487</v>
      </c>
      <c r="AL48" t="s">
        <v>427</v>
      </c>
      <c r="AM48" t="s">
        <v>427</v>
      </c>
      <c r="AN48">
        <v>0</v>
      </c>
      <c r="AO48">
        <v>0</v>
      </c>
      <c r="AP48" t="e">
        <f t="shared" si="26"/>
        <v>#DIV/0!</v>
      </c>
      <c r="AQ48">
        <v>0</v>
      </c>
      <c r="AR48" t="s">
        <v>427</v>
      </c>
      <c r="AS48" t="s">
        <v>427</v>
      </c>
      <c r="AT48">
        <v>0</v>
      </c>
      <c r="AU48">
        <v>0</v>
      </c>
      <c r="AV48" t="e">
        <f t="shared" si="27"/>
        <v>#DIV/0!</v>
      </c>
      <c r="AW48">
        <v>0.5</v>
      </c>
      <c r="AX48">
        <f t="shared" si="28"/>
        <v>1513.0170065050916</v>
      </c>
      <c r="AY48">
        <f t="shared" si="29"/>
        <v>48.429084823868457</v>
      </c>
      <c r="AZ48" t="e">
        <f t="shared" si="30"/>
        <v>#DIV/0!</v>
      </c>
      <c r="BA48">
        <f t="shared" si="31"/>
        <v>3.2008288482979111E-2</v>
      </c>
      <c r="BB48" t="e">
        <f t="shared" si="32"/>
        <v>#DIV/0!</v>
      </c>
      <c r="BC48" t="e">
        <f t="shared" si="33"/>
        <v>#DIV/0!</v>
      </c>
      <c r="BD48" t="s">
        <v>427</v>
      </c>
      <c r="BE48">
        <v>0</v>
      </c>
      <c r="BF48" t="e">
        <f t="shared" si="34"/>
        <v>#DIV/0!</v>
      </c>
      <c r="BG48" t="e">
        <f t="shared" si="35"/>
        <v>#DIV/0!</v>
      </c>
      <c r="BH48" t="e">
        <f t="shared" si="36"/>
        <v>#DIV/0!</v>
      </c>
      <c r="BI48" t="e">
        <f t="shared" si="37"/>
        <v>#DIV/0!</v>
      </c>
      <c r="BJ48" t="e">
        <f t="shared" si="38"/>
        <v>#DIV/0!</v>
      </c>
      <c r="BK48" t="e">
        <f t="shared" si="39"/>
        <v>#DIV/0!</v>
      </c>
      <c r="BL48" t="e">
        <f t="shared" si="40"/>
        <v>#DIV/0!</v>
      </c>
      <c r="BM48" t="e">
        <f t="shared" si="41"/>
        <v>#DIV/0!</v>
      </c>
      <c r="BN48">
        <v>63</v>
      </c>
      <c r="BO48">
        <v>290.00000000000011</v>
      </c>
      <c r="BP48">
        <v>947.74</v>
      </c>
      <c r="BQ48">
        <v>265</v>
      </c>
      <c r="BR48">
        <v>7123.3</v>
      </c>
      <c r="BS48">
        <v>949.29</v>
      </c>
      <c r="BT48">
        <v>-1.55</v>
      </c>
      <c r="BU48">
        <v>300.00000000000011</v>
      </c>
      <c r="BV48">
        <v>38.200000000000003</v>
      </c>
      <c r="BW48">
        <v>1046.6012284720771</v>
      </c>
      <c r="BX48">
        <v>1.387132311246035</v>
      </c>
      <c r="BY48">
        <v>-69.315837653649581</v>
      </c>
      <c r="BZ48">
        <v>0.82815508291744133</v>
      </c>
      <c r="CA48">
        <v>0.99601907424002656</v>
      </c>
      <c r="CB48">
        <v>-7.0293546162402748E-3</v>
      </c>
      <c r="CC48">
        <v>289.99999999999989</v>
      </c>
      <c r="CD48">
        <v>957.02</v>
      </c>
      <c r="CE48">
        <v>885</v>
      </c>
      <c r="CF48">
        <v>7116.72</v>
      </c>
      <c r="CG48">
        <v>949.2</v>
      </c>
      <c r="CH48">
        <v>7.82</v>
      </c>
      <c r="CV48">
        <f t="shared" si="42"/>
        <v>1799.8</v>
      </c>
      <c r="CW48">
        <f t="shared" si="43"/>
        <v>1513.0170065050916</v>
      </c>
      <c r="CX48">
        <f t="shared" si="44"/>
        <v>0.84065841010395137</v>
      </c>
      <c r="CY48">
        <f t="shared" si="45"/>
        <v>0.16087073150062631</v>
      </c>
      <c r="CZ48">
        <v>5.66</v>
      </c>
      <c r="DA48">
        <v>0.5</v>
      </c>
      <c r="DB48" t="s">
        <v>418</v>
      </c>
      <c r="DC48">
        <v>2</v>
      </c>
      <c r="DD48">
        <v>1700155923</v>
      </c>
      <c r="DE48">
        <v>943.18799999999999</v>
      </c>
      <c r="DF48">
        <v>1000.05</v>
      </c>
      <c r="DG48">
        <v>27.827999999999999</v>
      </c>
      <c r="DH48">
        <v>25.71</v>
      </c>
      <c r="DI48">
        <v>941.09900000000005</v>
      </c>
      <c r="DJ48">
        <v>27.497299999999999</v>
      </c>
      <c r="DK48">
        <v>500.13299999999998</v>
      </c>
      <c r="DL48">
        <v>99.167900000000003</v>
      </c>
      <c r="DM48">
        <v>0.100041</v>
      </c>
      <c r="DN48">
        <v>29.858000000000001</v>
      </c>
      <c r="DO48">
        <v>29.988700000000001</v>
      </c>
      <c r="DP48">
        <v>999.9</v>
      </c>
      <c r="DQ48">
        <v>0</v>
      </c>
      <c r="DR48">
        <v>0</v>
      </c>
      <c r="DS48">
        <v>9984.3799999999992</v>
      </c>
      <c r="DT48">
        <v>0</v>
      </c>
      <c r="DU48">
        <v>172.09399999999999</v>
      </c>
      <c r="DV48">
        <v>-56.862299999999998</v>
      </c>
      <c r="DW48">
        <v>970.18600000000004</v>
      </c>
      <c r="DX48">
        <v>1026.44</v>
      </c>
      <c r="DY48">
        <v>2.11808</v>
      </c>
      <c r="DZ48">
        <v>1000.05</v>
      </c>
      <c r="EA48">
        <v>25.71</v>
      </c>
      <c r="EB48">
        <v>2.7596500000000002</v>
      </c>
      <c r="EC48">
        <v>2.5495999999999999</v>
      </c>
      <c r="ED48">
        <v>22.6447</v>
      </c>
      <c r="EE48">
        <v>21.346699999999998</v>
      </c>
      <c r="EF48">
        <v>1799.8</v>
      </c>
      <c r="EG48">
        <v>0.977989</v>
      </c>
      <c r="EH48">
        <v>2.2010800000000001E-2</v>
      </c>
      <c r="EI48">
        <v>0</v>
      </c>
      <c r="EJ48">
        <v>705.95899999999995</v>
      </c>
      <c r="EK48">
        <v>5.0001199999999999</v>
      </c>
      <c r="EL48">
        <v>13136.4</v>
      </c>
      <c r="EM48">
        <v>15628.1</v>
      </c>
      <c r="EN48">
        <v>51.811999999999998</v>
      </c>
      <c r="EO48">
        <v>52.936999999999998</v>
      </c>
      <c r="EP48">
        <v>52.811999999999998</v>
      </c>
      <c r="EQ48">
        <v>52.686999999999998</v>
      </c>
      <c r="ER48">
        <v>53.311999999999998</v>
      </c>
      <c r="ES48">
        <v>1755.29</v>
      </c>
      <c r="ET48">
        <v>39.5</v>
      </c>
      <c r="EU48">
        <v>0</v>
      </c>
      <c r="EV48">
        <v>157.39999985694891</v>
      </c>
      <c r="EW48">
        <v>0</v>
      </c>
      <c r="EX48">
        <v>706.08119230769216</v>
      </c>
      <c r="EY48">
        <v>-0.66916238557779639</v>
      </c>
      <c r="EZ48">
        <v>6.1059828936430867</v>
      </c>
      <c r="FA48">
        <v>13135.90769230769</v>
      </c>
      <c r="FB48">
        <v>15</v>
      </c>
      <c r="FC48">
        <v>1700155838.5</v>
      </c>
      <c r="FD48" t="s">
        <v>561</v>
      </c>
      <c r="FE48">
        <v>1700155838.5</v>
      </c>
      <c r="FF48">
        <v>1700155837</v>
      </c>
      <c r="FG48">
        <v>38</v>
      </c>
      <c r="FH48">
        <v>6.9000000000000006E-2</v>
      </c>
      <c r="FI48">
        <v>1.2E-2</v>
      </c>
      <c r="FJ48">
        <v>2.0920000000000001</v>
      </c>
      <c r="FK48">
        <v>0.33100000000000002</v>
      </c>
      <c r="FL48">
        <v>1000</v>
      </c>
      <c r="FM48">
        <v>26</v>
      </c>
      <c r="FN48">
        <v>7.0000000000000007E-2</v>
      </c>
      <c r="FO48">
        <v>0.05</v>
      </c>
      <c r="FP48">
        <v>48.352867035799477</v>
      </c>
      <c r="FQ48">
        <v>0.55072846981790113</v>
      </c>
      <c r="FR48">
        <v>7.0350596111945093E-2</v>
      </c>
      <c r="FS48">
        <v>1</v>
      </c>
      <c r="FT48">
        <v>0.12344952412585521</v>
      </c>
      <c r="FU48">
        <v>-1.8207172591145121E-3</v>
      </c>
      <c r="FV48">
        <v>1.34998688355938E-3</v>
      </c>
      <c r="FW48">
        <v>1</v>
      </c>
      <c r="FX48">
        <v>2</v>
      </c>
      <c r="FY48">
        <v>2</v>
      </c>
      <c r="FZ48" t="s">
        <v>420</v>
      </c>
      <c r="GA48">
        <v>2.91249</v>
      </c>
      <c r="GB48">
        <v>2.7509100000000002</v>
      </c>
      <c r="GC48">
        <v>0.165682</v>
      </c>
      <c r="GD48">
        <v>0.174763</v>
      </c>
      <c r="GE48">
        <v>0.126752</v>
      </c>
      <c r="GF48">
        <v>0.12254</v>
      </c>
      <c r="GG48">
        <v>25828</v>
      </c>
      <c r="GH48">
        <v>25406.1</v>
      </c>
      <c r="GI48">
        <v>28204.6</v>
      </c>
      <c r="GJ48">
        <v>28158.9</v>
      </c>
      <c r="GK48">
        <v>33571.599999999999</v>
      </c>
      <c r="GL48">
        <v>34515.599999999999</v>
      </c>
      <c r="GM48">
        <v>42378.7</v>
      </c>
      <c r="GN48">
        <v>43779.9</v>
      </c>
      <c r="GO48">
        <v>1.74</v>
      </c>
      <c r="GP48">
        <v>1.8419700000000001</v>
      </c>
      <c r="GQ48">
        <v>1.41561E-2</v>
      </c>
      <c r="GR48">
        <v>0</v>
      </c>
      <c r="GS48">
        <v>29.758299999999998</v>
      </c>
      <c r="GT48">
        <v>999.9</v>
      </c>
      <c r="GU48">
        <v>29.6</v>
      </c>
      <c r="GV48">
        <v>46</v>
      </c>
      <c r="GW48">
        <v>30.288</v>
      </c>
      <c r="GX48">
        <v>61.279600000000002</v>
      </c>
      <c r="GY48">
        <v>30.220400000000001</v>
      </c>
      <c r="GZ48">
        <v>1</v>
      </c>
      <c r="HA48">
        <v>0.66927599999999998</v>
      </c>
      <c r="HB48">
        <v>3.6273599999999999</v>
      </c>
      <c r="HC48">
        <v>20.223600000000001</v>
      </c>
      <c r="HD48">
        <v>5.2761399999999998</v>
      </c>
      <c r="HE48">
        <v>12.087999999999999</v>
      </c>
      <c r="HF48">
        <v>5.0131500000000004</v>
      </c>
      <c r="HG48">
        <v>3.2919999999999998</v>
      </c>
      <c r="HH48">
        <v>9999</v>
      </c>
      <c r="HI48">
        <v>9999</v>
      </c>
      <c r="HJ48">
        <v>9999</v>
      </c>
      <c r="HK48">
        <v>999.9</v>
      </c>
      <c r="HL48">
        <v>1.8766799999999999</v>
      </c>
      <c r="HM48">
        <v>1.87738</v>
      </c>
      <c r="HN48">
        <v>1.8770100000000001</v>
      </c>
      <c r="HO48">
        <v>1.8807700000000001</v>
      </c>
      <c r="HP48">
        <v>1.87449</v>
      </c>
      <c r="HQ48">
        <v>1.87744</v>
      </c>
      <c r="HR48">
        <v>1.8773200000000001</v>
      </c>
      <c r="HS48">
        <v>1.8787799999999999</v>
      </c>
      <c r="HT48">
        <v>0</v>
      </c>
      <c r="HU48">
        <v>0</v>
      </c>
      <c r="HV48">
        <v>0</v>
      </c>
      <c r="HW48">
        <v>0</v>
      </c>
      <c r="HX48" t="s">
        <v>421</v>
      </c>
      <c r="HY48" t="s">
        <v>422</v>
      </c>
      <c r="HZ48" t="s">
        <v>423</v>
      </c>
      <c r="IA48" t="s">
        <v>424</v>
      </c>
      <c r="IB48" t="s">
        <v>424</v>
      </c>
      <c r="IC48" t="s">
        <v>423</v>
      </c>
      <c r="ID48">
        <v>0</v>
      </c>
      <c r="IE48">
        <v>100</v>
      </c>
      <c r="IF48">
        <v>100</v>
      </c>
      <c r="IG48">
        <v>2.089</v>
      </c>
      <c r="IH48">
        <v>0.33069999999999999</v>
      </c>
      <c r="II48">
        <v>1.7179722976551779</v>
      </c>
      <c r="IJ48">
        <v>8.9576739069318506E-4</v>
      </c>
      <c r="IK48">
        <v>-7.2130504814809596E-7</v>
      </c>
      <c r="IL48">
        <v>1.9987036519832741E-10</v>
      </c>
      <c r="IM48">
        <v>0.33074500000000379</v>
      </c>
      <c r="IN48">
        <v>0</v>
      </c>
      <c r="IO48">
        <v>0</v>
      </c>
      <c r="IP48">
        <v>0</v>
      </c>
      <c r="IQ48">
        <v>1</v>
      </c>
      <c r="IR48">
        <v>2126</v>
      </c>
      <c r="IS48">
        <v>0</v>
      </c>
      <c r="IT48">
        <v>20</v>
      </c>
      <c r="IU48">
        <v>1.4</v>
      </c>
      <c r="IV48">
        <v>1.4</v>
      </c>
      <c r="IW48">
        <v>2.20825</v>
      </c>
      <c r="IX48">
        <v>2.6721200000000001</v>
      </c>
      <c r="IY48">
        <v>1.69434</v>
      </c>
      <c r="IZ48">
        <v>2.3315399999999999</v>
      </c>
      <c r="JA48">
        <v>1.5466299999999999</v>
      </c>
      <c r="JB48">
        <v>2.50244</v>
      </c>
      <c r="JC48">
        <v>49.5792</v>
      </c>
      <c r="JD48">
        <v>23.737300000000001</v>
      </c>
      <c r="JE48">
        <v>18</v>
      </c>
      <c r="JF48">
        <v>494.36500000000001</v>
      </c>
      <c r="JG48">
        <v>466.262</v>
      </c>
      <c r="JH48">
        <v>26.003499999999999</v>
      </c>
      <c r="JI48">
        <v>35.410299999999999</v>
      </c>
      <c r="JJ48">
        <v>29.999700000000001</v>
      </c>
      <c r="JK48">
        <v>35.432200000000002</v>
      </c>
      <c r="JL48">
        <v>35.398000000000003</v>
      </c>
      <c r="JM48">
        <v>44.277700000000003</v>
      </c>
      <c r="JN48">
        <v>6.0664400000000001</v>
      </c>
      <c r="JO48">
        <v>38.342700000000001</v>
      </c>
      <c r="JP48">
        <v>26.011900000000001</v>
      </c>
      <c r="JQ48">
        <v>1000</v>
      </c>
      <c r="JR48">
        <v>25.602499999999999</v>
      </c>
      <c r="JS48">
        <v>98.804699999999997</v>
      </c>
      <c r="JT48">
        <v>98.631799999999998</v>
      </c>
    </row>
    <row r="49" spans="1:280" x14ac:dyDescent="0.25">
      <c r="A49">
        <v>33</v>
      </c>
      <c r="B49">
        <v>1700156088</v>
      </c>
      <c r="C49">
        <v>8558.4000000953674</v>
      </c>
      <c r="D49" t="s">
        <v>562</v>
      </c>
      <c r="E49" t="s">
        <v>563</v>
      </c>
      <c r="F49" t="s">
        <v>412</v>
      </c>
      <c r="G49" t="s">
        <v>546</v>
      </c>
      <c r="H49" t="s">
        <v>547</v>
      </c>
      <c r="I49">
        <v>1700156088</v>
      </c>
      <c r="J49">
        <f t="shared" ref="J49:J66" si="46">(K49)/1000</f>
        <v>2.6809817605299721E-3</v>
      </c>
      <c r="K49">
        <f t="shared" ref="K49:K66" si="47">1000*DK49*AI49*(DG49-DH49)/(100*CZ49*(1000-AI49*DG49))</f>
        <v>2.6809817605299719</v>
      </c>
      <c r="L49">
        <f t="shared" ref="L49:L66" si="48">DK49*AI49*(DF49-DE49*(1000-AI49*DH49)/(1000-AI49*DG49))/(100*CZ49)</f>
        <v>48.237933722225407</v>
      </c>
      <c r="M49">
        <f t="shared" ref="M49:M66" si="49">DE49 - IF(AI49&gt;1, L49*CZ49*100/(AK49*DS49), 0)</f>
        <v>693.24199999999996</v>
      </c>
      <c r="N49">
        <f t="shared" ref="N49:N66" si="50">((T49-J49/2)*M49-L49)/(T49+J49/2)</f>
        <v>237.92485222908513</v>
      </c>
      <c r="O49">
        <f t="shared" ref="O49:O66" si="51">N49*(DL49+DM49)/1000</f>
        <v>23.618007791023359</v>
      </c>
      <c r="P49">
        <f t="shared" ref="P49:P66" si="52">(DE49 - IF(AI49&gt;1, L49*CZ49*100/(AK49*DS49), 0))*(DL49+DM49)/1000</f>
        <v>68.81582484414001</v>
      </c>
      <c r="Q49">
        <f t="shared" ref="Q49:Q66" si="53">2/((1/S49-1/R49)+SIGN(S49)*SQRT((1/S49-1/R49)*(1/S49-1/R49) + 4*DA49/((DA49+1)*(DA49+1))*(2*1/S49*1/R49-1/R49*1/R49)))</f>
        <v>0.17885728369202308</v>
      </c>
      <c r="R49">
        <f t="shared" ref="R49:R66" si="54">IF(LEFT(DB49,1)&lt;&gt;"0",IF(LEFT(DB49,1)="1",3,DC49),$D$5+$E$5*(DS49*DL49/($K$5*1000))+$F$5*(DS49*DL49/($K$5*1000))*MAX(MIN(CZ49,$J$5),$I$5)*MAX(MIN(CZ49,$J$5),$I$5)+$G$5*MAX(MIN(CZ49,$J$5),$I$5)*(DS49*DL49/($K$5*1000))+$H$5*(DS49*DL49/($K$5*1000))*(DS49*DL49/($K$5*1000)))</f>
        <v>2.9755081262450624</v>
      </c>
      <c r="S49">
        <f t="shared" ref="S49:S66" si="55">J49*(1000-(1000*0.61365*EXP(17.502*W49/(240.97+W49))/(DL49+DM49)+DG49)/2)/(1000*0.61365*EXP(17.502*W49/(240.97+W49))/(DL49+DM49)-DG49)</f>
        <v>0.17309202855769532</v>
      </c>
      <c r="T49">
        <f t="shared" ref="T49:T66" si="56">1/((DA49+1)/(Q49/1.6)+1/(R49/1.37)) + DA49/((DA49+1)/(Q49/1.6) + DA49/(R49/1.37))</f>
        <v>0.10868502238035999</v>
      </c>
      <c r="U49">
        <f t="shared" ref="U49:U66" si="57">(CV49*CY49)</f>
        <v>289.58518484750073</v>
      </c>
      <c r="V49">
        <f t="shared" ref="V49:V66" si="58">(DN49+(U49+2*0.95*0.0000000567*(((DN49+$B$7)+273)^4-(DN49+273)^4)-44100*J49)/(1.84*29.3*R49+8*0.95*0.0000000567*(DN49+273)^3))</f>
        <v>30.849413787301941</v>
      </c>
      <c r="W49">
        <f t="shared" ref="W49:W66" si="59">($C$7*DO49+$D$7*DP49+$E$7*V49)</f>
        <v>29.927199999999999</v>
      </c>
      <c r="X49">
        <f t="shared" ref="X49:X66" si="60">0.61365*EXP(17.502*W49/(240.97+W49))</f>
        <v>4.2426668221393937</v>
      </c>
      <c r="Y49">
        <f t="shared" ref="Y49:Y66" si="61">(Z49/AA49*100)</f>
        <v>65.307694551816141</v>
      </c>
      <c r="Z49">
        <f t="shared" ref="Z49:Z66" si="62">DG49*(DL49+DM49)/1000</f>
        <v>2.7593751859919999</v>
      </c>
      <c r="AA49">
        <f t="shared" ref="AA49:AA66" si="63">0.61365*EXP(17.502*DN49/(240.97+DN49))</f>
        <v>4.2251915412550183</v>
      </c>
      <c r="AB49">
        <f t="shared" ref="AB49:AB66" si="64">(X49-DG49*(DL49+DM49)/1000)</f>
        <v>1.4832916361473938</v>
      </c>
      <c r="AC49">
        <f t="shared" ref="AC49:AC66" si="65">(-J49*44100)</f>
        <v>-118.23129563937177</v>
      </c>
      <c r="AD49">
        <f t="shared" ref="AD49:AD66" si="66">2*29.3*R49*0.92*(DN49-W49)</f>
        <v>-11.517839656532432</v>
      </c>
      <c r="AE49">
        <f t="shared" ref="AE49:AE66" si="67">2*0.95*0.0000000567*(((DN49+$B$7)+273)^4-(W49+273)^4)</f>
        <v>-0.85976843984031592</v>
      </c>
      <c r="AF49">
        <f t="shared" ref="AF49:AF66" si="68">U49+AE49+AC49+AD49</f>
        <v>158.97628111175624</v>
      </c>
      <c r="AG49">
        <v>7</v>
      </c>
      <c r="AH49">
        <v>1</v>
      </c>
      <c r="AI49">
        <f t="shared" ref="AI49:AI66" si="69">IF(AG49*$H$13&gt;=AK49,1,(AK49/(AK49-AG49*$H$13)))</f>
        <v>1</v>
      </c>
      <c r="AJ49">
        <f t="shared" ref="AJ49:AJ66" si="70">(AI49-1)*100</f>
        <v>0</v>
      </c>
      <c r="AK49">
        <f t="shared" ref="AK49:AK66" si="71">MAX(0,($B$13+$C$13*DS49)/(1+$D$13*DS49)*DL49/(DN49+273)*$E$13)</f>
        <v>51851.655135537825</v>
      </c>
      <c r="AL49" t="s">
        <v>415</v>
      </c>
      <c r="AM49">
        <v>6960.3</v>
      </c>
      <c r="AN49">
        <v>244.8124</v>
      </c>
      <c r="AO49">
        <v>892.86711584811997</v>
      </c>
      <c r="AP49">
        <f t="shared" ref="AP49:AP66" si="72">1-AN49/AO49</f>
        <v>0.72581317459826411</v>
      </c>
      <c r="AQ49">
        <v>-0.43209471141234851</v>
      </c>
      <c r="AR49" t="s">
        <v>564</v>
      </c>
      <c r="AS49">
        <v>7123.06</v>
      </c>
      <c r="AT49">
        <v>706.0003200000001</v>
      </c>
      <c r="AU49">
        <v>1006.608815587387</v>
      </c>
      <c r="AV49">
        <f t="shared" ref="AV49:AV66" si="73">1-AT49/AU49</f>
        <v>0.29863487278518686</v>
      </c>
      <c r="AW49">
        <v>0.5</v>
      </c>
      <c r="AX49">
        <f t="shared" ref="AX49:AX66" si="74">CW49</f>
        <v>1513.2776999209848</v>
      </c>
      <c r="AY49">
        <f t="shared" ref="AY49:AY66" si="75">L49</f>
        <v>48.237933722225407</v>
      </c>
      <c r="AZ49">
        <f t="shared" ref="AZ49:AZ66" si="76">AV49*AW49*AX49</f>
        <v>225.95874670228173</v>
      </c>
      <c r="BA49">
        <f t="shared" ref="BA49:BA66" si="77">(AY49-AQ49)/AX49</f>
        <v>3.2161994084878832E-2</v>
      </c>
      <c r="BB49">
        <f t="shared" ref="BB49:BB66" si="78">(AO49-AU49)/AU49</f>
        <v>-0.11299493703807398</v>
      </c>
      <c r="BC49">
        <f t="shared" ref="BC49:BC66" si="79">AN49/(AP49+AN49/AU49)</f>
        <v>252.63961044815997</v>
      </c>
      <c r="BD49" t="s">
        <v>565</v>
      </c>
      <c r="BE49">
        <v>485.58</v>
      </c>
      <c r="BF49">
        <f t="shared" ref="BF49:BF66" si="80">IF(BE49&lt;&gt;0, BE49, BC49)</f>
        <v>485.58</v>
      </c>
      <c r="BG49">
        <f t="shared" ref="BG49:BG66" si="81">1-BF49/AU49</f>
        <v>0.51760803950773149</v>
      </c>
      <c r="BH49">
        <f t="shared" ref="BH49:BH66" si="82">(AU49-AT49)/(AU49-BF49)</f>
        <v>0.57695176657070857</v>
      </c>
      <c r="BI49">
        <f t="shared" ref="BI49:BI66" si="83">(AO49-AU49)/(AO49-BF49)</f>
        <v>-0.27926662865928226</v>
      </c>
      <c r="BJ49">
        <f t="shared" ref="BJ49:BJ66" si="84">(AU49-AT49)/(AU49-AN49)</f>
        <v>0.39460476504815423</v>
      </c>
      <c r="BK49">
        <f t="shared" ref="BK49:BK66" si="85">(AO49-AU49)/(AO49-AN49)</f>
        <v>-0.17551249448190706</v>
      </c>
      <c r="BL49">
        <f t="shared" ref="BL49:BL66" si="86">(BH49*BF49/AT49)</f>
        <v>0.39682168814230084</v>
      </c>
      <c r="BM49">
        <f t="shared" ref="BM49:BM66" si="87">(1-BL49)</f>
        <v>0.60317831185769921</v>
      </c>
      <c r="BN49">
        <v>65</v>
      </c>
      <c r="BO49">
        <v>290.00000000000011</v>
      </c>
      <c r="BP49">
        <v>920.1</v>
      </c>
      <c r="BQ49">
        <v>285</v>
      </c>
      <c r="BR49">
        <v>7123.06</v>
      </c>
      <c r="BS49">
        <v>921.37</v>
      </c>
      <c r="BT49">
        <v>-1.27</v>
      </c>
      <c r="BU49">
        <v>300.00000000000011</v>
      </c>
      <c r="BV49">
        <v>38.200000000000003</v>
      </c>
      <c r="BW49">
        <v>1006.608815587387</v>
      </c>
      <c r="BX49">
        <v>1.2345988884187951</v>
      </c>
      <c r="BY49">
        <v>-60.716277443880607</v>
      </c>
      <c r="BZ49">
        <v>0.73711631507375641</v>
      </c>
      <c r="CA49">
        <v>0.99589010032484782</v>
      </c>
      <c r="CB49">
        <v>-7.029481201334821E-3</v>
      </c>
      <c r="CC49">
        <v>289.99999999999989</v>
      </c>
      <c r="CD49">
        <v>929.62</v>
      </c>
      <c r="CE49">
        <v>775</v>
      </c>
      <c r="CF49">
        <v>7118.28</v>
      </c>
      <c r="CG49">
        <v>921.31</v>
      </c>
      <c r="CH49">
        <v>8.31</v>
      </c>
      <c r="CV49">
        <f t="shared" ref="CV49:CV66" si="88">$B$11*DT49+$C$11*DU49+$F$11*EF49*(1-EI49)</f>
        <v>1800.11</v>
      </c>
      <c r="CW49">
        <f t="shared" ref="CW49:CW66" si="89">CV49*CX49</f>
        <v>1513.2776999209848</v>
      </c>
      <c r="CX49">
        <f t="shared" ref="CX49:CX66" si="90">($B$11*$D$9+$C$11*$D$9+$F$11*((ES49+EK49)/MAX(ES49+EK49+ET49, 0.1)*$I$9+ET49/MAX(ES49+EK49+ET49, 0.1)*$J$9))/($B$11+$C$11+$F$11)</f>
        <v>0.84065845971689779</v>
      </c>
      <c r="CY49">
        <f t="shared" ref="CY49:CY66" si="91">($B$11*$K$9+$C$11*$K$9+$F$11*((ES49+EK49)/MAX(ES49+EK49+ET49, 0.1)*$P$9+ET49/MAX(ES49+EK49+ET49, 0.1)*$Q$9))/($B$11+$C$11+$F$11)</f>
        <v>0.16087082725361268</v>
      </c>
      <c r="CZ49">
        <v>5.66</v>
      </c>
      <c r="DA49">
        <v>0.5</v>
      </c>
      <c r="DB49" t="s">
        <v>418</v>
      </c>
      <c r="DC49">
        <v>2</v>
      </c>
      <c r="DD49">
        <v>1700156088</v>
      </c>
      <c r="DE49">
        <v>693.24199999999996</v>
      </c>
      <c r="DF49">
        <v>749.928</v>
      </c>
      <c r="DG49">
        <v>27.797599999999999</v>
      </c>
      <c r="DH49">
        <v>24.848299999999998</v>
      </c>
      <c r="DI49">
        <v>691.23599999999999</v>
      </c>
      <c r="DJ49">
        <v>27.4634</v>
      </c>
      <c r="DK49">
        <v>500.20499999999998</v>
      </c>
      <c r="DL49">
        <v>99.166300000000007</v>
      </c>
      <c r="DM49">
        <v>0.10037</v>
      </c>
      <c r="DN49">
        <v>29.855399999999999</v>
      </c>
      <c r="DO49">
        <v>29.927199999999999</v>
      </c>
      <c r="DP49">
        <v>999.9</v>
      </c>
      <c r="DQ49">
        <v>0</v>
      </c>
      <c r="DR49">
        <v>0</v>
      </c>
      <c r="DS49">
        <v>9981.8799999999992</v>
      </c>
      <c r="DT49">
        <v>0</v>
      </c>
      <c r="DU49">
        <v>175.68899999999999</v>
      </c>
      <c r="DV49">
        <v>-56.686500000000002</v>
      </c>
      <c r="DW49">
        <v>713.06299999999999</v>
      </c>
      <c r="DX49">
        <v>769.03700000000003</v>
      </c>
      <c r="DY49">
        <v>2.9493299999999998</v>
      </c>
      <c r="DZ49">
        <v>749.928</v>
      </c>
      <c r="EA49">
        <v>24.848299999999998</v>
      </c>
      <c r="EB49">
        <v>2.7565900000000001</v>
      </c>
      <c r="EC49">
        <v>2.4641099999999998</v>
      </c>
      <c r="ED49">
        <v>22.6264</v>
      </c>
      <c r="EE49">
        <v>20.791399999999999</v>
      </c>
      <c r="EF49">
        <v>1800.11</v>
      </c>
      <c r="EG49">
        <v>0.977993</v>
      </c>
      <c r="EH49">
        <v>2.20074E-2</v>
      </c>
      <c r="EI49">
        <v>0</v>
      </c>
      <c r="EJ49">
        <v>705.91700000000003</v>
      </c>
      <c r="EK49">
        <v>5.0001199999999999</v>
      </c>
      <c r="EL49">
        <v>13074.1</v>
      </c>
      <c r="EM49">
        <v>15630.9</v>
      </c>
      <c r="EN49">
        <v>51.686999999999998</v>
      </c>
      <c r="EO49">
        <v>52.811999999999998</v>
      </c>
      <c r="EP49">
        <v>52.686999999999998</v>
      </c>
      <c r="EQ49">
        <v>52.625</v>
      </c>
      <c r="ER49">
        <v>53.125</v>
      </c>
      <c r="ES49">
        <v>1755.6</v>
      </c>
      <c r="ET49">
        <v>39.51</v>
      </c>
      <c r="EU49">
        <v>0</v>
      </c>
      <c r="EV49">
        <v>322.39999985694891</v>
      </c>
      <c r="EW49">
        <v>0</v>
      </c>
      <c r="EX49">
        <v>706.0003200000001</v>
      </c>
      <c r="EY49">
        <v>0.24753846750825109</v>
      </c>
      <c r="EZ49">
        <v>241.692307930384</v>
      </c>
      <c r="FA49">
        <v>13057.987999999999</v>
      </c>
      <c r="FB49">
        <v>15</v>
      </c>
      <c r="FC49">
        <v>1700155982.5</v>
      </c>
      <c r="FD49" t="s">
        <v>566</v>
      </c>
      <c r="FE49">
        <v>1700155982.5</v>
      </c>
      <c r="FF49">
        <v>1700155980.5</v>
      </c>
      <c r="FG49">
        <v>39</v>
      </c>
      <c r="FH49">
        <v>-5.2999999999999999E-2</v>
      </c>
      <c r="FI49">
        <v>3.0000000000000001E-3</v>
      </c>
      <c r="FJ49">
        <v>2.0150000000000001</v>
      </c>
      <c r="FK49">
        <v>0.33400000000000002</v>
      </c>
      <c r="FL49">
        <v>750</v>
      </c>
      <c r="FM49">
        <v>26</v>
      </c>
      <c r="FN49">
        <v>0.09</v>
      </c>
      <c r="FO49">
        <v>0.05</v>
      </c>
      <c r="FP49">
        <v>48.304477997949689</v>
      </c>
      <c r="FQ49">
        <v>0.29529820234754822</v>
      </c>
      <c r="FR49">
        <v>5.1885039229065913E-2</v>
      </c>
      <c r="FS49">
        <v>1</v>
      </c>
      <c r="FT49">
        <v>0.17541809633448041</v>
      </c>
      <c r="FU49">
        <v>3.2521837606178883E-2</v>
      </c>
      <c r="FV49">
        <v>2.3700774667044862E-3</v>
      </c>
      <c r="FW49">
        <v>1</v>
      </c>
      <c r="FX49">
        <v>2</v>
      </c>
      <c r="FY49">
        <v>2</v>
      </c>
      <c r="FZ49" t="s">
        <v>420</v>
      </c>
      <c r="GA49">
        <v>2.91289</v>
      </c>
      <c r="GB49">
        <v>2.75122</v>
      </c>
      <c r="GC49">
        <v>0.134855</v>
      </c>
      <c r="GD49">
        <v>0.14469000000000001</v>
      </c>
      <c r="GE49">
        <v>0.12667300000000001</v>
      </c>
      <c r="GF49">
        <v>0.11971900000000001</v>
      </c>
      <c r="GG49">
        <v>26787.8</v>
      </c>
      <c r="GH49">
        <v>26339.200000000001</v>
      </c>
      <c r="GI49">
        <v>28208.6</v>
      </c>
      <c r="GJ49">
        <v>28164.7</v>
      </c>
      <c r="GK49">
        <v>33579.300000000003</v>
      </c>
      <c r="GL49">
        <v>34633.599999999999</v>
      </c>
      <c r="GM49">
        <v>42384.5</v>
      </c>
      <c r="GN49">
        <v>43788.800000000003</v>
      </c>
      <c r="GO49">
        <v>1.7419500000000001</v>
      </c>
      <c r="GP49">
        <v>1.84223</v>
      </c>
      <c r="GQ49">
        <v>1.3820799999999999E-2</v>
      </c>
      <c r="GR49">
        <v>0</v>
      </c>
      <c r="GS49">
        <v>29.702200000000001</v>
      </c>
      <c r="GT49">
        <v>999.9</v>
      </c>
      <c r="GU49">
        <v>29.9</v>
      </c>
      <c r="GV49">
        <v>45.8</v>
      </c>
      <c r="GW49">
        <v>30.282499999999999</v>
      </c>
      <c r="GX49">
        <v>61.309600000000003</v>
      </c>
      <c r="GY49">
        <v>30.104199999999999</v>
      </c>
      <c r="GZ49">
        <v>1</v>
      </c>
      <c r="HA49">
        <v>0.65772600000000003</v>
      </c>
      <c r="HB49">
        <v>2.6635499999999999</v>
      </c>
      <c r="HC49">
        <v>20.242999999999999</v>
      </c>
      <c r="HD49">
        <v>5.2722499999999997</v>
      </c>
      <c r="HE49">
        <v>12.0878</v>
      </c>
      <c r="HF49">
        <v>5.0135500000000004</v>
      </c>
      <c r="HG49">
        <v>3.2919499999999999</v>
      </c>
      <c r="HH49">
        <v>9999</v>
      </c>
      <c r="HI49">
        <v>9999</v>
      </c>
      <c r="HJ49">
        <v>9999</v>
      </c>
      <c r="HK49">
        <v>999.9</v>
      </c>
      <c r="HL49">
        <v>1.8766799999999999</v>
      </c>
      <c r="HM49">
        <v>1.8773599999999999</v>
      </c>
      <c r="HN49">
        <v>1.8769800000000001</v>
      </c>
      <c r="HO49">
        <v>1.8807100000000001</v>
      </c>
      <c r="HP49">
        <v>1.87446</v>
      </c>
      <c r="HQ49">
        <v>1.87744</v>
      </c>
      <c r="HR49">
        <v>1.8772899999999999</v>
      </c>
      <c r="HS49">
        <v>1.8787499999999999</v>
      </c>
      <c r="HT49">
        <v>0</v>
      </c>
      <c r="HU49">
        <v>0</v>
      </c>
      <c r="HV49">
        <v>0</v>
      </c>
      <c r="HW49">
        <v>0</v>
      </c>
      <c r="HX49" t="s">
        <v>421</v>
      </c>
      <c r="HY49" t="s">
        <v>422</v>
      </c>
      <c r="HZ49" t="s">
        <v>423</v>
      </c>
      <c r="IA49" t="s">
        <v>424</v>
      </c>
      <c r="IB49" t="s">
        <v>424</v>
      </c>
      <c r="IC49" t="s">
        <v>423</v>
      </c>
      <c r="ID49">
        <v>0</v>
      </c>
      <c r="IE49">
        <v>100</v>
      </c>
      <c r="IF49">
        <v>100</v>
      </c>
      <c r="IG49">
        <v>2.0059999999999998</v>
      </c>
      <c r="IH49">
        <v>0.3342</v>
      </c>
      <c r="II49">
        <v>1.664754671609074</v>
      </c>
      <c r="IJ49">
        <v>8.9576739069318506E-4</v>
      </c>
      <c r="IK49">
        <v>-7.2130504814809596E-7</v>
      </c>
      <c r="IL49">
        <v>1.9987036519832741E-10</v>
      </c>
      <c r="IM49">
        <v>0.33417619047618891</v>
      </c>
      <c r="IN49">
        <v>0</v>
      </c>
      <c r="IO49">
        <v>0</v>
      </c>
      <c r="IP49">
        <v>0</v>
      </c>
      <c r="IQ49">
        <v>1</v>
      </c>
      <c r="IR49">
        <v>2126</v>
      </c>
      <c r="IS49">
        <v>0</v>
      </c>
      <c r="IT49">
        <v>20</v>
      </c>
      <c r="IU49">
        <v>1.8</v>
      </c>
      <c r="IV49">
        <v>1.8</v>
      </c>
      <c r="IW49">
        <v>1.7456100000000001</v>
      </c>
      <c r="IX49">
        <v>2.67822</v>
      </c>
      <c r="IY49">
        <v>1.69434</v>
      </c>
      <c r="IZ49">
        <v>2.3315399999999999</v>
      </c>
      <c r="JA49">
        <v>1.5466299999999999</v>
      </c>
      <c r="JB49">
        <v>2.5097700000000001</v>
      </c>
      <c r="JC49">
        <v>49.231999999999999</v>
      </c>
      <c r="JD49">
        <v>23.754799999999999</v>
      </c>
      <c r="JE49">
        <v>18</v>
      </c>
      <c r="JF49">
        <v>495.03</v>
      </c>
      <c r="JG49">
        <v>465.63099999999997</v>
      </c>
      <c r="JH49">
        <v>26.5901</v>
      </c>
      <c r="JI49">
        <v>35.312899999999999</v>
      </c>
      <c r="JJ49">
        <v>29.999700000000001</v>
      </c>
      <c r="JK49">
        <v>35.326599999999999</v>
      </c>
      <c r="JL49">
        <v>35.290500000000002</v>
      </c>
      <c r="JM49">
        <v>35.008400000000002</v>
      </c>
      <c r="JN49">
        <v>12.157299999999999</v>
      </c>
      <c r="JO49">
        <v>38.997199999999999</v>
      </c>
      <c r="JP49">
        <v>26.638200000000001</v>
      </c>
      <c r="JQ49">
        <v>750</v>
      </c>
      <c r="JR49">
        <v>24.729199999999999</v>
      </c>
      <c r="JS49">
        <v>98.818299999999994</v>
      </c>
      <c r="JT49">
        <v>98.652000000000001</v>
      </c>
    </row>
    <row r="50" spans="1:280" x14ac:dyDescent="0.25">
      <c r="A50">
        <v>34</v>
      </c>
      <c r="B50">
        <v>1700156290</v>
      </c>
      <c r="C50">
        <v>8760.4000000953674</v>
      </c>
      <c r="D50" t="s">
        <v>567</v>
      </c>
      <c r="E50" t="s">
        <v>568</v>
      </c>
      <c r="F50" t="s">
        <v>412</v>
      </c>
      <c r="G50" t="s">
        <v>546</v>
      </c>
      <c r="H50" t="s">
        <v>547</v>
      </c>
      <c r="I50">
        <v>1700156290</v>
      </c>
      <c r="J50">
        <f t="shared" si="46"/>
        <v>3.8001945637992254E-3</v>
      </c>
      <c r="K50">
        <f t="shared" si="47"/>
        <v>3.8001945637992254</v>
      </c>
      <c r="L50">
        <f t="shared" si="48"/>
        <v>49.519711122081723</v>
      </c>
      <c r="M50">
        <f t="shared" si="49"/>
        <v>541.64200000000005</v>
      </c>
      <c r="N50">
        <f t="shared" si="50"/>
        <v>207.25812483107774</v>
      </c>
      <c r="O50">
        <f t="shared" si="51"/>
        <v>20.571773291264133</v>
      </c>
      <c r="P50">
        <f t="shared" si="52"/>
        <v>53.761638720356203</v>
      </c>
      <c r="Q50">
        <f t="shared" si="53"/>
        <v>0.25357623129387202</v>
      </c>
      <c r="R50">
        <f t="shared" si="54"/>
        <v>2.9849726645039656</v>
      </c>
      <c r="S50">
        <f t="shared" si="55"/>
        <v>0.24218777269816907</v>
      </c>
      <c r="T50">
        <f t="shared" si="56"/>
        <v>0.15234793899063634</v>
      </c>
      <c r="U50">
        <f t="shared" si="57"/>
        <v>289.53020084762716</v>
      </c>
      <c r="V50">
        <f t="shared" si="58"/>
        <v>30.828758705127527</v>
      </c>
      <c r="W50">
        <f t="shared" si="59"/>
        <v>30.014500000000002</v>
      </c>
      <c r="X50">
        <f t="shared" si="60"/>
        <v>4.2639994532519339</v>
      </c>
      <c r="Y50">
        <f t="shared" si="61"/>
        <v>64.362753482999153</v>
      </c>
      <c r="Z50">
        <f t="shared" si="62"/>
        <v>2.7616709098183496</v>
      </c>
      <c r="AA50">
        <f t="shared" si="63"/>
        <v>4.2907904966306649</v>
      </c>
      <c r="AB50">
        <f t="shared" si="64"/>
        <v>1.5023285434335842</v>
      </c>
      <c r="AC50">
        <f t="shared" si="65"/>
        <v>-167.58858026354585</v>
      </c>
      <c r="AD50">
        <f t="shared" si="66"/>
        <v>17.55700983010097</v>
      </c>
      <c r="AE50">
        <f t="shared" si="67"/>
        <v>1.3087183104919662</v>
      </c>
      <c r="AF50">
        <f t="shared" si="68"/>
        <v>140.80734872467423</v>
      </c>
      <c r="AG50">
        <v>6</v>
      </c>
      <c r="AH50">
        <v>1</v>
      </c>
      <c r="AI50">
        <f t="shared" si="69"/>
        <v>1</v>
      </c>
      <c r="AJ50">
        <f t="shared" si="70"/>
        <v>0</v>
      </c>
      <c r="AK50">
        <f t="shared" si="71"/>
        <v>52065.443215454012</v>
      </c>
      <c r="AL50" t="s">
        <v>415</v>
      </c>
      <c r="AM50">
        <v>6960.3</v>
      </c>
      <c r="AN50">
        <v>244.8124</v>
      </c>
      <c r="AO50">
        <v>892.86711584811997</v>
      </c>
      <c r="AP50">
        <f t="shared" si="72"/>
        <v>0.72581317459826411</v>
      </c>
      <c r="AQ50">
        <v>-0.43209471141234851</v>
      </c>
      <c r="AR50" t="s">
        <v>569</v>
      </c>
      <c r="AS50">
        <v>7123.97</v>
      </c>
      <c r="AT50">
        <v>702.50669230769222</v>
      </c>
      <c r="AU50">
        <v>1009.568365136893</v>
      </c>
      <c r="AV50">
        <f t="shared" si="73"/>
        <v>0.3041514407868402</v>
      </c>
      <c r="AW50">
        <v>0.5</v>
      </c>
      <c r="AX50">
        <f t="shared" si="74"/>
        <v>1512.9992999210504</v>
      </c>
      <c r="AY50">
        <f t="shared" si="75"/>
        <v>49.519711122081723</v>
      </c>
      <c r="AZ50">
        <f t="shared" si="76"/>
        <v>230.090458490234</v>
      </c>
      <c r="BA50">
        <f t="shared" si="77"/>
        <v>3.301508853051062E-2</v>
      </c>
      <c r="BB50">
        <f t="shared" si="78"/>
        <v>-0.11559519228095948</v>
      </c>
      <c r="BC50">
        <f t="shared" si="79"/>
        <v>252.82562704232919</v>
      </c>
      <c r="BD50" t="s">
        <v>570</v>
      </c>
      <c r="BE50">
        <v>487.83</v>
      </c>
      <c r="BF50">
        <f t="shared" si="80"/>
        <v>487.83</v>
      </c>
      <c r="BG50">
        <f t="shared" si="81"/>
        <v>0.51679349626426507</v>
      </c>
      <c r="BH50">
        <f t="shared" si="82"/>
        <v>0.58853573619918553</v>
      </c>
      <c r="BI50">
        <f t="shared" si="83"/>
        <v>-0.288124827880054</v>
      </c>
      <c r="BJ50">
        <f t="shared" si="84"/>
        <v>0.40151589111728747</v>
      </c>
      <c r="BK50">
        <f t="shared" si="85"/>
        <v>-0.18007931496346602</v>
      </c>
      <c r="BL50">
        <f t="shared" si="86"/>
        <v>0.40868705071965183</v>
      </c>
      <c r="BM50">
        <f t="shared" si="87"/>
        <v>0.59131294928034817</v>
      </c>
      <c r="BN50">
        <v>67</v>
      </c>
      <c r="BO50">
        <v>290.00000000000011</v>
      </c>
      <c r="BP50">
        <v>920.87</v>
      </c>
      <c r="BQ50">
        <v>295</v>
      </c>
      <c r="BR50">
        <v>7123.97</v>
      </c>
      <c r="BS50">
        <v>922.12</v>
      </c>
      <c r="BT50">
        <v>-1.25</v>
      </c>
      <c r="BU50">
        <v>300.00000000000011</v>
      </c>
      <c r="BV50">
        <v>38.200000000000003</v>
      </c>
      <c r="BW50">
        <v>1009.568365136893</v>
      </c>
      <c r="BX50">
        <v>1.0889073963050611</v>
      </c>
      <c r="BY50">
        <v>-62.295680499018758</v>
      </c>
      <c r="BZ50">
        <v>0.65021596732785403</v>
      </c>
      <c r="CA50">
        <v>0.99695887223773161</v>
      </c>
      <c r="CB50">
        <v>-7.0303906562847714E-3</v>
      </c>
      <c r="CC50">
        <v>289.99999999999989</v>
      </c>
      <c r="CD50">
        <v>929.06</v>
      </c>
      <c r="CE50">
        <v>885</v>
      </c>
      <c r="CF50">
        <v>7117.92</v>
      </c>
      <c r="CG50">
        <v>922.05</v>
      </c>
      <c r="CH50">
        <v>7.01</v>
      </c>
      <c r="CV50">
        <f t="shared" si="88"/>
        <v>1799.78</v>
      </c>
      <c r="CW50">
        <f t="shared" si="89"/>
        <v>1512.9992999210504</v>
      </c>
      <c r="CX50">
        <f t="shared" si="90"/>
        <v>0.84065791370114695</v>
      </c>
      <c r="CY50">
        <f t="shared" si="91"/>
        <v>0.16086977344321371</v>
      </c>
      <c r="CZ50">
        <v>5.66</v>
      </c>
      <c r="DA50">
        <v>0.5</v>
      </c>
      <c r="DB50" t="s">
        <v>418</v>
      </c>
      <c r="DC50">
        <v>2</v>
      </c>
      <c r="DD50">
        <v>1700156290</v>
      </c>
      <c r="DE50">
        <v>541.64200000000005</v>
      </c>
      <c r="DF50">
        <v>600.01400000000001</v>
      </c>
      <c r="DG50">
        <v>27.823499999999999</v>
      </c>
      <c r="DH50">
        <v>23.642399999999999</v>
      </c>
      <c r="DI50">
        <v>539.88699999999994</v>
      </c>
      <c r="DJ50">
        <v>27.482500000000002</v>
      </c>
      <c r="DK50">
        <v>500.12299999999999</v>
      </c>
      <c r="DL50">
        <v>99.157399999999996</v>
      </c>
      <c r="DM50">
        <v>9.9376099999999995E-2</v>
      </c>
      <c r="DN50">
        <v>30.1236</v>
      </c>
      <c r="DO50">
        <v>30.014500000000002</v>
      </c>
      <c r="DP50">
        <v>999.9</v>
      </c>
      <c r="DQ50">
        <v>0</v>
      </c>
      <c r="DR50">
        <v>0</v>
      </c>
      <c r="DS50">
        <v>10035</v>
      </c>
      <c r="DT50">
        <v>0</v>
      </c>
      <c r="DU50">
        <v>203.834</v>
      </c>
      <c r="DV50">
        <v>-58.3718</v>
      </c>
      <c r="DW50">
        <v>557.14300000000003</v>
      </c>
      <c r="DX50">
        <v>614.54300000000001</v>
      </c>
      <c r="DY50">
        <v>4.1810900000000002</v>
      </c>
      <c r="DZ50">
        <v>600.01400000000001</v>
      </c>
      <c r="EA50">
        <v>23.642399999999999</v>
      </c>
      <c r="EB50">
        <v>2.7589000000000001</v>
      </c>
      <c r="EC50">
        <v>2.3443200000000002</v>
      </c>
      <c r="ED50">
        <v>22.6402</v>
      </c>
      <c r="EE50">
        <v>19.984200000000001</v>
      </c>
      <c r="EF50">
        <v>1799.78</v>
      </c>
      <c r="EG50">
        <v>0.97800600000000004</v>
      </c>
      <c r="EH50">
        <v>2.1993599999999999E-2</v>
      </c>
      <c r="EI50">
        <v>0</v>
      </c>
      <c r="EJ50">
        <v>702.26099999999997</v>
      </c>
      <c r="EK50">
        <v>5.0001199999999999</v>
      </c>
      <c r="EL50">
        <v>13266.9</v>
      </c>
      <c r="EM50">
        <v>15628.1</v>
      </c>
      <c r="EN50">
        <v>51.561999999999998</v>
      </c>
      <c r="EO50">
        <v>52.686999999999998</v>
      </c>
      <c r="EP50">
        <v>52.625</v>
      </c>
      <c r="EQ50">
        <v>52.561999999999998</v>
      </c>
      <c r="ER50">
        <v>53.061999999999998</v>
      </c>
      <c r="ES50">
        <v>1755.31</v>
      </c>
      <c r="ET50">
        <v>39.47</v>
      </c>
      <c r="EU50">
        <v>0</v>
      </c>
      <c r="EV50">
        <v>200</v>
      </c>
      <c r="EW50">
        <v>0</v>
      </c>
      <c r="EX50">
        <v>702.50669230769222</v>
      </c>
      <c r="EY50">
        <v>-2.6618119575922479</v>
      </c>
      <c r="EZ50">
        <v>152.2632477320025</v>
      </c>
      <c r="FA50">
        <v>13264.98076923077</v>
      </c>
      <c r="FB50">
        <v>15</v>
      </c>
      <c r="FC50">
        <v>1700156210.5</v>
      </c>
      <c r="FD50" t="s">
        <v>571</v>
      </c>
      <c r="FE50">
        <v>1700156210.5</v>
      </c>
      <c r="FF50">
        <v>1700156195.5</v>
      </c>
      <c r="FG50">
        <v>40</v>
      </c>
      <c r="FH50">
        <v>-0.215</v>
      </c>
      <c r="FI50">
        <v>7.0000000000000001E-3</v>
      </c>
      <c r="FJ50">
        <v>1.77</v>
      </c>
      <c r="FK50">
        <v>0.34100000000000003</v>
      </c>
      <c r="FL50">
        <v>600</v>
      </c>
      <c r="FM50">
        <v>26</v>
      </c>
      <c r="FN50">
        <v>0.06</v>
      </c>
      <c r="FO50">
        <v>0.03</v>
      </c>
      <c r="FP50">
        <v>49.488172649001719</v>
      </c>
      <c r="FQ50">
        <v>0.66195595397553086</v>
      </c>
      <c r="FR50">
        <v>6.641442522256602E-2</v>
      </c>
      <c r="FS50">
        <v>1</v>
      </c>
      <c r="FT50">
        <v>0.25365071747997858</v>
      </c>
      <c r="FU50">
        <v>7.5445814519628559E-3</v>
      </c>
      <c r="FV50">
        <v>1.195332431979492E-3</v>
      </c>
      <c r="FW50">
        <v>1</v>
      </c>
      <c r="FX50">
        <v>2</v>
      </c>
      <c r="FY50">
        <v>2</v>
      </c>
      <c r="FZ50" t="s">
        <v>420</v>
      </c>
      <c r="GA50">
        <v>2.9128500000000002</v>
      </c>
      <c r="GB50">
        <v>2.75068</v>
      </c>
      <c r="GC50">
        <v>0.113303</v>
      </c>
      <c r="GD50">
        <v>0.124073</v>
      </c>
      <c r="GE50">
        <v>0.126747</v>
      </c>
      <c r="GF50">
        <v>0.115675</v>
      </c>
      <c r="GG50">
        <v>27457.3</v>
      </c>
      <c r="GH50">
        <v>26979.200000000001</v>
      </c>
      <c r="GI50">
        <v>28210.1</v>
      </c>
      <c r="GJ50">
        <v>28169.4</v>
      </c>
      <c r="GK50">
        <v>33576.5</v>
      </c>
      <c r="GL50">
        <v>34798.6</v>
      </c>
      <c r="GM50">
        <v>42384.6</v>
      </c>
      <c r="GN50">
        <v>43796.3</v>
      </c>
      <c r="GO50">
        <v>1.74363</v>
      </c>
      <c r="GP50">
        <v>1.8423499999999999</v>
      </c>
      <c r="GQ50">
        <v>9.5367400000000001E-3</v>
      </c>
      <c r="GR50">
        <v>0</v>
      </c>
      <c r="GS50">
        <v>29.859300000000001</v>
      </c>
      <c r="GT50">
        <v>999.9</v>
      </c>
      <c r="GU50">
        <v>30.1</v>
      </c>
      <c r="GV50">
        <v>45.6</v>
      </c>
      <c r="GW50">
        <v>30.175599999999999</v>
      </c>
      <c r="GX50">
        <v>60.9696</v>
      </c>
      <c r="GY50">
        <v>30.224399999999999</v>
      </c>
      <c r="GZ50">
        <v>1</v>
      </c>
      <c r="HA50">
        <v>0.659779</v>
      </c>
      <c r="HB50">
        <v>4.4494600000000002</v>
      </c>
      <c r="HC50">
        <v>20.2012</v>
      </c>
      <c r="HD50">
        <v>5.2710499999999998</v>
      </c>
      <c r="HE50">
        <v>12.0883</v>
      </c>
      <c r="HF50">
        <v>5.0122999999999998</v>
      </c>
      <c r="HG50">
        <v>3.2912499999999998</v>
      </c>
      <c r="HH50">
        <v>9999</v>
      </c>
      <c r="HI50">
        <v>9999</v>
      </c>
      <c r="HJ50">
        <v>9999</v>
      </c>
      <c r="HK50">
        <v>999.9</v>
      </c>
      <c r="HL50">
        <v>1.8765799999999999</v>
      </c>
      <c r="HM50">
        <v>1.8772899999999999</v>
      </c>
      <c r="HN50">
        <v>1.8769800000000001</v>
      </c>
      <c r="HO50">
        <v>1.88066</v>
      </c>
      <c r="HP50">
        <v>1.87439</v>
      </c>
      <c r="HQ50">
        <v>1.8774200000000001</v>
      </c>
      <c r="HR50">
        <v>1.8772899999999999</v>
      </c>
      <c r="HS50">
        <v>1.8786700000000001</v>
      </c>
      <c r="HT50">
        <v>0</v>
      </c>
      <c r="HU50">
        <v>0</v>
      </c>
      <c r="HV50">
        <v>0</v>
      </c>
      <c r="HW50">
        <v>0</v>
      </c>
      <c r="HX50" t="s">
        <v>421</v>
      </c>
      <c r="HY50" t="s">
        <v>422</v>
      </c>
      <c r="HZ50" t="s">
        <v>423</v>
      </c>
      <c r="IA50" t="s">
        <v>424</v>
      </c>
      <c r="IB50" t="s">
        <v>424</v>
      </c>
      <c r="IC50" t="s">
        <v>423</v>
      </c>
      <c r="ID50">
        <v>0</v>
      </c>
      <c r="IE50">
        <v>100</v>
      </c>
      <c r="IF50">
        <v>100</v>
      </c>
      <c r="IG50">
        <v>1.7549999999999999</v>
      </c>
      <c r="IH50">
        <v>0.34100000000000003</v>
      </c>
      <c r="II50">
        <v>1.449707159720051</v>
      </c>
      <c r="IJ50">
        <v>8.9576739069318506E-4</v>
      </c>
      <c r="IK50">
        <v>-7.2130504814809596E-7</v>
      </c>
      <c r="IL50">
        <v>1.9987036519832741E-10</v>
      </c>
      <c r="IM50">
        <v>0.34093499999999471</v>
      </c>
      <c r="IN50">
        <v>0</v>
      </c>
      <c r="IO50">
        <v>0</v>
      </c>
      <c r="IP50">
        <v>0</v>
      </c>
      <c r="IQ50">
        <v>1</v>
      </c>
      <c r="IR50">
        <v>2126</v>
      </c>
      <c r="IS50">
        <v>0</v>
      </c>
      <c r="IT50">
        <v>20</v>
      </c>
      <c r="IU50">
        <v>1.3</v>
      </c>
      <c r="IV50">
        <v>1.6</v>
      </c>
      <c r="IW50">
        <v>1.4538599999999999</v>
      </c>
      <c r="IX50">
        <v>2.6867700000000001</v>
      </c>
      <c r="IY50">
        <v>1.69434</v>
      </c>
      <c r="IZ50">
        <v>2.3315399999999999</v>
      </c>
      <c r="JA50">
        <v>1.54541</v>
      </c>
      <c r="JB50">
        <v>2.51953</v>
      </c>
      <c r="JC50">
        <v>48.887999999999998</v>
      </c>
      <c r="JD50">
        <v>23.737300000000001</v>
      </c>
      <c r="JE50">
        <v>18</v>
      </c>
      <c r="JF50">
        <v>495.62700000000001</v>
      </c>
      <c r="JG50">
        <v>465.05</v>
      </c>
      <c r="JH50">
        <v>26.724599999999999</v>
      </c>
      <c r="JI50">
        <v>35.240900000000003</v>
      </c>
      <c r="JJ50">
        <v>30.005299999999998</v>
      </c>
      <c r="JK50">
        <v>35.239199999999997</v>
      </c>
      <c r="JL50">
        <v>35.201099999999997</v>
      </c>
      <c r="JM50">
        <v>29.176400000000001</v>
      </c>
      <c r="JN50">
        <v>16.136900000000001</v>
      </c>
      <c r="JO50">
        <v>38.433500000000002</v>
      </c>
      <c r="JP50">
        <v>26.5078</v>
      </c>
      <c r="JQ50">
        <v>600</v>
      </c>
      <c r="JR50">
        <v>24.017399999999999</v>
      </c>
      <c r="JS50">
        <v>98.820599999999999</v>
      </c>
      <c r="JT50">
        <v>98.668499999999995</v>
      </c>
    </row>
    <row r="51" spans="1:280" x14ac:dyDescent="0.25">
      <c r="A51">
        <v>35</v>
      </c>
      <c r="B51">
        <v>1700156506.5</v>
      </c>
      <c r="C51">
        <v>8976.9000000953674</v>
      </c>
      <c r="D51" t="s">
        <v>572</v>
      </c>
      <c r="E51" t="s">
        <v>573</v>
      </c>
      <c r="F51" t="s">
        <v>412</v>
      </c>
      <c r="G51" t="s">
        <v>546</v>
      </c>
      <c r="H51" t="s">
        <v>547</v>
      </c>
      <c r="I51">
        <v>1700156506.5</v>
      </c>
      <c r="J51">
        <f t="shared" si="46"/>
        <v>3.7264919093945572E-3</v>
      </c>
      <c r="K51">
        <f t="shared" si="47"/>
        <v>3.7264919093945572</v>
      </c>
      <c r="L51">
        <f t="shared" si="48"/>
        <v>47.724379633114317</v>
      </c>
      <c r="M51">
        <f t="shared" si="49"/>
        <v>444.09699999999998</v>
      </c>
      <c r="N51">
        <f t="shared" si="50"/>
        <v>121.67884174436217</v>
      </c>
      <c r="O51">
        <f t="shared" si="51"/>
        <v>12.077095976749149</v>
      </c>
      <c r="P51">
        <f t="shared" si="52"/>
        <v>44.078346038619102</v>
      </c>
      <c r="Q51">
        <f t="shared" si="53"/>
        <v>0.25174111420202244</v>
      </c>
      <c r="R51">
        <f t="shared" si="54"/>
        <v>2.9860355549140238</v>
      </c>
      <c r="S51">
        <f t="shared" si="55"/>
        <v>0.24051677707025496</v>
      </c>
      <c r="T51">
        <f t="shared" si="56"/>
        <v>0.15128973952774263</v>
      </c>
      <c r="U51">
        <f t="shared" si="57"/>
        <v>289.55486084748463</v>
      </c>
      <c r="V51">
        <f t="shared" si="58"/>
        <v>30.64035999785898</v>
      </c>
      <c r="W51">
        <f t="shared" si="59"/>
        <v>29.9421</v>
      </c>
      <c r="X51">
        <f t="shared" si="60"/>
        <v>4.2463011899853056</v>
      </c>
      <c r="Y51">
        <f t="shared" si="61"/>
        <v>65.159640115038002</v>
      </c>
      <c r="Z51">
        <f t="shared" si="62"/>
        <v>2.7627910321226801</v>
      </c>
      <c r="AA51">
        <f t="shared" si="63"/>
        <v>4.2400342102028645</v>
      </c>
      <c r="AB51">
        <f t="shared" si="64"/>
        <v>1.4835101578626255</v>
      </c>
      <c r="AC51">
        <f t="shared" si="65"/>
        <v>-164.33829320429999</v>
      </c>
      <c r="AD51">
        <f t="shared" si="66"/>
        <v>-4.1372669250987695</v>
      </c>
      <c r="AE51">
        <f t="shared" si="67"/>
        <v>-0.30786009860179298</v>
      </c>
      <c r="AF51">
        <f t="shared" si="68"/>
        <v>120.77144061948408</v>
      </c>
      <c r="AG51">
        <v>6</v>
      </c>
      <c r="AH51">
        <v>1</v>
      </c>
      <c r="AI51">
        <f t="shared" si="69"/>
        <v>1</v>
      </c>
      <c r="AJ51">
        <f t="shared" si="70"/>
        <v>0</v>
      </c>
      <c r="AK51">
        <f t="shared" si="71"/>
        <v>52130.218910997173</v>
      </c>
      <c r="AL51" t="s">
        <v>415</v>
      </c>
      <c r="AM51">
        <v>6960.3</v>
      </c>
      <c r="AN51">
        <v>244.8124</v>
      </c>
      <c r="AO51">
        <v>892.86711584811997</v>
      </c>
      <c r="AP51">
        <f t="shared" si="72"/>
        <v>0.72581317459826411</v>
      </c>
      <c r="AQ51">
        <v>-0.43209471141234851</v>
      </c>
      <c r="AR51" t="s">
        <v>574</v>
      </c>
      <c r="AS51">
        <v>7123.42</v>
      </c>
      <c r="AT51">
        <v>699.97692307692296</v>
      </c>
      <c r="AU51">
        <v>995.46833833906737</v>
      </c>
      <c r="AV51">
        <f t="shared" si="73"/>
        <v>0.29683657820315001</v>
      </c>
      <c r="AW51">
        <v>0.5</v>
      </c>
      <c r="AX51">
        <f t="shared" si="74"/>
        <v>1513.1180999209764</v>
      </c>
      <c r="AY51">
        <f t="shared" si="75"/>
        <v>47.724379633114317</v>
      </c>
      <c r="AZ51">
        <f t="shared" si="76"/>
        <v>224.57439959889734</v>
      </c>
      <c r="BA51">
        <f t="shared" si="77"/>
        <v>3.1825985259869446E-2</v>
      </c>
      <c r="BB51">
        <f t="shared" si="78"/>
        <v>-0.10306829312335226</v>
      </c>
      <c r="BC51">
        <f t="shared" si="79"/>
        <v>251.93198999847607</v>
      </c>
      <c r="BD51" t="s">
        <v>575</v>
      </c>
      <c r="BE51">
        <v>486.69</v>
      </c>
      <c r="BF51">
        <f t="shared" si="80"/>
        <v>486.69</v>
      </c>
      <c r="BG51">
        <f t="shared" si="81"/>
        <v>0.51109444544259519</v>
      </c>
      <c r="BH51">
        <f t="shared" si="82"/>
        <v>0.58078615576832748</v>
      </c>
      <c r="BI51">
        <f t="shared" si="83"/>
        <v>-0.25260217399670698</v>
      </c>
      <c r="BJ51">
        <f t="shared" si="84"/>
        <v>0.39364427851721395</v>
      </c>
      <c r="BK51">
        <f t="shared" si="85"/>
        <v>-0.15832185150704672</v>
      </c>
      <c r="BL51">
        <f t="shared" si="86"/>
        <v>0.40381733287487892</v>
      </c>
      <c r="BM51">
        <f t="shared" si="87"/>
        <v>0.59618266712512114</v>
      </c>
      <c r="BN51">
        <v>69</v>
      </c>
      <c r="BO51">
        <v>290.00000000000011</v>
      </c>
      <c r="BP51">
        <v>911.17</v>
      </c>
      <c r="BQ51">
        <v>295</v>
      </c>
      <c r="BR51">
        <v>7123.42</v>
      </c>
      <c r="BS51">
        <v>913.01</v>
      </c>
      <c r="BT51">
        <v>-1.84</v>
      </c>
      <c r="BU51">
        <v>300.00000000000011</v>
      </c>
      <c r="BV51">
        <v>38.200000000000003</v>
      </c>
      <c r="BW51">
        <v>995.46833833906737</v>
      </c>
      <c r="BX51">
        <v>1.4406882596333761</v>
      </c>
      <c r="BY51">
        <v>-58.735796275107482</v>
      </c>
      <c r="BZ51">
        <v>0.86020822571311384</v>
      </c>
      <c r="CA51">
        <v>0.99403020970889111</v>
      </c>
      <c r="CB51">
        <v>-7.0297993325917794E-3</v>
      </c>
      <c r="CC51">
        <v>289.99999999999989</v>
      </c>
      <c r="CD51">
        <v>921.2</v>
      </c>
      <c r="CE51">
        <v>885</v>
      </c>
      <c r="CF51">
        <v>7117.4</v>
      </c>
      <c r="CG51">
        <v>912.94</v>
      </c>
      <c r="CH51">
        <v>8.26</v>
      </c>
      <c r="CV51">
        <f t="shared" si="88"/>
        <v>1799.92</v>
      </c>
      <c r="CW51">
        <f t="shared" si="89"/>
        <v>1513.1180999209764</v>
      </c>
      <c r="CX51">
        <f t="shared" si="90"/>
        <v>0.84065852922406348</v>
      </c>
      <c r="CY51">
        <f t="shared" si="91"/>
        <v>0.16087096140244267</v>
      </c>
      <c r="CZ51">
        <v>5.66</v>
      </c>
      <c r="DA51">
        <v>0.5</v>
      </c>
      <c r="DB51" t="s">
        <v>418</v>
      </c>
      <c r="DC51">
        <v>2</v>
      </c>
      <c r="DD51">
        <v>1700156506.5</v>
      </c>
      <c r="DE51">
        <v>444.09699999999998</v>
      </c>
      <c r="DF51">
        <v>499.988</v>
      </c>
      <c r="DG51">
        <v>27.835599999999999</v>
      </c>
      <c r="DH51">
        <v>23.735099999999999</v>
      </c>
      <c r="DI51">
        <v>442.62799999999999</v>
      </c>
      <c r="DJ51">
        <v>27.507200000000001</v>
      </c>
      <c r="DK51">
        <v>500.05700000000002</v>
      </c>
      <c r="DL51">
        <v>99.154200000000003</v>
      </c>
      <c r="DM51">
        <v>9.9670300000000003E-2</v>
      </c>
      <c r="DN51">
        <v>29.916399999999999</v>
      </c>
      <c r="DO51">
        <v>29.9421</v>
      </c>
      <c r="DP51">
        <v>999.9</v>
      </c>
      <c r="DQ51">
        <v>0</v>
      </c>
      <c r="DR51">
        <v>0</v>
      </c>
      <c r="DS51">
        <v>10041.200000000001</v>
      </c>
      <c r="DT51">
        <v>0</v>
      </c>
      <c r="DU51">
        <v>152.94200000000001</v>
      </c>
      <c r="DV51">
        <v>-55.890999999999998</v>
      </c>
      <c r="DW51">
        <v>456.81299999999999</v>
      </c>
      <c r="DX51">
        <v>512.14400000000001</v>
      </c>
      <c r="DY51">
        <v>4.1004300000000002</v>
      </c>
      <c r="DZ51">
        <v>499.988</v>
      </c>
      <c r="EA51">
        <v>23.735099999999999</v>
      </c>
      <c r="EB51">
        <v>2.7600199999999999</v>
      </c>
      <c r="EC51">
        <v>2.35344</v>
      </c>
      <c r="ED51">
        <v>22.646899999999999</v>
      </c>
      <c r="EE51">
        <v>20.046900000000001</v>
      </c>
      <c r="EF51">
        <v>1799.92</v>
      </c>
      <c r="EG51">
        <v>0.977989</v>
      </c>
      <c r="EH51">
        <v>2.2010700000000001E-2</v>
      </c>
      <c r="EI51">
        <v>0</v>
      </c>
      <c r="EJ51">
        <v>700.39099999999996</v>
      </c>
      <c r="EK51">
        <v>5.0001199999999999</v>
      </c>
      <c r="EL51">
        <v>12909.2</v>
      </c>
      <c r="EM51">
        <v>15629.2</v>
      </c>
      <c r="EN51">
        <v>51.686999999999998</v>
      </c>
      <c r="EO51">
        <v>52.75</v>
      </c>
      <c r="EP51">
        <v>52.625</v>
      </c>
      <c r="EQ51">
        <v>52.561999999999998</v>
      </c>
      <c r="ER51">
        <v>53.125</v>
      </c>
      <c r="ES51">
        <v>1755.41</v>
      </c>
      <c r="ET51">
        <v>39.51</v>
      </c>
      <c r="EU51">
        <v>0</v>
      </c>
      <c r="EV51">
        <v>214.39999985694891</v>
      </c>
      <c r="EW51">
        <v>0</v>
      </c>
      <c r="EX51">
        <v>699.97692307692296</v>
      </c>
      <c r="EY51">
        <v>3.180239307081167</v>
      </c>
      <c r="EZ51">
        <v>-122.9299148343319</v>
      </c>
      <c r="FA51">
        <v>12879.81923076923</v>
      </c>
      <c r="FB51">
        <v>15</v>
      </c>
      <c r="FC51">
        <v>1700156421.5</v>
      </c>
      <c r="FD51" t="s">
        <v>576</v>
      </c>
      <c r="FE51">
        <v>1700156421.5</v>
      </c>
      <c r="FF51">
        <v>1700156410</v>
      </c>
      <c r="FG51">
        <v>41</v>
      </c>
      <c r="FH51">
        <v>-0.253</v>
      </c>
      <c r="FI51">
        <v>-1.2999999999999999E-2</v>
      </c>
      <c r="FJ51">
        <v>1.4890000000000001</v>
      </c>
      <c r="FK51">
        <v>0.32800000000000001</v>
      </c>
      <c r="FL51">
        <v>500</v>
      </c>
      <c r="FM51">
        <v>25</v>
      </c>
      <c r="FN51">
        <v>0.09</v>
      </c>
      <c r="FO51">
        <v>0.04</v>
      </c>
      <c r="FP51">
        <v>47.625774652460812</v>
      </c>
      <c r="FQ51">
        <v>0.61190285602659389</v>
      </c>
      <c r="FR51">
        <v>6.6896540594732268E-2</v>
      </c>
      <c r="FS51">
        <v>1</v>
      </c>
      <c r="FT51">
        <v>0.24614552461600819</v>
      </c>
      <c r="FU51">
        <v>2.3015148037212298E-2</v>
      </c>
      <c r="FV51">
        <v>1.7390509359956491E-3</v>
      </c>
      <c r="FW51">
        <v>1</v>
      </c>
      <c r="FX51">
        <v>2</v>
      </c>
      <c r="FY51">
        <v>2</v>
      </c>
      <c r="FZ51" t="s">
        <v>420</v>
      </c>
      <c r="GA51">
        <v>2.91256</v>
      </c>
      <c r="GB51">
        <v>2.75102</v>
      </c>
      <c r="GC51">
        <v>9.7833500000000004E-2</v>
      </c>
      <c r="GD51">
        <v>0.10884000000000001</v>
      </c>
      <c r="GE51">
        <v>0.12681799999999999</v>
      </c>
      <c r="GF51">
        <v>0.115985</v>
      </c>
      <c r="GG51">
        <v>27932.799999999999</v>
      </c>
      <c r="GH51">
        <v>27444.1</v>
      </c>
      <c r="GI51">
        <v>28206.799999999999</v>
      </c>
      <c r="GJ51">
        <v>28165.1</v>
      </c>
      <c r="GK51">
        <v>33569.300000000003</v>
      </c>
      <c r="GL51">
        <v>34781.9</v>
      </c>
      <c r="GM51">
        <v>42378.7</v>
      </c>
      <c r="GN51">
        <v>43790.400000000001</v>
      </c>
      <c r="GO51">
        <v>1.7428999999999999</v>
      </c>
      <c r="GP51">
        <v>1.8420700000000001</v>
      </c>
      <c r="GQ51">
        <v>-3.0565999999999999E-2</v>
      </c>
      <c r="GR51">
        <v>0</v>
      </c>
      <c r="GS51">
        <v>30.439299999999999</v>
      </c>
      <c r="GT51">
        <v>999.9</v>
      </c>
      <c r="GU51">
        <v>30</v>
      </c>
      <c r="GV51">
        <v>45.5</v>
      </c>
      <c r="GW51">
        <v>29.922999999999998</v>
      </c>
      <c r="GX51">
        <v>61.299599999999998</v>
      </c>
      <c r="GY51">
        <v>30.921500000000002</v>
      </c>
      <c r="GZ51">
        <v>1</v>
      </c>
      <c r="HA51">
        <v>0.66287099999999999</v>
      </c>
      <c r="HB51">
        <v>3.60337</v>
      </c>
      <c r="HC51">
        <v>20.225100000000001</v>
      </c>
      <c r="HD51">
        <v>5.2721</v>
      </c>
      <c r="HE51">
        <v>12.087999999999999</v>
      </c>
      <c r="HF51">
        <v>5.0133000000000001</v>
      </c>
      <c r="HG51">
        <v>3.2919800000000001</v>
      </c>
      <c r="HH51">
        <v>9999</v>
      </c>
      <c r="HI51">
        <v>9999</v>
      </c>
      <c r="HJ51">
        <v>9999</v>
      </c>
      <c r="HK51">
        <v>999.9</v>
      </c>
      <c r="HL51">
        <v>1.8765799999999999</v>
      </c>
      <c r="HM51">
        <v>1.8772899999999999</v>
      </c>
      <c r="HN51">
        <v>1.8769800000000001</v>
      </c>
      <c r="HO51">
        <v>1.8806499999999999</v>
      </c>
      <c r="HP51">
        <v>1.87439</v>
      </c>
      <c r="HQ51">
        <v>1.87737</v>
      </c>
      <c r="HR51">
        <v>1.87727</v>
      </c>
      <c r="HS51">
        <v>1.8786700000000001</v>
      </c>
      <c r="HT51">
        <v>0</v>
      </c>
      <c r="HU51">
        <v>0</v>
      </c>
      <c r="HV51">
        <v>0</v>
      </c>
      <c r="HW51">
        <v>0</v>
      </c>
      <c r="HX51" t="s">
        <v>421</v>
      </c>
      <c r="HY51" t="s">
        <v>422</v>
      </c>
      <c r="HZ51" t="s">
        <v>423</v>
      </c>
      <c r="IA51" t="s">
        <v>424</v>
      </c>
      <c r="IB51" t="s">
        <v>424</v>
      </c>
      <c r="IC51" t="s">
        <v>423</v>
      </c>
      <c r="ID51">
        <v>0</v>
      </c>
      <c r="IE51">
        <v>100</v>
      </c>
      <c r="IF51">
        <v>100</v>
      </c>
      <c r="IG51">
        <v>1.4690000000000001</v>
      </c>
      <c r="IH51">
        <v>0.32840000000000003</v>
      </c>
      <c r="II51">
        <v>1.1969960991897619</v>
      </c>
      <c r="IJ51">
        <v>8.9576739069318506E-4</v>
      </c>
      <c r="IK51">
        <v>-7.2130504814809596E-7</v>
      </c>
      <c r="IL51">
        <v>1.9987036519832741E-10</v>
      </c>
      <c r="IM51">
        <v>0.3283380952380881</v>
      </c>
      <c r="IN51">
        <v>0</v>
      </c>
      <c r="IO51">
        <v>0</v>
      </c>
      <c r="IP51">
        <v>0</v>
      </c>
      <c r="IQ51">
        <v>1</v>
      </c>
      <c r="IR51">
        <v>2126</v>
      </c>
      <c r="IS51">
        <v>0</v>
      </c>
      <c r="IT51">
        <v>20</v>
      </c>
      <c r="IU51">
        <v>1.4</v>
      </c>
      <c r="IV51">
        <v>1.6</v>
      </c>
      <c r="IW51">
        <v>1.25488</v>
      </c>
      <c r="IX51">
        <v>2.7002000000000002</v>
      </c>
      <c r="IY51">
        <v>1.69434</v>
      </c>
      <c r="IZ51">
        <v>2.3303199999999999</v>
      </c>
      <c r="JA51">
        <v>1.5466299999999999</v>
      </c>
      <c r="JB51">
        <v>2.3925800000000002</v>
      </c>
      <c r="JC51">
        <v>48.701599999999999</v>
      </c>
      <c r="JD51">
        <v>23.745999999999999</v>
      </c>
      <c r="JE51">
        <v>18</v>
      </c>
      <c r="JF51">
        <v>495.14400000000001</v>
      </c>
      <c r="JG51">
        <v>464.90199999999999</v>
      </c>
      <c r="JH51">
        <v>26.061299999999999</v>
      </c>
      <c r="JI51">
        <v>35.297899999999998</v>
      </c>
      <c r="JJ51">
        <v>30</v>
      </c>
      <c r="JK51">
        <v>35.250900000000001</v>
      </c>
      <c r="JL51">
        <v>35.206600000000002</v>
      </c>
      <c r="JM51">
        <v>25.193000000000001</v>
      </c>
      <c r="JN51">
        <v>14.9771</v>
      </c>
      <c r="JO51">
        <v>37.623399999999997</v>
      </c>
      <c r="JP51">
        <v>26.072800000000001</v>
      </c>
      <c r="JQ51">
        <v>500</v>
      </c>
      <c r="JR51">
        <v>23.813400000000001</v>
      </c>
      <c r="JS51">
        <v>98.807699999999997</v>
      </c>
      <c r="JT51">
        <v>98.654499999999999</v>
      </c>
    </row>
    <row r="52" spans="1:280" x14ac:dyDescent="0.25">
      <c r="A52">
        <v>36</v>
      </c>
      <c r="B52">
        <v>1700156617.5</v>
      </c>
      <c r="C52">
        <v>9087.9000000953674</v>
      </c>
      <c r="D52" t="s">
        <v>577</v>
      </c>
      <c r="E52" t="s">
        <v>578</v>
      </c>
      <c r="F52" t="s">
        <v>412</v>
      </c>
      <c r="G52" t="s">
        <v>546</v>
      </c>
      <c r="H52" t="s">
        <v>547</v>
      </c>
      <c r="I52">
        <v>1700156617.5</v>
      </c>
      <c r="J52">
        <f t="shared" si="46"/>
        <v>3.2923383033016261E-3</v>
      </c>
      <c r="K52">
        <f t="shared" si="47"/>
        <v>3.292338303301626</v>
      </c>
      <c r="L52">
        <f t="shared" si="48"/>
        <v>40.529717067355378</v>
      </c>
      <c r="M52">
        <f t="shared" si="49"/>
        <v>352.88900000000001</v>
      </c>
      <c r="N52">
        <f t="shared" si="50"/>
        <v>45.702896797400349</v>
      </c>
      <c r="O52">
        <f t="shared" si="51"/>
        <v>4.5361096257976801</v>
      </c>
      <c r="P52">
        <f t="shared" si="52"/>
        <v>35.024983139125005</v>
      </c>
      <c r="Q52">
        <f t="shared" si="53"/>
        <v>0.2221100143610705</v>
      </c>
      <c r="R52">
        <f t="shared" si="54"/>
        <v>2.9777419090050294</v>
      </c>
      <c r="S52">
        <f t="shared" si="55"/>
        <v>0.21329947318044506</v>
      </c>
      <c r="T52">
        <f t="shared" si="56"/>
        <v>0.13407464179718365</v>
      </c>
      <c r="U52">
        <f t="shared" si="57"/>
        <v>289.54368884747868</v>
      </c>
      <c r="V52">
        <f t="shared" si="58"/>
        <v>30.835907609026563</v>
      </c>
      <c r="W52">
        <f t="shared" si="59"/>
        <v>30.008500000000002</v>
      </c>
      <c r="X52">
        <f t="shared" si="60"/>
        <v>4.2625303073265304</v>
      </c>
      <c r="Y52">
        <f t="shared" si="61"/>
        <v>65.370168630163334</v>
      </c>
      <c r="Z52">
        <f t="shared" si="62"/>
        <v>2.7849352258000004</v>
      </c>
      <c r="AA52">
        <f t="shared" si="63"/>
        <v>4.2602540029474021</v>
      </c>
      <c r="AB52">
        <f t="shared" si="64"/>
        <v>1.47759508152653</v>
      </c>
      <c r="AC52">
        <f t="shared" si="65"/>
        <v>-145.1921191756017</v>
      </c>
      <c r="AD52">
        <f t="shared" si="66"/>
        <v>-1.4929850027245091</v>
      </c>
      <c r="AE52">
        <f t="shared" si="67"/>
        <v>-0.11148695143642938</v>
      </c>
      <c r="AF52">
        <f t="shared" si="68"/>
        <v>142.74709771771606</v>
      </c>
      <c r="AG52">
        <v>7</v>
      </c>
      <c r="AH52">
        <v>1</v>
      </c>
      <c r="AI52">
        <f t="shared" si="69"/>
        <v>1</v>
      </c>
      <c r="AJ52">
        <f t="shared" si="70"/>
        <v>0</v>
      </c>
      <c r="AK52">
        <f t="shared" si="71"/>
        <v>51888.057028242685</v>
      </c>
      <c r="AL52" t="s">
        <v>427</v>
      </c>
      <c r="AM52" t="s">
        <v>427</v>
      </c>
      <c r="AN52">
        <v>0</v>
      </c>
      <c r="AO52">
        <v>0</v>
      </c>
      <c r="AP52" t="e">
        <f t="shared" si="72"/>
        <v>#DIV/0!</v>
      </c>
      <c r="AQ52">
        <v>0</v>
      </c>
      <c r="AR52" t="s">
        <v>427</v>
      </c>
      <c r="AS52" t="s">
        <v>427</v>
      </c>
      <c r="AT52">
        <v>0</v>
      </c>
      <c r="AU52">
        <v>0</v>
      </c>
      <c r="AV52" t="e">
        <f t="shared" si="73"/>
        <v>#DIV/0!</v>
      </c>
      <c r="AW52">
        <v>0.5</v>
      </c>
      <c r="AX52">
        <f t="shared" si="74"/>
        <v>1513.0592999209734</v>
      </c>
      <c r="AY52">
        <f t="shared" si="75"/>
        <v>40.529717067355378</v>
      </c>
      <c r="AZ52" t="e">
        <f t="shared" si="76"/>
        <v>#DIV/0!</v>
      </c>
      <c r="BA52">
        <f t="shared" si="77"/>
        <v>2.6786601866478223E-2</v>
      </c>
      <c r="BB52" t="e">
        <f t="shared" si="78"/>
        <v>#DIV/0!</v>
      </c>
      <c r="BC52" t="e">
        <f t="shared" si="79"/>
        <v>#DIV/0!</v>
      </c>
      <c r="BD52" t="s">
        <v>427</v>
      </c>
      <c r="BE52">
        <v>0</v>
      </c>
      <c r="BF52" t="e">
        <f t="shared" si="80"/>
        <v>#DIV/0!</v>
      </c>
      <c r="BG52" t="e">
        <f t="shared" si="81"/>
        <v>#DIV/0!</v>
      </c>
      <c r="BH52" t="e">
        <f t="shared" si="82"/>
        <v>#DIV/0!</v>
      </c>
      <c r="BI52" t="e">
        <f t="shared" si="83"/>
        <v>#DIV/0!</v>
      </c>
      <c r="BJ52" t="e">
        <f t="shared" si="84"/>
        <v>#DIV/0!</v>
      </c>
      <c r="BK52" t="e">
        <f t="shared" si="85"/>
        <v>#DIV/0!</v>
      </c>
      <c r="BL52" t="e">
        <f t="shared" si="86"/>
        <v>#DIV/0!</v>
      </c>
      <c r="BM52" t="e">
        <f t="shared" si="87"/>
        <v>#DIV/0!</v>
      </c>
      <c r="BN52">
        <v>69</v>
      </c>
      <c r="BO52">
        <v>290.00000000000011</v>
      </c>
      <c r="BP52">
        <v>911.17</v>
      </c>
      <c r="BQ52">
        <v>295</v>
      </c>
      <c r="BR52">
        <v>7123.42</v>
      </c>
      <c r="BS52">
        <v>913.01</v>
      </c>
      <c r="BT52">
        <v>-1.84</v>
      </c>
      <c r="BU52">
        <v>300.00000000000011</v>
      </c>
      <c r="BV52">
        <v>38.200000000000003</v>
      </c>
      <c r="BW52">
        <v>995.46833833906737</v>
      </c>
      <c r="BX52">
        <v>1.4406882596333761</v>
      </c>
      <c r="BY52">
        <v>-58.735796275107482</v>
      </c>
      <c r="BZ52">
        <v>0.86020822571311384</v>
      </c>
      <c r="CA52">
        <v>0.99403020970889111</v>
      </c>
      <c r="CB52">
        <v>-7.0297993325917794E-3</v>
      </c>
      <c r="CC52">
        <v>289.99999999999989</v>
      </c>
      <c r="CD52">
        <v>921.2</v>
      </c>
      <c r="CE52">
        <v>885</v>
      </c>
      <c r="CF52">
        <v>7117.4</v>
      </c>
      <c r="CG52">
        <v>912.94</v>
      </c>
      <c r="CH52">
        <v>8.26</v>
      </c>
      <c r="CV52">
        <f t="shared" si="88"/>
        <v>1799.85</v>
      </c>
      <c r="CW52">
        <f t="shared" si="89"/>
        <v>1513.0592999209734</v>
      </c>
      <c r="CX52">
        <f t="shared" si="90"/>
        <v>0.84065855483566598</v>
      </c>
      <c r="CY52">
        <f t="shared" si="91"/>
        <v>0.16087101083283534</v>
      </c>
      <c r="CZ52">
        <v>5.66</v>
      </c>
      <c r="DA52">
        <v>0.5</v>
      </c>
      <c r="DB52" t="s">
        <v>418</v>
      </c>
      <c r="DC52">
        <v>2</v>
      </c>
      <c r="DD52">
        <v>1700156617.5</v>
      </c>
      <c r="DE52">
        <v>352.88900000000001</v>
      </c>
      <c r="DF52">
        <v>400.06099999999998</v>
      </c>
      <c r="DG52">
        <v>28.059200000000001</v>
      </c>
      <c r="DH52">
        <v>24.438600000000001</v>
      </c>
      <c r="DI52">
        <v>351.33199999999999</v>
      </c>
      <c r="DJ52">
        <v>27.751899999999999</v>
      </c>
      <c r="DK52">
        <v>500.24200000000002</v>
      </c>
      <c r="DL52">
        <v>99.152100000000004</v>
      </c>
      <c r="DM52">
        <v>0.100025</v>
      </c>
      <c r="DN52">
        <v>29.999199999999998</v>
      </c>
      <c r="DO52">
        <v>30.008500000000002</v>
      </c>
      <c r="DP52">
        <v>999.9</v>
      </c>
      <c r="DQ52">
        <v>0</v>
      </c>
      <c r="DR52">
        <v>0</v>
      </c>
      <c r="DS52">
        <v>9995.6200000000008</v>
      </c>
      <c r="DT52">
        <v>0</v>
      </c>
      <c r="DU52">
        <v>198.54900000000001</v>
      </c>
      <c r="DV52">
        <v>-47.172400000000003</v>
      </c>
      <c r="DW52">
        <v>363.07600000000002</v>
      </c>
      <c r="DX52">
        <v>410.08300000000003</v>
      </c>
      <c r="DY52">
        <v>3.6206700000000001</v>
      </c>
      <c r="DZ52">
        <v>400.06099999999998</v>
      </c>
      <c r="EA52">
        <v>24.438600000000001</v>
      </c>
      <c r="EB52">
        <v>2.78213</v>
      </c>
      <c r="EC52">
        <v>2.4231400000000001</v>
      </c>
      <c r="ED52">
        <v>22.778500000000001</v>
      </c>
      <c r="EE52">
        <v>20.519200000000001</v>
      </c>
      <c r="EF52">
        <v>1799.85</v>
      </c>
      <c r="EG52">
        <v>0.977989</v>
      </c>
      <c r="EH52">
        <v>2.2010800000000001E-2</v>
      </c>
      <c r="EI52">
        <v>0</v>
      </c>
      <c r="EJ52">
        <v>702.35400000000004</v>
      </c>
      <c r="EK52">
        <v>5.0001199999999999</v>
      </c>
      <c r="EL52">
        <v>13214.4</v>
      </c>
      <c r="EM52">
        <v>15628.6</v>
      </c>
      <c r="EN52">
        <v>51.686999999999998</v>
      </c>
      <c r="EO52">
        <v>52.811999999999998</v>
      </c>
      <c r="EP52">
        <v>52.686999999999998</v>
      </c>
      <c r="EQ52">
        <v>52.686999999999998</v>
      </c>
      <c r="ER52">
        <v>53.186999999999998</v>
      </c>
      <c r="ES52">
        <v>1755.34</v>
      </c>
      <c r="ET52">
        <v>39.51</v>
      </c>
      <c r="EU52">
        <v>0</v>
      </c>
      <c r="EV52">
        <v>108.7999999523163</v>
      </c>
      <c r="EW52">
        <v>0</v>
      </c>
      <c r="EX52">
        <v>702.9631599999999</v>
      </c>
      <c r="EY52">
        <v>-2.1830769124617579</v>
      </c>
      <c r="EZ52">
        <v>-234.08461569417469</v>
      </c>
      <c r="FA52">
        <v>13241.324000000001</v>
      </c>
      <c r="FB52">
        <v>15</v>
      </c>
      <c r="FC52">
        <v>1700156586</v>
      </c>
      <c r="FD52" t="s">
        <v>579</v>
      </c>
      <c r="FE52">
        <v>1700156586</v>
      </c>
      <c r="FF52">
        <v>1700156585</v>
      </c>
      <c r="FG52">
        <v>42</v>
      </c>
      <c r="FH52">
        <v>0.125</v>
      </c>
      <c r="FI52">
        <v>-2.1000000000000001E-2</v>
      </c>
      <c r="FJ52">
        <v>1.577</v>
      </c>
      <c r="FK52">
        <v>0.307</v>
      </c>
      <c r="FL52">
        <v>400</v>
      </c>
      <c r="FM52">
        <v>24</v>
      </c>
      <c r="FN52">
        <v>0.04</v>
      </c>
      <c r="FO52">
        <v>0.03</v>
      </c>
      <c r="FP52">
        <v>40.375326058967318</v>
      </c>
      <c r="FQ52">
        <v>0.26113789428429129</v>
      </c>
      <c r="FR52">
        <v>3.4920039628822862E-2</v>
      </c>
      <c r="FS52">
        <v>1</v>
      </c>
      <c r="FT52">
        <v>0.21581133904655719</v>
      </c>
      <c r="FU52">
        <v>4.690003901814041E-2</v>
      </c>
      <c r="FV52">
        <v>3.5203184429947959E-3</v>
      </c>
      <c r="FW52">
        <v>1</v>
      </c>
      <c r="FX52">
        <v>2</v>
      </c>
      <c r="FY52">
        <v>2</v>
      </c>
      <c r="FZ52" t="s">
        <v>420</v>
      </c>
      <c r="GA52">
        <v>2.91296</v>
      </c>
      <c r="GB52">
        <v>2.7509899999999998</v>
      </c>
      <c r="GC52">
        <v>8.1818100000000005E-2</v>
      </c>
      <c r="GD52">
        <v>9.2084100000000002E-2</v>
      </c>
      <c r="GE52">
        <v>0.127583</v>
      </c>
      <c r="GF52">
        <v>0.11835</v>
      </c>
      <c r="GG52">
        <v>28426.9</v>
      </c>
      <c r="GH52">
        <v>27959.1</v>
      </c>
      <c r="GI52">
        <v>28205.3</v>
      </c>
      <c r="GJ52">
        <v>28164.2</v>
      </c>
      <c r="GK52">
        <v>33538.699999999997</v>
      </c>
      <c r="GL52">
        <v>34687.699999999997</v>
      </c>
      <c r="GM52">
        <v>42377</v>
      </c>
      <c r="GN52">
        <v>43788.7</v>
      </c>
      <c r="GO52">
        <v>1.7418800000000001</v>
      </c>
      <c r="GP52">
        <v>1.84317</v>
      </c>
      <c r="GQ52">
        <v>-2.1364500000000002E-2</v>
      </c>
      <c r="GR52">
        <v>0</v>
      </c>
      <c r="GS52">
        <v>30.356100000000001</v>
      </c>
      <c r="GT52">
        <v>999.9</v>
      </c>
      <c r="GU52">
        <v>30</v>
      </c>
      <c r="GV52">
        <v>45.4</v>
      </c>
      <c r="GW52">
        <v>29.770700000000001</v>
      </c>
      <c r="GX52">
        <v>61.119599999999998</v>
      </c>
      <c r="GY52">
        <v>29.9559</v>
      </c>
      <c r="GZ52">
        <v>1</v>
      </c>
      <c r="HA52">
        <v>0.67150900000000002</v>
      </c>
      <c r="HB52">
        <v>4.5945299999999998</v>
      </c>
      <c r="HC52">
        <v>20.200500000000002</v>
      </c>
      <c r="HD52">
        <v>5.2722499999999997</v>
      </c>
      <c r="HE52">
        <v>12.0893</v>
      </c>
      <c r="HF52">
        <v>5.0124500000000003</v>
      </c>
      <c r="HG52">
        <v>3.2919999999999998</v>
      </c>
      <c r="HH52">
        <v>9999</v>
      </c>
      <c r="HI52">
        <v>9999</v>
      </c>
      <c r="HJ52">
        <v>9999</v>
      </c>
      <c r="HK52">
        <v>999.9</v>
      </c>
      <c r="HL52">
        <v>1.8765799999999999</v>
      </c>
      <c r="HM52">
        <v>1.8772899999999999</v>
      </c>
      <c r="HN52">
        <v>1.8769800000000001</v>
      </c>
      <c r="HO52">
        <v>1.8806499999999999</v>
      </c>
      <c r="HP52">
        <v>1.87439</v>
      </c>
      <c r="HQ52">
        <v>1.8774</v>
      </c>
      <c r="HR52">
        <v>1.8772599999999999</v>
      </c>
      <c r="HS52">
        <v>1.87866</v>
      </c>
      <c r="HT52">
        <v>0</v>
      </c>
      <c r="HU52">
        <v>0</v>
      </c>
      <c r="HV52">
        <v>0</v>
      </c>
      <c r="HW52">
        <v>0</v>
      </c>
      <c r="HX52" t="s">
        <v>421</v>
      </c>
      <c r="HY52" t="s">
        <v>422</v>
      </c>
      <c r="HZ52" t="s">
        <v>423</v>
      </c>
      <c r="IA52" t="s">
        <v>424</v>
      </c>
      <c r="IB52" t="s">
        <v>424</v>
      </c>
      <c r="IC52" t="s">
        <v>423</v>
      </c>
      <c r="ID52">
        <v>0</v>
      </c>
      <c r="IE52">
        <v>100</v>
      </c>
      <c r="IF52">
        <v>100</v>
      </c>
      <c r="IG52">
        <v>1.5569999999999999</v>
      </c>
      <c r="IH52">
        <v>0.30730000000000002</v>
      </c>
      <c r="II52">
        <v>1.322294859712126</v>
      </c>
      <c r="IJ52">
        <v>8.9576739069318506E-4</v>
      </c>
      <c r="IK52">
        <v>-7.2130504814809596E-7</v>
      </c>
      <c r="IL52">
        <v>1.9987036519832741E-10</v>
      </c>
      <c r="IM52">
        <v>0.30733999999999989</v>
      </c>
      <c r="IN52">
        <v>0</v>
      </c>
      <c r="IO52">
        <v>0</v>
      </c>
      <c r="IP52">
        <v>0</v>
      </c>
      <c r="IQ52">
        <v>1</v>
      </c>
      <c r="IR52">
        <v>2126</v>
      </c>
      <c r="IS52">
        <v>0</v>
      </c>
      <c r="IT52">
        <v>20</v>
      </c>
      <c r="IU52">
        <v>0.5</v>
      </c>
      <c r="IV52">
        <v>0.5</v>
      </c>
      <c r="IW52">
        <v>1.0485800000000001</v>
      </c>
      <c r="IX52">
        <v>2.6916500000000001</v>
      </c>
      <c r="IY52">
        <v>1.69434</v>
      </c>
      <c r="IZ52">
        <v>2.3315399999999999</v>
      </c>
      <c r="JA52">
        <v>1.5466299999999999</v>
      </c>
      <c r="JB52">
        <v>2.5158700000000001</v>
      </c>
      <c r="JC52">
        <v>48.670699999999997</v>
      </c>
      <c r="JD52">
        <v>23.7285</v>
      </c>
      <c r="JE52">
        <v>18</v>
      </c>
      <c r="JF52">
        <v>494.55200000000002</v>
      </c>
      <c r="JG52">
        <v>465.82499999999999</v>
      </c>
      <c r="JH52">
        <v>25.531700000000001</v>
      </c>
      <c r="JI52">
        <v>35.328200000000002</v>
      </c>
      <c r="JJ52">
        <v>30</v>
      </c>
      <c r="JK52">
        <v>35.277999999999999</v>
      </c>
      <c r="JL52">
        <v>35.229300000000002</v>
      </c>
      <c r="JM52">
        <v>21.0793</v>
      </c>
      <c r="JN52">
        <v>10.667400000000001</v>
      </c>
      <c r="JO52">
        <v>37.454799999999999</v>
      </c>
      <c r="JP52">
        <v>25.532699999999998</v>
      </c>
      <c r="JQ52">
        <v>400</v>
      </c>
      <c r="JR52">
        <v>24.389399999999998</v>
      </c>
      <c r="JS52">
        <v>98.803299999999993</v>
      </c>
      <c r="JT52">
        <v>98.650999999999996</v>
      </c>
    </row>
    <row r="53" spans="1:280" x14ac:dyDescent="0.25">
      <c r="A53">
        <v>37</v>
      </c>
      <c r="B53">
        <v>1700156845</v>
      </c>
      <c r="C53">
        <v>9315.4000000953674</v>
      </c>
      <c r="D53" t="s">
        <v>580</v>
      </c>
      <c r="E53" t="s">
        <v>581</v>
      </c>
      <c r="F53" t="s">
        <v>412</v>
      </c>
      <c r="G53" t="s">
        <v>546</v>
      </c>
      <c r="H53" t="s">
        <v>547</v>
      </c>
      <c r="I53">
        <v>1700156845</v>
      </c>
      <c r="J53">
        <f t="shared" si="46"/>
        <v>5.0688973009568213E-3</v>
      </c>
      <c r="K53">
        <f t="shared" si="47"/>
        <v>5.068897300956821</v>
      </c>
      <c r="L53">
        <f t="shared" si="48"/>
        <v>39.269216609429442</v>
      </c>
      <c r="M53">
        <f t="shared" si="49"/>
        <v>254.124</v>
      </c>
      <c r="N53">
        <f t="shared" si="50"/>
        <v>64.856570200196302</v>
      </c>
      <c r="O53">
        <f t="shared" si="51"/>
        <v>6.4367809530609943</v>
      </c>
      <c r="P53">
        <f t="shared" si="52"/>
        <v>25.220891543702397</v>
      </c>
      <c r="Q53">
        <f t="shared" si="53"/>
        <v>0.35804665745614839</v>
      </c>
      <c r="R53">
        <f t="shared" si="54"/>
        <v>2.9854659690660226</v>
      </c>
      <c r="S53">
        <f t="shared" si="55"/>
        <v>0.33578714057810677</v>
      </c>
      <c r="T53">
        <f t="shared" si="56"/>
        <v>0.21175147000989036</v>
      </c>
      <c r="U53">
        <f t="shared" si="57"/>
        <v>289.55805284748629</v>
      </c>
      <c r="V53">
        <f t="shared" si="58"/>
        <v>30.632483684636494</v>
      </c>
      <c r="W53">
        <f t="shared" si="59"/>
        <v>29.985900000000001</v>
      </c>
      <c r="X53">
        <f t="shared" si="60"/>
        <v>4.2570004838236581</v>
      </c>
      <c r="Y53">
        <f t="shared" si="61"/>
        <v>65.063371847487488</v>
      </c>
      <c r="Z53">
        <f t="shared" si="62"/>
        <v>2.8121764499152802</v>
      </c>
      <c r="AA53">
        <f t="shared" si="63"/>
        <v>4.3222113611129673</v>
      </c>
      <c r="AB53">
        <f t="shared" si="64"/>
        <v>1.444824033908378</v>
      </c>
      <c r="AC53">
        <f t="shared" si="65"/>
        <v>-223.53837097219582</v>
      </c>
      <c r="AD53">
        <f t="shared" si="66"/>
        <v>42.63630170680387</v>
      </c>
      <c r="AE53">
        <f t="shared" si="67"/>
        <v>3.1791818989989857</v>
      </c>
      <c r="AF53">
        <f t="shared" si="68"/>
        <v>111.83516548109333</v>
      </c>
      <c r="AG53">
        <v>6</v>
      </c>
      <c r="AH53">
        <v>1</v>
      </c>
      <c r="AI53">
        <f t="shared" si="69"/>
        <v>1</v>
      </c>
      <c r="AJ53">
        <f t="shared" si="70"/>
        <v>0</v>
      </c>
      <c r="AK53">
        <f t="shared" si="71"/>
        <v>52056.923067539312</v>
      </c>
      <c r="AL53" t="s">
        <v>415</v>
      </c>
      <c r="AM53">
        <v>6960.3</v>
      </c>
      <c r="AN53">
        <v>244.8124</v>
      </c>
      <c r="AO53">
        <v>892.86711584811997</v>
      </c>
      <c r="AP53">
        <f t="shared" si="72"/>
        <v>0.72581317459826411</v>
      </c>
      <c r="AQ53">
        <v>-0.43209471141234851</v>
      </c>
      <c r="AR53" t="s">
        <v>582</v>
      </c>
      <c r="AS53">
        <v>7123.81</v>
      </c>
      <c r="AT53">
        <v>704.26091999999994</v>
      </c>
      <c r="AU53">
        <v>940.36037215210172</v>
      </c>
      <c r="AV53">
        <f t="shared" si="73"/>
        <v>0.25107337478690894</v>
      </c>
      <c r="AW53">
        <v>0.5</v>
      </c>
      <c r="AX53">
        <f t="shared" si="74"/>
        <v>1513.1348999209772</v>
      </c>
      <c r="AY53">
        <f t="shared" si="75"/>
        <v>39.269216609429442</v>
      </c>
      <c r="AZ53">
        <f t="shared" si="76"/>
        <v>189.95394291550573</v>
      </c>
      <c r="BA53">
        <f t="shared" si="77"/>
        <v>2.6237787075636926E-2</v>
      </c>
      <c r="BB53">
        <f t="shared" si="78"/>
        <v>-5.0505378268215453E-2</v>
      </c>
      <c r="BC53">
        <f t="shared" si="79"/>
        <v>248.25014550690244</v>
      </c>
      <c r="BD53" t="s">
        <v>583</v>
      </c>
      <c r="BE53">
        <v>483.77</v>
      </c>
      <c r="BF53">
        <f t="shared" si="80"/>
        <v>483.77</v>
      </c>
      <c r="BG53">
        <f t="shared" si="81"/>
        <v>0.4855482915631083</v>
      </c>
      <c r="BH53">
        <f t="shared" si="82"/>
        <v>0.51709248935597596</v>
      </c>
      <c r="BI53">
        <f t="shared" si="83"/>
        <v>-0.11609286515139827</v>
      </c>
      <c r="BJ53">
        <f t="shared" si="84"/>
        <v>0.33944380776725463</v>
      </c>
      <c r="BK53">
        <f t="shared" si="85"/>
        <v>-7.3285874082139102E-2</v>
      </c>
      <c r="BL53">
        <f t="shared" si="86"/>
        <v>0.35520050377882745</v>
      </c>
      <c r="BM53">
        <f t="shared" si="87"/>
        <v>0.6447994962211725</v>
      </c>
      <c r="BN53">
        <v>71</v>
      </c>
      <c r="BO53">
        <v>290.00000000000011</v>
      </c>
      <c r="BP53">
        <v>871.78</v>
      </c>
      <c r="BQ53">
        <v>255</v>
      </c>
      <c r="BR53">
        <v>7123.81</v>
      </c>
      <c r="BS53">
        <v>873.39</v>
      </c>
      <c r="BT53">
        <v>-1.61</v>
      </c>
      <c r="BU53">
        <v>300.00000000000011</v>
      </c>
      <c r="BV53">
        <v>38.200000000000003</v>
      </c>
      <c r="BW53">
        <v>940.36037215210172</v>
      </c>
      <c r="BX53">
        <v>1.4052727197924351</v>
      </c>
      <c r="BY53">
        <v>-47.707286914580557</v>
      </c>
      <c r="BZ53">
        <v>0.8390213785027254</v>
      </c>
      <c r="CA53">
        <v>0.99141402332339035</v>
      </c>
      <c r="CB53">
        <v>-7.0294028921023457E-3</v>
      </c>
      <c r="CC53">
        <v>289.99999999999989</v>
      </c>
      <c r="CD53">
        <v>878.47</v>
      </c>
      <c r="CE53">
        <v>765</v>
      </c>
      <c r="CF53">
        <v>7118.5</v>
      </c>
      <c r="CG53">
        <v>873.34</v>
      </c>
      <c r="CH53">
        <v>5.13</v>
      </c>
      <c r="CV53">
        <f t="shared" si="88"/>
        <v>1799.94</v>
      </c>
      <c r="CW53">
        <f t="shared" si="89"/>
        <v>1513.1348999209772</v>
      </c>
      <c r="CX53">
        <f t="shared" si="90"/>
        <v>0.84065852190682866</v>
      </c>
      <c r="CY53">
        <f t="shared" si="91"/>
        <v>0.1608709472801795</v>
      </c>
      <c r="CZ53">
        <v>5.66</v>
      </c>
      <c r="DA53">
        <v>0.5</v>
      </c>
      <c r="DB53" t="s">
        <v>418</v>
      </c>
      <c r="DC53">
        <v>2</v>
      </c>
      <c r="DD53">
        <v>1700156845</v>
      </c>
      <c r="DE53">
        <v>254.124</v>
      </c>
      <c r="DF53">
        <v>300.02499999999998</v>
      </c>
      <c r="DG53">
        <v>28.3353</v>
      </c>
      <c r="DH53">
        <v>22.761099999999999</v>
      </c>
      <c r="DI53">
        <v>252.69800000000001</v>
      </c>
      <c r="DJ53">
        <v>28.040199999999999</v>
      </c>
      <c r="DK53">
        <v>500.108</v>
      </c>
      <c r="DL53">
        <v>99.146799999999999</v>
      </c>
      <c r="DM53">
        <v>9.9597599999999994E-2</v>
      </c>
      <c r="DN53">
        <v>30.250800000000002</v>
      </c>
      <c r="DO53">
        <v>29.985900000000001</v>
      </c>
      <c r="DP53">
        <v>999.9</v>
      </c>
      <c r="DQ53">
        <v>0</v>
      </c>
      <c r="DR53">
        <v>0</v>
      </c>
      <c r="DS53">
        <v>10038.799999999999</v>
      </c>
      <c r="DT53">
        <v>0</v>
      </c>
      <c r="DU53">
        <v>216.58099999999999</v>
      </c>
      <c r="DV53">
        <v>-45.900799999999997</v>
      </c>
      <c r="DW53">
        <v>261.53500000000003</v>
      </c>
      <c r="DX53">
        <v>307.01299999999998</v>
      </c>
      <c r="DY53">
        <v>5.5742500000000001</v>
      </c>
      <c r="DZ53">
        <v>300.02499999999998</v>
      </c>
      <c r="EA53">
        <v>22.761099999999999</v>
      </c>
      <c r="EB53">
        <v>2.8093599999999999</v>
      </c>
      <c r="EC53">
        <v>2.2566899999999999</v>
      </c>
      <c r="ED53">
        <v>22.9392</v>
      </c>
      <c r="EE53">
        <v>19.3705</v>
      </c>
      <c r="EF53">
        <v>1799.94</v>
      </c>
      <c r="EG53">
        <v>0.977989</v>
      </c>
      <c r="EH53">
        <v>2.2010800000000001E-2</v>
      </c>
      <c r="EI53">
        <v>0</v>
      </c>
      <c r="EJ53">
        <v>703.98199999999997</v>
      </c>
      <c r="EK53">
        <v>5.0001199999999999</v>
      </c>
      <c r="EL53">
        <v>13267.5</v>
      </c>
      <c r="EM53">
        <v>15629.4</v>
      </c>
      <c r="EN53">
        <v>51.686999999999998</v>
      </c>
      <c r="EO53">
        <v>52.875</v>
      </c>
      <c r="EP53">
        <v>52.686999999999998</v>
      </c>
      <c r="EQ53">
        <v>52.686999999999998</v>
      </c>
      <c r="ER53">
        <v>53.186999999999998</v>
      </c>
      <c r="ES53">
        <v>1755.43</v>
      </c>
      <c r="ET53">
        <v>39.51</v>
      </c>
      <c r="EU53">
        <v>0</v>
      </c>
      <c r="EV53">
        <v>336.79999995231628</v>
      </c>
      <c r="EW53">
        <v>0</v>
      </c>
      <c r="EX53">
        <v>704.26091999999994</v>
      </c>
      <c r="EY53">
        <v>-1.568923065438419</v>
      </c>
      <c r="EZ53">
        <v>-161.50000012074861</v>
      </c>
      <c r="FA53">
        <v>13292.54</v>
      </c>
      <c r="FB53">
        <v>15</v>
      </c>
      <c r="FC53">
        <v>1700156756</v>
      </c>
      <c r="FD53" t="s">
        <v>584</v>
      </c>
      <c r="FE53">
        <v>1700156748</v>
      </c>
      <c r="FF53">
        <v>1700156756</v>
      </c>
      <c r="FG53">
        <v>43</v>
      </c>
      <c r="FH53">
        <v>-0.08</v>
      </c>
      <c r="FI53">
        <v>-1.2E-2</v>
      </c>
      <c r="FJ53">
        <v>1.4510000000000001</v>
      </c>
      <c r="FK53">
        <v>0.29499999999999998</v>
      </c>
      <c r="FL53">
        <v>300</v>
      </c>
      <c r="FM53">
        <v>23</v>
      </c>
      <c r="FN53">
        <v>0.06</v>
      </c>
      <c r="FO53">
        <v>0.02</v>
      </c>
      <c r="FP53">
        <v>39.11430214559892</v>
      </c>
      <c r="FQ53">
        <v>0.69601601815658354</v>
      </c>
      <c r="FR53">
        <v>6.4331022405166013E-2</v>
      </c>
      <c r="FS53">
        <v>1</v>
      </c>
      <c r="FT53">
        <v>0.35794294491154383</v>
      </c>
      <c r="FU53">
        <v>-1.2154537744851601E-3</v>
      </c>
      <c r="FV53">
        <v>2.2446280011996701E-4</v>
      </c>
      <c r="FW53">
        <v>1</v>
      </c>
      <c r="FX53">
        <v>2</v>
      </c>
      <c r="FY53">
        <v>2</v>
      </c>
      <c r="FZ53" t="s">
        <v>420</v>
      </c>
      <c r="GA53">
        <v>2.9125899999999998</v>
      </c>
      <c r="GB53">
        <v>2.7509299999999999</v>
      </c>
      <c r="GC53">
        <v>6.2436600000000002E-2</v>
      </c>
      <c r="GD53">
        <v>7.3306499999999997E-2</v>
      </c>
      <c r="GE53">
        <v>0.12848100000000001</v>
      </c>
      <c r="GF53">
        <v>0.112631</v>
      </c>
      <c r="GG53">
        <v>29025.5</v>
      </c>
      <c r="GH53">
        <v>28536.3</v>
      </c>
      <c r="GI53">
        <v>28204.6</v>
      </c>
      <c r="GJ53">
        <v>28163.7</v>
      </c>
      <c r="GK53">
        <v>33504</v>
      </c>
      <c r="GL53">
        <v>34912.400000000001</v>
      </c>
      <c r="GM53">
        <v>42376.6</v>
      </c>
      <c r="GN53">
        <v>43788.1</v>
      </c>
      <c r="GO53">
        <v>1.7430300000000001</v>
      </c>
      <c r="GP53">
        <v>1.8412999999999999</v>
      </c>
      <c r="GQ53">
        <v>-2.0500299999999999E-2</v>
      </c>
      <c r="GR53">
        <v>0</v>
      </c>
      <c r="GS53">
        <v>30.319500000000001</v>
      </c>
      <c r="GT53">
        <v>999.9</v>
      </c>
      <c r="GU53">
        <v>29.4</v>
      </c>
      <c r="GV53">
        <v>45.3</v>
      </c>
      <c r="GW53">
        <v>29.029800000000002</v>
      </c>
      <c r="GX53">
        <v>60.669600000000003</v>
      </c>
      <c r="GY53">
        <v>30.340499999999999</v>
      </c>
      <c r="GZ53">
        <v>1</v>
      </c>
      <c r="HA53">
        <v>0.66594799999999998</v>
      </c>
      <c r="HB53">
        <v>3.2777699999999999</v>
      </c>
      <c r="HC53">
        <v>20.2315</v>
      </c>
      <c r="HD53">
        <v>5.2739000000000003</v>
      </c>
      <c r="HE53">
        <v>12.0878</v>
      </c>
      <c r="HF53">
        <v>5.0116500000000004</v>
      </c>
      <c r="HG53">
        <v>3.2919999999999998</v>
      </c>
      <c r="HH53">
        <v>9999</v>
      </c>
      <c r="HI53">
        <v>9999</v>
      </c>
      <c r="HJ53">
        <v>9999</v>
      </c>
      <c r="HK53">
        <v>999.9</v>
      </c>
      <c r="HL53">
        <v>1.8766</v>
      </c>
      <c r="HM53">
        <v>1.8772899999999999</v>
      </c>
      <c r="HN53">
        <v>1.87697</v>
      </c>
      <c r="HO53">
        <v>1.88066</v>
      </c>
      <c r="HP53">
        <v>1.87439</v>
      </c>
      <c r="HQ53">
        <v>1.87737</v>
      </c>
      <c r="HR53">
        <v>1.87727</v>
      </c>
      <c r="HS53">
        <v>1.8786700000000001</v>
      </c>
      <c r="HT53">
        <v>0</v>
      </c>
      <c r="HU53">
        <v>0</v>
      </c>
      <c r="HV53">
        <v>0</v>
      </c>
      <c r="HW53">
        <v>0</v>
      </c>
      <c r="HX53" t="s">
        <v>421</v>
      </c>
      <c r="HY53" t="s">
        <v>422</v>
      </c>
      <c r="HZ53" t="s">
        <v>423</v>
      </c>
      <c r="IA53" t="s">
        <v>424</v>
      </c>
      <c r="IB53" t="s">
        <v>424</v>
      </c>
      <c r="IC53" t="s">
        <v>423</v>
      </c>
      <c r="ID53">
        <v>0</v>
      </c>
      <c r="IE53">
        <v>100</v>
      </c>
      <c r="IF53">
        <v>100</v>
      </c>
      <c r="IG53">
        <v>1.4259999999999999</v>
      </c>
      <c r="IH53">
        <v>0.29509999999999997</v>
      </c>
      <c r="II53">
        <v>1.2422423342729201</v>
      </c>
      <c r="IJ53">
        <v>8.9576739069318506E-4</v>
      </c>
      <c r="IK53">
        <v>-7.2130504814809596E-7</v>
      </c>
      <c r="IL53">
        <v>1.9987036519832741E-10</v>
      </c>
      <c r="IM53">
        <v>0.29512000000000072</v>
      </c>
      <c r="IN53">
        <v>0</v>
      </c>
      <c r="IO53">
        <v>0</v>
      </c>
      <c r="IP53">
        <v>0</v>
      </c>
      <c r="IQ53">
        <v>1</v>
      </c>
      <c r="IR53">
        <v>2126</v>
      </c>
      <c r="IS53">
        <v>0</v>
      </c>
      <c r="IT53">
        <v>20</v>
      </c>
      <c r="IU53">
        <v>1.6</v>
      </c>
      <c r="IV53">
        <v>1.5</v>
      </c>
      <c r="IW53">
        <v>0.83374000000000004</v>
      </c>
      <c r="IX53">
        <v>2.7002000000000002</v>
      </c>
      <c r="IY53">
        <v>1.69434</v>
      </c>
      <c r="IZ53">
        <v>2.3303199999999999</v>
      </c>
      <c r="JA53">
        <v>1.54541</v>
      </c>
      <c r="JB53">
        <v>2.4145500000000002</v>
      </c>
      <c r="JC53">
        <v>48.670699999999997</v>
      </c>
      <c r="JD53">
        <v>23.745999999999999</v>
      </c>
      <c r="JE53">
        <v>18</v>
      </c>
      <c r="JF53">
        <v>495.64299999999997</v>
      </c>
      <c r="JG53">
        <v>464.68299999999999</v>
      </c>
      <c r="JH53">
        <v>26.5748</v>
      </c>
      <c r="JI53">
        <v>35.343600000000002</v>
      </c>
      <c r="JJ53">
        <v>30</v>
      </c>
      <c r="JK53">
        <v>35.297400000000003</v>
      </c>
      <c r="JL53">
        <v>35.248399999999997</v>
      </c>
      <c r="JM53">
        <v>16.782299999999999</v>
      </c>
      <c r="JN53">
        <v>15.3002</v>
      </c>
      <c r="JO53">
        <v>35.267800000000001</v>
      </c>
      <c r="JP53">
        <v>26.584</v>
      </c>
      <c r="JQ53">
        <v>300</v>
      </c>
      <c r="JR53">
        <v>22.7898</v>
      </c>
      <c r="JS53">
        <v>98.801699999999997</v>
      </c>
      <c r="JT53">
        <v>98.649500000000003</v>
      </c>
    </row>
    <row r="54" spans="1:280" x14ac:dyDescent="0.25">
      <c r="A54">
        <v>38</v>
      </c>
      <c r="B54">
        <v>1700157005.5</v>
      </c>
      <c r="C54">
        <v>9475.9000000953674</v>
      </c>
      <c r="D54" t="s">
        <v>585</v>
      </c>
      <c r="E54" t="s">
        <v>586</v>
      </c>
      <c r="F54" t="s">
        <v>412</v>
      </c>
      <c r="G54" t="s">
        <v>546</v>
      </c>
      <c r="H54" t="s">
        <v>547</v>
      </c>
      <c r="I54">
        <v>1700157005.5</v>
      </c>
      <c r="J54">
        <f t="shared" si="46"/>
        <v>5.6880370828681706E-3</v>
      </c>
      <c r="K54">
        <f t="shared" si="47"/>
        <v>5.6880370828681706</v>
      </c>
      <c r="L54">
        <f t="shared" si="48"/>
        <v>29.419795951298003</v>
      </c>
      <c r="M54">
        <f t="shared" si="49"/>
        <v>165.607</v>
      </c>
      <c r="N54">
        <f t="shared" si="50"/>
        <v>41.534948067147631</v>
      </c>
      <c r="O54">
        <f t="shared" si="51"/>
        <v>4.1216474823952813</v>
      </c>
      <c r="P54">
        <f t="shared" si="52"/>
        <v>16.433719226362101</v>
      </c>
      <c r="Q54">
        <f t="shared" si="53"/>
        <v>0.41232989563224387</v>
      </c>
      <c r="R54">
        <f t="shared" si="54"/>
        <v>2.9801173854137235</v>
      </c>
      <c r="S54">
        <f t="shared" si="55"/>
        <v>0.38305615864288339</v>
      </c>
      <c r="T54">
        <f t="shared" si="56"/>
        <v>0.24186681065410714</v>
      </c>
      <c r="U54">
        <f t="shared" si="57"/>
        <v>289.59156884750411</v>
      </c>
      <c r="V54">
        <f t="shared" si="58"/>
        <v>30.510191448804502</v>
      </c>
      <c r="W54">
        <f t="shared" si="59"/>
        <v>29.9451</v>
      </c>
      <c r="X54">
        <f t="shared" si="60"/>
        <v>4.2470332699593403</v>
      </c>
      <c r="Y54">
        <f t="shared" si="61"/>
        <v>65.252693192666925</v>
      </c>
      <c r="Z54">
        <f t="shared" si="62"/>
        <v>2.8260237572075799</v>
      </c>
      <c r="AA54">
        <f t="shared" si="63"/>
        <v>4.3308921347711786</v>
      </c>
      <c r="AB54">
        <f t="shared" si="64"/>
        <v>1.4210095127517604</v>
      </c>
      <c r="AC54">
        <f t="shared" si="65"/>
        <v>-250.84243535448633</v>
      </c>
      <c r="AD54">
        <f t="shared" si="66"/>
        <v>54.738254945961806</v>
      </c>
      <c r="AE54">
        <f t="shared" si="67"/>
        <v>4.0887743316388949</v>
      </c>
      <c r="AF54">
        <f t="shared" si="68"/>
        <v>97.576162770618481</v>
      </c>
      <c r="AG54">
        <v>6</v>
      </c>
      <c r="AH54">
        <v>1</v>
      </c>
      <c r="AI54">
        <f t="shared" si="69"/>
        <v>1</v>
      </c>
      <c r="AJ54">
        <f t="shared" si="70"/>
        <v>0</v>
      </c>
      <c r="AK54">
        <f t="shared" si="71"/>
        <v>51903.790628109382</v>
      </c>
      <c r="AL54" t="s">
        <v>427</v>
      </c>
      <c r="AM54" t="s">
        <v>427</v>
      </c>
      <c r="AN54">
        <v>0</v>
      </c>
      <c r="AO54">
        <v>0</v>
      </c>
      <c r="AP54" t="e">
        <f t="shared" si="72"/>
        <v>#DIV/0!</v>
      </c>
      <c r="AQ54">
        <v>0</v>
      </c>
      <c r="AR54" t="s">
        <v>427</v>
      </c>
      <c r="AS54" t="s">
        <v>427</v>
      </c>
      <c r="AT54">
        <v>0</v>
      </c>
      <c r="AU54">
        <v>0</v>
      </c>
      <c r="AV54" t="e">
        <f t="shared" si="73"/>
        <v>#DIV/0!</v>
      </c>
      <c r="AW54">
        <v>0.5</v>
      </c>
      <c r="AX54">
        <f t="shared" si="74"/>
        <v>1513.3112999209868</v>
      </c>
      <c r="AY54">
        <f t="shared" si="75"/>
        <v>29.419795951298003</v>
      </c>
      <c r="AZ54" t="e">
        <f t="shared" si="76"/>
        <v>#DIV/0!</v>
      </c>
      <c r="BA54">
        <f t="shared" si="77"/>
        <v>1.9440676847410094E-2</v>
      </c>
      <c r="BB54" t="e">
        <f t="shared" si="78"/>
        <v>#DIV/0!</v>
      </c>
      <c r="BC54" t="e">
        <f t="shared" si="79"/>
        <v>#DIV/0!</v>
      </c>
      <c r="BD54" t="s">
        <v>427</v>
      </c>
      <c r="BE54">
        <v>0</v>
      </c>
      <c r="BF54" t="e">
        <f t="shared" si="80"/>
        <v>#DIV/0!</v>
      </c>
      <c r="BG54" t="e">
        <f t="shared" si="81"/>
        <v>#DIV/0!</v>
      </c>
      <c r="BH54" t="e">
        <f t="shared" si="82"/>
        <v>#DIV/0!</v>
      </c>
      <c r="BI54" t="e">
        <f t="shared" si="83"/>
        <v>#DIV/0!</v>
      </c>
      <c r="BJ54" t="e">
        <f t="shared" si="84"/>
        <v>#DIV/0!</v>
      </c>
      <c r="BK54" t="e">
        <f t="shared" si="85"/>
        <v>#DIV/0!</v>
      </c>
      <c r="BL54" t="e">
        <f t="shared" si="86"/>
        <v>#DIV/0!</v>
      </c>
      <c r="BM54" t="e">
        <f t="shared" si="87"/>
        <v>#DIV/0!</v>
      </c>
      <c r="BN54">
        <v>71</v>
      </c>
      <c r="BO54">
        <v>290.00000000000011</v>
      </c>
      <c r="BP54">
        <v>871.78</v>
      </c>
      <c r="BQ54">
        <v>255</v>
      </c>
      <c r="BR54">
        <v>7123.81</v>
      </c>
      <c r="BS54">
        <v>873.39</v>
      </c>
      <c r="BT54">
        <v>-1.61</v>
      </c>
      <c r="BU54">
        <v>300.00000000000011</v>
      </c>
      <c r="BV54">
        <v>38.200000000000003</v>
      </c>
      <c r="BW54">
        <v>940.36037215210172</v>
      </c>
      <c r="BX54">
        <v>1.4052727197924351</v>
      </c>
      <c r="BY54">
        <v>-47.707286914580557</v>
      </c>
      <c r="BZ54">
        <v>0.8390213785027254</v>
      </c>
      <c r="CA54">
        <v>0.99141402332339035</v>
      </c>
      <c r="CB54">
        <v>-7.0294028921023457E-3</v>
      </c>
      <c r="CC54">
        <v>289.99999999999989</v>
      </c>
      <c r="CD54">
        <v>878.47</v>
      </c>
      <c r="CE54">
        <v>765</v>
      </c>
      <c r="CF54">
        <v>7118.5</v>
      </c>
      <c r="CG54">
        <v>873.34</v>
      </c>
      <c r="CH54">
        <v>5.13</v>
      </c>
      <c r="CV54">
        <f t="shared" si="88"/>
        <v>1800.15</v>
      </c>
      <c r="CW54">
        <f t="shared" si="89"/>
        <v>1513.3112999209868</v>
      </c>
      <c r="CX54">
        <f t="shared" si="90"/>
        <v>0.84065844508567988</v>
      </c>
      <c r="CY54">
        <f t="shared" si="91"/>
        <v>0.16087079901536211</v>
      </c>
      <c r="CZ54">
        <v>5.66</v>
      </c>
      <c r="DA54">
        <v>0.5</v>
      </c>
      <c r="DB54" t="s">
        <v>418</v>
      </c>
      <c r="DC54">
        <v>2</v>
      </c>
      <c r="DD54">
        <v>1700157005.5</v>
      </c>
      <c r="DE54">
        <v>165.607</v>
      </c>
      <c r="DF54">
        <v>199.97</v>
      </c>
      <c r="DG54">
        <v>28.4786</v>
      </c>
      <c r="DH54">
        <v>22.224299999999999</v>
      </c>
      <c r="DI54">
        <v>164.36699999999999</v>
      </c>
      <c r="DJ54">
        <v>28.190100000000001</v>
      </c>
      <c r="DK54">
        <v>500.09500000000003</v>
      </c>
      <c r="DL54">
        <v>99.133499999999998</v>
      </c>
      <c r="DM54">
        <v>9.9740300000000004E-2</v>
      </c>
      <c r="DN54">
        <v>30.285799999999998</v>
      </c>
      <c r="DO54">
        <v>29.9451</v>
      </c>
      <c r="DP54">
        <v>999.9</v>
      </c>
      <c r="DQ54">
        <v>0</v>
      </c>
      <c r="DR54">
        <v>0</v>
      </c>
      <c r="DS54">
        <v>10010.6</v>
      </c>
      <c r="DT54">
        <v>0</v>
      </c>
      <c r="DU54">
        <v>191.298</v>
      </c>
      <c r="DV54">
        <v>-34.363300000000002</v>
      </c>
      <c r="DW54">
        <v>170.46100000000001</v>
      </c>
      <c r="DX54">
        <v>204.51499999999999</v>
      </c>
      <c r="DY54">
        <v>6.2543100000000003</v>
      </c>
      <c r="DZ54">
        <v>199.97</v>
      </c>
      <c r="EA54">
        <v>22.224299999999999</v>
      </c>
      <c r="EB54">
        <v>2.8231799999999998</v>
      </c>
      <c r="EC54">
        <v>2.2031700000000001</v>
      </c>
      <c r="ED54">
        <v>23.020299999999999</v>
      </c>
      <c r="EE54">
        <v>18.985399999999998</v>
      </c>
      <c r="EF54">
        <v>1800.15</v>
      </c>
      <c r="EG54">
        <v>0.977993</v>
      </c>
      <c r="EH54">
        <v>2.20074E-2</v>
      </c>
      <c r="EI54">
        <v>0</v>
      </c>
      <c r="EJ54">
        <v>716.22799999999995</v>
      </c>
      <c r="EK54">
        <v>5.0001199999999999</v>
      </c>
      <c r="EL54">
        <v>13430</v>
      </c>
      <c r="EM54">
        <v>15631.2</v>
      </c>
      <c r="EN54">
        <v>51.75</v>
      </c>
      <c r="EO54">
        <v>52.875</v>
      </c>
      <c r="EP54">
        <v>52.75</v>
      </c>
      <c r="EQ54">
        <v>52.686999999999998</v>
      </c>
      <c r="ER54">
        <v>53.25</v>
      </c>
      <c r="ES54">
        <v>1755.64</v>
      </c>
      <c r="ET54">
        <v>39.51</v>
      </c>
      <c r="EU54">
        <v>0</v>
      </c>
      <c r="EV54">
        <v>158.39999985694891</v>
      </c>
      <c r="EW54">
        <v>0</v>
      </c>
      <c r="EX54">
        <v>716.50676923076912</v>
      </c>
      <c r="EY54">
        <v>-1.463111112981998</v>
      </c>
      <c r="EZ54">
        <v>-142.90256432372419</v>
      </c>
      <c r="FA54">
        <v>13450.53461538462</v>
      </c>
      <c r="FB54">
        <v>15</v>
      </c>
      <c r="FC54">
        <v>1700156933.5</v>
      </c>
      <c r="FD54" t="s">
        <v>587</v>
      </c>
      <c r="FE54">
        <v>1700156921.5</v>
      </c>
      <c r="FF54">
        <v>1700156933.5</v>
      </c>
      <c r="FG54">
        <v>44</v>
      </c>
      <c r="FH54">
        <v>-0.13100000000000001</v>
      </c>
      <c r="FI54">
        <v>-7.0000000000000001E-3</v>
      </c>
      <c r="FJ54">
        <v>1.262</v>
      </c>
      <c r="FK54">
        <v>0.28799999999999998</v>
      </c>
      <c r="FL54">
        <v>200</v>
      </c>
      <c r="FM54">
        <v>23</v>
      </c>
      <c r="FN54">
        <v>0.04</v>
      </c>
      <c r="FO54">
        <v>0.02</v>
      </c>
      <c r="FP54">
        <v>29.276504562994958</v>
      </c>
      <c r="FQ54">
        <v>0.69097801350777566</v>
      </c>
      <c r="FR54">
        <v>5.7913826552787359E-2</v>
      </c>
      <c r="FS54">
        <v>1</v>
      </c>
      <c r="FT54">
        <v>0.41470488025207092</v>
      </c>
      <c r="FU54">
        <v>-1.550208611958424E-2</v>
      </c>
      <c r="FV54">
        <v>1.708693812728075E-3</v>
      </c>
      <c r="FW54">
        <v>1</v>
      </c>
      <c r="FX54">
        <v>2</v>
      </c>
      <c r="FY54">
        <v>2</v>
      </c>
      <c r="FZ54" t="s">
        <v>420</v>
      </c>
      <c r="GA54">
        <v>2.9125100000000002</v>
      </c>
      <c r="GB54">
        <v>2.7508400000000002</v>
      </c>
      <c r="GC54">
        <v>4.2785200000000002E-2</v>
      </c>
      <c r="GD54">
        <v>5.1963200000000001E-2</v>
      </c>
      <c r="GE54">
        <v>0.12892999999999999</v>
      </c>
      <c r="GF54">
        <v>0.110749</v>
      </c>
      <c r="GG54">
        <v>29632.3</v>
      </c>
      <c r="GH54">
        <v>29190.5</v>
      </c>
      <c r="GI54">
        <v>28204</v>
      </c>
      <c r="GJ54">
        <v>28161.7</v>
      </c>
      <c r="GK54">
        <v>33486.300000000003</v>
      </c>
      <c r="GL54">
        <v>34984.400000000001</v>
      </c>
      <c r="GM54">
        <v>42375.8</v>
      </c>
      <c r="GN54">
        <v>43785.4</v>
      </c>
      <c r="GO54">
        <v>1.7432799999999999</v>
      </c>
      <c r="GP54">
        <v>1.84013</v>
      </c>
      <c r="GQ54">
        <v>-2.563E-2</v>
      </c>
      <c r="GR54">
        <v>0</v>
      </c>
      <c r="GS54">
        <v>30.362100000000002</v>
      </c>
      <c r="GT54">
        <v>999.9</v>
      </c>
      <c r="GU54">
        <v>29</v>
      </c>
      <c r="GV54">
        <v>45.2</v>
      </c>
      <c r="GW54">
        <v>28.4878</v>
      </c>
      <c r="GX54">
        <v>61.259599999999999</v>
      </c>
      <c r="GY54">
        <v>30.384599999999999</v>
      </c>
      <c r="GZ54">
        <v>1</v>
      </c>
      <c r="HA54">
        <v>0.66727899999999996</v>
      </c>
      <c r="HB54">
        <v>3.0624799999999999</v>
      </c>
      <c r="HC54">
        <v>20.236000000000001</v>
      </c>
      <c r="HD54">
        <v>5.2747900000000003</v>
      </c>
      <c r="HE54">
        <v>12.0878</v>
      </c>
      <c r="HF54">
        <v>5.0126499999999998</v>
      </c>
      <c r="HG54">
        <v>3.2919999999999998</v>
      </c>
      <c r="HH54">
        <v>9999</v>
      </c>
      <c r="HI54">
        <v>9999</v>
      </c>
      <c r="HJ54">
        <v>9999</v>
      </c>
      <c r="HK54">
        <v>999.9</v>
      </c>
      <c r="HL54">
        <v>1.87662</v>
      </c>
      <c r="HM54">
        <v>1.8772899999999999</v>
      </c>
      <c r="HN54">
        <v>1.8769800000000001</v>
      </c>
      <c r="HO54">
        <v>1.8806499999999999</v>
      </c>
      <c r="HP54">
        <v>1.87439</v>
      </c>
      <c r="HQ54">
        <v>1.8773200000000001</v>
      </c>
      <c r="HR54">
        <v>1.8772899999999999</v>
      </c>
      <c r="HS54">
        <v>1.87866</v>
      </c>
      <c r="HT54">
        <v>0</v>
      </c>
      <c r="HU54">
        <v>0</v>
      </c>
      <c r="HV54">
        <v>0</v>
      </c>
      <c r="HW54">
        <v>0</v>
      </c>
      <c r="HX54" t="s">
        <v>421</v>
      </c>
      <c r="HY54" t="s">
        <v>422</v>
      </c>
      <c r="HZ54" t="s">
        <v>423</v>
      </c>
      <c r="IA54" t="s">
        <v>424</v>
      </c>
      <c r="IB54" t="s">
        <v>424</v>
      </c>
      <c r="IC54" t="s">
        <v>423</v>
      </c>
      <c r="ID54">
        <v>0</v>
      </c>
      <c r="IE54">
        <v>100</v>
      </c>
      <c r="IF54">
        <v>100</v>
      </c>
      <c r="IG54">
        <v>1.24</v>
      </c>
      <c r="IH54">
        <v>0.28849999999999998</v>
      </c>
      <c r="II54">
        <v>1.1113626755921491</v>
      </c>
      <c r="IJ54">
        <v>8.9576739069318506E-4</v>
      </c>
      <c r="IK54">
        <v>-7.2130504814809596E-7</v>
      </c>
      <c r="IL54">
        <v>1.9987036519832741E-10</v>
      </c>
      <c r="IM54">
        <v>0.28845499999999902</v>
      </c>
      <c r="IN54">
        <v>0</v>
      </c>
      <c r="IO54">
        <v>0</v>
      </c>
      <c r="IP54">
        <v>0</v>
      </c>
      <c r="IQ54">
        <v>1</v>
      </c>
      <c r="IR54">
        <v>2126</v>
      </c>
      <c r="IS54">
        <v>0</v>
      </c>
      <c r="IT54">
        <v>20</v>
      </c>
      <c r="IU54">
        <v>1.4</v>
      </c>
      <c r="IV54">
        <v>1.2</v>
      </c>
      <c r="IW54">
        <v>0.611572</v>
      </c>
      <c r="IX54">
        <v>2.7111800000000001</v>
      </c>
      <c r="IY54">
        <v>1.69434</v>
      </c>
      <c r="IZ54">
        <v>2.3315399999999999</v>
      </c>
      <c r="JA54">
        <v>1.5466299999999999</v>
      </c>
      <c r="JB54">
        <v>2.36206</v>
      </c>
      <c r="JC54">
        <v>48.639699999999998</v>
      </c>
      <c r="JD54">
        <v>23.745999999999999</v>
      </c>
      <c r="JE54">
        <v>18</v>
      </c>
      <c r="JF54">
        <v>496.012</v>
      </c>
      <c r="JG54">
        <v>464.02300000000002</v>
      </c>
      <c r="JH54">
        <v>26.734999999999999</v>
      </c>
      <c r="JI54">
        <v>35.3705</v>
      </c>
      <c r="JJ54">
        <v>30.0001</v>
      </c>
      <c r="JK54">
        <v>35.316899999999997</v>
      </c>
      <c r="JL54">
        <v>35.267699999999998</v>
      </c>
      <c r="JM54">
        <v>12.332599999999999</v>
      </c>
      <c r="JN54">
        <v>15.790900000000001</v>
      </c>
      <c r="JO54">
        <v>34.253</v>
      </c>
      <c r="JP54">
        <v>26.753</v>
      </c>
      <c r="JQ54">
        <v>200</v>
      </c>
      <c r="JR54">
        <v>22.221800000000002</v>
      </c>
      <c r="JS54">
        <v>98.799800000000005</v>
      </c>
      <c r="JT54">
        <v>98.643100000000004</v>
      </c>
    </row>
    <row r="55" spans="1:280" x14ac:dyDescent="0.25">
      <c r="A55">
        <v>39</v>
      </c>
      <c r="B55">
        <v>1700157140.5999999</v>
      </c>
      <c r="C55">
        <v>9611</v>
      </c>
      <c r="D55" t="s">
        <v>588</v>
      </c>
      <c r="E55" t="s">
        <v>589</v>
      </c>
      <c r="F55" t="s">
        <v>412</v>
      </c>
      <c r="G55" t="s">
        <v>546</v>
      </c>
      <c r="H55" t="s">
        <v>547</v>
      </c>
      <c r="I55">
        <v>1700157140.5999999</v>
      </c>
      <c r="J55">
        <f t="shared" si="46"/>
        <v>6.2477411279654544E-3</v>
      </c>
      <c r="K55">
        <f t="shared" si="47"/>
        <v>6.2477411279654547</v>
      </c>
      <c r="L55">
        <f t="shared" si="48"/>
        <v>19.592921027934498</v>
      </c>
      <c r="M55">
        <f t="shared" si="49"/>
        <v>97.159300000000002</v>
      </c>
      <c r="N55">
        <f t="shared" si="50"/>
        <v>24.116049238711962</v>
      </c>
      <c r="O55">
        <f t="shared" si="51"/>
        <v>2.392865547810255</v>
      </c>
      <c r="P55">
        <f t="shared" si="52"/>
        <v>9.6404323659350002</v>
      </c>
      <c r="Q55">
        <f t="shared" si="53"/>
        <v>0.47013169126793314</v>
      </c>
      <c r="R55">
        <f t="shared" si="54"/>
        <v>2.9792529559461656</v>
      </c>
      <c r="S55">
        <f t="shared" si="55"/>
        <v>0.4324667949692817</v>
      </c>
      <c r="T55">
        <f t="shared" si="56"/>
        <v>0.27342388671648238</v>
      </c>
      <c r="U55">
        <f t="shared" si="57"/>
        <v>289.59316484750497</v>
      </c>
      <c r="V55">
        <f t="shared" si="58"/>
        <v>30.412184254508901</v>
      </c>
      <c r="W55">
        <f t="shared" si="59"/>
        <v>29.924600000000002</v>
      </c>
      <c r="X55">
        <f t="shared" si="60"/>
        <v>4.2420329150302019</v>
      </c>
      <c r="Y55">
        <f t="shared" si="61"/>
        <v>65.864807358223374</v>
      </c>
      <c r="Z55">
        <f t="shared" si="62"/>
        <v>2.8598832432600001</v>
      </c>
      <c r="AA55">
        <f t="shared" si="63"/>
        <v>4.3420505698980643</v>
      </c>
      <c r="AB55">
        <f t="shared" si="64"/>
        <v>1.3821496717702018</v>
      </c>
      <c r="AC55">
        <f t="shared" si="65"/>
        <v>-275.52538374327656</v>
      </c>
      <c r="AD55">
        <f t="shared" si="66"/>
        <v>65.226760805089569</v>
      </c>
      <c r="AE55">
        <f t="shared" si="67"/>
        <v>4.8742353323929368</v>
      </c>
      <c r="AF55">
        <f t="shared" si="68"/>
        <v>84.168777241710885</v>
      </c>
      <c r="AG55">
        <v>6</v>
      </c>
      <c r="AH55">
        <v>1</v>
      </c>
      <c r="AI55">
        <f t="shared" si="69"/>
        <v>1</v>
      </c>
      <c r="AJ55">
        <f t="shared" si="70"/>
        <v>0</v>
      </c>
      <c r="AK55">
        <f t="shared" si="71"/>
        <v>51872.167216706323</v>
      </c>
      <c r="AL55" t="s">
        <v>415</v>
      </c>
      <c r="AM55">
        <v>6960.3</v>
      </c>
      <c r="AN55">
        <v>244.8124</v>
      </c>
      <c r="AO55">
        <v>892.86711584811997</v>
      </c>
      <c r="AP55">
        <f t="shared" si="72"/>
        <v>0.72581317459826411</v>
      </c>
      <c r="AQ55">
        <v>-0.43209471141234851</v>
      </c>
      <c r="AR55" t="s">
        <v>590</v>
      </c>
      <c r="AS55">
        <v>7122.55</v>
      </c>
      <c r="AT55">
        <v>735.99871999999993</v>
      </c>
      <c r="AU55">
        <v>861.13144659979719</v>
      </c>
      <c r="AV55">
        <f t="shared" si="73"/>
        <v>0.14531199283673535</v>
      </c>
      <c r="AW55">
        <v>0.5</v>
      </c>
      <c r="AX55">
        <f t="shared" si="74"/>
        <v>1513.319699920987</v>
      </c>
      <c r="AY55">
        <f t="shared" si="75"/>
        <v>19.592921027934498</v>
      </c>
      <c r="AZ55">
        <f t="shared" si="76"/>
        <v>109.95175069730448</v>
      </c>
      <c r="BA55">
        <f t="shared" si="77"/>
        <v>1.3232508464928055E-2</v>
      </c>
      <c r="BB55">
        <f t="shared" si="78"/>
        <v>3.6853455269380768E-2</v>
      </c>
      <c r="BC55">
        <f t="shared" si="79"/>
        <v>242.36338299118913</v>
      </c>
      <c r="BD55" t="s">
        <v>591</v>
      </c>
      <c r="BE55">
        <v>498.48</v>
      </c>
      <c r="BF55">
        <f t="shared" si="80"/>
        <v>498.48</v>
      </c>
      <c r="BG55">
        <f t="shared" si="81"/>
        <v>0.42113367016352388</v>
      </c>
      <c r="BH55">
        <f t="shared" si="82"/>
        <v>0.34504957245596507</v>
      </c>
      <c r="BI55">
        <f t="shared" si="83"/>
        <v>8.0468321537522827E-2</v>
      </c>
      <c r="BJ55">
        <f t="shared" si="84"/>
        <v>0.20303238605093993</v>
      </c>
      <c r="BK55">
        <f t="shared" si="85"/>
        <v>4.8970663236035224E-2</v>
      </c>
      <c r="BL55">
        <f t="shared" si="86"/>
        <v>0.23369648099095811</v>
      </c>
      <c r="BM55">
        <f t="shared" si="87"/>
        <v>0.76630351900904192</v>
      </c>
      <c r="BN55">
        <v>73</v>
      </c>
      <c r="BO55">
        <v>290.00000000000011</v>
      </c>
      <c r="BP55">
        <v>828.84</v>
      </c>
      <c r="BQ55">
        <v>295</v>
      </c>
      <c r="BR55">
        <v>7122.55</v>
      </c>
      <c r="BS55">
        <v>830.18</v>
      </c>
      <c r="BT55">
        <v>-1.34</v>
      </c>
      <c r="BU55">
        <v>300.00000000000011</v>
      </c>
      <c r="BV55">
        <v>38.200000000000003</v>
      </c>
      <c r="BW55">
        <v>861.13144659979719</v>
      </c>
      <c r="BX55">
        <v>1.179157297884899</v>
      </c>
      <c r="BY55">
        <v>-22.044169722009151</v>
      </c>
      <c r="BZ55">
        <v>0.70397014906979904</v>
      </c>
      <c r="CA55">
        <v>0.97223794602353875</v>
      </c>
      <c r="CB55">
        <v>-7.0287045606229094E-3</v>
      </c>
      <c r="CC55">
        <v>289.99999999999989</v>
      </c>
      <c r="CD55">
        <v>834.46</v>
      </c>
      <c r="CE55">
        <v>755</v>
      </c>
      <c r="CF55">
        <v>7118</v>
      </c>
      <c r="CG55">
        <v>830.16</v>
      </c>
      <c r="CH55">
        <v>4.3</v>
      </c>
      <c r="CV55">
        <f t="shared" si="88"/>
        <v>1800.16</v>
      </c>
      <c r="CW55">
        <f t="shared" si="89"/>
        <v>1513.319699920987</v>
      </c>
      <c r="CX55">
        <f t="shared" si="90"/>
        <v>0.84065844142797697</v>
      </c>
      <c r="CY55">
        <f t="shared" si="91"/>
        <v>0.16087079195599555</v>
      </c>
      <c r="CZ55">
        <v>5.66</v>
      </c>
      <c r="DA55">
        <v>0.5</v>
      </c>
      <c r="DB55" t="s">
        <v>418</v>
      </c>
      <c r="DC55">
        <v>2</v>
      </c>
      <c r="DD55">
        <v>1700157140.5999999</v>
      </c>
      <c r="DE55">
        <v>97.159300000000002</v>
      </c>
      <c r="DF55">
        <v>120.017</v>
      </c>
      <c r="DG55">
        <v>28.822800000000001</v>
      </c>
      <c r="DH55">
        <v>21.956800000000001</v>
      </c>
      <c r="DI55">
        <v>95.946700000000007</v>
      </c>
      <c r="DJ55">
        <v>28.545000000000002</v>
      </c>
      <c r="DK55">
        <v>500.18900000000002</v>
      </c>
      <c r="DL55">
        <v>99.122900000000001</v>
      </c>
      <c r="DM55">
        <v>0.10005</v>
      </c>
      <c r="DN55">
        <v>30.3307</v>
      </c>
      <c r="DO55">
        <v>29.924600000000002</v>
      </c>
      <c r="DP55">
        <v>999.9</v>
      </c>
      <c r="DQ55">
        <v>0</v>
      </c>
      <c r="DR55">
        <v>0</v>
      </c>
      <c r="DS55">
        <v>10006.9</v>
      </c>
      <c r="DT55">
        <v>0</v>
      </c>
      <c r="DU55">
        <v>112.52500000000001</v>
      </c>
      <c r="DV55">
        <v>-22.857600000000001</v>
      </c>
      <c r="DW55">
        <v>100.04300000000001</v>
      </c>
      <c r="DX55">
        <v>122.711</v>
      </c>
      <c r="DY55">
        <v>6.8659999999999997</v>
      </c>
      <c r="DZ55">
        <v>120.017</v>
      </c>
      <c r="EA55">
        <v>21.956800000000001</v>
      </c>
      <c r="EB55">
        <v>2.8570000000000002</v>
      </c>
      <c r="EC55">
        <v>2.1764199999999998</v>
      </c>
      <c r="ED55">
        <v>23.217199999999998</v>
      </c>
      <c r="EE55">
        <v>18.7898</v>
      </c>
      <c r="EF55">
        <v>1800.16</v>
      </c>
      <c r="EG55">
        <v>0.977993</v>
      </c>
      <c r="EH55">
        <v>2.2007499999999999E-2</v>
      </c>
      <c r="EI55">
        <v>0</v>
      </c>
      <c r="EJ55">
        <v>736.31299999999999</v>
      </c>
      <c r="EK55">
        <v>5.0001199999999999</v>
      </c>
      <c r="EL55">
        <v>13423.3</v>
      </c>
      <c r="EM55">
        <v>15631.3</v>
      </c>
      <c r="EN55">
        <v>51.75</v>
      </c>
      <c r="EO55">
        <v>52.875</v>
      </c>
      <c r="EP55">
        <v>52.75</v>
      </c>
      <c r="EQ55">
        <v>52.686999999999998</v>
      </c>
      <c r="ER55">
        <v>53.25</v>
      </c>
      <c r="ES55">
        <v>1755.65</v>
      </c>
      <c r="ET55">
        <v>39.51</v>
      </c>
      <c r="EU55">
        <v>0</v>
      </c>
      <c r="EV55">
        <v>293.39999985694891</v>
      </c>
      <c r="EW55">
        <v>0</v>
      </c>
      <c r="EX55">
        <v>735.99871999999993</v>
      </c>
      <c r="EY55">
        <v>-2.7461538588473701E-2</v>
      </c>
      <c r="EZ55">
        <v>-21.69230771216893</v>
      </c>
      <c r="FA55">
        <v>13423.968000000001</v>
      </c>
      <c r="FB55">
        <v>15</v>
      </c>
      <c r="FC55">
        <v>1700157096</v>
      </c>
      <c r="FD55" t="s">
        <v>592</v>
      </c>
      <c r="FE55">
        <v>1700157083</v>
      </c>
      <c r="FF55">
        <v>1700157096</v>
      </c>
      <c r="FG55">
        <v>45</v>
      </c>
      <c r="FH55">
        <v>2.1999999999999999E-2</v>
      </c>
      <c r="FI55">
        <v>-1.0999999999999999E-2</v>
      </c>
      <c r="FJ55">
        <v>1.23</v>
      </c>
      <c r="FK55">
        <v>0.27800000000000002</v>
      </c>
      <c r="FL55">
        <v>120</v>
      </c>
      <c r="FM55">
        <v>22</v>
      </c>
      <c r="FN55">
        <v>0.11</v>
      </c>
      <c r="FO55">
        <v>0.01</v>
      </c>
      <c r="FP55">
        <v>19.50106399487267</v>
      </c>
      <c r="FQ55">
        <v>0.69416572962210543</v>
      </c>
      <c r="FR55">
        <v>5.8150184263493172E-2</v>
      </c>
      <c r="FS55">
        <v>1</v>
      </c>
      <c r="FT55">
        <v>0.46205905572149758</v>
      </c>
      <c r="FU55">
        <v>3.8413099004357618E-2</v>
      </c>
      <c r="FV55">
        <v>2.8119729415836269E-3</v>
      </c>
      <c r="FW55">
        <v>1</v>
      </c>
      <c r="FX55">
        <v>2</v>
      </c>
      <c r="FY55">
        <v>2</v>
      </c>
      <c r="FZ55" t="s">
        <v>420</v>
      </c>
      <c r="GA55">
        <v>2.9127999999999998</v>
      </c>
      <c r="GB55">
        <v>2.7511199999999998</v>
      </c>
      <c r="GC55">
        <v>2.5873699999999999E-2</v>
      </c>
      <c r="GD55">
        <v>3.2655799999999999E-2</v>
      </c>
      <c r="GE55">
        <v>0.13003100000000001</v>
      </c>
      <c r="GF55">
        <v>0.109805</v>
      </c>
      <c r="GG55">
        <v>30158.7</v>
      </c>
      <c r="GH55">
        <v>29785.8</v>
      </c>
      <c r="GI55">
        <v>28207.599999999999</v>
      </c>
      <c r="GJ55">
        <v>28163.4</v>
      </c>
      <c r="GK55">
        <v>33448.800000000003</v>
      </c>
      <c r="GL55">
        <v>35023.1</v>
      </c>
      <c r="GM55">
        <v>42381.9</v>
      </c>
      <c r="GN55">
        <v>43787.3</v>
      </c>
      <c r="GO55">
        <v>1.7438</v>
      </c>
      <c r="GP55">
        <v>1.8402000000000001</v>
      </c>
      <c r="GQ55">
        <v>-2.0265600000000002E-2</v>
      </c>
      <c r="GR55">
        <v>0</v>
      </c>
      <c r="GS55">
        <v>30.254300000000001</v>
      </c>
      <c r="GT55">
        <v>999.9</v>
      </c>
      <c r="GU55">
        <v>28.7</v>
      </c>
      <c r="GV55">
        <v>45.2</v>
      </c>
      <c r="GW55">
        <v>28.194800000000001</v>
      </c>
      <c r="GX55">
        <v>61.256900000000002</v>
      </c>
      <c r="GY55">
        <v>30.264399999999998</v>
      </c>
      <c r="GZ55">
        <v>1</v>
      </c>
      <c r="HA55">
        <v>0.66467699999999996</v>
      </c>
      <c r="HB55">
        <v>3.0932499999999998</v>
      </c>
      <c r="HC55">
        <v>20.234300000000001</v>
      </c>
      <c r="HD55">
        <v>5.2702999999999998</v>
      </c>
      <c r="HE55">
        <v>12.0878</v>
      </c>
      <c r="HF55">
        <v>5.0112500000000004</v>
      </c>
      <c r="HG55">
        <v>3.2912499999999998</v>
      </c>
      <c r="HH55">
        <v>9999</v>
      </c>
      <c r="HI55">
        <v>9999</v>
      </c>
      <c r="HJ55">
        <v>9999</v>
      </c>
      <c r="HK55">
        <v>999.9</v>
      </c>
      <c r="HL55">
        <v>1.8766099999999999</v>
      </c>
      <c r="HM55">
        <v>1.8772899999999999</v>
      </c>
      <c r="HN55">
        <v>1.8769800000000001</v>
      </c>
      <c r="HO55">
        <v>1.88066</v>
      </c>
      <c r="HP55">
        <v>1.87439</v>
      </c>
      <c r="HQ55">
        <v>1.8773899999999999</v>
      </c>
      <c r="HR55">
        <v>1.8772800000000001</v>
      </c>
      <c r="HS55">
        <v>1.8786700000000001</v>
      </c>
      <c r="HT55">
        <v>0</v>
      </c>
      <c r="HU55">
        <v>0</v>
      </c>
      <c r="HV55">
        <v>0</v>
      </c>
      <c r="HW55">
        <v>0</v>
      </c>
      <c r="HX55" t="s">
        <v>421</v>
      </c>
      <c r="HY55" t="s">
        <v>422</v>
      </c>
      <c r="HZ55" t="s">
        <v>423</v>
      </c>
      <c r="IA55" t="s">
        <v>424</v>
      </c>
      <c r="IB55" t="s">
        <v>424</v>
      </c>
      <c r="IC55" t="s">
        <v>423</v>
      </c>
      <c r="ID55">
        <v>0</v>
      </c>
      <c r="IE55">
        <v>100</v>
      </c>
      <c r="IF55">
        <v>100</v>
      </c>
      <c r="IG55">
        <v>1.2130000000000001</v>
      </c>
      <c r="IH55">
        <v>0.27779999999999999</v>
      </c>
      <c r="II55">
        <v>1.1331321353507999</v>
      </c>
      <c r="IJ55">
        <v>8.9576739069318506E-4</v>
      </c>
      <c r="IK55">
        <v>-7.2130504814809596E-7</v>
      </c>
      <c r="IL55">
        <v>1.9987036519832741E-10</v>
      </c>
      <c r="IM55">
        <v>0.2778400000000012</v>
      </c>
      <c r="IN55">
        <v>0</v>
      </c>
      <c r="IO55">
        <v>0</v>
      </c>
      <c r="IP55">
        <v>0</v>
      </c>
      <c r="IQ55">
        <v>1</v>
      </c>
      <c r="IR55">
        <v>2126</v>
      </c>
      <c r="IS55">
        <v>0</v>
      </c>
      <c r="IT55">
        <v>20</v>
      </c>
      <c r="IU55">
        <v>1</v>
      </c>
      <c r="IV55">
        <v>0.7</v>
      </c>
      <c r="IW55">
        <v>0.42968800000000001</v>
      </c>
      <c r="IX55">
        <v>2.7307100000000002</v>
      </c>
      <c r="IY55">
        <v>1.69434</v>
      </c>
      <c r="IZ55">
        <v>2.3315399999999999</v>
      </c>
      <c r="JA55">
        <v>1.5466299999999999</v>
      </c>
      <c r="JB55">
        <v>2.3120099999999999</v>
      </c>
      <c r="JC55">
        <v>48.639699999999998</v>
      </c>
      <c r="JD55">
        <v>23.745999999999999</v>
      </c>
      <c r="JE55">
        <v>18</v>
      </c>
      <c r="JF55">
        <v>496.36200000000002</v>
      </c>
      <c r="JG55">
        <v>464.00200000000001</v>
      </c>
      <c r="JH55">
        <v>26.706900000000001</v>
      </c>
      <c r="JI55">
        <v>35.347700000000003</v>
      </c>
      <c r="JJ55">
        <v>29.999400000000001</v>
      </c>
      <c r="JK55">
        <v>35.308300000000003</v>
      </c>
      <c r="JL55">
        <v>35.258099999999999</v>
      </c>
      <c r="JM55">
        <v>8.6672999999999991</v>
      </c>
      <c r="JN55">
        <v>15.440300000000001</v>
      </c>
      <c r="JO55">
        <v>32.898699999999998</v>
      </c>
      <c r="JP55">
        <v>26.735099999999999</v>
      </c>
      <c r="JQ55">
        <v>120</v>
      </c>
      <c r="JR55">
        <v>21.717700000000001</v>
      </c>
      <c r="JS55">
        <v>98.813299999999998</v>
      </c>
      <c r="JT55">
        <v>98.647900000000007</v>
      </c>
    </row>
    <row r="56" spans="1:280" x14ac:dyDescent="0.25">
      <c r="A56">
        <v>40</v>
      </c>
      <c r="B56">
        <v>1700157278.0999999</v>
      </c>
      <c r="C56">
        <v>9748.5</v>
      </c>
      <c r="D56" t="s">
        <v>593</v>
      </c>
      <c r="E56" t="s">
        <v>594</v>
      </c>
      <c r="F56" t="s">
        <v>412</v>
      </c>
      <c r="G56" t="s">
        <v>546</v>
      </c>
      <c r="H56" t="s">
        <v>547</v>
      </c>
      <c r="I56">
        <v>1700157278.0999999</v>
      </c>
      <c r="J56">
        <f t="shared" si="46"/>
        <v>6.3682856503519463E-3</v>
      </c>
      <c r="K56">
        <f t="shared" si="47"/>
        <v>6.3682856503519467</v>
      </c>
      <c r="L56">
        <f t="shared" si="48"/>
        <v>12.136245368878873</v>
      </c>
      <c r="M56">
        <f t="shared" si="49"/>
        <v>55.857100000000003</v>
      </c>
      <c r="N56">
        <f t="shared" si="50"/>
        <v>12.029639886399078</v>
      </c>
      <c r="O56">
        <f t="shared" si="51"/>
        <v>1.1934762850423082</v>
      </c>
      <c r="P56">
        <f t="shared" si="52"/>
        <v>5.5416558459583101</v>
      </c>
      <c r="Q56">
        <f t="shared" si="53"/>
        <v>0.48567806451255952</v>
      </c>
      <c r="R56">
        <f t="shared" si="54"/>
        <v>2.9822121529421262</v>
      </c>
      <c r="S56">
        <f t="shared" si="55"/>
        <v>0.4456309235528037</v>
      </c>
      <c r="T56">
        <f t="shared" si="56"/>
        <v>0.28184171322260654</v>
      </c>
      <c r="U56">
        <f t="shared" si="57"/>
        <v>289.56443684748967</v>
      </c>
      <c r="V56">
        <f t="shared" si="58"/>
        <v>30.35918023669694</v>
      </c>
      <c r="W56">
        <f t="shared" si="59"/>
        <v>29.8962</v>
      </c>
      <c r="X56">
        <f t="shared" si="60"/>
        <v>4.2351140723509628</v>
      </c>
      <c r="Y56">
        <f t="shared" si="61"/>
        <v>66.137133128587678</v>
      </c>
      <c r="Z56">
        <f t="shared" si="62"/>
        <v>2.86808972691429</v>
      </c>
      <c r="AA56">
        <f t="shared" si="63"/>
        <v>4.3365800590992993</v>
      </c>
      <c r="AB56">
        <f t="shared" si="64"/>
        <v>1.3670243454366728</v>
      </c>
      <c r="AC56">
        <f t="shared" si="65"/>
        <v>-280.84139718052086</v>
      </c>
      <c r="AD56">
        <f t="shared" si="66"/>
        <v>66.320521405634295</v>
      </c>
      <c r="AE56">
        <f t="shared" si="67"/>
        <v>4.9498170307756073</v>
      </c>
      <c r="AF56">
        <f t="shared" si="68"/>
        <v>79.993378103378703</v>
      </c>
      <c r="AG56">
        <v>5</v>
      </c>
      <c r="AH56">
        <v>1</v>
      </c>
      <c r="AI56">
        <f t="shared" si="69"/>
        <v>1</v>
      </c>
      <c r="AJ56">
        <f t="shared" si="70"/>
        <v>0</v>
      </c>
      <c r="AK56">
        <f t="shared" si="71"/>
        <v>51956.876085017357</v>
      </c>
      <c r="AL56" t="s">
        <v>427</v>
      </c>
      <c r="AM56" t="s">
        <v>427</v>
      </c>
      <c r="AN56">
        <v>0</v>
      </c>
      <c r="AO56">
        <v>0</v>
      </c>
      <c r="AP56" t="e">
        <f t="shared" si="72"/>
        <v>#DIV/0!</v>
      </c>
      <c r="AQ56">
        <v>0</v>
      </c>
      <c r="AR56" t="s">
        <v>427</v>
      </c>
      <c r="AS56" t="s">
        <v>427</v>
      </c>
      <c r="AT56">
        <v>0</v>
      </c>
      <c r="AU56">
        <v>0</v>
      </c>
      <c r="AV56" t="e">
        <f t="shared" si="73"/>
        <v>#DIV/0!</v>
      </c>
      <c r="AW56">
        <v>0.5</v>
      </c>
      <c r="AX56">
        <f t="shared" si="74"/>
        <v>1513.168499920979</v>
      </c>
      <c r="AY56">
        <f t="shared" si="75"/>
        <v>12.136245368878873</v>
      </c>
      <c r="AZ56" t="e">
        <f t="shared" si="76"/>
        <v>#DIV/0!</v>
      </c>
      <c r="BA56">
        <f t="shared" si="77"/>
        <v>8.0204189880457161E-3</v>
      </c>
      <c r="BB56" t="e">
        <f t="shared" si="78"/>
        <v>#DIV/0!</v>
      </c>
      <c r="BC56" t="e">
        <f t="shared" si="79"/>
        <v>#DIV/0!</v>
      </c>
      <c r="BD56" t="s">
        <v>427</v>
      </c>
      <c r="BE56">
        <v>0</v>
      </c>
      <c r="BF56" t="e">
        <f t="shared" si="80"/>
        <v>#DIV/0!</v>
      </c>
      <c r="BG56" t="e">
        <f t="shared" si="81"/>
        <v>#DIV/0!</v>
      </c>
      <c r="BH56" t="e">
        <f t="shared" si="82"/>
        <v>#DIV/0!</v>
      </c>
      <c r="BI56" t="e">
        <f t="shared" si="83"/>
        <v>#DIV/0!</v>
      </c>
      <c r="BJ56" t="e">
        <f t="shared" si="84"/>
        <v>#DIV/0!</v>
      </c>
      <c r="BK56" t="e">
        <f t="shared" si="85"/>
        <v>#DIV/0!</v>
      </c>
      <c r="BL56" t="e">
        <f t="shared" si="86"/>
        <v>#DIV/0!</v>
      </c>
      <c r="BM56" t="e">
        <f t="shared" si="87"/>
        <v>#DIV/0!</v>
      </c>
      <c r="BN56">
        <v>73</v>
      </c>
      <c r="BO56">
        <v>290.00000000000011</v>
      </c>
      <c r="BP56">
        <v>828.84</v>
      </c>
      <c r="BQ56">
        <v>295</v>
      </c>
      <c r="BR56">
        <v>7122.55</v>
      </c>
      <c r="BS56">
        <v>830.18</v>
      </c>
      <c r="BT56">
        <v>-1.34</v>
      </c>
      <c r="BU56">
        <v>300.00000000000011</v>
      </c>
      <c r="BV56">
        <v>38.200000000000003</v>
      </c>
      <c r="BW56">
        <v>861.13144659979719</v>
      </c>
      <c r="BX56">
        <v>1.179157297884899</v>
      </c>
      <c r="BY56">
        <v>-22.044169722009151</v>
      </c>
      <c r="BZ56">
        <v>0.70397014906979904</v>
      </c>
      <c r="CA56">
        <v>0.97223794602353875</v>
      </c>
      <c r="CB56">
        <v>-7.0287045606229094E-3</v>
      </c>
      <c r="CC56">
        <v>289.99999999999989</v>
      </c>
      <c r="CD56">
        <v>834.46</v>
      </c>
      <c r="CE56">
        <v>755</v>
      </c>
      <c r="CF56">
        <v>7118</v>
      </c>
      <c r="CG56">
        <v>830.16</v>
      </c>
      <c r="CH56">
        <v>4.3</v>
      </c>
      <c r="CV56">
        <f t="shared" si="88"/>
        <v>1799.98</v>
      </c>
      <c r="CW56">
        <f t="shared" si="89"/>
        <v>1513.168499920979</v>
      </c>
      <c r="CX56">
        <f t="shared" si="90"/>
        <v>0.84065850727284686</v>
      </c>
      <c r="CY56">
        <f t="shared" si="91"/>
        <v>0.16087091903659467</v>
      </c>
      <c r="CZ56">
        <v>5.66</v>
      </c>
      <c r="DA56">
        <v>0.5</v>
      </c>
      <c r="DB56" t="s">
        <v>418</v>
      </c>
      <c r="DC56">
        <v>2</v>
      </c>
      <c r="DD56">
        <v>1700157278.0999999</v>
      </c>
      <c r="DE56">
        <v>55.857100000000003</v>
      </c>
      <c r="DF56">
        <v>69.997799999999998</v>
      </c>
      <c r="DG56">
        <v>28.908899999999999</v>
      </c>
      <c r="DH56">
        <v>21.9085</v>
      </c>
      <c r="DI56">
        <v>54.710099999999997</v>
      </c>
      <c r="DJ56">
        <v>28.6387</v>
      </c>
      <c r="DK56">
        <v>500.00700000000001</v>
      </c>
      <c r="DL56">
        <v>99.111400000000003</v>
      </c>
      <c r="DM56">
        <v>9.9906099999999998E-2</v>
      </c>
      <c r="DN56">
        <v>30.308700000000002</v>
      </c>
      <c r="DO56">
        <v>29.8962</v>
      </c>
      <c r="DP56">
        <v>999.9</v>
      </c>
      <c r="DQ56">
        <v>0</v>
      </c>
      <c r="DR56">
        <v>0</v>
      </c>
      <c r="DS56">
        <v>10024.4</v>
      </c>
      <c r="DT56">
        <v>0</v>
      </c>
      <c r="DU56">
        <v>146.57499999999999</v>
      </c>
      <c r="DV56">
        <v>-14.140700000000001</v>
      </c>
      <c r="DW56">
        <v>57.5199</v>
      </c>
      <c r="DX56">
        <v>71.565700000000007</v>
      </c>
      <c r="DY56">
        <v>7.0004799999999996</v>
      </c>
      <c r="DZ56">
        <v>69.997799999999998</v>
      </c>
      <c r="EA56">
        <v>21.9085</v>
      </c>
      <c r="EB56">
        <v>2.8652000000000002</v>
      </c>
      <c r="EC56">
        <v>2.1713800000000001</v>
      </c>
      <c r="ED56">
        <v>23.264600000000002</v>
      </c>
      <c r="EE56">
        <v>18.752700000000001</v>
      </c>
      <c r="EF56">
        <v>1799.98</v>
      </c>
      <c r="EG56">
        <v>0.977989</v>
      </c>
      <c r="EH56">
        <v>2.2010800000000001E-2</v>
      </c>
      <c r="EI56">
        <v>0</v>
      </c>
      <c r="EJ56">
        <v>749.79</v>
      </c>
      <c r="EK56">
        <v>5.0001199999999999</v>
      </c>
      <c r="EL56">
        <v>13694.2</v>
      </c>
      <c r="EM56">
        <v>15629.7</v>
      </c>
      <c r="EN56">
        <v>51.75</v>
      </c>
      <c r="EO56">
        <v>52.811999999999998</v>
      </c>
      <c r="EP56">
        <v>52.686999999999998</v>
      </c>
      <c r="EQ56">
        <v>52.625</v>
      </c>
      <c r="ER56">
        <v>53.25</v>
      </c>
      <c r="ES56">
        <v>1755.47</v>
      </c>
      <c r="ET56">
        <v>39.51</v>
      </c>
      <c r="EU56">
        <v>0</v>
      </c>
      <c r="EV56">
        <v>135.5999999046326</v>
      </c>
      <c r="EW56">
        <v>0</v>
      </c>
      <c r="EX56">
        <v>749.93876</v>
      </c>
      <c r="EY56">
        <v>-2.1538389845228698E-3</v>
      </c>
      <c r="EZ56">
        <v>-34.138461521760433</v>
      </c>
      <c r="FA56">
        <v>13700.244000000001</v>
      </c>
      <c r="FB56">
        <v>15</v>
      </c>
      <c r="FC56">
        <v>1700157233.0999999</v>
      </c>
      <c r="FD56" t="s">
        <v>595</v>
      </c>
      <c r="FE56">
        <v>1700157223.5999999</v>
      </c>
      <c r="FF56">
        <v>1700157233.0999999</v>
      </c>
      <c r="FG56">
        <v>46</v>
      </c>
      <c r="FH56">
        <v>-3.3000000000000002E-2</v>
      </c>
      <c r="FI56">
        <v>-8.0000000000000002E-3</v>
      </c>
      <c r="FJ56">
        <v>1.1579999999999999</v>
      </c>
      <c r="FK56">
        <v>0.27</v>
      </c>
      <c r="FL56">
        <v>70</v>
      </c>
      <c r="FM56">
        <v>21</v>
      </c>
      <c r="FN56">
        <v>0.08</v>
      </c>
      <c r="FO56">
        <v>0.01</v>
      </c>
      <c r="FP56">
        <v>12.068185890481359</v>
      </c>
      <c r="FQ56">
        <v>0.49328689813450732</v>
      </c>
      <c r="FR56">
        <v>4.0698143476175438E-2</v>
      </c>
      <c r="FS56">
        <v>1</v>
      </c>
      <c r="FT56">
        <v>0.47346633620578482</v>
      </c>
      <c r="FU56">
        <v>4.8124357933775182E-2</v>
      </c>
      <c r="FV56">
        <v>4.7149804271705564E-3</v>
      </c>
      <c r="FW56">
        <v>1</v>
      </c>
      <c r="FX56">
        <v>2</v>
      </c>
      <c r="FY56">
        <v>2</v>
      </c>
      <c r="FZ56" t="s">
        <v>420</v>
      </c>
      <c r="GA56">
        <v>2.9123999999999999</v>
      </c>
      <c r="GB56">
        <v>2.7511199999999998</v>
      </c>
      <c r="GC56">
        <v>1.4998299999999999E-2</v>
      </c>
      <c r="GD56">
        <v>1.9501999999999999E-2</v>
      </c>
      <c r="GE56">
        <v>0.13031799999999999</v>
      </c>
      <c r="GF56">
        <v>0.109629</v>
      </c>
      <c r="GG56">
        <v>30495.9</v>
      </c>
      <c r="GH56">
        <v>30193.7</v>
      </c>
      <c r="GI56">
        <v>28208.6</v>
      </c>
      <c r="GJ56">
        <v>28166.6</v>
      </c>
      <c r="GK56">
        <v>33438.6</v>
      </c>
      <c r="GL56">
        <v>35034.1</v>
      </c>
      <c r="GM56">
        <v>42382.9</v>
      </c>
      <c r="GN56">
        <v>43792.3</v>
      </c>
      <c r="GO56">
        <v>1.7445200000000001</v>
      </c>
      <c r="GP56">
        <v>1.8412500000000001</v>
      </c>
      <c r="GQ56">
        <v>-2.64123E-2</v>
      </c>
      <c r="GR56">
        <v>0</v>
      </c>
      <c r="GS56">
        <v>30.326000000000001</v>
      </c>
      <c r="GT56">
        <v>999.9</v>
      </c>
      <c r="GU56">
        <v>28.3</v>
      </c>
      <c r="GV56">
        <v>45.1</v>
      </c>
      <c r="GW56">
        <v>27.662199999999999</v>
      </c>
      <c r="GX56">
        <v>61.226900000000001</v>
      </c>
      <c r="GY56">
        <v>30.953499999999998</v>
      </c>
      <c r="GZ56">
        <v>1</v>
      </c>
      <c r="HA56">
        <v>0.66002300000000003</v>
      </c>
      <c r="HB56">
        <v>1.5931599999999999</v>
      </c>
      <c r="HC56">
        <v>20.2559</v>
      </c>
      <c r="HD56">
        <v>5.26776</v>
      </c>
      <c r="HE56">
        <v>12.087999999999999</v>
      </c>
      <c r="HF56">
        <v>5.01145</v>
      </c>
      <c r="HG56">
        <v>3.2913299999999999</v>
      </c>
      <c r="HH56">
        <v>9999</v>
      </c>
      <c r="HI56">
        <v>9999</v>
      </c>
      <c r="HJ56">
        <v>9999</v>
      </c>
      <c r="HK56">
        <v>999.9</v>
      </c>
      <c r="HL56">
        <v>1.87653</v>
      </c>
      <c r="HM56">
        <v>1.8772800000000001</v>
      </c>
      <c r="HN56">
        <v>1.8769800000000001</v>
      </c>
      <c r="HO56">
        <v>1.8806499999999999</v>
      </c>
      <c r="HP56">
        <v>1.87439</v>
      </c>
      <c r="HQ56">
        <v>1.87737</v>
      </c>
      <c r="HR56">
        <v>1.87724</v>
      </c>
      <c r="HS56">
        <v>1.87866</v>
      </c>
      <c r="HT56">
        <v>0</v>
      </c>
      <c r="HU56">
        <v>0</v>
      </c>
      <c r="HV56">
        <v>0</v>
      </c>
      <c r="HW56">
        <v>0</v>
      </c>
      <c r="HX56" t="s">
        <v>421</v>
      </c>
      <c r="HY56" t="s">
        <v>422</v>
      </c>
      <c r="HZ56" t="s">
        <v>423</v>
      </c>
      <c r="IA56" t="s">
        <v>424</v>
      </c>
      <c r="IB56" t="s">
        <v>424</v>
      </c>
      <c r="IC56" t="s">
        <v>423</v>
      </c>
      <c r="ID56">
        <v>0</v>
      </c>
      <c r="IE56">
        <v>100</v>
      </c>
      <c r="IF56">
        <v>100</v>
      </c>
      <c r="IG56">
        <v>1.147</v>
      </c>
      <c r="IH56">
        <v>0.2702</v>
      </c>
      <c r="II56">
        <v>1.1001578921097079</v>
      </c>
      <c r="IJ56">
        <v>8.9576739069318506E-4</v>
      </c>
      <c r="IK56">
        <v>-7.2130504814809596E-7</v>
      </c>
      <c r="IL56">
        <v>1.9987036519832741E-10</v>
      </c>
      <c r="IM56">
        <v>0.27024499999999918</v>
      </c>
      <c r="IN56">
        <v>0</v>
      </c>
      <c r="IO56">
        <v>0</v>
      </c>
      <c r="IP56">
        <v>0</v>
      </c>
      <c r="IQ56">
        <v>1</v>
      </c>
      <c r="IR56">
        <v>2126</v>
      </c>
      <c r="IS56">
        <v>0</v>
      </c>
      <c r="IT56">
        <v>20</v>
      </c>
      <c r="IU56">
        <v>0.9</v>
      </c>
      <c r="IV56">
        <v>0.8</v>
      </c>
      <c r="IW56">
        <v>0.31372100000000003</v>
      </c>
      <c r="IX56">
        <v>2.7270500000000002</v>
      </c>
      <c r="IY56">
        <v>1.69434</v>
      </c>
      <c r="IZ56">
        <v>2.3327599999999999</v>
      </c>
      <c r="JA56">
        <v>1.5466299999999999</v>
      </c>
      <c r="JB56">
        <v>2.4633799999999999</v>
      </c>
      <c r="JC56">
        <v>48.516199999999998</v>
      </c>
      <c r="JD56">
        <v>23.763500000000001</v>
      </c>
      <c r="JE56">
        <v>18</v>
      </c>
      <c r="JF56">
        <v>496.65699999999998</v>
      </c>
      <c r="JG56">
        <v>464.529</v>
      </c>
      <c r="JH56">
        <v>26.138000000000002</v>
      </c>
      <c r="JI56">
        <v>35.305599999999998</v>
      </c>
      <c r="JJ56">
        <v>29.992100000000001</v>
      </c>
      <c r="JK56">
        <v>35.274700000000003</v>
      </c>
      <c r="JL56">
        <v>35.232300000000002</v>
      </c>
      <c r="JM56">
        <v>6.3693299999999997</v>
      </c>
      <c r="JN56">
        <v>13.999599999999999</v>
      </c>
      <c r="JO56">
        <v>32.084299999999999</v>
      </c>
      <c r="JP56">
        <v>26.562799999999999</v>
      </c>
      <c r="JQ56">
        <v>70</v>
      </c>
      <c r="JR56">
        <v>21.587199999999999</v>
      </c>
      <c r="JS56">
        <v>98.816199999999995</v>
      </c>
      <c r="JT56">
        <v>98.659300000000002</v>
      </c>
    </row>
    <row r="57" spans="1:280" x14ac:dyDescent="0.25">
      <c r="A57">
        <v>41</v>
      </c>
      <c r="B57">
        <v>1700157452.0999999</v>
      </c>
      <c r="C57">
        <v>9922.5</v>
      </c>
      <c r="D57" t="s">
        <v>596</v>
      </c>
      <c r="E57" t="s">
        <v>597</v>
      </c>
      <c r="F57" t="s">
        <v>412</v>
      </c>
      <c r="G57" t="s">
        <v>546</v>
      </c>
      <c r="H57" t="s">
        <v>547</v>
      </c>
      <c r="I57">
        <v>1700157452.0999999</v>
      </c>
      <c r="J57">
        <f t="shared" si="46"/>
        <v>7.4043771499871461E-3</v>
      </c>
      <c r="K57">
        <f t="shared" si="47"/>
        <v>7.4043771499871465</v>
      </c>
      <c r="L57">
        <f t="shared" si="48"/>
        <v>5.5895561404927436</v>
      </c>
      <c r="M57">
        <f t="shared" si="49"/>
        <v>23.488499999999998</v>
      </c>
      <c r="N57">
        <f t="shared" si="50"/>
        <v>6.0689985836016032</v>
      </c>
      <c r="O57">
        <f t="shared" si="51"/>
        <v>0.60212098746776543</v>
      </c>
      <c r="P57">
        <f t="shared" si="52"/>
        <v>2.3303546078179496</v>
      </c>
      <c r="Q57">
        <f t="shared" si="53"/>
        <v>0.57094789299403659</v>
      </c>
      <c r="R57">
        <f t="shared" si="54"/>
        <v>2.9732774841356187</v>
      </c>
      <c r="S57">
        <f t="shared" si="55"/>
        <v>0.51630128587471202</v>
      </c>
      <c r="T57">
        <f t="shared" si="56"/>
        <v>0.32716111889915656</v>
      </c>
      <c r="U57">
        <f t="shared" si="57"/>
        <v>289.57808084765253</v>
      </c>
      <c r="V57">
        <f t="shared" si="58"/>
        <v>30.169855061627644</v>
      </c>
      <c r="W57">
        <f t="shared" si="59"/>
        <v>29.875900000000001</v>
      </c>
      <c r="X57">
        <f t="shared" si="60"/>
        <v>4.2301745910994422</v>
      </c>
      <c r="Y57">
        <f t="shared" si="61"/>
        <v>65.62365974316981</v>
      </c>
      <c r="Z57">
        <f t="shared" si="62"/>
        <v>2.8581754371196197</v>
      </c>
      <c r="AA57">
        <f t="shared" si="63"/>
        <v>4.3554039020463229</v>
      </c>
      <c r="AB57">
        <f t="shared" si="64"/>
        <v>1.3719991539798224</v>
      </c>
      <c r="AC57">
        <f t="shared" si="65"/>
        <v>-326.53303231443317</v>
      </c>
      <c r="AD57">
        <f t="shared" si="66"/>
        <v>81.49414868244709</v>
      </c>
      <c r="AE57">
        <f t="shared" si="67"/>
        <v>6.1022456544905994</v>
      </c>
      <c r="AF57">
        <f t="shared" si="68"/>
        <v>50.641442870157064</v>
      </c>
      <c r="AG57">
        <v>5</v>
      </c>
      <c r="AH57">
        <v>1</v>
      </c>
      <c r="AI57">
        <f t="shared" si="69"/>
        <v>1</v>
      </c>
      <c r="AJ57">
        <f t="shared" si="70"/>
        <v>0</v>
      </c>
      <c r="AK57">
        <f t="shared" si="71"/>
        <v>51699.012248729763</v>
      </c>
      <c r="AL57" t="s">
        <v>415</v>
      </c>
      <c r="AM57">
        <v>6960.3</v>
      </c>
      <c r="AN57">
        <v>244.8124</v>
      </c>
      <c r="AO57">
        <v>892.86711584811997</v>
      </c>
      <c r="AP57">
        <f t="shared" si="72"/>
        <v>0.72581317459826411</v>
      </c>
      <c r="AQ57">
        <v>-0.43209471141234851</v>
      </c>
      <c r="AR57" t="s">
        <v>598</v>
      </c>
      <c r="AS57">
        <v>7124.7</v>
      </c>
      <c r="AT57">
        <v>760.81219999999996</v>
      </c>
      <c r="AU57">
        <v>817.07426790288014</v>
      </c>
      <c r="AV57">
        <f t="shared" si="73"/>
        <v>6.8857960791353201E-2</v>
      </c>
      <c r="AW57">
        <v>0.5</v>
      </c>
      <c r="AX57">
        <f t="shared" si="74"/>
        <v>1513.2512999210633</v>
      </c>
      <c r="AY57">
        <f t="shared" si="75"/>
        <v>5.5895561404927436</v>
      </c>
      <c r="AZ57">
        <f t="shared" si="76"/>
        <v>52.099699338714416</v>
      </c>
      <c r="BA57">
        <f t="shared" si="77"/>
        <v>3.9792801448240642E-3</v>
      </c>
      <c r="BB57">
        <f t="shared" si="78"/>
        <v>9.2761271432242429E-2</v>
      </c>
      <c r="BC57">
        <f t="shared" si="79"/>
        <v>238.74029869222298</v>
      </c>
      <c r="BD57" t="s">
        <v>599</v>
      </c>
      <c r="BE57">
        <v>520.07000000000005</v>
      </c>
      <c r="BF57">
        <f t="shared" si="80"/>
        <v>520.07000000000005</v>
      </c>
      <c r="BG57">
        <f t="shared" si="81"/>
        <v>0.36349727261045373</v>
      </c>
      <c r="BH57">
        <f t="shared" si="82"/>
        <v>0.18943184991967113</v>
      </c>
      <c r="BI57">
        <f t="shared" si="83"/>
        <v>0.20330856844965065</v>
      </c>
      <c r="BJ57">
        <f t="shared" si="84"/>
        <v>9.8315248767245386E-2</v>
      </c>
      <c r="BK57">
        <f t="shared" si="85"/>
        <v>0.11695439612077889</v>
      </c>
      <c r="BL57">
        <f t="shared" si="86"/>
        <v>0.12949032913473701</v>
      </c>
      <c r="BM57">
        <f t="shared" si="87"/>
        <v>0.87050967086526299</v>
      </c>
      <c r="BN57">
        <v>75</v>
      </c>
      <c r="BO57">
        <v>290.00000000000011</v>
      </c>
      <c r="BP57">
        <v>800.16</v>
      </c>
      <c r="BQ57">
        <v>225</v>
      </c>
      <c r="BR57">
        <v>7124.7</v>
      </c>
      <c r="BS57">
        <v>800.85</v>
      </c>
      <c r="BT57">
        <v>-0.69</v>
      </c>
      <c r="BU57">
        <v>300.00000000000011</v>
      </c>
      <c r="BV57">
        <v>38.200000000000003</v>
      </c>
      <c r="BW57">
        <v>817.07426790288014</v>
      </c>
      <c r="BX57">
        <v>1.379821416053715</v>
      </c>
      <c r="BY57">
        <v>-11.558345204649379</v>
      </c>
      <c r="BZ57">
        <v>0.82383890005257854</v>
      </c>
      <c r="CA57">
        <v>0.87546533600577592</v>
      </c>
      <c r="CB57">
        <v>-7.0292355951056757E-3</v>
      </c>
      <c r="CC57">
        <v>289.99999999999989</v>
      </c>
      <c r="CD57">
        <v>800.29</v>
      </c>
      <c r="CE57">
        <v>665</v>
      </c>
      <c r="CF57">
        <v>7120.23</v>
      </c>
      <c r="CG57">
        <v>800.84</v>
      </c>
      <c r="CH57">
        <v>-0.55000000000000004</v>
      </c>
      <c r="CV57">
        <f t="shared" si="88"/>
        <v>1800.08</v>
      </c>
      <c r="CW57">
        <f t="shared" si="89"/>
        <v>1513.2512999210633</v>
      </c>
      <c r="CX57">
        <f t="shared" si="90"/>
        <v>0.84065780405374391</v>
      </c>
      <c r="CY57">
        <f t="shared" si="91"/>
        <v>0.16086956182372592</v>
      </c>
      <c r="CZ57">
        <v>5.66</v>
      </c>
      <c r="DA57">
        <v>0.5</v>
      </c>
      <c r="DB57" t="s">
        <v>418</v>
      </c>
      <c r="DC57">
        <v>2</v>
      </c>
      <c r="DD57">
        <v>1700157452.0999999</v>
      </c>
      <c r="DE57">
        <v>23.488499999999998</v>
      </c>
      <c r="DF57">
        <v>30.011800000000001</v>
      </c>
      <c r="DG57">
        <v>28.808599999999998</v>
      </c>
      <c r="DH57">
        <v>20.669499999999999</v>
      </c>
      <c r="DI57">
        <v>22.311800000000002</v>
      </c>
      <c r="DJ57">
        <v>28.547499999999999</v>
      </c>
      <c r="DK57">
        <v>500.07299999999998</v>
      </c>
      <c r="DL57">
        <v>99.1126</v>
      </c>
      <c r="DM57">
        <v>9.9976700000000002E-2</v>
      </c>
      <c r="DN57">
        <v>30.3843</v>
      </c>
      <c r="DO57">
        <v>29.875900000000001</v>
      </c>
      <c r="DP57">
        <v>999.9</v>
      </c>
      <c r="DQ57">
        <v>0</v>
      </c>
      <c r="DR57">
        <v>0</v>
      </c>
      <c r="DS57">
        <v>9975</v>
      </c>
      <c r="DT57">
        <v>0</v>
      </c>
      <c r="DU57">
        <v>131.816</v>
      </c>
      <c r="DV57">
        <v>-6.52332</v>
      </c>
      <c r="DW57">
        <v>24.185199999999998</v>
      </c>
      <c r="DX57">
        <v>30.645199999999999</v>
      </c>
      <c r="DY57">
        <v>8.1391200000000001</v>
      </c>
      <c r="DZ57">
        <v>30.011800000000001</v>
      </c>
      <c r="EA57">
        <v>20.669499999999999</v>
      </c>
      <c r="EB57">
        <v>2.8553000000000002</v>
      </c>
      <c r="EC57">
        <v>2.04861</v>
      </c>
      <c r="ED57">
        <v>23.2073</v>
      </c>
      <c r="EE57">
        <v>17.825099999999999</v>
      </c>
      <c r="EF57">
        <v>1800.08</v>
      </c>
      <c r="EG57">
        <v>0.97801000000000005</v>
      </c>
      <c r="EH57">
        <v>2.1990200000000001E-2</v>
      </c>
      <c r="EI57">
        <v>0</v>
      </c>
      <c r="EJ57">
        <v>760.61400000000003</v>
      </c>
      <c r="EK57">
        <v>5.0001199999999999</v>
      </c>
      <c r="EL57">
        <v>13850</v>
      </c>
      <c r="EM57">
        <v>15630.7</v>
      </c>
      <c r="EN57">
        <v>51.686999999999998</v>
      </c>
      <c r="EO57">
        <v>52.811999999999998</v>
      </c>
      <c r="EP57">
        <v>52.686999999999998</v>
      </c>
      <c r="EQ57">
        <v>52.625</v>
      </c>
      <c r="ER57">
        <v>53.25</v>
      </c>
      <c r="ES57">
        <v>1755.61</v>
      </c>
      <c r="ET57">
        <v>39.47</v>
      </c>
      <c r="EU57">
        <v>0</v>
      </c>
      <c r="EV57">
        <v>309.59999990463263</v>
      </c>
      <c r="EW57">
        <v>0</v>
      </c>
      <c r="EX57">
        <v>760.81219999999996</v>
      </c>
      <c r="EY57">
        <v>-0.20076923462318891</v>
      </c>
      <c r="EZ57">
        <v>-135.06923098953661</v>
      </c>
      <c r="FA57">
        <v>13862.984</v>
      </c>
      <c r="FB57">
        <v>15</v>
      </c>
      <c r="FC57">
        <v>1700157387.0999999</v>
      </c>
      <c r="FD57" t="s">
        <v>600</v>
      </c>
      <c r="FE57">
        <v>1700157380.0999999</v>
      </c>
      <c r="FF57">
        <v>1700157387.0999999</v>
      </c>
      <c r="FG57">
        <v>47</v>
      </c>
      <c r="FH57">
        <v>5.7000000000000002E-2</v>
      </c>
      <c r="FI57">
        <v>-8.9999999999999993E-3</v>
      </c>
      <c r="FJ57">
        <v>1.1819999999999999</v>
      </c>
      <c r="FK57">
        <v>0.25900000000000001</v>
      </c>
      <c r="FL57">
        <v>30</v>
      </c>
      <c r="FM57">
        <v>21</v>
      </c>
      <c r="FN57">
        <v>0.4</v>
      </c>
      <c r="FO57">
        <v>0.01</v>
      </c>
      <c r="FP57">
        <v>5.5751821471363829</v>
      </c>
      <c r="FQ57">
        <v>-0.1006245295934553</v>
      </c>
      <c r="FR57">
        <v>1.473174792130217E-2</v>
      </c>
      <c r="FS57">
        <v>1</v>
      </c>
      <c r="FT57">
        <v>0.57159040615921775</v>
      </c>
      <c r="FU57">
        <v>3.73739427484268E-2</v>
      </c>
      <c r="FV57">
        <v>4.0827406528510619E-3</v>
      </c>
      <c r="FW57">
        <v>1</v>
      </c>
      <c r="FX57">
        <v>2</v>
      </c>
      <c r="FY57">
        <v>2</v>
      </c>
      <c r="FZ57" t="s">
        <v>420</v>
      </c>
      <c r="GA57">
        <v>2.9125700000000001</v>
      </c>
      <c r="GB57">
        <v>2.7507600000000001</v>
      </c>
      <c r="GC57">
        <v>6.17192E-3</v>
      </c>
      <c r="GD57">
        <v>8.4775000000000007E-3</v>
      </c>
      <c r="GE57">
        <v>0.13003600000000001</v>
      </c>
      <c r="GF57">
        <v>0.105235</v>
      </c>
      <c r="GG57">
        <v>30768.3</v>
      </c>
      <c r="GH57">
        <v>30531.4</v>
      </c>
      <c r="GI57">
        <v>28208.5</v>
      </c>
      <c r="GJ57">
        <v>28165.9</v>
      </c>
      <c r="GK57">
        <v>33449.599999999999</v>
      </c>
      <c r="GL57">
        <v>35206.5</v>
      </c>
      <c r="GM57">
        <v>42382.9</v>
      </c>
      <c r="GN57">
        <v>43791.6</v>
      </c>
      <c r="GO57">
        <v>1.7454499999999999</v>
      </c>
      <c r="GP57">
        <v>1.8396999999999999</v>
      </c>
      <c r="GQ57">
        <v>-3.2484499999999999E-2</v>
      </c>
      <c r="GR57">
        <v>0</v>
      </c>
      <c r="GS57">
        <v>30.404399999999999</v>
      </c>
      <c r="GT57">
        <v>999.9</v>
      </c>
      <c r="GU57">
        <v>27.6</v>
      </c>
      <c r="GV57">
        <v>45</v>
      </c>
      <c r="GW57">
        <v>26.840299999999999</v>
      </c>
      <c r="GX57">
        <v>61.226900000000001</v>
      </c>
      <c r="GY57">
        <v>30.508800000000001</v>
      </c>
      <c r="GZ57">
        <v>1</v>
      </c>
      <c r="HA57">
        <v>0.66174299999999997</v>
      </c>
      <c r="HB57">
        <v>3.0232600000000001</v>
      </c>
      <c r="HC57">
        <v>20.237100000000002</v>
      </c>
      <c r="HD57">
        <v>5.2758399999999996</v>
      </c>
      <c r="HE57">
        <v>12.0878</v>
      </c>
      <c r="HF57">
        <v>5.0128500000000003</v>
      </c>
      <c r="HG57">
        <v>3.2919800000000001</v>
      </c>
      <c r="HH57">
        <v>9999</v>
      </c>
      <c r="HI57">
        <v>9999</v>
      </c>
      <c r="HJ57">
        <v>9999</v>
      </c>
      <c r="HK57">
        <v>999.9</v>
      </c>
      <c r="HL57">
        <v>1.8765400000000001</v>
      </c>
      <c r="HM57">
        <v>1.8772599999999999</v>
      </c>
      <c r="HN57">
        <v>1.8769499999999999</v>
      </c>
      <c r="HO57">
        <v>1.8806499999999999</v>
      </c>
      <c r="HP57">
        <v>1.87439</v>
      </c>
      <c r="HQ57">
        <v>1.8773</v>
      </c>
      <c r="HR57">
        <v>1.87723</v>
      </c>
      <c r="HS57">
        <v>1.87866</v>
      </c>
      <c r="HT57">
        <v>0</v>
      </c>
      <c r="HU57">
        <v>0</v>
      </c>
      <c r="HV57">
        <v>0</v>
      </c>
      <c r="HW57">
        <v>0</v>
      </c>
      <c r="HX57" t="s">
        <v>421</v>
      </c>
      <c r="HY57" t="s">
        <v>422</v>
      </c>
      <c r="HZ57" t="s">
        <v>423</v>
      </c>
      <c r="IA57" t="s">
        <v>424</v>
      </c>
      <c r="IB57" t="s">
        <v>424</v>
      </c>
      <c r="IC57" t="s">
        <v>423</v>
      </c>
      <c r="ID57">
        <v>0</v>
      </c>
      <c r="IE57">
        <v>100</v>
      </c>
      <c r="IF57">
        <v>100</v>
      </c>
      <c r="IG57">
        <v>1.177</v>
      </c>
      <c r="IH57">
        <v>0.2611</v>
      </c>
      <c r="II57">
        <v>1.157077471450942</v>
      </c>
      <c r="IJ57">
        <v>8.9576739069318506E-4</v>
      </c>
      <c r="IK57">
        <v>-7.2130504814809596E-7</v>
      </c>
      <c r="IL57">
        <v>1.9987036519832741E-10</v>
      </c>
      <c r="IM57">
        <v>0.26110968336128709</v>
      </c>
      <c r="IN57">
        <v>0</v>
      </c>
      <c r="IO57">
        <v>0</v>
      </c>
      <c r="IP57">
        <v>0</v>
      </c>
      <c r="IQ57">
        <v>1</v>
      </c>
      <c r="IR57">
        <v>2126</v>
      </c>
      <c r="IS57">
        <v>0</v>
      </c>
      <c r="IT57">
        <v>20</v>
      </c>
      <c r="IU57">
        <v>1.2</v>
      </c>
      <c r="IV57">
        <v>1.1000000000000001</v>
      </c>
      <c r="IW57">
        <v>0.223389</v>
      </c>
      <c r="IX57">
        <v>2.7502399999999998</v>
      </c>
      <c r="IY57">
        <v>1.69434</v>
      </c>
      <c r="IZ57">
        <v>2.3315399999999999</v>
      </c>
      <c r="JA57">
        <v>1.5466299999999999</v>
      </c>
      <c r="JB57">
        <v>2.49634</v>
      </c>
      <c r="JC57">
        <v>48.393000000000001</v>
      </c>
      <c r="JD57">
        <v>23.763500000000001</v>
      </c>
      <c r="JE57">
        <v>18</v>
      </c>
      <c r="JF57">
        <v>497.37400000000002</v>
      </c>
      <c r="JG57">
        <v>463.42099999999999</v>
      </c>
      <c r="JH57">
        <v>26.863800000000001</v>
      </c>
      <c r="JI57">
        <v>35.315300000000001</v>
      </c>
      <c r="JJ57">
        <v>30.0001</v>
      </c>
      <c r="JK57">
        <v>35.271500000000003</v>
      </c>
      <c r="JL57">
        <v>35.225900000000003</v>
      </c>
      <c r="JM57">
        <v>4.5436300000000003</v>
      </c>
      <c r="JN57">
        <v>15.3088</v>
      </c>
      <c r="JO57">
        <v>30.0442</v>
      </c>
      <c r="JP57">
        <v>26.885000000000002</v>
      </c>
      <c r="JQ57">
        <v>30</v>
      </c>
      <c r="JR57">
        <v>20.706299999999999</v>
      </c>
      <c r="JS57">
        <v>98.816100000000006</v>
      </c>
      <c r="JT57">
        <v>98.657300000000006</v>
      </c>
    </row>
    <row r="58" spans="1:280" x14ac:dyDescent="0.25">
      <c r="A58">
        <v>42</v>
      </c>
      <c r="B58">
        <v>1700157575.5999999</v>
      </c>
      <c r="C58">
        <v>10046</v>
      </c>
      <c r="D58" t="s">
        <v>601</v>
      </c>
      <c r="E58" t="s">
        <v>602</v>
      </c>
      <c r="F58" t="s">
        <v>412</v>
      </c>
      <c r="G58" t="s">
        <v>546</v>
      </c>
      <c r="H58" t="s">
        <v>547</v>
      </c>
      <c r="I58">
        <v>1700157575.5999999</v>
      </c>
      <c r="J58">
        <f t="shared" si="46"/>
        <v>7.1042906779953075E-3</v>
      </c>
      <c r="K58">
        <f t="shared" si="47"/>
        <v>7.1042906779953077</v>
      </c>
      <c r="L58">
        <f t="shared" si="48"/>
        <v>1.8482024623839874</v>
      </c>
      <c r="M58">
        <f t="shared" si="49"/>
        <v>7.8534800000000002</v>
      </c>
      <c r="N58">
        <f t="shared" si="50"/>
        <v>1.8476503520663514</v>
      </c>
      <c r="O58">
        <f t="shared" si="51"/>
        <v>0.18330553184992948</v>
      </c>
      <c r="P58">
        <f t="shared" si="52"/>
        <v>0.77914434766448004</v>
      </c>
      <c r="Q58">
        <f t="shared" si="53"/>
        <v>0.54492249594041542</v>
      </c>
      <c r="R58">
        <f t="shared" si="54"/>
        <v>2.9784569110533825</v>
      </c>
      <c r="S58">
        <f t="shared" si="55"/>
        <v>0.49498938505583506</v>
      </c>
      <c r="T58">
        <f t="shared" si="56"/>
        <v>0.31347247552964363</v>
      </c>
      <c r="U58">
        <f t="shared" si="57"/>
        <v>289.53659754515246</v>
      </c>
      <c r="V58">
        <f t="shared" si="58"/>
        <v>30.492254889910967</v>
      </c>
      <c r="W58">
        <f t="shared" si="59"/>
        <v>29.984100000000002</v>
      </c>
      <c r="X58">
        <f t="shared" si="60"/>
        <v>4.2565603243340924</v>
      </c>
      <c r="Y58">
        <f t="shared" si="61"/>
        <v>65.290156307721119</v>
      </c>
      <c r="Z58">
        <f t="shared" si="62"/>
        <v>2.8838980152136</v>
      </c>
      <c r="AA58">
        <f t="shared" si="63"/>
        <v>4.4170487226610513</v>
      </c>
      <c r="AB58">
        <f t="shared" si="64"/>
        <v>1.3726623091204924</v>
      </c>
      <c r="AC58">
        <f t="shared" si="65"/>
        <v>-313.29921889959309</v>
      </c>
      <c r="AD58">
        <f t="shared" si="66"/>
        <v>103.69905665290852</v>
      </c>
      <c r="AE58">
        <f t="shared" si="67"/>
        <v>7.7650183165036513</v>
      </c>
      <c r="AF58">
        <f t="shared" si="68"/>
        <v>87.701453614971541</v>
      </c>
      <c r="AG58">
        <v>5</v>
      </c>
      <c r="AH58">
        <v>1</v>
      </c>
      <c r="AI58">
        <f t="shared" si="69"/>
        <v>1</v>
      </c>
      <c r="AJ58">
        <f t="shared" si="70"/>
        <v>0</v>
      </c>
      <c r="AK58">
        <f t="shared" si="71"/>
        <v>51798.966722206882</v>
      </c>
      <c r="AL58" t="s">
        <v>427</v>
      </c>
      <c r="AM58" t="s">
        <v>427</v>
      </c>
      <c r="AN58">
        <v>0</v>
      </c>
      <c r="AO58">
        <v>0</v>
      </c>
      <c r="AP58" t="e">
        <f t="shared" si="72"/>
        <v>#DIV/0!</v>
      </c>
      <c r="AQ58">
        <v>0</v>
      </c>
      <c r="AR58" t="s">
        <v>427</v>
      </c>
      <c r="AS58" t="s">
        <v>427</v>
      </c>
      <c r="AT58">
        <v>0</v>
      </c>
      <c r="AU58">
        <v>0</v>
      </c>
      <c r="AV58" t="e">
        <f t="shared" si="73"/>
        <v>#DIV/0!</v>
      </c>
      <c r="AW58">
        <v>0.5</v>
      </c>
      <c r="AX58">
        <f t="shared" si="74"/>
        <v>1513.032906500079</v>
      </c>
      <c r="AY58">
        <f t="shared" si="75"/>
        <v>1.8482024623839874</v>
      </c>
      <c r="AZ58" t="e">
        <f t="shared" si="76"/>
        <v>#DIV/0!</v>
      </c>
      <c r="BA58">
        <f t="shared" si="77"/>
        <v>1.2215216565641105E-3</v>
      </c>
      <c r="BB58" t="e">
        <f t="shared" si="78"/>
        <v>#DIV/0!</v>
      </c>
      <c r="BC58" t="e">
        <f t="shared" si="79"/>
        <v>#DIV/0!</v>
      </c>
      <c r="BD58" t="s">
        <v>427</v>
      </c>
      <c r="BE58">
        <v>0</v>
      </c>
      <c r="BF58" t="e">
        <f t="shared" si="80"/>
        <v>#DIV/0!</v>
      </c>
      <c r="BG58" t="e">
        <f t="shared" si="81"/>
        <v>#DIV/0!</v>
      </c>
      <c r="BH58" t="e">
        <f t="shared" si="82"/>
        <v>#DIV/0!</v>
      </c>
      <c r="BI58" t="e">
        <f t="shared" si="83"/>
        <v>#DIV/0!</v>
      </c>
      <c r="BJ58" t="e">
        <f t="shared" si="84"/>
        <v>#DIV/0!</v>
      </c>
      <c r="BK58" t="e">
        <f t="shared" si="85"/>
        <v>#DIV/0!</v>
      </c>
      <c r="BL58" t="e">
        <f t="shared" si="86"/>
        <v>#DIV/0!</v>
      </c>
      <c r="BM58" t="e">
        <f t="shared" si="87"/>
        <v>#DIV/0!</v>
      </c>
      <c r="BN58">
        <v>75</v>
      </c>
      <c r="BO58">
        <v>290.00000000000011</v>
      </c>
      <c r="BP58">
        <v>800.16</v>
      </c>
      <c r="BQ58">
        <v>225</v>
      </c>
      <c r="BR58">
        <v>7124.7</v>
      </c>
      <c r="BS58">
        <v>800.85</v>
      </c>
      <c r="BT58">
        <v>-0.69</v>
      </c>
      <c r="BU58">
        <v>300.00000000000011</v>
      </c>
      <c r="BV58">
        <v>38.200000000000003</v>
      </c>
      <c r="BW58">
        <v>817.07426790288014</v>
      </c>
      <c r="BX58">
        <v>1.379821416053715</v>
      </c>
      <c r="BY58">
        <v>-11.558345204649379</v>
      </c>
      <c r="BZ58">
        <v>0.82383890005257854</v>
      </c>
      <c r="CA58">
        <v>0.87546533600577592</v>
      </c>
      <c r="CB58">
        <v>-7.0292355951056757E-3</v>
      </c>
      <c r="CC58">
        <v>289.99999999999989</v>
      </c>
      <c r="CD58">
        <v>800.29</v>
      </c>
      <c r="CE58">
        <v>665</v>
      </c>
      <c r="CF58">
        <v>7120.23</v>
      </c>
      <c r="CG58">
        <v>800.84</v>
      </c>
      <c r="CH58">
        <v>-0.55000000000000004</v>
      </c>
      <c r="CV58">
        <f t="shared" si="88"/>
        <v>1799.82</v>
      </c>
      <c r="CW58">
        <f t="shared" si="89"/>
        <v>1513.032906500079</v>
      </c>
      <c r="CX58">
        <f t="shared" si="90"/>
        <v>0.84065790273476182</v>
      </c>
      <c r="CY58">
        <f t="shared" si="91"/>
        <v>0.16086975227809031</v>
      </c>
      <c r="CZ58">
        <v>5.66</v>
      </c>
      <c r="DA58">
        <v>0.5</v>
      </c>
      <c r="DB58" t="s">
        <v>418</v>
      </c>
      <c r="DC58">
        <v>2</v>
      </c>
      <c r="DD58">
        <v>1700157575.5999999</v>
      </c>
      <c r="DE58">
        <v>7.8534800000000002</v>
      </c>
      <c r="DF58">
        <v>10.0082</v>
      </c>
      <c r="DG58">
        <v>29.0686</v>
      </c>
      <c r="DH58">
        <v>21.262499999999999</v>
      </c>
      <c r="DI58">
        <v>6.7141900000000003</v>
      </c>
      <c r="DJ58">
        <v>28.806899999999999</v>
      </c>
      <c r="DK58">
        <v>500.14</v>
      </c>
      <c r="DL58">
        <v>99.110100000000003</v>
      </c>
      <c r="DM58">
        <v>9.9975999999999995E-2</v>
      </c>
      <c r="DN58">
        <v>30.629899999999999</v>
      </c>
      <c r="DO58">
        <v>29.984100000000002</v>
      </c>
      <c r="DP58">
        <v>999.9</v>
      </c>
      <c r="DQ58">
        <v>0</v>
      </c>
      <c r="DR58">
        <v>0</v>
      </c>
      <c r="DS58">
        <v>10003.799999999999</v>
      </c>
      <c r="DT58">
        <v>0</v>
      </c>
      <c r="DU58">
        <v>141.792</v>
      </c>
      <c r="DV58">
        <v>-2.15469</v>
      </c>
      <c r="DW58">
        <v>8.0885999999999996</v>
      </c>
      <c r="DX58">
        <v>10.2256</v>
      </c>
      <c r="DY58">
        <v>7.8061299999999996</v>
      </c>
      <c r="DZ58">
        <v>10.0082</v>
      </c>
      <c r="EA58">
        <v>21.262499999999999</v>
      </c>
      <c r="EB58">
        <v>2.8809900000000002</v>
      </c>
      <c r="EC58">
        <v>2.1073200000000001</v>
      </c>
      <c r="ED58">
        <v>23.355599999999999</v>
      </c>
      <c r="EE58">
        <v>18.2746</v>
      </c>
      <c r="EF58">
        <v>1799.82</v>
      </c>
      <c r="EG58">
        <v>0.97800600000000004</v>
      </c>
      <c r="EH58">
        <v>2.1993599999999999E-2</v>
      </c>
      <c r="EI58">
        <v>0</v>
      </c>
      <c r="EJ58">
        <v>765.67</v>
      </c>
      <c r="EK58">
        <v>5.0001199999999999</v>
      </c>
      <c r="EL58">
        <v>13922.3</v>
      </c>
      <c r="EM58">
        <v>15628.5</v>
      </c>
      <c r="EN58">
        <v>51.561999999999998</v>
      </c>
      <c r="EO58">
        <v>52.686999999999998</v>
      </c>
      <c r="EP58">
        <v>52.561999999999998</v>
      </c>
      <c r="EQ58">
        <v>52.5</v>
      </c>
      <c r="ER58">
        <v>53.125</v>
      </c>
      <c r="ES58">
        <v>1755.34</v>
      </c>
      <c r="ET58">
        <v>39.47</v>
      </c>
      <c r="EU58">
        <v>0</v>
      </c>
      <c r="EV58">
        <v>121.3999998569489</v>
      </c>
      <c r="EW58">
        <v>0</v>
      </c>
      <c r="EX58">
        <v>765.76296153846147</v>
      </c>
      <c r="EY58">
        <v>-2.4577435871353859</v>
      </c>
      <c r="EZ58">
        <v>-71.258119732356775</v>
      </c>
      <c r="FA58">
        <v>13934.565384615389</v>
      </c>
      <c r="FB58">
        <v>15</v>
      </c>
      <c r="FC58">
        <v>1700157534.5999999</v>
      </c>
      <c r="FD58" t="s">
        <v>603</v>
      </c>
      <c r="FE58">
        <v>1700157531.5999999</v>
      </c>
      <c r="FF58">
        <v>1700157534.5999999</v>
      </c>
      <c r="FG58">
        <v>48</v>
      </c>
      <c r="FH58">
        <v>-2.4E-2</v>
      </c>
      <c r="FI58">
        <v>1E-3</v>
      </c>
      <c r="FJ58">
        <v>1.141</v>
      </c>
      <c r="FK58">
        <v>0.255</v>
      </c>
      <c r="FL58">
        <v>10</v>
      </c>
      <c r="FM58">
        <v>20</v>
      </c>
      <c r="FN58">
        <v>0.19</v>
      </c>
      <c r="FO58">
        <v>0.01</v>
      </c>
      <c r="FP58">
        <v>1.852032175479787</v>
      </c>
      <c r="FQ58">
        <v>-0.35467293600893302</v>
      </c>
      <c r="FR58">
        <v>3.8729544769752218E-2</v>
      </c>
      <c r="FS58">
        <v>1</v>
      </c>
      <c r="FT58">
        <v>0.54041603446449826</v>
      </c>
      <c r="FU58">
        <v>3.9312050517944772E-2</v>
      </c>
      <c r="FV58">
        <v>3.6986186884619219E-3</v>
      </c>
      <c r="FW58">
        <v>1</v>
      </c>
      <c r="FX58">
        <v>2</v>
      </c>
      <c r="FY58">
        <v>2</v>
      </c>
      <c r="FZ58" t="s">
        <v>420</v>
      </c>
      <c r="GA58">
        <v>2.9128099999999999</v>
      </c>
      <c r="GB58">
        <v>2.75101</v>
      </c>
      <c r="GC58">
        <v>1.8625899999999999E-3</v>
      </c>
      <c r="GD58">
        <v>2.8400600000000002E-3</v>
      </c>
      <c r="GE58">
        <v>0.13084699999999999</v>
      </c>
      <c r="GF58">
        <v>0.10735500000000001</v>
      </c>
      <c r="GG58">
        <v>30902.9</v>
      </c>
      <c r="GH58">
        <v>30705.599999999999</v>
      </c>
      <c r="GI58">
        <v>28209.7</v>
      </c>
      <c r="GJ58">
        <v>28166.6</v>
      </c>
      <c r="GK58">
        <v>33420.300000000003</v>
      </c>
      <c r="GL58">
        <v>35123.800000000003</v>
      </c>
      <c r="GM58">
        <v>42385.5</v>
      </c>
      <c r="GN58">
        <v>43792.6</v>
      </c>
      <c r="GO58">
        <v>1.74553</v>
      </c>
      <c r="GP58">
        <v>1.8415299999999999</v>
      </c>
      <c r="GQ58">
        <v>3.9115499999999997E-3</v>
      </c>
      <c r="GR58">
        <v>0</v>
      </c>
      <c r="GS58">
        <v>29.920500000000001</v>
      </c>
      <c r="GT58">
        <v>999.9</v>
      </c>
      <c r="GU58">
        <v>27.3</v>
      </c>
      <c r="GV58">
        <v>44.9</v>
      </c>
      <c r="GW58">
        <v>26.413</v>
      </c>
      <c r="GX58">
        <v>61.0169</v>
      </c>
      <c r="GY58">
        <v>30.777200000000001</v>
      </c>
      <c r="GZ58">
        <v>1</v>
      </c>
      <c r="HA58">
        <v>0.66004799999999997</v>
      </c>
      <c r="HB58">
        <v>3.07368</v>
      </c>
      <c r="HC58">
        <v>20.234999999999999</v>
      </c>
      <c r="HD58">
        <v>5.2768899999999999</v>
      </c>
      <c r="HE58">
        <v>12.0878</v>
      </c>
      <c r="HF58">
        <v>5.0134999999999996</v>
      </c>
      <c r="HG58">
        <v>3.2919999999999998</v>
      </c>
      <c r="HH58">
        <v>9999</v>
      </c>
      <c r="HI58">
        <v>9999</v>
      </c>
      <c r="HJ58">
        <v>9999</v>
      </c>
      <c r="HK58">
        <v>999.9</v>
      </c>
      <c r="HL58">
        <v>1.8765400000000001</v>
      </c>
      <c r="HM58">
        <v>1.8772500000000001</v>
      </c>
      <c r="HN58">
        <v>1.87693</v>
      </c>
      <c r="HO58">
        <v>1.8806499999999999</v>
      </c>
      <c r="HP58">
        <v>1.87439</v>
      </c>
      <c r="HQ58">
        <v>1.87734</v>
      </c>
      <c r="HR58">
        <v>1.87717</v>
      </c>
      <c r="HS58">
        <v>1.87866</v>
      </c>
      <c r="HT58">
        <v>0</v>
      </c>
      <c r="HU58">
        <v>0</v>
      </c>
      <c r="HV58">
        <v>0</v>
      </c>
      <c r="HW58">
        <v>0</v>
      </c>
      <c r="HX58" t="s">
        <v>421</v>
      </c>
      <c r="HY58" t="s">
        <v>422</v>
      </c>
      <c r="HZ58" t="s">
        <v>423</v>
      </c>
      <c r="IA58" t="s">
        <v>424</v>
      </c>
      <c r="IB58" t="s">
        <v>424</v>
      </c>
      <c r="IC58" t="s">
        <v>423</v>
      </c>
      <c r="ID58">
        <v>0</v>
      </c>
      <c r="IE58">
        <v>100</v>
      </c>
      <c r="IF58">
        <v>100</v>
      </c>
      <c r="IG58">
        <v>1.139</v>
      </c>
      <c r="IH58">
        <v>0.26169999999999999</v>
      </c>
      <c r="II58">
        <v>1.133308344309407</v>
      </c>
      <c r="IJ58">
        <v>8.9576739069318506E-4</v>
      </c>
      <c r="IK58">
        <v>-7.2130504814809596E-7</v>
      </c>
      <c r="IL58">
        <v>1.9987036519832741E-10</v>
      </c>
      <c r="IM58">
        <v>0.261683578986175</v>
      </c>
      <c r="IN58">
        <v>0</v>
      </c>
      <c r="IO58">
        <v>0</v>
      </c>
      <c r="IP58">
        <v>0</v>
      </c>
      <c r="IQ58">
        <v>1</v>
      </c>
      <c r="IR58">
        <v>2126</v>
      </c>
      <c r="IS58">
        <v>0</v>
      </c>
      <c r="IT58">
        <v>20</v>
      </c>
      <c r="IU58">
        <v>0.7</v>
      </c>
      <c r="IV58">
        <v>0.7</v>
      </c>
      <c r="IW58">
        <v>0.17822299999999999</v>
      </c>
      <c r="IX58">
        <v>2.7673299999999998</v>
      </c>
      <c r="IY58">
        <v>1.69434</v>
      </c>
      <c r="IZ58">
        <v>2.3327599999999999</v>
      </c>
      <c r="JA58">
        <v>1.5466299999999999</v>
      </c>
      <c r="JB58">
        <v>2.4145500000000002</v>
      </c>
      <c r="JC58">
        <v>48.270299999999999</v>
      </c>
      <c r="JD58">
        <v>23.754799999999999</v>
      </c>
      <c r="JE58">
        <v>18</v>
      </c>
      <c r="JF58">
        <v>497.25099999999998</v>
      </c>
      <c r="JG58">
        <v>464.50099999999998</v>
      </c>
      <c r="JH58">
        <v>27.239799999999999</v>
      </c>
      <c r="JI58">
        <v>35.267099999999999</v>
      </c>
      <c r="JJ58">
        <v>29.999700000000001</v>
      </c>
      <c r="JK58">
        <v>35.250100000000003</v>
      </c>
      <c r="JL58">
        <v>35.203400000000002</v>
      </c>
      <c r="JM58">
        <v>3.6527500000000002</v>
      </c>
      <c r="JN58">
        <v>8.76478</v>
      </c>
      <c r="JO58">
        <v>29.5091</v>
      </c>
      <c r="JP58">
        <v>27.238099999999999</v>
      </c>
      <c r="JQ58">
        <v>10</v>
      </c>
      <c r="JR58">
        <v>21.217099999999999</v>
      </c>
      <c r="JS58">
        <v>98.821299999999994</v>
      </c>
      <c r="JT58">
        <v>98.659800000000004</v>
      </c>
    </row>
    <row r="59" spans="1:280" x14ac:dyDescent="0.25">
      <c r="A59">
        <v>57</v>
      </c>
      <c r="B59">
        <v>1700163553.5</v>
      </c>
      <c r="C59">
        <v>16023.900000095369</v>
      </c>
      <c r="D59" t="s">
        <v>604</v>
      </c>
      <c r="E59" t="s">
        <v>605</v>
      </c>
      <c r="F59" t="s">
        <v>412</v>
      </c>
      <c r="G59" t="s">
        <v>413</v>
      </c>
      <c r="H59" t="s">
        <v>606</v>
      </c>
      <c r="I59">
        <v>1700163553.5</v>
      </c>
      <c r="J59">
        <f t="shared" si="46"/>
        <v>4.4543352633878578E-3</v>
      </c>
      <c r="K59">
        <f t="shared" si="47"/>
        <v>4.4543352633878577</v>
      </c>
      <c r="L59">
        <f t="shared" si="48"/>
        <v>52.293726449577846</v>
      </c>
      <c r="M59">
        <f t="shared" si="49"/>
        <v>393.99</v>
      </c>
      <c r="N59">
        <f t="shared" si="50"/>
        <v>106.7619492822032</v>
      </c>
      <c r="O59">
        <f t="shared" si="51"/>
        <v>10.570070561299231</v>
      </c>
      <c r="P59">
        <f t="shared" si="52"/>
        <v>39.007362908280001</v>
      </c>
      <c r="Q59">
        <f t="shared" si="53"/>
        <v>0.31180546646514007</v>
      </c>
      <c r="R59">
        <f t="shared" si="54"/>
        <v>3.0762918496083276</v>
      </c>
      <c r="S59">
        <f t="shared" si="55"/>
        <v>0.29525158622328274</v>
      </c>
      <c r="T59">
        <f t="shared" si="56"/>
        <v>0.18594627108687739</v>
      </c>
      <c r="U59">
        <f t="shared" si="57"/>
        <v>289.56922484749225</v>
      </c>
      <c r="V59">
        <f t="shared" si="58"/>
        <v>30.711834748336393</v>
      </c>
      <c r="W59">
        <f t="shared" si="59"/>
        <v>29.981400000000001</v>
      </c>
      <c r="X59">
        <f t="shared" si="60"/>
        <v>4.2559001594683279</v>
      </c>
      <c r="Y59">
        <f t="shared" si="61"/>
        <v>65.376420684513121</v>
      </c>
      <c r="Z59">
        <f t="shared" si="62"/>
        <v>2.8155813347220002</v>
      </c>
      <c r="AA59">
        <f t="shared" si="63"/>
        <v>4.3067229824482842</v>
      </c>
      <c r="AB59">
        <f t="shared" si="64"/>
        <v>1.4403188247463277</v>
      </c>
      <c r="AC59">
        <f t="shared" si="65"/>
        <v>-196.43618511540453</v>
      </c>
      <c r="AD59">
        <f t="shared" si="66"/>
        <v>34.297582753349815</v>
      </c>
      <c r="AE59">
        <f t="shared" si="67"/>
        <v>2.4810739334934246</v>
      </c>
      <c r="AF59">
        <f t="shared" si="68"/>
        <v>129.91169641893094</v>
      </c>
      <c r="AG59">
        <v>4</v>
      </c>
      <c r="AH59">
        <v>1</v>
      </c>
      <c r="AI59">
        <f t="shared" si="69"/>
        <v>1</v>
      </c>
      <c r="AJ59">
        <f t="shared" si="70"/>
        <v>0</v>
      </c>
      <c r="AK59">
        <f t="shared" si="71"/>
        <v>51677.303604077511</v>
      </c>
      <c r="AL59" t="s">
        <v>415</v>
      </c>
      <c r="AM59">
        <v>6960.3</v>
      </c>
      <c r="AN59">
        <v>244.8124</v>
      </c>
      <c r="AO59">
        <v>892.86711584811997</v>
      </c>
      <c r="AP59">
        <f t="shared" si="72"/>
        <v>0.72581317459826411</v>
      </c>
      <c r="AQ59">
        <v>-0.43209471141234851</v>
      </c>
      <c r="AR59" t="s">
        <v>607</v>
      </c>
      <c r="AS59">
        <v>7137.66</v>
      </c>
      <c r="AT59">
        <v>609.55255999999997</v>
      </c>
      <c r="AU59">
        <v>913.79520147123822</v>
      </c>
      <c r="AV59">
        <f t="shared" si="73"/>
        <v>0.33294401303639842</v>
      </c>
      <c r="AW59">
        <v>0.5</v>
      </c>
      <c r="AX59">
        <f t="shared" si="74"/>
        <v>1513.1936999209804</v>
      </c>
      <c r="AY59">
        <f t="shared" si="75"/>
        <v>52.293726449577846</v>
      </c>
      <c r="AZ59">
        <f t="shared" si="76"/>
        <v>251.90439147654342</v>
      </c>
      <c r="BA59">
        <f t="shared" si="77"/>
        <v>3.4844066006713852E-2</v>
      </c>
      <c r="BB59">
        <f t="shared" si="78"/>
        <v>-2.2902380740699221E-2</v>
      </c>
      <c r="BC59">
        <f t="shared" si="79"/>
        <v>246.35942164245159</v>
      </c>
      <c r="BD59" t="s">
        <v>608</v>
      </c>
      <c r="BE59">
        <v>447.36</v>
      </c>
      <c r="BF59">
        <f t="shared" si="80"/>
        <v>447.36</v>
      </c>
      <c r="BG59">
        <f t="shared" si="81"/>
        <v>0.51043735042629157</v>
      </c>
      <c r="BH59">
        <f t="shared" si="82"/>
        <v>0.65227204231496827</v>
      </c>
      <c r="BI59">
        <f t="shared" si="83"/>
        <v>-4.6975872839375585E-2</v>
      </c>
      <c r="BJ59">
        <f t="shared" si="84"/>
        <v>0.4547839508013401</v>
      </c>
      <c r="BK59">
        <f t="shared" si="85"/>
        <v>-3.2293701613959121E-2</v>
      </c>
      <c r="BL59">
        <f t="shared" si="86"/>
        <v>0.47871248518753534</v>
      </c>
      <c r="BM59">
        <f t="shared" si="87"/>
        <v>0.52128751481246471</v>
      </c>
      <c r="BN59">
        <v>95</v>
      </c>
      <c r="BO59">
        <v>290.00000000000011</v>
      </c>
      <c r="BP59">
        <v>824.48</v>
      </c>
      <c r="BQ59">
        <v>295</v>
      </c>
      <c r="BR59">
        <v>7137.66</v>
      </c>
      <c r="BS59">
        <v>826.66</v>
      </c>
      <c r="BT59">
        <v>-2.1800000000000002</v>
      </c>
      <c r="BU59">
        <v>300.00000000000011</v>
      </c>
      <c r="BV59">
        <v>38.200000000000003</v>
      </c>
      <c r="BW59">
        <v>913.79520147123822</v>
      </c>
      <c r="BX59">
        <v>1.416469973471929</v>
      </c>
      <c r="BY59">
        <v>-62.197016857517212</v>
      </c>
      <c r="BZ59">
        <v>0.84744587813760341</v>
      </c>
      <c r="CA59">
        <v>0.99482880143339159</v>
      </c>
      <c r="CB59">
        <v>-7.0438858731924434E-3</v>
      </c>
      <c r="CC59">
        <v>289.99999999999989</v>
      </c>
      <c r="CD59">
        <v>834.17</v>
      </c>
      <c r="CE59">
        <v>855</v>
      </c>
      <c r="CF59">
        <v>7132.18</v>
      </c>
      <c r="CG59">
        <v>826.59</v>
      </c>
      <c r="CH59">
        <v>7.58</v>
      </c>
      <c r="CV59">
        <f t="shared" si="88"/>
        <v>1800.01</v>
      </c>
      <c r="CW59">
        <f t="shared" si="89"/>
        <v>1513.1936999209804</v>
      </c>
      <c r="CX59">
        <f t="shared" si="90"/>
        <v>0.84065849629778744</v>
      </c>
      <c r="CY59">
        <f t="shared" si="91"/>
        <v>0.16087089785472983</v>
      </c>
      <c r="CZ59">
        <v>5.18</v>
      </c>
      <c r="DA59">
        <v>0.5</v>
      </c>
      <c r="DB59" t="s">
        <v>418</v>
      </c>
      <c r="DC59">
        <v>2</v>
      </c>
      <c r="DD59">
        <v>1700163553.5</v>
      </c>
      <c r="DE59">
        <v>393.99</v>
      </c>
      <c r="DF59">
        <v>449.97</v>
      </c>
      <c r="DG59">
        <v>28.438500000000001</v>
      </c>
      <c r="DH59">
        <v>23.956199999999999</v>
      </c>
      <c r="DI59">
        <v>392.375</v>
      </c>
      <c r="DJ59">
        <v>28.1325</v>
      </c>
      <c r="DK59">
        <v>500.12900000000002</v>
      </c>
      <c r="DL59">
        <v>98.905900000000003</v>
      </c>
      <c r="DM59">
        <v>0.10007199999999999</v>
      </c>
      <c r="DN59">
        <v>30.188199999999998</v>
      </c>
      <c r="DO59">
        <v>29.981400000000001</v>
      </c>
      <c r="DP59">
        <v>999.9</v>
      </c>
      <c r="DQ59">
        <v>0</v>
      </c>
      <c r="DR59">
        <v>0</v>
      </c>
      <c r="DS59">
        <v>9985.6200000000008</v>
      </c>
      <c r="DT59">
        <v>0</v>
      </c>
      <c r="DU59">
        <v>300.892</v>
      </c>
      <c r="DV59">
        <v>-55.9803</v>
      </c>
      <c r="DW59">
        <v>405.52300000000002</v>
      </c>
      <c r="DX59">
        <v>461.01499999999999</v>
      </c>
      <c r="DY59">
        <v>4.4822899999999999</v>
      </c>
      <c r="DZ59">
        <v>449.97</v>
      </c>
      <c r="EA59">
        <v>23.956199999999999</v>
      </c>
      <c r="EB59">
        <v>2.8127399999999998</v>
      </c>
      <c r="EC59">
        <v>2.3694099999999998</v>
      </c>
      <c r="ED59">
        <v>22.959</v>
      </c>
      <c r="EE59">
        <v>20.156199999999998</v>
      </c>
      <c r="EF59">
        <v>1800.01</v>
      </c>
      <c r="EG59">
        <v>0.977989</v>
      </c>
      <c r="EH59">
        <v>2.2010700000000001E-2</v>
      </c>
      <c r="EI59">
        <v>0</v>
      </c>
      <c r="EJ59">
        <v>609.61900000000003</v>
      </c>
      <c r="EK59">
        <v>5.0001199999999999</v>
      </c>
      <c r="EL59">
        <v>10991.8</v>
      </c>
      <c r="EM59">
        <v>15630</v>
      </c>
      <c r="EN59">
        <v>50.25</v>
      </c>
      <c r="EO59">
        <v>51.25</v>
      </c>
      <c r="EP59">
        <v>51.125</v>
      </c>
      <c r="EQ59">
        <v>51.061999999999998</v>
      </c>
      <c r="ER59">
        <v>51.811999999999998</v>
      </c>
      <c r="ES59">
        <v>1755.5</v>
      </c>
      <c r="ET59">
        <v>39.51</v>
      </c>
      <c r="EU59">
        <v>0</v>
      </c>
      <c r="EV59">
        <v>927.79999995231628</v>
      </c>
      <c r="EW59">
        <v>0</v>
      </c>
      <c r="EX59">
        <v>609.55255999999997</v>
      </c>
      <c r="EY59">
        <v>-1.752461543661201</v>
      </c>
      <c r="EZ59">
        <v>-34.453846166228452</v>
      </c>
      <c r="FA59">
        <v>10997.552</v>
      </c>
      <c r="FB59">
        <v>15</v>
      </c>
      <c r="FC59">
        <v>1700163519</v>
      </c>
      <c r="FD59" t="s">
        <v>609</v>
      </c>
      <c r="FE59">
        <v>1700163519</v>
      </c>
      <c r="FF59">
        <v>1700163516</v>
      </c>
      <c r="FG59">
        <v>68</v>
      </c>
      <c r="FH59">
        <v>-0.127</v>
      </c>
      <c r="FI59">
        <v>-3.1E-2</v>
      </c>
      <c r="FJ59">
        <v>1.637</v>
      </c>
      <c r="FK59">
        <v>0.30599999999999999</v>
      </c>
      <c r="FL59">
        <v>450</v>
      </c>
      <c r="FM59">
        <v>24</v>
      </c>
      <c r="FN59">
        <v>0.04</v>
      </c>
      <c r="FO59">
        <v>0.02</v>
      </c>
      <c r="FP59">
        <v>52.279783812674687</v>
      </c>
      <c r="FQ59">
        <v>-0.1034531106069555</v>
      </c>
      <c r="FR59">
        <v>4.8208508479574357E-2</v>
      </c>
      <c r="FS59">
        <v>1</v>
      </c>
      <c r="FT59">
        <v>0.30911469420316412</v>
      </c>
      <c r="FU59">
        <v>4.1608856023031111E-2</v>
      </c>
      <c r="FV59">
        <v>3.2612371448096748E-3</v>
      </c>
      <c r="FW59">
        <v>1</v>
      </c>
      <c r="FX59">
        <v>2</v>
      </c>
      <c r="FY59">
        <v>2</v>
      </c>
      <c r="FZ59" t="s">
        <v>420</v>
      </c>
      <c r="GA59">
        <v>2.9149400000000001</v>
      </c>
      <c r="GB59">
        <v>2.75095</v>
      </c>
      <c r="GC59">
        <v>8.9233800000000002E-2</v>
      </c>
      <c r="GD59">
        <v>0.10066700000000001</v>
      </c>
      <c r="GE59">
        <v>0.12876299999999999</v>
      </c>
      <c r="GF59">
        <v>0.116705</v>
      </c>
      <c r="GG59">
        <v>28254.9</v>
      </c>
      <c r="GH59">
        <v>27738.400000000001</v>
      </c>
      <c r="GI59">
        <v>28258.2</v>
      </c>
      <c r="GJ59">
        <v>28203.9</v>
      </c>
      <c r="GK59">
        <v>33558.5</v>
      </c>
      <c r="GL59">
        <v>34799.9</v>
      </c>
      <c r="GM59">
        <v>42462</v>
      </c>
      <c r="GN59">
        <v>43851.8</v>
      </c>
      <c r="GO59">
        <v>1.7583500000000001</v>
      </c>
      <c r="GP59">
        <v>1.87053</v>
      </c>
      <c r="GQ59">
        <v>4.2077200000000002E-2</v>
      </c>
      <c r="GR59">
        <v>0</v>
      </c>
      <c r="GS59">
        <v>29.296299999999999</v>
      </c>
      <c r="GT59">
        <v>999.9</v>
      </c>
      <c r="GU59">
        <v>33.299999999999997</v>
      </c>
      <c r="GV59">
        <v>43</v>
      </c>
      <c r="GW59">
        <v>29.25</v>
      </c>
      <c r="GX59">
        <v>61.010800000000003</v>
      </c>
      <c r="GY59">
        <v>30.532900000000001</v>
      </c>
      <c r="GZ59">
        <v>1</v>
      </c>
      <c r="HA59">
        <v>0.57086599999999998</v>
      </c>
      <c r="HB59">
        <v>2.3845200000000002</v>
      </c>
      <c r="HC59">
        <v>20.249300000000002</v>
      </c>
      <c r="HD59">
        <v>5.2721</v>
      </c>
      <c r="HE59">
        <v>12.0878</v>
      </c>
      <c r="HF59">
        <v>5.0116500000000004</v>
      </c>
      <c r="HG59">
        <v>3.29122</v>
      </c>
      <c r="HH59">
        <v>9999</v>
      </c>
      <c r="HI59">
        <v>9999</v>
      </c>
      <c r="HJ59">
        <v>9999</v>
      </c>
      <c r="HK59">
        <v>999.9</v>
      </c>
      <c r="HL59">
        <v>1.8760699999999999</v>
      </c>
      <c r="HM59">
        <v>1.8766799999999999</v>
      </c>
      <c r="HN59">
        <v>1.8763700000000001</v>
      </c>
      <c r="HO59">
        <v>1.88019</v>
      </c>
      <c r="HP59">
        <v>1.8737900000000001</v>
      </c>
      <c r="HQ59">
        <v>1.87683</v>
      </c>
      <c r="HR59">
        <v>1.8766799999999999</v>
      </c>
      <c r="HS59">
        <v>1.8781300000000001</v>
      </c>
      <c r="HT59">
        <v>0</v>
      </c>
      <c r="HU59">
        <v>0</v>
      </c>
      <c r="HV59">
        <v>0</v>
      </c>
      <c r="HW59">
        <v>0</v>
      </c>
      <c r="HX59" t="s">
        <v>421</v>
      </c>
      <c r="HY59" t="s">
        <v>422</v>
      </c>
      <c r="HZ59" t="s">
        <v>423</v>
      </c>
      <c r="IA59" t="s">
        <v>424</v>
      </c>
      <c r="IB59" t="s">
        <v>424</v>
      </c>
      <c r="IC59" t="s">
        <v>423</v>
      </c>
      <c r="ID59">
        <v>0</v>
      </c>
      <c r="IE59">
        <v>100</v>
      </c>
      <c r="IF59">
        <v>100</v>
      </c>
      <c r="IG59">
        <v>1.615</v>
      </c>
      <c r="IH59">
        <v>0.30599999999999999</v>
      </c>
      <c r="II59">
        <v>1.362749765739355</v>
      </c>
      <c r="IJ59">
        <v>8.9576739069318506E-4</v>
      </c>
      <c r="IK59">
        <v>-7.2130504814809596E-7</v>
      </c>
      <c r="IL59">
        <v>1.9987036519832741E-10</v>
      </c>
      <c r="IM59">
        <v>0.30607499999999632</v>
      </c>
      <c r="IN59">
        <v>0</v>
      </c>
      <c r="IO59">
        <v>0</v>
      </c>
      <c r="IP59">
        <v>0</v>
      </c>
      <c r="IQ59">
        <v>1</v>
      </c>
      <c r="IR59">
        <v>2126</v>
      </c>
      <c r="IS59">
        <v>0</v>
      </c>
      <c r="IT59">
        <v>20</v>
      </c>
      <c r="IU59">
        <v>0.6</v>
      </c>
      <c r="IV59">
        <v>0.6</v>
      </c>
      <c r="IW59">
        <v>1.1498999999999999</v>
      </c>
      <c r="IX59">
        <v>2.7246100000000002</v>
      </c>
      <c r="IY59">
        <v>1.69434</v>
      </c>
      <c r="IZ59">
        <v>2.33521</v>
      </c>
      <c r="JA59">
        <v>1.5466299999999999</v>
      </c>
      <c r="JB59">
        <v>2.34619</v>
      </c>
      <c r="JC59">
        <v>46.0077</v>
      </c>
      <c r="JD59">
        <v>23.921099999999999</v>
      </c>
      <c r="JE59">
        <v>18</v>
      </c>
      <c r="JF59">
        <v>498.95100000000002</v>
      </c>
      <c r="JG59">
        <v>477.05</v>
      </c>
      <c r="JH59">
        <v>27.1632</v>
      </c>
      <c r="JI59">
        <v>34.2226</v>
      </c>
      <c r="JJ59">
        <v>30</v>
      </c>
      <c r="JK59">
        <v>34.258200000000002</v>
      </c>
      <c r="JL59">
        <v>34.226300000000002</v>
      </c>
      <c r="JM59">
        <v>23.089500000000001</v>
      </c>
      <c r="JN59">
        <v>14.9214</v>
      </c>
      <c r="JO59">
        <v>42.561700000000002</v>
      </c>
      <c r="JP59">
        <v>27.171800000000001</v>
      </c>
      <c r="JQ59">
        <v>450</v>
      </c>
      <c r="JR59">
        <v>23.830400000000001</v>
      </c>
      <c r="JS59">
        <v>98.996399999999994</v>
      </c>
      <c r="JT59">
        <v>98.792100000000005</v>
      </c>
    </row>
    <row r="60" spans="1:280" x14ac:dyDescent="0.25">
      <c r="A60">
        <v>58</v>
      </c>
      <c r="B60">
        <v>1700163677</v>
      </c>
      <c r="C60">
        <v>16147.400000095369</v>
      </c>
      <c r="D60" t="s">
        <v>610</v>
      </c>
      <c r="E60" t="s">
        <v>611</v>
      </c>
      <c r="F60" t="s">
        <v>412</v>
      </c>
      <c r="G60" t="s">
        <v>413</v>
      </c>
      <c r="H60" t="s">
        <v>606</v>
      </c>
      <c r="I60">
        <v>1700163677</v>
      </c>
      <c r="J60">
        <f t="shared" si="46"/>
        <v>3.1635114302251861E-3</v>
      </c>
      <c r="K60">
        <f t="shared" si="47"/>
        <v>3.1635114302251863</v>
      </c>
      <c r="L60">
        <f t="shared" si="48"/>
        <v>59.16759978840625</v>
      </c>
      <c r="M60">
        <f t="shared" si="49"/>
        <v>1433.91</v>
      </c>
      <c r="N60">
        <f t="shared" si="50"/>
        <v>938.80985191433365</v>
      </c>
      <c r="O60">
        <f t="shared" si="51"/>
        <v>92.938235530094488</v>
      </c>
      <c r="P60">
        <f t="shared" si="52"/>
        <v>141.95107245329402</v>
      </c>
      <c r="Q60">
        <f t="shared" si="53"/>
        <v>0.20992384033873854</v>
      </c>
      <c r="R60">
        <f t="shared" si="54"/>
        <v>3.0757394103809315</v>
      </c>
      <c r="S60">
        <f t="shared" si="55"/>
        <v>0.20227659768946873</v>
      </c>
      <c r="T60">
        <f t="shared" si="56"/>
        <v>0.12708673834540202</v>
      </c>
      <c r="U60">
        <f t="shared" si="57"/>
        <v>289.56443684748967</v>
      </c>
      <c r="V60">
        <f t="shared" si="58"/>
        <v>31.007222258604099</v>
      </c>
      <c r="W60">
        <f t="shared" si="59"/>
        <v>30.065899999999999</v>
      </c>
      <c r="X60">
        <f t="shared" si="60"/>
        <v>4.276603230360343</v>
      </c>
      <c r="Y60">
        <f t="shared" si="61"/>
        <v>64.725009090809948</v>
      </c>
      <c r="Z60">
        <f t="shared" si="62"/>
        <v>2.7835640000012001</v>
      </c>
      <c r="AA60">
        <f t="shared" si="63"/>
        <v>4.300600400219067</v>
      </c>
      <c r="AB60">
        <f t="shared" si="64"/>
        <v>1.4930392303591429</v>
      </c>
      <c r="AC60">
        <f t="shared" si="65"/>
        <v>-139.5108540729307</v>
      </c>
      <c r="AD60">
        <f t="shared" si="66"/>
        <v>16.167378151514562</v>
      </c>
      <c r="AE60">
        <f t="shared" si="67"/>
        <v>1.1700975206330027</v>
      </c>
      <c r="AF60">
        <f t="shared" si="68"/>
        <v>167.39105844670655</v>
      </c>
      <c r="AG60">
        <v>4</v>
      </c>
      <c r="AH60">
        <v>1</v>
      </c>
      <c r="AI60">
        <f t="shared" si="69"/>
        <v>1</v>
      </c>
      <c r="AJ60">
        <f t="shared" si="70"/>
        <v>0</v>
      </c>
      <c r="AK60">
        <f t="shared" si="71"/>
        <v>51667.02024315195</v>
      </c>
      <c r="AL60" t="s">
        <v>427</v>
      </c>
      <c r="AM60" t="s">
        <v>427</v>
      </c>
      <c r="AN60">
        <v>0</v>
      </c>
      <c r="AO60">
        <v>0</v>
      </c>
      <c r="AP60" t="e">
        <f t="shared" si="72"/>
        <v>#DIV/0!</v>
      </c>
      <c r="AQ60">
        <v>0</v>
      </c>
      <c r="AR60" t="s">
        <v>427</v>
      </c>
      <c r="AS60" t="s">
        <v>427</v>
      </c>
      <c r="AT60">
        <v>0</v>
      </c>
      <c r="AU60">
        <v>0</v>
      </c>
      <c r="AV60" t="e">
        <f t="shared" si="73"/>
        <v>#DIV/0!</v>
      </c>
      <c r="AW60">
        <v>0.5</v>
      </c>
      <c r="AX60">
        <f t="shared" si="74"/>
        <v>1513.168499920979</v>
      </c>
      <c r="AY60">
        <f t="shared" si="75"/>
        <v>59.16759978840625</v>
      </c>
      <c r="AZ60" t="e">
        <f t="shared" si="76"/>
        <v>#DIV/0!</v>
      </c>
      <c r="BA60">
        <f t="shared" si="77"/>
        <v>3.9101791896603788E-2</v>
      </c>
      <c r="BB60" t="e">
        <f t="shared" si="78"/>
        <v>#DIV/0!</v>
      </c>
      <c r="BC60" t="e">
        <f t="shared" si="79"/>
        <v>#DIV/0!</v>
      </c>
      <c r="BD60" t="s">
        <v>427</v>
      </c>
      <c r="BE60">
        <v>0</v>
      </c>
      <c r="BF60" t="e">
        <f t="shared" si="80"/>
        <v>#DIV/0!</v>
      </c>
      <c r="BG60" t="e">
        <f t="shared" si="81"/>
        <v>#DIV/0!</v>
      </c>
      <c r="BH60" t="e">
        <f t="shared" si="82"/>
        <v>#DIV/0!</v>
      </c>
      <c r="BI60" t="e">
        <f t="shared" si="83"/>
        <v>#DIV/0!</v>
      </c>
      <c r="BJ60" t="e">
        <f t="shared" si="84"/>
        <v>#DIV/0!</v>
      </c>
      <c r="BK60" t="e">
        <f t="shared" si="85"/>
        <v>#DIV/0!</v>
      </c>
      <c r="BL60" t="e">
        <f t="shared" si="86"/>
        <v>#DIV/0!</v>
      </c>
      <c r="BM60" t="e">
        <f t="shared" si="87"/>
        <v>#DIV/0!</v>
      </c>
      <c r="BN60">
        <v>95</v>
      </c>
      <c r="BO60">
        <v>290.00000000000011</v>
      </c>
      <c r="BP60">
        <v>824.48</v>
      </c>
      <c r="BQ60">
        <v>295</v>
      </c>
      <c r="BR60">
        <v>7137.66</v>
      </c>
      <c r="BS60">
        <v>826.66</v>
      </c>
      <c r="BT60">
        <v>-2.1800000000000002</v>
      </c>
      <c r="BU60">
        <v>300.00000000000011</v>
      </c>
      <c r="BV60">
        <v>38.200000000000003</v>
      </c>
      <c r="BW60">
        <v>913.79520147123822</v>
      </c>
      <c r="BX60">
        <v>1.416469973471929</v>
      </c>
      <c r="BY60">
        <v>-62.197016857517212</v>
      </c>
      <c r="BZ60">
        <v>0.84744587813760341</v>
      </c>
      <c r="CA60">
        <v>0.99482880143339159</v>
      </c>
      <c r="CB60">
        <v>-7.0438858731924434E-3</v>
      </c>
      <c r="CC60">
        <v>289.99999999999989</v>
      </c>
      <c r="CD60">
        <v>834.17</v>
      </c>
      <c r="CE60">
        <v>855</v>
      </c>
      <c r="CF60">
        <v>7132.18</v>
      </c>
      <c r="CG60">
        <v>826.59</v>
      </c>
      <c r="CH60">
        <v>7.58</v>
      </c>
      <c r="CV60">
        <f t="shared" si="88"/>
        <v>1799.98</v>
      </c>
      <c r="CW60">
        <f t="shared" si="89"/>
        <v>1513.168499920979</v>
      </c>
      <c r="CX60">
        <f t="shared" si="90"/>
        <v>0.84065850727284686</v>
      </c>
      <c r="CY60">
        <f t="shared" si="91"/>
        <v>0.16087091903659467</v>
      </c>
      <c r="CZ60">
        <v>5.18</v>
      </c>
      <c r="DA60">
        <v>0.5</v>
      </c>
      <c r="DB60" t="s">
        <v>418</v>
      </c>
      <c r="DC60">
        <v>2</v>
      </c>
      <c r="DD60">
        <v>1700163677</v>
      </c>
      <c r="DE60">
        <v>1433.91</v>
      </c>
      <c r="DF60">
        <v>1499.9</v>
      </c>
      <c r="DG60">
        <v>28.117999999999999</v>
      </c>
      <c r="DH60">
        <v>24.9331</v>
      </c>
      <c r="DI60">
        <v>1431.29</v>
      </c>
      <c r="DJ60">
        <v>27.810300000000002</v>
      </c>
      <c r="DK60">
        <v>500.05399999999997</v>
      </c>
      <c r="DL60">
        <v>98.895899999999997</v>
      </c>
      <c r="DM60">
        <v>9.9903400000000003E-2</v>
      </c>
      <c r="DN60">
        <v>30.163399999999999</v>
      </c>
      <c r="DO60">
        <v>30.065899999999999</v>
      </c>
      <c r="DP60">
        <v>999.9</v>
      </c>
      <c r="DQ60">
        <v>0</v>
      </c>
      <c r="DR60">
        <v>0</v>
      </c>
      <c r="DS60">
        <v>9983.75</v>
      </c>
      <c r="DT60">
        <v>0</v>
      </c>
      <c r="DU60">
        <v>322.42599999999999</v>
      </c>
      <c r="DV60">
        <v>-65.985699999999994</v>
      </c>
      <c r="DW60">
        <v>1475.39</v>
      </c>
      <c r="DX60">
        <v>1538.25</v>
      </c>
      <c r="DY60">
        <v>3.1848399999999999</v>
      </c>
      <c r="DZ60">
        <v>1499.9</v>
      </c>
      <c r="EA60">
        <v>24.9331</v>
      </c>
      <c r="EB60">
        <v>2.7807499999999998</v>
      </c>
      <c r="EC60">
        <v>2.4657800000000001</v>
      </c>
      <c r="ED60">
        <v>22.770299999999999</v>
      </c>
      <c r="EE60">
        <v>20.802399999999999</v>
      </c>
      <c r="EF60">
        <v>1799.98</v>
      </c>
      <c r="EG60">
        <v>0.977989</v>
      </c>
      <c r="EH60">
        <v>2.2010700000000001E-2</v>
      </c>
      <c r="EI60">
        <v>0</v>
      </c>
      <c r="EJ60">
        <v>605.03599999999994</v>
      </c>
      <c r="EK60">
        <v>5.0001199999999999</v>
      </c>
      <c r="EL60">
        <v>10926.7</v>
      </c>
      <c r="EM60">
        <v>15629.7</v>
      </c>
      <c r="EN60">
        <v>50.25</v>
      </c>
      <c r="EO60">
        <v>51.186999999999998</v>
      </c>
      <c r="EP60">
        <v>51.125</v>
      </c>
      <c r="EQ60">
        <v>51.061999999999998</v>
      </c>
      <c r="ER60">
        <v>51.811999999999998</v>
      </c>
      <c r="ES60">
        <v>1755.47</v>
      </c>
      <c r="ET60">
        <v>39.51</v>
      </c>
      <c r="EU60">
        <v>0</v>
      </c>
      <c r="EV60">
        <v>121.7999999523163</v>
      </c>
      <c r="EW60">
        <v>0</v>
      </c>
      <c r="EX60">
        <v>604.82096000000001</v>
      </c>
      <c r="EY60">
        <v>0.29546153423086741</v>
      </c>
      <c r="EZ60">
        <v>-17.115384621856201</v>
      </c>
      <c r="FA60">
        <v>10927.76</v>
      </c>
      <c r="FB60">
        <v>15</v>
      </c>
      <c r="FC60">
        <v>1700163643.5</v>
      </c>
      <c r="FD60" t="s">
        <v>612</v>
      </c>
      <c r="FE60">
        <v>1700163643.5</v>
      </c>
      <c r="FF60">
        <v>1700163640.5</v>
      </c>
      <c r="FG60">
        <v>69</v>
      </c>
      <c r="FH60">
        <v>0.87</v>
      </c>
      <c r="FI60">
        <v>2E-3</v>
      </c>
      <c r="FJ60">
        <v>2.6280000000000001</v>
      </c>
      <c r="FK60">
        <v>0.308</v>
      </c>
      <c r="FL60">
        <v>1500</v>
      </c>
      <c r="FM60">
        <v>24</v>
      </c>
      <c r="FN60">
        <v>0.06</v>
      </c>
      <c r="FO60">
        <v>0.02</v>
      </c>
      <c r="FP60">
        <v>59.052405362107962</v>
      </c>
      <c r="FQ60">
        <v>-0.1118296458376173</v>
      </c>
      <c r="FR60">
        <v>7.9133030738170948E-2</v>
      </c>
      <c r="FS60">
        <v>1</v>
      </c>
      <c r="FT60">
        <v>0.2214110079165898</v>
      </c>
      <c r="FU60">
        <v>-2.6611580009716931E-2</v>
      </c>
      <c r="FV60">
        <v>2.5086587384606611E-3</v>
      </c>
      <c r="FW60">
        <v>1</v>
      </c>
      <c r="FX60">
        <v>2</v>
      </c>
      <c r="FY60">
        <v>2</v>
      </c>
      <c r="FZ60" t="s">
        <v>420</v>
      </c>
      <c r="GA60">
        <v>2.9148499999999999</v>
      </c>
      <c r="GB60">
        <v>2.7507600000000001</v>
      </c>
      <c r="GC60">
        <v>0.21534</v>
      </c>
      <c r="GD60">
        <v>0.22433800000000001</v>
      </c>
      <c r="GE60">
        <v>0.12775300000000001</v>
      </c>
      <c r="GF60">
        <v>0.11998300000000001</v>
      </c>
      <c r="GG60">
        <v>24340.5</v>
      </c>
      <c r="GH60">
        <v>23920.6</v>
      </c>
      <c r="GI60">
        <v>28260.6</v>
      </c>
      <c r="GJ60">
        <v>28205.599999999999</v>
      </c>
      <c r="GK60">
        <v>33599.9</v>
      </c>
      <c r="GL60">
        <v>34672</v>
      </c>
      <c r="GM60">
        <v>42466.2</v>
      </c>
      <c r="GN60">
        <v>43854.400000000001</v>
      </c>
      <c r="GO60">
        <v>1.7582800000000001</v>
      </c>
      <c r="GP60">
        <v>1.877</v>
      </c>
      <c r="GQ60">
        <v>5.2805999999999999E-2</v>
      </c>
      <c r="GR60">
        <v>0</v>
      </c>
      <c r="GS60">
        <v>29.206099999999999</v>
      </c>
      <c r="GT60">
        <v>999.9</v>
      </c>
      <c r="GU60">
        <v>33.6</v>
      </c>
      <c r="GV60">
        <v>42.9</v>
      </c>
      <c r="GW60">
        <v>29.362200000000001</v>
      </c>
      <c r="GX60">
        <v>61.0608</v>
      </c>
      <c r="GY60">
        <v>30.5288</v>
      </c>
      <c r="GZ60">
        <v>1</v>
      </c>
      <c r="HA60">
        <v>0.57023900000000005</v>
      </c>
      <c r="HB60">
        <v>3.3290600000000001</v>
      </c>
      <c r="HC60">
        <v>20.2315</v>
      </c>
      <c r="HD60">
        <v>5.2710499999999998</v>
      </c>
      <c r="HE60">
        <v>12.087999999999999</v>
      </c>
      <c r="HF60">
        <v>5.0113000000000003</v>
      </c>
      <c r="HG60">
        <v>3.2911800000000002</v>
      </c>
      <c r="HH60">
        <v>9999</v>
      </c>
      <c r="HI60">
        <v>9999</v>
      </c>
      <c r="HJ60">
        <v>9999</v>
      </c>
      <c r="HK60">
        <v>999.9</v>
      </c>
      <c r="HL60">
        <v>1.8760699999999999</v>
      </c>
      <c r="HM60">
        <v>1.8766799999999999</v>
      </c>
      <c r="HN60">
        <v>1.8763700000000001</v>
      </c>
      <c r="HO60">
        <v>1.88018</v>
      </c>
      <c r="HP60">
        <v>1.87378</v>
      </c>
      <c r="HQ60">
        <v>1.87683</v>
      </c>
      <c r="HR60">
        <v>1.8766799999999999</v>
      </c>
      <c r="HS60">
        <v>1.8780600000000001</v>
      </c>
      <c r="HT60">
        <v>0</v>
      </c>
      <c r="HU60">
        <v>0</v>
      </c>
      <c r="HV60">
        <v>0</v>
      </c>
      <c r="HW60">
        <v>0</v>
      </c>
      <c r="HX60" t="s">
        <v>421</v>
      </c>
      <c r="HY60" t="s">
        <v>422</v>
      </c>
      <c r="HZ60" t="s">
        <v>423</v>
      </c>
      <c r="IA60" t="s">
        <v>424</v>
      </c>
      <c r="IB60" t="s">
        <v>424</v>
      </c>
      <c r="IC60" t="s">
        <v>423</v>
      </c>
      <c r="ID60">
        <v>0</v>
      </c>
      <c r="IE60">
        <v>100</v>
      </c>
      <c r="IF60">
        <v>100</v>
      </c>
      <c r="IG60">
        <v>2.62</v>
      </c>
      <c r="IH60">
        <v>0.30769999999999997</v>
      </c>
      <c r="II60">
        <v>2.23299558509708</v>
      </c>
      <c r="IJ60">
        <v>8.9576739069318506E-4</v>
      </c>
      <c r="IK60">
        <v>-7.2130504814809596E-7</v>
      </c>
      <c r="IL60">
        <v>1.9987036519832741E-10</v>
      </c>
      <c r="IM60">
        <v>0.30766190476191108</v>
      </c>
      <c r="IN60">
        <v>0</v>
      </c>
      <c r="IO60">
        <v>0</v>
      </c>
      <c r="IP60">
        <v>0</v>
      </c>
      <c r="IQ60">
        <v>1</v>
      </c>
      <c r="IR60">
        <v>2126</v>
      </c>
      <c r="IS60">
        <v>0</v>
      </c>
      <c r="IT60">
        <v>20</v>
      </c>
      <c r="IU60">
        <v>0.6</v>
      </c>
      <c r="IV60">
        <v>0.6</v>
      </c>
      <c r="IW60">
        <v>3.0615199999999998</v>
      </c>
      <c r="IX60">
        <v>2.6696800000000001</v>
      </c>
      <c r="IY60">
        <v>1.69434</v>
      </c>
      <c r="IZ60">
        <v>2.3339799999999999</v>
      </c>
      <c r="JA60">
        <v>1.5466299999999999</v>
      </c>
      <c r="JB60">
        <v>2.32544</v>
      </c>
      <c r="JC60">
        <v>45.834400000000002</v>
      </c>
      <c r="JD60">
        <v>23.912400000000002</v>
      </c>
      <c r="JE60">
        <v>18</v>
      </c>
      <c r="JF60">
        <v>498.36099999999999</v>
      </c>
      <c r="JG60">
        <v>481.10300000000001</v>
      </c>
      <c r="JH60">
        <v>26.5761</v>
      </c>
      <c r="JI60">
        <v>34.159399999999998</v>
      </c>
      <c r="JJ60">
        <v>30.0002</v>
      </c>
      <c r="JK60">
        <v>34.198</v>
      </c>
      <c r="JL60">
        <v>34.167400000000001</v>
      </c>
      <c r="JM60">
        <v>61.316099999999999</v>
      </c>
      <c r="JN60">
        <v>9.1430299999999995</v>
      </c>
      <c r="JO60">
        <v>43.411299999999997</v>
      </c>
      <c r="JP60">
        <v>26.513300000000001</v>
      </c>
      <c r="JQ60">
        <v>1500</v>
      </c>
      <c r="JR60">
        <v>24.997399999999999</v>
      </c>
      <c r="JS60">
        <v>99.005600000000001</v>
      </c>
      <c r="JT60">
        <v>98.797899999999998</v>
      </c>
    </row>
    <row r="61" spans="1:280" x14ac:dyDescent="0.25">
      <c r="A61">
        <v>59</v>
      </c>
      <c r="B61">
        <v>1700163833</v>
      </c>
      <c r="C61">
        <v>16303.400000095369</v>
      </c>
      <c r="D61" t="s">
        <v>613</v>
      </c>
      <c r="E61" t="s">
        <v>614</v>
      </c>
      <c r="F61" t="s">
        <v>412</v>
      </c>
      <c r="G61" t="s">
        <v>413</v>
      </c>
      <c r="H61" t="s">
        <v>606</v>
      </c>
      <c r="I61">
        <v>1700163833</v>
      </c>
      <c r="J61">
        <f t="shared" si="46"/>
        <v>2.5326817774252233E-3</v>
      </c>
      <c r="K61">
        <f t="shared" si="47"/>
        <v>2.5326817774252235</v>
      </c>
      <c r="L61">
        <f t="shared" si="48"/>
        <v>59.200013452670774</v>
      </c>
      <c r="M61">
        <f t="shared" si="49"/>
        <v>1185.6199999999999</v>
      </c>
      <c r="N61">
        <f t="shared" si="50"/>
        <v>574.15479486225115</v>
      </c>
      <c r="O61">
        <f t="shared" si="51"/>
        <v>56.835572349304101</v>
      </c>
      <c r="P61">
        <f t="shared" si="52"/>
        <v>117.364501510344</v>
      </c>
      <c r="Q61">
        <f t="shared" si="53"/>
        <v>0.16482359613614381</v>
      </c>
      <c r="R61">
        <f t="shared" si="54"/>
        <v>3.0783808259452163</v>
      </c>
      <c r="S61">
        <f t="shared" si="55"/>
        <v>0.16007317122107784</v>
      </c>
      <c r="T61">
        <f t="shared" si="56"/>
        <v>0.10046113452439587</v>
      </c>
      <c r="U61">
        <f t="shared" si="57"/>
        <v>289.56922484749225</v>
      </c>
      <c r="V61">
        <f t="shared" si="58"/>
        <v>30.925549863638388</v>
      </c>
      <c r="W61">
        <f t="shared" si="59"/>
        <v>30.044699999999999</v>
      </c>
      <c r="X61">
        <f t="shared" si="60"/>
        <v>4.2714008569297706</v>
      </c>
      <c r="Y61">
        <f t="shared" si="61"/>
        <v>65.077395073690852</v>
      </c>
      <c r="Z61">
        <f t="shared" si="62"/>
        <v>2.7608107776717601</v>
      </c>
      <c r="AA61">
        <f t="shared" si="63"/>
        <v>4.2423498582657411</v>
      </c>
      <c r="AB61">
        <f t="shared" si="64"/>
        <v>1.5105900792580105</v>
      </c>
      <c r="AC61">
        <f t="shared" si="65"/>
        <v>-111.69126638445235</v>
      </c>
      <c r="AD61">
        <f t="shared" si="66"/>
        <v>-19.716246050097034</v>
      </c>
      <c r="AE61">
        <f t="shared" si="67"/>
        <v>-1.4238944042250725</v>
      </c>
      <c r="AF61">
        <f t="shared" si="68"/>
        <v>156.73781800871782</v>
      </c>
      <c r="AG61">
        <v>4</v>
      </c>
      <c r="AH61">
        <v>1</v>
      </c>
      <c r="AI61">
        <f t="shared" si="69"/>
        <v>1</v>
      </c>
      <c r="AJ61">
        <f t="shared" si="70"/>
        <v>0</v>
      </c>
      <c r="AK61">
        <f t="shared" si="71"/>
        <v>51775.836053971136</v>
      </c>
      <c r="AL61" t="s">
        <v>415</v>
      </c>
      <c r="AM61">
        <v>6960.3</v>
      </c>
      <c r="AN61">
        <v>244.8124</v>
      </c>
      <c r="AO61">
        <v>892.86711584811997</v>
      </c>
      <c r="AP61">
        <f t="shared" si="72"/>
        <v>0.72581317459826411</v>
      </c>
      <c r="AQ61">
        <v>-0.43209471141234851</v>
      </c>
      <c r="AR61" t="s">
        <v>615</v>
      </c>
      <c r="AS61">
        <v>7137.91</v>
      </c>
      <c r="AT61">
        <v>604.80799999999999</v>
      </c>
      <c r="AU61">
        <v>966.52226977066846</v>
      </c>
      <c r="AV61">
        <f t="shared" si="73"/>
        <v>0.37424307859610328</v>
      </c>
      <c r="AW61">
        <v>0.5</v>
      </c>
      <c r="AX61">
        <f t="shared" si="74"/>
        <v>1513.1936999209804</v>
      </c>
      <c r="AY61">
        <f t="shared" si="75"/>
        <v>59.200013452670774</v>
      </c>
      <c r="AZ61">
        <f t="shared" si="76"/>
        <v>283.15113438532791</v>
      </c>
      <c r="BA61">
        <f t="shared" si="77"/>
        <v>3.9408112898697063E-2</v>
      </c>
      <c r="BB61">
        <f t="shared" si="78"/>
        <v>-7.6206370226756401E-2</v>
      </c>
      <c r="BC61">
        <f t="shared" si="79"/>
        <v>250.03686598879176</v>
      </c>
      <c r="BD61" t="s">
        <v>616</v>
      </c>
      <c r="BE61">
        <v>459.28</v>
      </c>
      <c r="BF61">
        <f t="shared" si="80"/>
        <v>459.28</v>
      </c>
      <c r="BG61">
        <f t="shared" si="81"/>
        <v>0.52481177685747937</v>
      </c>
      <c r="BH61">
        <f t="shared" si="82"/>
        <v>0.71309961989998327</v>
      </c>
      <c r="BI61">
        <f t="shared" si="83"/>
        <v>-0.16987394512052095</v>
      </c>
      <c r="BJ61">
        <f t="shared" si="84"/>
        <v>0.5011906929935811</v>
      </c>
      <c r="BK61">
        <f t="shared" si="85"/>
        <v>-0.11365576412194574</v>
      </c>
      <c r="BL61">
        <f t="shared" si="86"/>
        <v>0.54151465163765078</v>
      </c>
      <c r="BM61">
        <f t="shared" si="87"/>
        <v>0.45848534836234922</v>
      </c>
      <c r="BN61">
        <v>97</v>
      </c>
      <c r="BO61">
        <v>290.00000000000011</v>
      </c>
      <c r="BP61">
        <v>858.94</v>
      </c>
      <c r="BQ61">
        <v>295</v>
      </c>
      <c r="BR61">
        <v>7137.91</v>
      </c>
      <c r="BS61">
        <v>861.19</v>
      </c>
      <c r="BT61">
        <v>-2.25</v>
      </c>
      <c r="BU61">
        <v>300.00000000000011</v>
      </c>
      <c r="BV61">
        <v>38.200000000000003</v>
      </c>
      <c r="BW61">
        <v>966.52226977066846</v>
      </c>
      <c r="BX61">
        <v>1.479040479231623</v>
      </c>
      <c r="BY61">
        <v>-75.18656500637853</v>
      </c>
      <c r="BZ61">
        <v>0.88491508657355777</v>
      </c>
      <c r="CA61">
        <v>0.99613633446956606</v>
      </c>
      <c r="CB61">
        <v>-7.0441452725250337E-3</v>
      </c>
      <c r="CC61">
        <v>289.99999999999989</v>
      </c>
      <c r="CD61">
        <v>868.14</v>
      </c>
      <c r="CE61">
        <v>845</v>
      </c>
      <c r="CF61">
        <v>7132.59</v>
      </c>
      <c r="CG61">
        <v>861.11</v>
      </c>
      <c r="CH61">
        <v>7.03</v>
      </c>
      <c r="CV61">
        <f t="shared" si="88"/>
        <v>1800.01</v>
      </c>
      <c r="CW61">
        <f t="shared" si="89"/>
        <v>1513.1936999209804</v>
      </c>
      <c r="CX61">
        <f t="shared" si="90"/>
        <v>0.84065849629778744</v>
      </c>
      <c r="CY61">
        <f t="shared" si="91"/>
        <v>0.16087089785472983</v>
      </c>
      <c r="CZ61">
        <v>5.18</v>
      </c>
      <c r="DA61">
        <v>0.5</v>
      </c>
      <c r="DB61" t="s">
        <v>418</v>
      </c>
      <c r="DC61">
        <v>2</v>
      </c>
      <c r="DD61">
        <v>1700163833</v>
      </c>
      <c r="DE61">
        <v>1185.6199999999999</v>
      </c>
      <c r="DF61">
        <v>1250.05</v>
      </c>
      <c r="DG61">
        <v>27.889800000000001</v>
      </c>
      <c r="DH61">
        <v>25.339600000000001</v>
      </c>
      <c r="DI61">
        <v>1183.3</v>
      </c>
      <c r="DJ61">
        <v>27.567599999999999</v>
      </c>
      <c r="DK61">
        <v>500.09399999999999</v>
      </c>
      <c r="DL61">
        <v>98.89</v>
      </c>
      <c r="DM61">
        <v>9.9981200000000006E-2</v>
      </c>
      <c r="DN61">
        <v>29.925899999999999</v>
      </c>
      <c r="DO61">
        <v>30.044699999999999</v>
      </c>
      <c r="DP61">
        <v>999.9</v>
      </c>
      <c r="DQ61">
        <v>0</v>
      </c>
      <c r="DR61">
        <v>0</v>
      </c>
      <c r="DS61">
        <v>9998.1200000000008</v>
      </c>
      <c r="DT61">
        <v>0</v>
      </c>
      <c r="DU61">
        <v>297.40300000000002</v>
      </c>
      <c r="DV61">
        <v>-64.427999999999997</v>
      </c>
      <c r="DW61">
        <v>1219.6400000000001</v>
      </c>
      <c r="DX61">
        <v>1282.55</v>
      </c>
      <c r="DY61">
        <v>2.5502400000000001</v>
      </c>
      <c r="DZ61">
        <v>1250.05</v>
      </c>
      <c r="EA61">
        <v>25.339600000000001</v>
      </c>
      <c r="EB61">
        <v>2.7580200000000001</v>
      </c>
      <c r="EC61">
        <v>2.50583</v>
      </c>
      <c r="ED61">
        <v>22.635000000000002</v>
      </c>
      <c r="EE61">
        <v>21.064399999999999</v>
      </c>
      <c r="EF61">
        <v>1800.01</v>
      </c>
      <c r="EG61">
        <v>0.977989</v>
      </c>
      <c r="EH61">
        <v>2.2010700000000001E-2</v>
      </c>
      <c r="EI61">
        <v>0</v>
      </c>
      <c r="EJ61">
        <v>604.84799999999996</v>
      </c>
      <c r="EK61">
        <v>5.0001199999999999</v>
      </c>
      <c r="EL61">
        <v>10920</v>
      </c>
      <c r="EM61">
        <v>15630</v>
      </c>
      <c r="EN61">
        <v>50.125</v>
      </c>
      <c r="EO61">
        <v>51.125</v>
      </c>
      <c r="EP61">
        <v>51</v>
      </c>
      <c r="EQ61">
        <v>50.936999999999998</v>
      </c>
      <c r="ER61">
        <v>51.686999999999998</v>
      </c>
      <c r="ES61">
        <v>1755.5</v>
      </c>
      <c r="ET61">
        <v>39.51</v>
      </c>
      <c r="EU61">
        <v>0</v>
      </c>
      <c r="EV61">
        <v>277.79999995231628</v>
      </c>
      <c r="EW61">
        <v>0</v>
      </c>
      <c r="EX61">
        <v>604.80799999999999</v>
      </c>
      <c r="EY61">
        <v>0.94061541053255993</v>
      </c>
      <c r="EZ61">
        <v>9.53846152913186</v>
      </c>
      <c r="FA61">
        <v>10918.575999999999</v>
      </c>
      <c r="FB61">
        <v>15</v>
      </c>
      <c r="FC61">
        <v>1700163802.5</v>
      </c>
      <c r="FD61" t="s">
        <v>617</v>
      </c>
      <c r="FE61">
        <v>1700163802.5</v>
      </c>
      <c r="FF61">
        <v>1700163784.5</v>
      </c>
      <c r="FG61">
        <v>70</v>
      </c>
      <c r="FH61">
        <v>-0.29099999999999998</v>
      </c>
      <c r="FI61">
        <v>1.4999999999999999E-2</v>
      </c>
      <c r="FJ61">
        <v>2.3260000000000001</v>
      </c>
      <c r="FK61">
        <v>0.32200000000000001</v>
      </c>
      <c r="FL61">
        <v>1250</v>
      </c>
      <c r="FM61">
        <v>25</v>
      </c>
      <c r="FN61">
        <v>0.06</v>
      </c>
      <c r="FO61">
        <v>0.04</v>
      </c>
      <c r="FP61">
        <v>59.301680749332519</v>
      </c>
      <c r="FQ61">
        <v>-0.63339911296307516</v>
      </c>
      <c r="FR61">
        <v>7.0062078909299677E-2</v>
      </c>
      <c r="FS61">
        <v>1</v>
      </c>
      <c r="FT61">
        <v>0.16570052772176139</v>
      </c>
      <c r="FU61">
        <v>-1.8668969958898839E-2</v>
      </c>
      <c r="FV61">
        <v>1.7350344968319409E-3</v>
      </c>
      <c r="FW61">
        <v>1</v>
      </c>
      <c r="FX61">
        <v>2</v>
      </c>
      <c r="FY61">
        <v>2</v>
      </c>
      <c r="FZ61" t="s">
        <v>420</v>
      </c>
      <c r="GA61">
        <v>2.9150800000000001</v>
      </c>
      <c r="GB61">
        <v>2.7509600000000001</v>
      </c>
      <c r="GC61">
        <v>0.19164800000000001</v>
      </c>
      <c r="GD61">
        <v>0.20097000000000001</v>
      </c>
      <c r="GE61">
        <v>0.126997</v>
      </c>
      <c r="GF61">
        <v>0.121341</v>
      </c>
      <c r="GG61">
        <v>25079.1</v>
      </c>
      <c r="GH61">
        <v>24650</v>
      </c>
      <c r="GI61">
        <v>28262.3</v>
      </c>
      <c r="GJ61">
        <v>28213</v>
      </c>
      <c r="GK61">
        <v>33629.1</v>
      </c>
      <c r="GL61">
        <v>34627.199999999997</v>
      </c>
      <c r="GM61">
        <v>42466.2</v>
      </c>
      <c r="GN61">
        <v>43865.4</v>
      </c>
      <c r="GO61">
        <v>1.7586999999999999</v>
      </c>
      <c r="GP61">
        <v>1.8784000000000001</v>
      </c>
      <c r="GQ61">
        <v>5.1598999999999999E-2</v>
      </c>
      <c r="GR61">
        <v>0</v>
      </c>
      <c r="GS61">
        <v>29.204499999999999</v>
      </c>
      <c r="GT61">
        <v>999.9</v>
      </c>
      <c r="GU61">
        <v>34.1</v>
      </c>
      <c r="GV61">
        <v>42.7</v>
      </c>
      <c r="GW61">
        <v>29.488800000000001</v>
      </c>
      <c r="GX61">
        <v>61.270800000000001</v>
      </c>
      <c r="GY61">
        <v>30.4407</v>
      </c>
      <c r="GZ61">
        <v>1</v>
      </c>
      <c r="HA61">
        <v>0.56290399999999996</v>
      </c>
      <c r="HB61">
        <v>3.1871</v>
      </c>
      <c r="HC61">
        <v>20.2361</v>
      </c>
      <c r="HD61">
        <v>5.2758399999999996</v>
      </c>
      <c r="HE61">
        <v>12.087999999999999</v>
      </c>
      <c r="HF61">
        <v>5.0131500000000004</v>
      </c>
      <c r="HG61">
        <v>3.2919999999999998</v>
      </c>
      <c r="HH61">
        <v>9999</v>
      </c>
      <c r="HI61">
        <v>9999</v>
      </c>
      <c r="HJ61">
        <v>9999</v>
      </c>
      <c r="HK61">
        <v>999.9</v>
      </c>
      <c r="HL61">
        <v>1.8760699999999999</v>
      </c>
      <c r="HM61">
        <v>1.8766700000000001</v>
      </c>
      <c r="HN61">
        <v>1.8763700000000001</v>
      </c>
      <c r="HO61">
        <v>1.8801600000000001</v>
      </c>
      <c r="HP61">
        <v>1.87378</v>
      </c>
      <c r="HQ61">
        <v>1.87683</v>
      </c>
      <c r="HR61">
        <v>1.8766799999999999</v>
      </c>
      <c r="HS61">
        <v>1.8780600000000001</v>
      </c>
      <c r="HT61">
        <v>0</v>
      </c>
      <c r="HU61">
        <v>0</v>
      </c>
      <c r="HV61">
        <v>0</v>
      </c>
      <c r="HW61">
        <v>0</v>
      </c>
      <c r="HX61" t="s">
        <v>421</v>
      </c>
      <c r="HY61" t="s">
        <v>422</v>
      </c>
      <c r="HZ61" t="s">
        <v>423</v>
      </c>
      <c r="IA61" t="s">
        <v>424</v>
      </c>
      <c r="IB61" t="s">
        <v>424</v>
      </c>
      <c r="IC61" t="s">
        <v>423</v>
      </c>
      <c r="ID61">
        <v>0</v>
      </c>
      <c r="IE61">
        <v>100</v>
      </c>
      <c r="IF61">
        <v>100</v>
      </c>
      <c r="IG61">
        <v>2.3199999999999998</v>
      </c>
      <c r="IH61">
        <v>0.32219999999999999</v>
      </c>
      <c r="II61">
        <v>1.942522529104479</v>
      </c>
      <c r="IJ61">
        <v>8.9576739069318506E-4</v>
      </c>
      <c r="IK61">
        <v>-7.2130504814809596E-7</v>
      </c>
      <c r="IL61">
        <v>1.9987036519832741E-10</v>
      </c>
      <c r="IM61">
        <v>0.32220500000000379</v>
      </c>
      <c r="IN61">
        <v>0</v>
      </c>
      <c r="IO61">
        <v>0</v>
      </c>
      <c r="IP61">
        <v>0</v>
      </c>
      <c r="IQ61">
        <v>1</v>
      </c>
      <c r="IR61">
        <v>2126</v>
      </c>
      <c r="IS61">
        <v>0</v>
      </c>
      <c r="IT61">
        <v>20</v>
      </c>
      <c r="IU61">
        <v>0.5</v>
      </c>
      <c r="IV61">
        <v>0.8</v>
      </c>
      <c r="IW61">
        <v>2.6415999999999999</v>
      </c>
      <c r="IX61">
        <v>2.6660200000000001</v>
      </c>
      <c r="IY61">
        <v>1.69434</v>
      </c>
      <c r="IZ61">
        <v>2.3339799999999999</v>
      </c>
      <c r="JA61">
        <v>1.5466299999999999</v>
      </c>
      <c r="JB61">
        <v>2.36084</v>
      </c>
      <c r="JC61">
        <v>45.661799999999999</v>
      </c>
      <c r="JD61">
        <v>23.912400000000002</v>
      </c>
      <c r="JE61">
        <v>18</v>
      </c>
      <c r="JF61">
        <v>498.08800000000002</v>
      </c>
      <c r="JG61">
        <v>481.53</v>
      </c>
      <c r="JH61">
        <v>26.450099999999999</v>
      </c>
      <c r="JI61">
        <v>34.1008</v>
      </c>
      <c r="JJ61">
        <v>30.0001</v>
      </c>
      <c r="JK61">
        <v>34.128300000000003</v>
      </c>
      <c r="JL61">
        <v>34.097499999999997</v>
      </c>
      <c r="JM61">
        <v>52.927199999999999</v>
      </c>
      <c r="JN61">
        <v>9.0340699999999998</v>
      </c>
      <c r="JO61">
        <v>45.710299999999997</v>
      </c>
      <c r="JP61">
        <v>26.414000000000001</v>
      </c>
      <c r="JQ61">
        <v>1250</v>
      </c>
      <c r="JR61">
        <v>25.3337</v>
      </c>
      <c r="JS61">
        <v>99.007900000000006</v>
      </c>
      <c r="JT61">
        <v>98.823099999999997</v>
      </c>
    </row>
    <row r="62" spans="1:280" x14ac:dyDescent="0.25">
      <c r="A62">
        <v>60</v>
      </c>
      <c r="B62">
        <v>1700163947</v>
      </c>
      <c r="C62">
        <v>16417.400000095371</v>
      </c>
      <c r="D62" t="s">
        <v>618</v>
      </c>
      <c r="E62" t="s">
        <v>619</v>
      </c>
      <c r="F62" t="s">
        <v>412</v>
      </c>
      <c r="G62" t="s">
        <v>413</v>
      </c>
      <c r="H62" t="s">
        <v>606</v>
      </c>
      <c r="I62">
        <v>1700163947</v>
      </c>
      <c r="J62">
        <f t="shared" si="46"/>
        <v>2.4229671207432065E-3</v>
      </c>
      <c r="K62">
        <f t="shared" si="47"/>
        <v>2.4229671207432064</v>
      </c>
      <c r="L62">
        <f t="shared" si="48"/>
        <v>55.455569650973423</v>
      </c>
      <c r="M62">
        <f t="shared" si="49"/>
        <v>940.21</v>
      </c>
      <c r="N62">
        <f t="shared" si="50"/>
        <v>349.31734312904547</v>
      </c>
      <c r="O62">
        <f t="shared" si="51"/>
        <v>34.578754377432801</v>
      </c>
      <c r="P62">
        <f t="shared" si="52"/>
        <v>93.070931898150008</v>
      </c>
      <c r="Q62">
        <f t="shared" si="53"/>
        <v>0.15815851403126183</v>
      </c>
      <c r="R62">
        <f t="shared" si="54"/>
        <v>3.077170934394454</v>
      </c>
      <c r="S62">
        <f t="shared" si="55"/>
        <v>0.15377734697280168</v>
      </c>
      <c r="T62">
        <f t="shared" si="56"/>
        <v>9.6494363510555695E-2</v>
      </c>
      <c r="U62">
        <f t="shared" si="57"/>
        <v>289.55645684748544</v>
      </c>
      <c r="V62">
        <f t="shared" si="58"/>
        <v>30.814340917713778</v>
      </c>
      <c r="W62">
        <f t="shared" si="59"/>
        <v>29.970400000000001</v>
      </c>
      <c r="X62">
        <f t="shared" si="60"/>
        <v>4.253211521118593</v>
      </c>
      <c r="Y62">
        <f t="shared" si="61"/>
        <v>65.310184737828834</v>
      </c>
      <c r="Z62">
        <f t="shared" si="62"/>
        <v>2.7486616609080001</v>
      </c>
      <c r="AA62">
        <f t="shared" si="63"/>
        <v>4.2086263757204252</v>
      </c>
      <c r="AB62">
        <f t="shared" si="64"/>
        <v>1.5045498602105929</v>
      </c>
      <c r="AC62">
        <f t="shared" si="65"/>
        <v>-106.85285002477541</v>
      </c>
      <c r="AD62">
        <f t="shared" si="66"/>
        <v>-30.408817344783476</v>
      </c>
      <c r="AE62">
        <f t="shared" si="67"/>
        <v>-2.1946515125833432</v>
      </c>
      <c r="AF62">
        <f t="shared" si="68"/>
        <v>150.10013796534321</v>
      </c>
      <c r="AG62">
        <v>4</v>
      </c>
      <c r="AH62">
        <v>1</v>
      </c>
      <c r="AI62">
        <f t="shared" si="69"/>
        <v>1</v>
      </c>
      <c r="AJ62">
        <f t="shared" si="70"/>
        <v>0</v>
      </c>
      <c r="AK62">
        <f t="shared" si="71"/>
        <v>51768.192135547193</v>
      </c>
      <c r="AL62" t="s">
        <v>427</v>
      </c>
      <c r="AM62" t="s">
        <v>427</v>
      </c>
      <c r="AN62">
        <v>0</v>
      </c>
      <c r="AO62">
        <v>0</v>
      </c>
      <c r="AP62" t="e">
        <f t="shared" si="72"/>
        <v>#DIV/0!</v>
      </c>
      <c r="AQ62">
        <v>0</v>
      </c>
      <c r="AR62" t="s">
        <v>427</v>
      </c>
      <c r="AS62" t="s">
        <v>427</v>
      </c>
      <c r="AT62">
        <v>0</v>
      </c>
      <c r="AU62">
        <v>0</v>
      </c>
      <c r="AV62" t="e">
        <f t="shared" si="73"/>
        <v>#DIV/0!</v>
      </c>
      <c r="AW62">
        <v>0.5</v>
      </c>
      <c r="AX62">
        <f t="shared" si="74"/>
        <v>1513.1264999209768</v>
      </c>
      <c r="AY62">
        <f t="shared" si="75"/>
        <v>55.455569650973423</v>
      </c>
      <c r="AZ62" t="e">
        <f t="shared" si="76"/>
        <v>#DIV/0!</v>
      </c>
      <c r="BA62">
        <f t="shared" si="77"/>
        <v>3.6649658606778476E-2</v>
      </c>
      <c r="BB62" t="e">
        <f t="shared" si="78"/>
        <v>#DIV/0!</v>
      </c>
      <c r="BC62" t="e">
        <f t="shared" si="79"/>
        <v>#DIV/0!</v>
      </c>
      <c r="BD62" t="s">
        <v>427</v>
      </c>
      <c r="BE62">
        <v>0</v>
      </c>
      <c r="BF62" t="e">
        <f t="shared" si="80"/>
        <v>#DIV/0!</v>
      </c>
      <c r="BG62" t="e">
        <f t="shared" si="81"/>
        <v>#DIV/0!</v>
      </c>
      <c r="BH62" t="e">
        <f t="shared" si="82"/>
        <v>#DIV/0!</v>
      </c>
      <c r="BI62" t="e">
        <f t="shared" si="83"/>
        <v>#DIV/0!</v>
      </c>
      <c r="BJ62" t="e">
        <f t="shared" si="84"/>
        <v>#DIV/0!</v>
      </c>
      <c r="BK62" t="e">
        <f t="shared" si="85"/>
        <v>#DIV/0!</v>
      </c>
      <c r="BL62" t="e">
        <f t="shared" si="86"/>
        <v>#DIV/0!</v>
      </c>
      <c r="BM62" t="e">
        <f t="shared" si="87"/>
        <v>#DIV/0!</v>
      </c>
      <c r="BN62">
        <v>97</v>
      </c>
      <c r="BO62">
        <v>290.00000000000011</v>
      </c>
      <c r="BP62">
        <v>858.94</v>
      </c>
      <c r="BQ62">
        <v>295</v>
      </c>
      <c r="BR62">
        <v>7137.91</v>
      </c>
      <c r="BS62">
        <v>861.19</v>
      </c>
      <c r="BT62">
        <v>-2.25</v>
      </c>
      <c r="BU62">
        <v>300.00000000000011</v>
      </c>
      <c r="BV62">
        <v>38.200000000000003</v>
      </c>
      <c r="BW62">
        <v>966.52226977066846</v>
      </c>
      <c r="BX62">
        <v>1.479040479231623</v>
      </c>
      <c r="BY62">
        <v>-75.18656500637853</v>
      </c>
      <c r="BZ62">
        <v>0.88491508657355777</v>
      </c>
      <c r="CA62">
        <v>0.99613633446956606</v>
      </c>
      <c r="CB62">
        <v>-7.0441452725250337E-3</v>
      </c>
      <c r="CC62">
        <v>289.99999999999989</v>
      </c>
      <c r="CD62">
        <v>868.14</v>
      </c>
      <c r="CE62">
        <v>845</v>
      </c>
      <c r="CF62">
        <v>7132.59</v>
      </c>
      <c r="CG62">
        <v>861.11</v>
      </c>
      <c r="CH62">
        <v>7.03</v>
      </c>
      <c r="CV62">
        <f t="shared" si="88"/>
        <v>1799.93</v>
      </c>
      <c r="CW62">
        <f t="shared" si="89"/>
        <v>1513.1264999209768</v>
      </c>
      <c r="CX62">
        <f t="shared" si="90"/>
        <v>0.84065852556542575</v>
      </c>
      <c r="CY62">
        <f t="shared" si="91"/>
        <v>0.16087095434127185</v>
      </c>
      <c r="CZ62">
        <v>5.18</v>
      </c>
      <c r="DA62">
        <v>0.5</v>
      </c>
      <c r="DB62" t="s">
        <v>418</v>
      </c>
      <c r="DC62">
        <v>2</v>
      </c>
      <c r="DD62">
        <v>1700163947</v>
      </c>
      <c r="DE62">
        <v>940.21</v>
      </c>
      <c r="DF62">
        <v>1000.01</v>
      </c>
      <c r="DG62">
        <v>27.767199999999999</v>
      </c>
      <c r="DH62">
        <v>25.327200000000001</v>
      </c>
      <c r="DI62">
        <v>938.01400000000001</v>
      </c>
      <c r="DJ62">
        <v>27.430900000000001</v>
      </c>
      <c r="DK62">
        <v>500.101</v>
      </c>
      <c r="DL62">
        <v>98.889300000000006</v>
      </c>
      <c r="DM62">
        <v>0.100215</v>
      </c>
      <c r="DN62">
        <v>29.787099999999999</v>
      </c>
      <c r="DO62">
        <v>29.970400000000001</v>
      </c>
      <c r="DP62">
        <v>999.9</v>
      </c>
      <c r="DQ62">
        <v>0</v>
      </c>
      <c r="DR62">
        <v>0</v>
      </c>
      <c r="DS62">
        <v>9991.8799999999992</v>
      </c>
      <c r="DT62">
        <v>0</v>
      </c>
      <c r="DU62">
        <v>281.10000000000002</v>
      </c>
      <c r="DV62">
        <v>-59.8035</v>
      </c>
      <c r="DW62">
        <v>967.06299999999999</v>
      </c>
      <c r="DX62">
        <v>1026</v>
      </c>
      <c r="DY62">
        <v>2.4399899999999999</v>
      </c>
      <c r="DZ62">
        <v>1000.01</v>
      </c>
      <c r="EA62">
        <v>25.327200000000001</v>
      </c>
      <c r="EB62">
        <v>2.7458800000000001</v>
      </c>
      <c r="EC62">
        <v>2.5045899999999999</v>
      </c>
      <c r="ED62">
        <v>22.5623</v>
      </c>
      <c r="EE62">
        <v>21.0564</v>
      </c>
      <c r="EF62">
        <v>1799.93</v>
      </c>
      <c r="EG62">
        <v>0.977989</v>
      </c>
      <c r="EH62">
        <v>2.2010700000000001E-2</v>
      </c>
      <c r="EI62">
        <v>0</v>
      </c>
      <c r="EJ62">
        <v>605.46500000000003</v>
      </c>
      <c r="EK62">
        <v>5.0001199999999999</v>
      </c>
      <c r="EL62">
        <v>10906.9</v>
      </c>
      <c r="EM62">
        <v>15629.3</v>
      </c>
      <c r="EN62">
        <v>50.125</v>
      </c>
      <c r="EO62">
        <v>51.061999999999998</v>
      </c>
      <c r="EP62">
        <v>51</v>
      </c>
      <c r="EQ62">
        <v>50.936999999999998</v>
      </c>
      <c r="ER62">
        <v>51.686999999999998</v>
      </c>
      <c r="ES62">
        <v>1755.42</v>
      </c>
      <c r="ET62">
        <v>39.51</v>
      </c>
      <c r="EU62">
        <v>0</v>
      </c>
      <c r="EV62">
        <v>112.2000000476837</v>
      </c>
      <c r="EW62">
        <v>0</v>
      </c>
      <c r="EX62">
        <v>605.44219230769238</v>
      </c>
      <c r="EY62">
        <v>0.32461539472834389</v>
      </c>
      <c r="EZ62">
        <v>-7.7094017277138347</v>
      </c>
      <c r="FA62">
        <v>10909.542307692311</v>
      </c>
      <c r="FB62">
        <v>15</v>
      </c>
      <c r="FC62">
        <v>1700163912.5</v>
      </c>
      <c r="FD62" t="s">
        <v>620</v>
      </c>
      <c r="FE62">
        <v>1700163912.5</v>
      </c>
      <c r="FF62">
        <v>1700163908.5</v>
      </c>
      <c r="FG62">
        <v>71</v>
      </c>
      <c r="FH62">
        <v>-0.11700000000000001</v>
      </c>
      <c r="FI62">
        <v>1.4E-2</v>
      </c>
      <c r="FJ62">
        <v>2.2000000000000002</v>
      </c>
      <c r="FK62">
        <v>0.33600000000000002</v>
      </c>
      <c r="FL62">
        <v>1000</v>
      </c>
      <c r="FM62">
        <v>25</v>
      </c>
      <c r="FN62">
        <v>7.0000000000000007E-2</v>
      </c>
      <c r="FO62">
        <v>0.06</v>
      </c>
      <c r="FP62">
        <v>55.576251035085058</v>
      </c>
      <c r="FQ62">
        <v>-0.64064880228315368</v>
      </c>
      <c r="FR62">
        <v>7.6363850812792219E-2</v>
      </c>
      <c r="FS62">
        <v>1</v>
      </c>
      <c r="FT62">
        <v>0.15472949989703749</v>
      </c>
      <c r="FU62">
        <v>4.4649551179320811E-2</v>
      </c>
      <c r="FV62">
        <v>3.5073041982250351E-3</v>
      </c>
      <c r="FW62">
        <v>1</v>
      </c>
      <c r="FX62">
        <v>2</v>
      </c>
      <c r="FY62">
        <v>2</v>
      </c>
      <c r="FZ62" t="s">
        <v>420</v>
      </c>
      <c r="GA62">
        <v>2.9151500000000001</v>
      </c>
      <c r="GB62">
        <v>2.7511399999999999</v>
      </c>
      <c r="GC62">
        <v>0.16533900000000001</v>
      </c>
      <c r="GD62">
        <v>0.17475399999999999</v>
      </c>
      <c r="GE62">
        <v>0.12657099999999999</v>
      </c>
      <c r="GF62">
        <v>0.121308</v>
      </c>
      <c r="GG62">
        <v>25897.8</v>
      </c>
      <c r="GH62">
        <v>25461.3</v>
      </c>
      <c r="GI62">
        <v>28263.3</v>
      </c>
      <c r="GJ62">
        <v>28213.9</v>
      </c>
      <c r="GK62">
        <v>33646.699999999997</v>
      </c>
      <c r="GL62">
        <v>34629.199999999997</v>
      </c>
      <c r="GM62">
        <v>42467.5</v>
      </c>
      <c r="GN62">
        <v>43866.2</v>
      </c>
      <c r="GO62">
        <v>1.75905</v>
      </c>
      <c r="GP62">
        <v>1.8788</v>
      </c>
      <c r="GQ62">
        <v>5.1762900000000001E-2</v>
      </c>
      <c r="GR62">
        <v>0</v>
      </c>
      <c r="GS62">
        <v>29.127400000000002</v>
      </c>
      <c r="GT62">
        <v>999.9</v>
      </c>
      <c r="GU62">
        <v>34.799999999999997</v>
      </c>
      <c r="GV62">
        <v>42.6</v>
      </c>
      <c r="GW62">
        <v>29.9373</v>
      </c>
      <c r="GX62">
        <v>61.150799999999997</v>
      </c>
      <c r="GY62">
        <v>30.492799999999999</v>
      </c>
      <c r="GZ62">
        <v>1</v>
      </c>
      <c r="HA62">
        <v>0.55940599999999996</v>
      </c>
      <c r="HB62">
        <v>2.6571600000000002</v>
      </c>
      <c r="HC62">
        <v>20.2456</v>
      </c>
      <c r="HD62">
        <v>5.2712000000000003</v>
      </c>
      <c r="HE62">
        <v>12.087999999999999</v>
      </c>
      <c r="HF62">
        <v>5.0114999999999998</v>
      </c>
      <c r="HG62">
        <v>3.2911999999999999</v>
      </c>
      <c r="HH62">
        <v>9999</v>
      </c>
      <c r="HI62">
        <v>9999</v>
      </c>
      <c r="HJ62">
        <v>9999</v>
      </c>
      <c r="HK62">
        <v>999.9</v>
      </c>
      <c r="HL62">
        <v>1.8760600000000001</v>
      </c>
      <c r="HM62">
        <v>1.8766099999999999</v>
      </c>
      <c r="HN62">
        <v>1.8763700000000001</v>
      </c>
      <c r="HO62">
        <v>1.88015</v>
      </c>
      <c r="HP62">
        <v>1.87378</v>
      </c>
      <c r="HQ62">
        <v>1.8768199999999999</v>
      </c>
      <c r="HR62">
        <v>1.8766700000000001</v>
      </c>
      <c r="HS62">
        <v>1.87805</v>
      </c>
      <c r="HT62">
        <v>0</v>
      </c>
      <c r="HU62">
        <v>0</v>
      </c>
      <c r="HV62">
        <v>0</v>
      </c>
      <c r="HW62">
        <v>0</v>
      </c>
      <c r="HX62" t="s">
        <v>421</v>
      </c>
      <c r="HY62" t="s">
        <v>422</v>
      </c>
      <c r="HZ62" t="s">
        <v>423</v>
      </c>
      <c r="IA62" t="s">
        <v>424</v>
      </c>
      <c r="IB62" t="s">
        <v>424</v>
      </c>
      <c r="IC62" t="s">
        <v>423</v>
      </c>
      <c r="ID62">
        <v>0</v>
      </c>
      <c r="IE62">
        <v>100</v>
      </c>
      <c r="IF62">
        <v>100</v>
      </c>
      <c r="IG62">
        <v>2.1960000000000002</v>
      </c>
      <c r="IH62">
        <v>0.33629999999999999</v>
      </c>
      <c r="II62">
        <v>1.8255512079688081</v>
      </c>
      <c r="IJ62">
        <v>8.9576739069318506E-4</v>
      </c>
      <c r="IK62">
        <v>-7.2130504814809596E-7</v>
      </c>
      <c r="IL62">
        <v>1.9987036519832741E-10</v>
      </c>
      <c r="IM62">
        <v>0.33630000000000138</v>
      </c>
      <c r="IN62">
        <v>0</v>
      </c>
      <c r="IO62">
        <v>0</v>
      </c>
      <c r="IP62">
        <v>0</v>
      </c>
      <c r="IQ62">
        <v>1</v>
      </c>
      <c r="IR62">
        <v>2126</v>
      </c>
      <c r="IS62">
        <v>0</v>
      </c>
      <c r="IT62">
        <v>20</v>
      </c>
      <c r="IU62">
        <v>0.6</v>
      </c>
      <c r="IV62">
        <v>0.6</v>
      </c>
      <c r="IW62">
        <v>2.2009300000000001</v>
      </c>
      <c r="IX62">
        <v>2.6660200000000001</v>
      </c>
      <c r="IY62">
        <v>1.69434</v>
      </c>
      <c r="IZ62">
        <v>2.33521</v>
      </c>
      <c r="JA62">
        <v>1.5466299999999999</v>
      </c>
      <c r="JB62">
        <v>2.34253</v>
      </c>
      <c r="JC62">
        <v>45.547199999999997</v>
      </c>
      <c r="JD62">
        <v>23.921099999999999</v>
      </c>
      <c r="JE62">
        <v>18</v>
      </c>
      <c r="JF62">
        <v>498.09800000000001</v>
      </c>
      <c r="JG62">
        <v>481.54599999999999</v>
      </c>
      <c r="JH62">
        <v>26.560300000000002</v>
      </c>
      <c r="JI62">
        <v>34.080500000000001</v>
      </c>
      <c r="JJ62">
        <v>30.0001</v>
      </c>
      <c r="JK62">
        <v>34.0974</v>
      </c>
      <c r="JL62">
        <v>34.0642</v>
      </c>
      <c r="JM62">
        <v>44.123899999999999</v>
      </c>
      <c r="JN62">
        <v>13.3453</v>
      </c>
      <c r="JO62">
        <v>46.569200000000002</v>
      </c>
      <c r="JP62">
        <v>26.5763</v>
      </c>
      <c r="JQ62">
        <v>1000</v>
      </c>
      <c r="JR62">
        <v>25.258900000000001</v>
      </c>
      <c r="JS62">
        <v>99.011099999999999</v>
      </c>
      <c r="JT62">
        <v>98.825500000000005</v>
      </c>
    </row>
    <row r="63" spans="1:280" x14ac:dyDescent="0.25">
      <c r="A63">
        <v>61</v>
      </c>
      <c r="B63">
        <v>1700164184.5999999</v>
      </c>
      <c r="C63">
        <v>16655</v>
      </c>
      <c r="D63" t="s">
        <v>621</v>
      </c>
      <c r="E63" t="s">
        <v>622</v>
      </c>
      <c r="F63" t="s">
        <v>412</v>
      </c>
      <c r="G63" t="s">
        <v>413</v>
      </c>
      <c r="H63" t="s">
        <v>606</v>
      </c>
      <c r="I63">
        <v>1700164184.5999999</v>
      </c>
      <c r="J63">
        <f t="shared" si="46"/>
        <v>2.9514417300943001E-3</v>
      </c>
      <c r="K63">
        <f t="shared" si="47"/>
        <v>2.9514417300943001</v>
      </c>
      <c r="L63">
        <f t="shared" si="48"/>
        <v>56.073402913449954</v>
      </c>
      <c r="M63">
        <f t="shared" si="49"/>
        <v>689.83900000000006</v>
      </c>
      <c r="N63">
        <f t="shared" si="50"/>
        <v>200.29725502238736</v>
      </c>
      <c r="O63">
        <f t="shared" si="51"/>
        <v>19.822555547653391</v>
      </c>
      <c r="P63">
        <f t="shared" si="52"/>
        <v>68.270390899312503</v>
      </c>
      <c r="Q63">
        <f t="shared" si="53"/>
        <v>0.19315454624767728</v>
      </c>
      <c r="R63">
        <f t="shared" si="54"/>
        <v>3.0740742354420982</v>
      </c>
      <c r="S63">
        <f t="shared" si="55"/>
        <v>0.18665654434872966</v>
      </c>
      <c r="T63">
        <f t="shared" si="56"/>
        <v>0.11722594885211637</v>
      </c>
      <c r="U63">
        <f t="shared" si="57"/>
        <v>289.56762884749139</v>
      </c>
      <c r="V63">
        <f t="shared" si="58"/>
        <v>30.853509227890324</v>
      </c>
      <c r="W63">
        <f t="shared" si="59"/>
        <v>30.004799999999999</v>
      </c>
      <c r="X63">
        <f t="shared" si="60"/>
        <v>4.2616245539197797</v>
      </c>
      <c r="Y63">
        <f t="shared" si="61"/>
        <v>64.760824033740548</v>
      </c>
      <c r="Z63">
        <f t="shared" si="62"/>
        <v>2.7522159762374998</v>
      </c>
      <c r="AA63">
        <f t="shared" si="63"/>
        <v>4.2498161771437442</v>
      </c>
      <c r="AB63">
        <f t="shared" si="64"/>
        <v>1.5094085776822799</v>
      </c>
      <c r="AC63">
        <f t="shared" si="65"/>
        <v>-130.15858029715864</v>
      </c>
      <c r="AD63">
        <f t="shared" si="66"/>
        <v>-8.0047343757499441</v>
      </c>
      <c r="AE63">
        <f t="shared" si="67"/>
        <v>-0.57887989124955841</v>
      </c>
      <c r="AF63">
        <f t="shared" si="68"/>
        <v>150.82543428333324</v>
      </c>
      <c r="AG63">
        <v>4</v>
      </c>
      <c r="AH63">
        <v>1</v>
      </c>
      <c r="AI63">
        <f t="shared" si="69"/>
        <v>1</v>
      </c>
      <c r="AJ63">
        <f t="shared" si="70"/>
        <v>0</v>
      </c>
      <c r="AK63">
        <f t="shared" si="71"/>
        <v>51658.547836913182</v>
      </c>
      <c r="AL63" t="s">
        <v>415</v>
      </c>
      <c r="AM63">
        <v>6960.3</v>
      </c>
      <c r="AN63">
        <v>244.8124</v>
      </c>
      <c r="AO63">
        <v>892.86711584811997</v>
      </c>
      <c r="AP63">
        <f t="shared" si="72"/>
        <v>0.72581317459826411</v>
      </c>
      <c r="AQ63">
        <v>-0.43209471141234851</v>
      </c>
      <c r="AR63" t="s">
        <v>623</v>
      </c>
      <c r="AS63">
        <v>7137.77</v>
      </c>
      <c r="AT63">
        <v>602.23657692307688</v>
      </c>
      <c r="AU63">
        <v>922.79000434734189</v>
      </c>
      <c r="AV63">
        <f t="shared" si="73"/>
        <v>0.34737418688337618</v>
      </c>
      <c r="AW63">
        <v>0.5</v>
      </c>
      <c r="AX63">
        <f t="shared" si="74"/>
        <v>1513.18529992098</v>
      </c>
      <c r="AY63">
        <f t="shared" si="75"/>
        <v>56.073402913449954</v>
      </c>
      <c r="AZ63">
        <f t="shared" si="76"/>
        <v>262.82075658196408</v>
      </c>
      <c r="BA63">
        <f t="shared" si="77"/>
        <v>3.7342087335776437E-2</v>
      </c>
      <c r="BB63">
        <f t="shared" si="78"/>
        <v>-3.2426541638132904E-2</v>
      </c>
      <c r="BC63">
        <f t="shared" si="79"/>
        <v>247.00853572665017</v>
      </c>
      <c r="BD63" t="s">
        <v>624</v>
      </c>
      <c r="BE63">
        <v>447.83</v>
      </c>
      <c r="BF63">
        <f t="shared" si="80"/>
        <v>447.83</v>
      </c>
      <c r="BG63">
        <f t="shared" si="81"/>
        <v>0.51469998819857721</v>
      </c>
      <c r="BH63">
        <f t="shared" si="82"/>
        <v>0.67490614891826095</v>
      </c>
      <c r="BI63">
        <f t="shared" si="83"/>
        <v>-6.7236838083037237E-2</v>
      </c>
      <c r="BJ63">
        <f t="shared" si="84"/>
        <v>0.47280828359049881</v>
      </c>
      <c r="BK63">
        <f t="shared" si="85"/>
        <v>-4.6173398275578238E-2</v>
      </c>
      <c r="BL63">
        <f t="shared" si="86"/>
        <v>0.5018679240876962</v>
      </c>
      <c r="BM63">
        <f t="shared" si="87"/>
        <v>0.4981320759123038</v>
      </c>
      <c r="BN63">
        <v>99</v>
      </c>
      <c r="BO63">
        <v>290.00000000000011</v>
      </c>
      <c r="BP63">
        <v>831.99</v>
      </c>
      <c r="BQ63">
        <v>285</v>
      </c>
      <c r="BR63">
        <v>7137.77</v>
      </c>
      <c r="BS63">
        <v>833.43</v>
      </c>
      <c r="BT63">
        <v>-1.44</v>
      </c>
      <c r="BU63">
        <v>300.00000000000011</v>
      </c>
      <c r="BV63">
        <v>38.200000000000003</v>
      </c>
      <c r="BW63">
        <v>922.79000434734189</v>
      </c>
      <c r="BX63">
        <v>1.302880150587846</v>
      </c>
      <c r="BY63">
        <v>-63.783194339846403</v>
      </c>
      <c r="BZ63">
        <v>0.77950304673006676</v>
      </c>
      <c r="CA63">
        <v>0.99583544392534418</v>
      </c>
      <c r="CB63">
        <v>-7.043855172413795E-3</v>
      </c>
      <c r="CC63">
        <v>289.99999999999989</v>
      </c>
      <c r="CD63">
        <v>841.93</v>
      </c>
      <c r="CE63">
        <v>795</v>
      </c>
      <c r="CF63">
        <v>7133.04</v>
      </c>
      <c r="CG63">
        <v>833.37</v>
      </c>
      <c r="CH63">
        <v>8.56</v>
      </c>
      <c r="CV63">
        <f t="shared" si="88"/>
        <v>1800</v>
      </c>
      <c r="CW63">
        <f t="shared" si="89"/>
        <v>1513.18529992098</v>
      </c>
      <c r="CX63">
        <f t="shared" si="90"/>
        <v>0.84065849995609998</v>
      </c>
      <c r="CY63">
        <f t="shared" si="91"/>
        <v>0.16087090491527301</v>
      </c>
      <c r="CZ63">
        <v>5.18</v>
      </c>
      <c r="DA63">
        <v>0.5</v>
      </c>
      <c r="DB63" t="s">
        <v>418</v>
      </c>
      <c r="DC63">
        <v>2</v>
      </c>
      <c r="DD63">
        <v>1700164184.5999999</v>
      </c>
      <c r="DE63">
        <v>689.83900000000006</v>
      </c>
      <c r="DF63">
        <v>750.02700000000004</v>
      </c>
      <c r="DG63">
        <v>27.809799999999999</v>
      </c>
      <c r="DH63">
        <v>24.837800000000001</v>
      </c>
      <c r="DI63">
        <v>687.84</v>
      </c>
      <c r="DJ63">
        <v>27.475100000000001</v>
      </c>
      <c r="DK63">
        <v>500.11099999999999</v>
      </c>
      <c r="DL63">
        <v>98.865700000000004</v>
      </c>
      <c r="DM63">
        <v>9.9987500000000007E-2</v>
      </c>
      <c r="DN63">
        <v>29.956499999999998</v>
      </c>
      <c r="DO63">
        <v>30.004799999999999</v>
      </c>
      <c r="DP63">
        <v>999.9</v>
      </c>
      <c r="DQ63">
        <v>0</v>
      </c>
      <c r="DR63">
        <v>0</v>
      </c>
      <c r="DS63">
        <v>9978.1200000000008</v>
      </c>
      <c r="DT63">
        <v>0</v>
      </c>
      <c r="DU63">
        <v>288.303</v>
      </c>
      <c r="DV63">
        <v>-60.187100000000001</v>
      </c>
      <c r="DW63">
        <v>709.57299999999998</v>
      </c>
      <c r="DX63">
        <v>769.13</v>
      </c>
      <c r="DY63">
        <v>2.9719799999999998</v>
      </c>
      <c r="DZ63">
        <v>750.02700000000004</v>
      </c>
      <c r="EA63">
        <v>24.837800000000001</v>
      </c>
      <c r="EB63">
        <v>2.7494299999999998</v>
      </c>
      <c r="EC63">
        <v>2.4556100000000001</v>
      </c>
      <c r="ED63">
        <v>22.583600000000001</v>
      </c>
      <c r="EE63">
        <v>20.735199999999999</v>
      </c>
      <c r="EF63">
        <v>1800</v>
      </c>
      <c r="EG63">
        <v>0.977989</v>
      </c>
      <c r="EH63">
        <v>2.2010700000000001E-2</v>
      </c>
      <c r="EI63">
        <v>0</v>
      </c>
      <c r="EJ63">
        <v>602.21500000000003</v>
      </c>
      <c r="EK63">
        <v>5.0001199999999999</v>
      </c>
      <c r="EL63">
        <v>10853.2</v>
      </c>
      <c r="EM63">
        <v>15629.9</v>
      </c>
      <c r="EN63">
        <v>49.936999999999998</v>
      </c>
      <c r="EO63">
        <v>50.875</v>
      </c>
      <c r="EP63">
        <v>50.75</v>
      </c>
      <c r="EQ63">
        <v>50.625</v>
      </c>
      <c r="ER63">
        <v>51.561999999999998</v>
      </c>
      <c r="ES63">
        <v>1755.49</v>
      </c>
      <c r="ET63">
        <v>39.51</v>
      </c>
      <c r="EU63">
        <v>0</v>
      </c>
      <c r="EV63">
        <v>349.79999995231628</v>
      </c>
      <c r="EW63">
        <v>0</v>
      </c>
      <c r="EX63">
        <v>602.23657692307688</v>
      </c>
      <c r="EY63">
        <v>-1.4366837443307241</v>
      </c>
      <c r="EZ63">
        <v>-10.18461542501838</v>
      </c>
      <c r="FA63">
        <v>10856.01153846154</v>
      </c>
      <c r="FB63">
        <v>15</v>
      </c>
      <c r="FC63">
        <v>1700164012.0999999</v>
      </c>
      <c r="FD63" t="s">
        <v>625</v>
      </c>
      <c r="FE63">
        <v>1700164012.0999999</v>
      </c>
      <c r="FF63">
        <v>1700164005.0999999</v>
      </c>
      <c r="FG63">
        <v>72</v>
      </c>
      <c r="FH63">
        <v>-0.16600000000000001</v>
      </c>
      <c r="FI63">
        <v>-2E-3</v>
      </c>
      <c r="FJ63">
        <v>2.0099999999999998</v>
      </c>
      <c r="FK63">
        <v>0.33500000000000002</v>
      </c>
      <c r="FL63">
        <v>750</v>
      </c>
      <c r="FM63">
        <v>25</v>
      </c>
      <c r="FN63">
        <v>0.05</v>
      </c>
      <c r="FO63">
        <v>0.05</v>
      </c>
      <c r="FP63">
        <v>55.944253766856583</v>
      </c>
      <c r="FQ63">
        <v>0.35905721615815278</v>
      </c>
      <c r="FR63">
        <v>6.4259865730600774E-2</v>
      </c>
      <c r="FS63">
        <v>1</v>
      </c>
      <c r="FT63">
        <v>0.1925651267806697</v>
      </c>
      <c r="FU63">
        <v>8.2919112414620369E-3</v>
      </c>
      <c r="FV63">
        <v>6.1409913667827612E-4</v>
      </c>
      <c r="FW63">
        <v>1</v>
      </c>
      <c r="FX63">
        <v>2</v>
      </c>
      <c r="FY63">
        <v>2</v>
      </c>
      <c r="FZ63" t="s">
        <v>420</v>
      </c>
      <c r="GA63">
        <v>2.9154599999999999</v>
      </c>
      <c r="GB63">
        <v>2.7507999999999999</v>
      </c>
      <c r="GC63">
        <v>0.134407</v>
      </c>
      <c r="GD63">
        <v>0.14469899999999999</v>
      </c>
      <c r="GE63">
        <v>0.12671499999999999</v>
      </c>
      <c r="GF63">
        <v>0.119688</v>
      </c>
      <c r="GG63">
        <v>26865.3</v>
      </c>
      <c r="GH63">
        <v>26396.6</v>
      </c>
      <c r="GI63">
        <v>28269.599999999999</v>
      </c>
      <c r="GJ63">
        <v>28220.7</v>
      </c>
      <c r="GK63">
        <v>33649</v>
      </c>
      <c r="GL63">
        <v>34700.9</v>
      </c>
      <c r="GM63">
        <v>42477.5</v>
      </c>
      <c r="GN63">
        <v>43876.3</v>
      </c>
      <c r="GO63">
        <v>1.76128</v>
      </c>
      <c r="GP63">
        <v>1.8806700000000001</v>
      </c>
      <c r="GQ63">
        <v>6.1951600000000002E-2</v>
      </c>
      <c r="GR63">
        <v>0</v>
      </c>
      <c r="GS63">
        <v>28.995899999999999</v>
      </c>
      <c r="GT63">
        <v>999.9</v>
      </c>
      <c r="GU63">
        <v>35.200000000000003</v>
      </c>
      <c r="GV63">
        <v>42.4</v>
      </c>
      <c r="GW63">
        <v>29.973099999999999</v>
      </c>
      <c r="GX63">
        <v>60.951700000000002</v>
      </c>
      <c r="GY63">
        <v>30.0641</v>
      </c>
      <c r="GZ63">
        <v>1</v>
      </c>
      <c r="HA63">
        <v>0.54620899999999994</v>
      </c>
      <c r="HB63">
        <v>2.3226599999999999</v>
      </c>
      <c r="HC63">
        <v>20.2514</v>
      </c>
      <c r="HD63">
        <v>5.2734500000000004</v>
      </c>
      <c r="HE63">
        <v>12.0878</v>
      </c>
      <c r="HF63">
        <v>5.0130999999999997</v>
      </c>
      <c r="HG63">
        <v>3.2919800000000001</v>
      </c>
      <c r="HH63">
        <v>9999</v>
      </c>
      <c r="HI63">
        <v>9999</v>
      </c>
      <c r="HJ63">
        <v>9999</v>
      </c>
      <c r="HK63">
        <v>999.9</v>
      </c>
      <c r="HL63">
        <v>1.8760600000000001</v>
      </c>
      <c r="HM63">
        <v>1.8765499999999999</v>
      </c>
      <c r="HN63">
        <v>1.8763399999999999</v>
      </c>
      <c r="HO63">
        <v>1.8801099999999999</v>
      </c>
      <c r="HP63">
        <v>1.87375</v>
      </c>
      <c r="HQ63">
        <v>1.8768</v>
      </c>
      <c r="HR63">
        <v>1.8766099999999999</v>
      </c>
      <c r="HS63">
        <v>1.87805</v>
      </c>
      <c r="HT63">
        <v>0</v>
      </c>
      <c r="HU63">
        <v>0</v>
      </c>
      <c r="HV63">
        <v>0</v>
      </c>
      <c r="HW63">
        <v>0</v>
      </c>
      <c r="HX63" t="s">
        <v>421</v>
      </c>
      <c r="HY63" t="s">
        <v>422</v>
      </c>
      <c r="HZ63" t="s">
        <v>423</v>
      </c>
      <c r="IA63" t="s">
        <v>424</v>
      </c>
      <c r="IB63" t="s">
        <v>424</v>
      </c>
      <c r="IC63" t="s">
        <v>423</v>
      </c>
      <c r="ID63">
        <v>0</v>
      </c>
      <c r="IE63">
        <v>100</v>
      </c>
      <c r="IF63">
        <v>100</v>
      </c>
      <c r="IG63">
        <v>1.9990000000000001</v>
      </c>
      <c r="IH63">
        <v>0.3347</v>
      </c>
      <c r="II63">
        <v>1.6595523809934609</v>
      </c>
      <c r="IJ63">
        <v>8.9576739069318506E-4</v>
      </c>
      <c r="IK63">
        <v>-7.2130504814809596E-7</v>
      </c>
      <c r="IL63">
        <v>1.9987036519832741E-10</v>
      </c>
      <c r="IM63">
        <v>0.334699999999998</v>
      </c>
      <c r="IN63">
        <v>0</v>
      </c>
      <c r="IO63">
        <v>0</v>
      </c>
      <c r="IP63">
        <v>0</v>
      </c>
      <c r="IQ63">
        <v>1</v>
      </c>
      <c r="IR63">
        <v>2126</v>
      </c>
      <c r="IS63">
        <v>0</v>
      </c>
      <c r="IT63">
        <v>20</v>
      </c>
      <c r="IU63">
        <v>2.9</v>
      </c>
      <c r="IV63">
        <v>3</v>
      </c>
      <c r="IW63">
        <v>1.7395</v>
      </c>
      <c r="IX63">
        <v>2.67456</v>
      </c>
      <c r="IY63">
        <v>1.69434</v>
      </c>
      <c r="IZ63">
        <v>2.33521</v>
      </c>
      <c r="JA63">
        <v>1.5466299999999999</v>
      </c>
      <c r="JB63">
        <v>2.3022499999999999</v>
      </c>
      <c r="JC63">
        <v>45.233499999999999</v>
      </c>
      <c r="JD63">
        <v>23.921099999999999</v>
      </c>
      <c r="JE63">
        <v>18</v>
      </c>
      <c r="JF63">
        <v>498.84800000000001</v>
      </c>
      <c r="JG63">
        <v>481.95600000000002</v>
      </c>
      <c r="JH63">
        <v>26.930399999999999</v>
      </c>
      <c r="JI63">
        <v>33.942399999999999</v>
      </c>
      <c r="JJ63">
        <v>29.9998</v>
      </c>
      <c r="JK63">
        <v>33.979700000000001</v>
      </c>
      <c r="JL63">
        <v>33.950200000000002</v>
      </c>
      <c r="JM63">
        <v>34.884399999999999</v>
      </c>
      <c r="JN63">
        <v>14.811</v>
      </c>
      <c r="JO63">
        <v>47.338200000000001</v>
      </c>
      <c r="JP63">
        <v>26.932200000000002</v>
      </c>
      <c r="JQ63">
        <v>750</v>
      </c>
      <c r="JR63">
        <v>24.9162</v>
      </c>
      <c r="JS63">
        <v>99.034099999999995</v>
      </c>
      <c r="JT63">
        <v>98.848600000000005</v>
      </c>
    </row>
    <row r="64" spans="1:280" x14ac:dyDescent="0.25">
      <c r="A64">
        <v>62</v>
      </c>
      <c r="B64">
        <v>1700164391.5999999</v>
      </c>
      <c r="C64">
        <v>16862</v>
      </c>
      <c r="D64" t="s">
        <v>626</v>
      </c>
      <c r="E64" t="s">
        <v>627</v>
      </c>
      <c r="F64" t="s">
        <v>412</v>
      </c>
      <c r="G64" t="s">
        <v>413</v>
      </c>
      <c r="H64" t="s">
        <v>606</v>
      </c>
      <c r="I64">
        <v>1700164391.5999999</v>
      </c>
      <c r="J64">
        <f t="shared" si="46"/>
        <v>3.4424300487175489E-3</v>
      </c>
      <c r="K64">
        <f t="shared" si="47"/>
        <v>3.442430048717549</v>
      </c>
      <c r="L64">
        <f t="shared" si="48"/>
        <v>54.394355063049197</v>
      </c>
      <c r="M64">
        <f t="shared" si="49"/>
        <v>541.69000000000005</v>
      </c>
      <c r="N64">
        <f t="shared" si="50"/>
        <v>140.03697713472397</v>
      </c>
      <c r="O64">
        <f t="shared" si="51"/>
        <v>13.857833461630353</v>
      </c>
      <c r="P64">
        <f t="shared" si="52"/>
        <v>53.60476897904401</v>
      </c>
      <c r="Q64">
        <f t="shared" si="53"/>
        <v>0.22918251949688856</v>
      </c>
      <c r="R64">
        <f t="shared" si="54"/>
        <v>3.0750130192292771</v>
      </c>
      <c r="S64">
        <f t="shared" si="55"/>
        <v>0.22009837242562172</v>
      </c>
      <c r="T64">
        <f t="shared" si="56"/>
        <v>0.13834765485443118</v>
      </c>
      <c r="U64">
        <f t="shared" si="57"/>
        <v>289.55805284748629</v>
      </c>
      <c r="V64">
        <f t="shared" si="58"/>
        <v>30.801357377104761</v>
      </c>
      <c r="W64">
        <f t="shared" si="59"/>
        <v>30.002099999999999</v>
      </c>
      <c r="X64">
        <f t="shared" si="60"/>
        <v>4.2609637045948414</v>
      </c>
      <c r="Y64">
        <f t="shared" si="61"/>
        <v>64.875141716968201</v>
      </c>
      <c r="Z64">
        <f t="shared" si="62"/>
        <v>2.7681827680123203</v>
      </c>
      <c r="AA64">
        <f t="shared" si="63"/>
        <v>4.2669390690337368</v>
      </c>
      <c r="AB64">
        <f t="shared" si="64"/>
        <v>1.4927809365825211</v>
      </c>
      <c r="AC64">
        <f t="shared" si="65"/>
        <v>-151.81116514844391</v>
      </c>
      <c r="AD64">
        <f t="shared" si="66"/>
        <v>4.0450344861816028</v>
      </c>
      <c r="AE64">
        <f t="shared" si="67"/>
        <v>0.29253366449696883</v>
      </c>
      <c r="AF64">
        <f t="shared" si="68"/>
        <v>142.08445584972094</v>
      </c>
      <c r="AG64">
        <v>4</v>
      </c>
      <c r="AH64">
        <v>1</v>
      </c>
      <c r="AI64">
        <f t="shared" si="69"/>
        <v>1</v>
      </c>
      <c r="AJ64">
        <f t="shared" si="70"/>
        <v>0</v>
      </c>
      <c r="AK64">
        <f t="shared" si="71"/>
        <v>51670.761853192409</v>
      </c>
      <c r="AL64" t="s">
        <v>415</v>
      </c>
      <c r="AM64">
        <v>6960.3</v>
      </c>
      <c r="AN64">
        <v>244.8124</v>
      </c>
      <c r="AO64">
        <v>892.86711584811997</v>
      </c>
      <c r="AP64">
        <f t="shared" si="72"/>
        <v>0.72581317459826411</v>
      </c>
      <c r="AQ64">
        <v>-0.43209471141234851</v>
      </c>
      <c r="AR64" t="s">
        <v>628</v>
      </c>
      <c r="AS64">
        <v>7137.54</v>
      </c>
      <c r="AT64">
        <v>601.52383999999995</v>
      </c>
      <c r="AU64">
        <v>910.70846481912611</v>
      </c>
      <c r="AV64">
        <f t="shared" si="73"/>
        <v>0.33949901287074635</v>
      </c>
      <c r="AW64">
        <v>0.5</v>
      </c>
      <c r="AX64">
        <f t="shared" si="74"/>
        <v>1513.1348999209772</v>
      </c>
      <c r="AY64">
        <f t="shared" si="75"/>
        <v>54.394355063049197</v>
      </c>
      <c r="AZ64">
        <f t="shared" si="76"/>
        <v>256.85390243172367</v>
      </c>
      <c r="BA64">
        <f t="shared" si="77"/>
        <v>3.6233682652699925E-2</v>
      </c>
      <c r="BB64">
        <f t="shared" si="78"/>
        <v>-1.959062604578906E-2</v>
      </c>
      <c r="BC64">
        <f t="shared" si="79"/>
        <v>246.13450944085608</v>
      </c>
      <c r="BD64" t="s">
        <v>629</v>
      </c>
      <c r="BE64">
        <v>449.81</v>
      </c>
      <c r="BF64">
        <f t="shared" si="80"/>
        <v>449.81</v>
      </c>
      <c r="BG64">
        <f t="shared" si="81"/>
        <v>0.50608782351733628</v>
      </c>
      <c r="BH64">
        <f t="shared" si="82"/>
        <v>0.67083023359702842</v>
      </c>
      <c r="BI64">
        <f t="shared" si="83"/>
        <v>-4.0268733607524677E-2</v>
      </c>
      <c r="BJ64">
        <f t="shared" si="84"/>
        <v>0.46431363865036263</v>
      </c>
      <c r="BK64">
        <f t="shared" si="85"/>
        <v>-2.7530621311283681E-2</v>
      </c>
      <c r="BL64">
        <f t="shared" si="86"/>
        <v>0.50163622338605796</v>
      </c>
      <c r="BM64">
        <f t="shared" si="87"/>
        <v>0.49836377661394204</v>
      </c>
      <c r="BN64">
        <v>101</v>
      </c>
      <c r="BO64">
        <v>290.00000000000011</v>
      </c>
      <c r="BP64">
        <v>823.85</v>
      </c>
      <c r="BQ64">
        <v>295</v>
      </c>
      <c r="BR64">
        <v>7137.54</v>
      </c>
      <c r="BS64">
        <v>825.21</v>
      </c>
      <c r="BT64">
        <v>-1.36</v>
      </c>
      <c r="BU64">
        <v>300.00000000000011</v>
      </c>
      <c r="BV64">
        <v>38.200000000000003</v>
      </c>
      <c r="BW64">
        <v>910.70846481912611</v>
      </c>
      <c r="BX64">
        <v>1.584918679920875</v>
      </c>
      <c r="BY64">
        <v>-61.022345371705413</v>
      </c>
      <c r="BZ64">
        <v>0.94821822978803749</v>
      </c>
      <c r="CA64">
        <v>0.9932846206265552</v>
      </c>
      <c r="CB64">
        <v>-7.0435773081201436E-3</v>
      </c>
      <c r="CC64">
        <v>289.99999999999989</v>
      </c>
      <c r="CD64">
        <v>834.84</v>
      </c>
      <c r="CE64">
        <v>895</v>
      </c>
      <c r="CF64">
        <v>7131.89</v>
      </c>
      <c r="CG64">
        <v>825.15</v>
      </c>
      <c r="CH64">
        <v>9.69</v>
      </c>
      <c r="CV64">
        <f t="shared" si="88"/>
        <v>1799.94</v>
      </c>
      <c r="CW64">
        <f t="shared" si="89"/>
        <v>1513.1348999209772</v>
      </c>
      <c r="CX64">
        <f t="shared" si="90"/>
        <v>0.84065852190682866</v>
      </c>
      <c r="CY64">
        <f t="shared" si="91"/>
        <v>0.1608709472801795</v>
      </c>
      <c r="CZ64">
        <v>5.18</v>
      </c>
      <c r="DA64">
        <v>0.5</v>
      </c>
      <c r="DB64" t="s">
        <v>418</v>
      </c>
      <c r="DC64">
        <v>2</v>
      </c>
      <c r="DD64">
        <v>1700164391.5999999</v>
      </c>
      <c r="DE64">
        <v>541.69000000000005</v>
      </c>
      <c r="DF64">
        <v>599.95600000000002</v>
      </c>
      <c r="DG64">
        <v>27.973199999999999</v>
      </c>
      <c r="DH64">
        <v>24.5077</v>
      </c>
      <c r="DI64">
        <v>539.952</v>
      </c>
      <c r="DJ64">
        <v>27.6433</v>
      </c>
      <c r="DK64">
        <v>500.15800000000002</v>
      </c>
      <c r="DL64">
        <v>98.858400000000003</v>
      </c>
      <c r="DM64">
        <v>9.9987599999999996E-2</v>
      </c>
      <c r="DN64">
        <v>30.026499999999999</v>
      </c>
      <c r="DO64">
        <v>30.002099999999999</v>
      </c>
      <c r="DP64">
        <v>999.9</v>
      </c>
      <c r="DQ64">
        <v>0</v>
      </c>
      <c r="DR64">
        <v>0</v>
      </c>
      <c r="DS64">
        <v>9983.75</v>
      </c>
      <c r="DT64">
        <v>0</v>
      </c>
      <c r="DU64">
        <v>278.03399999999999</v>
      </c>
      <c r="DV64">
        <v>-58.265599999999999</v>
      </c>
      <c r="DW64">
        <v>557.279</v>
      </c>
      <c r="DX64">
        <v>615.029</v>
      </c>
      <c r="DY64">
        <v>3.4655200000000002</v>
      </c>
      <c r="DZ64">
        <v>599.95600000000002</v>
      </c>
      <c r="EA64">
        <v>24.5077</v>
      </c>
      <c r="EB64">
        <v>2.7653799999999999</v>
      </c>
      <c r="EC64">
        <v>2.42279</v>
      </c>
      <c r="ED64">
        <v>22.678899999999999</v>
      </c>
      <c r="EE64">
        <v>20.5169</v>
      </c>
      <c r="EF64">
        <v>1799.94</v>
      </c>
      <c r="EG64">
        <v>0.977989</v>
      </c>
      <c r="EH64">
        <v>2.2010700000000001E-2</v>
      </c>
      <c r="EI64">
        <v>0</v>
      </c>
      <c r="EJ64">
        <v>601.423</v>
      </c>
      <c r="EK64">
        <v>5.0001199999999999</v>
      </c>
      <c r="EL64">
        <v>10828.3</v>
      </c>
      <c r="EM64">
        <v>15629.4</v>
      </c>
      <c r="EN64">
        <v>49.75</v>
      </c>
      <c r="EO64">
        <v>50.811999999999998</v>
      </c>
      <c r="EP64">
        <v>50.686999999999998</v>
      </c>
      <c r="EQ64">
        <v>50.561999999999998</v>
      </c>
      <c r="ER64">
        <v>51.436999999999998</v>
      </c>
      <c r="ES64">
        <v>1755.43</v>
      </c>
      <c r="ET64">
        <v>39.51</v>
      </c>
      <c r="EU64">
        <v>0</v>
      </c>
      <c r="EV64">
        <v>205.20000004768369</v>
      </c>
      <c r="EW64">
        <v>0</v>
      </c>
      <c r="EX64">
        <v>601.52383999999995</v>
      </c>
      <c r="EY64">
        <v>1.497692319685942</v>
      </c>
      <c r="EZ64">
        <v>18.73846159148173</v>
      </c>
      <c r="FA64">
        <v>10824.86</v>
      </c>
      <c r="FB64">
        <v>15</v>
      </c>
      <c r="FC64">
        <v>1700164261.0999999</v>
      </c>
      <c r="FD64" t="s">
        <v>630</v>
      </c>
      <c r="FE64">
        <v>1700164261.0999999</v>
      </c>
      <c r="FF64">
        <v>1700164253.0999999</v>
      </c>
      <c r="FG64">
        <v>73</v>
      </c>
      <c r="FH64">
        <v>-0.22600000000000001</v>
      </c>
      <c r="FI64">
        <v>-5.0000000000000001E-3</v>
      </c>
      <c r="FJ64">
        <v>1.754</v>
      </c>
      <c r="FK64">
        <v>0.33</v>
      </c>
      <c r="FL64">
        <v>600</v>
      </c>
      <c r="FM64">
        <v>25</v>
      </c>
      <c r="FN64">
        <v>0.06</v>
      </c>
      <c r="FO64">
        <v>0.03</v>
      </c>
      <c r="FP64">
        <v>54.309966689582573</v>
      </c>
      <c r="FQ64">
        <v>0.54933531910461042</v>
      </c>
      <c r="FR64">
        <v>6.1363022154044253E-2</v>
      </c>
      <c r="FS64">
        <v>1</v>
      </c>
      <c r="FT64">
        <v>0.23176763434213959</v>
      </c>
      <c r="FU64">
        <v>-4.8017314970217788E-3</v>
      </c>
      <c r="FV64">
        <v>1.498525591639913E-3</v>
      </c>
      <c r="FW64">
        <v>1</v>
      </c>
      <c r="FX64">
        <v>2</v>
      </c>
      <c r="FY64">
        <v>2</v>
      </c>
      <c r="FZ64" t="s">
        <v>420</v>
      </c>
      <c r="GA64">
        <v>2.9157700000000002</v>
      </c>
      <c r="GB64">
        <v>2.7508499999999998</v>
      </c>
      <c r="GC64">
        <v>0.113341</v>
      </c>
      <c r="GD64">
        <v>0.124094</v>
      </c>
      <c r="GE64">
        <v>0.12726499999999999</v>
      </c>
      <c r="GF64">
        <v>0.118602</v>
      </c>
      <c r="GG64">
        <v>27523</v>
      </c>
      <c r="GH64">
        <v>27037</v>
      </c>
      <c r="GI64">
        <v>28273</v>
      </c>
      <c r="GJ64">
        <v>28224.6</v>
      </c>
      <c r="GK64">
        <v>33632.199999999997</v>
      </c>
      <c r="GL64">
        <v>34747.9</v>
      </c>
      <c r="GM64">
        <v>42483.1</v>
      </c>
      <c r="GN64">
        <v>43881.7</v>
      </c>
      <c r="GO64">
        <v>1.7626999999999999</v>
      </c>
      <c r="GP64">
        <v>1.88195</v>
      </c>
      <c r="GQ64">
        <v>5.8658399999999999E-2</v>
      </c>
      <c r="GR64">
        <v>0</v>
      </c>
      <c r="GS64">
        <v>29.046800000000001</v>
      </c>
      <c r="GT64">
        <v>999.9</v>
      </c>
      <c r="GU64">
        <v>35.5</v>
      </c>
      <c r="GV64">
        <v>42.2</v>
      </c>
      <c r="GW64">
        <v>29.914899999999999</v>
      </c>
      <c r="GX64">
        <v>60.921700000000001</v>
      </c>
      <c r="GY64">
        <v>30.364599999999999</v>
      </c>
      <c r="GZ64">
        <v>1</v>
      </c>
      <c r="HA64">
        <v>0.54054599999999997</v>
      </c>
      <c r="HB64">
        <v>2.4342299999999999</v>
      </c>
      <c r="HC64">
        <v>20.2499</v>
      </c>
      <c r="HD64">
        <v>5.27644</v>
      </c>
      <c r="HE64">
        <v>12.0878</v>
      </c>
      <c r="HF64">
        <v>5.01335</v>
      </c>
      <c r="HG64">
        <v>3.2919999999999998</v>
      </c>
      <c r="HH64">
        <v>9999</v>
      </c>
      <c r="HI64">
        <v>9999</v>
      </c>
      <c r="HJ64">
        <v>9999</v>
      </c>
      <c r="HK64">
        <v>999.9</v>
      </c>
      <c r="HL64">
        <v>1.87601</v>
      </c>
      <c r="HM64">
        <v>1.8765400000000001</v>
      </c>
      <c r="HN64">
        <v>1.8763099999999999</v>
      </c>
      <c r="HO64">
        <v>1.8800600000000001</v>
      </c>
      <c r="HP64">
        <v>1.87371</v>
      </c>
      <c r="HQ64">
        <v>1.8768</v>
      </c>
      <c r="HR64">
        <v>1.87656</v>
      </c>
      <c r="HS64">
        <v>1.87799</v>
      </c>
      <c r="HT64">
        <v>0</v>
      </c>
      <c r="HU64">
        <v>0</v>
      </c>
      <c r="HV64">
        <v>0</v>
      </c>
      <c r="HW64">
        <v>0</v>
      </c>
      <c r="HX64" t="s">
        <v>421</v>
      </c>
      <c r="HY64" t="s">
        <v>422</v>
      </c>
      <c r="HZ64" t="s">
        <v>423</v>
      </c>
      <c r="IA64" t="s">
        <v>424</v>
      </c>
      <c r="IB64" t="s">
        <v>424</v>
      </c>
      <c r="IC64" t="s">
        <v>423</v>
      </c>
      <c r="ID64">
        <v>0</v>
      </c>
      <c r="IE64">
        <v>100</v>
      </c>
      <c r="IF64">
        <v>100</v>
      </c>
      <c r="IG64">
        <v>1.738</v>
      </c>
      <c r="IH64">
        <v>0.32990000000000003</v>
      </c>
      <c r="II64">
        <v>1.433842215659243</v>
      </c>
      <c r="IJ64">
        <v>8.9576739069318506E-4</v>
      </c>
      <c r="IK64">
        <v>-7.2130504814809596E-7</v>
      </c>
      <c r="IL64">
        <v>1.9987036519832741E-10</v>
      </c>
      <c r="IM64">
        <v>0.32988999999999891</v>
      </c>
      <c r="IN64">
        <v>0</v>
      </c>
      <c r="IO64">
        <v>0</v>
      </c>
      <c r="IP64">
        <v>0</v>
      </c>
      <c r="IQ64">
        <v>1</v>
      </c>
      <c r="IR64">
        <v>2126</v>
      </c>
      <c r="IS64">
        <v>0</v>
      </c>
      <c r="IT64">
        <v>20</v>
      </c>
      <c r="IU64">
        <v>2.2000000000000002</v>
      </c>
      <c r="IV64">
        <v>2.2999999999999998</v>
      </c>
      <c r="IW64">
        <v>1.4501999999999999</v>
      </c>
      <c r="IX64">
        <v>2.6660200000000001</v>
      </c>
      <c r="IY64">
        <v>1.69434</v>
      </c>
      <c r="IZ64">
        <v>2.33521</v>
      </c>
      <c r="JA64">
        <v>1.5466299999999999</v>
      </c>
      <c r="JB64">
        <v>2.5109900000000001</v>
      </c>
      <c r="JC64">
        <v>45.035200000000003</v>
      </c>
      <c r="JD64">
        <v>23.938700000000001</v>
      </c>
      <c r="JE64">
        <v>18</v>
      </c>
      <c r="JF64">
        <v>499.202</v>
      </c>
      <c r="JG64">
        <v>482.12900000000002</v>
      </c>
      <c r="JH64">
        <v>27.011700000000001</v>
      </c>
      <c r="JI64">
        <v>33.86</v>
      </c>
      <c r="JJ64">
        <v>29.999700000000001</v>
      </c>
      <c r="JK64">
        <v>33.890300000000003</v>
      </c>
      <c r="JL64">
        <v>33.859699999999997</v>
      </c>
      <c r="JM64">
        <v>29.091799999999999</v>
      </c>
      <c r="JN64">
        <v>16.3187</v>
      </c>
      <c r="JO64">
        <v>47.186500000000002</v>
      </c>
      <c r="JP64">
        <v>27.041799999999999</v>
      </c>
      <c r="JQ64">
        <v>600</v>
      </c>
      <c r="JR64">
        <v>24.510200000000001</v>
      </c>
      <c r="JS64">
        <v>99.046599999999998</v>
      </c>
      <c r="JT64">
        <v>98.8613</v>
      </c>
    </row>
    <row r="65" spans="1:280" x14ac:dyDescent="0.25">
      <c r="A65">
        <v>63</v>
      </c>
      <c r="B65">
        <v>1700164596.0999999</v>
      </c>
      <c r="C65">
        <v>17066.5</v>
      </c>
      <c r="D65" t="s">
        <v>631</v>
      </c>
      <c r="E65" t="s">
        <v>632</v>
      </c>
      <c r="F65" t="s">
        <v>412</v>
      </c>
      <c r="G65" t="s">
        <v>413</v>
      </c>
      <c r="H65" t="s">
        <v>606</v>
      </c>
      <c r="I65">
        <v>1700164596.0999999</v>
      </c>
      <c r="J65">
        <f t="shared" si="46"/>
        <v>4.2356354549734406E-3</v>
      </c>
      <c r="K65">
        <f t="shared" si="47"/>
        <v>4.2356354549734405</v>
      </c>
      <c r="L65">
        <f t="shared" si="48"/>
        <v>53.471810871512297</v>
      </c>
      <c r="M65">
        <f t="shared" si="49"/>
        <v>442.61399999999998</v>
      </c>
      <c r="N65">
        <f t="shared" si="50"/>
        <v>126.02199990206617</v>
      </c>
      <c r="O65">
        <f t="shared" si="51"/>
        <v>12.470295409371124</v>
      </c>
      <c r="P65">
        <f t="shared" si="52"/>
        <v>43.798125221093997</v>
      </c>
      <c r="Q65">
        <f t="shared" si="53"/>
        <v>0.28862245216091625</v>
      </c>
      <c r="R65">
        <f t="shared" si="54"/>
        <v>3.0739530197967833</v>
      </c>
      <c r="S65">
        <f t="shared" si="55"/>
        <v>0.27436799707161741</v>
      </c>
      <c r="T65">
        <f t="shared" si="56"/>
        <v>0.17270202107342786</v>
      </c>
      <c r="U65">
        <f t="shared" si="57"/>
        <v>289.56443684748967</v>
      </c>
      <c r="V65">
        <f t="shared" si="58"/>
        <v>30.77164226974125</v>
      </c>
      <c r="W65">
        <f t="shared" si="59"/>
        <v>30.011099999999999</v>
      </c>
      <c r="X65">
        <f t="shared" si="60"/>
        <v>4.2631668830561553</v>
      </c>
      <c r="Y65">
        <f t="shared" si="61"/>
        <v>64.762857259466401</v>
      </c>
      <c r="Z65">
        <f t="shared" si="62"/>
        <v>2.7899888855950001</v>
      </c>
      <c r="AA65">
        <f t="shared" si="63"/>
        <v>4.3080077125336942</v>
      </c>
      <c r="AB65">
        <f t="shared" si="64"/>
        <v>1.4731779974611552</v>
      </c>
      <c r="AC65">
        <f t="shared" si="65"/>
        <v>-186.79152356432874</v>
      </c>
      <c r="AD65">
        <f t="shared" si="66"/>
        <v>30.211294733558951</v>
      </c>
      <c r="AE65">
        <f t="shared" si="67"/>
        <v>2.1875139933808536</v>
      </c>
      <c r="AF65">
        <f t="shared" si="68"/>
        <v>135.17172201010072</v>
      </c>
      <c r="AG65">
        <v>3</v>
      </c>
      <c r="AH65">
        <v>1</v>
      </c>
      <c r="AI65">
        <f t="shared" si="69"/>
        <v>1</v>
      </c>
      <c r="AJ65">
        <f t="shared" si="70"/>
        <v>0</v>
      </c>
      <c r="AK65">
        <f t="shared" si="71"/>
        <v>51614.785321677242</v>
      </c>
      <c r="AL65" t="s">
        <v>415</v>
      </c>
      <c r="AM65">
        <v>6960.3</v>
      </c>
      <c r="AN65">
        <v>244.8124</v>
      </c>
      <c r="AO65">
        <v>892.86711584811997</v>
      </c>
      <c r="AP65">
        <f t="shared" si="72"/>
        <v>0.72581317459826411</v>
      </c>
      <c r="AQ65">
        <v>-0.43209471141234851</v>
      </c>
      <c r="AR65" t="s">
        <v>633</v>
      </c>
      <c r="AS65">
        <v>7137.72</v>
      </c>
      <c r="AT65">
        <v>602.37688000000003</v>
      </c>
      <c r="AU65">
        <v>906.44486100657741</v>
      </c>
      <c r="AV65">
        <f t="shared" si="73"/>
        <v>0.33545116099937933</v>
      </c>
      <c r="AW65">
        <v>0.5</v>
      </c>
      <c r="AX65">
        <f t="shared" si="74"/>
        <v>1513.168499920979</v>
      </c>
      <c r="AY65">
        <f t="shared" si="75"/>
        <v>53.471810871512297</v>
      </c>
      <c r="AZ65">
        <f t="shared" si="76"/>
        <v>253.79706504309081</v>
      </c>
      <c r="BA65">
        <f t="shared" si="77"/>
        <v>3.5623200975793259E-2</v>
      </c>
      <c r="BB65">
        <f t="shared" si="78"/>
        <v>-1.49791186894477E-2</v>
      </c>
      <c r="BC65">
        <f t="shared" si="79"/>
        <v>245.82200992324013</v>
      </c>
      <c r="BD65" t="s">
        <v>634</v>
      </c>
      <c r="BE65">
        <v>445.81</v>
      </c>
      <c r="BF65">
        <f t="shared" si="80"/>
        <v>445.81</v>
      </c>
      <c r="BG65">
        <f t="shared" si="81"/>
        <v>0.50817747534588853</v>
      </c>
      <c r="BH65">
        <f t="shared" si="82"/>
        <v>0.66010631575328294</v>
      </c>
      <c r="BI65">
        <f t="shared" si="83"/>
        <v>-3.0371388078006243E-2</v>
      </c>
      <c r="BJ65">
        <f t="shared" si="84"/>
        <v>0.45957234405334685</v>
      </c>
      <c r="BK65">
        <f t="shared" si="85"/>
        <v>-2.0951541322692214E-2</v>
      </c>
      <c r="BL65">
        <f t="shared" si="86"/>
        <v>0.48853468052421117</v>
      </c>
      <c r="BM65">
        <f t="shared" si="87"/>
        <v>0.51146531947578877</v>
      </c>
      <c r="BN65">
        <v>103</v>
      </c>
      <c r="BO65">
        <v>290.00000000000011</v>
      </c>
      <c r="BP65">
        <v>820.1</v>
      </c>
      <c r="BQ65">
        <v>285</v>
      </c>
      <c r="BR65">
        <v>7137.72</v>
      </c>
      <c r="BS65">
        <v>821.88</v>
      </c>
      <c r="BT65">
        <v>-1.78</v>
      </c>
      <c r="BU65">
        <v>300.00000000000011</v>
      </c>
      <c r="BV65">
        <v>38.200000000000003</v>
      </c>
      <c r="BW65">
        <v>906.44486100657741</v>
      </c>
      <c r="BX65">
        <v>1.3851106705973879</v>
      </c>
      <c r="BY65">
        <v>-60.359376643374311</v>
      </c>
      <c r="BZ65">
        <v>0.82870020330000627</v>
      </c>
      <c r="CA65">
        <v>0.99474978264702796</v>
      </c>
      <c r="CB65">
        <v>-7.0437132369299254E-3</v>
      </c>
      <c r="CC65">
        <v>289.99999999999989</v>
      </c>
      <c r="CD65">
        <v>830.71</v>
      </c>
      <c r="CE65">
        <v>865</v>
      </c>
      <c r="CF65">
        <v>7132.31</v>
      </c>
      <c r="CG65">
        <v>821.82</v>
      </c>
      <c r="CH65">
        <v>8.89</v>
      </c>
      <c r="CV65">
        <f t="shared" si="88"/>
        <v>1799.98</v>
      </c>
      <c r="CW65">
        <f t="shared" si="89"/>
        <v>1513.168499920979</v>
      </c>
      <c r="CX65">
        <f t="shared" si="90"/>
        <v>0.84065850727284686</v>
      </c>
      <c r="CY65">
        <f t="shared" si="91"/>
        <v>0.16087091903659467</v>
      </c>
      <c r="CZ65">
        <v>5.18</v>
      </c>
      <c r="DA65">
        <v>0.5</v>
      </c>
      <c r="DB65" t="s">
        <v>418</v>
      </c>
      <c r="DC65">
        <v>2</v>
      </c>
      <c r="DD65">
        <v>1700164596.0999999</v>
      </c>
      <c r="DE65">
        <v>442.61399999999998</v>
      </c>
      <c r="DF65">
        <v>499.94099999999997</v>
      </c>
      <c r="DG65">
        <v>28.195</v>
      </c>
      <c r="DH65">
        <v>23.9315</v>
      </c>
      <c r="DI65">
        <v>441.02699999999999</v>
      </c>
      <c r="DJ65">
        <v>27.8706</v>
      </c>
      <c r="DK65">
        <v>500.10500000000002</v>
      </c>
      <c r="DL65">
        <v>98.853200000000001</v>
      </c>
      <c r="DM65">
        <v>0.100121</v>
      </c>
      <c r="DN65">
        <v>30.1934</v>
      </c>
      <c r="DO65">
        <v>30.011099999999999</v>
      </c>
      <c r="DP65">
        <v>999.9</v>
      </c>
      <c r="DQ65">
        <v>0</v>
      </c>
      <c r="DR65">
        <v>0</v>
      </c>
      <c r="DS65">
        <v>9978.75</v>
      </c>
      <c r="DT65">
        <v>0</v>
      </c>
      <c r="DU65">
        <v>291.38</v>
      </c>
      <c r="DV65">
        <v>-57.326700000000002</v>
      </c>
      <c r="DW65">
        <v>455.45499999999998</v>
      </c>
      <c r="DX65">
        <v>512.19799999999998</v>
      </c>
      <c r="DY65">
        <v>4.2635300000000003</v>
      </c>
      <c r="DZ65">
        <v>499.94099999999997</v>
      </c>
      <c r="EA65">
        <v>23.9315</v>
      </c>
      <c r="EB65">
        <v>2.7871700000000001</v>
      </c>
      <c r="EC65">
        <v>2.3656999999999999</v>
      </c>
      <c r="ED65">
        <v>22.808299999999999</v>
      </c>
      <c r="EE65">
        <v>20.1309</v>
      </c>
      <c r="EF65">
        <v>1799.98</v>
      </c>
      <c r="EG65">
        <v>0.977989</v>
      </c>
      <c r="EH65">
        <v>2.2010700000000001E-2</v>
      </c>
      <c r="EI65">
        <v>0</v>
      </c>
      <c r="EJ65">
        <v>601.96500000000003</v>
      </c>
      <c r="EK65">
        <v>5.0001199999999999</v>
      </c>
      <c r="EL65">
        <v>10853.7</v>
      </c>
      <c r="EM65">
        <v>15629.7</v>
      </c>
      <c r="EN65">
        <v>49.75</v>
      </c>
      <c r="EO65">
        <v>50.625</v>
      </c>
      <c r="EP65">
        <v>50.561999999999998</v>
      </c>
      <c r="EQ65">
        <v>50.436999999999998</v>
      </c>
      <c r="ER65">
        <v>51.311999999999998</v>
      </c>
      <c r="ES65">
        <v>1755.47</v>
      </c>
      <c r="ET65">
        <v>39.51</v>
      </c>
      <c r="EU65">
        <v>0</v>
      </c>
      <c r="EV65">
        <v>202.80000019073489</v>
      </c>
      <c r="EW65">
        <v>0</v>
      </c>
      <c r="EX65">
        <v>602.37688000000003</v>
      </c>
      <c r="EY65">
        <v>0.81415382886581655</v>
      </c>
      <c r="EZ65">
        <v>-11.207692282559091</v>
      </c>
      <c r="FA65">
        <v>10853.564</v>
      </c>
      <c r="FB65">
        <v>15</v>
      </c>
      <c r="FC65">
        <v>1700164471.0999999</v>
      </c>
      <c r="FD65" t="s">
        <v>635</v>
      </c>
      <c r="FE65">
        <v>1700164471.0999999</v>
      </c>
      <c r="FF65">
        <v>1700164468.0999999</v>
      </c>
      <c r="FG65">
        <v>74</v>
      </c>
      <c r="FH65">
        <v>-0.11899999999999999</v>
      </c>
      <c r="FI65">
        <v>-6.0000000000000001E-3</v>
      </c>
      <c r="FJ65">
        <v>1.607</v>
      </c>
      <c r="FK65">
        <v>0.32400000000000001</v>
      </c>
      <c r="FL65">
        <v>500</v>
      </c>
      <c r="FM65">
        <v>25</v>
      </c>
      <c r="FN65">
        <v>0.09</v>
      </c>
      <c r="FO65">
        <v>0.04</v>
      </c>
      <c r="FP65">
        <v>53.3478530090511</v>
      </c>
      <c r="FQ65">
        <v>0.65118258161619558</v>
      </c>
      <c r="FR65">
        <v>5.7242234944101987E-2</v>
      </c>
      <c r="FS65">
        <v>1</v>
      </c>
      <c r="FT65">
        <v>0.28856481908881698</v>
      </c>
      <c r="FU65">
        <v>1.439903414095693E-2</v>
      </c>
      <c r="FV65">
        <v>1.6545455369463499E-3</v>
      </c>
      <c r="FW65">
        <v>1</v>
      </c>
      <c r="FX65">
        <v>2</v>
      </c>
      <c r="FY65">
        <v>2</v>
      </c>
      <c r="FZ65" t="s">
        <v>420</v>
      </c>
      <c r="GA65">
        <v>2.9158499999999998</v>
      </c>
      <c r="GB65">
        <v>2.7509399999999999</v>
      </c>
      <c r="GC65">
        <v>9.7632099999999999E-2</v>
      </c>
      <c r="GD65">
        <v>0.108888</v>
      </c>
      <c r="GE65">
        <v>0.12800700000000001</v>
      </c>
      <c r="GF65">
        <v>0.116684</v>
      </c>
      <c r="GG65">
        <v>28015.9</v>
      </c>
      <c r="GH65">
        <v>27512.5</v>
      </c>
      <c r="GI65">
        <v>28277.8</v>
      </c>
      <c r="GJ65">
        <v>28230.400000000001</v>
      </c>
      <c r="GK65">
        <v>33609</v>
      </c>
      <c r="GL65">
        <v>34830.199999999997</v>
      </c>
      <c r="GM65">
        <v>42490.1</v>
      </c>
      <c r="GN65">
        <v>43890.3</v>
      </c>
      <c r="GO65">
        <v>1.76448</v>
      </c>
      <c r="GP65">
        <v>1.88347</v>
      </c>
      <c r="GQ65">
        <v>5.7414199999999999E-2</v>
      </c>
      <c r="GR65">
        <v>0</v>
      </c>
      <c r="GS65">
        <v>29.076000000000001</v>
      </c>
      <c r="GT65">
        <v>999.9</v>
      </c>
      <c r="GU65">
        <v>35.700000000000003</v>
      </c>
      <c r="GV65">
        <v>42</v>
      </c>
      <c r="GW65">
        <v>29.769300000000001</v>
      </c>
      <c r="GX65">
        <v>61.181699999999999</v>
      </c>
      <c r="GY65">
        <v>30.428699999999999</v>
      </c>
      <c r="GZ65">
        <v>1</v>
      </c>
      <c r="HA65">
        <v>0.52723600000000004</v>
      </c>
      <c r="HB65">
        <v>2.3742999999999999</v>
      </c>
      <c r="HC65">
        <v>20.249600000000001</v>
      </c>
      <c r="HD65">
        <v>5.2724000000000002</v>
      </c>
      <c r="HE65">
        <v>12.0878</v>
      </c>
      <c r="HF65">
        <v>5.0119999999999996</v>
      </c>
      <c r="HG65">
        <v>3.2912499999999998</v>
      </c>
      <c r="HH65">
        <v>9999</v>
      </c>
      <c r="HI65">
        <v>9999</v>
      </c>
      <c r="HJ65">
        <v>9999</v>
      </c>
      <c r="HK65">
        <v>999.9</v>
      </c>
      <c r="HL65">
        <v>1.8759999999999999</v>
      </c>
      <c r="HM65">
        <v>1.87656</v>
      </c>
      <c r="HN65">
        <v>1.8763099999999999</v>
      </c>
      <c r="HO65">
        <v>1.8800600000000001</v>
      </c>
      <c r="HP65">
        <v>1.87371</v>
      </c>
      <c r="HQ65">
        <v>1.8767499999999999</v>
      </c>
      <c r="HR65">
        <v>1.8765499999999999</v>
      </c>
      <c r="HS65">
        <v>1.87801</v>
      </c>
      <c r="HT65">
        <v>0</v>
      </c>
      <c r="HU65">
        <v>0</v>
      </c>
      <c r="HV65">
        <v>0</v>
      </c>
      <c r="HW65">
        <v>0</v>
      </c>
      <c r="HX65" t="s">
        <v>421</v>
      </c>
      <c r="HY65" t="s">
        <v>422</v>
      </c>
      <c r="HZ65" t="s">
        <v>423</v>
      </c>
      <c r="IA65" t="s">
        <v>424</v>
      </c>
      <c r="IB65" t="s">
        <v>424</v>
      </c>
      <c r="IC65" t="s">
        <v>423</v>
      </c>
      <c r="ID65">
        <v>0</v>
      </c>
      <c r="IE65">
        <v>100</v>
      </c>
      <c r="IF65">
        <v>100</v>
      </c>
      <c r="IG65">
        <v>1.587</v>
      </c>
      <c r="IH65">
        <v>0.32440000000000002</v>
      </c>
      <c r="II65">
        <v>1.3146919295282511</v>
      </c>
      <c r="IJ65">
        <v>8.9576739069318506E-4</v>
      </c>
      <c r="IK65">
        <v>-7.2130504814809596E-7</v>
      </c>
      <c r="IL65">
        <v>1.9987036519832741E-10</v>
      </c>
      <c r="IM65">
        <v>0.32437500000000341</v>
      </c>
      <c r="IN65">
        <v>0</v>
      </c>
      <c r="IO65">
        <v>0</v>
      </c>
      <c r="IP65">
        <v>0</v>
      </c>
      <c r="IQ65">
        <v>1</v>
      </c>
      <c r="IR65">
        <v>2126</v>
      </c>
      <c r="IS65">
        <v>0</v>
      </c>
      <c r="IT65">
        <v>20</v>
      </c>
      <c r="IU65">
        <v>2.1</v>
      </c>
      <c r="IV65">
        <v>2.1</v>
      </c>
      <c r="IW65">
        <v>1.25</v>
      </c>
      <c r="IX65">
        <v>2.6709000000000001</v>
      </c>
      <c r="IY65">
        <v>1.69434</v>
      </c>
      <c r="IZ65">
        <v>2.33521</v>
      </c>
      <c r="JA65">
        <v>1.5466299999999999</v>
      </c>
      <c r="JB65">
        <v>2.5134300000000001</v>
      </c>
      <c r="JC65">
        <v>44.865900000000003</v>
      </c>
      <c r="JD65">
        <v>23.938700000000001</v>
      </c>
      <c r="JE65">
        <v>18</v>
      </c>
      <c r="JF65">
        <v>499.71300000000002</v>
      </c>
      <c r="JG65">
        <v>482.38600000000002</v>
      </c>
      <c r="JH65">
        <v>27.522200000000002</v>
      </c>
      <c r="JI65">
        <v>33.750500000000002</v>
      </c>
      <c r="JJ65">
        <v>30.000299999999999</v>
      </c>
      <c r="JK65">
        <v>33.787100000000002</v>
      </c>
      <c r="JL65">
        <v>33.7577</v>
      </c>
      <c r="JM65">
        <v>25.104099999999999</v>
      </c>
      <c r="JN65">
        <v>19.669799999999999</v>
      </c>
      <c r="JO65">
        <v>46.5593</v>
      </c>
      <c r="JP65">
        <v>27.312899999999999</v>
      </c>
      <c r="JQ65">
        <v>500</v>
      </c>
      <c r="JR65">
        <v>24.003</v>
      </c>
      <c r="JS65">
        <v>99.063199999999995</v>
      </c>
      <c r="JT65">
        <v>98.881100000000004</v>
      </c>
    </row>
    <row r="66" spans="1:280" x14ac:dyDescent="0.25">
      <c r="A66">
        <v>64</v>
      </c>
      <c r="B66">
        <v>1700164789.0999999</v>
      </c>
      <c r="C66">
        <v>17259.5</v>
      </c>
      <c r="D66" t="s">
        <v>636</v>
      </c>
      <c r="E66" t="s">
        <v>637</v>
      </c>
      <c r="F66" t="s">
        <v>412</v>
      </c>
      <c r="G66" t="s">
        <v>413</v>
      </c>
      <c r="H66" t="s">
        <v>606</v>
      </c>
      <c r="I66">
        <v>1700164789.0999999</v>
      </c>
      <c r="J66">
        <f t="shared" si="46"/>
        <v>4.7742670310151111E-3</v>
      </c>
      <c r="K66">
        <f t="shared" si="47"/>
        <v>4.7742670310151114</v>
      </c>
      <c r="L66">
        <f t="shared" si="48"/>
        <v>49.027820139727602</v>
      </c>
      <c r="M66">
        <f t="shared" si="49"/>
        <v>347.51</v>
      </c>
      <c r="N66">
        <f t="shared" si="50"/>
        <v>93.241332580315543</v>
      </c>
      <c r="O66">
        <f t="shared" si="51"/>
        <v>9.2263337669632506</v>
      </c>
      <c r="P66">
        <f t="shared" si="52"/>
        <v>34.386501765143997</v>
      </c>
      <c r="Q66">
        <f t="shared" si="53"/>
        <v>0.33118919533352731</v>
      </c>
      <c r="R66">
        <f t="shared" si="54"/>
        <v>3.0795409205702944</v>
      </c>
      <c r="S66">
        <f t="shared" si="55"/>
        <v>0.31259756009817563</v>
      </c>
      <c r="T66">
        <f t="shared" si="56"/>
        <v>0.19695683674258996</v>
      </c>
      <c r="U66">
        <f t="shared" si="57"/>
        <v>289.56603284749053</v>
      </c>
      <c r="V66">
        <f t="shared" si="58"/>
        <v>30.698233129945802</v>
      </c>
      <c r="W66">
        <f t="shared" si="59"/>
        <v>29.980499999999999</v>
      </c>
      <c r="X66">
        <f t="shared" si="60"/>
        <v>4.2556801243431917</v>
      </c>
      <c r="Y66">
        <f t="shared" si="61"/>
        <v>64.728455339814388</v>
      </c>
      <c r="Z66">
        <f t="shared" si="62"/>
        <v>2.7982781445633602</v>
      </c>
      <c r="AA66">
        <f t="shared" si="63"/>
        <v>4.3231035405878799</v>
      </c>
      <c r="AB66">
        <f t="shared" si="64"/>
        <v>1.4574019797798314</v>
      </c>
      <c r="AC66">
        <f t="shared" si="65"/>
        <v>-210.54517606776639</v>
      </c>
      <c r="AD66">
        <f t="shared" si="66"/>
        <v>45.474031149070498</v>
      </c>
      <c r="AE66">
        <f t="shared" si="67"/>
        <v>3.287165637113274</v>
      </c>
      <c r="AF66">
        <f t="shared" si="68"/>
        <v>127.78205356590792</v>
      </c>
      <c r="AG66">
        <v>3</v>
      </c>
      <c r="AH66">
        <v>1</v>
      </c>
      <c r="AI66">
        <f t="shared" si="69"/>
        <v>1</v>
      </c>
      <c r="AJ66">
        <f t="shared" si="70"/>
        <v>0</v>
      </c>
      <c r="AK66">
        <f t="shared" si="71"/>
        <v>51748.949045461835</v>
      </c>
      <c r="AL66" t="s">
        <v>415</v>
      </c>
      <c r="AM66">
        <v>6960.3</v>
      </c>
      <c r="AN66">
        <v>244.8124</v>
      </c>
      <c r="AO66">
        <v>892.86711584811997</v>
      </c>
      <c r="AP66">
        <f t="shared" si="72"/>
        <v>0.72581317459826411</v>
      </c>
      <c r="AQ66">
        <v>-0.43209471141234851</v>
      </c>
      <c r="AR66" t="s">
        <v>638</v>
      </c>
      <c r="AS66">
        <v>7137.57</v>
      </c>
      <c r="AT66">
        <v>604.88</v>
      </c>
      <c r="AU66">
        <v>878.83972815034781</v>
      </c>
      <c r="AV66">
        <f t="shared" si="73"/>
        <v>0.31172888454523762</v>
      </c>
      <c r="AW66">
        <v>0.5</v>
      </c>
      <c r="AX66">
        <f t="shared" si="74"/>
        <v>1513.1768999209794</v>
      </c>
      <c r="AY66">
        <f t="shared" si="75"/>
        <v>49.027820139727602</v>
      </c>
      <c r="AZ66">
        <f t="shared" si="76"/>
        <v>235.85047356599378</v>
      </c>
      <c r="BA66">
        <f t="shared" si="77"/>
        <v>3.2686141887126895E-2</v>
      </c>
      <c r="BB66">
        <f t="shared" si="78"/>
        <v>1.5961258063850767E-2</v>
      </c>
      <c r="BC66">
        <f t="shared" si="79"/>
        <v>243.74567953021091</v>
      </c>
      <c r="BD66" t="s">
        <v>639</v>
      </c>
      <c r="BE66">
        <v>448.42</v>
      </c>
      <c r="BF66">
        <f t="shared" si="80"/>
        <v>448.42</v>
      </c>
      <c r="BG66">
        <f t="shared" si="81"/>
        <v>0.48975907024166021</v>
      </c>
      <c r="BH66">
        <f t="shared" si="82"/>
        <v>0.63649435709566804</v>
      </c>
      <c r="BI66">
        <f t="shared" si="83"/>
        <v>3.156143261500139E-2</v>
      </c>
      <c r="BJ66">
        <f t="shared" si="84"/>
        <v>0.43209451073595262</v>
      </c>
      <c r="BK66">
        <f t="shared" si="85"/>
        <v>2.1645375544276816E-2</v>
      </c>
      <c r="BL66">
        <f t="shared" si="86"/>
        <v>0.47185689658914082</v>
      </c>
      <c r="BM66">
        <f t="shared" si="87"/>
        <v>0.52814310341085924</v>
      </c>
      <c r="BN66">
        <v>105</v>
      </c>
      <c r="BO66">
        <v>290.00000000000011</v>
      </c>
      <c r="BP66">
        <v>803.51</v>
      </c>
      <c r="BQ66">
        <v>285</v>
      </c>
      <c r="BR66">
        <v>7137.57</v>
      </c>
      <c r="BS66">
        <v>804.49</v>
      </c>
      <c r="BT66">
        <v>-0.98</v>
      </c>
      <c r="BU66">
        <v>300.00000000000011</v>
      </c>
      <c r="BV66">
        <v>38.200000000000003</v>
      </c>
      <c r="BW66">
        <v>878.83972815034781</v>
      </c>
      <c r="BX66">
        <v>1.7353937440479441</v>
      </c>
      <c r="BY66">
        <v>-53.068238807064162</v>
      </c>
      <c r="BZ66">
        <v>1.0382501064145571</v>
      </c>
      <c r="CA66">
        <v>0.98939616713339684</v>
      </c>
      <c r="CB66">
        <v>-7.0434714126807558E-3</v>
      </c>
      <c r="CC66">
        <v>289.99999999999989</v>
      </c>
      <c r="CD66">
        <v>812.84</v>
      </c>
      <c r="CE66">
        <v>825</v>
      </c>
      <c r="CF66">
        <v>7132.52</v>
      </c>
      <c r="CG66">
        <v>804.44</v>
      </c>
      <c r="CH66">
        <v>8.4</v>
      </c>
      <c r="CV66">
        <f t="shared" si="88"/>
        <v>1799.99</v>
      </c>
      <c r="CW66">
        <f t="shared" si="89"/>
        <v>1513.1768999209794</v>
      </c>
      <c r="CX66">
        <f t="shared" si="90"/>
        <v>0.84065850361445305</v>
      </c>
      <c r="CY66">
        <f t="shared" si="91"/>
        <v>0.16087091197589459</v>
      </c>
      <c r="CZ66">
        <v>5.18</v>
      </c>
      <c r="DA66">
        <v>0.5</v>
      </c>
      <c r="DB66" t="s">
        <v>418</v>
      </c>
      <c r="DC66">
        <v>2</v>
      </c>
      <c r="DD66">
        <v>1700164789.0999999</v>
      </c>
      <c r="DE66">
        <v>347.51</v>
      </c>
      <c r="DF66">
        <v>400.01</v>
      </c>
      <c r="DG66">
        <v>28.279399999999999</v>
      </c>
      <c r="DH66">
        <v>23.4742</v>
      </c>
      <c r="DI66">
        <v>345.93</v>
      </c>
      <c r="DJ66">
        <v>27.960799999999999</v>
      </c>
      <c r="DK66">
        <v>500.11099999999999</v>
      </c>
      <c r="DL66">
        <v>98.851200000000006</v>
      </c>
      <c r="DM66">
        <v>9.99144E-2</v>
      </c>
      <c r="DN66">
        <v>30.2544</v>
      </c>
      <c r="DO66">
        <v>29.980499999999999</v>
      </c>
      <c r="DP66">
        <v>999.9</v>
      </c>
      <c r="DQ66">
        <v>0</v>
      </c>
      <c r="DR66">
        <v>0</v>
      </c>
      <c r="DS66">
        <v>10008.1</v>
      </c>
      <c r="DT66">
        <v>0</v>
      </c>
      <c r="DU66">
        <v>280.77999999999997</v>
      </c>
      <c r="DV66">
        <v>-52.4998</v>
      </c>
      <c r="DW66">
        <v>357.62299999999999</v>
      </c>
      <c r="DX66">
        <v>409.625</v>
      </c>
      <c r="DY66">
        <v>4.8052200000000003</v>
      </c>
      <c r="DZ66">
        <v>400.01</v>
      </c>
      <c r="EA66">
        <v>23.4742</v>
      </c>
      <c r="EB66">
        <v>2.7954500000000002</v>
      </c>
      <c r="EC66">
        <v>2.3204500000000001</v>
      </c>
      <c r="ED66">
        <v>22.857299999999999</v>
      </c>
      <c r="EE66">
        <v>19.819099999999999</v>
      </c>
      <c r="EF66">
        <v>1799.99</v>
      </c>
      <c r="EG66">
        <v>0.977989</v>
      </c>
      <c r="EH66">
        <v>2.2010700000000001E-2</v>
      </c>
      <c r="EI66">
        <v>0</v>
      </c>
      <c r="EJ66">
        <v>604.64099999999996</v>
      </c>
      <c r="EK66">
        <v>5.0001199999999999</v>
      </c>
      <c r="EL66">
        <v>10884.8</v>
      </c>
      <c r="EM66">
        <v>15629.8</v>
      </c>
      <c r="EN66">
        <v>49.686999999999998</v>
      </c>
      <c r="EO66">
        <v>50.561999999999998</v>
      </c>
      <c r="EP66">
        <v>50.5</v>
      </c>
      <c r="EQ66">
        <v>50.311999999999998</v>
      </c>
      <c r="ER66">
        <v>51.375</v>
      </c>
      <c r="ES66">
        <v>1755.48</v>
      </c>
      <c r="ET66">
        <v>39.51</v>
      </c>
      <c r="EU66">
        <v>0</v>
      </c>
      <c r="EV66">
        <v>190.80000019073489</v>
      </c>
      <c r="EW66">
        <v>0</v>
      </c>
      <c r="EX66">
        <v>604.88</v>
      </c>
      <c r="EY66">
        <v>-0.58046154526320304</v>
      </c>
      <c r="EZ66">
        <v>-3.9846154305067571</v>
      </c>
      <c r="FA66">
        <v>10885.096</v>
      </c>
      <c r="FB66">
        <v>15</v>
      </c>
      <c r="FC66">
        <v>1700164705.5999999</v>
      </c>
      <c r="FD66" t="s">
        <v>640</v>
      </c>
      <c r="FE66">
        <v>1700164705.5999999</v>
      </c>
      <c r="FF66">
        <v>1700164700.5999999</v>
      </c>
      <c r="FG66">
        <v>75</v>
      </c>
      <c r="FH66">
        <v>3.3000000000000002E-2</v>
      </c>
      <c r="FI66">
        <v>-6.0000000000000001E-3</v>
      </c>
      <c r="FJ66">
        <v>1.603</v>
      </c>
      <c r="FK66">
        <v>0.31900000000000001</v>
      </c>
      <c r="FL66">
        <v>400</v>
      </c>
      <c r="FM66">
        <v>24</v>
      </c>
      <c r="FN66">
        <v>0.03</v>
      </c>
      <c r="FO66">
        <v>0.02</v>
      </c>
      <c r="FP66">
        <v>48.988962310099147</v>
      </c>
      <c r="FQ66">
        <v>0.69836589474398847</v>
      </c>
      <c r="FR66">
        <v>6.6071687732340165E-2</v>
      </c>
      <c r="FS66">
        <v>1</v>
      </c>
      <c r="FT66">
        <v>0.33090780139675502</v>
      </c>
      <c r="FU66">
        <v>3.4430642002205941E-2</v>
      </c>
      <c r="FV66">
        <v>2.9283370213145101E-3</v>
      </c>
      <c r="FW66">
        <v>1</v>
      </c>
      <c r="FX66">
        <v>2</v>
      </c>
      <c r="FY66">
        <v>2</v>
      </c>
      <c r="FZ66" t="s">
        <v>420</v>
      </c>
      <c r="GA66">
        <v>2.9159899999999999</v>
      </c>
      <c r="GB66">
        <v>2.7509899999999998</v>
      </c>
      <c r="GC66">
        <v>8.0906500000000006E-2</v>
      </c>
      <c r="GD66">
        <v>9.2149599999999998E-2</v>
      </c>
      <c r="GE66">
        <v>0.12830900000000001</v>
      </c>
      <c r="GF66">
        <v>0.115149</v>
      </c>
      <c r="GG66">
        <v>28538.799999999999</v>
      </c>
      <c r="GH66">
        <v>28033.9</v>
      </c>
      <c r="GI66">
        <v>28281.4</v>
      </c>
      <c r="GJ66">
        <v>28234.9</v>
      </c>
      <c r="GK66">
        <v>33601.300000000003</v>
      </c>
      <c r="GL66">
        <v>34896.6</v>
      </c>
      <c r="GM66">
        <v>42495.199999999997</v>
      </c>
      <c r="GN66">
        <v>43897.8</v>
      </c>
      <c r="GO66">
        <v>1.76583</v>
      </c>
      <c r="GP66">
        <v>1.8843300000000001</v>
      </c>
      <c r="GQ66">
        <v>5.2422299999999998E-2</v>
      </c>
      <c r="GR66">
        <v>0</v>
      </c>
      <c r="GS66">
        <v>29.126799999999999</v>
      </c>
      <c r="GT66">
        <v>999.9</v>
      </c>
      <c r="GU66">
        <v>35.700000000000003</v>
      </c>
      <c r="GV66">
        <v>41.8</v>
      </c>
      <c r="GW66">
        <v>29.458400000000001</v>
      </c>
      <c r="GX66">
        <v>60.871699999999997</v>
      </c>
      <c r="GY66">
        <v>30.048100000000002</v>
      </c>
      <c r="GZ66">
        <v>1</v>
      </c>
      <c r="HA66">
        <v>0.52011700000000005</v>
      </c>
      <c r="HB66">
        <v>1.5134300000000001</v>
      </c>
      <c r="HC66">
        <v>20.260899999999999</v>
      </c>
      <c r="HD66">
        <v>5.2706</v>
      </c>
      <c r="HE66">
        <v>12.0878</v>
      </c>
      <c r="HF66">
        <v>5.0118999999999998</v>
      </c>
      <c r="HG66">
        <v>3.2911999999999999</v>
      </c>
      <c r="HH66">
        <v>9999</v>
      </c>
      <c r="HI66">
        <v>9999</v>
      </c>
      <c r="HJ66">
        <v>9999</v>
      </c>
      <c r="HK66">
        <v>999.9</v>
      </c>
      <c r="HL66">
        <v>1.8759699999999999</v>
      </c>
      <c r="HM66">
        <v>1.8765400000000001</v>
      </c>
      <c r="HN66">
        <v>1.8762300000000001</v>
      </c>
      <c r="HO66">
        <v>1.88005</v>
      </c>
      <c r="HP66">
        <v>1.8736299999999999</v>
      </c>
      <c r="HQ66">
        <v>1.8767100000000001</v>
      </c>
      <c r="HR66">
        <v>1.87653</v>
      </c>
      <c r="HS66">
        <v>1.87801</v>
      </c>
      <c r="HT66">
        <v>0</v>
      </c>
      <c r="HU66">
        <v>0</v>
      </c>
      <c r="HV66">
        <v>0</v>
      </c>
      <c r="HW66">
        <v>0</v>
      </c>
      <c r="HX66" t="s">
        <v>421</v>
      </c>
      <c r="HY66" t="s">
        <v>422</v>
      </c>
      <c r="HZ66" t="s">
        <v>423</v>
      </c>
      <c r="IA66" t="s">
        <v>424</v>
      </c>
      <c r="IB66" t="s">
        <v>424</v>
      </c>
      <c r="IC66" t="s">
        <v>423</v>
      </c>
      <c r="ID66">
        <v>0</v>
      </c>
      <c r="IE66">
        <v>100</v>
      </c>
      <c r="IF66">
        <v>100</v>
      </c>
      <c r="IG66">
        <v>1.58</v>
      </c>
      <c r="IH66">
        <v>0.31859999999999999</v>
      </c>
      <c r="II66">
        <v>1.3479381790280709</v>
      </c>
      <c r="IJ66">
        <v>8.9576739069318506E-4</v>
      </c>
      <c r="IK66">
        <v>-7.2130504814809596E-7</v>
      </c>
      <c r="IL66">
        <v>1.9987036519832741E-10</v>
      </c>
      <c r="IM66">
        <v>0.31858499999999879</v>
      </c>
      <c r="IN66">
        <v>0</v>
      </c>
      <c r="IO66">
        <v>0</v>
      </c>
      <c r="IP66">
        <v>0</v>
      </c>
      <c r="IQ66">
        <v>1</v>
      </c>
      <c r="IR66">
        <v>2126</v>
      </c>
      <c r="IS66">
        <v>0</v>
      </c>
      <c r="IT66">
        <v>20</v>
      </c>
      <c r="IU66">
        <v>1.4</v>
      </c>
      <c r="IV66">
        <v>1.5</v>
      </c>
      <c r="IW66">
        <v>1.0437000000000001</v>
      </c>
      <c r="IX66">
        <v>2.6684600000000001</v>
      </c>
      <c r="IY66">
        <v>1.69434</v>
      </c>
      <c r="IZ66">
        <v>2.33521</v>
      </c>
      <c r="JA66">
        <v>1.5466299999999999</v>
      </c>
      <c r="JB66">
        <v>2.50732</v>
      </c>
      <c r="JC66">
        <v>44.697299999999998</v>
      </c>
      <c r="JD66">
        <v>23.938700000000001</v>
      </c>
      <c r="JE66">
        <v>18</v>
      </c>
      <c r="JF66">
        <v>500.17099999999999</v>
      </c>
      <c r="JG66">
        <v>482.39600000000002</v>
      </c>
      <c r="JH66">
        <v>27.79</v>
      </c>
      <c r="JI66">
        <v>33.691499999999998</v>
      </c>
      <c r="JJ66">
        <v>29.9999</v>
      </c>
      <c r="JK66">
        <v>33.716500000000003</v>
      </c>
      <c r="JL66">
        <v>33.6845</v>
      </c>
      <c r="JM66">
        <v>20.985399999999998</v>
      </c>
      <c r="JN66">
        <v>20.3566</v>
      </c>
      <c r="JO66">
        <v>45.681199999999997</v>
      </c>
      <c r="JP66">
        <v>27.810199999999998</v>
      </c>
      <c r="JQ66">
        <v>400</v>
      </c>
      <c r="JR66">
        <v>23.565000000000001</v>
      </c>
      <c r="JS66">
        <v>99.075199999999995</v>
      </c>
      <c r="JT66">
        <v>98.897499999999994</v>
      </c>
    </row>
    <row r="67" spans="1:280" x14ac:dyDescent="0.25">
      <c r="A67">
        <v>65</v>
      </c>
      <c r="B67">
        <v>1700164984.0999999</v>
      </c>
      <c r="C67">
        <v>17454.5</v>
      </c>
      <c r="D67" t="s">
        <v>641</v>
      </c>
      <c r="E67" t="s">
        <v>642</v>
      </c>
      <c r="F67" t="s">
        <v>412</v>
      </c>
      <c r="G67" t="s">
        <v>413</v>
      </c>
      <c r="H67" t="s">
        <v>606</v>
      </c>
      <c r="I67">
        <v>1700164984.0999999</v>
      </c>
      <c r="J67">
        <f t="shared" ref="J67:J72" si="92">(K67)/1000</f>
        <v>5.5172028043624618E-3</v>
      </c>
      <c r="K67">
        <f t="shared" ref="K67:K72" si="93">1000*DK67*AI67*(DG67-DH67)/(100*CZ67*(1000-AI67*DG67))</f>
        <v>5.5172028043624621</v>
      </c>
      <c r="L67">
        <f t="shared" ref="L67:L72" si="94">DK67*AI67*(DF67-DE67*(1000-AI67*DH67)/(1000-AI67*DG67))/(100*CZ67)</f>
        <v>42.6368157651264</v>
      </c>
      <c r="M67">
        <f t="shared" ref="M67:M72" si="95">DE67 - IF(AI67&gt;1, L67*CZ67*100/(AK67*DS67), 0)</f>
        <v>254.37899999999999</v>
      </c>
      <c r="N67">
        <f t="shared" ref="N67:N72" si="96">((T67-J67/2)*M67-L67)/(T67+J67/2)</f>
        <v>67.206094803635239</v>
      </c>
      <c r="O67">
        <f t="shared" ref="O67:O72" si="97">N67*(DL67+DM67)/1000</f>
        <v>6.6493457369388054</v>
      </c>
      <c r="P67">
        <f t="shared" ref="P67:P72" si="98">(DE67 - IF(AI67&gt;1, L67*CZ67*100/(AK67*DS67), 0))*(DL67+DM67)/1000</f>
        <v>25.168162562620196</v>
      </c>
      <c r="Q67">
        <f t="shared" ref="Q67:Q72" si="99">2/((1/S67-1/R67)+SIGN(S67)*SQRT((1/S67-1/R67)*(1/S67-1/R67) + 4*DA67/((DA67+1)*(DA67+1))*(2*1/S67*1/R67-1/R67*1/R67)))</f>
        <v>0.39458372318940882</v>
      </c>
      <c r="R67">
        <f t="shared" ref="R67:R72" si="100">IF(LEFT(DB67,1)&lt;&gt;"0",IF(LEFT(DB67,1)="1",3,DC67),$D$5+$E$5*(DS67*DL67/($K$5*1000))+$F$5*(DS67*DL67/($K$5*1000))*MAX(MIN(CZ67,$J$5),$I$5)*MAX(MIN(CZ67,$J$5),$I$5)+$G$5*MAX(MIN(CZ67,$J$5),$I$5)*(DS67*DL67/($K$5*1000))+$H$5*(DS67*DL67/($K$5*1000))*(DS67*DL67/($K$5*1000)))</f>
        <v>3.0852020333659933</v>
      </c>
      <c r="S67">
        <f t="shared" ref="S67:S72" si="101">J67*(1000-(1000*0.61365*EXP(17.502*W67/(240.97+W67))/(DL67+DM67)+DG67)/2)/(1000*0.61365*EXP(17.502*W67/(240.97+W67))/(DL67+DM67)-DG67)</f>
        <v>0.36853874270267378</v>
      </c>
      <c r="T67">
        <f t="shared" ref="T67:T72" si="102">1/((DA67+1)/(Q67/1.6)+1/(R67/1.37)) + DA67/((DA67+1)/(Q67/1.6) + DA67/(R67/1.37))</f>
        <v>0.23253334029789699</v>
      </c>
      <c r="U67">
        <f t="shared" ref="U67:U72" si="103">(CV67*CY67)</f>
        <v>289.56922484749225</v>
      </c>
      <c r="V67">
        <f t="shared" ref="V67:V72" si="104">(DN67+(U67+2*0.95*0.0000000567*(((DN67+$B$7)+273)^4-(DN67+273)^4)-44100*J67)/(1.84*29.3*R67+8*0.95*0.0000000567*(DN67+273)^3))</f>
        <v>30.710351211836258</v>
      </c>
      <c r="W67">
        <f t="shared" ref="W67:W72" si="105">($C$7*DO67+$D$7*DP67+$E$7*V67)</f>
        <v>30.001899999999999</v>
      </c>
      <c r="X67">
        <f t="shared" ref="X67:X72" si="106">0.61365*EXP(17.502*W67/(240.97+W67))</f>
        <v>4.2609147563459624</v>
      </c>
      <c r="Y67">
        <f t="shared" ref="Y67:Y72" si="107">(Z67/AA67*100)</f>
        <v>64.793994592294297</v>
      </c>
      <c r="Z67">
        <f t="shared" ref="Z67:Z72" si="108">DG67*(DL67+DM67)/1000</f>
        <v>2.8328393086415997</v>
      </c>
      <c r="AA67">
        <f t="shared" ref="AA67:AA72" si="109">0.61365*EXP(17.502*DN67/(240.97+DN67))</f>
        <v>4.372070785983766</v>
      </c>
      <c r="AB67">
        <f t="shared" ref="AB67:AB72" si="110">(X67-DG67*(DL67+DM67)/1000)</f>
        <v>1.4280754477043627</v>
      </c>
      <c r="AC67">
        <f t="shared" ref="AC67:AC72" si="111">(-J67*44100)</f>
        <v>-243.30864367238456</v>
      </c>
      <c r="AD67">
        <f t="shared" ref="AD67:AD72" si="112">2*29.3*R67*0.92*(DN67-W67)</f>
        <v>74.698538939452021</v>
      </c>
      <c r="AE67">
        <f t="shared" ref="AE67:AE72" si="113">2*0.95*0.0000000567*(((DN67+$B$7)+273)^4-(W67+273)^4)</f>
        <v>5.3956179258541095</v>
      </c>
      <c r="AF67">
        <f t="shared" ref="AF67:AF72" si="114">U67+AE67+AC67+AD67</f>
        <v>126.35473804041379</v>
      </c>
      <c r="AG67">
        <v>2</v>
      </c>
      <c r="AH67">
        <v>0</v>
      </c>
      <c r="AI67">
        <f t="shared" ref="AI67:AI72" si="115">IF(AG67*$H$13&gt;=AK67,1,(AK67/(AK67-AG67*$H$13)))</f>
        <v>1</v>
      </c>
      <c r="AJ67">
        <f t="shared" ref="AJ67:AJ72" si="116">(AI67-1)*100</f>
        <v>0</v>
      </c>
      <c r="AK67">
        <f t="shared" ref="AK67:AK72" si="117">MAX(0,($B$13+$C$13*DS67)/(1+$D$13*DS67)*DL67/(DN67+273)*$E$13)</f>
        <v>51861.70501892022</v>
      </c>
      <c r="AL67" t="s">
        <v>415</v>
      </c>
      <c r="AM67">
        <v>6960.3</v>
      </c>
      <c r="AN67">
        <v>244.8124</v>
      </c>
      <c r="AO67">
        <v>892.86711584811997</v>
      </c>
      <c r="AP67">
        <f t="shared" ref="AP67:AP72" si="118">1-AN67/AO67</f>
        <v>0.72581317459826411</v>
      </c>
      <c r="AQ67">
        <v>-0.43209471141234851</v>
      </c>
      <c r="AR67" t="s">
        <v>643</v>
      </c>
      <c r="AS67">
        <v>7137.78</v>
      </c>
      <c r="AT67">
        <v>611.78300000000002</v>
      </c>
      <c r="AU67">
        <v>846.15755287607851</v>
      </c>
      <c r="AV67">
        <f t="shared" ref="AV67:AV72" si="119">1-AT67/AU67</f>
        <v>0.27698689455579806</v>
      </c>
      <c r="AW67">
        <v>0.5</v>
      </c>
      <c r="AX67">
        <f t="shared" ref="AX67:AX72" si="120">CW67</f>
        <v>1513.1936999209804</v>
      </c>
      <c r="AY67">
        <f t="shared" ref="AY67:AY72" si="121">L67</f>
        <v>42.6368157651264</v>
      </c>
      <c r="AZ67">
        <f t="shared" ref="AZ67:AZ72" si="122">AV67*AW67*AX67</f>
        <v>209.56741190125527</v>
      </c>
      <c r="BA67">
        <f t="shared" ref="BA67:BA72" si="123">(AY67-AQ67)/AX67</f>
        <v>2.8462258651214198E-2</v>
      </c>
      <c r="BB67">
        <f t="shared" ref="BB67:BB72" si="124">(AO67-AU67)/AU67</f>
        <v>5.5201968963435065E-2</v>
      </c>
      <c r="BC67">
        <f t="shared" ref="BC67:BC72" si="125">AN67/(AP67+AN67/AU67)</f>
        <v>241.16225192830694</v>
      </c>
      <c r="BD67" t="s">
        <v>644</v>
      </c>
      <c r="BE67">
        <v>445.3</v>
      </c>
      <c r="BF67">
        <f t="shared" ref="BF67:BF72" si="126">IF(BE67&lt;&gt;0, BE67, BC67)</f>
        <v>445.3</v>
      </c>
      <c r="BG67">
        <f t="shared" ref="BG67:BG72" si="127">1-BF67/AU67</f>
        <v>0.47373866901449846</v>
      </c>
      <c r="BH67">
        <f t="shared" ref="BH67:BH72" si="128">(AU67-AT67)/(AU67-BF67)</f>
        <v>0.58468289095336889</v>
      </c>
      <c r="BI67">
        <f t="shared" ref="BI67:BI72" si="129">(AO67-AU67)/(AO67-BF67)</f>
        <v>0.10436325931481559</v>
      </c>
      <c r="BJ67">
        <f t="shared" ref="BJ67:BJ72" si="130">(AU67-AT67)/(AU67-AN67)</f>
        <v>0.38975046486219367</v>
      </c>
      <c r="BK67">
        <f t="shared" ref="BK67:BK72" si="131">(AO67-AU67)/(AO67-AN67)</f>
        <v>7.2076572903125746E-2</v>
      </c>
      <c r="BL67">
        <f t="shared" ref="BL67:BL72" si="132">(BH67*BF67/AT67)</f>
        <v>0.42557457683775979</v>
      </c>
      <c r="BM67">
        <f t="shared" ref="BM67:BM72" si="133">(1-BL67)</f>
        <v>0.57442542316224021</v>
      </c>
      <c r="BN67">
        <v>107</v>
      </c>
      <c r="BO67">
        <v>290.00000000000011</v>
      </c>
      <c r="BP67">
        <v>779.33</v>
      </c>
      <c r="BQ67">
        <v>275</v>
      </c>
      <c r="BR67">
        <v>7137.78</v>
      </c>
      <c r="BS67">
        <v>781.53</v>
      </c>
      <c r="BT67">
        <v>-2.2000000000000002</v>
      </c>
      <c r="BU67">
        <v>300.00000000000011</v>
      </c>
      <c r="BV67">
        <v>38.200000000000003</v>
      </c>
      <c r="BW67">
        <v>846.15755287607851</v>
      </c>
      <c r="BX67">
        <v>1.3050741430494279</v>
      </c>
      <c r="BY67">
        <v>-46.131815510650682</v>
      </c>
      <c r="BZ67">
        <v>0.78079899174445566</v>
      </c>
      <c r="CA67">
        <v>0.99204269891241403</v>
      </c>
      <c r="CB67">
        <v>-7.04339644048943E-3</v>
      </c>
      <c r="CC67">
        <v>289.99999999999989</v>
      </c>
      <c r="CD67">
        <v>787.86</v>
      </c>
      <c r="CE67">
        <v>885</v>
      </c>
      <c r="CF67">
        <v>7131.94</v>
      </c>
      <c r="CG67">
        <v>781.47</v>
      </c>
      <c r="CH67">
        <v>6.39</v>
      </c>
      <c r="CV67">
        <f t="shared" ref="CV67:CV72" si="134">$B$11*DT67+$C$11*DU67+$F$11*EF67*(1-EI67)</f>
        <v>1800.01</v>
      </c>
      <c r="CW67">
        <f t="shared" ref="CW67:CW72" si="135">CV67*CX67</f>
        <v>1513.1936999209804</v>
      </c>
      <c r="CX67">
        <f t="shared" ref="CX67:CX72" si="136">($B$11*$D$9+$C$11*$D$9+$F$11*((ES67+EK67)/MAX(ES67+EK67+ET67, 0.1)*$I$9+ET67/MAX(ES67+EK67+ET67, 0.1)*$J$9))/($B$11+$C$11+$F$11)</f>
        <v>0.84065849629778744</v>
      </c>
      <c r="CY67">
        <f t="shared" ref="CY67:CY72" si="137">($B$11*$K$9+$C$11*$K$9+$F$11*((ES67+EK67)/MAX(ES67+EK67+ET67, 0.1)*$P$9+ET67/MAX(ES67+EK67+ET67, 0.1)*$Q$9))/($B$11+$C$11+$F$11)</f>
        <v>0.16087089785472983</v>
      </c>
      <c r="CZ67">
        <v>5.18</v>
      </c>
      <c r="DA67">
        <v>0.5</v>
      </c>
      <c r="DB67" t="s">
        <v>418</v>
      </c>
      <c r="DC67">
        <v>2</v>
      </c>
      <c r="DD67">
        <v>1700164984.0999999</v>
      </c>
      <c r="DE67">
        <v>254.37899999999999</v>
      </c>
      <c r="DF67">
        <v>300.005</v>
      </c>
      <c r="DG67">
        <v>28.632000000000001</v>
      </c>
      <c r="DH67">
        <v>23.079799999999999</v>
      </c>
      <c r="DI67">
        <v>252.94800000000001</v>
      </c>
      <c r="DJ67">
        <v>28.320900000000002</v>
      </c>
      <c r="DK67">
        <v>499.99700000000001</v>
      </c>
      <c r="DL67">
        <v>98.840199999999996</v>
      </c>
      <c r="DM67">
        <v>9.9423800000000007E-2</v>
      </c>
      <c r="DN67">
        <v>30.451000000000001</v>
      </c>
      <c r="DO67">
        <v>30.001899999999999</v>
      </c>
      <c r="DP67">
        <v>999.9</v>
      </c>
      <c r="DQ67">
        <v>0</v>
      </c>
      <c r="DR67">
        <v>0</v>
      </c>
      <c r="DS67">
        <v>10038.799999999999</v>
      </c>
      <c r="DT67">
        <v>0</v>
      </c>
      <c r="DU67">
        <v>276.036</v>
      </c>
      <c r="DV67">
        <v>-45.626899999999999</v>
      </c>
      <c r="DW67">
        <v>261.87700000000001</v>
      </c>
      <c r="DX67">
        <v>307.09300000000002</v>
      </c>
      <c r="DY67">
        <v>5.5521399999999996</v>
      </c>
      <c r="DZ67">
        <v>300.005</v>
      </c>
      <c r="EA67">
        <v>23.079799999999999</v>
      </c>
      <c r="EB67">
        <v>2.82999</v>
      </c>
      <c r="EC67">
        <v>2.2812100000000002</v>
      </c>
      <c r="ED67">
        <v>23.060099999999998</v>
      </c>
      <c r="EE67">
        <v>19.5444</v>
      </c>
      <c r="EF67">
        <v>1800.01</v>
      </c>
      <c r="EG67">
        <v>0.977989</v>
      </c>
      <c r="EH67">
        <v>2.2010700000000001E-2</v>
      </c>
      <c r="EI67">
        <v>0</v>
      </c>
      <c r="EJ67">
        <v>611.55399999999997</v>
      </c>
      <c r="EK67">
        <v>5.0001199999999999</v>
      </c>
      <c r="EL67">
        <v>10993.4</v>
      </c>
      <c r="EM67">
        <v>15630</v>
      </c>
      <c r="EN67">
        <v>49.625</v>
      </c>
      <c r="EO67">
        <v>50.5</v>
      </c>
      <c r="EP67">
        <v>50.436999999999998</v>
      </c>
      <c r="EQ67">
        <v>50.25</v>
      </c>
      <c r="ER67">
        <v>51.186999999999998</v>
      </c>
      <c r="ES67">
        <v>1755.5</v>
      </c>
      <c r="ET67">
        <v>39.51</v>
      </c>
      <c r="EU67">
        <v>0</v>
      </c>
      <c r="EV67">
        <v>193.20000004768369</v>
      </c>
      <c r="EW67">
        <v>0</v>
      </c>
      <c r="EX67">
        <v>611.78300000000002</v>
      </c>
      <c r="EY67">
        <v>-1.6903076755990429</v>
      </c>
      <c r="EZ67">
        <v>-18.29230773659069</v>
      </c>
      <c r="FA67">
        <v>10994.804</v>
      </c>
      <c r="FB67">
        <v>15</v>
      </c>
      <c r="FC67">
        <v>1700164871.5999999</v>
      </c>
      <c r="FD67" t="s">
        <v>645</v>
      </c>
      <c r="FE67">
        <v>1700164866.5999999</v>
      </c>
      <c r="FF67">
        <v>1700164871.5999999</v>
      </c>
      <c r="FG67">
        <v>76</v>
      </c>
      <c r="FH67">
        <v>-0.10100000000000001</v>
      </c>
      <c r="FI67">
        <v>-7.0000000000000001E-3</v>
      </c>
      <c r="FJ67">
        <v>1.456</v>
      </c>
      <c r="FK67">
        <v>0.311</v>
      </c>
      <c r="FL67">
        <v>300</v>
      </c>
      <c r="FM67">
        <v>24</v>
      </c>
      <c r="FN67">
        <v>0.04</v>
      </c>
      <c r="FO67">
        <v>0.03</v>
      </c>
      <c r="FP67">
        <v>42.519568902952408</v>
      </c>
      <c r="FQ67">
        <v>0.69456735832682426</v>
      </c>
      <c r="FR67">
        <v>5.8554031468893007E-2</v>
      </c>
      <c r="FS67">
        <v>1</v>
      </c>
      <c r="FT67">
        <v>0.39321653174736748</v>
      </c>
      <c r="FU67">
        <v>7.0332513060126414E-3</v>
      </c>
      <c r="FV67">
        <v>5.7160791660847512E-4</v>
      </c>
      <c r="FW67">
        <v>1</v>
      </c>
      <c r="FX67">
        <v>2</v>
      </c>
      <c r="FY67">
        <v>2</v>
      </c>
      <c r="FZ67" t="s">
        <v>420</v>
      </c>
      <c r="GA67">
        <v>2.91588</v>
      </c>
      <c r="GB67">
        <v>2.7507899999999998</v>
      </c>
      <c r="GC67">
        <v>6.2589099999999995E-2</v>
      </c>
      <c r="GD67">
        <v>7.3404800000000006E-2</v>
      </c>
      <c r="GE67">
        <v>0.12945200000000001</v>
      </c>
      <c r="GF67">
        <v>0.11380899999999999</v>
      </c>
      <c r="GG67">
        <v>29111.3</v>
      </c>
      <c r="GH67">
        <v>28616.6</v>
      </c>
      <c r="GI67">
        <v>28285</v>
      </c>
      <c r="GJ67">
        <v>28238.6</v>
      </c>
      <c r="GK67">
        <v>33562</v>
      </c>
      <c r="GL67">
        <v>34953.199999999997</v>
      </c>
      <c r="GM67">
        <v>42501.3</v>
      </c>
      <c r="GN67">
        <v>43902.6</v>
      </c>
      <c r="GO67">
        <v>1.76735</v>
      </c>
      <c r="GP67">
        <v>1.8858999999999999</v>
      </c>
      <c r="GQ67">
        <v>5.1051399999999997E-2</v>
      </c>
      <c r="GR67">
        <v>0</v>
      </c>
      <c r="GS67">
        <v>29.170500000000001</v>
      </c>
      <c r="GT67">
        <v>999.9</v>
      </c>
      <c r="GU67">
        <v>35.5</v>
      </c>
      <c r="GV67">
        <v>41.7</v>
      </c>
      <c r="GW67">
        <v>29.143000000000001</v>
      </c>
      <c r="GX67">
        <v>60.7517</v>
      </c>
      <c r="GY67">
        <v>30.116199999999999</v>
      </c>
      <c r="GZ67">
        <v>1</v>
      </c>
      <c r="HA67">
        <v>0.511189</v>
      </c>
      <c r="HB67">
        <v>1.3501399999999999</v>
      </c>
      <c r="HC67">
        <v>20.262899999999998</v>
      </c>
      <c r="HD67">
        <v>5.27</v>
      </c>
      <c r="HE67">
        <v>12.0878</v>
      </c>
      <c r="HF67">
        <v>5.0125500000000001</v>
      </c>
      <c r="HG67">
        <v>3.2916500000000002</v>
      </c>
      <c r="HH67">
        <v>9999</v>
      </c>
      <c r="HI67">
        <v>9999</v>
      </c>
      <c r="HJ67">
        <v>9999</v>
      </c>
      <c r="HK67">
        <v>999.9</v>
      </c>
      <c r="HL67">
        <v>1.8759399999999999</v>
      </c>
      <c r="HM67">
        <v>1.87653</v>
      </c>
      <c r="HN67">
        <v>1.8762300000000001</v>
      </c>
      <c r="HO67">
        <v>1.8800399999999999</v>
      </c>
      <c r="HP67">
        <v>1.87364</v>
      </c>
      <c r="HQ67">
        <v>1.87669</v>
      </c>
      <c r="HR67">
        <v>1.87653</v>
      </c>
      <c r="HS67">
        <v>1.87798</v>
      </c>
      <c r="HT67">
        <v>0</v>
      </c>
      <c r="HU67">
        <v>0</v>
      </c>
      <c r="HV67">
        <v>0</v>
      </c>
      <c r="HW67">
        <v>0</v>
      </c>
      <c r="HX67" t="s">
        <v>421</v>
      </c>
      <c r="HY67" t="s">
        <v>422</v>
      </c>
      <c r="HZ67" t="s">
        <v>423</v>
      </c>
      <c r="IA67" t="s">
        <v>424</v>
      </c>
      <c r="IB67" t="s">
        <v>424</v>
      </c>
      <c r="IC67" t="s">
        <v>423</v>
      </c>
      <c r="ID67">
        <v>0</v>
      </c>
      <c r="IE67">
        <v>100</v>
      </c>
      <c r="IF67">
        <v>100</v>
      </c>
      <c r="IG67">
        <v>1.431</v>
      </c>
      <c r="IH67">
        <v>0.31109999999999999</v>
      </c>
      <c r="II67">
        <v>1.2471112351417819</v>
      </c>
      <c r="IJ67">
        <v>8.9576739069318506E-4</v>
      </c>
      <c r="IK67">
        <v>-7.2130504814809596E-7</v>
      </c>
      <c r="IL67">
        <v>1.9987036519832741E-10</v>
      </c>
      <c r="IM67">
        <v>0.31111500000000453</v>
      </c>
      <c r="IN67">
        <v>0</v>
      </c>
      <c r="IO67">
        <v>0</v>
      </c>
      <c r="IP67">
        <v>0</v>
      </c>
      <c r="IQ67">
        <v>1</v>
      </c>
      <c r="IR67">
        <v>2126</v>
      </c>
      <c r="IS67">
        <v>0</v>
      </c>
      <c r="IT67">
        <v>20</v>
      </c>
      <c r="IU67">
        <v>2</v>
      </c>
      <c r="IV67">
        <v>1.9</v>
      </c>
      <c r="IW67">
        <v>0.83129900000000001</v>
      </c>
      <c r="IX67">
        <v>2.67822</v>
      </c>
      <c r="IY67">
        <v>1.69434</v>
      </c>
      <c r="IZ67">
        <v>2.33643</v>
      </c>
      <c r="JA67">
        <v>1.5466299999999999</v>
      </c>
      <c r="JB67">
        <v>2.48169</v>
      </c>
      <c r="JC67">
        <v>44.529299999999999</v>
      </c>
      <c r="JD67">
        <v>23.938700000000001</v>
      </c>
      <c r="JE67">
        <v>18</v>
      </c>
      <c r="JF67">
        <v>500.63400000000001</v>
      </c>
      <c r="JG67">
        <v>482.822</v>
      </c>
      <c r="JH67">
        <v>28.177700000000002</v>
      </c>
      <c r="JI67">
        <v>33.602200000000003</v>
      </c>
      <c r="JJ67">
        <v>30.0001</v>
      </c>
      <c r="JK67">
        <v>33.630899999999997</v>
      </c>
      <c r="JL67">
        <v>33.599899999999998</v>
      </c>
      <c r="JM67">
        <v>16.7288</v>
      </c>
      <c r="JN67">
        <v>20.1203</v>
      </c>
      <c r="JO67">
        <v>44.881</v>
      </c>
      <c r="JP67">
        <v>28.1692</v>
      </c>
      <c r="JQ67">
        <v>300</v>
      </c>
      <c r="JR67">
        <v>23.129799999999999</v>
      </c>
      <c r="JS67">
        <v>99.088899999999995</v>
      </c>
      <c r="JT67">
        <v>98.909300000000002</v>
      </c>
    </row>
    <row r="68" spans="1:280" x14ac:dyDescent="0.25">
      <c r="A68">
        <v>66</v>
      </c>
      <c r="B68">
        <v>1700165164.5999999</v>
      </c>
      <c r="C68">
        <v>17635</v>
      </c>
      <c r="D68" t="s">
        <v>646</v>
      </c>
      <c r="E68" t="s">
        <v>647</v>
      </c>
      <c r="F68" t="s">
        <v>412</v>
      </c>
      <c r="G68" t="s">
        <v>413</v>
      </c>
      <c r="H68" t="s">
        <v>606</v>
      </c>
      <c r="I68">
        <v>1700165164.5999999</v>
      </c>
      <c r="J68">
        <f t="shared" si="92"/>
        <v>6.3844379018628402E-3</v>
      </c>
      <c r="K68">
        <f t="shared" si="93"/>
        <v>6.3844379018628405</v>
      </c>
      <c r="L68">
        <f t="shared" si="94"/>
        <v>32.135826841389068</v>
      </c>
      <c r="M68">
        <f t="shared" si="95"/>
        <v>165.61</v>
      </c>
      <c r="N68">
        <f t="shared" si="96"/>
        <v>45.38611567889744</v>
      </c>
      <c r="O68">
        <f t="shared" si="97"/>
        <v>4.4905766731137104</v>
      </c>
      <c r="P68">
        <f t="shared" si="98"/>
        <v>16.385724834790004</v>
      </c>
      <c r="Q68">
        <f t="shared" si="99"/>
        <v>0.4680909835168563</v>
      </c>
      <c r="R68">
        <f t="shared" si="100"/>
        <v>3.0748006321017209</v>
      </c>
      <c r="S68">
        <f t="shared" si="101"/>
        <v>0.43180279521031972</v>
      </c>
      <c r="T68">
        <f t="shared" si="102"/>
        <v>0.27290228414848527</v>
      </c>
      <c r="U68">
        <f t="shared" si="103"/>
        <v>289.57241684749391</v>
      </c>
      <c r="V68">
        <f t="shared" si="104"/>
        <v>30.541195771739236</v>
      </c>
      <c r="W68">
        <f t="shared" si="105"/>
        <v>29.955300000000001</v>
      </c>
      <c r="X68">
        <f t="shared" si="106"/>
        <v>4.2495231647253169</v>
      </c>
      <c r="Y68">
        <f t="shared" si="107"/>
        <v>64.767983379240775</v>
      </c>
      <c r="Z68">
        <f t="shared" si="108"/>
        <v>2.8390214953021</v>
      </c>
      <c r="AA68">
        <f t="shared" si="109"/>
        <v>4.3833717636051235</v>
      </c>
      <c r="AB68">
        <f t="shared" si="110"/>
        <v>1.4105016694232169</v>
      </c>
      <c r="AC68">
        <f t="shared" si="111"/>
        <v>-281.55371147215124</v>
      </c>
      <c r="AD68">
        <f t="shared" si="112"/>
        <v>89.647686827390558</v>
      </c>
      <c r="AE68">
        <f t="shared" si="113"/>
        <v>6.4972817697197787</v>
      </c>
      <c r="AF68">
        <f t="shared" si="114"/>
        <v>104.16367397245303</v>
      </c>
      <c r="AG68">
        <v>2</v>
      </c>
      <c r="AH68">
        <v>0</v>
      </c>
      <c r="AI68">
        <f t="shared" si="115"/>
        <v>1</v>
      </c>
      <c r="AJ68">
        <f t="shared" si="116"/>
        <v>0</v>
      </c>
      <c r="AK68">
        <f t="shared" si="117"/>
        <v>51584.958662808102</v>
      </c>
      <c r="AL68" t="s">
        <v>427</v>
      </c>
      <c r="AM68" t="s">
        <v>427</v>
      </c>
      <c r="AN68">
        <v>0</v>
      </c>
      <c r="AO68">
        <v>0</v>
      </c>
      <c r="AP68" t="e">
        <f t="shared" si="118"/>
        <v>#DIV/0!</v>
      </c>
      <c r="AQ68">
        <v>0</v>
      </c>
      <c r="AR68" t="s">
        <v>427</v>
      </c>
      <c r="AS68" t="s">
        <v>427</v>
      </c>
      <c r="AT68">
        <v>0</v>
      </c>
      <c r="AU68">
        <v>0</v>
      </c>
      <c r="AV68" t="e">
        <f t="shared" si="119"/>
        <v>#DIV/0!</v>
      </c>
      <c r="AW68">
        <v>0.5</v>
      </c>
      <c r="AX68">
        <f t="shared" si="120"/>
        <v>1513.2104999209812</v>
      </c>
      <c r="AY68">
        <f t="shared" si="121"/>
        <v>32.135826841389068</v>
      </c>
      <c r="AZ68" t="e">
        <f t="shared" si="122"/>
        <v>#DIV/0!</v>
      </c>
      <c r="BA68">
        <f t="shared" si="123"/>
        <v>2.1236851609916254E-2</v>
      </c>
      <c r="BB68" t="e">
        <f t="shared" si="124"/>
        <v>#DIV/0!</v>
      </c>
      <c r="BC68" t="e">
        <f t="shared" si="125"/>
        <v>#DIV/0!</v>
      </c>
      <c r="BD68" t="s">
        <v>427</v>
      </c>
      <c r="BE68">
        <v>0</v>
      </c>
      <c r="BF68" t="e">
        <f t="shared" si="126"/>
        <v>#DIV/0!</v>
      </c>
      <c r="BG68" t="e">
        <f t="shared" si="127"/>
        <v>#DIV/0!</v>
      </c>
      <c r="BH68" t="e">
        <f t="shared" si="128"/>
        <v>#DIV/0!</v>
      </c>
      <c r="BI68" t="e">
        <f t="shared" si="129"/>
        <v>#DIV/0!</v>
      </c>
      <c r="BJ68" t="e">
        <f t="shared" si="130"/>
        <v>#DIV/0!</v>
      </c>
      <c r="BK68" t="e">
        <f t="shared" si="131"/>
        <v>#DIV/0!</v>
      </c>
      <c r="BL68" t="e">
        <f t="shared" si="132"/>
        <v>#DIV/0!</v>
      </c>
      <c r="BM68" t="e">
        <f t="shared" si="133"/>
        <v>#DIV/0!</v>
      </c>
      <c r="BN68">
        <v>107</v>
      </c>
      <c r="BO68">
        <v>290.00000000000011</v>
      </c>
      <c r="BP68">
        <v>779.33</v>
      </c>
      <c r="BQ68">
        <v>275</v>
      </c>
      <c r="BR68">
        <v>7137.78</v>
      </c>
      <c r="BS68">
        <v>781.53</v>
      </c>
      <c r="BT68">
        <v>-2.2000000000000002</v>
      </c>
      <c r="BU68">
        <v>300.00000000000011</v>
      </c>
      <c r="BV68">
        <v>38.200000000000003</v>
      </c>
      <c r="BW68">
        <v>846.15755287607851</v>
      </c>
      <c r="BX68">
        <v>1.3050741430494279</v>
      </c>
      <c r="BY68">
        <v>-46.131815510650682</v>
      </c>
      <c r="BZ68">
        <v>0.78079899174445566</v>
      </c>
      <c r="CA68">
        <v>0.99204269891241403</v>
      </c>
      <c r="CB68">
        <v>-7.04339644048943E-3</v>
      </c>
      <c r="CC68">
        <v>289.99999999999989</v>
      </c>
      <c r="CD68">
        <v>787.86</v>
      </c>
      <c r="CE68">
        <v>885</v>
      </c>
      <c r="CF68">
        <v>7131.94</v>
      </c>
      <c r="CG68">
        <v>781.47</v>
      </c>
      <c r="CH68">
        <v>6.39</v>
      </c>
      <c r="CV68">
        <f t="shared" si="134"/>
        <v>1800.03</v>
      </c>
      <c r="CW68">
        <f t="shared" si="135"/>
        <v>1513.2104999209812</v>
      </c>
      <c r="CX68">
        <f t="shared" si="136"/>
        <v>0.84065848898128437</v>
      </c>
      <c r="CY68">
        <f t="shared" si="137"/>
        <v>0.16087088373387884</v>
      </c>
      <c r="CZ68">
        <v>5.18</v>
      </c>
      <c r="DA68">
        <v>0.5</v>
      </c>
      <c r="DB68" t="s">
        <v>418</v>
      </c>
      <c r="DC68">
        <v>2</v>
      </c>
      <c r="DD68">
        <v>1700165164.5999999</v>
      </c>
      <c r="DE68">
        <v>165.61</v>
      </c>
      <c r="DF68">
        <v>199.988</v>
      </c>
      <c r="DG68">
        <v>28.693899999999999</v>
      </c>
      <c r="DH68">
        <v>22.2713</v>
      </c>
      <c r="DI68">
        <v>164.34899999999999</v>
      </c>
      <c r="DJ68">
        <v>28.392700000000001</v>
      </c>
      <c r="DK68">
        <v>500.14699999999999</v>
      </c>
      <c r="DL68">
        <v>98.841200000000001</v>
      </c>
      <c r="DM68">
        <v>0.100439</v>
      </c>
      <c r="DN68">
        <v>30.496099999999998</v>
      </c>
      <c r="DO68">
        <v>29.955300000000001</v>
      </c>
      <c r="DP68">
        <v>999.9</v>
      </c>
      <c r="DQ68">
        <v>0</v>
      </c>
      <c r="DR68">
        <v>0</v>
      </c>
      <c r="DS68">
        <v>9984.3799999999992</v>
      </c>
      <c r="DT68">
        <v>0</v>
      </c>
      <c r="DU68">
        <v>265.67599999999999</v>
      </c>
      <c r="DV68">
        <v>-34.378300000000003</v>
      </c>
      <c r="DW68">
        <v>170.50299999999999</v>
      </c>
      <c r="DX68">
        <v>204.54400000000001</v>
      </c>
      <c r="DY68">
        <v>6.4226299999999998</v>
      </c>
      <c r="DZ68">
        <v>199.988</v>
      </c>
      <c r="EA68">
        <v>22.2713</v>
      </c>
      <c r="EB68">
        <v>2.8361399999999999</v>
      </c>
      <c r="EC68">
        <v>2.2013199999999999</v>
      </c>
      <c r="ED68">
        <v>23.0959</v>
      </c>
      <c r="EE68">
        <v>18.971900000000002</v>
      </c>
      <c r="EF68">
        <v>1800.03</v>
      </c>
      <c r="EG68">
        <v>0.977989</v>
      </c>
      <c r="EH68">
        <v>2.2010700000000001E-2</v>
      </c>
      <c r="EI68">
        <v>0</v>
      </c>
      <c r="EJ68">
        <v>629.673</v>
      </c>
      <c r="EK68">
        <v>5.0001199999999999</v>
      </c>
      <c r="EL68">
        <v>11290.2</v>
      </c>
      <c r="EM68">
        <v>15630.2</v>
      </c>
      <c r="EN68">
        <v>49.625</v>
      </c>
      <c r="EO68">
        <v>50.436999999999998</v>
      </c>
      <c r="EP68">
        <v>50.436999999999998</v>
      </c>
      <c r="EQ68">
        <v>50.375</v>
      </c>
      <c r="ER68">
        <v>51.25</v>
      </c>
      <c r="ES68">
        <v>1755.52</v>
      </c>
      <c r="ET68">
        <v>39.51</v>
      </c>
      <c r="EU68">
        <v>0</v>
      </c>
      <c r="EV68">
        <v>178.80000019073489</v>
      </c>
      <c r="EW68">
        <v>0</v>
      </c>
      <c r="EX68">
        <v>629.52508</v>
      </c>
      <c r="EY68">
        <v>-1.495461537898144</v>
      </c>
      <c r="EZ68">
        <v>-7.1230768988257376</v>
      </c>
      <c r="FA68">
        <v>11288.788</v>
      </c>
      <c r="FB68">
        <v>15</v>
      </c>
      <c r="FC68">
        <v>1700165070.0999999</v>
      </c>
      <c r="FD68" t="s">
        <v>648</v>
      </c>
      <c r="FE68">
        <v>1700165062.5999999</v>
      </c>
      <c r="FF68">
        <v>1700165070.0999999</v>
      </c>
      <c r="FG68">
        <v>77</v>
      </c>
      <c r="FH68">
        <v>-0.115</v>
      </c>
      <c r="FI68">
        <v>-0.01</v>
      </c>
      <c r="FJ68">
        <v>1.284</v>
      </c>
      <c r="FK68">
        <v>0.30099999999999999</v>
      </c>
      <c r="FL68">
        <v>200</v>
      </c>
      <c r="FM68">
        <v>23</v>
      </c>
      <c r="FN68">
        <v>0.09</v>
      </c>
      <c r="FO68">
        <v>0.02</v>
      </c>
      <c r="FP68">
        <v>32.039475007012172</v>
      </c>
      <c r="FQ68">
        <v>0.62758456110727634</v>
      </c>
      <c r="FR68">
        <v>5.2141848899367613E-2</v>
      </c>
      <c r="FS68">
        <v>1</v>
      </c>
      <c r="FT68">
        <v>0.46674152419673909</v>
      </c>
      <c r="FU68">
        <v>2.96716361818226E-2</v>
      </c>
      <c r="FV68">
        <v>2.6414979557199789E-3</v>
      </c>
      <c r="FW68">
        <v>1</v>
      </c>
      <c r="FX68">
        <v>2</v>
      </c>
      <c r="FY68">
        <v>2</v>
      </c>
      <c r="FZ68" t="s">
        <v>420</v>
      </c>
      <c r="GA68">
        <v>2.9163299999999999</v>
      </c>
      <c r="GB68">
        <v>2.7513100000000001</v>
      </c>
      <c r="GC68">
        <v>4.2877899999999997E-2</v>
      </c>
      <c r="GD68">
        <v>5.2074299999999997E-2</v>
      </c>
      <c r="GE68">
        <v>0.129692</v>
      </c>
      <c r="GF68">
        <v>0.111026</v>
      </c>
      <c r="GG68">
        <v>29724.2</v>
      </c>
      <c r="GH68">
        <v>29277.4</v>
      </c>
      <c r="GI68">
        <v>28286.3</v>
      </c>
      <c r="GJ68">
        <v>28241.1</v>
      </c>
      <c r="GK68">
        <v>33554.199999999997</v>
      </c>
      <c r="GL68">
        <v>35066.300000000003</v>
      </c>
      <c r="GM68">
        <v>42503.199999999997</v>
      </c>
      <c r="GN68">
        <v>43906.6</v>
      </c>
      <c r="GO68">
        <v>1.7688200000000001</v>
      </c>
      <c r="GP68">
        <v>1.8851</v>
      </c>
      <c r="GQ68">
        <v>4.3749799999999998E-2</v>
      </c>
      <c r="GR68">
        <v>0</v>
      </c>
      <c r="GS68">
        <v>29.242799999999999</v>
      </c>
      <c r="GT68">
        <v>999.9</v>
      </c>
      <c r="GU68">
        <v>35.299999999999997</v>
      </c>
      <c r="GV68">
        <v>41.5</v>
      </c>
      <c r="GW68">
        <v>28.6722</v>
      </c>
      <c r="GX68">
        <v>60.631700000000002</v>
      </c>
      <c r="GY68">
        <v>30.584900000000001</v>
      </c>
      <c r="GZ68">
        <v>1</v>
      </c>
      <c r="HA68">
        <v>0.507942</v>
      </c>
      <c r="HB68">
        <v>0.99612500000000004</v>
      </c>
      <c r="HC68">
        <v>20.265799999999999</v>
      </c>
      <c r="HD68">
        <v>5.2739000000000003</v>
      </c>
      <c r="HE68">
        <v>12.0878</v>
      </c>
      <c r="HF68">
        <v>5.0124000000000004</v>
      </c>
      <c r="HG68">
        <v>3.2916300000000001</v>
      </c>
      <c r="HH68">
        <v>9999</v>
      </c>
      <c r="HI68">
        <v>9999</v>
      </c>
      <c r="HJ68">
        <v>9999</v>
      </c>
      <c r="HK68">
        <v>999.9</v>
      </c>
      <c r="HL68">
        <v>1.87592</v>
      </c>
      <c r="HM68">
        <v>1.87653</v>
      </c>
      <c r="HN68">
        <v>1.87622</v>
      </c>
      <c r="HO68">
        <v>1.8800399999999999</v>
      </c>
      <c r="HP68">
        <v>1.8736299999999999</v>
      </c>
      <c r="HQ68">
        <v>1.8766799999999999</v>
      </c>
      <c r="HR68">
        <v>1.87653</v>
      </c>
      <c r="HS68">
        <v>1.8779699999999999</v>
      </c>
      <c r="HT68">
        <v>0</v>
      </c>
      <c r="HU68">
        <v>0</v>
      </c>
      <c r="HV68">
        <v>0</v>
      </c>
      <c r="HW68">
        <v>0</v>
      </c>
      <c r="HX68" t="s">
        <v>421</v>
      </c>
      <c r="HY68" t="s">
        <v>422</v>
      </c>
      <c r="HZ68" t="s">
        <v>423</v>
      </c>
      <c r="IA68" t="s">
        <v>424</v>
      </c>
      <c r="IB68" t="s">
        <v>424</v>
      </c>
      <c r="IC68" t="s">
        <v>423</v>
      </c>
      <c r="ID68">
        <v>0</v>
      </c>
      <c r="IE68">
        <v>100</v>
      </c>
      <c r="IF68">
        <v>100</v>
      </c>
      <c r="IG68">
        <v>1.2609999999999999</v>
      </c>
      <c r="IH68">
        <v>0.30120000000000002</v>
      </c>
      <c r="II68">
        <v>1.132448533307681</v>
      </c>
      <c r="IJ68">
        <v>8.9576739069318506E-4</v>
      </c>
      <c r="IK68">
        <v>-7.2130504814809596E-7</v>
      </c>
      <c r="IL68">
        <v>1.9987036519832741E-10</v>
      </c>
      <c r="IM68">
        <v>0.30122380952380817</v>
      </c>
      <c r="IN68">
        <v>0</v>
      </c>
      <c r="IO68">
        <v>0</v>
      </c>
      <c r="IP68">
        <v>0</v>
      </c>
      <c r="IQ68">
        <v>1</v>
      </c>
      <c r="IR68">
        <v>2126</v>
      </c>
      <c r="IS68">
        <v>0</v>
      </c>
      <c r="IT68">
        <v>20</v>
      </c>
      <c r="IU68">
        <v>1.7</v>
      </c>
      <c r="IV68">
        <v>1.6</v>
      </c>
      <c r="IW68">
        <v>0.61035200000000001</v>
      </c>
      <c r="IX68">
        <v>2.6904300000000001</v>
      </c>
      <c r="IY68">
        <v>1.69434</v>
      </c>
      <c r="IZ68">
        <v>2.33643</v>
      </c>
      <c r="JA68">
        <v>1.5466299999999999</v>
      </c>
      <c r="JB68">
        <v>2.47559</v>
      </c>
      <c r="JC68">
        <v>44.389899999999997</v>
      </c>
      <c r="JD68">
        <v>23.938700000000001</v>
      </c>
      <c r="JE68">
        <v>18</v>
      </c>
      <c r="JF68">
        <v>501.38200000000001</v>
      </c>
      <c r="JG68">
        <v>481.83100000000002</v>
      </c>
      <c r="JH68">
        <v>28.406300000000002</v>
      </c>
      <c r="JI68">
        <v>33.569099999999999</v>
      </c>
      <c r="JJ68">
        <v>29.9999</v>
      </c>
      <c r="JK68">
        <v>33.581800000000001</v>
      </c>
      <c r="JL68">
        <v>33.545900000000003</v>
      </c>
      <c r="JM68">
        <v>12.295299999999999</v>
      </c>
      <c r="JN68">
        <v>21.098299999999998</v>
      </c>
      <c r="JO68">
        <v>43.544600000000003</v>
      </c>
      <c r="JP68">
        <v>28.415900000000001</v>
      </c>
      <c r="JQ68">
        <v>200</v>
      </c>
      <c r="JR68">
        <v>22.382100000000001</v>
      </c>
      <c r="JS68">
        <v>99.093400000000003</v>
      </c>
      <c r="JT68">
        <v>98.918199999999999</v>
      </c>
    </row>
    <row r="69" spans="1:280" x14ac:dyDescent="0.25">
      <c r="A69">
        <v>67</v>
      </c>
      <c r="B69">
        <v>1700165312.5999999</v>
      </c>
      <c r="C69">
        <v>17783</v>
      </c>
      <c r="D69" t="s">
        <v>649</v>
      </c>
      <c r="E69" t="s">
        <v>650</v>
      </c>
      <c r="F69" t="s">
        <v>412</v>
      </c>
      <c r="G69" t="s">
        <v>413</v>
      </c>
      <c r="H69" t="s">
        <v>606</v>
      </c>
      <c r="I69">
        <v>1700165312.5999999</v>
      </c>
      <c r="J69">
        <f t="shared" si="92"/>
        <v>6.8943358656503705E-3</v>
      </c>
      <c r="K69">
        <f t="shared" si="93"/>
        <v>6.8943358656503708</v>
      </c>
      <c r="L69">
        <f t="shared" si="94"/>
        <v>20.753805551741927</v>
      </c>
      <c r="M69">
        <f t="shared" si="95"/>
        <v>97.795900000000003</v>
      </c>
      <c r="N69">
        <f t="shared" si="96"/>
        <v>28.211439332231343</v>
      </c>
      <c r="O69">
        <f t="shared" si="97"/>
        <v>2.7911805917198111</v>
      </c>
      <c r="P69">
        <f t="shared" si="98"/>
        <v>9.6757210724059011</v>
      </c>
      <c r="Q69">
        <f t="shared" si="99"/>
        <v>0.52658971759956386</v>
      </c>
      <c r="R69">
        <f t="shared" si="100"/>
        <v>3.0788041425430972</v>
      </c>
      <c r="S69">
        <f t="shared" si="101"/>
        <v>0.48118978655875055</v>
      </c>
      <c r="T69">
        <f t="shared" si="102"/>
        <v>0.30449577115143067</v>
      </c>
      <c r="U69">
        <f t="shared" si="103"/>
        <v>289.57967684765339</v>
      </c>
      <c r="V69">
        <f t="shared" si="104"/>
        <v>30.436876314527712</v>
      </c>
      <c r="W69">
        <f t="shared" si="105"/>
        <v>29.942</v>
      </c>
      <c r="X69">
        <f t="shared" si="106"/>
        <v>4.246276789213721</v>
      </c>
      <c r="Y69">
        <f t="shared" si="107"/>
        <v>65.615068635239766</v>
      </c>
      <c r="Z69">
        <f t="shared" si="108"/>
        <v>2.8797755906169002</v>
      </c>
      <c r="AA69">
        <f t="shared" si="109"/>
        <v>4.388893664999177</v>
      </c>
      <c r="AB69">
        <f t="shared" si="110"/>
        <v>1.3665011985968207</v>
      </c>
      <c r="AC69">
        <f t="shared" si="111"/>
        <v>-304.04021167518135</v>
      </c>
      <c r="AD69">
        <f t="shared" si="112"/>
        <v>95.623664074176588</v>
      </c>
      <c r="AE69">
        <f t="shared" si="113"/>
        <v>6.9216818104050715</v>
      </c>
      <c r="AF69">
        <f t="shared" si="114"/>
        <v>88.084811057053685</v>
      </c>
      <c r="AG69">
        <v>2</v>
      </c>
      <c r="AH69">
        <v>0</v>
      </c>
      <c r="AI69">
        <f t="shared" si="115"/>
        <v>1</v>
      </c>
      <c r="AJ69">
        <f t="shared" si="116"/>
        <v>0</v>
      </c>
      <c r="AK69">
        <f t="shared" si="117"/>
        <v>51684.648508378297</v>
      </c>
      <c r="AL69" t="s">
        <v>415</v>
      </c>
      <c r="AM69">
        <v>6960.3</v>
      </c>
      <c r="AN69">
        <v>244.8124</v>
      </c>
      <c r="AO69">
        <v>892.86711584811997</v>
      </c>
      <c r="AP69">
        <f t="shared" si="118"/>
        <v>0.72581317459826411</v>
      </c>
      <c r="AQ69">
        <v>-0.43209471141234851</v>
      </c>
      <c r="AR69" t="s">
        <v>651</v>
      </c>
      <c r="AS69">
        <v>7138.41</v>
      </c>
      <c r="AT69">
        <v>655.40855999999997</v>
      </c>
      <c r="AU69">
        <v>777.68018811704246</v>
      </c>
      <c r="AV69">
        <f t="shared" si="119"/>
        <v>0.15722610654785041</v>
      </c>
      <c r="AW69">
        <v>0.5</v>
      </c>
      <c r="AX69">
        <f t="shared" si="120"/>
        <v>1513.2596999210637</v>
      </c>
      <c r="AY69">
        <f t="shared" si="121"/>
        <v>20.753805551741927</v>
      </c>
      <c r="AZ69">
        <f t="shared" si="122"/>
        <v>118.96196540717864</v>
      </c>
      <c r="BA69">
        <f t="shared" si="123"/>
        <v>1.4000174764621958E-2</v>
      </c>
      <c r="BB69">
        <f t="shared" si="124"/>
        <v>0.14811606299238991</v>
      </c>
      <c r="BC69">
        <f t="shared" si="125"/>
        <v>235.25821723838996</v>
      </c>
      <c r="BD69" t="s">
        <v>652</v>
      </c>
      <c r="BE69">
        <v>461.73</v>
      </c>
      <c r="BF69">
        <f t="shared" si="126"/>
        <v>461.73</v>
      </c>
      <c r="BG69">
        <f t="shared" si="127"/>
        <v>0.40627264644871119</v>
      </c>
      <c r="BH69">
        <f t="shared" si="128"/>
        <v>0.3869965352631709</v>
      </c>
      <c r="BI69">
        <f t="shared" si="129"/>
        <v>0.26717005680312456</v>
      </c>
      <c r="BJ69">
        <f t="shared" si="130"/>
        <v>0.22945959737800098</v>
      </c>
      <c r="BK69">
        <f t="shared" si="131"/>
        <v>0.17774259628730649</v>
      </c>
      <c r="BL69">
        <f t="shared" si="132"/>
        <v>0.2726359116015572</v>
      </c>
      <c r="BM69">
        <f t="shared" si="133"/>
        <v>0.7273640883984428</v>
      </c>
      <c r="BN69">
        <v>109</v>
      </c>
      <c r="BO69">
        <v>290.00000000000011</v>
      </c>
      <c r="BP69">
        <v>746.68</v>
      </c>
      <c r="BQ69">
        <v>245</v>
      </c>
      <c r="BR69">
        <v>7138.41</v>
      </c>
      <c r="BS69">
        <v>747.97</v>
      </c>
      <c r="BT69">
        <v>-1.29</v>
      </c>
      <c r="BU69">
        <v>300.00000000000011</v>
      </c>
      <c r="BV69">
        <v>38.200000000000003</v>
      </c>
      <c r="BW69">
        <v>777.68018811704246</v>
      </c>
      <c r="BX69">
        <v>1.133907226153918</v>
      </c>
      <c r="BY69">
        <v>-21.209952459877019</v>
      </c>
      <c r="BZ69">
        <v>0.67839316146880213</v>
      </c>
      <c r="CA69">
        <v>0.97215313901736411</v>
      </c>
      <c r="CB69">
        <v>-7.0431288097886451E-3</v>
      </c>
      <c r="CC69">
        <v>289.99999999999989</v>
      </c>
      <c r="CD69">
        <v>752.2</v>
      </c>
      <c r="CE69">
        <v>755</v>
      </c>
      <c r="CF69">
        <v>7133.35</v>
      </c>
      <c r="CG69">
        <v>747.95</v>
      </c>
      <c r="CH69">
        <v>4.25</v>
      </c>
      <c r="CV69">
        <f t="shared" si="134"/>
        <v>1800.09</v>
      </c>
      <c r="CW69">
        <f t="shared" si="135"/>
        <v>1513.2596999210637</v>
      </c>
      <c r="CX69">
        <f t="shared" si="136"/>
        <v>0.84065780039945992</v>
      </c>
      <c r="CY69">
        <f t="shared" si="137"/>
        <v>0.1608695547709578</v>
      </c>
      <c r="CZ69">
        <v>5.18</v>
      </c>
      <c r="DA69">
        <v>0.5</v>
      </c>
      <c r="DB69" t="s">
        <v>418</v>
      </c>
      <c r="DC69">
        <v>2</v>
      </c>
      <c r="DD69">
        <v>1700165312.5999999</v>
      </c>
      <c r="DE69">
        <v>97.795900000000003</v>
      </c>
      <c r="DF69">
        <v>119.99299999999999</v>
      </c>
      <c r="DG69">
        <v>29.1069</v>
      </c>
      <c r="DH69">
        <v>22.172999999999998</v>
      </c>
      <c r="DI69">
        <v>96.577299999999994</v>
      </c>
      <c r="DJ69">
        <v>28.8169</v>
      </c>
      <c r="DK69">
        <v>500.053</v>
      </c>
      <c r="DL69">
        <v>98.837900000000005</v>
      </c>
      <c r="DM69">
        <v>0.10000100000000001</v>
      </c>
      <c r="DN69">
        <v>30.5181</v>
      </c>
      <c r="DO69">
        <v>29.942</v>
      </c>
      <c r="DP69">
        <v>999.9</v>
      </c>
      <c r="DQ69">
        <v>0</v>
      </c>
      <c r="DR69">
        <v>0</v>
      </c>
      <c r="DS69">
        <v>10005.6</v>
      </c>
      <c r="DT69">
        <v>0</v>
      </c>
      <c r="DU69">
        <v>256.09100000000001</v>
      </c>
      <c r="DV69">
        <v>-22.196999999999999</v>
      </c>
      <c r="DW69">
        <v>100.72799999999999</v>
      </c>
      <c r="DX69">
        <v>122.714</v>
      </c>
      <c r="DY69">
        <v>6.9338899999999999</v>
      </c>
      <c r="DZ69">
        <v>119.99299999999999</v>
      </c>
      <c r="EA69">
        <v>22.172999999999998</v>
      </c>
      <c r="EB69">
        <v>2.8768600000000002</v>
      </c>
      <c r="EC69">
        <v>2.1915300000000002</v>
      </c>
      <c r="ED69">
        <v>23.331900000000001</v>
      </c>
      <c r="EE69">
        <v>18.900500000000001</v>
      </c>
      <c r="EF69">
        <v>1800.09</v>
      </c>
      <c r="EG69">
        <v>0.97801000000000005</v>
      </c>
      <c r="EH69">
        <v>2.1990099999999999E-2</v>
      </c>
      <c r="EI69">
        <v>0</v>
      </c>
      <c r="EJ69">
        <v>655.33500000000004</v>
      </c>
      <c r="EK69">
        <v>5.0001199999999999</v>
      </c>
      <c r="EL69">
        <v>11728.8</v>
      </c>
      <c r="EM69">
        <v>15630.8</v>
      </c>
      <c r="EN69">
        <v>49.436999999999998</v>
      </c>
      <c r="EO69">
        <v>50.375</v>
      </c>
      <c r="EP69">
        <v>50.311999999999998</v>
      </c>
      <c r="EQ69">
        <v>50.186999999999998</v>
      </c>
      <c r="ER69">
        <v>51.125</v>
      </c>
      <c r="ES69">
        <v>1755.62</v>
      </c>
      <c r="ET69">
        <v>39.47</v>
      </c>
      <c r="EU69">
        <v>0</v>
      </c>
      <c r="EV69">
        <v>326.40000009536737</v>
      </c>
      <c r="EW69">
        <v>0</v>
      </c>
      <c r="EX69">
        <v>655.40855999999997</v>
      </c>
      <c r="EY69">
        <v>-0.34015385242472679</v>
      </c>
      <c r="EZ69">
        <v>-13.846153816720721</v>
      </c>
      <c r="FA69">
        <v>11730.124</v>
      </c>
      <c r="FB69">
        <v>15</v>
      </c>
      <c r="FC69">
        <v>1700165271.0999999</v>
      </c>
      <c r="FD69" t="s">
        <v>653</v>
      </c>
      <c r="FE69">
        <v>1700165257.0999999</v>
      </c>
      <c r="FF69">
        <v>1700165271.0999999</v>
      </c>
      <c r="FG69">
        <v>78</v>
      </c>
      <c r="FH69">
        <v>6.0000000000000001E-3</v>
      </c>
      <c r="FI69">
        <v>-1.0999999999999999E-2</v>
      </c>
      <c r="FJ69">
        <v>1.2350000000000001</v>
      </c>
      <c r="FK69">
        <v>0.28999999999999998</v>
      </c>
      <c r="FL69">
        <v>120</v>
      </c>
      <c r="FM69">
        <v>23</v>
      </c>
      <c r="FN69">
        <v>0.06</v>
      </c>
      <c r="FO69">
        <v>0.01</v>
      </c>
      <c r="FP69">
        <v>20.68616859183447</v>
      </c>
      <c r="FQ69">
        <v>0.46373003920114442</v>
      </c>
      <c r="FR69">
        <v>4.2814823786271758E-2</v>
      </c>
      <c r="FS69">
        <v>1</v>
      </c>
      <c r="FT69">
        <v>0.52222878605960588</v>
      </c>
      <c r="FU69">
        <v>4.6504727161525233E-2</v>
      </c>
      <c r="FV69">
        <v>3.640119394248582E-3</v>
      </c>
      <c r="FW69">
        <v>1</v>
      </c>
      <c r="FX69">
        <v>2</v>
      </c>
      <c r="FY69">
        <v>2</v>
      </c>
      <c r="FZ69" t="s">
        <v>420</v>
      </c>
      <c r="GA69">
        <v>2.9161600000000001</v>
      </c>
      <c r="GB69">
        <v>2.7510599999999998</v>
      </c>
      <c r="GC69">
        <v>2.6106899999999999E-2</v>
      </c>
      <c r="GD69">
        <v>3.2733400000000003E-2</v>
      </c>
      <c r="GE69">
        <v>0.131025</v>
      </c>
      <c r="GF69">
        <v>0.110691</v>
      </c>
      <c r="GG69">
        <v>30247.4</v>
      </c>
      <c r="GH69">
        <v>29877</v>
      </c>
      <c r="GI69">
        <v>28289.1</v>
      </c>
      <c r="GJ69">
        <v>28243.9</v>
      </c>
      <c r="GK69">
        <v>33505.9</v>
      </c>
      <c r="GL69">
        <v>35082.199999999997</v>
      </c>
      <c r="GM69">
        <v>42507.3</v>
      </c>
      <c r="GN69">
        <v>43910.1</v>
      </c>
      <c r="GO69">
        <v>1.7692000000000001</v>
      </c>
      <c r="GP69">
        <v>1.88598</v>
      </c>
      <c r="GQ69">
        <v>4.1276199999999999E-2</v>
      </c>
      <c r="GR69">
        <v>0</v>
      </c>
      <c r="GS69">
        <v>29.2699</v>
      </c>
      <c r="GT69">
        <v>999.9</v>
      </c>
      <c r="GU69">
        <v>35.1</v>
      </c>
      <c r="GV69">
        <v>41.4</v>
      </c>
      <c r="GW69">
        <v>28.3628</v>
      </c>
      <c r="GX69">
        <v>61.101700000000001</v>
      </c>
      <c r="GY69">
        <v>30.532900000000001</v>
      </c>
      <c r="GZ69">
        <v>1</v>
      </c>
      <c r="HA69">
        <v>0.50477099999999997</v>
      </c>
      <c r="HB69">
        <v>1.53847</v>
      </c>
      <c r="HC69">
        <v>20.261600000000001</v>
      </c>
      <c r="HD69">
        <v>5.2753899999999998</v>
      </c>
      <c r="HE69">
        <v>12.0878</v>
      </c>
      <c r="HF69">
        <v>5.0129000000000001</v>
      </c>
      <c r="HG69">
        <v>3.2919800000000001</v>
      </c>
      <c r="HH69">
        <v>9999</v>
      </c>
      <c r="HI69">
        <v>9999</v>
      </c>
      <c r="HJ69">
        <v>9999</v>
      </c>
      <c r="HK69">
        <v>999.9</v>
      </c>
      <c r="HL69">
        <v>1.87592</v>
      </c>
      <c r="HM69">
        <v>1.87653</v>
      </c>
      <c r="HN69">
        <v>1.87622</v>
      </c>
      <c r="HO69">
        <v>1.8800399999999999</v>
      </c>
      <c r="HP69">
        <v>1.8736299999999999</v>
      </c>
      <c r="HQ69">
        <v>1.8767100000000001</v>
      </c>
      <c r="HR69">
        <v>1.87653</v>
      </c>
      <c r="HS69">
        <v>1.87791</v>
      </c>
      <c r="HT69">
        <v>0</v>
      </c>
      <c r="HU69">
        <v>0</v>
      </c>
      <c r="HV69">
        <v>0</v>
      </c>
      <c r="HW69">
        <v>0</v>
      </c>
      <c r="HX69" t="s">
        <v>421</v>
      </c>
      <c r="HY69" t="s">
        <v>422</v>
      </c>
      <c r="HZ69" t="s">
        <v>423</v>
      </c>
      <c r="IA69" t="s">
        <v>424</v>
      </c>
      <c r="IB69" t="s">
        <v>424</v>
      </c>
      <c r="IC69" t="s">
        <v>423</v>
      </c>
      <c r="ID69">
        <v>0</v>
      </c>
      <c r="IE69">
        <v>100</v>
      </c>
      <c r="IF69">
        <v>100</v>
      </c>
      <c r="IG69">
        <v>1.2190000000000001</v>
      </c>
      <c r="IH69">
        <v>0.28999999999999998</v>
      </c>
      <c r="II69">
        <v>1.138648571929892</v>
      </c>
      <c r="IJ69">
        <v>8.9576739069318506E-4</v>
      </c>
      <c r="IK69">
        <v>-7.2130504814809596E-7</v>
      </c>
      <c r="IL69">
        <v>1.9987036519832741E-10</v>
      </c>
      <c r="IM69">
        <v>0.28997499999999832</v>
      </c>
      <c r="IN69">
        <v>0</v>
      </c>
      <c r="IO69">
        <v>0</v>
      </c>
      <c r="IP69">
        <v>0</v>
      </c>
      <c r="IQ69">
        <v>1</v>
      </c>
      <c r="IR69">
        <v>2126</v>
      </c>
      <c r="IS69">
        <v>0</v>
      </c>
      <c r="IT69">
        <v>20</v>
      </c>
      <c r="IU69">
        <v>0.9</v>
      </c>
      <c r="IV69">
        <v>0.7</v>
      </c>
      <c r="IW69">
        <v>0.42846699999999999</v>
      </c>
      <c r="IX69">
        <v>2.7087400000000001</v>
      </c>
      <c r="IY69">
        <v>1.69434</v>
      </c>
      <c r="IZ69">
        <v>2.33521</v>
      </c>
      <c r="JA69">
        <v>1.5466299999999999</v>
      </c>
      <c r="JB69">
        <v>2.36084</v>
      </c>
      <c r="JC69">
        <v>44.250900000000001</v>
      </c>
      <c r="JD69">
        <v>23.9299</v>
      </c>
      <c r="JE69">
        <v>18</v>
      </c>
      <c r="JF69">
        <v>501.30700000000002</v>
      </c>
      <c r="JG69">
        <v>482.096</v>
      </c>
      <c r="JH69">
        <v>27.9758</v>
      </c>
      <c r="JI69">
        <v>33.527500000000003</v>
      </c>
      <c r="JJ69">
        <v>29.9998</v>
      </c>
      <c r="JK69">
        <v>33.5396</v>
      </c>
      <c r="JL69">
        <v>33.502400000000002</v>
      </c>
      <c r="JM69">
        <v>8.6458300000000001</v>
      </c>
      <c r="JN69">
        <v>21.1647</v>
      </c>
      <c r="JO69">
        <v>42.889600000000002</v>
      </c>
      <c r="JP69">
        <v>28.0167</v>
      </c>
      <c r="JQ69">
        <v>120</v>
      </c>
      <c r="JR69">
        <v>22.072199999999999</v>
      </c>
      <c r="JS69">
        <v>99.102900000000005</v>
      </c>
      <c r="JT69">
        <v>98.926599999999993</v>
      </c>
    </row>
    <row r="70" spans="1:280" x14ac:dyDescent="0.25">
      <c r="A70">
        <v>68</v>
      </c>
      <c r="B70">
        <v>1700165431.5999999</v>
      </c>
      <c r="C70">
        <v>17902</v>
      </c>
      <c r="D70" t="s">
        <v>654</v>
      </c>
      <c r="E70" t="s">
        <v>655</v>
      </c>
      <c r="F70" t="s">
        <v>412</v>
      </c>
      <c r="G70" t="s">
        <v>413</v>
      </c>
      <c r="H70" t="s">
        <v>606</v>
      </c>
      <c r="I70">
        <v>1700165431.5999999</v>
      </c>
      <c r="J70">
        <f t="shared" si="92"/>
        <v>6.8346339895792316E-3</v>
      </c>
      <c r="K70">
        <f t="shared" si="93"/>
        <v>6.8346339895792312</v>
      </c>
      <c r="L70">
        <f t="shared" si="94"/>
        <v>12.633075535482689</v>
      </c>
      <c r="M70">
        <f t="shared" si="95"/>
        <v>56.4925</v>
      </c>
      <c r="N70">
        <f t="shared" si="96"/>
        <v>13.930367255371779</v>
      </c>
      <c r="O70">
        <f t="shared" si="97"/>
        <v>1.3782403352102741</v>
      </c>
      <c r="P70">
        <f t="shared" si="98"/>
        <v>5.5892454742600002</v>
      </c>
      <c r="Q70">
        <f t="shared" si="99"/>
        <v>0.52275989048857885</v>
      </c>
      <c r="R70">
        <f t="shared" si="100"/>
        <v>3.0821604097900712</v>
      </c>
      <c r="S70">
        <f t="shared" si="101"/>
        <v>0.47803218292665162</v>
      </c>
      <c r="T70">
        <f t="shared" si="102"/>
        <v>0.30246916604998098</v>
      </c>
      <c r="U70">
        <f t="shared" si="103"/>
        <v>289.57967684765339</v>
      </c>
      <c r="V70">
        <f t="shared" si="104"/>
        <v>30.52003532307867</v>
      </c>
      <c r="W70">
        <f t="shared" si="105"/>
        <v>29.9785</v>
      </c>
      <c r="X70">
        <f t="shared" si="106"/>
        <v>4.2551911928940127</v>
      </c>
      <c r="Y70">
        <f t="shared" si="107"/>
        <v>65.630409850139628</v>
      </c>
      <c r="Z70">
        <f t="shared" si="108"/>
        <v>2.8917252723463998</v>
      </c>
      <c r="AA70">
        <f t="shared" si="109"/>
        <v>4.4060752918492518</v>
      </c>
      <c r="AB70">
        <f t="shared" si="110"/>
        <v>1.363465920547613</v>
      </c>
      <c r="AC70">
        <f t="shared" si="111"/>
        <v>-301.40735894044411</v>
      </c>
      <c r="AD70">
        <f t="shared" si="112"/>
        <v>101.0119661204611</v>
      </c>
      <c r="AE70">
        <f t="shared" si="113"/>
        <v>7.3075377931143937</v>
      </c>
      <c r="AF70">
        <f t="shared" si="114"/>
        <v>96.491821820784793</v>
      </c>
      <c r="AG70">
        <v>2</v>
      </c>
      <c r="AH70">
        <v>0</v>
      </c>
      <c r="AI70">
        <f t="shared" si="115"/>
        <v>1</v>
      </c>
      <c r="AJ70">
        <f t="shared" si="116"/>
        <v>0</v>
      </c>
      <c r="AK70">
        <f t="shared" si="117"/>
        <v>51759.826650485164</v>
      </c>
      <c r="AL70" t="s">
        <v>427</v>
      </c>
      <c r="AM70" t="s">
        <v>427</v>
      </c>
      <c r="AN70">
        <v>0</v>
      </c>
      <c r="AO70">
        <v>0</v>
      </c>
      <c r="AP70" t="e">
        <f t="shared" si="118"/>
        <v>#DIV/0!</v>
      </c>
      <c r="AQ70">
        <v>0</v>
      </c>
      <c r="AR70" t="s">
        <v>427</v>
      </c>
      <c r="AS70" t="s">
        <v>427</v>
      </c>
      <c r="AT70">
        <v>0</v>
      </c>
      <c r="AU70">
        <v>0</v>
      </c>
      <c r="AV70" t="e">
        <f t="shared" si="119"/>
        <v>#DIV/0!</v>
      </c>
      <c r="AW70">
        <v>0.5</v>
      </c>
      <c r="AX70">
        <f t="shared" si="120"/>
        <v>1513.2596999210637</v>
      </c>
      <c r="AY70">
        <f t="shared" si="121"/>
        <v>12.633075535482689</v>
      </c>
      <c r="AZ70" t="e">
        <f t="shared" si="122"/>
        <v>#DIV/0!</v>
      </c>
      <c r="BA70">
        <f t="shared" si="123"/>
        <v>8.3482534664351855E-3</v>
      </c>
      <c r="BB70" t="e">
        <f t="shared" si="124"/>
        <v>#DIV/0!</v>
      </c>
      <c r="BC70" t="e">
        <f t="shared" si="125"/>
        <v>#DIV/0!</v>
      </c>
      <c r="BD70" t="s">
        <v>427</v>
      </c>
      <c r="BE70">
        <v>0</v>
      </c>
      <c r="BF70" t="e">
        <f t="shared" si="126"/>
        <v>#DIV/0!</v>
      </c>
      <c r="BG70" t="e">
        <f t="shared" si="127"/>
        <v>#DIV/0!</v>
      </c>
      <c r="BH70" t="e">
        <f t="shared" si="128"/>
        <v>#DIV/0!</v>
      </c>
      <c r="BI70" t="e">
        <f t="shared" si="129"/>
        <v>#DIV/0!</v>
      </c>
      <c r="BJ70" t="e">
        <f t="shared" si="130"/>
        <v>#DIV/0!</v>
      </c>
      <c r="BK70" t="e">
        <f t="shared" si="131"/>
        <v>#DIV/0!</v>
      </c>
      <c r="BL70" t="e">
        <f t="shared" si="132"/>
        <v>#DIV/0!</v>
      </c>
      <c r="BM70" t="e">
        <f t="shared" si="133"/>
        <v>#DIV/0!</v>
      </c>
      <c r="BN70">
        <v>109</v>
      </c>
      <c r="BO70">
        <v>290.00000000000011</v>
      </c>
      <c r="BP70">
        <v>746.68</v>
      </c>
      <c r="BQ70">
        <v>245</v>
      </c>
      <c r="BR70">
        <v>7138.41</v>
      </c>
      <c r="BS70">
        <v>747.97</v>
      </c>
      <c r="BT70">
        <v>-1.29</v>
      </c>
      <c r="BU70">
        <v>300.00000000000011</v>
      </c>
      <c r="BV70">
        <v>38.200000000000003</v>
      </c>
      <c r="BW70">
        <v>777.68018811704246</v>
      </c>
      <c r="BX70">
        <v>1.133907226153918</v>
      </c>
      <c r="BY70">
        <v>-21.209952459877019</v>
      </c>
      <c r="BZ70">
        <v>0.67839316146880213</v>
      </c>
      <c r="CA70">
        <v>0.97215313901736411</v>
      </c>
      <c r="CB70">
        <v>-7.0431288097886451E-3</v>
      </c>
      <c r="CC70">
        <v>289.99999999999989</v>
      </c>
      <c r="CD70">
        <v>752.2</v>
      </c>
      <c r="CE70">
        <v>755</v>
      </c>
      <c r="CF70">
        <v>7133.35</v>
      </c>
      <c r="CG70">
        <v>747.95</v>
      </c>
      <c r="CH70">
        <v>4.25</v>
      </c>
      <c r="CV70">
        <f t="shared" si="134"/>
        <v>1800.09</v>
      </c>
      <c r="CW70">
        <f t="shared" si="135"/>
        <v>1513.2596999210637</v>
      </c>
      <c r="CX70">
        <f t="shared" si="136"/>
        <v>0.84065780039945992</v>
      </c>
      <c r="CY70">
        <f t="shared" si="137"/>
        <v>0.1608695547709578</v>
      </c>
      <c r="CZ70">
        <v>5.18</v>
      </c>
      <c r="DA70">
        <v>0.5</v>
      </c>
      <c r="DB70" t="s">
        <v>418</v>
      </c>
      <c r="DC70">
        <v>2</v>
      </c>
      <c r="DD70">
        <v>1700165431.5999999</v>
      </c>
      <c r="DE70">
        <v>56.4925</v>
      </c>
      <c r="DF70">
        <v>69.981099999999998</v>
      </c>
      <c r="DG70">
        <v>29.227699999999999</v>
      </c>
      <c r="DH70">
        <v>22.3536</v>
      </c>
      <c r="DI70">
        <v>55.373699999999999</v>
      </c>
      <c r="DJ70">
        <v>28.948899999999998</v>
      </c>
      <c r="DK70">
        <v>499.97300000000001</v>
      </c>
      <c r="DL70">
        <v>98.838200000000001</v>
      </c>
      <c r="DM70">
        <v>9.9631999999999998E-2</v>
      </c>
      <c r="DN70">
        <v>30.586400000000001</v>
      </c>
      <c r="DO70">
        <v>29.9785</v>
      </c>
      <c r="DP70">
        <v>999.9</v>
      </c>
      <c r="DQ70">
        <v>0</v>
      </c>
      <c r="DR70">
        <v>0</v>
      </c>
      <c r="DS70">
        <v>10023.1</v>
      </c>
      <c r="DT70">
        <v>0</v>
      </c>
      <c r="DU70">
        <v>244.33099999999999</v>
      </c>
      <c r="DV70">
        <v>-13.4885</v>
      </c>
      <c r="DW70">
        <v>58.193399999999997</v>
      </c>
      <c r="DX70">
        <v>71.581199999999995</v>
      </c>
      <c r="DY70">
        <v>6.8741199999999996</v>
      </c>
      <c r="DZ70">
        <v>69.981099999999998</v>
      </c>
      <c r="EA70">
        <v>22.3536</v>
      </c>
      <c r="EB70">
        <v>2.8888099999999999</v>
      </c>
      <c r="EC70">
        <v>2.20939</v>
      </c>
      <c r="ED70">
        <v>23.400600000000001</v>
      </c>
      <c r="EE70">
        <v>19.0305</v>
      </c>
      <c r="EF70">
        <v>1800.09</v>
      </c>
      <c r="EG70">
        <v>0.97801000000000005</v>
      </c>
      <c r="EH70">
        <v>2.1990099999999999E-2</v>
      </c>
      <c r="EI70">
        <v>0</v>
      </c>
      <c r="EJ70">
        <v>675.221</v>
      </c>
      <c r="EK70">
        <v>5.0001199999999999</v>
      </c>
      <c r="EL70">
        <v>12074.3</v>
      </c>
      <c r="EM70">
        <v>15630.8</v>
      </c>
      <c r="EN70">
        <v>49.561999999999998</v>
      </c>
      <c r="EO70">
        <v>50.311999999999998</v>
      </c>
      <c r="EP70">
        <v>50.311999999999998</v>
      </c>
      <c r="EQ70">
        <v>50.186999999999998</v>
      </c>
      <c r="ER70">
        <v>51.125</v>
      </c>
      <c r="ES70">
        <v>1755.62</v>
      </c>
      <c r="ET70">
        <v>39.47</v>
      </c>
      <c r="EU70">
        <v>0</v>
      </c>
      <c r="EV70">
        <v>117.2000000476837</v>
      </c>
      <c r="EW70">
        <v>0</v>
      </c>
      <c r="EX70">
        <v>675.31030769230779</v>
      </c>
      <c r="EY70">
        <v>-1.2296068367342079</v>
      </c>
      <c r="EZ70">
        <v>-17.063247864313961</v>
      </c>
      <c r="FA70">
        <v>12075.48076923077</v>
      </c>
      <c r="FB70">
        <v>15</v>
      </c>
      <c r="FC70">
        <v>1700165389.0999999</v>
      </c>
      <c r="FD70" t="s">
        <v>656</v>
      </c>
      <c r="FE70">
        <v>1700165378.0999999</v>
      </c>
      <c r="FF70">
        <v>1700165389.0999999</v>
      </c>
      <c r="FG70">
        <v>79</v>
      </c>
      <c r="FH70">
        <v>-6.7000000000000004E-2</v>
      </c>
      <c r="FI70">
        <v>-1.0999999999999999E-2</v>
      </c>
      <c r="FJ70">
        <v>1.1299999999999999</v>
      </c>
      <c r="FK70">
        <v>0.27900000000000003</v>
      </c>
      <c r="FL70">
        <v>70</v>
      </c>
      <c r="FM70">
        <v>22</v>
      </c>
      <c r="FN70">
        <v>0.11</v>
      </c>
      <c r="FO70">
        <v>0.01</v>
      </c>
      <c r="FP70">
        <v>12.630768043506659</v>
      </c>
      <c r="FQ70">
        <v>-0.1369601315487623</v>
      </c>
      <c r="FR70">
        <v>2.3546266663504459E-2</v>
      </c>
      <c r="FS70">
        <v>1</v>
      </c>
      <c r="FT70">
        <v>0.52087837476123389</v>
      </c>
      <c r="FU70">
        <v>4.9353833410209491E-2</v>
      </c>
      <c r="FV70">
        <v>4.0166888816577694E-3</v>
      </c>
      <c r="FW70">
        <v>1</v>
      </c>
      <c r="FX70">
        <v>2</v>
      </c>
      <c r="FY70">
        <v>2</v>
      </c>
      <c r="FZ70" t="s">
        <v>420</v>
      </c>
      <c r="GA70">
        <v>2.9160400000000002</v>
      </c>
      <c r="GB70">
        <v>2.7508400000000002</v>
      </c>
      <c r="GC70">
        <v>1.52222E-2</v>
      </c>
      <c r="GD70">
        <v>1.95544E-2</v>
      </c>
      <c r="GE70">
        <v>0.13144700000000001</v>
      </c>
      <c r="GF70">
        <v>0.11133</v>
      </c>
      <c r="GG70">
        <v>30587.4</v>
      </c>
      <c r="GH70">
        <v>30285.599999999999</v>
      </c>
      <c r="GI70">
        <v>28291.200000000001</v>
      </c>
      <c r="GJ70">
        <v>28245.8</v>
      </c>
      <c r="GK70">
        <v>33492.400000000001</v>
      </c>
      <c r="GL70">
        <v>35059.199999999997</v>
      </c>
      <c r="GM70">
        <v>42510.8</v>
      </c>
      <c r="GN70">
        <v>43912.800000000003</v>
      </c>
      <c r="GO70">
        <v>1.76925</v>
      </c>
      <c r="GP70">
        <v>1.8877999999999999</v>
      </c>
      <c r="GQ70">
        <v>4.1388000000000001E-2</v>
      </c>
      <c r="GR70">
        <v>0</v>
      </c>
      <c r="GS70">
        <v>29.304500000000001</v>
      </c>
      <c r="GT70">
        <v>999.9</v>
      </c>
      <c r="GU70">
        <v>35</v>
      </c>
      <c r="GV70">
        <v>41.3</v>
      </c>
      <c r="GW70">
        <v>28.130199999999999</v>
      </c>
      <c r="GX70">
        <v>60.931699999999999</v>
      </c>
      <c r="GY70">
        <v>30.384599999999999</v>
      </c>
      <c r="GZ70">
        <v>1</v>
      </c>
      <c r="HA70">
        <v>0.50480199999999997</v>
      </c>
      <c r="HB70">
        <v>2.3777599999999999</v>
      </c>
      <c r="HC70">
        <v>20.250900000000001</v>
      </c>
      <c r="HD70">
        <v>5.2716500000000002</v>
      </c>
      <c r="HE70">
        <v>12.0878</v>
      </c>
      <c r="HF70">
        <v>5.0114999999999998</v>
      </c>
      <c r="HG70">
        <v>3.29122</v>
      </c>
      <c r="HH70">
        <v>9999</v>
      </c>
      <c r="HI70">
        <v>9999</v>
      </c>
      <c r="HJ70">
        <v>9999</v>
      </c>
      <c r="HK70">
        <v>999.9</v>
      </c>
      <c r="HL70">
        <v>1.8759300000000001</v>
      </c>
      <c r="HM70">
        <v>1.87653</v>
      </c>
      <c r="HN70">
        <v>1.87622</v>
      </c>
      <c r="HO70">
        <v>1.8800399999999999</v>
      </c>
      <c r="HP70">
        <v>1.8736299999999999</v>
      </c>
      <c r="HQ70">
        <v>1.8766799999999999</v>
      </c>
      <c r="HR70">
        <v>1.87653</v>
      </c>
      <c r="HS70">
        <v>1.8779399999999999</v>
      </c>
      <c r="HT70">
        <v>0</v>
      </c>
      <c r="HU70">
        <v>0</v>
      </c>
      <c r="HV70">
        <v>0</v>
      </c>
      <c r="HW70">
        <v>0</v>
      </c>
      <c r="HX70" t="s">
        <v>421</v>
      </c>
      <c r="HY70" t="s">
        <v>422</v>
      </c>
      <c r="HZ70" t="s">
        <v>423</v>
      </c>
      <c r="IA70" t="s">
        <v>424</v>
      </c>
      <c r="IB70" t="s">
        <v>424</v>
      </c>
      <c r="IC70" t="s">
        <v>423</v>
      </c>
      <c r="ID70">
        <v>0</v>
      </c>
      <c r="IE70">
        <v>100</v>
      </c>
      <c r="IF70">
        <v>100</v>
      </c>
      <c r="IG70">
        <v>1.119</v>
      </c>
      <c r="IH70">
        <v>0.27879999999999999</v>
      </c>
      <c r="II70">
        <v>1.071427322226389</v>
      </c>
      <c r="IJ70">
        <v>8.9576739069318506E-4</v>
      </c>
      <c r="IK70">
        <v>-7.2130504814809596E-7</v>
      </c>
      <c r="IL70">
        <v>1.9987036519832741E-10</v>
      </c>
      <c r="IM70">
        <v>0.27881500000000159</v>
      </c>
      <c r="IN70">
        <v>0</v>
      </c>
      <c r="IO70">
        <v>0</v>
      </c>
      <c r="IP70">
        <v>0</v>
      </c>
      <c r="IQ70">
        <v>1</v>
      </c>
      <c r="IR70">
        <v>2126</v>
      </c>
      <c r="IS70">
        <v>0</v>
      </c>
      <c r="IT70">
        <v>20</v>
      </c>
      <c r="IU70">
        <v>0.9</v>
      </c>
      <c r="IV70">
        <v>0.7</v>
      </c>
      <c r="IW70">
        <v>0.31372100000000003</v>
      </c>
      <c r="IX70">
        <v>2.7221700000000002</v>
      </c>
      <c r="IY70">
        <v>1.69434</v>
      </c>
      <c r="IZ70">
        <v>2.33643</v>
      </c>
      <c r="JA70">
        <v>1.5466299999999999</v>
      </c>
      <c r="JB70">
        <v>2.4328599999999998</v>
      </c>
      <c r="JC70">
        <v>44.167700000000004</v>
      </c>
      <c r="JD70">
        <v>23.9299</v>
      </c>
      <c r="JE70">
        <v>18</v>
      </c>
      <c r="JF70">
        <v>501.01100000000002</v>
      </c>
      <c r="JG70">
        <v>483.084</v>
      </c>
      <c r="JH70">
        <v>27.4496</v>
      </c>
      <c r="JI70">
        <v>33.487900000000003</v>
      </c>
      <c r="JJ70">
        <v>29.9998</v>
      </c>
      <c r="JK70">
        <v>33.502099999999999</v>
      </c>
      <c r="JL70">
        <v>33.466500000000003</v>
      </c>
      <c r="JM70">
        <v>6.35405</v>
      </c>
      <c r="JN70">
        <v>19.275400000000001</v>
      </c>
      <c r="JO70">
        <v>42.127400000000002</v>
      </c>
      <c r="JP70">
        <v>27.467700000000001</v>
      </c>
      <c r="JQ70">
        <v>70</v>
      </c>
      <c r="JR70">
        <v>22.232199999999999</v>
      </c>
      <c r="JS70">
        <v>99.111000000000004</v>
      </c>
      <c r="JT70">
        <v>98.933000000000007</v>
      </c>
    </row>
    <row r="71" spans="1:280" x14ac:dyDescent="0.25">
      <c r="A71">
        <v>69</v>
      </c>
      <c r="B71">
        <v>1700165546.5999999</v>
      </c>
      <c r="C71">
        <v>18017</v>
      </c>
      <c r="D71" t="s">
        <v>657</v>
      </c>
      <c r="E71" t="s">
        <v>658</v>
      </c>
      <c r="F71" t="s">
        <v>412</v>
      </c>
      <c r="G71" t="s">
        <v>413</v>
      </c>
      <c r="H71" t="s">
        <v>606</v>
      </c>
      <c r="I71">
        <v>1700165546.5999999</v>
      </c>
      <c r="J71">
        <f t="shared" si="92"/>
        <v>7.2776962238942098E-3</v>
      </c>
      <c r="K71">
        <f t="shared" si="93"/>
        <v>7.2776962238942096</v>
      </c>
      <c r="L71">
        <f t="shared" si="94"/>
        <v>5.6153493452886893</v>
      </c>
      <c r="M71">
        <f t="shared" si="95"/>
        <v>23.985099999999999</v>
      </c>
      <c r="N71">
        <f t="shared" si="96"/>
        <v>6.2008600111024093</v>
      </c>
      <c r="O71">
        <f t="shared" si="97"/>
        <v>0.6134619355038109</v>
      </c>
      <c r="P71">
        <f t="shared" si="98"/>
        <v>2.3728879289175504</v>
      </c>
      <c r="Q71">
        <f t="shared" si="99"/>
        <v>0.55928639846577988</v>
      </c>
      <c r="R71">
        <f t="shared" si="100"/>
        <v>3.0798923941420924</v>
      </c>
      <c r="S71">
        <f t="shared" si="101"/>
        <v>0.50838140806880117</v>
      </c>
      <c r="T71">
        <f t="shared" si="102"/>
        <v>0.3219250005879668</v>
      </c>
      <c r="U71">
        <f t="shared" si="103"/>
        <v>289.54353514727978</v>
      </c>
      <c r="V71">
        <f t="shared" si="104"/>
        <v>30.468785649695594</v>
      </c>
      <c r="W71">
        <f t="shared" si="105"/>
        <v>30.0015</v>
      </c>
      <c r="X71">
        <f t="shared" si="106"/>
        <v>4.2608168613183315</v>
      </c>
      <c r="Y71">
        <f t="shared" si="107"/>
        <v>65.502478698323117</v>
      </c>
      <c r="Z71">
        <f t="shared" si="108"/>
        <v>2.8957916961853001</v>
      </c>
      <c r="AA71">
        <f t="shared" si="109"/>
        <v>4.4208887262451535</v>
      </c>
      <c r="AB71">
        <f t="shared" si="110"/>
        <v>1.3650251651330314</v>
      </c>
      <c r="AC71">
        <f t="shared" si="111"/>
        <v>-320.94640347373468</v>
      </c>
      <c r="AD71">
        <f t="shared" si="112"/>
        <v>106.8653769734233</v>
      </c>
      <c r="AE71">
        <f t="shared" si="113"/>
        <v>7.7398134316408314</v>
      </c>
      <c r="AF71">
        <f t="shared" si="114"/>
        <v>83.202322078609214</v>
      </c>
      <c r="AG71">
        <v>2</v>
      </c>
      <c r="AH71">
        <v>0</v>
      </c>
      <c r="AI71">
        <f t="shared" si="115"/>
        <v>1</v>
      </c>
      <c r="AJ71">
        <f t="shared" si="116"/>
        <v>0</v>
      </c>
      <c r="AK71">
        <f t="shared" si="117"/>
        <v>51691.033577929775</v>
      </c>
      <c r="AL71" t="s">
        <v>415</v>
      </c>
      <c r="AM71">
        <v>6960.3</v>
      </c>
      <c r="AN71">
        <v>244.8124</v>
      </c>
      <c r="AO71">
        <v>892.86711584811997</v>
      </c>
      <c r="AP71">
        <f t="shared" si="118"/>
        <v>0.72581317459826411</v>
      </c>
      <c r="AQ71">
        <v>-0.43209471141234851</v>
      </c>
      <c r="AR71" t="s">
        <v>659</v>
      </c>
      <c r="AS71">
        <v>7137.7</v>
      </c>
      <c r="AT71">
        <v>694.25911999999994</v>
      </c>
      <c r="AU71">
        <v>754.18324151358729</v>
      </c>
      <c r="AV71">
        <f t="shared" si="119"/>
        <v>7.9455652439749613E-2</v>
      </c>
      <c r="AW71">
        <v>0.5</v>
      </c>
      <c r="AX71">
        <f t="shared" si="120"/>
        <v>1513.0667933405593</v>
      </c>
      <c r="AY71">
        <f t="shared" si="121"/>
        <v>5.6153493452886893</v>
      </c>
      <c r="AZ71">
        <f t="shared" si="122"/>
        <v>60.110854624896966</v>
      </c>
      <c r="BA71">
        <f t="shared" si="123"/>
        <v>3.9968123570734435E-3</v>
      </c>
      <c r="BB71">
        <f t="shared" si="124"/>
        <v>0.18388617871726359</v>
      </c>
      <c r="BC71">
        <f t="shared" si="125"/>
        <v>233.06162678327283</v>
      </c>
      <c r="BD71" t="s">
        <v>660</v>
      </c>
      <c r="BE71">
        <v>498.98</v>
      </c>
      <c r="BF71">
        <f t="shared" si="126"/>
        <v>498.98</v>
      </c>
      <c r="BG71">
        <f t="shared" si="127"/>
        <v>0.33838360157859537</v>
      </c>
      <c r="BH71">
        <f t="shared" si="128"/>
        <v>0.23480940586092411</v>
      </c>
      <c r="BI71">
        <f t="shared" si="129"/>
        <v>0.35209040548563714</v>
      </c>
      <c r="BJ71">
        <f t="shared" si="130"/>
        <v>0.11764340757221946</v>
      </c>
      <c r="BK71">
        <f t="shared" si="131"/>
        <v>0.21400025482884541</v>
      </c>
      <c r="BL71">
        <f t="shared" si="132"/>
        <v>0.1687629214528488</v>
      </c>
      <c r="BM71">
        <f t="shared" si="133"/>
        <v>0.83123707854715123</v>
      </c>
      <c r="BN71">
        <v>111</v>
      </c>
      <c r="BO71">
        <v>290.00000000000011</v>
      </c>
      <c r="BP71">
        <v>737.19</v>
      </c>
      <c r="BQ71">
        <v>275</v>
      </c>
      <c r="BR71">
        <v>7137.7</v>
      </c>
      <c r="BS71">
        <v>737.06</v>
      </c>
      <c r="BT71">
        <v>0.13</v>
      </c>
      <c r="BU71">
        <v>300.00000000000011</v>
      </c>
      <c r="BV71">
        <v>38.200000000000003</v>
      </c>
      <c r="BW71">
        <v>754.18324151358729</v>
      </c>
      <c r="BX71">
        <v>1.027921557584196</v>
      </c>
      <c r="BY71">
        <v>-12.22293184103971</v>
      </c>
      <c r="BZ71">
        <v>0.6149827332833111</v>
      </c>
      <c r="CA71">
        <v>0.93381010882155857</v>
      </c>
      <c r="CB71">
        <v>-7.0430747497219146E-3</v>
      </c>
      <c r="CC71">
        <v>289.99999999999989</v>
      </c>
      <c r="CD71">
        <v>737.42</v>
      </c>
      <c r="CE71">
        <v>725</v>
      </c>
      <c r="CF71">
        <v>7133.77</v>
      </c>
      <c r="CG71">
        <v>737.05</v>
      </c>
      <c r="CH71">
        <v>0.37</v>
      </c>
      <c r="CV71">
        <f t="shared" si="134"/>
        <v>1799.86</v>
      </c>
      <c r="CW71">
        <f t="shared" si="135"/>
        <v>1513.0667933405593</v>
      </c>
      <c r="CX71">
        <f t="shared" si="136"/>
        <v>0.84065804748178163</v>
      </c>
      <c r="CY71">
        <f t="shared" si="137"/>
        <v>0.16087003163983854</v>
      </c>
      <c r="CZ71">
        <v>5.18</v>
      </c>
      <c r="DA71">
        <v>0.5</v>
      </c>
      <c r="DB71" t="s">
        <v>418</v>
      </c>
      <c r="DC71">
        <v>2</v>
      </c>
      <c r="DD71">
        <v>1700165546.5999999</v>
      </c>
      <c r="DE71">
        <v>23.985099999999999</v>
      </c>
      <c r="DF71">
        <v>29.980899999999998</v>
      </c>
      <c r="DG71">
        <v>29.270600000000002</v>
      </c>
      <c r="DH71">
        <v>21.954699999999999</v>
      </c>
      <c r="DI71">
        <v>22.878599999999999</v>
      </c>
      <c r="DJ71">
        <v>28.988900000000001</v>
      </c>
      <c r="DK71">
        <v>500.21199999999999</v>
      </c>
      <c r="DL71">
        <v>98.831800000000001</v>
      </c>
      <c r="DM71">
        <v>9.9950499999999998E-2</v>
      </c>
      <c r="DN71">
        <v>30.645099999999999</v>
      </c>
      <c r="DO71">
        <v>30.0015</v>
      </c>
      <c r="DP71">
        <v>999.9</v>
      </c>
      <c r="DQ71">
        <v>0</v>
      </c>
      <c r="DR71">
        <v>0</v>
      </c>
      <c r="DS71">
        <v>10011.9</v>
      </c>
      <c r="DT71">
        <v>0</v>
      </c>
      <c r="DU71">
        <v>243.01599999999999</v>
      </c>
      <c r="DV71">
        <v>-5.9958200000000001</v>
      </c>
      <c r="DW71">
        <v>24.708300000000001</v>
      </c>
      <c r="DX71">
        <v>30.6539</v>
      </c>
      <c r="DY71">
        <v>7.3158700000000003</v>
      </c>
      <c r="DZ71">
        <v>29.980899999999998</v>
      </c>
      <c r="EA71">
        <v>21.954699999999999</v>
      </c>
      <c r="EB71">
        <v>2.8928600000000002</v>
      </c>
      <c r="EC71">
        <v>2.1698200000000001</v>
      </c>
      <c r="ED71">
        <v>23.4238</v>
      </c>
      <c r="EE71">
        <v>18.741199999999999</v>
      </c>
      <c r="EF71">
        <v>1799.86</v>
      </c>
      <c r="EG71">
        <v>0.97800699999999996</v>
      </c>
      <c r="EH71">
        <v>2.1993499999999999E-2</v>
      </c>
      <c r="EI71">
        <v>0</v>
      </c>
      <c r="EJ71">
        <v>694.06399999999996</v>
      </c>
      <c r="EK71">
        <v>5.0001199999999999</v>
      </c>
      <c r="EL71">
        <v>12397.9</v>
      </c>
      <c r="EM71">
        <v>15628.8</v>
      </c>
      <c r="EN71">
        <v>49.5</v>
      </c>
      <c r="EO71">
        <v>50.311999999999998</v>
      </c>
      <c r="EP71">
        <v>50.25</v>
      </c>
      <c r="EQ71">
        <v>50.125</v>
      </c>
      <c r="ER71">
        <v>51.125</v>
      </c>
      <c r="ES71">
        <v>1755.39</v>
      </c>
      <c r="ET71">
        <v>39.479999999999997</v>
      </c>
      <c r="EU71">
        <v>0</v>
      </c>
      <c r="EV71">
        <v>231.80000019073489</v>
      </c>
      <c r="EW71">
        <v>0</v>
      </c>
      <c r="EX71">
        <v>694.25911999999994</v>
      </c>
      <c r="EY71">
        <v>0.24961537247119461</v>
      </c>
      <c r="EZ71">
        <v>-11.984615389524651</v>
      </c>
      <c r="FA71">
        <v>12400.464</v>
      </c>
      <c r="FB71">
        <v>15</v>
      </c>
      <c r="FC71">
        <v>1700165506.5999999</v>
      </c>
      <c r="FD71" t="s">
        <v>661</v>
      </c>
      <c r="FE71">
        <v>1700165493.5999999</v>
      </c>
      <c r="FF71">
        <v>1700165506.5999999</v>
      </c>
      <c r="FG71">
        <v>80</v>
      </c>
      <c r="FH71">
        <v>1.4999999999999999E-2</v>
      </c>
      <c r="FI71">
        <v>3.0000000000000001E-3</v>
      </c>
      <c r="FJ71">
        <v>1.1120000000000001</v>
      </c>
      <c r="FK71">
        <v>0.28199999999999997</v>
      </c>
      <c r="FL71">
        <v>30</v>
      </c>
      <c r="FM71">
        <v>22</v>
      </c>
      <c r="FN71">
        <v>0.37</v>
      </c>
      <c r="FO71">
        <v>0.02</v>
      </c>
      <c r="FP71">
        <v>5.6057879688694046</v>
      </c>
      <c r="FQ71">
        <v>-7.5034656040609271E-2</v>
      </c>
      <c r="FR71">
        <v>1.4036562527664029E-2</v>
      </c>
      <c r="FS71">
        <v>1</v>
      </c>
      <c r="FT71">
        <v>0.55655865568785812</v>
      </c>
      <c r="FU71">
        <v>4.2740393147607622E-2</v>
      </c>
      <c r="FV71">
        <v>3.4962298929730128E-3</v>
      </c>
      <c r="FW71">
        <v>1</v>
      </c>
      <c r="FX71">
        <v>2</v>
      </c>
      <c r="FY71">
        <v>2</v>
      </c>
      <c r="FZ71" t="s">
        <v>420</v>
      </c>
      <c r="GA71">
        <v>2.9167200000000002</v>
      </c>
      <c r="GB71">
        <v>2.7510599999999998</v>
      </c>
      <c r="GC71">
        <v>6.3473599999999998E-3</v>
      </c>
      <c r="GD71">
        <v>8.4945400000000001E-3</v>
      </c>
      <c r="GE71">
        <v>0.13156999999999999</v>
      </c>
      <c r="GF71">
        <v>0.10993700000000001</v>
      </c>
      <c r="GG71">
        <v>30862.6</v>
      </c>
      <c r="GH71">
        <v>30626</v>
      </c>
      <c r="GI71">
        <v>28291.200000000001</v>
      </c>
      <c r="GJ71">
        <v>28245.200000000001</v>
      </c>
      <c r="GK71">
        <v>33487.5</v>
      </c>
      <c r="GL71">
        <v>35113.699999999997</v>
      </c>
      <c r="GM71">
        <v>42510.7</v>
      </c>
      <c r="GN71">
        <v>43912.1</v>
      </c>
      <c r="GO71">
        <v>1.7702199999999999</v>
      </c>
      <c r="GP71">
        <v>1.8875</v>
      </c>
      <c r="GQ71">
        <v>4.2147900000000002E-2</v>
      </c>
      <c r="GR71">
        <v>0</v>
      </c>
      <c r="GS71">
        <v>29.315200000000001</v>
      </c>
      <c r="GT71">
        <v>999.9</v>
      </c>
      <c r="GU71">
        <v>34.799999999999997</v>
      </c>
      <c r="GV71">
        <v>41.2</v>
      </c>
      <c r="GW71">
        <v>27.823599999999999</v>
      </c>
      <c r="GX71">
        <v>60.7117</v>
      </c>
      <c r="GY71">
        <v>29.9239</v>
      </c>
      <c r="GZ71">
        <v>1</v>
      </c>
      <c r="HA71">
        <v>0.50202000000000002</v>
      </c>
      <c r="HB71">
        <v>2.0113500000000002</v>
      </c>
      <c r="HC71">
        <v>20.256499999999999</v>
      </c>
      <c r="HD71">
        <v>5.2742000000000004</v>
      </c>
      <c r="HE71">
        <v>12.0878</v>
      </c>
      <c r="HF71">
        <v>5.0130999999999997</v>
      </c>
      <c r="HG71">
        <v>3.2918799999999999</v>
      </c>
      <c r="HH71">
        <v>9999</v>
      </c>
      <c r="HI71">
        <v>9999</v>
      </c>
      <c r="HJ71">
        <v>9999</v>
      </c>
      <c r="HK71">
        <v>999.9</v>
      </c>
      <c r="HL71">
        <v>1.87592</v>
      </c>
      <c r="HM71">
        <v>1.8765099999999999</v>
      </c>
      <c r="HN71">
        <v>1.87622</v>
      </c>
      <c r="HO71">
        <v>1.8800399999999999</v>
      </c>
      <c r="HP71">
        <v>1.8736200000000001</v>
      </c>
      <c r="HQ71">
        <v>1.8766799999999999</v>
      </c>
      <c r="HR71">
        <v>1.87652</v>
      </c>
      <c r="HS71">
        <v>1.8778999999999999</v>
      </c>
      <c r="HT71">
        <v>0</v>
      </c>
      <c r="HU71">
        <v>0</v>
      </c>
      <c r="HV71">
        <v>0</v>
      </c>
      <c r="HW71">
        <v>0</v>
      </c>
      <c r="HX71" t="s">
        <v>421</v>
      </c>
      <c r="HY71" t="s">
        <v>422</v>
      </c>
      <c r="HZ71" t="s">
        <v>423</v>
      </c>
      <c r="IA71" t="s">
        <v>424</v>
      </c>
      <c r="IB71" t="s">
        <v>424</v>
      </c>
      <c r="IC71" t="s">
        <v>423</v>
      </c>
      <c r="ID71">
        <v>0</v>
      </c>
      <c r="IE71">
        <v>100</v>
      </c>
      <c r="IF71">
        <v>100</v>
      </c>
      <c r="IG71">
        <v>1.107</v>
      </c>
      <c r="IH71">
        <v>0.28170000000000001</v>
      </c>
      <c r="II71">
        <v>1.0864288853914481</v>
      </c>
      <c r="IJ71">
        <v>8.9576739069318506E-4</v>
      </c>
      <c r="IK71">
        <v>-7.2130504814809596E-7</v>
      </c>
      <c r="IL71">
        <v>1.9987036519832741E-10</v>
      </c>
      <c r="IM71">
        <v>0.2816523809523801</v>
      </c>
      <c r="IN71">
        <v>0</v>
      </c>
      <c r="IO71">
        <v>0</v>
      </c>
      <c r="IP71">
        <v>0</v>
      </c>
      <c r="IQ71">
        <v>1</v>
      </c>
      <c r="IR71">
        <v>2126</v>
      </c>
      <c r="IS71">
        <v>0</v>
      </c>
      <c r="IT71">
        <v>20</v>
      </c>
      <c r="IU71">
        <v>0.9</v>
      </c>
      <c r="IV71">
        <v>0.7</v>
      </c>
      <c r="IW71">
        <v>0.222168</v>
      </c>
      <c r="IX71">
        <v>2.7307100000000002</v>
      </c>
      <c r="IY71">
        <v>1.69434</v>
      </c>
      <c r="IZ71">
        <v>2.33765</v>
      </c>
      <c r="JA71">
        <v>1.54541</v>
      </c>
      <c r="JB71">
        <v>2.4389599999999998</v>
      </c>
      <c r="JC71">
        <v>44.029499999999999</v>
      </c>
      <c r="JD71">
        <v>23.9299</v>
      </c>
      <c r="JE71">
        <v>18</v>
      </c>
      <c r="JF71">
        <v>501.57299999999998</v>
      </c>
      <c r="JG71">
        <v>482.64600000000002</v>
      </c>
      <c r="JH71">
        <v>27.891200000000001</v>
      </c>
      <c r="JI71">
        <v>33.466900000000003</v>
      </c>
      <c r="JJ71">
        <v>30.0001</v>
      </c>
      <c r="JK71">
        <v>33.4773</v>
      </c>
      <c r="JL71">
        <v>33.438200000000002</v>
      </c>
      <c r="JM71">
        <v>4.5360800000000001</v>
      </c>
      <c r="JN71">
        <v>20.6982</v>
      </c>
      <c r="JO71">
        <v>41.617400000000004</v>
      </c>
      <c r="JP71">
        <v>27.887799999999999</v>
      </c>
      <c r="JQ71">
        <v>30</v>
      </c>
      <c r="JR71">
        <v>21.829499999999999</v>
      </c>
      <c r="JS71">
        <v>99.110699999999994</v>
      </c>
      <c r="JT71">
        <v>98.931299999999993</v>
      </c>
    </row>
    <row r="72" spans="1:280" x14ac:dyDescent="0.25">
      <c r="A72">
        <v>70</v>
      </c>
      <c r="B72">
        <v>1700165674.5</v>
      </c>
      <c r="C72">
        <v>18144.900000095371</v>
      </c>
      <c r="D72" t="s">
        <v>662</v>
      </c>
      <c r="E72" t="s">
        <v>663</v>
      </c>
      <c r="F72" t="s">
        <v>412</v>
      </c>
      <c r="G72" t="s">
        <v>413</v>
      </c>
      <c r="H72" t="s">
        <v>606</v>
      </c>
      <c r="I72">
        <v>1700165674.5</v>
      </c>
      <c r="J72">
        <f t="shared" si="92"/>
        <v>7.389530334504661E-3</v>
      </c>
      <c r="K72">
        <f t="shared" si="93"/>
        <v>7.389530334504661</v>
      </c>
      <c r="L72">
        <f t="shared" si="94"/>
        <v>1.894436202644096</v>
      </c>
      <c r="M72">
        <f t="shared" si="95"/>
        <v>7.9929500000000004</v>
      </c>
      <c r="N72">
        <f t="shared" si="96"/>
        <v>2.1189340876171152</v>
      </c>
      <c r="O72">
        <f t="shared" si="97"/>
        <v>0.20962745200863828</v>
      </c>
      <c r="P72">
        <f t="shared" si="98"/>
        <v>0.79074745756566001</v>
      </c>
      <c r="Q72">
        <f t="shared" si="99"/>
        <v>0.57237122802575036</v>
      </c>
      <c r="R72">
        <f t="shared" si="100"/>
        <v>3.0821526908921033</v>
      </c>
      <c r="S72">
        <f t="shared" si="101"/>
        <v>0.51921274123146754</v>
      </c>
      <c r="T72">
        <f t="shared" si="102"/>
        <v>0.32887163885169884</v>
      </c>
      <c r="U72">
        <f t="shared" si="103"/>
        <v>289.58823584761905</v>
      </c>
      <c r="V72">
        <f t="shared" si="104"/>
        <v>30.429683800920795</v>
      </c>
      <c r="W72">
        <f t="shared" si="105"/>
        <v>29.973700000000001</v>
      </c>
      <c r="X72">
        <f t="shared" si="106"/>
        <v>4.2540179571487498</v>
      </c>
      <c r="Y72">
        <f t="shared" si="107"/>
        <v>65.57190484812908</v>
      </c>
      <c r="Z72">
        <f t="shared" si="108"/>
        <v>2.8969060486965601</v>
      </c>
      <c r="AA72">
        <f t="shared" si="109"/>
        <v>4.4179074184379372</v>
      </c>
      <c r="AB72">
        <f t="shared" si="110"/>
        <v>1.3571119084521897</v>
      </c>
      <c r="AC72">
        <f t="shared" si="111"/>
        <v>-325.87828775165553</v>
      </c>
      <c r="AD72">
        <f t="shared" si="112"/>
        <v>109.60244446875859</v>
      </c>
      <c r="AE72">
        <f t="shared" si="113"/>
        <v>7.930673623104683</v>
      </c>
      <c r="AF72">
        <f t="shared" si="114"/>
        <v>81.24306618782677</v>
      </c>
      <c r="AG72">
        <v>2</v>
      </c>
      <c r="AH72">
        <v>0</v>
      </c>
      <c r="AI72">
        <f t="shared" si="115"/>
        <v>1</v>
      </c>
      <c r="AJ72">
        <f t="shared" si="116"/>
        <v>0</v>
      </c>
      <c r="AK72">
        <f t="shared" si="117"/>
        <v>51751.473655221846</v>
      </c>
      <c r="AL72" t="s">
        <v>427</v>
      </c>
      <c r="AM72" t="s">
        <v>427</v>
      </c>
      <c r="AN72">
        <v>0</v>
      </c>
      <c r="AO72">
        <v>0</v>
      </c>
      <c r="AP72" t="e">
        <f t="shared" si="118"/>
        <v>#DIV/0!</v>
      </c>
      <c r="AQ72">
        <v>0</v>
      </c>
      <c r="AR72" t="s">
        <v>427</v>
      </c>
      <c r="AS72" t="s">
        <v>427</v>
      </c>
      <c r="AT72">
        <v>0</v>
      </c>
      <c r="AU72">
        <v>0</v>
      </c>
      <c r="AV72" t="e">
        <f t="shared" si="119"/>
        <v>#DIV/0!</v>
      </c>
      <c r="AW72">
        <v>0.5</v>
      </c>
      <c r="AX72">
        <f t="shared" si="120"/>
        <v>1513.301999921046</v>
      </c>
      <c r="AY72">
        <f t="shared" si="121"/>
        <v>1.894436202644096</v>
      </c>
      <c r="AZ72" t="e">
        <f t="shared" si="122"/>
        <v>#DIV/0!</v>
      </c>
      <c r="BA72">
        <f t="shared" si="123"/>
        <v>1.2518560094038963E-3</v>
      </c>
      <c r="BB72" t="e">
        <f t="shared" si="124"/>
        <v>#DIV/0!</v>
      </c>
      <c r="BC72" t="e">
        <f t="shared" si="125"/>
        <v>#DIV/0!</v>
      </c>
      <c r="BD72" t="s">
        <v>427</v>
      </c>
      <c r="BE72">
        <v>0</v>
      </c>
      <c r="BF72" t="e">
        <f t="shared" si="126"/>
        <v>#DIV/0!</v>
      </c>
      <c r="BG72" t="e">
        <f t="shared" si="127"/>
        <v>#DIV/0!</v>
      </c>
      <c r="BH72" t="e">
        <f t="shared" si="128"/>
        <v>#DIV/0!</v>
      </c>
      <c r="BI72" t="e">
        <f t="shared" si="129"/>
        <v>#DIV/0!</v>
      </c>
      <c r="BJ72" t="e">
        <f t="shared" si="130"/>
        <v>#DIV/0!</v>
      </c>
      <c r="BK72" t="e">
        <f t="shared" si="131"/>
        <v>#DIV/0!</v>
      </c>
      <c r="BL72" t="e">
        <f t="shared" si="132"/>
        <v>#DIV/0!</v>
      </c>
      <c r="BM72" t="e">
        <f t="shared" si="133"/>
        <v>#DIV/0!</v>
      </c>
      <c r="BN72">
        <v>111</v>
      </c>
      <c r="BO72">
        <v>290.00000000000011</v>
      </c>
      <c r="BP72">
        <v>737.19</v>
      </c>
      <c r="BQ72">
        <v>275</v>
      </c>
      <c r="BR72">
        <v>7137.7</v>
      </c>
      <c r="BS72">
        <v>737.06</v>
      </c>
      <c r="BT72">
        <v>0.13</v>
      </c>
      <c r="BU72">
        <v>300.00000000000011</v>
      </c>
      <c r="BV72">
        <v>38.200000000000003</v>
      </c>
      <c r="BW72">
        <v>754.18324151358729</v>
      </c>
      <c r="BX72">
        <v>1.027921557584196</v>
      </c>
      <c r="BY72">
        <v>-12.22293184103971</v>
      </c>
      <c r="BZ72">
        <v>0.6149827332833111</v>
      </c>
      <c r="CA72">
        <v>0.93381010882155857</v>
      </c>
      <c r="CB72">
        <v>-7.0430747497219146E-3</v>
      </c>
      <c r="CC72">
        <v>289.99999999999989</v>
      </c>
      <c r="CD72">
        <v>737.42</v>
      </c>
      <c r="CE72">
        <v>725</v>
      </c>
      <c r="CF72">
        <v>7133.77</v>
      </c>
      <c r="CG72">
        <v>737.05</v>
      </c>
      <c r="CH72">
        <v>0.37</v>
      </c>
      <c r="CV72">
        <f t="shared" si="134"/>
        <v>1800.14</v>
      </c>
      <c r="CW72">
        <f t="shared" si="135"/>
        <v>1513.301999921046</v>
      </c>
      <c r="CX72">
        <f t="shared" si="136"/>
        <v>0.84065794878234246</v>
      </c>
      <c r="CY72">
        <f t="shared" si="137"/>
        <v>0.16086984114992114</v>
      </c>
      <c r="CZ72">
        <v>5.18</v>
      </c>
      <c r="DA72">
        <v>0.5</v>
      </c>
      <c r="DB72" t="s">
        <v>418</v>
      </c>
      <c r="DC72">
        <v>2</v>
      </c>
      <c r="DD72">
        <v>1700165674.5</v>
      </c>
      <c r="DE72">
        <v>7.9929500000000004</v>
      </c>
      <c r="DF72">
        <v>10.016400000000001</v>
      </c>
      <c r="DG72">
        <v>29.2822</v>
      </c>
      <c r="DH72">
        <v>21.8522</v>
      </c>
      <c r="DI72">
        <v>6.9082699999999999</v>
      </c>
      <c r="DJ72">
        <v>29.0061</v>
      </c>
      <c r="DK72">
        <v>500.09300000000002</v>
      </c>
      <c r="DL72">
        <v>98.8309</v>
      </c>
      <c r="DM72">
        <v>9.9714800000000006E-2</v>
      </c>
      <c r="DN72">
        <v>30.633299999999998</v>
      </c>
      <c r="DO72">
        <v>29.973700000000001</v>
      </c>
      <c r="DP72">
        <v>999.9</v>
      </c>
      <c r="DQ72">
        <v>0</v>
      </c>
      <c r="DR72">
        <v>0</v>
      </c>
      <c r="DS72">
        <v>10023.799999999999</v>
      </c>
      <c r="DT72">
        <v>0</v>
      </c>
      <c r="DU72">
        <v>249.54</v>
      </c>
      <c r="DV72">
        <v>-2.0234299999999998</v>
      </c>
      <c r="DW72">
        <v>8.2340599999999995</v>
      </c>
      <c r="DX72">
        <v>10.2402</v>
      </c>
      <c r="DY72">
        <v>7.4300600000000001</v>
      </c>
      <c r="DZ72">
        <v>10.016400000000001</v>
      </c>
      <c r="EA72">
        <v>21.8522</v>
      </c>
      <c r="EB72">
        <v>2.8939900000000001</v>
      </c>
      <c r="EC72">
        <v>2.1596700000000002</v>
      </c>
      <c r="ED72">
        <v>23.430199999999999</v>
      </c>
      <c r="EE72">
        <v>18.6662</v>
      </c>
      <c r="EF72">
        <v>1800.14</v>
      </c>
      <c r="EG72">
        <v>0.97801000000000005</v>
      </c>
      <c r="EH72">
        <v>2.1990099999999999E-2</v>
      </c>
      <c r="EI72">
        <v>0</v>
      </c>
      <c r="EJ72">
        <v>704.6</v>
      </c>
      <c r="EK72">
        <v>5.0001199999999999</v>
      </c>
      <c r="EL72">
        <v>12586.9</v>
      </c>
      <c r="EM72">
        <v>15631.3</v>
      </c>
      <c r="EN72">
        <v>49.436999999999998</v>
      </c>
      <c r="EO72">
        <v>50.375</v>
      </c>
      <c r="EP72">
        <v>50.25</v>
      </c>
      <c r="EQ72">
        <v>50.186999999999998</v>
      </c>
      <c r="ER72">
        <v>51.125</v>
      </c>
      <c r="ES72">
        <v>1755.66</v>
      </c>
      <c r="ET72">
        <v>39.479999999999997</v>
      </c>
      <c r="EU72">
        <v>0</v>
      </c>
      <c r="EV72">
        <v>126</v>
      </c>
      <c r="EW72">
        <v>0</v>
      </c>
      <c r="EX72">
        <v>704.66271999999992</v>
      </c>
      <c r="EY72">
        <v>-0.6162307496691446</v>
      </c>
      <c r="EZ72">
        <v>-3.8461622914108158E-2</v>
      </c>
      <c r="FA72">
        <v>12585.444</v>
      </c>
      <c r="FB72">
        <v>15</v>
      </c>
      <c r="FC72">
        <v>1700165632.5999999</v>
      </c>
      <c r="FD72" t="s">
        <v>664</v>
      </c>
      <c r="FE72">
        <v>1700165631.5999999</v>
      </c>
      <c r="FF72">
        <v>1700165632.5999999</v>
      </c>
      <c r="FG72">
        <v>81</v>
      </c>
      <c r="FH72">
        <v>-8.0000000000000002E-3</v>
      </c>
      <c r="FI72">
        <v>-5.0000000000000001E-3</v>
      </c>
      <c r="FJ72">
        <v>1.0860000000000001</v>
      </c>
      <c r="FK72">
        <v>0.27600000000000002</v>
      </c>
      <c r="FL72">
        <v>10</v>
      </c>
      <c r="FM72">
        <v>22</v>
      </c>
      <c r="FN72">
        <v>0.43</v>
      </c>
      <c r="FO72">
        <v>0.01</v>
      </c>
      <c r="FP72">
        <v>1.900564945915328</v>
      </c>
      <c r="FQ72">
        <v>-0.37392546441974778</v>
      </c>
      <c r="FR72">
        <v>3.2705792980410167E-2</v>
      </c>
      <c r="FS72">
        <v>1</v>
      </c>
      <c r="FT72">
        <v>0.57243877385081043</v>
      </c>
      <c r="FU72">
        <v>4.6829553328638793E-2</v>
      </c>
      <c r="FV72">
        <v>4.0346642516211843E-3</v>
      </c>
      <c r="FW72">
        <v>1</v>
      </c>
      <c r="FX72">
        <v>2</v>
      </c>
      <c r="FY72">
        <v>2</v>
      </c>
      <c r="FZ72" t="s">
        <v>420</v>
      </c>
      <c r="GA72">
        <v>2.9164400000000001</v>
      </c>
      <c r="GB72">
        <v>2.7509199999999998</v>
      </c>
      <c r="GC72">
        <v>1.9223300000000001E-3</v>
      </c>
      <c r="GD72">
        <v>2.8511399999999998E-3</v>
      </c>
      <c r="GE72">
        <v>0.131629</v>
      </c>
      <c r="GF72">
        <v>0.109581</v>
      </c>
      <c r="GG72">
        <v>30999.599999999999</v>
      </c>
      <c r="GH72">
        <v>30801.5</v>
      </c>
      <c r="GI72">
        <v>28291</v>
      </c>
      <c r="GJ72">
        <v>28246.5</v>
      </c>
      <c r="GK72">
        <v>33483.800000000003</v>
      </c>
      <c r="GL72">
        <v>35129.800000000003</v>
      </c>
      <c r="GM72">
        <v>42508.7</v>
      </c>
      <c r="GN72">
        <v>43914.8</v>
      </c>
      <c r="GO72">
        <v>1.77033</v>
      </c>
      <c r="GP72">
        <v>1.8886799999999999</v>
      </c>
      <c r="GQ72">
        <v>3.8541899999999997E-2</v>
      </c>
      <c r="GR72">
        <v>0</v>
      </c>
      <c r="GS72">
        <v>29.3461</v>
      </c>
      <c r="GT72">
        <v>999.9</v>
      </c>
      <c r="GU72">
        <v>34.6</v>
      </c>
      <c r="GV72">
        <v>41.1</v>
      </c>
      <c r="GW72">
        <v>27.520299999999999</v>
      </c>
      <c r="GX72">
        <v>60.481699999999996</v>
      </c>
      <c r="GY72">
        <v>30.272400000000001</v>
      </c>
      <c r="GZ72">
        <v>1</v>
      </c>
      <c r="HA72">
        <v>0.50188999999999995</v>
      </c>
      <c r="HB72">
        <v>1.9516100000000001</v>
      </c>
      <c r="HC72">
        <v>20.257000000000001</v>
      </c>
      <c r="HD72">
        <v>5.2765899999999997</v>
      </c>
      <c r="HE72">
        <v>12.0878</v>
      </c>
      <c r="HF72">
        <v>5.01335</v>
      </c>
      <c r="HG72">
        <v>3.2918799999999999</v>
      </c>
      <c r="HH72">
        <v>9999</v>
      </c>
      <c r="HI72">
        <v>9999</v>
      </c>
      <c r="HJ72">
        <v>9999</v>
      </c>
      <c r="HK72">
        <v>999.9</v>
      </c>
      <c r="HL72">
        <v>1.87592</v>
      </c>
      <c r="HM72">
        <v>1.87645</v>
      </c>
      <c r="HN72">
        <v>1.8762099999999999</v>
      </c>
      <c r="HO72">
        <v>1.88002</v>
      </c>
      <c r="HP72">
        <v>1.87361</v>
      </c>
      <c r="HQ72">
        <v>1.8766799999999999</v>
      </c>
      <c r="HR72">
        <v>1.8765099999999999</v>
      </c>
      <c r="HS72">
        <v>1.8778999999999999</v>
      </c>
      <c r="HT72">
        <v>0</v>
      </c>
      <c r="HU72">
        <v>0</v>
      </c>
      <c r="HV72">
        <v>0</v>
      </c>
      <c r="HW72">
        <v>0</v>
      </c>
      <c r="HX72" t="s">
        <v>421</v>
      </c>
      <c r="HY72" t="s">
        <v>422</v>
      </c>
      <c r="HZ72" t="s">
        <v>423</v>
      </c>
      <c r="IA72" t="s">
        <v>424</v>
      </c>
      <c r="IB72" t="s">
        <v>424</v>
      </c>
      <c r="IC72" t="s">
        <v>423</v>
      </c>
      <c r="ID72">
        <v>0</v>
      </c>
      <c r="IE72">
        <v>100</v>
      </c>
      <c r="IF72">
        <v>100</v>
      </c>
      <c r="IG72">
        <v>1.085</v>
      </c>
      <c r="IH72">
        <v>0.27610000000000001</v>
      </c>
      <c r="II72">
        <v>1.0785281359561021</v>
      </c>
      <c r="IJ72">
        <v>8.9576739069318506E-4</v>
      </c>
      <c r="IK72">
        <v>-7.2130504814809596E-7</v>
      </c>
      <c r="IL72">
        <v>1.9987036519832741E-10</v>
      </c>
      <c r="IM72">
        <v>0.27615499999999932</v>
      </c>
      <c r="IN72">
        <v>0</v>
      </c>
      <c r="IO72">
        <v>0</v>
      </c>
      <c r="IP72">
        <v>0</v>
      </c>
      <c r="IQ72">
        <v>1</v>
      </c>
      <c r="IR72">
        <v>2126</v>
      </c>
      <c r="IS72">
        <v>0</v>
      </c>
      <c r="IT72">
        <v>20</v>
      </c>
      <c r="IU72">
        <v>0.7</v>
      </c>
      <c r="IV72">
        <v>0.7</v>
      </c>
      <c r="IW72">
        <v>0.17822299999999999</v>
      </c>
      <c r="IX72">
        <v>2.7624499999999999</v>
      </c>
      <c r="IY72">
        <v>1.69434</v>
      </c>
      <c r="IZ72">
        <v>2.33643</v>
      </c>
      <c r="JA72">
        <v>1.5466299999999999</v>
      </c>
      <c r="JB72">
        <v>2.33643</v>
      </c>
      <c r="JC72">
        <v>43.864100000000001</v>
      </c>
      <c r="JD72">
        <v>23.9299</v>
      </c>
      <c r="JE72">
        <v>18</v>
      </c>
      <c r="JF72">
        <v>501.46600000000001</v>
      </c>
      <c r="JG72">
        <v>483.29899999999998</v>
      </c>
      <c r="JH72">
        <v>27.770499999999998</v>
      </c>
      <c r="JI72">
        <v>33.454900000000002</v>
      </c>
      <c r="JJ72">
        <v>30</v>
      </c>
      <c r="JK72">
        <v>33.456400000000002</v>
      </c>
      <c r="JL72">
        <v>33.417200000000001</v>
      </c>
      <c r="JM72">
        <v>3.6496499999999998</v>
      </c>
      <c r="JN72">
        <v>19.013100000000001</v>
      </c>
      <c r="JO72">
        <v>41.1038</v>
      </c>
      <c r="JP72">
        <v>28.000399999999999</v>
      </c>
      <c r="JQ72">
        <v>10</v>
      </c>
      <c r="JR72">
        <v>21.897400000000001</v>
      </c>
      <c r="JS72">
        <v>99.107699999999994</v>
      </c>
      <c r="JT72">
        <v>98.936700000000002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23</v>
      </c>
    </row>
    <row r="14" spans="1:2" x14ac:dyDescent="0.25">
      <c r="A14" t="s">
        <v>25</v>
      </c>
      <c r="B14" t="s">
        <v>21</v>
      </c>
    </row>
    <row r="15" spans="1:2" x14ac:dyDescent="0.25">
      <c r="A15" t="s">
        <v>26</v>
      </c>
      <c r="B15" t="s">
        <v>11</v>
      </c>
    </row>
    <row r="16" spans="1:2" x14ac:dyDescent="0.25">
      <c r="A16" t="s">
        <v>27</v>
      </c>
      <c r="B1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IGB</cp:lastModifiedBy>
  <dcterms:created xsi:type="dcterms:W3CDTF">2023-11-16T20:15:04Z</dcterms:created>
  <dcterms:modified xsi:type="dcterms:W3CDTF">2023-11-17T23:34:03Z</dcterms:modified>
</cp:coreProperties>
</file>