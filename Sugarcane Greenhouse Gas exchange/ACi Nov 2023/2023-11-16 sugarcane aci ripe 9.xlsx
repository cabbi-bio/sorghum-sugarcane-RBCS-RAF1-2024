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ugarcane\2023 Nov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Y100" i="1" l="1"/>
  <c r="U100" i="1" s="1"/>
  <c r="CX100" i="1"/>
  <c r="CV100" i="1"/>
  <c r="CW100" i="1" s="1"/>
  <c r="AX100" i="1" s="1"/>
  <c r="AZ100" i="1" s="1"/>
  <c r="BK100" i="1"/>
  <c r="BJ100" i="1"/>
  <c r="BI100" i="1"/>
  <c r="BH100" i="1"/>
  <c r="BL100" i="1" s="1"/>
  <c r="BM100" i="1" s="1"/>
  <c r="BF100" i="1"/>
  <c r="BG100" i="1" s="1"/>
  <c r="BB100" i="1"/>
  <c r="AV100" i="1"/>
  <c r="AP100" i="1"/>
  <c r="BC100" i="1" s="1"/>
  <c r="AK100" i="1"/>
  <c r="AI100" i="1" s="1"/>
  <c r="AA100" i="1"/>
  <c r="Y100" i="1" s="1"/>
  <c r="Z100" i="1"/>
  <c r="R100" i="1"/>
  <c r="CY99" i="1"/>
  <c r="CX99" i="1"/>
  <c r="CW99" i="1" s="1"/>
  <c r="AX99" i="1" s="1"/>
  <c r="CV99" i="1"/>
  <c r="BK99" i="1"/>
  <c r="BJ99" i="1"/>
  <c r="BB99" i="1"/>
  <c r="AZ99" i="1"/>
  <c r="AV99" i="1"/>
  <c r="AP99" i="1"/>
  <c r="BC99" i="1" s="1"/>
  <c r="BF99" i="1" s="1"/>
  <c r="AK99" i="1"/>
  <c r="AI99" i="1"/>
  <c r="AJ99" i="1" s="1"/>
  <c r="AA99" i="1"/>
  <c r="Y99" i="1" s="1"/>
  <c r="Z99" i="1"/>
  <c r="U99" i="1"/>
  <c r="V99" i="1" s="1"/>
  <c r="W99" i="1" s="1"/>
  <c r="AE99" i="1" s="1"/>
  <c r="R99" i="1"/>
  <c r="P99" i="1"/>
  <c r="M99" i="1"/>
  <c r="L99" i="1"/>
  <c r="AY99" i="1" s="1"/>
  <c r="BA99" i="1" s="1"/>
  <c r="K99" i="1"/>
  <c r="J99" i="1"/>
  <c r="CY98" i="1"/>
  <c r="CX98" i="1"/>
  <c r="CV98" i="1"/>
  <c r="BK98" i="1"/>
  <c r="BJ98" i="1"/>
  <c r="BH98" i="1"/>
  <c r="BL98" i="1" s="1"/>
  <c r="BM98" i="1" s="1"/>
  <c r="BF98" i="1"/>
  <c r="BI98" i="1" s="1"/>
  <c r="BC98" i="1"/>
  <c r="BB98" i="1"/>
  <c r="AV98" i="1"/>
  <c r="AP98" i="1"/>
  <c r="AK98" i="1"/>
  <c r="AI98" i="1" s="1"/>
  <c r="AA98" i="1"/>
  <c r="Z98" i="1"/>
  <c r="Y98" i="1" s="1"/>
  <c r="R98" i="1"/>
  <c r="P98" i="1"/>
  <c r="CY97" i="1"/>
  <c r="CX97" i="1"/>
  <c r="CV97" i="1"/>
  <c r="BK97" i="1"/>
  <c r="BJ97" i="1"/>
  <c r="BH97" i="1"/>
  <c r="BL97" i="1" s="1"/>
  <c r="BM97" i="1" s="1"/>
  <c r="BF97" i="1"/>
  <c r="BB97" i="1"/>
  <c r="AV97" i="1"/>
  <c r="AP97" i="1"/>
  <c r="BC97" i="1" s="1"/>
  <c r="AK97" i="1"/>
  <c r="AI97" i="1"/>
  <c r="K97" i="1" s="1"/>
  <c r="J97" i="1" s="1"/>
  <c r="AA97" i="1"/>
  <c r="Z97" i="1"/>
  <c r="Y97" i="1"/>
  <c r="R97" i="1"/>
  <c r="P97" i="1"/>
  <c r="M97" i="1"/>
  <c r="L97" i="1"/>
  <c r="AY97" i="1" s="1"/>
  <c r="CY96" i="1"/>
  <c r="CX96" i="1"/>
  <c r="CV96" i="1"/>
  <c r="BK96" i="1"/>
  <c r="BJ96" i="1"/>
  <c r="BF96" i="1"/>
  <c r="BB96" i="1"/>
  <c r="AV96" i="1"/>
  <c r="AP96" i="1"/>
  <c r="BC96" i="1" s="1"/>
  <c r="AK96" i="1"/>
  <c r="AI96" i="1" s="1"/>
  <c r="AJ96" i="1"/>
  <c r="AA96" i="1"/>
  <c r="Z96" i="1"/>
  <c r="Y96" i="1" s="1"/>
  <c r="R96" i="1"/>
  <c r="P96" i="1"/>
  <c r="L96" i="1"/>
  <c r="AY96" i="1" s="1"/>
  <c r="CY95" i="1"/>
  <c r="CX95" i="1"/>
  <c r="CV95" i="1"/>
  <c r="BK95" i="1"/>
  <c r="BJ95" i="1"/>
  <c r="BF95" i="1"/>
  <c r="BB95" i="1"/>
  <c r="AV95" i="1"/>
  <c r="AP95" i="1"/>
  <c r="BC95" i="1" s="1"/>
  <c r="AK95" i="1"/>
  <c r="AJ95" i="1"/>
  <c r="AI95" i="1"/>
  <c r="K95" i="1" s="1"/>
  <c r="J95" i="1" s="1"/>
  <c r="AA95" i="1"/>
  <c r="Z95" i="1"/>
  <c r="Y95" i="1" s="1"/>
  <c r="R95" i="1"/>
  <c r="P95" i="1"/>
  <c r="M95" i="1"/>
  <c r="L95" i="1"/>
  <c r="AY95" i="1" s="1"/>
  <c r="CY94" i="1"/>
  <c r="CX94" i="1"/>
  <c r="CV94" i="1"/>
  <c r="BK94" i="1"/>
  <c r="BJ94" i="1"/>
  <c r="BH94" i="1"/>
  <c r="BL94" i="1" s="1"/>
  <c r="BM94" i="1" s="1"/>
  <c r="BF94" i="1"/>
  <c r="BB94" i="1"/>
  <c r="AV94" i="1"/>
  <c r="AP94" i="1"/>
  <c r="BC94" i="1" s="1"/>
  <c r="AK94" i="1"/>
  <c r="AI94" i="1" s="1"/>
  <c r="AJ94" i="1" s="1"/>
  <c r="AA94" i="1"/>
  <c r="Z94" i="1"/>
  <c r="Y94" i="1" s="1"/>
  <c r="R94" i="1"/>
  <c r="L94" i="1"/>
  <c r="AY94" i="1" s="1"/>
  <c r="CY93" i="1"/>
  <c r="CX93" i="1"/>
  <c r="CV93" i="1"/>
  <c r="BK93" i="1"/>
  <c r="BJ93" i="1"/>
  <c r="BH93" i="1"/>
  <c r="BL93" i="1" s="1"/>
  <c r="BM93" i="1" s="1"/>
  <c r="BF93" i="1"/>
  <c r="BB93" i="1"/>
  <c r="AV93" i="1"/>
  <c r="AP93" i="1"/>
  <c r="BC93" i="1" s="1"/>
  <c r="AK93" i="1"/>
  <c r="AJ93" i="1"/>
  <c r="AI93" i="1"/>
  <c r="M93" i="1" s="1"/>
  <c r="AA93" i="1"/>
  <c r="Z93" i="1"/>
  <c r="Y93" i="1" s="1"/>
  <c r="R93" i="1"/>
  <c r="P93" i="1"/>
  <c r="L93" i="1"/>
  <c r="AY93" i="1" s="1"/>
  <c r="CY92" i="1"/>
  <c r="CX92" i="1"/>
  <c r="CV92" i="1"/>
  <c r="BK92" i="1"/>
  <c r="BJ92" i="1"/>
  <c r="BH92" i="1"/>
  <c r="BL92" i="1" s="1"/>
  <c r="BM92" i="1" s="1"/>
  <c r="BF92" i="1"/>
  <c r="BB92" i="1"/>
  <c r="AV92" i="1"/>
  <c r="AP92" i="1"/>
  <c r="BC92" i="1" s="1"/>
  <c r="AK92" i="1"/>
  <c r="AI92" i="1" s="1"/>
  <c r="AJ92" i="1"/>
  <c r="AA92" i="1"/>
  <c r="Z92" i="1"/>
  <c r="Y92" i="1" s="1"/>
  <c r="R92" i="1"/>
  <c r="P92" i="1"/>
  <c r="CY91" i="1"/>
  <c r="CX91" i="1"/>
  <c r="CV91" i="1"/>
  <c r="BK91" i="1"/>
  <c r="BJ91" i="1"/>
  <c r="BF91" i="1"/>
  <c r="BB91" i="1"/>
  <c r="AV91" i="1"/>
  <c r="AP91" i="1"/>
  <c r="BC91" i="1" s="1"/>
  <c r="AK91" i="1"/>
  <c r="AJ91" i="1"/>
  <c r="AI91" i="1"/>
  <c r="K91" i="1" s="1"/>
  <c r="AA91" i="1"/>
  <c r="Z91" i="1"/>
  <c r="Y91" i="1" s="1"/>
  <c r="R91" i="1"/>
  <c r="P91" i="1"/>
  <c r="M91" i="1"/>
  <c r="L91" i="1"/>
  <c r="AY91" i="1" s="1"/>
  <c r="J91" i="1"/>
  <c r="CY90" i="1"/>
  <c r="CX90" i="1"/>
  <c r="CV90" i="1"/>
  <c r="BK90" i="1"/>
  <c r="BJ90" i="1"/>
  <c r="BF90" i="1"/>
  <c r="BB90" i="1"/>
  <c r="AV90" i="1"/>
  <c r="AP90" i="1"/>
  <c r="BC90" i="1" s="1"/>
  <c r="AK90" i="1"/>
  <c r="AI90" i="1" s="1"/>
  <c r="AJ90" i="1"/>
  <c r="AA90" i="1"/>
  <c r="Z90" i="1"/>
  <c r="Y90" i="1" s="1"/>
  <c r="R90" i="1"/>
  <c r="L90" i="1"/>
  <c r="AY90" i="1" s="1"/>
  <c r="CY89" i="1"/>
  <c r="CX89" i="1"/>
  <c r="CV89" i="1"/>
  <c r="BL89" i="1"/>
  <c r="BM89" i="1" s="1"/>
  <c r="BK89" i="1"/>
  <c r="BJ89" i="1"/>
  <c r="BH89" i="1"/>
  <c r="BF89" i="1"/>
  <c r="BB89" i="1"/>
  <c r="AV89" i="1"/>
  <c r="AP89" i="1"/>
  <c r="BC89" i="1" s="1"/>
  <c r="AK89" i="1"/>
  <c r="AJ89" i="1"/>
  <c r="AI89" i="1"/>
  <c r="M89" i="1" s="1"/>
  <c r="AA89" i="1"/>
  <c r="Z89" i="1"/>
  <c r="Y89" i="1" s="1"/>
  <c r="R89" i="1"/>
  <c r="P89" i="1"/>
  <c r="L89" i="1"/>
  <c r="AY89" i="1" s="1"/>
  <c r="CY88" i="1"/>
  <c r="CX88" i="1"/>
  <c r="CV88" i="1"/>
  <c r="BK88" i="1"/>
  <c r="BJ88" i="1"/>
  <c r="BB88" i="1"/>
  <c r="AV88" i="1"/>
  <c r="AP88" i="1"/>
  <c r="BC88" i="1" s="1"/>
  <c r="BF88" i="1" s="1"/>
  <c r="AK88" i="1"/>
  <c r="AI88" i="1" s="1"/>
  <c r="AJ88" i="1"/>
  <c r="AA88" i="1"/>
  <c r="Z88" i="1"/>
  <c r="Y88" i="1" s="1"/>
  <c r="R88" i="1"/>
  <c r="CY87" i="1"/>
  <c r="CX87" i="1"/>
  <c r="CV87" i="1"/>
  <c r="BK87" i="1"/>
  <c r="BJ87" i="1"/>
  <c r="BF87" i="1"/>
  <c r="BB87" i="1"/>
  <c r="AV87" i="1"/>
  <c r="AP87" i="1"/>
  <c r="BC87" i="1" s="1"/>
  <c r="AK87" i="1"/>
  <c r="AJ87" i="1"/>
  <c r="AI87" i="1"/>
  <c r="K87" i="1" s="1"/>
  <c r="AA87" i="1"/>
  <c r="Z87" i="1"/>
  <c r="Y87" i="1" s="1"/>
  <c r="R87" i="1"/>
  <c r="P87" i="1"/>
  <c r="M87" i="1"/>
  <c r="L87" i="1"/>
  <c r="AY87" i="1" s="1"/>
  <c r="J87" i="1"/>
  <c r="CY86" i="1"/>
  <c r="CX86" i="1"/>
  <c r="CV86" i="1"/>
  <c r="BK86" i="1"/>
  <c r="BJ86" i="1"/>
  <c r="BF86" i="1"/>
  <c r="BB86" i="1"/>
  <c r="AV86" i="1"/>
  <c r="AP86" i="1"/>
  <c r="BC86" i="1" s="1"/>
  <c r="AK86" i="1"/>
  <c r="AI86" i="1" s="1"/>
  <c r="AJ86" i="1" s="1"/>
  <c r="AA86" i="1"/>
  <c r="Z86" i="1"/>
  <c r="Y86" i="1" s="1"/>
  <c r="R86" i="1"/>
  <c r="CY85" i="1"/>
  <c r="CX85" i="1"/>
  <c r="CV85" i="1"/>
  <c r="BK85" i="1"/>
  <c r="BJ85" i="1"/>
  <c r="BF85" i="1"/>
  <c r="BB85" i="1"/>
  <c r="AV85" i="1"/>
  <c r="AP85" i="1"/>
  <c r="BC85" i="1" s="1"/>
  <c r="AK85" i="1"/>
  <c r="AJ85" i="1"/>
  <c r="AI85" i="1"/>
  <c r="M85" i="1" s="1"/>
  <c r="AA85" i="1"/>
  <c r="Z85" i="1"/>
  <c r="Y85" i="1" s="1"/>
  <c r="R85" i="1"/>
  <c r="P85" i="1"/>
  <c r="L85" i="1"/>
  <c r="AY85" i="1" s="1"/>
  <c r="CY84" i="1"/>
  <c r="CX84" i="1"/>
  <c r="CV84" i="1"/>
  <c r="BL84" i="1"/>
  <c r="BM84" i="1" s="1"/>
  <c r="BK84" i="1"/>
  <c r="BJ84" i="1"/>
  <c r="BH84" i="1"/>
  <c r="BF84" i="1"/>
  <c r="BB84" i="1"/>
  <c r="AV84" i="1"/>
  <c r="AP84" i="1"/>
  <c r="BC84" i="1" s="1"/>
  <c r="AK84" i="1"/>
  <c r="AI84" i="1" s="1"/>
  <c r="P84" i="1" s="1"/>
  <c r="AJ84" i="1"/>
  <c r="AA84" i="1"/>
  <c r="Z84" i="1"/>
  <c r="Y84" i="1" s="1"/>
  <c r="R84" i="1"/>
  <c r="L84" i="1"/>
  <c r="AY84" i="1" s="1"/>
  <c r="CY83" i="1"/>
  <c r="CX83" i="1"/>
  <c r="CV83" i="1"/>
  <c r="CW83" i="1" s="1"/>
  <c r="BK83" i="1"/>
  <c r="BJ83" i="1"/>
  <c r="BF83" i="1"/>
  <c r="BB83" i="1"/>
  <c r="AX83" i="1"/>
  <c r="AZ83" i="1" s="1"/>
  <c r="AV83" i="1"/>
  <c r="AP83" i="1"/>
  <c r="BC83" i="1" s="1"/>
  <c r="AK83" i="1"/>
  <c r="AI83" i="1" s="1"/>
  <c r="K83" i="1" s="1"/>
  <c r="J83" i="1" s="1"/>
  <c r="AA83" i="1"/>
  <c r="Z83" i="1"/>
  <c r="Y83" i="1" s="1"/>
  <c r="U83" i="1"/>
  <c r="R83" i="1"/>
  <c r="P83" i="1"/>
  <c r="L83" i="1"/>
  <c r="AY83" i="1" s="1"/>
  <c r="CY82" i="1"/>
  <c r="CX82" i="1"/>
  <c r="CV82" i="1"/>
  <c r="BK82" i="1"/>
  <c r="BJ82" i="1"/>
  <c r="BF82" i="1"/>
  <c r="BC82" i="1"/>
  <c r="BB82" i="1"/>
  <c r="AV82" i="1"/>
  <c r="AP82" i="1"/>
  <c r="AK82" i="1"/>
  <c r="AI82" i="1" s="1"/>
  <c r="M82" i="1" s="1"/>
  <c r="AJ82" i="1"/>
  <c r="AA82" i="1"/>
  <c r="Z82" i="1"/>
  <c r="R82" i="1"/>
  <c r="P82" i="1"/>
  <c r="L82" i="1"/>
  <c r="AY82" i="1" s="1"/>
  <c r="K82" i="1"/>
  <c r="J82" i="1"/>
  <c r="AC82" i="1" s="1"/>
  <c r="CY81" i="1"/>
  <c r="CX81" i="1"/>
  <c r="CV81" i="1"/>
  <c r="BK81" i="1"/>
  <c r="BJ81" i="1"/>
  <c r="BB81" i="1"/>
  <c r="AV81" i="1"/>
  <c r="AP81" i="1"/>
  <c r="BC81" i="1" s="1"/>
  <c r="BF81" i="1" s="1"/>
  <c r="AK81" i="1"/>
  <c r="AI81" i="1" s="1"/>
  <c r="AA81" i="1"/>
  <c r="Z81" i="1"/>
  <c r="Y81" i="1" s="1"/>
  <c r="R81" i="1"/>
  <c r="CY80" i="1"/>
  <c r="CX80" i="1"/>
  <c r="CV80" i="1"/>
  <c r="CW80" i="1" s="1"/>
  <c r="AX80" i="1" s="1"/>
  <c r="AZ80" i="1" s="1"/>
  <c r="BK80" i="1"/>
  <c r="BJ80" i="1"/>
  <c r="BI80" i="1"/>
  <c r="BF80" i="1"/>
  <c r="BH80" i="1" s="1"/>
  <c r="BL80" i="1" s="1"/>
  <c r="BM80" i="1" s="1"/>
  <c r="BB80" i="1"/>
  <c r="AY80" i="1"/>
  <c r="AV80" i="1"/>
  <c r="AP80" i="1"/>
  <c r="BC80" i="1" s="1"/>
  <c r="AK80" i="1"/>
  <c r="AJ80" i="1"/>
  <c r="AI80" i="1"/>
  <c r="M80" i="1" s="1"/>
  <c r="AA80" i="1"/>
  <c r="Z80" i="1"/>
  <c r="Y80" i="1" s="1"/>
  <c r="R80" i="1"/>
  <c r="P80" i="1"/>
  <c r="L80" i="1"/>
  <c r="CY79" i="1"/>
  <c r="CX79" i="1"/>
  <c r="CW79" i="1" s="1"/>
  <c r="AX79" i="1" s="1"/>
  <c r="CV79" i="1"/>
  <c r="BK79" i="1"/>
  <c r="BJ79" i="1"/>
  <c r="BB79" i="1"/>
  <c r="AZ79" i="1"/>
  <c r="AV79" i="1"/>
  <c r="AP79" i="1"/>
  <c r="BC79" i="1" s="1"/>
  <c r="BF79" i="1" s="1"/>
  <c r="AK79" i="1"/>
  <c r="AJ79" i="1"/>
  <c r="AI79" i="1"/>
  <c r="L79" i="1" s="1"/>
  <c r="AY79" i="1" s="1"/>
  <c r="BA79" i="1" s="1"/>
  <c r="AA79" i="1"/>
  <c r="Z79" i="1"/>
  <c r="Y79" i="1" s="1"/>
  <c r="U79" i="1"/>
  <c r="R79" i="1"/>
  <c r="P79" i="1"/>
  <c r="M79" i="1"/>
  <c r="CY78" i="1"/>
  <c r="CX78" i="1"/>
  <c r="CV78" i="1"/>
  <c r="BK78" i="1"/>
  <c r="BJ78" i="1"/>
  <c r="BH78" i="1"/>
  <c r="BL78" i="1" s="1"/>
  <c r="BM78" i="1" s="1"/>
  <c r="BF78" i="1"/>
  <c r="BG78" i="1" s="1"/>
  <c r="BB78" i="1"/>
  <c r="AV78" i="1"/>
  <c r="AP78" i="1"/>
  <c r="BC78" i="1" s="1"/>
  <c r="AK78" i="1"/>
  <c r="AI78" i="1" s="1"/>
  <c r="AA78" i="1"/>
  <c r="Z78" i="1"/>
  <c r="Y78" i="1" s="1"/>
  <c r="R78" i="1"/>
  <c r="CY77" i="1"/>
  <c r="CX77" i="1"/>
  <c r="CV77" i="1"/>
  <c r="BK77" i="1"/>
  <c r="BJ77" i="1"/>
  <c r="BF77" i="1"/>
  <c r="BB77" i="1"/>
  <c r="AV77" i="1"/>
  <c r="AP77" i="1"/>
  <c r="BC77" i="1" s="1"/>
  <c r="AK77" i="1"/>
  <c r="AJ77" i="1"/>
  <c r="AI77" i="1"/>
  <c r="K77" i="1" s="1"/>
  <c r="AA77" i="1"/>
  <c r="Z77" i="1"/>
  <c r="Y77" i="1" s="1"/>
  <c r="R77" i="1"/>
  <c r="L77" i="1"/>
  <c r="AY77" i="1" s="1"/>
  <c r="J77" i="1"/>
  <c r="CY76" i="1"/>
  <c r="CX76" i="1"/>
  <c r="CV76" i="1"/>
  <c r="CW76" i="1" s="1"/>
  <c r="AX76" i="1" s="1"/>
  <c r="AZ76" i="1" s="1"/>
  <c r="BK76" i="1"/>
  <c r="BJ76" i="1"/>
  <c r="BI76" i="1"/>
  <c r="BF76" i="1"/>
  <c r="BH76" i="1" s="1"/>
  <c r="BL76" i="1" s="1"/>
  <c r="BM76" i="1" s="1"/>
  <c r="BB76" i="1"/>
  <c r="AY76" i="1"/>
  <c r="BA76" i="1" s="1"/>
  <c r="AV76" i="1"/>
  <c r="AP76" i="1"/>
  <c r="BC76" i="1" s="1"/>
  <c r="AK76" i="1"/>
  <c r="AJ76" i="1"/>
  <c r="AI76" i="1"/>
  <c r="M76" i="1" s="1"/>
  <c r="AA76" i="1"/>
  <c r="Z76" i="1"/>
  <c r="Y76" i="1" s="1"/>
  <c r="R76" i="1"/>
  <c r="P76" i="1"/>
  <c r="L76" i="1"/>
  <c r="CY75" i="1"/>
  <c r="CX75" i="1"/>
  <c r="CW75" i="1" s="1"/>
  <c r="AX75" i="1" s="1"/>
  <c r="AZ75" i="1" s="1"/>
  <c r="CV75" i="1"/>
  <c r="BL75" i="1"/>
  <c r="BM75" i="1" s="1"/>
  <c r="BK75" i="1"/>
  <c r="BJ75" i="1"/>
  <c r="BI75" i="1"/>
  <c r="BH75" i="1"/>
  <c r="BG75" i="1"/>
  <c r="BF75" i="1"/>
  <c r="BB75" i="1"/>
  <c r="AV75" i="1"/>
  <c r="AP75" i="1"/>
  <c r="BC75" i="1" s="1"/>
  <c r="AK75" i="1"/>
  <c r="AJ75" i="1"/>
  <c r="AI75" i="1"/>
  <c r="L75" i="1" s="1"/>
  <c r="AY75" i="1" s="1"/>
  <c r="AA75" i="1"/>
  <c r="Z75" i="1"/>
  <c r="Y75" i="1" s="1"/>
  <c r="U75" i="1"/>
  <c r="R75" i="1"/>
  <c r="P75" i="1"/>
  <c r="M75" i="1"/>
  <c r="CY74" i="1"/>
  <c r="CX74" i="1"/>
  <c r="CV74" i="1"/>
  <c r="BK74" i="1"/>
  <c r="BJ74" i="1"/>
  <c r="BB74" i="1"/>
  <c r="AV74" i="1"/>
  <c r="AP74" i="1"/>
  <c r="BC74" i="1" s="1"/>
  <c r="BF74" i="1" s="1"/>
  <c r="AK74" i="1"/>
  <c r="AI74" i="1" s="1"/>
  <c r="AA74" i="1"/>
  <c r="Z74" i="1"/>
  <c r="Y74" i="1" s="1"/>
  <c r="R74" i="1"/>
  <c r="P74" i="1"/>
  <c r="L74" i="1"/>
  <c r="AY74" i="1" s="1"/>
  <c r="K74" i="1"/>
  <c r="J74" i="1" s="1"/>
  <c r="AC74" i="1" s="1"/>
  <c r="CY73" i="1"/>
  <c r="CX73" i="1"/>
  <c r="CV73" i="1"/>
  <c r="BK73" i="1"/>
  <c r="BJ73" i="1"/>
  <c r="BH73" i="1"/>
  <c r="BL73" i="1" s="1"/>
  <c r="BM73" i="1" s="1"/>
  <c r="BF73" i="1"/>
  <c r="BB73" i="1"/>
  <c r="AV73" i="1"/>
  <c r="AP73" i="1"/>
  <c r="BC73" i="1" s="1"/>
  <c r="AK73" i="1"/>
  <c r="AJ73" i="1"/>
  <c r="AI73" i="1"/>
  <c r="L73" i="1" s="1"/>
  <c r="AY73" i="1" s="1"/>
  <c r="AA73" i="1"/>
  <c r="Z73" i="1"/>
  <c r="Y73" i="1"/>
  <c r="R73" i="1"/>
  <c r="K73" i="1"/>
  <c r="J73" i="1" s="1"/>
  <c r="CY72" i="1"/>
  <c r="CX72" i="1"/>
  <c r="CV72" i="1"/>
  <c r="BK72" i="1"/>
  <c r="BJ72" i="1"/>
  <c r="BI72" i="1"/>
  <c r="BF72" i="1"/>
  <c r="BB72" i="1"/>
  <c r="AV72" i="1"/>
  <c r="AP72" i="1"/>
  <c r="BC72" i="1" s="1"/>
  <c r="AK72" i="1"/>
  <c r="AI72" i="1"/>
  <c r="AA72" i="1"/>
  <c r="Z72" i="1"/>
  <c r="Y72" i="1"/>
  <c r="R72" i="1"/>
  <c r="CY71" i="1"/>
  <c r="CX71" i="1"/>
  <c r="CW71" i="1" s="1"/>
  <c r="AX71" i="1" s="1"/>
  <c r="AZ71" i="1" s="1"/>
  <c r="CV71" i="1"/>
  <c r="BK71" i="1"/>
  <c r="BJ71" i="1"/>
  <c r="BI71" i="1"/>
  <c r="BG71" i="1"/>
  <c r="BB71" i="1"/>
  <c r="AV71" i="1"/>
  <c r="AP71" i="1"/>
  <c r="BC71" i="1" s="1"/>
  <c r="BF71" i="1" s="1"/>
  <c r="BH71" i="1" s="1"/>
  <c r="BL71" i="1" s="1"/>
  <c r="BM71" i="1" s="1"/>
  <c r="AK71" i="1"/>
  <c r="AJ71" i="1"/>
  <c r="AI71" i="1"/>
  <c r="AA71" i="1"/>
  <c r="Z71" i="1"/>
  <c r="Y71" i="1" s="1"/>
  <c r="U71" i="1"/>
  <c r="R71" i="1"/>
  <c r="P71" i="1"/>
  <c r="M71" i="1"/>
  <c r="CY70" i="1"/>
  <c r="CX70" i="1"/>
  <c r="CV70" i="1"/>
  <c r="BK70" i="1"/>
  <c r="BJ70" i="1"/>
  <c r="BH70" i="1"/>
  <c r="BL70" i="1" s="1"/>
  <c r="BM70" i="1" s="1"/>
  <c r="BG70" i="1"/>
  <c r="BF70" i="1"/>
  <c r="BI70" i="1" s="1"/>
  <c r="BB70" i="1"/>
  <c r="AV70" i="1"/>
  <c r="AP70" i="1"/>
  <c r="BC70" i="1" s="1"/>
  <c r="AK70" i="1"/>
  <c r="AI70" i="1" s="1"/>
  <c r="M70" i="1" s="1"/>
  <c r="AJ70" i="1"/>
  <c r="AA70" i="1"/>
  <c r="Z70" i="1"/>
  <c r="U70" i="1"/>
  <c r="R70" i="1"/>
  <c r="P70" i="1"/>
  <c r="L70" i="1"/>
  <c r="AY70" i="1" s="1"/>
  <c r="CY69" i="1"/>
  <c r="U69" i="1" s="1"/>
  <c r="CX69" i="1"/>
  <c r="CW69" i="1"/>
  <c r="AX69" i="1" s="1"/>
  <c r="CV69" i="1"/>
  <c r="BK69" i="1"/>
  <c r="BJ69" i="1"/>
  <c r="BI69" i="1"/>
  <c r="BB69" i="1"/>
  <c r="AZ69" i="1"/>
  <c r="AV69" i="1"/>
  <c r="AP69" i="1"/>
  <c r="BC69" i="1" s="1"/>
  <c r="BF69" i="1" s="1"/>
  <c r="AK69" i="1"/>
  <c r="AJ69" i="1"/>
  <c r="AI69" i="1"/>
  <c r="L69" i="1" s="1"/>
  <c r="AY69" i="1" s="1"/>
  <c r="BA69" i="1" s="1"/>
  <c r="AA69" i="1"/>
  <c r="Z69" i="1"/>
  <c r="Y69" i="1" s="1"/>
  <c r="R69" i="1"/>
  <c r="P69" i="1"/>
  <c r="M69" i="1"/>
  <c r="CY68" i="1"/>
  <c r="CX68" i="1"/>
  <c r="CW68" i="1" s="1"/>
  <c r="AX68" i="1" s="1"/>
  <c r="AZ68" i="1" s="1"/>
  <c r="CV68" i="1"/>
  <c r="BK68" i="1"/>
  <c r="BJ68" i="1"/>
  <c r="BH68" i="1"/>
  <c r="BL68" i="1" s="1"/>
  <c r="BM68" i="1" s="1"/>
  <c r="BG68" i="1"/>
  <c r="BF68" i="1"/>
  <c r="BI68" i="1" s="1"/>
  <c r="BC68" i="1"/>
  <c r="BB68" i="1"/>
  <c r="AV68" i="1"/>
  <c r="AP68" i="1"/>
  <c r="AK68" i="1"/>
  <c r="AI68" i="1" s="1"/>
  <c r="AA68" i="1"/>
  <c r="Z68" i="1"/>
  <c r="Y68" i="1" s="1"/>
  <c r="U68" i="1"/>
  <c r="R68" i="1"/>
  <c r="P68" i="1"/>
  <c r="M68" i="1"/>
  <c r="CY67" i="1"/>
  <c r="CX67" i="1"/>
  <c r="CV67" i="1"/>
  <c r="BK67" i="1"/>
  <c r="BJ67" i="1"/>
  <c r="BF67" i="1"/>
  <c r="BC67" i="1"/>
  <c r="BB67" i="1"/>
  <c r="AV67" i="1"/>
  <c r="AP67" i="1"/>
  <c r="AK67" i="1"/>
  <c r="AI67" i="1" s="1"/>
  <c r="AA67" i="1"/>
  <c r="Y67" i="1" s="1"/>
  <c r="Z67" i="1"/>
  <c r="R67" i="1"/>
  <c r="L67" i="1"/>
  <c r="AY67" i="1" s="1"/>
  <c r="K67" i="1"/>
  <c r="J67" i="1" s="1"/>
  <c r="AC67" i="1" s="1"/>
  <c r="CY66" i="1"/>
  <c r="CX66" i="1"/>
  <c r="CV66" i="1"/>
  <c r="BK66" i="1"/>
  <c r="BJ66" i="1"/>
  <c r="BF66" i="1"/>
  <c r="BB66" i="1"/>
  <c r="AV66" i="1"/>
  <c r="AP66" i="1"/>
  <c r="BC66" i="1" s="1"/>
  <c r="AK66" i="1"/>
  <c r="AJ66" i="1"/>
  <c r="AI66" i="1"/>
  <c r="AA66" i="1"/>
  <c r="Z66" i="1"/>
  <c r="Y66" i="1" s="1"/>
  <c r="R66" i="1"/>
  <c r="L66" i="1"/>
  <c r="AY66" i="1" s="1"/>
  <c r="CY65" i="1"/>
  <c r="U65" i="1" s="1"/>
  <c r="CX65" i="1"/>
  <c r="CW65" i="1"/>
  <c r="AX65" i="1" s="1"/>
  <c r="CV65" i="1"/>
  <c r="BL65" i="1"/>
  <c r="BM65" i="1" s="1"/>
  <c r="BK65" i="1"/>
  <c r="BJ65" i="1"/>
  <c r="BI65" i="1"/>
  <c r="BH65" i="1"/>
  <c r="BG65" i="1"/>
  <c r="BF65" i="1"/>
  <c r="BB65" i="1"/>
  <c r="AZ65" i="1"/>
  <c r="AY65" i="1"/>
  <c r="BA65" i="1" s="1"/>
  <c r="AV65" i="1"/>
  <c r="AP65" i="1"/>
  <c r="BC65" i="1" s="1"/>
  <c r="AK65" i="1"/>
  <c r="AJ65" i="1"/>
  <c r="AI65" i="1"/>
  <c r="L65" i="1" s="1"/>
  <c r="AA65" i="1"/>
  <c r="Z65" i="1"/>
  <c r="Y65" i="1" s="1"/>
  <c r="R65" i="1"/>
  <c r="P65" i="1"/>
  <c r="M65" i="1"/>
  <c r="CY64" i="1"/>
  <c r="CX64" i="1"/>
  <c r="CW64" i="1" s="1"/>
  <c r="AX64" i="1" s="1"/>
  <c r="AZ64" i="1" s="1"/>
  <c r="CV64" i="1"/>
  <c r="BK64" i="1"/>
  <c r="BJ64" i="1"/>
  <c r="BH64" i="1"/>
  <c r="BL64" i="1" s="1"/>
  <c r="BM64" i="1" s="1"/>
  <c r="BG64" i="1"/>
  <c r="BF64" i="1"/>
  <c r="BI64" i="1" s="1"/>
  <c r="BC64" i="1"/>
  <c r="BB64" i="1"/>
  <c r="AV64" i="1"/>
  <c r="AP64" i="1"/>
  <c r="AK64" i="1"/>
  <c r="AI64" i="1" s="1"/>
  <c r="AA64" i="1"/>
  <c r="Z64" i="1"/>
  <c r="Y64" i="1" s="1"/>
  <c r="U64" i="1"/>
  <c r="R64" i="1"/>
  <c r="P64" i="1"/>
  <c r="CY63" i="1"/>
  <c r="CX63" i="1"/>
  <c r="CV63" i="1"/>
  <c r="BK63" i="1"/>
  <c r="BJ63" i="1"/>
  <c r="BH63" i="1"/>
  <c r="BL63" i="1" s="1"/>
  <c r="BM63" i="1" s="1"/>
  <c r="BF63" i="1"/>
  <c r="BB63" i="1"/>
  <c r="AV63" i="1"/>
  <c r="AP63" i="1"/>
  <c r="BC63" i="1" s="1"/>
  <c r="AK63" i="1"/>
  <c r="AI63" i="1" s="1"/>
  <c r="AA63" i="1"/>
  <c r="Y63" i="1" s="1"/>
  <c r="Z63" i="1"/>
  <c r="R63" i="1"/>
  <c r="CY62" i="1"/>
  <c r="CX62" i="1"/>
  <c r="CV62" i="1"/>
  <c r="BK62" i="1"/>
  <c r="BJ62" i="1"/>
  <c r="BB62" i="1"/>
  <c r="AV62" i="1"/>
  <c r="AP62" i="1"/>
  <c r="BC62" i="1" s="1"/>
  <c r="BF62" i="1" s="1"/>
  <c r="AK62" i="1"/>
  <c r="AJ62" i="1"/>
  <c r="AI62" i="1"/>
  <c r="AA62" i="1"/>
  <c r="Z62" i="1"/>
  <c r="Y62" i="1"/>
  <c r="R62" i="1"/>
  <c r="CY61" i="1"/>
  <c r="CX61" i="1"/>
  <c r="CW61" i="1"/>
  <c r="AX61" i="1" s="1"/>
  <c r="AZ61" i="1" s="1"/>
  <c r="CV61" i="1"/>
  <c r="BL61" i="1"/>
  <c r="BM61" i="1" s="1"/>
  <c r="BK61" i="1"/>
  <c r="BJ61" i="1"/>
  <c r="BI61" i="1"/>
  <c r="BH61" i="1"/>
  <c r="BG61" i="1"/>
  <c r="BF61" i="1"/>
  <c r="BB61" i="1"/>
  <c r="AV61" i="1"/>
  <c r="AP61" i="1"/>
  <c r="BC61" i="1" s="1"/>
  <c r="AK61" i="1"/>
  <c r="AI61" i="1" s="1"/>
  <c r="AJ61" i="1"/>
  <c r="AA61" i="1"/>
  <c r="Z61" i="1"/>
  <c r="Y61" i="1" s="1"/>
  <c r="U61" i="1"/>
  <c r="R61" i="1"/>
  <c r="M61" i="1"/>
  <c r="CY60" i="1"/>
  <c r="CX60" i="1"/>
  <c r="CW60" i="1"/>
  <c r="AX60" i="1" s="1"/>
  <c r="CV60" i="1"/>
  <c r="BK60" i="1"/>
  <c r="BJ60" i="1"/>
  <c r="BC60" i="1"/>
  <c r="BF60" i="1" s="1"/>
  <c r="BB60" i="1"/>
  <c r="AV60" i="1"/>
  <c r="AP60" i="1"/>
  <c r="AK60" i="1"/>
  <c r="AI60" i="1" s="1"/>
  <c r="AJ60" i="1" s="1"/>
  <c r="AA60" i="1"/>
  <c r="Y60" i="1" s="1"/>
  <c r="Z60" i="1"/>
  <c r="U60" i="1"/>
  <c r="V60" i="1" s="1"/>
  <c r="W60" i="1" s="1"/>
  <c r="R60" i="1"/>
  <c r="M60" i="1"/>
  <c r="L60" i="1"/>
  <c r="AY60" i="1" s="1"/>
  <c r="K60" i="1"/>
  <c r="J60" i="1" s="1"/>
  <c r="AC60" i="1" s="1"/>
  <c r="CY59" i="1"/>
  <c r="CX59" i="1"/>
  <c r="CV59" i="1"/>
  <c r="BK59" i="1"/>
  <c r="BJ59" i="1"/>
  <c r="BH59" i="1"/>
  <c r="BL59" i="1" s="1"/>
  <c r="BM59" i="1" s="1"/>
  <c r="BF59" i="1"/>
  <c r="BB59" i="1"/>
  <c r="AV59" i="1"/>
  <c r="AP59" i="1"/>
  <c r="BC59" i="1" s="1"/>
  <c r="AK59" i="1"/>
  <c r="AI59" i="1" s="1"/>
  <c r="AA59" i="1"/>
  <c r="Z59" i="1"/>
  <c r="Y59" i="1"/>
  <c r="R59" i="1"/>
  <c r="CY58" i="1"/>
  <c r="CX58" i="1"/>
  <c r="CV58" i="1"/>
  <c r="BK58" i="1"/>
  <c r="BJ58" i="1"/>
  <c r="BF58" i="1"/>
  <c r="BB58" i="1"/>
  <c r="AV58" i="1"/>
  <c r="AP58" i="1"/>
  <c r="BC58" i="1" s="1"/>
  <c r="AK58" i="1"/>
  <c r="AI58" i="1"/>
  <c r="AA58" i="1"/>
  <c r="Z58" i="1"/>
  <c r="Y58" i="1"/>
  <c r="R58" i="1"/>
  <c r="CY57" i="1"/>
  <c r="U57" i="1" s="1"/>
  <c r="CX57" i="1"/>
  <c r="CW57" i="1"/>
  <c r="CV57" i="1"/>
  <c r="BK57" i="1"/>
  <c r="BJ57" i="1"/>
  <c r="BI57" i="1"/>
  <c r="BH57" i="1"/>
  <c r="BL57" i="1" s="1"/>
  <c r="BM57" i="1" s="1"/>
  <c r="BG57" i="1"/>
  <c r="BF57" i="1"/>
  <c r="BB57" i="1"/>
  <c r="AX57" i="1"/>
  <c r="AV57" i="1"/>
  <c r="AZ57" i="1" s="1"/>
  <c r="AP57" i="1"/>
  <c r="BC57" i="1" s="1"/>
  <c r="AK57" i="1"/>
  <c r="AI57" i="1" s="1"/>
  <c r="AJ57" i="1"/>
  <c r="AA57" i="1"/>
  <c r="Z57" i="1"/>
  <c r="Y57" i="1" s="1"/>
  <c r="R57" i="1"/>
  <c r="P57" i="1"/>
  <c r="M57" i="1"/>
  <c r="CY56" i="1"/>
  <c r="CX56" i="1"/>
  <c r="CW56" i="1"/>
  <c r="AX56" i="1" s="1"/>
  <c r="AZ56" i="1" s="1"/>
  <c r="CV56" i="1"/>
  <c r="BK56" i="1"/>
  <c r="BJ56" i="1"/>
  <c r="BC56" i="1"/>
  <c r="BF56" i="1" s="1"/>
  <c r="BB56" i="1"/>
  <c r="AV56" i="1"/>
  <c r="AP56" i="1"/>
  <c r="AK56" i="1"/>
  <c r="AI56" i="1"/>
  <c r="AJ56" i="1" s="1"/>
  <c r="AA56" i="1"/>
  <c r="Y56" i="1" s="1"/>
  <c r="Z56" i="1"/>
  <c r="U56" i="1"/>
  <c r="R56" i="1"/>
  <c r="CY55" i="1"/>
  <c r="CX55" i="1"/>
  <c r="CV55" i="1"/>
  <c r="CW55" i="1" s="1"/>
  <c r="BK55" i="1"/>
  <c r="BJ55" i="1"/>
  <c r="BH55" i="1"/>
  <c r="BL55" i="1" s="1"/>
  <c r="BM55" i="1" s="1"/>
  <c r="BF55" i="1"/>
  <c r="BI55" i="1" s="1"/>
  <c r="BC55" i="1"/>
  <c r="BB55" i="1"/>
  <c r="AZ55" i="1"/>
  <c r="AX55" i="1"/>
  <c r="AV55" i="1"/>
  <c r="AP55" i="1"/>
  <c r="AK55" i="1"/>
  <c r="AI55" i="1" s="1"/>
  <c r="AA55" i="1"/>
  <c r="Y55" i="1" s="1"/>
  <c r="Z55" i="1"/>
  <c r="R55" i="1"/>
  <c r="CY54" i="1"/>
  <c r="CX54" i="1"/>
  <c r="CV54" i="1"/>
  <c r="CW54" i="1" s="1"/>
  <c r="AX54" i="1" s="1"/>
  <c r="AZ54" i="1" s="1"/>
  <c r="BK54" i="1"/>
  <c r="BJ54" i="1"/>
  <c r="BB54" i="1"/>
  <c r="AV54" i="1"/>
  <c r="AP54" i="1"/>
  <c r="BC54" i="1" s="1"/>
  <c r="BF54" i="1" s="1"/>
  <c r="AK54" i="1"/>
  <c r="AI54" i="1"/>
  <c r="M54" i="1" s="1"/>
  <c r="AA54" i="1"/>
  <c r="Z54" i="1"/>
  <c r="Y54" i="1"/>
  <c r="R54" i="1"/>
  <c r="CY53" i="1"/>
  <c r="CX53" i="1"/>
  <c r="CV53" i="1"/>
  <c r="CW53" i="1" s="1"/>
  <c r="AX53" i="1" s="1"/>
  <c r="AZ53" i="1" s="1"/>
  <c r="BK53" i="1"/>
  <c r="BJ53" i="1"/>
  <c r="BI53" i="1"/>
  <c r="BF53" i="1"/>
  <c r="BH53" i="1" s="1"/>
  <c r="BL53" i="1" s="1"/>
  <c r="BM53" i="1" s="1"/>
  <c r="BB53" i="1"/>
  <c r="AV53" i="1"/>
  <c r="AP53" i="1"/>
  <c r="BC53" i="1" s="1"/>
  <c r="AK53" i="1"/>
  <c r="AI53" i="1" s="1"/>
  <c r="AA53" i="1"/>
  <c r="Z53" i="1"/>
  <c r="Y53" i="1" s="1"/>
  <c r="R53" i="1"/>
  <c r="CY52" i="1"/>
  <c r="CX52" i="1"/>
  <c r="CW52" i="1"/>
  <c r="AX52" i="1" s="1"/>
  <c r="CV52" i="1"/>
  <c r="BK52" i="1"/>
  <c r="BJ52" i="1"/>
  <c r="BB52" i="1"/>
  <c r="AV52" i="1"/>
  <c r="AP52" i="1"/>
  <c r="BC52" i="1" s="1"/>
  <c r="BF52" i="1" s="1"/>
  <c r="AK52" i="1"/>
  <c r="AI52" i="1" s="1"/>
  <c r="AA52" i="1"/>
  <c r="Z52" i="1"/>
  <c r="Y52" i="1" s="1"/>
  <c r="U52" i="1"/>
  <c r="R52" i="1"/>
  <c r="CY51" i="1"/>
  <c r="CX51" i="1"/>
  <c r="CV51" i="1"/>
  <c r="CW51" i="1" s="1"/>
  <c r="AX51" i="1" s="1"/>
  <c r="AZ51" i="1" s="1"/>
  <c r="BK51" i="1"/>
  <c r="BJ51" i="1"/>
  <c r="BH51" i="1"/>
  <c r="BL51" i="1" s="1"/>
  <c r="BM51" i="1" s="1"/>
  <c r="BF51" i="1"/>
  <c r="BI51" i="1" s="1"/>
  <c r="BC51" i="1"/>
  <c r="BB51" i="1"/>
  <c r="AV51" i="1"/>
  <c r="AP51" i="1"/>
  <c r="AK51" i="1"/>
  <c r="AI51" i="1" s="1"/>
  <c r="AA51" i="1"/>
  <c r="Z51" i="1"/>
  <c r="Y51" i="1" s="1"/>
  <c r="R51" i="1"/>
  <c r="CY50" i="1"/>
  <c r="CX50" i="1"/>
  <c r="CV50" i="1"/>
  <c r="CW50" i="1" s="1"/>
  <c r="AX50" i="1" s="1"/>
  <c r="AZ50" i="1" s="1"/>
  <c r="BK50" i="1"/>
  <c r="BJ50" i="1"/>
  <c r="BH50" i="1"/>
  <c r="BL50" i="1" s="1"/>
  <c r="BM50" i="1" s="1"/>
  <c r="BF50" i="1"/>
  <c r="BG50" i="1" s="1"/>
  <c r="BB50" i="1"/>
  <c r="AV50" i="1"/>
  <c r="AP50" i="1"/>
  <c r="BC50" i="1" s="1"/>
  <c r="AK50" i="1"/>
  <c r="AI50" i="1"/>
  <c r="AA50" i="1"/>
  <c r="Z50" i="1"/>
  <c r="Y50" i="1"/>
  <c r="R50" i="1"/>
  <c r="CY49" i="1"/>
  <c r="CX49" i="1"/>
  <c r="CV49" i="1"/>
  <c r="CW49" i="1" s="1"/>
  <c r="AX49" i="1" s="1"/>
  <c r="AZ49" i="1" s="1"/>
  <c r="BK49" i="1"/>
  <c r="BJ49" i="1"/>
  <c r="BB49" i="1"/>
  <c r="AV49" i="1"/>
  <c r="AP49" i="1"/>
  <c r="BC49" i="1" s="1"/>
  <c r="BF49" i="1" s="1"/>
  <c r="AK49" i="1"/>
  <c r="AI49" i="1" s="1"/>
  <c r="AA49" i="1"/>
  <c r="Z49" i="1"/>
  <c r="Y49" i="1" s="1"/>
  <c r="R49" i="1"/>
  <c r="CY48" i="1"/>
  <c r="CX48" i="1"/>
  <c r="CV48" i="1"/>
  <c r="U48" i="1" s="1"/>
  <c r="BL48" i="1"/>
  <c r="BM48" i="1" s="1"/>
  <c r="BK48" i="1"/>
  <c r="BJ48" i="1"/>
  <c r="BH48" i="1"/>
  <c r="BF48" i="1"/>
  <c r="BI48" i="1" s="1"/>
  <c r="BB48" i="1"/>
  <c r="AV48" i="1"/>
  <c r="AP48" i="1"/>
  <c r="BC48" i="1" s="1"/>
  <c r="AK48" i="1"/>
  <c r="AI48" i="1" s="1"/>
  <c r="K48" i="1" s="1"/>
  <c r="J48" i="1" s="1"/>
  <c r="AA48" i="1"/>
  <c r="Z48" i="1"/>
  <c r="Y48" i="1" s="1"/>
  <c r="R48" i="1"/>
  <c r="P48" i="1"/>
  <c r="M48" i="1"/>
  <c r="L48" i="1"/>
  <c r="AY48" i="1" s="1"/>
  <c r="CY47" i="1"/>
  <c r="CX47" i="1"/>
  <c r="CV47" i="1"/>
  <c r="BK47" i="1"/>
  <c r="BJ47" i="1"/>
  <c r="BB47" i="1"/>
  <c r="AV47" i="1"/>
  <c r="AP47" i="1"/>
  <c r="BC47" i="1" s="1"/>
  <c r="BF47" i="1" s="1"/>
  <c r="AK47" i="1"/>
  <c r="AI47" i="1" s="1"/>
  <c r="M47" i="1" s="1"/>
  <c r="AA47" i="1"/>
  <c r="Z47" i="1"/>
  <c r="R47" i="1"/>
  <c r="P47" i="1"/>
  <c r="L47" i="1"/>
  <c r="AY47" i="1" s="1"/>
  <c r="K47" i="1"/>
  <c r="J47" i="1" s="1"/>
  <c r="CY46" i="1"/>
  <c r="CX46" i="1"/>
  <c r="CV46" i="1"/>
  <c r="BL46" i="1"/>
  <c r="BM46" i="1" s="1"/>
  <c r="BK46" i="1"/>
  <c r="BJ46" i="1"/>
  <c r="BI46" i="1"/>
  <c r="BH46" i="1"/>
  <c r="BF46" i="1"/>
  <c r="BG46" i="1" s="1"/>
  <c r="BB46" i="1"/>
  <c r="AY46" i="1"/>
  <c r="AV46" i="1"/>
  <c r="AP46" i="1"/>
  <c r="BC46" i="1" s="1"/>
  <c r="AK46" i="1"/>
  <c r="AI46" i="1"/>
  <c r="L46" i="1" s="1"/>
  <c r="AA46" i="1"/>
  <c r="Z46" i="1"/>
  <c r="Y46" i="1"/>
  <c r="R46" i="1"/>
  <c r="CY45" i="1"/>
  <c r="CX45" i="1"/>
  <c r="CW45" i="1" s="1"/>
  <c r="AX45" i="1" s="1"/>
  <c r="CV45" i="1"/>
  <c r="BL45" i="1"/>
  <c r="BM45" i="1" s="1"/>
  <c r="BK45" i="1"/>
  <c r="BJ45" i="1"/>
  <c r="BI45" i="1"/>
  <c r="BH45" i="1"/>
  <c r="BG45" i="1"/>
  <c r="BF45" i="1"/>
  <c r="BB45" i="1"/>
  <c r="AV45" i="1"/>
  <c r="AZ45" i="1" s="1"/>
  <c r="AP45" i="1"/>
  <c r="BC45" i="1" s="1"/>
  <c r="AK45" i="1"/>
  <c r="AI45" i="1" s="1"/>
  <c r="AJ45" i="1" s="1"/>
  <c r="AA45" i="1"/>
  <c r="Z45" i="1"/>
  <c r="Y45" i="1" s="1"/>
  <c r="U45" i="1"/>
  <c r="R45" i="1"/>
  <c r="P45" i="1"/>
  <c r="L45" i="1"/>
  <c r="AY45" i="1" s="1"/>
  <c r="BA45" i="1" s="1"/>
  <c r="CY44" i="1"/>
  <c r="CX44" i="1"/>
  <c r="CW44" i="1" s="1"/>
  <c r="CV44" i="1"/>
  <c r="BL44" i="1"/>
  <c r="BM44" i="1" s="1"/>
  <c r="BK44" i="1"/>
  <c r="BJ44" i="1"/>
  <c r="BH44" i="1"/>
  <c r="BG44" i="1"/>
  <c r="BF44" i="1"/>
  <c r="BI44" i="1" s="1"/>
  <c r="BB44" i="1"/>
  <c r="AX44" i="1"/>
  <c r="AV44" i="1"/>
  <c r="AP44" i="1"/>
  <c r="BC44" i="1" s="1"/>
  <c r="AK44" i="1"/>
  <c r="AI44" i="1"/>
  <c r="AJ44" i="1" s="1"/>
  <c r="AA44" i="1"/>
  <c r="Z44" i="1"/>
  <c r="Y44" i="1" s="1"/>
  <c r="U44" i="1"/>
  <c r="R44" i="1"/>
  <c r="M44" i="1"/>
  <c r="L44" i="1"/>
  <c r="AY44" i="1" s="1"/>
  <c r="K44" i="1"/>
  <c r="J44" i="1" s="1"/>
  <c r="CY43" i="1"/>
  <c r="U43" i="1" s="1"/>
  <c r="CX43" i="1"/>
  <c r="CV43" i="1"/>
  <c r="BK43" i="1"/>
  <c r="BJ43" i="1"/>
  <c r="BB43" i="1"/>
  <c r="AY43" i="1"/>
  <c r="AV43" i="1"/>
  <c r="AP43" i="1"/>
  <c r="BC43" i="1" s="1"/>
  <c r="BF43" i="1" s="1"/>
  <c r="AK43" i="1"/>
  <c r="AI43" i="1"/>
  <c r="M43" i="1" s="1"/>
  <c r="AA43" i="1"/>
  <c r="Y43" i="1" s="1"/>
  <c r="Z43" i="1"/>
  <c r="R43" i="1"/>
  <c r="P43" i="1"/>
  <c r="L43" i="1"/>
  <c r="CY42" i="1"/>
  <c r="CX42" i="1"/>
  <c r="CV42" i="1"/>
  <c r="BK42" i="1"/>
  <c r="BJ42" i="1"/>
  <c r="BF42" i="1"/>
  <c r="BB42" i="1"/>
  <c r="AV42" i="1"/>
  <c r="AP42" i="1"/>
  <c r="BC42" i="1" s="1"/>
  <c r="AK42" i="1"/>
  <c r="AI42" i="1" s="1"/>
  <c r="AA42" i="1"/>
  <c r="Z42" i="1"/>
  <c r="Y42" i="1" s="1"/>
  <c r="R42" i="1"/>
  <c r="CY41" i="1"/>
  <c r="CX41" i="1"/>
  <c r="CV41" i="1"/>
  <c r="CW41" i="1" s="1"/>
  <c r="AX41" i="1" s="1"/>
  <c r="AZ41" i="1" s="1"/>
  <c r="BK41" i="1"/>
  <c r="BJ41" i="1"/>
  <c r="BB41" i="1"/>
  <c r="AV41" i="1"/>
  <c r="AP41" i="1"/>
  <c r="BC41" i="1" s="1"/>
  <c r="BF41" i="1" s="1"/>
  <c r="AK41" i="1"/>
  <c r="AI41" i="1" s="1"/>
  <c r="AJ41" i="1" s="1"/>
  <c r="AA41" i="1"/>
  <c r="Z41" i="1"/>
  <c r="Y41" i="1" s="1"/>
  <c r="R41" i="1"/>
  <c r="CY40" i="1"/>
  <c r="U40" i="1" s="1"/>
  <c r="CX40" i="1"/>
  <c r="CW40" i="1" s="1"/>
  <c r="AX40" i="1" s="1"/>
  <c r="CV40" i="1"/>
  <c r="BK40" i="1"/>
  <c r="BJ40" i="1"/>
  <c r="BI40" i="1"/>
  <c r="BH40" i="1"/>
  <c r="BL40" i="1" s="1"/>
  <c r="BM40" i="1" s="1"/>
  <c r="BG40" i="1"/>
  <c r="BF40" i="1"/>
  <c r="BB40" i="1"/>
  <c r="AZ40" i="1"/>
  <c r="AV40" i="1"/>
  <c r="AP40" i="1"/>
  <c r="BC40" i="1" s="1"/>
  <c r="AK40" i="1"/>
  <c r="AJ40" i="1"/>
  <c r="AI40" i="1"/>
  <c r="M40" i="1" s="1"/>
  <c r="AA40" i="1"/>
  <c r="Z40" i="1"/>
  <c r="Y40" i="1" s="1"/>
  <c r="R40" i="1"/>
  <c r="P40" i="1"/>
  <c r="CY39" i="1"/>
  <c r="CX39" i="1"/>
  <c r="CV39" i="1"/>
  <c r="BK39" i="1"/>
  <c r="BJ39" i="1"/>
  <c r="BH39" i="1"/>
  <c r="BL39" i="1" s="1"/>
  <c r="BM39" i="1" s="1"/>
  <c r="BF39" i="1"/>
  <c r="BG39" i="1" s="1"/>
  <c r="BB39" i="1"/>
  <c r="AV39" i="1"/>
  <c r="AP39" i="1"/>
  <c r="BC39" i="1" s="1"/>
  <c r="AK39" i="1"/>
  <c r="AI39" i="1" s="1"/>
  <c r="AA39" i="1"/>
  <c r="Y39" i="1" s="1"/>
  <c r="Z39" i="1"/>
  <c r="R39" i="1"/>
  <c r="CY38" i="1"/>
  <c r="CX38" i="1"/>
  <c r="CV38" i="1"/>
  <c r="BK38" i="1"/>
  <c r="BJ38" i="1"/>
  <c r="BF38" i="1"/>
  <c r="BB38" i="1"/>
  <c r="AV38" i="1"/>
  <c r="AP38" i="1"/>
  <c r="BC38" i="1" s="1"/>
  <c r="AK38" i="1"/>
  <c r="AI38" i="1" s="1"/>
  <c r="AA38" i="1"/>
  <c r="Z38" i="1"/>
  <c r="Y38" i="1" s="1"/>
  <c r="R38" i="1"/>
  <c r="L38" i="1"/>
  <c r="AY38" i="1" s="1"/>
  <c r="CY37" i="1"/>
  <c r="CX37" i="1"/>
  <c r="CV37" i="1"/>
  <c r="CW37" i="1" s="1"/>
  <c r="AX37" i="1" s="1"/>
  <c r="AZ37" i="1" s="1"/>
  <c r="BK37" i="1"/>
  <c r="BJ37" i="1"/>
  <c r="BB37" i="1"/>
  <c r="AV37" i="1"/>
  <c r="AP37" i="1"/>
  <c r="BC37" i="1" s="1"/>
  <c r="BF37" i="1" s="1"/>
  <c r="AK37" i="1"/>
  <c r="AI37" i="1" s="1"/>
  <c r="AA37" i="1"/>
  <c r="Z37" i="1"/>
  <c r="Y37" i="1" s="1"/>
  <c r="R37" i="1"/>
  <c r="P37" i="1"/>
  <c r="CY36" i="1"/>
  <c r="CX36" i="1"/>
  <c r="CV36" i="1"/>
  <c r="CW36" i="1" s="1"/>
  <c r="BK36" i="1"/>
  <c r="BJ36" i="1"/>
  <c r="BI36" i="1"/>
  <c r="BH36" i="1"/>
  <c r="BL36" i="1" s="1"/>
  <c r="BM36" i="1" s="1"/>
  <c r="BF36" i="1"/>
  <c r="BG36" i="1" s="1"/>
  <c r="BB36" i="1"/>
  <c r="AX36" i="1"/>
  <c r="AZ36" i="1" s="1"/>
  <c r="AV36" i="1"/>
  <c r="AP36" i="1"/>
  <c r="BC36" i="1" s="1"/>
  <c r="AK36" i="1"/>
  <c r="AJ36" i="1"/>
  <c r="AI36" i="1"/>
  <c r="M36" i="1" s="1"/>
  <c r="AA36" i="1"/>
  <c r="Z36" i="1"/>
  <c r="Y36" i="1" s="1"/>
  <c r="R36" i="1"/>
  <c r="P36" i="1"/>
  <c r="CY35" i="1"/>
  <c r="CX35" i="1"/>
  <c r="CV35" i="1"/>
  <c r="BK35" i="1"/>
  <c r="BJ35" i="1"/>
  <c r="BH35" i="1"/>
  <c r="BL35" i="1" s="1"/>
  <c r="BM35" i="1" s="1"/>
  <c r="BF35" i="1"/>
  <c r="BB35" i="1"/>
  <c r="AV35" i="1"/>
  <c r="AP35" i="1"/>
  <c r="BC35" i="1" s="1"/>
  <c r="AK35" i="1"/>
  <c r="AJ35" i="1"/>
  <c r="AI35" i="1"/>
  <c r="AA35" i="1"/>
  <c r="Z35" i="1"/>
  <c r="Y35" i="1" s="1"/>
  <c r="R35" i="1"/>
  <c r="P35" i="1"/>
  <c r="M35" i="1"/>
  <c r="L35" i="1"/>
  <c r="AY35" i="1" s="1"/>
  <c r="K35" i="1"/>
  <c r="J35" i="1"/>
  <c r="AC35" i="1" s="1"/>
  <c r="CY34" i="1"/>
  <c r="CX34" i="1"/>
  <c r="CV34" i="1"/>
  <c r="BK34" i="1"/>
  <c r="BJ34" i="1"/>
  <c r="BF34" i="1"/>
  <c r="BB34" i="1"/>
  <c r="AV34" i="1"/>
  <c r="AP34" i="1"/>
  <c r="BC34" i="1" s="1"/>
  <c r="AK34" i="1"/>
  <c r="AI34" i="1" s="1"/>
  <c r="AJ34" i="1" s="1"/>
  <c r="AA34" i="1"/>
  <c r="Z34" i="1"/>
  <c r="Y34" i="1" s="1"/>
  <c r="R34" i="1"/>
  <c r="CY33" i="1"/>
  <c r="CX33" i="1"/>
  <c r="CV33" i="1"/>
  <c r="CW33" i="1" s="1"/>
  <c r="AX33" i="1" s="1"/>
  <c r="BK33" i="1"/>
  <c r="BJ33" i="1"/>
  <c r="BF33" i="1"/>
  <c r="BI33" i="1" s="1"/>
  <c r="BB33" i="1"/>
  <c r="AZ33" i="1"/>
  <c r="AV33" i="1"/>
  <c r="AP33" i="1"/>
  <c r="BC33" i="1" s="1"/>
  <c r="AK33" i="1"/>
  <c r="AI33" i="1" s="1"/>
  <c r="AJ33" i="1"/>
  <c r="AA33" i="1"/>
  <c r="Z33" i="1"/>
  <c r="Y33" i="1" s="1"/>
  <c r="R33" i="1"/>
  <c r="CY32" i="1"/>
  <c r="CX32" i="1"/>
  <c r="CV32" i="1"/>
  <c r="BK32" i="1"/>
  <c r="BJ32" i="1"/>
  <c r="BB32" i="1"/>
  <c r="AV32" i="1"/>
  <c r="AP32" i="1"/>
  <c r="BC32" i="1" s="1"/>
  <c r="BF32" i="1" s="1"/>
  <c r="AK32" i="1"/>
  <c r="AJ32" i="1"/>
  <c r="AI32" i="1"/>
  <c r="M32" i="1" s="1"/>
  <c r="AA32" i="1"/>
  <c r="Z32" i="1"/>
  <c r="Y32" i="1" s="1"/>
  <c r="R32" i="1"/>
  <c r="P32" i="1"/>
  <c r="CY31" i="1"/>
  <c r="CX31" i="1"/>
  <c r="CV31" i="1"/>
  <c r="BK31" i="1"/>
  <c r="BJ31" i="1"/>
  <c r="BF31" i="1"/>
  <c r="BB31" i="1"/>
  <c r="AV31" i="1"/>
  <c r="AP31" i="1"/>
  <c r="BC31" i="1" s="1"/>
  <c r="AK31" i="1"/>
  <c r="AI31" i="1" s="1"/>
  <c r="P31" i="1" s="1"/>
  <c r="AA31" i="1"/>
  <c r="Z31" i="1"/>
  <c r="Y31" i="1" s="1"/>
  <c r="R31" i="1"/>
  <c r="CY30" i="1"/>
  <c r="CX30" i="1"/>
  <c r="CV30" i="1"/>
  <c r="BK30" i="1"/>
  <c r="BJ30" i="1"/>
  <c r="BF30" i="1"/>
  <c r="BB30" i="1"/>
  <c r="AV30" i="1"/>
  <c r="AP30" i="1"/>
  <c r="BC30" i="1" s="1"/>
  <c r="AK30" i="1"/>
  <c r="AI30" i="1" s="1"/>
  <c r="AJ30" i="1"/>
  <c r="AA30" i="1"/>
  <c r="Z30" i="1"/>
  <c r="Y30" i="1" s="1"/>
  <c r="R30" i="1"/>
  <c r="L30" i="1"/>
  <c r="AY30" i="1" s="1"/>
  <c r="CY29" i="1"/>
  <c r="CX29" i="1"/>
  <c r="CV29" i="1"/>
  <c r="BK29" i="1"/>
  <c r="BJ29" i="1"/>
  <c r="BB29" i="1"/>
  <c r="AV29" i="1"/>
  <c r="AP29" i="1"/>
  <c r="BC29" i="1" s="1"/>
  <c r="BF29" i="1" s="1"/>
  <c r="AK29" i="1"/>
  <c r="AI29" i="1" s="1"/>
  <c r="M29" i="1" s="1"/>
  <c r="AA29" i="1"/>
  <c r="Z29" i="1"/>
  <c r="Y29" i="1" s="1"/>
  <c r="R29" i="1"/>
  <c r="CY28" i="1"/>
  <c r="CX28" i="1"/>
  <c r="CV28" i="1"/>
  <c r="BK28" i="1"/>
  <c r="BJ28" i="1"/>
  <c r="BF28" i="1"/>
  <c r="BB28" i="1"/>
  <c r="AV28" i="1"/>
  <c r="AP28" i="1"/>
  <c r="BC28" i="1" s="1"/>
  <c r="AK28" i="1"/>
  <c r="AJ28" i="1"/>
  <c r="AI28" i="1"/>
  <c r="M28" i="1" s="1"/>
  <c r="AA28" i="1"/>
  <c r="Z28" i="1"/>
  <c r="Y28" i="1"/>
  <c r="R28" i="1"/>
  <c r="L28" i="1"/>
  <c r="AY28" i="1" s="1"/>
  <c r="K28" i="1"/>
  <c r="J28" i="1"/>
  <c r="AC28" i="1" s="1"/>
  <c r="CY27" i="1"/>
  <c r="U27" i="1" s="1"/>
  <c r="CX27" i="1"/>
  <c r="CV27" i="1"/>
  <c r="BK27" i="1"/>
  <c r="BJ27" i="1"/>
  <c r="BB27" i="1"/>
  <c r="AV27" i="1"/>
  <c r="AP27" i="1"/>
  <c r="BC27" i="1" s="1"/>
  <c r="BF27" i="1" s="1"/>
  <c r="AK27" i="1"/>
  <c r="AJ27" i="1"/>
  <c r="AI27" i="1"/>
  <c r="AA27" i="1"/>
  <c r="Z27" i="1"/>
  <c r="Y27" i="1" s="1"/>
  <c r="R27" i="1"/>
  <c r="P27" i="1"/>
  <c r="M27" i="1"/>
  <c r="L27" i="1"/>
  <c r="AY27" i="1" s="1"/>
  <c r="K27" i="1"/>
  <c r="J27" i="1"/>
  <c r="AC27" i="1" s="1"/>
  <c r="CY26" i="1"/>
  <c r="CX26" i="1"/>
  <c r="CV26" i="1"/>
  <c r="CW26" i="1" s="1"/>
  <c r="AX26" i="1" s="1"/>
  <c r="AZ26" i="1" s="1"/>
  <c r="BK26" i="1"/>
  <c r="BJ26" i="1"/>
  <c r="BF26" i="1"/>
  <c r="BI26" i="1" s="1"/>
  <c r="BB26" i="1"/>
  <c r="AV26" i="1"/>
  <c r="AP26" i="1"/>
  <c r="BC26" i="1" s="1"/>
  <c r="AK26" i="1"/>
  <c r="AJ26" i="1"/>
  <c r="AI26" i="1"/>
  <c r="M26" i="1" s="1"/>
  <c r="AA26" i="1"/>
  <c r="Z26" i="1"/>
  <c r="Y26" i="1" s="1"/>
  <c r="R26" i="1"/>
  <c r="P26" i="1"/>
  <c r="CY25" i="1"/>
  <c r="CX25" i="1"/>
  <c r="CV25" i="1"/>
  <c r="CW25" i="1" s="1"/>
  <c r="AX25" i="1" s="1"/>
  <c r="AZ25" i="1" s="1"/>
  <c r="BK25" i="1"/>
  <c r="BJ25" i="1"/>
  <c r="BI25" i="1"/>
  <c r="BH25" i="1"/>
  <c r="BL25" i="1" s="1"/>
  <c r="BM25" i="1" s="1"/>
  <c r="BF25" i="1"/>
  <c r="BG25" i="1" s="1"/>
  <c r="BB25" i="1"/>
  <c r="AV25" i="1"/>
  <c r="AP25" i="1"/>
  <c r="BC25" i="1" s="1"/>
  <c r="AK25" i="1"/>
  <c r="AI25" i="1"/>
  <c r="M25" i="1" s="1"/>
  <c r="AA25" i="1"/>
  <c r="Z25" i="1"/>
  <c r="Y25" i="1"/>
  <c r="R25" i="1"/>
  <c r="P25" i="1"/>
  <c r="CY24" i="1"/>
  <c r="CX24" i="1"/>
  <c r="CV24" i="1"/>
  <c r="CW24" i="1" s="1"/>
  <c r="AX24" i="1" s="1"/>
  <c r="BK24" i="1"/>
  <c r="BJ24" i="1"/>
  <c r="BF24" i="1"/>
  <c r="BI24" i="1" s="1"/>
  <c r="BB24" i="1"/>
  <c r="AV24" i="1"/>
  <c r="AP24" i="1"/>
  <c r="BC24" i="1" s="1"/>
  <c r="AK24" i="1"/>
  <c r="AI24" i="1"/>
  <c r="K24" i="1" s="1"/>
  <c r="J24" i="1" s="1"/>
  <c r="AA24" i="1"/>
  <c r="Z24" i="1"/>
  <c r="Y24" i="1" s="1"/>
  <c r="R24" i="1"/>
  <c r="P24" i="1"/>
  <c r="M24" i="1"/>
  <c r="L24" i="1"/>
  <c r="AY24" i="1" s="1"/>
  <c r="BA24" i="1" s="1"/>
  <c r="CY23" i="1"/>
  <c r="CX23" i="1"/>
  <c r="CV23" i="1"/>
  <c r="CW23" i="1" s="1"/>
  <c r="AX23" i="1" s="1"/>
  <c r="AZ23" i="1" s="1"/>
  <c r="BK23" i="1"/>
  <c r="BJ23" i="1"/>
  <c r="BB23" i="1"/>
  <c r="AV23" i="1"/>
  <c r="AP23" i="1"/>
  <c r="BC23" i="1" s="1"/>
  <c r="BF23" i="1" s="1"/>
  <c r="AK23" i="1"/>
  <c r="AI23" i="1" s="1"/>
  <c r="AA23" i="1"/>
  <c r="Z23" i="1"/>
  <c r="Y23" i="1" s="1"/>
  <c r="R23" i="1"/>
  <c r="CY22" i="1"/>
  <c r="CX22" i="1"/>
  <c r="CV22" i="1"/>
  <c r="CW22" i="1" s="1"/>
  <c r="AX22" i="1" s="1"/>
  <c r="AZ22" i="1" s="1"/>
  <c r="BK22" i="1"/>
  <c r="BJ22" i="1"/>
  <c r="BH22" i="1"/>
  <c r="BL22" i="1" s="1"/>
  <c r="BM22" i="1" s="1"/>
  <c r="BF22" i="1"/>
  <c r="BI22" i="1" s="1"/>
  <c r="BB22" i="1"/>
  <c r="AV22" i="1"/>
  <c r="AP22" i="1"/>
  <c r="BC22" i="1" s="1"/>
  <c r="AK22" i="1"/>
  <c r="AJ22" i="1"/>
  <c r="AI22" i="1"/>
  <c r="M22" i="1" s="1"/>
  <c r="AA22" i="1"/>
  <c r="Z22" i="1"/>
  <c r="Y22" i="1" s="1"/>
  <c r="R22" i="1"/>
  <c r="P22" i="1"/>
  <c r="CY21" i="1"/>
  <c r="CX21" i="1"/>
  <c r="CV21" i="1"/>
  <c r="CW21" i="1" s="1"/>
  <c r="AX21" i="1" s="1"/>
  <c r="AZ21" i="1" s="1"/>
  <c r="BK21" i="1"/>
  <c r="BJ21" i="1"/>
  <c r="BB21" i="1"/>
  <c r="AV21" i="1"/>
  <c r="AP21" i="1"/>
  <c r="BC21" i="1" s="1"/>
  <c r="BF21" i="1" s="1"/>
  <c r="AK21" i="1"/>
  <c r="AJ21" i="1"/>
  <c r="AI21" i="1"/>
  <c r="M21" i="1" s="1"/>
  <c r="AA21" i="1"/>
  <c r="Z21" i="1"/>
  <c r="Y21" i="1" s="1"/>
  <c r="R21" i="1"/>
  <c r="P21" i="1"/>
  <c r="L21" i="1"/>
  <c r="AY21" i="1" s="1"/>
  <c r="CY20" i="1"/>
  <c r="CX20" i="1"/>
  <c r="CV20" i="1"/>
  <c r="CW20" i="1" s="1"/>
  <c r="AX20" i="1" s="1"/>
  <c r="AZ20" i="1" s="1"/>
  <c r="BK20" i="1"/>
  <c r="BJ20" i="1"/>
  <c r="BF20" i="1"/>
  <c r="BI20" i="1" s="1"/>
  <c r="BB20" i="1"/>
  <c r="AV20" i="1"/>
  <c r="AP20" i="1"/>
  <c r="BC20" i="1" s="1"/>
  <c r="AK20" i="1"/>
  <c r="AJ20" i="1"/>
  <c r="AI20" i="1"/>
  <c r="K20" i="1" s="1"/>
  <c r="J20" i="1" s="1"/>
  <c r="AA20" i="1"/>
  <c r="Z20" i="1"/>
  <c r="Y20" i="1" s="1"/>
  <c r="R20" i="1"/>
  <c r="P20" i="1"/>
  <c r="M20" i="1"/>
  <c r="L20" i="1"/>
  <c r="AY20" i="1" s="1"/>
  <c r="CY19" i="1"/>
  <c r="CX19" i="1"/>
  <c r="CV19" i="1"/>
  <c r="CW19" i="1" s="1"/>
  <c r="AX19" i="1" s="1"/>
  <c r="AZ19" i="1" s="1"/>
  <c r="BK19" i="1"/>
  <c r="BJ19" i="1"/>
  <c r="BB19" i="1"/>
  <c r="AV19" i="1"/>
  <c r="AP19" i="1"/>
  <c r="BC19" i="1" s="1"/>
  <c r="BF19" i="1" s="1"/>
  <c r="AK19" i="1"/>
  <c r="AI19" i="1" s="1"/>
  <c r="AA19" i="1"/>
  <c r="Z19" i="1"/>
  <c r="Y19" i="1" s="1"/>
  <c r="R19" i="1"/>
  <c r="CY18" i="1"/>
  <c r="CX18" i="1"/>
  <c r="CV18" i="1"/>
  <c r="CW18" i="1" s="1"/>
  <c r="AX18" i="1" s="1"/>
  <c r="AZ18" i="1" s="1"/>
  <c r="BK18" i="1"/>
  <c r="BJ18" i="1"/>
  <c r="BF18" i="1"/>
  <c r="BI18" i="1" s="1"/>
  <c r="BB18" i="1"/>
  <c r="AV18" i="1"/>
  <c r="AP18" i="1"/>
  <c r="BC18" i="1" s="1"/>
  <c r="AK18" i="1"/>
  <c r="AJ18" i="1"/>
  <c r="AI18" i="1"/>
  <c r="M18" i="1" s="1"/>
  <c r="AA18" i="1"/>
  <c r="Z18" i="1"/>
  <c r="Y18" i="1" s="1"/>
  <c r="R18" i="1"/>
  <c r="P18" i="1"/>
  <c r="L18" i="1"/>
  <c r="AY18" i="1" s="1"/>
  <c r="BA18" i="1" s="1"/>
  <c r="CY17" i="1"/>
  <c r="CX17" i="1"/>
  <c r="CV17" i="1"/>
  <c r="CW17" i="1" s="1"/>
  <c r="AX17" i="1" s="1"/>
  <c r="AZ17" i="1" s="1"/>
  <c r="BK17" i="1"/>
  <c r="BJ17" i="1"/>
  <c r="BI17" i="1"/>
  <c r="BH17" i="1"/>
  <c r="BL17" i="1" s="1"/>
  <c r="BM17" i="1" s="1"/>
  <c r="BF17" i="1"/>
  <c r="BG17" i="1" s="1"/>
  <c r="BB17" i="1"/>
  <c r="AY17" i="1"/>
  <c r="AV17" i="1"/>
  <c r="AP17" i="1"/>
  <c r="BC17" i="1" s="1"/>
  <c r="AK17" i="1"/>
  <c r="AJ17" i="1"/>
  <c r="AI17" i="1"/>
  <c r="M17" i="1" s="1"/>
  <c r="AA17" i="1"/>
  <c r="Z17" i="1"/>
  <c r="Y17" i="1" s="1"/>
  <c r="R17" i="1"/>
  <c r="P17" i="1"/>
  <c r="L17" i="1"/>
  <c r="AC24" i="1" l="1"/>
  <c r="BG27" i="1"/>
  <c r="BI27" i="1"/>
  <c r="BH27" i="1"/>
  <c r="BL27" i="1" s="1"/>
  <c r="BM27" i="1" s="1"/>
  <c r="V27" i="1"/>
  <c r="W27" i="1" s="1"/>
  <c r="AC20" i="1"/>
  <c r="AJ23" i="1"/>
  <c r="P23" i="1"/>
  <c r="M23" i="1"/>
  <c r="L23" i="1"/>
  <c r="AY23" i="1" s="1"/>
  <c r="BA23" i="1" s="1"/>
  <c r="K23" i="1"/>
  <c r="J23" i="1" s="1"/>
  <c r="BI23" i="1"/>
  <c r="BH23" i="1"/>
  <c r="BL23" i="1" s="1"/>
  <c r="BM23" i="1" s="1"/>
  <c r="BG23" i="1"/>
  <c r="AD27" i="1"/>
  <c r="BI19" i="1"/>
  <c r="BH19" i="1"/>
  <c r="BL19" i="1" s="1"/>
  <c r="BM19" i="1" s="1"/>
  <c r="BG19" i="1"/>
  <c r="BA20" i="1"/>
  <c r="AZ24" i="1"/>
  <c r="BA17" i="1"/>
  <c r="BI29" i="1"/>
  <c r="BH29" i="1"/>
  <c r="BL29" i="1" s="1"/>
  <c r="BM29" i="1" s="1"/>
  <c r="BG29" i="1"/>
  <c r="AJ19" i="1"/>
  <c r="P19" i="1"/>
  <c r="M19" i="1"/>
  <c r="L19" i="1"/>
  <c r="AY19" i="1" s="1"/>
  <c r="BA19" i="1" s="1"/>
  <c r="K19" i="1"/>
  <c r="J19" i="1" s="1"/>
  <c r="BA21" i="1"/>
  <c r="BH21" i="1"/>
  <c r="BL21" i="1" s="1"/>
  <c r="BM21" i="1" s="1"/>
  <c r="BG21" i="1"/>
  <c r="BI21" i="1"/>
  <c r="U20" i="1"/>
  <c r="BG20" i="1"/>
  <c r="U24" i="1"/>
  <c r="BG24" i="1"/>
  <c r="S27" i="1"/>
  <c r="Q27" i="1" s="1"/>
  <c r="T27" i="1" s="1"/>
  <c r="N27" i="1" s="1"/>
  <c r="O27" i="1" s="1"/>
  <c r="CW28" i="1"/>
  <c r="AX28" i="1" s="1"/>
  <c r="CW29" i="1"/>
  <c r="AX29" i="1" s="1"/>
  <c r="AZ29" i="1" s="1"/>
  <c r="U29" i="1"/>
  <c r="AZ30" i="1"/>
  <c r="CW30" i="1"/>
  <c r="AX30" i="1" s="1"/>
  <c r="U30" i="1"/>
  <c r="BG35" i="1"/>
  <c r="BI35" i="1"/>
  <c r="M37" i="1"/>
  <c r="L37" i="1"/>
  <c r="AY37" i="1" s="1"/>
  <c r="BA37" i="1" s="1"/>
  <c r="K37" i="1"/>
  <c r="J37" i="1" s="1"/>
  <c r="CW42" i="1"/>
  <c r="AX42" i="1" s="1"/>
  <c r="AZ42" i="1" s="1"/>
  <c r="U42" i="1"/>
  <c r="P59" i="1"/>
  <c r="M59" i="1"/>
  <c r="L59" i="1"/>
  <c r="AY59" i="1" s="1"/>
  <c r="K59" i="1"/>
  <c r="J59" i="1" s="1"/>
  <c r="AJ59" i="1"/>
  <c r="BH20" i="1"/>
  <c r="BL20" i="1" s="1"/>
  <c r="BM20" i="1" s="1"/>
  <c r="BH24" i="1"/>
  <c r="BL24" i="1" s="1"/>
  <c r="BM24" i="1" s="1"/>
  <c r="CW31" i="1"/>
  <c r="AX31" i="1" s="1"/>
  <c r="AZ31" i="1" s="1"/>
  <c r="U31" i="1"/>
  <c r="BI32" i="1"/>
  <c r="BG32" i="1"/>
  <c r="K34" i="1"/>
  <c r="J34" i="1" s="1"/>
  <c r="P34" i="1"/>
  <c r="M34" i="1"/>
  <c r="CW34" i="1"/>
  <c r="AX34" i="1" s="1"/>
  <c r="U34" i="1"/>
  <c r="BI37" i="1"/>
  <c r="BH37" i="1"/>
  <c r="BL37" i="1" s="1"/>
  <c r="BM37" i="1" s="1"/>
  <c r="BG37" i="1"/>
  <c r="CW38" i="1"/>
  <c r="AX38" i="1" s="1"/>
  <c r="U38" i="1"/>
  <c r="P41" i="1"/>
  <c r="M41" i="1"/>
  <c r="L41" i="1"/>
  <c r="AY41" i="1" s="1"/>
  <c r="BA41" i="1" s="1"/>
  <c r="K41" i="1"/>
  <c r="J41" i="1" s="1"/>
  <c r="K42" i="1"/>
  <c r="J42" i="1" s="1"/>
  <c r="AJ42" i="1"/>
  <c r="P42" i="1"/>
  <c r="M42" i="1"/>
  <c r="AD44" i="1"/>
  <c r="K18" i="1"/>
  <c r="J18" i="1" s="1"/>
  <c r="U19" i="1"/>
  <c r="K22" i="1"/>
  <c r="J22" i="1" s="1"/>
  <c r="U23" i="1"/>
  <c r="K26" i="1"/>
  <c r="J26" i="1" s="1"/>
  <c r="CW32" i="1"/>
  <c r="AX32" i="1" s="1"/>
  <c r="AZ32" i="1" s="1"/>
  <c r="L34" i="1"/>
  <c r="AY34" i="1" s="1"/>
  <c r="BA34" i="1" s="1"/>
  <c r="K38" i="1"/>
  <c r="J38" i="1" s="1"/>
  <c r="AJ38" i="1"/>
  <c r="P38" i="1"/>
  <c r="M38" i="1"/>
  <c r="M39" i="1"/>
  <c r="L39" i="1"/>
  <c r="AY39" i="1" s="1"/>
  <c r="K39" i="1"/>
  <c r="J39" i="1" s="1"/>
  <c r="AJ39" i="1"/>
  <c r="P39" i="1"/>
  <c r="BI41" i="1"/>
  <c r="BH41" i="1"/>
  <c r="BL41" i="1" s="1"/>
  <c r="BM41" i="1" s="1"/>
  <c r="BG41" i="1"/>
  <c r="L22" i="1"/>
  <c r="AY22" i="1" s="1"/>
  <c r="BA22" i="1" s="1"/>
  <c r="AJ25" i="1"/>
  <c r="L26" i="1"/>
  <c r="AY26" i="1" s="1"/>
  <c r="BA26" i="1" s="1"/>
  <c r="BI28" i="1"/>
  <c r="BG28" i="1"/>
  <c r="BI30" i="1"/>
  <c r="BG30" i="1"/>
  <c r="L31" i="1"/>
  <c r="AY31" i="1" s="1"/>
  <c r="BA31" i="1" s="1"/>
  <c r="AZ34" i="1"/>
  <c r="CW39" i="1"/>
  <c r="AX39" i="1" s="1"/>
  <c r="AZ39" i="1" s="1"/>
  <c r="L42" i="1"/>
  <c r="AY42" i="1" s="1"/>
  <c r="BA44" i="1"/>
  <c r="AZ44" i="1"/>
  <c r="AC47" i="1"/>
  <c r="BI47" i="1"/>
  <c r="BG47" i="1"/>
  <c r="BH47" i="1"/>
  <c r="BL47" i="1" s="1"/>
  <c r="BM47" i="1" s="1"/>
  <c r="K17" i="1"/>
  <c r="J17" i="1" s="1"/>
  <c r="U18" i="1"/>
  <c r="BG18" i="1"/>
  <c r="K21" i="1"/>
  <c r="J21" i="1" s="1"/>
  <c r="U22" i="1"/>
  <c r="BG22" i="1"/>
  <c r="K25" i="1"/>
  <c r="J25" i="1" s="1"/>
  <c r="U26" i="1"/>
  <c r="BG26" i="1"/>
  <c r="BH28" i="1"/>
  <c r="BL28" i="1" s="1"/>
  <c r="BM28" i="1" s="1"/>
  <c r="K29" i="1"/>
  <c r="J29" i="1" s="1"/>
  <c r="BA30" i="1"/>
  <c r="BH30" i="1"/>
  <c r="BL30" i="1" s="1"/>
  <c r="BM30" i="1" s="1"/>
  <c r="CW35" i="1"/>
  <c r="AX35" i="1" s="1"/>
  <c r="AZ35" i="1" s="1"/>
  <c r="U35" i="1"/>
  <c r="BA38" i="1"/>
  <c r="AZ38" i="1"/>
  <c r="AC48" i="1"/>
  <c r="AJ24" i="1"/>
  <c r="L25" i="1"/>
  <c r="AY25" i="1" s="1"/>
  <c r="BA25" i="1" s="1"/>
  <c r="BH26" i="1"/>
  <c r="BL26" i="1" s="1"/>
  <c r="BM26" i="1" s="1"/>
  <c r="P28" i="1"/>
  <c r="L29" i="1"/>
  <c r="AY29" i="1" s="1"/>
  <c r="BA29" i="1" s="1"/>
  <c r="BG31" i="1"/>
  <c r="BI31" i="1"/>
  <c r="M33" i="1"/>
  <c r="L33" i="1"/>
  <c r="AY33" i="1" s="1"/>
  <c r="BA33" i="1" s="1"/>
  <c r="K33" i="1"/>
  <c r="J33" i="1" s="1"/>
  <c r="BI34" i="1"/>
  <c r="BH34" i="1"/>
  <c r="BL34" i="1" s="1"/>
  <c r="BM34" i="1" s="1"/>
  <c r="BG34" i="1"/>
  <c r="BI42" i="1"/>
  <c r="BH42" i="1"/>
  <c r="BL42" i="1" s="1"/>
  <c r="BM42" i="1" s="1"/>
  <c r="BG42" i="1"/>
  <c r="BG43" i="1"/>
  <c r="BI43" i="1"/>
  <c r="BH43" i="1"/>
  <c r="BL43" i="1" s="1"/>
  <c r="BM43" i="1" s="1"/>
  <c r="V48" i="1"/>
  <c r="W48" i="1" s="1"/>
  <c r="BH18" i="1"/>
  <c r="BL18" i="1" s="1"/>
  <c r="BM18" i="1" s="1"/>
  <c r="U17" i="1"/>
  <c r="U21" i="1"/>
  <c r="U25" i="1"/>
  <c r="CW27" i="1"/>
  <c r="AX27" i="1" s="1"/>
  <c r="AZ27" i="1" s="1"/>
  <c r="P29" i="1"/>
  <c r="AJ29" i="1"/>
  <c r="K30" i="1"/>
  <c r="J30" i="1" s="1"/>
  <c r="P30" i="1"/>
  <c r="M30" i="1"/>
  <c r="BH31" i="1"/>
  <c r="BL31" i="1" s="1"/>
  <c r="BM31" i="1" s="1"/>
  <c r="BH32" i="1"/>
  <c r="BL32" i="1" s="1"/>
  <c r="BM32" i="1" s="1"/>
  <c r="P33" i="1"/>
  <c r="BA35" i="1"/>
  <c r="BI38" i="1"/>
  <c r="BH38" i="1"/>
  <c r="BL38" i="1" s="1"/>
  <c r="BM38" i="1" s="1"/>
  <c r="BG38" i="1"/>
  <c r="V44" i="1"/>
  <c r="W44" i="1" s="1"/>
  <c r="AC44" i="1"/>
  <c r="M31" i="1"/>
  <c r="K31" i="1"/>
  <c r="J31" i="1" s="1"/>
  <c r="AJ31" i="1"/>
  <c r="AJ37" i="1"/>
  <c r="BI39" i="1"/>
  <c r="K45" i="1"/>
  <c r="J45" i="1" s="1"/>
  <c r="K49" i="1"/>
  <c r="J49" i="1" s="1"/>
  <c r="AJ49" i="1"/>
  <c r="P49" i="1"/>
  <c r="M49" i="1"/>
  <c r="M50" i="1"/>
  <c r="L50" i="1"/>
  <c r="AY50" i="1" s="1"/>
  <c r="BA50" i="1" s="1"/>
  <c r="K50" i="1"/>
  <c r="J50" i="1" s="1"/>
  <c r="AJ50" i="1"/>
  <c r="P50" i="1"/>
  <c r="M51" i="1"/>
  <c r="L51" i="1"/>
  <c r="AY51" i="1" s="1"/>
  <c r="BA51" i="1" s="1"/>
  <c r="K51" i="1"/>
  <c r="J51" i="1" s="1"/>
  <c r="AJ51" i="1"/>
  <c r="P51" i="1"/>
  <c r="P52" i="1"/>
  <c r="M52" i="1"/>
  <c r="L52" i="1"/>
  <c r="AY52" i="1" s="1"/>
  <c r="BA52" i="1" s="1"/>
  <c r="K52" i="1"/>
  <c r="J52" i="1" s="1"/>
  <c r="AJ52" i="1"/>
  <c r="BI56" i="1"/>
  <c r="BH56" i="1"/>
  <c r="BL56" i="1" s="1"/>
  <c r="BM56" i="1" s="1"/>
  <c r="BG56" i="1"/>
  <c r="BI62" i="1"/>
  <c r="BH62" i="1"/>
  <c r="BL62" i="1" s="1"/>
  <c r="BM62" i="1" s="1"/>
  <c r="BG62" i="1"/>
  <c r="M46" i="1"/>
  <c r="K46" i="1"/>
  <c r="J46" i="1" s="1"/>
  <c r="CW46" i="1"/>
  <c r="AX46" i="1" s="1"/>
  <c r="AZ46" i="1" s="1"/>
  <c r="U46" i="1"/>
  <c r="CW47" i="1"/>
  <c r="AX47" i="1" s="1"/>
  <c r="AZ47" i="1" s="1"/>
  <c r="U47" i="1"/>
  <c r="BH49" i="1"/>
  <c r="BL49" i="1" s="1"/>
  <c r="BM49" i="1" s="1"/>
  <c r="BG49" i="1"/>
  <c r="BI52" i="1"/>
  <c r="BH52" i="1"/>
  <c r="BL52" i="1" s="1"/>
  <c r="BM52" i="1" s="1"/>
  <c r="BG52" i="1"/>
  <c r="M55" i="1"/>
  <c r="L55" i="1"/>
  <c r="AY55" i="1" s="1"/>
  <c r="BA55" i="1" s="1"/>
  <c r="K55" i="1"/>
  <c r="J55" i="1" s="1"/>
  <c r="AJ55" i="1"/>
  <c r="P55" i="1"/>
  <c r="K32" i="1"/>
  <c r="J32" i="1" s="1"/>
  <c r="U33" i="1"/>
  <c r="BG33" i="1"/>
  <c r="K36" i="1"/>
  <c r="J36" i="1" s="1"/>
  <c r="U37" i="1"/>
  <c r="K40" i="1"/>
  <c r="J40" i="1" s="1"/>
  <c r="U41" i="1"/>
  <c r="AJ43" i="1"/>
  <c r="M45" i="1"/>
  <c r="V45" i="1"/>
  <c r="W45" i="1" s="1"/>
  <c r="AJ46" i="1"/>
  <c r="CW48" i="1"/>
  <c r="AX48" i="1" s="1"/>
  <c r="AZ48" i="1" s="1"/>
  <c r="AZ52" i="1"/>
  <c r="L32" i="1"/>
  <c r="AY32" i="1" s="1"/>
  <c r="BA32" i="1" s="1"/>
  <c r="BH33" i="1"/>
  <c r="BL33" i="1" s="1"/>
  <c r="BM33" i="1" s="1"/>
  <c r="L36" i="1"/>
  <c r="AY36" i="1" s="1"/>
  <c r="BA36" i="1" s="1"/>
  <c r="L40" i="1"/>
  <c r="AY40" i="1" s="1"/>
  <c r="BA40" i="1" s="1"/>
  <c r="CW43" i="1"/>
  <c r="AX43" i="1" s="1"/>
  <c r="AZ43" i="1" s="1"/>
  <c r="P44" i="1"/>
  <c r="P46" i="1"/>
  <c r="AJ47" i="1"/>
  <c r="AZ60" i="1"/>
  <c r="U28" i="1"/>
  <c r="U32" i="1"/>
  <c r="U36" i="1"/>
  <c r="K43" i="1"/>
  <c r="J43" i="1" s="1"/>
  <c r="AJ48" i="1"/>
  <c r="BG48" i="1"/>
  <c r="BA48" i="1"/>
  <c r="BI49" i="1"/>
  <c r="K53" i="1"/>
  <c r="J53" i="1" s="1"/>
  <c r="AJ53" i="1"/>
  <c r="P53" i="1"/>
  <c r="M53" i="1"/>
  <c r="L53" i="1"/>
  <c r="AY53" i="1" s="1"/>
  <c r="BA53" i="1" s="1"/>
  <c r="BI60" i="1"/>
  <c r="BH60" i="1"/>
  <c r="BL60" i="1" s="1"/>
  <c r="BM60" i="1" s="1"/>
  <c r="BG60" i="1"/>
  <c r="U39" i="1"/>
  <c r="BA47" i="1"/>
  <c r="Y47" i="1"/>
  <c r="L49" i="1"/>
  <c r="AY49" i="1" s="1"/>
  <c r="BA49" i="1" s="1"/>
  <c r="BG54" i="1"/>
  <c r="BI54" i="1"/>
  <c r="BH54" i="1"/>
  <c r="BL54" i="1" s="1"/>
  <c r="BM54" i="1" s="1"/>
  <c r="AE60" i="1"/>
  <c r="X60" i="1"/>
  <c r="AB60" i="1" s="1"/>
  <c r="AD60" i="1"/>
  <c r="K56" i="1"/>
  <c r="J56" i="1" s="1"/>
  <c r="M58" i="1"/>
  <c r="K58" i="1"/>
  <c r="J58" i="1" s="1"/>
  <c r="BI59" i="1"/>
  <c r="BG59" i="1"/>
  <c r="P62" i="1"/>
  <c r="M62" i="1"/>
  <c r="K62" i="1"/>
  <c r="J62" i="1" s="1"/>
  <c r="BG74" i="1"/>
  <c r="BI74" i="1"/>
  <c r="BH74" i="1"/>
  <c r="BL74" i="1" s="1"/>
  <c r="BM74" i="1" s="1"/>
  <c r="U49" i="1"/>
  <c r="BI50" i="1"/>
  <c r="U53" i="1"/>
  <c r="BG53" i="1"/>
  <c r="L56" i="1"/>
  <c r="AY56" i="1" s="1"/>
  <c r="BA56" i="1" s="1"/>
  <c r="AJ58" i="1"/>
  <c r="BH58" i="1"/>
  <c r="BL58" i="1" s="1"/>
  <c r="BM58" i="1" s="1"/>
  <c r="BG58" i="1"/>
  <c r="AF60" i="1"/>
  <c r="AJ63" i="1"/>
  <c r="P63" i="1"/>
  <c r="M63" i="1"/>
  <c r="BI66" i="1"/>
  <c r="BH66" i="1"/>
  <c r="BL66" i="1" s="1"/>
  <c r="BM66" i="1" s="1"/>
  <c r="BG66" i="1"/>
  <c r="BI67" i="1"/>
  <c r="BG67" i="1"/>
  <c r="M72" i="1"/>
  <c r="P72" i="1"/>
  <c r="AJ72" i="1"/>
  <c r="L72" i="1"/>
  <c r="AY72" i="1" s="1"/>
  <c r="AC97" i="1"/>
  <c r="P54" i="1"/>
  <c r="M56" i="1"/>
  <c r="V56" i="1"/>
  <c r="W56" i="1" s="1"/>
  <c r="L58" i="1"/>
  <c r="AY58" i="1" s="1"/>
  <c r="BI58" i="1"/>
  <c r="BA60" i="1"/>
  <c r="V61" i="1"/>
  <c r="W61" i="1" s="1"/>
  <c r="P66" i="1"/>
  <c r="M66" i="1"/>
  <c r="K66" i="1"/>
  <c r="J66" i="1" s="1"/>
  <c r="BH67" i="1"/>
  <c r="BL67" i="1" s="1"/>
  <c r="BM67" i="1" s="1"/>
  <c r="K72" i="1"/>
  <c r="J72" i="1" s="1"/>
  <c r="CW62" i="1"/>
  <c r="AX62" i="1" s="1"/>
  <c r="AZ62" i="1" s="1"/>
  <c r="U62" i="1"/>
  <c r="L64" i="1"/>
  <c r="AY64" i="1" s="1"/>
  <c r="BA64" i="1" s="1"/>
  <c r="K64" i="1"/>
  <c r="J64" i="1" s="1"/>
  <c r="AJ64" i="1"/>
  <c r="AJ67" i="1"/>
  <c r="P67" i="1"/>
  <c r="M67" i="1"/>
  <c r="BH69" i="1"/>
  <c r="BL69" i="1" s="1"/>
  <c r="BM69" i="1" s="1"/>
  <c r="BG69" i="1"/>
  <c r="V71" i="1"/>
  <c r="W71" i="1" s="1"/>
  <c r="V52" i="1"/>
  <c r="W52" i="1" s="1"/>
  <c r="AJ54" i="1"/>
  <c r="P56" i="1"/>
  <c r="P58" i="1"/>
  <c r="L61" i="1"/>
  <c r="AY61" i="1" s="1"/>
  <c r="BA61" i="1" s="1"/>
  <c r="K61" i="1"/>
  <c r="J61" i="1" s="1"/>
  <c r="CW63" i="1"/>
  <c r="AX63" i="1" s="1"/>
  <c r="AZ63" i="1" s="1"/>
  <c r="U63" i="1"/>
  <c r="U51" i="1"/>
  <c r="BG51" i="1"/>
  <c r="K54" i="1"/>
  <c r="J54" i="1" s="1"/>
  <c r="U55" i="1"/>
  <c r="BG55" i="1"/>
  <c r="P60" i="1"/>
  <c r="CW66" i="1"/>
  <c r="AX66" i="1" s="1"/>
  <c r="AZ66" i="1" s="1"/>
  <c r="U66" i="1"/>
  <c r="L68" i="1"/>
  <c r="AY68" i="1" s="1"/>
  <c r="BA68" i="1" s="1"/>
  <c r="K68" i="1"/>
  <c r="J68" i="1" s="1"/>
  <c r="AJ68" i="1"/>
  <c r="CW70" i="1"/>
  <c r="AX70" i="1" s="1"/>
  <c r="BA70" i="1" s="1"/>
  <c r="AC73" i="1"/>
  <c r="L54" i="1"/>
  <c r="AY54" i="1" s="1"/>
  <c r="BA54" i="1" s="1"/>
  <c r="CW58" i="1"/>
  <c r="AX58" i="1" s="1"/>
  <c r="AZ58" i="1" s="1"/>
  <c r="U58" i="1"/>
  <c r="CW59" i="1"/>
  <c r="AX59" i="1" s="1"/>
  <c r="AZ59" i="1" s="1"/>
  <c r="U59" i="1"/>
  <c r="K63" i="1"/>
  <c r="J63" i="1" s="1"/>
  <c r="CW67" i="1"/>
  <c r="AX67" i="1" s="1"/>
  <c r="AZ67" i="1" s="1"/>
  <c r="U67" i="1"/>
  <c r="U50" i="1"/>
  <c r="U54" i="1"/>
  <c r="L57" i="1"/>
  <c r="AY57" i="1" s="1"/>
  <c r="BA57" i="1" s="1"/>
  <c r="K57" i="1"/>
  <c r="J57" i="1" s="1"/>
  <c r="V57" i="1" s="1"/>
  <c r="W57" i="1" s="1"/>
  <c r="S60" i="1"/>
  <c r="Q60" i="1" s="1"/>
  <c r="T60" i="1" s="1"/>
  <c r="N60" i="1" s="1"/>
  <c r="O60" i="1" s="1"/>
  <c r="P61" i="1"/>
  <c r="L62" i="1"/>
  <c r="AY62" i="1" s="1"/>
  <c r="L63" i="1"/>
  <c r="AY63" i="1" s="1"/>
  <c r="BI63" i="1"/>
  <c r="BG63" i="1"/>
  <c r="M64" i="1"/>
  <c r="AZ77" i="1"/>
  <c r="K70" i="1"/>
  <c r="J70" i="1" s="1"/>
  <c r="V70" i="1" s="1"/>
  <c r="W70" i="1" s="1"/>
  <c r="BH72" i="1"/>
  <c r="BL72" i="1" s="1"/>
  <c r="BM72" i="1" s="1"/>
  <c r="BG72" i="1"/>
  <c r="CW74" i="1"/>
  <c r="AX74" i="1" s="1"/>
  <c r="AZ74" i="1" s="1"/>
  <c r="U74" i="1"/>
  <c r="BA75" i="1"/>
  <c r="CW78" i="1"/>
  <c r="AX78" i="1" s="1"/>
  <c r="AZ78" i="1" s="1"/>
  <c r="AC83" i="1"/>
  <c r="K65" i="1"/>
  <c r="J65" i="1" s="1"/>
  <c r="K69" i="1"/>
  <c r="J69" i="1" s="1"/>
  <c r="L71" i="1"/>
  <c r="AY71" i="1" s="1"/>
  <c r="BA71" i="1" s="1"/>
  <c r="K71" i="1"/>
  <c r="J71" i="1" s="1"/>
  <c r="AZ73" i="1"/>
  <c r="BA80" i="1"/>
  <c r="BI88" i="1"/>
  <c r="BG88" i="1"/>
  <c r="BH88" i="1"/>
  <c r="BL88" i="1" s="1"/>
  <c r="BM88" i="1" s="1"/>
  <c r="CW73" i="1"/>
  <c r="AX73" i="1" s="1"/>
  <c r="BA73" i="1" s="1"/>
  <c r="U73" i="1"/>
  <c r="BI77" i="1"/>
  <c r="BH77" i="1"/>
  <c r="BL77" i="1" s="1"/>
  <c r="BM77" i="1" s="1"/>
  <c r="BG77" i="1"/>
  <c r="M74" i="1"/>
  <c r="AJ74" i="1"/>
  <c r="Y70" i="1"/>
  <c r="CW72" i="1"/>
  <c r="AX72" i="1" s="1"/>
  <c r="AZ72" i="1" s="1"/>
  <c r="U72" i="1"/>
  <c r="V83" i="1"/>
  <c r="W83" i="1" s="1"/>
  <c r="P73" i="1"/>
  <c r="M73" i="1"/>
  <c r="BI73" i="1"/>
  <c r="BG73" i="1"/>
  <c r="AC77" i="1"/>
  <c r="CW77" i="1"/>
  <c r="AX77" i="1" s="1"/>
  <c r="U77" i="1"/>
  <c r="BI79" i="1"/>
  <c r="BH79" i="1"/>
  <c r="BL79" i="1" s="1"/>
  <c r="BM79" i="1" s="1"/>
  <c r="BG79" i="1"/>
  <c r="K81" i="1"/>
  <c r="J81" i="1" s="1"/>
  <c r="AJ81" i="1"/>
  <c r="P81" i="1"/>
  <c r="M81" i="1"/>
  <c r="L81" i="1"/>
  <c r="AY81" i="1" s="1"/>
  <c r="AC95" i="1"/>
  <c r="BA77" i="1"/>
  <c r="M78" i="1"/>
  <c r="L78" i="1"/>
  <c r="AY78" i="1" s="1"/>
  <c r="K78" i="1"/>
  <c r="J78" i="1" s="1"/>
  <c r="AJ78" i="1"/>
  <c r="P78" i="1"/>
  <c r="BG81" i="1"/>
  <c r="BH81" i="1"/>
  <c r="BL81" i="1" s="1"/>
  <c r="BM81" i="1" s="1"/>
  <c r="BI81" i="1"/>
  <c r="BI82" i="1"/>
  <c r="BG82" i="1"/>
  <c r="BG83" i="1"/>
  <c r="BI83" i="1"/>
  <c r="CW87" i="1"/>
  <c r="AX87" i="1" s="1"/>
  <c r="AZ87" i="1" s="1"/>
  <c r="U87" i="1"/>
  <c r="BI90" i="1"/>
  <c r="BG90" i="1"/>
  <c r="AC91" i="1"/>
  <c r="CW94" i="1"/>
  <c r="AX94" i="1" s="1"/>
  <c r="AZ94" i="1" s="1"/>
  <c r="U94" i="1"/>
  <c r="K76" i="1"/>
  <c r="J76" i="1" s="1"/>
  <c r="M77" i="1"/>
  <c r="BI78" i="1"/>
  <c r="K80" i="1"/>
  <c r="J80" i="1" s="1"/>
  <c r="BH82" i="1"/>
  <c r="BL82" i="1" s="1"/>
  <c r="BM82" i="1" s="1"/>
  <c r="AJ83" i="1"/>
  <c r="BH83" i="1"/>
  <c r="BL83" i="1" s="1"/>
  <c r="BM83" i="1" s="1"/>
  <c r="BA84" i="1"/>
  <c r="CW84" i="1"/>
  <c r="AX84" i="1" s="1"/>
  <c r="AZ84" i="1" s="1"/>
  <c r="U84" i="1"/>
  <c r="BI85" i="1"/>
  <c r="BG85" i="1"/>
  <c r="M88" i="1"/>
  <c r="K88" i="1"/>
  <c r="J88" i="1" s="1"/>
  <c r="CW89" i="1"/>
  <c r="AX89" i="1" s="1"/>
  <c r="AZ89" i="1" s="1"/>
  <c r="U89" i="1"/>
  <c r="BH90" i="1"/>
  <c r="BL90" i="1" s="1"/>
  <c r="BM90" i="1" s="1"/>
  <c r="BG95" i="1"/>
  <c r="BI95" i="1"/>
  <c r="X99" i="1"/>
  <c r="AB99" i="1" s="1"/>
  <c r="BA83" i="1"/>
  <c r="BH85" i="1"/>
  <c r="BL85" i="1" s="1"/>
  <c r="BM85" i="1" s="1"/>
  <c r="L86" i="1"/>
  <c r="AY86" i="1" s="1"/>
  <c r="CW86" i="1"/>
  <c r="AX86" i="1" s="1"/>
  <c r="AZ86" i="1" s="1"/>
  <c r="U86" i="1"/>
  <c r="K90" i="1"/>
  <c r="J90" i="1" s="1"/>
  <c r="M90" i="1"/>
  <c r="BI92" i="1"/>
  <c r="BG92" i="1"/>
  <c r="P94" i="1"/>
  <c r="BH95" i="1"/>
  <c r="BL95" i="1" s="1"/>
  <c r="BM95" i="1" s="1"/>
  <c r="CW96" i="1"/>
  <c r="AX96" i="1" s="1"/>
  <c r="AZ96" i="1" s="1"/>
  <c r="U96" i="1"/>
  <c r="AC99" i="1"/>
  <c r="AF99" i="1" s="1"/>
  <c r="S99" i="1"/>
  <c r="Q99" i="1" s="1"/>
  <c r="T99" i="1" s="1"/>
  <c r="N99" i="1" s="1"/>
  <c r="O99" i="1" s="1"/>
  <c r="K75" i="1"/>
  <c r="J75" i="1" s="1"/>
  <c r="U76" i="1"/>
  <c r="BG76" i="1"/>
  <c r="K79" i="1"/>
  <c r="J79" i="1" s="1"/>
  <c r="U80" i="1"/>
  <c r="BG80" i="1"/>
  <c r="Y82" i="1"/>
  <c r="M83" i="1"/>
  <c r="BG87" i="1"/>
  <c r="BI87" i="1"/>
  <c r="CW91" i="1"/>
  <c r="AX91" i="1" s="1"/>
  <c r="AZ91" i="1" s="1"/>
  <c r="U91" i="1"/>
  <c r="BI94" i="1"/>
  <c r="BG94" i="1"/>
  <c r="BI97" i="1"/>
  <c r="BG97" i="1"/>
  <c r="P77" i="1"/>
  <c r="BI84" i="1"/>
  <c r="BG84" i="1"/>
  <c r="P86" i="1"/>
  <c r="BH87" i="1"/>
  <c r="BL87" i="1" s="1"/>
  <c r="BM87" i="1" s="1"/>
  <c r="L88" i="1"/>
  <c r="AY88" i="1" s="1"/>
  <c r="CW88" i="1"/>
  <c r="AX88" i="1" s="1"/>
  <c r="AZ88" i="1" s="1"/>
  <c r="U88" i="1"/>
  <c r="BI89" i="1"/>
  <c r="BG89" i="1"/>
  <c r="M92" i="1"/>
  <c r="K92" i="1"/>
  <c r="J92" i="1" s="1"/>
  <c r="CW93" i="1"/>
  <c r="AX93" i="1" s="1"/>
  <c r="AZ93" i="1" s="1"/>
  <c r="U93" i="1"/>
  <c r="BA95" i="1"/>
  <c r="K98" i="1"/>
  <c r="J98" i="1" s="1"/>
  <c r="AJ98" i="1"/>
  <c r="M98" i="1"/>
  <c r="L98" i="1"/>
  <c r="AY98" i="1" s="1"/>
  <c r="M100" i="1"/>
  <c r="L100" i="1"/>
  <c r="AY100" i="1" s="1"/>
  <c r="BA100" i="1" s="1"/>
  <c r="K100" i="1"/>
  <c r="J100" i="1" s="1"/>
  <c r="AJ100" i="1"/>
  <c r="P100" i="1"/>
  <c r="CW81" i="1"/>
  <c r="AX81" i="1" s="1"/>
  <c r="AZ81" i="1" s="1"/>
  <c r="U81" i="1"/>
  <c r="BI86" i="1"/>
  <c r="BG86" i="1"/>
  <c r="AC87" i="1"/>
  <c r="BA90" i="1"/>
  <c r="CW90" i="1"/>
  <c r="AX90" i="1" s="1"/>
  <c r="AZ90" i="1" s="1"/>
  <c r="U90" i="1"/>
  <c r="K94" i="1"/>
  <c r="J94" i="1" s="1"/>
  <c r="M94" i="1"/>
  <c r="BI96" i="1"/>
  <c r="BG96" i="1"/>
  <c r="CW82" i="1"/>
  <c r="AX82" i="1" s="1"/>
  <c r="AZ82" i="1" s="1"/>
  <c r="U82" i="1"/>
  <c r="M84" i="1"/>
  <c r="K84" i="1"/>
  <c r="J84" i="1" s="1"/>
  <c r="CW85" i="1"/>
  <c r="AX85" i="1" s="1"/>
  <c r="AZ85" i="1" s="1"/>
  <c r="U85" i="1"/>
  <c r="BH86" i="1"/>
  <c r="BL86" i="1" s="1"/>
  <c r="BM86" i="1" s="1"/>
  <c r="P88" i="1"/>
  <c r="BG91" i="1"/>
  <c r="BI91" i="1"/>
  <c r="CW95" i="1"/>
  <c r="AX95" i="1" s="1"/>
  <c r="AZ95" i="1" s="1"/>
  <c r="U95" i="1"/>
  <c r="BH96" i="1"/>
  <c r="BL96" i="1" s="1"/>
  <c r="BM96" i="1" s="1"/>
  <c r="BA97" i="1"/>
  <c r="U78" i="1"/>
  <c r="K86" i="1"/>
  <c r="J86" i="1" s="1"/>
  <c r="M86" i="1"/>
  <c r="P90" i="1"/>
  <c r="BH91" i="1"/>
  <c r="BL91" i="1" s="1"/>
  <c r="BM91" i="1" s="1"/>
  <c r="L92" i="1"/>
  <c r="AY92" i="1" s="1"/>
  <c r="CW92" i="1"/>
  <c r="AX92" i="1" s="1"/>
  <c r="AZ92" i="1" s="1"/>
  <c r="U92" i="1"/>
  <c r="BI93" i="1"/>
  <c r="BG93" i="1"/>
  <c r="M96" i="1"/>
  <c r="K96" i="1"/>
  <c r="J96" i="1" s="1"/>
  <c r="CW97" i="1"/>
  <c r="AX97" i="1" s="1"/>
  <c r="AZ97" i="1" s="1"/>
  <c r="U97" i="1"/>
  <c r="CW98" i="1"/>
  <c r="AX98" i="1" s="1"/>
  <c r="AZ98" i="1" s="1"/>
  <c r="AD99" i="1"/>
  <c r="BG99" i="1"/>
  <c r="BI99" i="1"/>
  <c r="BH99" i="1"/>
  <c r="BL99" i="1" s="1"/>
  <c r="BM99" i="1" s="1"/>
  <c r="V100" i="1"/>
  <c r="W100" i="1" s="1"/>
  <c r="AJ97" i="1"/>
  <c r="K85" i="1"/>
  <c r="J85" i="1" s="1"/>
  <c r="K89" i="1"/>
  <c r="J89" i="1" s="1"/>
  <c r="K93" i="1"/>
  <c r="J93" i="1" s="1"/>
  <c r="U98" i="1"/>
  <c r="BG98" i="1"/>
  <c r="X70" i="1" l="1"/>
  <c r="AB70" i="1" s="1"/>
  <c r="AE70" i="1"/>
  <c r="AD70" i="1"/>
  <c r="X57" i="1"/>
  <c r="AB57" i="1" s="1"/>
  <c r="AE57" i="1"/>
  <c r="AD57" i="1"/>
  <c r="BA92" i="1"/>
  <c r="V85" i="1"/>
  <c r="W85" i="1" s="1"/>
  <c r="AC92" i="1"/>
  <c r="BA93" i="1"/>
  <c r="V80" i="1"/>
  <c r="W80" i="1" s="1"/>
  <c r="V86" i="1"/>
  <c r="W86" i="1" s="1"/>
  <c r="AC80" i="1"/>
  <c r="AC78" i="1"/>
  <c r="AC69" i="1"/>
  <c r="V74" i="1"/>
  <c r="W74" i="1" s="1"/>
  <c r="AZ70" i="1"/>
  <c r="AC72" i="1"/>
  <c r="BA74" i="1"/>
  <c r="BA67" i="1"/>
  <c r="V39" i="1"/>
  <c r="W39" i="1" s="1"/>
  <c r="AC32" i="1"/>
  <c r="AC45" i="1"/>
  <c r="S45" i="1"/>
  <c r="Q45" i="1" s="1"/>
  <c r="T45" i="1" s="1"/>
  <c r="N45" i="1" s="1"/>
  <c r="O45" i="1" s="1"/>
  <c r="AC30" i="1"/>
  <c r="AC21" i="1"/>
  <c r="BA39" i="1"/>
  <c r="V38" i="1"/>
  <c r="W38" i="1" s="1"/>
  <c r="AC37" i="1"/>
  <c r="V29" i="1"/>
  <c r="W29" i="1" s="1"/>
  <c r="V20" i="1"/>
  <c r="W20" i="1" s="1"/>
  <c r="AC85" i="1"/>
  <c r="X61" i="1"/>
  <c r="AB61" i="1" s="1"/>
  <c r="AE61" i="1"/>
  <c r="V49" i="1"/>
  <c r="W49" i="1" s="1"/>
  <c r="S49" i="1"/>
  <c r="Q49" i="1" s="1"/>
  <c r="T49" i="1" s="1"/>
  <c r="N49" i="1" s="1"/>
  <c r="O49" i="1" s="1"/>
  <c r="AC49" i="1"/>
  <c r="AC94" i="1"/>
  <c r="BA85" i="1"/>
  <c r="BA98" i="1"/>
  <c r="V91" i="1"/>
  <c r="W91" i="1" s="1"/>
  <c r="V79" i="1"/>
  <c r="W79" i="1" s="1"/>
  <c r="AC79" i="1"/>
  <c r="BA96" i="1"/>
  <c r="BA78" i="1"/>
  <c r="AC65" i="1"/>
  <c r="V54" i="1"/>
  <c r="W54" i="1" s="1"/>
  <c r="V58" i="1"/>
  <c r="W58" i="1" s="1"/>
  <c r="BA72" i="1"/>
  <c r="AC58" i="1"/>
  <c r="AD61" i="1"/>
  <c r="AC53" i="1"/>
  <c r="AC43" i="1"/>
  <c r="V43" i="1"/>
  <c r="W43" i="1" s="1"/>
  <c r="AC46" i="1"/>
  <c r="AC50" i="1"/>
  <c r="AE48" i="1"/>
  <c r="X48" i="1"/>
  <c r="AB48" i="1" s="1"/>
  <c r="S48" i="1"/>
  <c r="Q48" i="1" s="1"/>
  <c r="T48" i="1" s="1"/>
  <c r="N48" i="1" s="1"/>
  <c r="O48" i="1" s="1"/>
  <c r="AC29" i="1"/>
  <c r="S29" i="1"/>
  <c r="Q29" i="1" s="1"/>
  <c r="T29" i="1" s="1"/>
  <c r="N29" i="1" s="1"/>
  <c r="O29" i="1" s="1"/>
  <c r="AC26" i="1"/>
  <c r="AC34" i="1"/>
  <c r="AC59" i="1"/>
  <c r="V22" i="1"/>
  <c r="W22" i="1" s="1"/>
  <c r="S22" i="1" s="1"/>
  <c r="Q22" i="1" s="1"/>
  <c r="T22" i="1" s="1"/>
  <c r="N22" i="1" s="1"/>
  <c r="O22" i="1" s="1"/>
  <c r="AC23" i="1"/>
  <c r="AE100" i="1"/>
  <c r="X100" i="1"/>
  <c r="AB100" i="1" s="1"/>
  <c r="AC84" i="1"/>
  <c r="V90" i="1"/>
  <c r="W90" i="1" s="1"/>
  <c r="V81" i="1"/>
  <c r="W81" i="1" s="1"/>
  <c r="BA86" i="1"/>
  <c r="BA91" i="1"/>
  <c r="V84" i="1"/>
  <c r="W84" i="1" s="1"/>
  <c r="BA81" i="1"/>
  <c r="V77" i="1"/>
  <c r="W77" i="1" s="1"/>
  <c r="V50" i="1"/>
  <c r="W50" i="1" s="1"/>
  <c r="X52" i="1"/>
  <c r="AB52" i="1" s="1"/>
  <c r="AE52" i="1"/>
  <c r="AF52" i="1" s="1"/>
  <c r="AC66" i="1"/>
  <c r="BA58" i="1"/>
  <c r="V36" i="1"/>
  <c r="W36" i="1" s="1"/>
  <c r="V41" i="1"/>
  <c r="W41" i="1" s="1"/>
  <c r="V18" i="1"/>
  <c r="W18" i="1" s="1"/>
  <c r="V23" i="1"/>
  <c r="W23" i="1" s="1"/>
  <c r="S23" i="1" s="1"/>
  <c r="Q23" i="1" s="1"/>
  <c r="T23" i="1" s="1"/>
  <c r="N23" i="1" s="1"/>
  <c r="O23" i="1" s="1"/>
  <c r="BA59" i="1"/>
  <c r="BA28" i="1"/>
  <c r="AZ28" i="1"/>
  <c r="S90" i="1"/>
  <c r="Q90" i="1" s="1"/>
  <c r="T90" i="1" s="1"/>
  <c r="N90" i="1" s="1"/>
  <c r="O90" i="1" s="1"/>
  <c r="AC90" i="1"/>
  <c r="V66" i="1"/>
  <c r="W66" i="1" s="1"/>
  <c r="V33" i="1"/>
  <c r="W33" i="1" s="1"/>
  <c r="AC31" i="1"/>
  <c r="AC39" i="1"/>
  <c r="S39" i="1"/>
  <c r="Q39" i="1" s="1"/>
  <c r="T39" i="1" s="1"/>
  <c r="N39" i="1" s="1"/>
  <c r="O39" i="1" s="1"/>
  <c r="V97" i="1"/>
  <c r="W97" i="1" s="1"/>
  <c r="V95" i="1"/>
  <c r="W95" i="1" s="1"/>
  <c r="AC96" i="1"/>
  <c r="V76" i="1"/>
  <c r="W76" i="1" s="1"/>
  <c r="AC76" i="1"/>
  <c r="BA89" i="1"/>
  <c r="BA63" i="1"/>
  <c r="V63" i="1"/>
  <c r="W63" i="1" s="1"/>
  <c r="AC64" i="1"/>
  <c r="AE56" i="1"/>
  <c r="X56" i="1"/>
  <c r="AB56" i="1" s="1"/>
  <c r="AD56" i="1"/>
  <c r="V65" i="1"/>
  <c r="W65" i="1" s="1"/>
  <c r="S65" i="1" s="1"/>
  <c r="Q65" i="1" s="1"/>
  <c r="T65" i="1" s="1"/>
  <c r="N65" i="1" s="1"/>
  <c r="O65" i="1" s="1"/>
  <c r="S56" i="1"/>
  <c r="Q56" i="1" s="1"/>
  <c r="T56" i="1" s="1"/>
  <c r="N56" i="1" s="1"/>
  <c r="O56" i="1" s="1"/>
  <c r="AC56" i="1"/>
  <c r="AC40" i="1"/>
  <c r="S40" i="1"/>
  <c r="Q40" i="1" s="1"/>
  <c r="T40" i="1" s="1"/>
  <c r="N40" i="1" s="1"/>
  <c r="O40" i="1" s="1"/>
  <c r="BA43" i="1"/>
  <c r="AC17" i="1"/>
  <c r="AC22" i="1"/>
  <c r="AC42" i="1"/>
  <c r="V59" i="1"/>
  <c r="W59" i="1" s="1"/>
  <c r="X45" i="1"/>
  <c r="AB45" i="1" s="1"/>
  <c r="AE45" i="1"/>
  <c r="AF45" i="1" s="1"/>
  <c r="AD45" i="1"/>
  <c r="S86" i="1"/>
  <c r="Q86" i="1" s="1"/>
  <c r="T86" i="1" s="1"/>
  <c r="N86" i="1" s="1"/>
  <c r="O86" i="1" s="1"/>
  <c r="AC86" i="1"/>
  <c r="V82" i="1"/>
  <c r="W82" i="1" s="1"/>
  <c r="AC98" i="1"/>
  <c r="V88" i="1"/>
  <c r="W88" i="1" s="1"/>
  <c r="AC75" i="1"/>
  <c r="V75" i="1"/>
  <c r="W75" i="1" s="1"/>
  <c r="V89" i="1"/>
  <c r="W89" i="1" s="1"/>
  <c r="V94" i="1"/>
  <c r="W94" i="1" s="1"/>
  <c r="V87" i="1"/>
  <c r="W87" i="1" s="1"/>
  <c r="AE83" i="1"/>
  <c r="AD83" i="1"/>
  <c r="X83" i="1"/>
  <c r="AB83" i="1" s="1"/>
  <c r="S83" i="1"/>
  <c r="Q83" i="1" s="1"/>
  <c r="T83" i="1" s="1"/>
  <c r="N83" i="1" s="1"/>
  <c r="O83" i="1" s="1"/>
  <c r="AC70" i="1"/>
  <c r="S70" i="1"/>
  <c r="Q70" i="1" s="1"/>
  <c r="T70" i="1" s="1"/>
  <c r="N70" i="1" s="1"/>
  <c r="O70" i="1" s="1"/>
  <c r="BA62" i="1"/>
  <c r="V67" i="1"/>
  <c r="W67" i="1" s="1"/>
  <c r="V68" i="1"/>
  <c r="W68" i="1" s="1"/>
  <c r="S68" i="1" s="1"/>
  <c r="Q68" i="1" s="1"/>
  <c r="T68" i="1" s="1"/>
  <c r="N68" i="1" s="1"/>
  <c r="O68" i="1" s="1"/>
  <c r="AC68" i="1"/>
  <c r="V55" i="1"/>
  <c r="W55" i="1" s="1"/>
  <c r="X71" i="1"/>
  <c r="AB71" i="1" s="1"/>
  <c r="AE71" i="1"/>
  <c r="AC62" i="1"/>
  <c r="S62" i="1"/>
  <c r="Q62" i="1" s="1"/>
  <c r="T62" i="1" s="1"/>
  <c r="N62" i="1" s="1"/>
  <c r="O62" i="1" s="1"/>
  <c r="V32" i="1"/>
  <c r="W32" i="1" s="1"/>
  <c r="V37" i="1"/>
  <c r="W37" i="1" s="1"/>
  <c r="S37" i="1" s="1"/>
  <c r="Q37" i="1" s="1"/>
  <c r="T37" i="1" s="1"/>
  <c r="N37" i="1" s="1"/>
  <c r="O37" i="1" s="1"/>
  <c r="AC55" i="1"/>
  <c r="S55" i="1"/>
  <c r="Q55" i="1" s="1"/>
  <c r="T55" i="1" s="1"/>
  <c r="N55" i="1" s="1"/>
  <c r="O55" i="1" s="1"/>
  <c r="BA66" i="1"/>
  <c r="AC51" i="1"/>
  <c r="S51" i="1"/>
  <c r="Q51" i="1" s="1"/>
  <c r="T51" i="1" s="1"/>
  <c r="N51" i="1" s="1"/>
  <c r="O51" i="1" s="1"/>
  <c r="V25" i="1"/>
  <c r="W25" i="1" s="1"/>
  <c r="V26" i="1"/>
  <c r="W26" i="1" s="1"/>
  <c r="S26" i="1" s="1"/>
  <c r="Q26" i="1" s="1"/>
  <c r="T26" i="1" s="1"/>
  <c r="N26" i="1" s="1"/>
  <c r="O26" i="1" s="1"/>
  <c r="V19" i="1"/>
  <c r="W19" i="1" s="1"/>
  <c r="AC41" i="1"/>
  <c r="S41" i="1"/>
  <c r="Q41" i="1" s="1"/>
  <c r="T41" i="1" s="1"/>
  <c r="N41" i="1" s="1"/>
  <c r="O41" i="1" s="1"/>
  <c r="V31" i="1"/>
  <c r="W31" i="1" s="1"/>
  <c r="S31" i="1" s="1"/>
  <c r="Q31" i="1" s="1"/>
  <c r="T31" i="1" s="1"/>
  <c r="N31" i="1" s="1"/>
  <c r="O31" i="1" s="1"/>
  <c r="V51" i="1"/>
  <c r="W51" i="1" s="1"/>
  <c r="V46" i="1"/>
  <c r="W46" i="1" s="1"/>
  <c r="V72" i="1"/>
  <c r="W72" i="1" s="1"/>
  <c r="V73" i="1"/>
  <c r="W73" i="1" s="1"/>
  <c r="AC54" i="1"/>
  <c r="S61" i="1"/>
  <c r="Q61" i="1" s="1"/>
  <c r="T61" i="1" s="1"/>
  <c r="N61" i="1" s="1"/>
  <c r="O61" i="1" s="1"/>
  <c r="AC61" i="1"/>
  <c r="V53" i="1"/>
  <c r="W53" i="1" s="1"/>
  <c r="V28" i="1"/>
  <c r="W28" i="1" s="1"/>
  <c r="AC36" i="1"/>
  <c r="S36" i="1"/>
  <c r="Q36" i="1" s="1"/>
  <c r="T36" i="1" s="1"/>
  <c r="N36" i="1" s="1"/>
  <c r="O36" i="1" s="1"/>
  <c r="V47" i="1"/>
  <c r="W47" i="1" s="1"/>
  <c r="V64" i="1"/>
  <c r="W64" i="1" s="1"/>
  <c r="S64" i="1" s="1"/>
  <c r="Q64" i="1" s="1"/>
  <c r="T64" i="1" s="1"/>
  <c r="N64" i="1" s="1"/>
  <c r="O64" i="1" s="1"/>
  <c r="AE44" i="1"/>
  <c r="AF44" i="1" s="1"/>
  <c r="X44" i="1"/>
  <c r="AB44" i="1" s="1"/>
  <c r="V21" i="1"/>
  <c r="W21" i="1" s="1"/>
  <c r="S21" i="1" s="1"/>
  <c r="Q21" i="1" s="1"/>
  <c r="T21" i="1" s="1"/>
  <c r="N21" i="1" s="1"/>
  <c r="O21" i="1" s="1"/>
  <c r="V35" i="1"/>
  <c r="W35" i="1" s="1"/>
  <c r="AC25" i="1"/>
  <c r="S25" i="1"/>
  <c r="Q25" i="1" s="1"/>
  <c r="T25" i="1" s="1"/>
  <c r="N25" i="1" s="1"/>
  <c r="O25" i="1" s="1"/>
  <c r="BA42" i="1"/>
  <c r="S38" i="1"/>
  <c r="Q38" i="1" s="1"/>
  <c r="T38" i="1" s="1"/>
  <c r="N38" i="1" s="1"/>
  <c r="O38" i="1" s="1"/>
  <c r="AC38" i="1"/>
  <c r="AC18" i="1"/>
  <c r="V34" i="1"/>
  <c r="W34" i="1" s="1"/>
  <c r="BA46" i="1"/>
  <c r="V30" i="1"/>
  <c r="W30" i="1" s="1"/>
  <c r="S30" i="1" s="1"/>
  <c r="Q30" i="1" s="1"/>
  <c r="T30" i="1" s="1"/>
  <c r="N30" i="1" s="1"/>
  <c r="O30" i="1" s="1"/>
  <c r="BA27" i="1"/>
  <c r="V96" i="1"/>
  <c r="W96" i="1" s="1"/>
  <c r="S96" i="1" s="1"/>
  <c r="Q96" i="1" s="1"/>
  <c r="T96" i="1" s="1"/>
  <c r="N96" i="1" s="1"/>
  <c r="O96" i="1" s="1"/>
  <c r="S57" i="1"/>
  <c r="Q57" i="1" s="1"/>
  <c r="T57" i="1" s="1"/>
  <c r="N57" i="1" s="1"/>
  <c r="O57" i="1" s="1"/>
  <c r="AC57" i="1"/>
  <c r="V98" i="1"/>
  <c r="W98" i="1" s="1"/>
  <c r="AC93" i="1"/>
  <c r="BA82" i="1"/>
  <c r="AC89" i="1"/>
  <c r="V92" i="1"/>
  <c r="W92" i="1" s="1"/>
  <c r="V78" i="1"/>
  <c r="W78" i="1" s="1"/>
  <c r="S78" i="1" s="1"/>
  <c r="Q78" i="1" s="1"/>
  <c r="T78" i="1" s="1"/>
  <c r="N78" i="1" s="1"/>
  <c r="O78" i="1" s="1"/>
  <c r="BA87" i="1"/>
  <c r="AC100" i="1"/>
  <c r="S100" i="1"/>
  <c r="Q100" i="1" s="1"/>
  <c r="T100" i="1" s="1"/>
  <c r="N100" i="1" s="1"/>
  <c r="O100" i="1" s="1"/>
  <c r="V93" i="1"/>
  <c r="W93" i="1" s="1"/>
  <c r="BA88" i="1"/>
  <c r="AD100" i="1"/>
  <c r="AC88" i="1"/>
  <c r="S88" i="1"/>
  <c r="Q88" i="1" s="1"/>
  <c r="T88" i="1" s="1"/>
  <c r="N88" i="1" s="1"/>
  <c r="O88" i="1" s="1"/>
  <c r="BA94" i="1"/>
  <c r="AC81" i="1"/>
  <c r="S81" i="1"/>
  <c r="Q81" i="1" s="1"/>
  <c r="T81" i="1" s="1"/>
  <c r="N81" i="1" s="1"/>
  <c r="O81" i="1" s="1"/>
  <c r="S71" i="1"/>
  <c r="Q71" i="1" s="1"/>
  <c r="T71" i="1" s="1"/>
  <c r="N71" i="1" s="1"/>
  <c r="O71" i="1" s="1"/>
  <c r="AC71" i="1"/>
  <c r="V69" i="1"/>
  <c r="W69" i="1" s="1"/>
  <c r="S69" i="1" s="1"/>
  <c r="Q69" i="1" s="1"/>
  <c r="T69" i="1" s="1"/>
  <c r="N69" i="1" s="1"/>
  <c r="O69" i="1" s="1"/>
  <c r="AC63" i="1"/>
  <c r="S63" i="1"/>
  <c r="Q63" i="1" s="1"/>
  <c r="T63" i="1" s="1"/>
  <c r="N63" i="1" s="1"/>
  <c r="O63" i="1" s="1"/>
  <c r="V62" i="1"/>
  <c r="W62" i="1" s="1"/>
  <c r="AD52" i="1"/>
  <c r="AD71" i="1"/>
  <c r="AC52" i="1"/>
  <c r="S52" i="1"/>
  <c r="Q52" i="1" s="1"/>
  <c r="T52" i="1" s="1"/>
  <c r="N52" i="1" s="1"/>
  <c r="O52" i="1" s="1"/>
  <c r="S44" i="1"/>
  <c r="Q44" i="1" s="1"/>
  <c r="T44" i="1" s="1"/>
  <c r="N44" i="1" s="1"/>
  <c r="O44" i="1" s="1"/>
  <c r="V17" i="1"/>
  <c r="W17" i="1" s="1"/>
  <c r="S17" i="1" s="1"/>
  <c r="Q17" i="1" s="1"/>
  <c r="T17" i="1" s="1"/>
  <c r="N17" i="1" s="1"/>
  <c r="O17" i="1" s="1"/>
  <c r="AC33" i="1"/>
  <c r="S33" i="1"/>
  <c r="Q33" i="1" s="1"/>
  <c r="T33" i="1" s="1"/>
  <c r="N33" i="1" s="1"/>
  <c r="O33" i="1" s="1"/>
  <c r="V40" i="1"/>
  <c r="W40" i="1" s="1"/>
  <c r="AD48" i="1"/>
  <c r="V42" i="1"/>
  <c r="W42" i="1" s="1"/>
  <c r="S42" i="1" s="1"/>
  <c r="Q42" i="1" s="1"/>
  <c r="T42" i="1" s="1"/>
  <c r="N42" i="1" s="1"/>
  <c r="O42" i="1" s="1"/>
  <c r="V24" i="1"/>
  <c r="W24" i="1" s="1"/>
  <c r="AC19" i="1"/>
  <c r="S19" i="1"/>
  <c r="Q19" i="1" s="1"/>
  <c r="T19" i="1" s="1"/>
  <c r="N19" i="1" s="1"/>
  <c r="O19" i="1" s="1"/>
  <c r="X27" i="1"/>
  <c r="AB27" i="1" s="1"/>
  <c r="AE27" i="1"/>
  <c r="AF27" i="1" s="1"/>
  <c r="X53" i="1" l="1"/>
  <c r="AB53" i="1" s="1"/>
  <c r="AE53" i="1"/>
  <c r="AD53" i="1"/>
  <c r="AE58" i="1"/>
  <c r="AF58" i="1" s="1"/>
  <c r="X58" i="1"/>
  <c r="AB58" i="1" s="1"/>
  <c r="AD58" i="1"/>
  <c r="AE75" i="1"/>
  <c r="AF75" i="1" s="1"/>
  <c r="X75" i="1"/>
  <c r="AB75" i="1" s="1"/>
  <c r="AD75" i="1"/>
  <c r="AE76" i="1"/>
  <c r="X76" i="1"/>
  <c r="AB76" i="1" s="1"/>
  <c r="AD76" i="1"/>
  <c r="X41" i="1"/>
  <c r="AB41" i="1" s="1"/>
  <c r="AE41" i="1"/>
  <c r="AD41" i="1"/>
  <c r="AF48" i="1"/>
  <c r="X54" i="1"/>
  <c r="AB54" i="1" s="1"/>
  <c r="AE54" i="1"/>
  <c r="AF54" i="1" s="1"/>
  <c r="AD54" i="1"/>
  <c r="AE79" i="1"/>
  <c r="AF79" i="1" s="1"/>
  <c r="AD79" i="1"/>
  <c r="X79" i="1"/>
  <c r="AB79" i="1" s="1"/>
  <c r="X39" i="1"/>
  <c r="AB39" i="1" s="1"/>
  <c r="AE39" i="1"/>
  <c r="AF39" i="1" s="1"/>
  <c r="AD39" i="1"/>
  <c r="AE74" i="1"/>
  <c r="X74" i="1"/>
  <c r="AB74" i="1" s="1"/>
  <c r="AD74" i="1"/>
  <c r="S74" i="1"/>
  <c r="Q74" i="1" s="1"/>
  <c r="T74" i="1" s="1"/>
  <c r="N74" i="1" s="1"/>
  <c r="O74" i="1" s="1"/>
  <c r="AE86" i="1"/>
  <c r="X86" i="1"/>
  <c r="AB86" i="1" s="1"/>
  <c r="AD86" i="1"/>
  <c r="X20" i="1"/>
  <c r="AB20" i="1" s="1"/>
  <c r="AE20" i="1"/>
  <c r="AF20" i="1" s="1"/>
  <c r="AD20" i="1"/>
  <c r="S20" i="1"/>
  <c r="Q20" i="1" s="1"/>
  <c r="T20" i="1" s="1"/>
  <c r="N20" i="1" s="1"/>
  <c r="O20" i="1" s="1"/>
  <c r="AE72" i="1"/>
  <c r="AF72" i="1" s="1"/>
  <c r="X72" i="1"/>
  <c r="AB72" i="1" s="1"/>
  <c r="AD72" i="1"/>
  <c r="AE93" i="1"/>
  <c r="AF93" i="1" s="1"/>
  <c r="AD93" i="1"/>
  <c r="X93" i="1"/>
  <c r="AB93" i="1" s="1"/>
  <c r="AE92" i="1"/>
  <c r="X92" i="1"/>
  <c r="AB92" i="1" s="1"/>
  <c r="AD92" i="1"/>
  <c r="X34" i="1"/>
  <c r="AB34" i="1" s="1"/>
  <c r="AE34" i="1"/>
  <c r="AD34" i="1"/>
  <c r="X46" i="1"/>
  <c r="AB46" i="1" s="1"/>
  <c r="AE46" i="1"/>
  <c r="AF46" i="1" s="1"/>
  <c r="AD46" i="1"/>
  <c r="X19" i="1"/>
  <c r="AB19" i="1" s="1"/>
  <c r="AE19" i="1"/>
  <c r="AF19" i="1" s="1"/>
  <c r="AD19" i="1"/>
  <c r="X67" i="1"/>
  <c r="AB67" i="1" s="1"/>
  <c r="AE67" i="1"/>
  <c r="AF67" i="1" s="1"/>
  <c r="AD67" i="1"/>
  <c r="S67" i="1"/>
  <c r="Q67" i="1" s="1"/>
  <c r="T67" i="1" s="1"/>
  <c r="N67" i="1" s="1"/>
  <c r="O67" i="1" s="1"/>
  <c r="AF83" i="1"/>
  <c r="X63" i="1"/>
  <c r="AB63" i="1" s="1"/>
  <c r="AE63" i="1"/>
  <c r="AF63" i="1" s="1"/>
  <c r="AD63" i="1"/>
  <c r="X50" i="1"/>
  <c r="AB50" i="1" s="1"/>
  <c r="AE50" i="1"/>
  <c r="AF50" i="1" s="1"/>
  <c r="AD50" i="1"/>
  <c r="AF100" i="1"/>
  <c r="S34" i="1"/>
  <c r="Q34" i="1" s="1"/>
  <c r="T34" i="1" s="1"/>
  <c r="N34" i="1" s="1"/>
  <c r="O34" i="1" s="1"/>
  <c r="S50" i="1"/>
  <c r="Q50" i="1" s="1"/>
  <c r="T50" i="1" s="1"/>
  <c r="N50" i="1" s="1"/>
  <c r="O50" i="1" s="1"/>
  <c r="S53" i="1"/>
  <c r="Q53" i="1" s="1"/>
  <c r="T53" i="1" s="1"/>
  <c r="N53" i="1" s="1"/>
  <c r="O53" i="1" s="1"/>
  <c r="X49" i="1"/>
  <c r="AB49" i="1" s="1"/>
  <c r="AE49" i="1"/>
  <c r="AD49" i="1"/>
  <c r="X80" i="1"/>
  <c r="AB80" i="1" s="1"/>
  <c r="AE80" i="1"/>
  <c r="AF80" i="1" s="1"/>
  <c r="AD80" i="1"/>
  <c r="AE68" i="1"/>
  <c r="AF68" i="1" s="1"/>
  <c r="X68" i="1"/>
  <c r="AB68" i="1" s="1"/>
  <c r="AD68" i="1"/>
  <c r="AE18" i="1"/>
  <c r="AF18" i="1" s="1"/>
  <c r="X18" i="1"/>
  <c r="AB18" i="1" s="1"/>
  <c r="AD18" i="1"/>
  <c r="X35" i="1"/>
  <c r="AB35" i="1" s="1"/>
  <c r="AE35" i="1"/>
  <c r="AD35" i="1"/>
  <c r="S35" i="1"/>
  <c r="Q35" i="1" s="1"/>
  <c r="T35" i="1" s="1"/>
  <c r="N35" i="1" s="1"/>
  <c r="O35" i="1" s="1"/>
  <c r="AE47" i="1"/>
  <c r="X47" i="1"/>
  <c r="AB47" i="1" s="1"/>
  <c r="AD47" i="1"/>
  <c r="S47" i="1"/>
  <c r="Q47" i="1" s="1"/>
  <c r="T47" i="1" s="1"/>
  <c r="N47" i="1" s="1"/>
  <c r="O47" i="1" s="1"/>
  <c r="AF71" i="1"/>
  <c r="S75" i="1"/>
  <c r="Q75" i="1" s="1"/>
  <c r="T75" i="1" s="1"/>
  <c r="N75" i="1" s="1"/>
  <c r="O75" i="1" s="1"/>
  <c r="AE36" i="1"/>
  <c r="AF36" i="1" s="1"/>
  <c r="AD36" i="1"/>
  <c r="X36" i="1"/>
  <c r="AB36" i="1" s="1"/>
  <c r="X81" i="1"/>
  <c r="AB81" i="1" s="1"/>
  <c r="AE81" i="1"/>
  <c r="AF81" i="1" s="1"/>
  <c r="AD81" i="1"/>
  <c r="AE91" i="1"/>
  <c r="X91" i="1"/>
  <c r="AB91" i="1" s="1"/>
  <c r="AD91" i="1"/>
  <c r="S91" i="1"/>
  <c r="Q91" i="1" s="1"/>
  <c r="T91" i="1" s="1"/>
  <c r="N91" i="1" s="1"/>
  <c r="O91" i="1" s="1"/>
  <c r="AE29" i="1"/>
  <c r="X29" i="1"/>
  <c r="AB29" i="1" s="1"/>
  <c r="AD29" i="1"/>
  <c r="AF57" i="1"/>
  <c r="AE89" i="1"/>
  <c r="X89" i="1"/>
  <c r="AB89" i="1" s="1"/>
  <c r="AD89" i="1"/>
  <c r="AE84" i="1"/>
  <c r="AF84" i="1" s="1"/>
  <c r="X84" i="1"/>
  <c r="AB84" i="1" s="1"/>
  <c r="AD84" i="1"/>
  <c r="AE64" i="1"/>
  <c r="AF64" i="1" s="1"/>
  <c r="X64" i="1"/>
  <c r="AB64" i="1" s="1"/>
  <c r="AD64" i="1"/>
  <c r="AE40" i="1"/>
  <c r="AD40" i="1"/>
  <c r="X40" i="1"/>
  <c r="AB40" i="1" s="1"/>
  <c r="S89" i="1"/>
  <c r="Q89" i="1" s="1"/>
  <c r="T89" i="1" s="1"/>
  <c r="N89" i="1" s="1"/>
  <c r="O89" i="1" s="1"/>
  <c r="X62" i="1"/>
  <c r="AB62" i="1" s="1"/>
  <c r="AE62" i="1"/>
  <c r="AF62" i="1" s="1"/>
  <c r="AD62" i="1"/>
  <c r="S18" i="1"/>
  <c r="Q18" i="1" s="1"/>
  <c r="T18" i="1" s="1"/>
  <c r="N18" i="1" s="1"/>
  <c r="O18" i="1" s="1"/>
  <c r="S54" i="1"/>
  <c r="Q54" i="1" s="1"/>
  <c r="T54" i="1" s="1"/>
  <c r="N54" i="1" s="1"/>
  <c r="O54" i="1" s="1"/>
  <c r="X26" i="1"/>
  <c r="AB26" i="1" s="1"/>
  <c r="AE26" i="1"/>
  <c r="AF26" i="1" s="1"/>
  <c r="AD26" i="1"/>
  <c r="AE87" i="1"/>
  <c r="X87" i="1"/>
  <c r="AB87" i="1" s="1"/>
  <c r="S87" i="1"/>
  <c r="Q87" i="1" s="1"/>
  <c r="T87" i="1" s="1"/>
  <c r="N87" i="1" s="1"/>
  <c r="O87" i="1" s="1"/>
  <c r="AD87" i="1"/>
  <c r="AE88" i="1"/>
  <c r="AF88" i="1" s="1"/>
  <c r="X88" i="1"/>
  <c r="AB88" i="1" s="1"/>
  <c r="AD88" i="1"/>
  <c r="AE65" i="1"/>
  <c r="X65" i="1"/>
  <c r="AB65" i="1" s="1"/>
  <c r="AD65" i="1"/>
  <c r="X77" i="1"/>
  <c r="AB77" i="1" s="1"/>
  <c r="AE77" i="1"/>
  <c r="AD77" i="1"/>
  <c r="S77" i="1"/>
  <c r="Q77" i="1" s="1"/>
  <c r="T77" i="1" s="1"/>
  <c r="N77" i="1" s="1"/>
  <c r="O77" i="1" s="1"/>
  <c r="S46" i="1"/>
  <c r="Q46" i="1" s="1"/>
  <c r="T46" i="1" s="1"/>
  <c r="N46" i="1" s="1"/>
  <c r="O46" i="1" s="1"/>
  <c r="S58" i="1"/>
  <c r="Q58" i="1" s="1"/>
  <c r="T58" i="1" s="1"/>
  <c r="N58" i="1" s="1"/>
  <c r="O58" i="1" s="1"/>
  <c r="AF61" i="1"/>
  <c r="AE98" i="1"/>
  <c r="AF98" i="1" s="1"/>
  <c r="X98" i="1"/>
  <c r="AB98" i="1" s="1"/>
  <c r="AD98" i="1"/>
  <c r="X24" i="1"/>
  <c r="AB24" i="1" s="1"/>
  <c r="AE24" i="1"/>
  <c r="AF24" i="1" s="1"/>
  <c r="AD24" i="1"/>
  <c r="S24" i="1"/>
  <c r="Q24" i="1" s="1"/>
  <c r="T24" i="1" s="1"/>
  <c r="N24" i="1" s="1"/>
  <c r="O24" i="1" s="1"/>
  <c r="AE96" i="1"/>
  <c r="AF96" i="1" s="1"/>
  <c r="X96" i="1"/>
  <c r="AB96" i="1" s="1"/>
  <c r="AD96" i="1"/>
  <c r="AE51" i="1"/>
  <c r="X51" i="1"/>
  <c r="AB51" i="1" s="1"/>
  <c r="AD51" i="1"/>
  <c r="AE95" i="1"/>
  <c r="X95" i="1"/>
  <c r="AB95" i="1" s="1"/>
  <c r="S95" i="1"/>
  <c r="Q95" i="1" s="1"/>
  <c r="T95" i="1" s="1"/>
  <c r="N95" i="1" s="1"/>
  <c r="O95" i="1" s="1"/>
  <c r="AD95" i="1"/>
  <c r="AE33" i="1"/>
  <c r="X33" i="1"/>
  <c r="AB33" i="1" s="1"/>
  <c r="AD33" i="1"/>
  <c r="X23" i="1"/>
  <c r="AB23" i="1" s="1"/>
  <c r="AE23" i="1"/>
  <c r="AF23" i="1" s="1"/>
  <c r="AD23" i="1"/>
  <c r="X22" i="1"/>
  <c r="AB22" i="1" s="1"/>
  <c r="AE22" i="1"/>
  <c r="AF22" i="1" s="1"/>
  <c r="AD22" i="1"/>
  <c r="S72" i="1"/>
  <c r="Q72" i="1" s="1"/>
  <c r="T72" i="1" s="1"/>
  <c r="N72" i="1" s="1"/>
  <c r="O72" i="1" s="1"/>
  <c r="S92" i="1"/>
  <c r="Q92" i="1" s="1"/>
  <c r="T92" i="1" s="1"/>
  <c r="N92" i="1" s="1"/>
  <c r="O92" i="1" s="1"/>
  <c r="AE69" i="1"/>
  <c r="AF69" i="1" s="1"/>
  <c r="X69" i="1"/>
  <c r="AB69" i="1" s="1"/>
  <c r="AD69" i="1"/>
  <c r="AE82" i="1"/>
  <c r="X82" i="1"/>
  <c r="AB82" i="1" s="1"/>
  <c r="S82" i="1"/>
  <c r="Q82" i="1" s="1"/>
  <c r="T82" i="1" s="1"/>
  <c r="N82" i="1" s="1"/>
  <c r="O82" i="1" s="1"/>
  <c r="AD82" i="1"/>
  <c r="AE85" i="1"/>
  <c r="AF85" i="1" s="1"/>
  <c r="X85" i="1"/>
  <c r="AB85" i="1" s="1"/>
  <c r="AD85" i="1"/>
  <c r="AE17" i="1"/>
  <c r="X17" i="1"/>
  <c r="AB17" i="1" s="1"/>
  <c r="AD17" i="1"/>
  <c r="S93" i="1"/>
  <c r="Q93" i="1" s="1"/>
  <c r="T93" i="1" s="1"/>
  <c r="N93" i="1" s="1"/>
  <c r="O93" i="1" s="1"/>
  <c r="AD21" i="1"/>
  <c r="X21" i="1"/>
  <c r="AB21" i="1" s="1"/>
  <c r="AE21" i="1"/>
  <c r="AF21" i="1" s="1"/>
  <c r="X73" i="1"/>
  <c r="AB73" i="1" s="1"/>
  <c r="AE73" i="1"/>
  <c r="S73" i="1"/>
  <c r="Q73" i="1" s="1"/>
  <c r="T73" i="1" s="1"/>
  <c r="N73" i="1" s="1"/>
  <c r="O73" i="1" s="1"/>
  <c r="AD73" i="1"/>
  <c r="AE31" i="1"/>
  <c r="AD31" i="1"/>
  <c r="X31" i="1"/>
  <c r="AB31" i="1" s="1"/>
  <c r="AE37" i="1"/>
  <c r="AF37" i="1" s="1"/>
  <c r="X37" i="1"/>
  <c r="AB37" i="1" s="1"/>
  <c r="AD37" i="1"/>
  <c r="AE55" i="1"/>
  <c r="AF55" i="1" s="1"/>
  <c r="X55" i="1"/>
  <c r="AB55" i="1" s="1"/>
  <c r="AD55" i="1"/>
  <c r="AE94" i="1"/>
  <c r="X94" i="1"/>
  <c r="AB94" i="1" s="1"/>
  <c r="AD94" i="1"/>
  <c r="S76" i="1"/>
  <c r="Q76" i="1" s="1"/>
  <c r="T76" i="1" s="1"/>
  <c r="N76" i="1" s="1"/>
  <c r="O76" i="1" s="1"/>
  <c r="X66" i="1"/>
  <c r="AB66" i="1" s="1"/>
  <c r="AE66" i="1"/>
  <c r="AD66" i="1"/>
  <c r="S66" i="1"/>
  <c r="Q66" i="1" s="1"/>
  <c r="T66" i="1" s="1"/>
  <c r="N66" i="1" s="1"/>
  <c r="O66" i="1" s="1"/>
  <c r="AE90" i="1"/>
  <c r="X90" i="1"/>
  <c r="AB90" i="1" s="1"/>
  <c r="AD90" i="1"/>
  <c r="AD43" i="1"/>
  <c r="X43" i="1"/>
  <c r="AB43" i="1" s="1"/>
  <c r="AE43" i="1"/>
  <c r="AF43" i="1" s="1"/>
  <c r="S85" i="1"/>
  <c r="Q85" i="1" s="1"/>
  <c r="T85" i="1" s="1"/>
  <c r="N85" i="1" s="1"/>
  <c r="O85" i="1" s="1"/>
  <c r="X38" i="1"/>
  <c r="AB38" i="1" s="1"/>
  <c r="AE38" i="1"/>
  <c r="AD38" i="1"/>
  <c r="S80" i="1"/>
  <c r="Q80" i="1" s="1"/>
  <c r="T80" i="1" s="1"/>
  <c r="N80" i="1" s="1"/>
  <c r="O80" i="1" s="1"/>
  <c r="AF70" i="1"/>
  <c r="X42" i="1"/>
  <c r="AB42" i="1" s="1"/>
  <c r="AE42" i="1"/>
  <c r="AD42" i="1"/>
  <c r="X78" i="1"/>
  <c r="AB78" i="1" s="1"/>
  <c r="AE78" i="1"/>
  <c r="AD78" i="1"/>
  <c r="X30" i="1"/>
  <c r="AB30" i="1" s="1"/>
  <c r="AE30" i="1"/>
  <c r="AF30" i="1" s="1"/>
  <c r="AD30" i="1"/>
  <c r="AE28" i="1"/>
  <c r="AF28" i="1" s="1"/>
  <c r="X28" i="1"/>
  <c r="AB28" i="1" s="1"/>
  <c r="AD28" i="1"/>
  <c r="S28" i="1"/>
  <c r="Q28" i="1" s="1"/>
  <c r="T28" i="1" s="1"/>
  <c r="N28" i="1" s="1"/>
  <c r="O28" i="1" s="1"/>
  <c r="AD25" i="1"/>
  <c r="X25" i="1"/>
  <c r="AB25" i="1" s="1"/>
  <c r="AE25" i="1"/>
  <c r="AE32" i="1"/>
  <c r="X32" i="1"/>
  <c r="AB32" i="1" s="1"/>
  <c r="AD32" i="1"/>
  <c r="S98" i="1"/>
  <c r="Q98" i="1" s="1"/>
  <c r="T98" i="1" s="1"/>
  <c r="N98" i="1" s="1"/>
  <c r="O98" i="1" s="1"/>
  <c r="X59" i="1"/>
  <c r="AB59" i="1" s="1"/>
  <c r="AE59" i="1"/>
  <c r="AD59" i="1"/>
  <c r="AF56" i="1"/>
  <c r="AE97" i="1"/>
  <c r="X97" i="1"/>
  <c r="AB97" i="1" s="1"/>
  <c r="AD97" i="1"/>
  <c r="S97" i="1"/>
  <c r="Q97" i="1" s="1"/>
  <c r="T97" i="1" s="1"/>
  <c r="N97" i="1" s="1"/>
  <c r="O97" i="1" s="1"/>
  <c r="S84" i="1"/>
  <c r="Q84" i="1" s="1"/>
  <c r="T84" i="1" s="1"/>
  <c r="N84" i="1" s="1"/>
  <c r="O84" i="1" s="1"/>
  <c r="S59" i="1"/>
  <c r="Q59" i="1" s="1"/>
  <c r="T59" i="1" s="1"/>
  <c r="N59" i="1" s="1"/>
  <c r="O59" i="1" s="1"/>
  <c r="S43" i="1"/>
  <c r="Q43" i="1" s="1"/>
  <c r="T43" i="1" s="1"/>
  <c r="N43" i="1" s="1"/>
  <c r="O43" i="1" s="1"/>
  <c r="S79" i="1"/>
  <c r="Q79" i="1" s="1"/>
  <c r="T79" i="1" s="1"/>
  <c r="N79" i="1" s="1"/>
  <c r="O79" i="1" s="1"/>
  <c r="S94" i="1"/>
  <c r="Q94" i="1" s="1"/>
  <c r="T94" i="1" s="1"/>
  <c r="N94" i="1" s="1"/>
  <c r="O94" i="1" s="1"/>
  <c r="S32" i="1"/>
  <c r="Q32" i="1" s="1"/>
  <c r="T32" i="1" s="1"/>
  <c r="N32" i="1" s="1"/>
  <c r="O32" i="1" s="1"/>
  <c r="AF42" i="1" l="1"/>
  <c r="AF66" i="1"/>
  <c r="AF82" i="1"/>
  <c r="AF87" i="1"/>
  <c r="AF49" i="1"/>
  <c r="AF34" i="1"/>
  <c r="AF97" i="1"/>
  <c r="AF32" i="1"/>
  <c r="AF73" i="1"/>
  <c r="AF17" i="1"/>
  <c r="AF65" i="1"/>
  <c r="AF29" i="1"/>
  <c r="AF47" i="1"/>
  <c r="AF86" i="1"/>
  <c r="AF41" i="1"/>
  <c r="AF25" i="1"/>
  <c r="AF95" i="1"/>
  <c r="AF59" i="1"/>
  <c r="AF40" i="1"/>
  <c r="AF35" i="1"/>
  <c r="AF92" i="1"/>
  <c r="AF78" i="1"/>
  <c r="AF38" i="1"/>
  <c r="AF90" i="1"/>
  <c r="AF94" i="1"/>
  <c r="AF51" i="1"/>
  <c r="AF77" i="1"/>
  <c r="AF89" i="1"/>
  <c r="AF91" i="1"/>
  <c r="AF74" i="1"/>
  <c r="AF76" i="1"/>
  <c r="AF53" i="1"/>
  <c r="AF31" i="1"/>
  <c r="AF33" i="1"/>
</calcChain>
</file>

<file path=xl/sharedStrings.xml><?xml version="1.0" encoding="utf-8"?>
<sst xmlns="http://schemas.openxmlformats.org/spreadsheetml/2006/main" count="2328" uniqueCount="785">
  <si>
    <t>File opened</t>
  </si>
  <si>
    <t>2023-11-16 09:08:09</t>
  </si>
  <si>
    <t>Console s/n</t>
  </si>
  <si>
    <t>68C-812061</t>
  </si>
  <si>
    <t>Console ver</t>
  </si>
  <si>
    <t>Bluestem v.2.1.08</t>
  </si>
  <si>
    <t>Scripts ver</t>
  </si>
  <si>
    <t>2022.05  2.1.08, Aug 2022</t>
  </si>
  <si>
    <t>Head s/n</t>
  </si>
  <si>
    <t>68H-712051</t>
  </si>
  <si>
    <t>Head ver</t>
  </si>
  <si>
    <t>1.4.22</t>
  </si>
  <si>
    <t>Head cal</t>
  </si>
  <si>
    <t>{"oxygen": "21", "co2azero": "0.916548", "co2aspan1": "1.00272", "co2aspan2": "-0.0399663", "co2aspan2a": "0.27803", "co2aspan2b": "0.275697", "co2aspanconc1": "2473", "co2aspanconc2": "301.4", "co2bzero": "0.918007", "co2bspan1": "1.00224", "co2bspan2": "-0.0386397", "co2bspan2a": "0.280892", "co2bspan2b": "0.278473", "co2bspanconc1": "2473", "co2bspanconc2": "301.4", "h2oazero": "1.03474", "h2oaspan1": "1.00756", "h2oaspan2": "0", "h2oaspan2a": "0.0682624", "h2oaspan2b": "0.0687785", "h2oaspanconc1": "12.42", "h2oaspanconc2": "0", "h2obzero": "1.03484", "h2obspan1": "1.00339", "h2obspan2": "0", "h2obspan2a": "0.0690504", "h2obspan2b": "0.0692845", "h2obspanconc1": "12.42", "h2obspanconc2": "0", "tazero": "0.100662", "tbzero": "0.178078", "flowmeterzero": "2.48376", "flowazero": "0.323", "flowbzero": "0.27403", "chamberpressurezero": "2.72919", "ssa_ref": "33599.2", "ssb_ref": "34549.6"}</t>
  </si>
  <si>
    <t>CO2 rangematch</t>
  </si>
  <si>
    <t>Fri Nov 10 09:36</t>
  </si>
  <si>
    <t>H2O rangematch</t>
  </si>
  <si>
    <t>Fri Nov 10 09:42</t>
  </si>
  <si>
    <t>Chamber type</t>
  </si>
  <si>
    <t>6800-01A</t>
  </si>
  <si>
    <t>Chamber s/n</t>
  </si>
  <si>
    <t>MPF-281816</t>
  </si>
  <si>
    <t>Chamber rev</t>
  </si>
  <si>
    <t>0</t>
  </si>
  <si>
    <t>Chamber cal</t>
  </si>
  <si>
    <t>Fluorometer</t>
  </si>
  <si>
    <t>Flr. Version</t>
  </si>
  <si>
    <t>09:08:09</t>
  </si>
  <si>
    <t>Stability Definition:	gsw (GasEx): Slp&lt;0.05 Std&lt;0.05 Per=15	A (GasEx): Slp&lt;0.7 Std&lt;0.2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</si>
  <si>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</si>
  <si>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</si>
  <si>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</si>
  <si>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</si>
  <si>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</si>
  <si>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</si>
  <si>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</si>
  <si>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</si>
  <si>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</si>
  <si>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</si>
  <si>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</si>
  <si>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</si>
  <si>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</si>
  <si>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</si>
  <si>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</si>
  <si>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</si>
  <si>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</si>
  <si>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</si>
  <si>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</si>
  <si>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</si>
  <si>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</si>
  <si>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</si>
  <si>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</si>
  <si>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</si>
  <si>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</si>
  <si>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</si>
  <si>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</si>
  <si>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</si>
  <si>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</si>
  <si>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</si>
  <si>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</si>
  <si>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</si>
  <si>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</si>
  <si>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</si>
  <si>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</si>
  <si>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</si>
  <si>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</si>
  <si>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</si>
  <si>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</si>
  <si>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</si>
  <si>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</si>
  <si>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</si>
  <si>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</si>
  <si>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</si>
  <si>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</si>
  <si>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</si>
  <si>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</si>
  <si>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</si>
  <si>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</si>
  <si>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</si>
  <si>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</si>
  <si>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</si>
  <si>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5.90866 196.537 383.792 633.066 875.178 1057.93 1230.44 1333.15</t>
  </si>
  <si>
    <t>Fs_true</t>
  </si>
  <si>
    <t>1.3523 201.328 382.729 598.066 804.226 1002.59 1200.64 1400.89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</si>
  <si>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</si>
  <si>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</si>
  <si>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</si>
  <si>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</si>
  <si>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</si>
  <si>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</si>
  <si>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</si>
  <si>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</si>
  <si>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</si>
  <si>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</si>
  <si>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</si>
  <si>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</si>
  <si>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</si>
  <si>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</si>
  <si>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</si>
  <si>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</si>
  <si>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</si>
  <si>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</si>
  <si>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</si>
  <si>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</si>
  <si>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</si>
  <si>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</si>
  <si>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</si>
  <si>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</si>
  <si>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</si>
  <si>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</si>
  <si>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</si>
  <si>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</si>
  <si>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</si>
  <si>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</si>
  <si>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</si>
  <si>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</si>
  <si>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</si>
  <si>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</si>
  <si>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</si>
  <si>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</si>
  <si>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</si>
  <si>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</si>
  <si>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</si>
  <si>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</si>
  <si>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</si>
  <si>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</si>
  <si>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</si>
  <si>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</si>
  <si>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</si>
  <si>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</si>
  <si>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</si>
  <si>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</si>
  <si>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</si>
  <si>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</si>
  <si>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</si>
  <si>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</si>
  <si>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</si>
  <si>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</si>
  <si>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</si>
  <si>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</si>
  <si>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</si>
  <si>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</si>
  <si>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</si>
  <si>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</si>
  <si>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</si>
  <si>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</si>
  <si>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</si>
  <si>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</si>
  <si>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</si>
  <si>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</si>
  <si>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</si>
  <si>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</si>
  <si>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</si>
  <si>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</si>
  <si>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</si>
  <si>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</si>
  <si>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</si>
  <si>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</si>
  <si>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</si>
  <si>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</si>
  <si>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</si>
  <si>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</si>
  <si>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</si>
  <si>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</si>
  <si>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</si>
  <si>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</si>
  <si>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</si>
  <si>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</si>
  <si>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</si>
  <si>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</si>
  <si>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</si>
  <si>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</si>
  <si>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</si>
  <si>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</si>
  <si>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</si>
  <si>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</si>
  <si>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</si>
  <si>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</si>
  <si>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</si>
  <si>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</si>
  <si>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</si>
  <si>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</si>
  <si>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</si>
  <si>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</si>
  <si>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</si>
  <si>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</si>
  <si>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</si>
  <si>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</si>
  <si>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</si>
  <si>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</si>
  <si>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</si>
  <si>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</si>
  <si>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</si>
  <si>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</si>
  <si>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</si>
  <si>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</si>
  <si>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</si>
  <si>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</si>
  <si>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</si>
  <si>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</si>
  <si>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</si>
  <si>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</si>
  <si>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</si>
  <si>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</si>
  <si>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</si>
  <si>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</si>
  <si>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</si>
  <si>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</si>
  <si>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</si>
  <si>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</si>
  <si>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</si>
  <si>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</si>
  <si>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</si>
  <si>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</si>
  <si>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</si>
  <si>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</si>
  <si>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</si>
  <si>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</si>
  <si>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</si>
  <si>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</si>
  <si>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</si>
  <si>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</si>
  <si>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</si>
  <si>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</si>
  <si>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</si>
  <si>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</si>
  <si>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</si>
  <si>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</si>
  <si>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</si>
  <si>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</si>
  <si>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</si>
  <si>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</si>
  <si>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</si>
  <si>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</si>
  <si>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</si>
  <si>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</si>
  <si>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</si>
  <si>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</si>
  <si>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</si>
  <si>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</si>
  <si>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</si>
  <si>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</si>
  <si>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</si>
  <si>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</si>
  <si>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</si>
  <si>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</si>
  <si>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</si>
  <si>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</si>
  <si>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</si>
  <si>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</si>
  <si>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</si>
  <si>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</si>
  <si>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</si>
  <si>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</si>
  <si>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</si>
  <si>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</si>
  <si>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</si>
  <si>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</si>
  <si>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</si>
  <si>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</si>
  <si>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</si>
  <si>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</si>
  <si>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</si>
  <si>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</si>
  <si>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</si>
  <si>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</si>
  <si>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</si>
  <si>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</si>
  <si>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</si>
  <si>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</si>
  <si>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</si>
  <si>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</si>
  <si>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</si>
  <si>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</si>
  <si>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</si>
  <si>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</si>
  <si>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</si>
  <si>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</si>
  <si>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</si>
  <si>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</si>
  <si>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</si>
  <si>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</si>
  <si>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</si>
  <si>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</si>
  <si>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</si>
  <si>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</si>
  <si>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</si>
  <si>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</si>
  <si>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</si>
  <si>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</si>
  <si>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</si>
  <si>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</si>
  <si>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</si>
  <si>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</si>
  <si>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</si>
  <si>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</si>
  <si>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</si>
  <si>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</si>
  <si>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</si>
  <si>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</si>
  <si>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</si>
  <si>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</si>
  <si>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</si>
  <si>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</si>
  <si>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</si>
  <si>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</si>
  <si>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</si>
  <si>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</si>
  <si>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</si>
  <si>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</si>
  <si>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</si>
  <si>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</si>
  <si>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</si>
  <si>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</si>
  <si>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</si>
  <si>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</si>
  <si>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</si>
  <si>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</si>
  <si>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</si>
  <si>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</si>
  <si>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</si>
  <si>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</si>
  <si>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</si>
  <si>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</si>
  <si>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</si>
  <si>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</si>
  <si>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</si>
  <si>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</si>
  <si>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</si>
  <si>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</si>
  <si>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</si>
  <si>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</si>
  <si>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</si>
  <si>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</si>
  <si>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</si>
  <si>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</si>
  <si>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</si>
  <si>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</si>
  <si>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</si>
  <si>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</si>
  <si>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</si>
  <si>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</si>
  <si>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</si>
  <si>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</si>
  <si>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</si>
  <si>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</si>
  <si>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</si>
  <si>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</si>
  <si>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</si>
  <si>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</si>
  <si>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</si>
  <si>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</si>
  <si>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</si>
  <si>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</si>
  <si>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</si>
  <si>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</si>
  <si>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</si>
  <si>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</si>
  <si>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</si>
  <si>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</si>
  <si>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</si>
  <si>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</si>
  <si>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</si>
  <si>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</si>
  <si>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</si>
  <si>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</si>
  <si>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</si>
  <si>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</si>
  <si>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</si>
  <si>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</si>
  <si>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</si>
  <si>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</si>
  <si>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</si>
  <si>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</si>
  <si>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</si>
  <si>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</si>
  <si>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</si>
  <si>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</si>
  <si>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</si>
  <si>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</si>
  <si>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</si>
  <si>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</si>
  <si>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</si>
  <si>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</si>
  <si>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</si>
  <si>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</si>
  <si>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</si>
  <si>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</si>
  <si>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</si>
  <si>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</si>
  <si>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</si>
  <si>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</si>
  <si>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</si>
  <si>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</si>
  <si>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</si>
  <si>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</si>
  <si>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</si>
  <si>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</si>
  <si>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</si>
  <si>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</si>
  <si>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</si>
  <si>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</si>
  <si>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</si>
  <si>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</si>
  <si>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</si>
  <si>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</si>
  <si>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</si>
  <si>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</si>
  <si>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</si>
  <si>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</si>
  <si>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20231116 09:36:21</t>
  </si>
  <si>
    <t>09:36:21</t>
  </si>
  <si>
    <t>none</t>
  </si>
  <si>
    <t>9</t>
  </si>
  <si>
    <t>5</t>
  </si>
  <si>
    <t>MPF-20639-20231106-15_17_51</t>
  </si>
  <si>
    <t>MPF-20708-20231116-09_35_45</t>
  </si>
  <si>
    <t>DARK-20709-20231116-09_35_52</t>
  </si>
  <si>
    <t>0: Broadleaf</t>
  </si>
  <si>
    <t>09:35:45</t>
  </si>
  <si>
    <t>2/2</t>
  </si>
  <si>
    <t>11111111</t>
  </si>
  <si>
    <t>oooooooo</t>
  </si>
  <si>
    <t>off</t>
  </si>
  <si>
    <t>20231116 09:40:29</t>
  </si>
  <si>
    <t>09:40:29</t>
  </si>
  <si>
    <t>MPF-20710-20231116-09_39_53</t>
  </si>
  <si>
    <t>DARK-20711-20231116-09_40_00</t>
  </si>
  <si>
    <t>09:39:08</t>
  </si>
  <si>
    <t>20231116 09:42:53</t>
  </si>
  <si>
    <t>09:42:53</t>
  </si>
  <si>
    <t>-</t>
  </si>
  <si>
    <t>09:42:18</t>
  </si>
  <si>
    <t>20231116 09:45:33</t>
  </si>
  <si>
    <t>09:45:33</t>
  </si>
  <si>
    <t>MPF-20712-20231116-09_44_56</t>
  </si>
  <si>
    <t>DARK-20713-20231116-09_45_03</t>
  </si>
  <si>
    <t>09:44:06</t>
  </si>
  <si>
    <t>20231116 09:48:34</t>
  </si>
  <si>
    <t>09:48:34</t>
  </si>
  <si>
    <t>09:47:28</t>
  </si>
  <si>
    <t>20231116 09:50:29</t>
  </si>
  <si>
    <t>09:50:29</t>
  </si>
  <si>
    <t>MPF-20714-20231116-09_49_53</t>
  </si>
  <si>
    <t>DARK-20715-20231116-09_50_00</t>
  </si>
  <si>
    <t>09:49:58</t>
  </si>
  <si>
    <t>20231116 09:53:29</t>
  </si>
  <si>
    <t>09:53:29</t>
  </si>
  <si>
    <t>09:51:59</t>
  </si>
  <si>
    <t>20231116 09:56:41</t>
  </si>
  <si>
    <t>09:56:41</t>
  </si>
  <si>
    <t>MPF-20716-20231116-09_56_05</t>
  </si>
  <si>
    <t>DARK-20717-20231116-09_56_12</t>
  </si>
  <si>
    <t>09:55:00</t>
  </si>
  <si>
    <t>20231116 09:59:53</t>
  </si>
  <si>
    <t>09:59:53</t>
  </si>
  <si>
    <t>MPF-20718-20231116-09_59_17</t>
  </si>
  <si>
    <t>DARK-20719-20231116-09_59_24</t>
  </si>
  <si>
    <t>09:58:21</t>
  </si>
  <si>
    <t>20231116 10:03:18</t>
  </si>
  <si>
    <t>10:03:18</t>
  </si>
  <si>
    <t>MPF-20720-20231116-10_02_42</t>
  </si>
  <si>
    <t>DARK-20721-20231116-10_02_49</t>
  </si>
  <si>
    <t>10:01:27</t>
  </si>
  <si>
    <t>20231116 10:04:59</t>
  </si>
  <si>
    <t>10:04:59</t>
  </si>
  <si>
    <t>10:05:27</t>
  </si>
  <si>
    <t>20231116 10:06:58</t>
  </si>
  <si>
    <t>10:06:58</t>
  </si>
  <si>
    <t>MPF-20722-20231116-10_06_21</t>
  </si>
  <si>
    <t>DARK-20723-20231116-10_06_28</t>
  </si>
  <si>
    <t>10:07:25</t>
  </si>
  <si>
    <t>20231116 10:09:26</t>
  </si>
  <si>
    <t>10:09:26</t>
  </si>
  <si>
    <t>10:08:55</t>
  </si>
  <si>
    <t>20231116 10:11:22</t>
  </si>
  <si>
    <t>10:11:22</t>
  </si>
  <si>
    <t>MPF-20724-20231116-10_10_45</t>
  </si>
  <si>
    <t>DARK-20725-20231116-10_10_52</t>
  </si>
  <si>
    <t>10:10:49</t>
  </si>
  <si>
    <t>20231116 10:24:21</t>
  </si>
  <si>
    <t>10:24:21</t>
  </si>
  <si>
    <t>25</t>
  </si>
  <si>
    <t>6</t>
  </si>
  <si>
    <t>MPF-20726-20231116-10_23_44</t>
  </si>
  <si>
    <t>DARK-20727-20231116-10_23_51</t>
  </si>
  <si>
    <t>10:23:45</t>
  </si>
  <si>
    <t>20231116 10:27:05</t>
  </si>
  <si>
    <t>10:27:05</t>
  </si>
  <si>
    <t>10:26:20</t>
  </si>
  <si>
    <t>20231116 10:29:26</t>
  </si>
  <si>
    <t>10:29:26</t>
  </si>
  <si>
    <t>MPF-20728-20231116-10_28_49</t>
  </si>
  <si>
    <t>DARK-20729-20231116-10_28_56</t>
  </si>
  <si>
    <t>10:28:48</t>
  </si>
  <si>
    <t>20231116 10:32:41</t>
  </si>
  <si>
    <t>10:32:41</t>
  </si>
  <si>
    <t>MPF-20730-20231116-10_32_04</t>
  </si>
  <si>
    <t>DARK-20731-20231116-10_32_11</t>
  </si>
  <si>
    <t>10:31:31</t>
  </si>
  <si>
    <t>20231116 10:35:10</t>
  </si>
  <si>
    <t>10:35:10</t>
  </si>
  <si>
    <t>10:34:17</t>
  </si>
  <si>
    <t>20231116 10:37:36</t>
  </si>
  <si>
    <t>10:37:36</t>
  </si>
  <si>
    <t>MPF-20732-20231116-10_36_59</t>
  </si>
  <si>
    <t>DARK-20733-20231116-10_37_06</t>
  </si>
  <si>
    <t>10:36:33</t>
  </si>
  <si>
    <t>20231116 10:40:20</t>
  </si>
  <si>
    <t>10:40:20</t>
  </si>
  <si>
    <t>10:39:30</t>
  </si>
  <si>
    <t>20231116 10:43:16</t>
  </si>
  <si>
    <t>10:43:16</t>
  </si>
  <si>
    <t>MPF-20734-20231116-10_42_40</t>
  </si>
  <si>
    <t>DARK-20735-20231116-10_42_47</t>
  </si>
  <si>
    <t>10:41:42</t>
  </si>
  <si>
    <t>20231116 10:47:03</t>
  </si>
  <si>
    <t>10:47:03</t>
  </si>
  <si>
    <t>MPF-20736-20231116-10_46_26</t>
  </si>
  <si>
    <t>DARK-20737-20231116-10_46_33</t>
  </si>
  <si>
    <t>10:45:06</t>
  </si>
  <si>
    <t>20231116 10:50:14</t>
  </si>
  <si>
    <t>10:50:14</t>
  </si>
  <si>
    <t>MPF-20738-20231116-10_49_38</t>
  </si>
  <si>
    <t>DARK-20739-20231116-10_49_45</t>
  </si>
  <si>
    <t>10:48:41</t>
  </si>
  <si>
    <t>20231116 10:52:37</t>
  </si>
  <si>
    <t>10:52:37</t>
  </si>
  <si>
    <t>10:51:52</t>
  </si>
  <si>
    <t>20231116 10:54:43</t>
  </si>
  <si>
    <t>10:54:43</t>
  </si>
  <si>
    <t>MPF-20740-20231116-10_54_06</t>
  </si>
  <si>
    <t>DARK-20741-20231116-10_54_13</t>
  </si>
  <si>
    <t>10:54:07</t>
  </si>
  <si>
    <t>20231116 10:56:53</t>
  </si>
  <si>
    <t>10:56:53</t>
  </si>
  <si>
    <t>10:56:19</t>
  </si>
  <si>
    <t>20231116 10:59:00</t>
  </si>
  <si>
    <t>10:59:00</t>
  </si>
  <si>
    <t>MPF-20742-20231116-10_58_24</t>
  </si>
  <si>
    <t>DARK-20743-20231116-10_58_31</t>
  </si>
  <si>
    <t>10:58:24</t>
  </si>
  <si>
    <t>20231116 11:25:14</t>
  </si>
  <si>
    <t>11:25:14</t>
  </si>
  <si>
    <t>wt</t>
  </si>
  <si>
    <t>2</t>
  </si>
  <si>
    <t>MPF-20744-20231116-11_24_38</t>
  </si>
  <si>
    <t>DARK-20745-20231116-11_24_45</t>
  </si>
  <si>
    <t>11:24:37</t>
  </si>
  <si>
    <t>20231116 11:28:37</t>
  </si>
  <si>
    <t>11:28:37</t>
  </si>
  <si>
    <t>MPF-20746-20231116-11_28_01</t>
  </si>
  <si>
    <t>DARK-20747-20231116-11_28_08</t>
  </si>
  <si>
    <t>11:27:26</t>
  </si>
  <si>
    <t>20231116 11:30:38</t>
  </si>
  <si>
    <t>11:30:38</t>
  </si>
  <si>
    <t>11:30:00</t>
  </si>
  <si>
    <t>20231116 11:34:54</t>
  </si>
  <si>
    <t>11:34:54</t>
  </si>
  <si>
    <t>MPF-20748-20231116-11_34_17</t>
  </si>
  <si>
    <t>DARK-20749-20231116-11_34_25</t>
  </si>
  <si>
    <t>11:32:13</t>
  </si>
  <si>
    <t>20231116 11:37:12</t>
  </si>
  <si>
    <t>11:37:12</t>
  </si>
  <si>
    <t>11:36:42</t>
  </si>
  <si>
    <t>20231116 11:39:50</t>
  </si>
  <si>
    <t>11:39:50</t>
  </si>
  <si>
    <t>MPF-20750-20231116-11_39_13</t>
  </si>
  <si>
    <t>DARK-20751-20231116-11_39_21</t>
  </si>
  <si>
    <t>11:38:52</t>
  </si>
  <si>
    <t>20231116 11:43:35</t>
  </si>
  <si>
    <t>11:43:35</t>
  </si>
  <si>
    <t>MPF-20752-20231116-11_42_58</t>
  </si>
  <si>
    <t>DARK-20753-20231116-11_43_06</t>
  </si>
  <si>
    <t>11:41:45</t>
  </si>
  <si>
    <t>20231116 11:46:34</t>
  </si>
  <si>
    <t>11:46:34</t>
  </si>
  <si>
    <t>11:45:07</t>
  </si>
  <si>
    <t>20231116 11:48:37</t>
  </si>
  <si>
    <t>11:48:37</t>
  </si>
  <si>
    <t>MPF-20754-20231116-11_48_01</t>
  </si>
  <si>
    <t>DARK-20755-20231116-11_48_08</t>
  </si>
  <si>
    <t>11:48:04</t>
  </si>
  <si>
    <t>20231116 11:50:46</t>
  </si>
  <si>
    <t>11:50:46</t>
  </si>
  <si>
    <t>11:50:13</t>
  </si>
  <si>
    <t>20231116 11:53:06</t>
  </si>
  <si>
    <t>11:53:06</t>
  </si>
  <si>
    <t>MPF-20756-20231116-11_52_30</t>
  </si>
  <si>
    <t>DARK-20757-20231116-11_52_37</t>
  </si>
  <si>
    <t>11:52:34</t>
  </si>
  <si>
    <t>20231116 11:55:17</t>
  </si>
  <si>
    <t>11:55:17</t>
  </si>
  <si>
    <t>11:54:43</t>
  </si>
  <si>
    <t>20231116 11:57:15</t>
  </si>
  <si>
    <t>11:57:15</t>
  </si>
  <si>
    <t>MPF-20758-20231116-11_56_38</t>
  </si>
  <si>
    <t>DARK-20759-20231116-11_56_46</t>
  </si>
  <si>
    <t>11:56:43</t>
  </si>
  <si>
    <t>20231116 11:59:15</t>
  </si>
  <si>
    <t>11:59:15</t>
  </si>
  <si>
    <t>11:58:43</t>
  </si>
  <si>
    <t>20231116 12:27:59</t>
  </si>
  <si>
    <t>12:27:59</t>
  </si>
  <si>
    <t>3</t>
  </si>
  <si>
    <t>MPF-20760-20231116-12_27_23</t>
  </si>
  <si>
    <t>DARK-20761-20231116-12_27_30</t>
  </si>
  <si>
    <t>12:26:08</t>
  </si>
  <si>
    <t>20231116 12:29:52</t>
  </si>
  <si>
    <t>12:29:52</t>
  </si>
  <si>
    <t>12:30:17</t>
  </si>
  <si>
    <t>20231116 12:32:06</t>
  </si>
  <si>
    <t>12:32:06</t>
  </si>
  <si>
    <t>MPF-20762-20231116-12_31_29</t>
  </si>
  <si>
    <t>DARK-20763-20231116-12_31_37</t>
  </si>
  <si>
    <t>12:31:43</t>
  </si>
  <si>
    <t>20231116 12:33:45</t>
  </si>
  <si>
    <t>12:33:45</t>
  </si>
  <si>
    <t>12:34:08</t>
  </si>
  <si>
    <t>20231116 12:38:03</t>
  </si>
  <si>
    <t>12:38:03</t>
  </si>
  <si>
    <t>MPF-20764-20231116-12_37_26</t>
  </si>
  <si>
    <t>DARK-20765-20231116-12_37_34</t>
  </si>
  <si>
    <t>12:35:33</t>
  </si>
  <si>
    <t>20231116 12:41:07</t>
  </si>
  <si>
    <t>12:41:07</t>
  </si>
  <si>
    <t>MPF-20766-20231116-12_40_31</t>
  </si>
  <si>
    <t>DARK-20767-20231116-12_40_38</t>
  </si>
  <si>
    <t>12:40:05</t>
  </si>
  <si>
    <t>20231116 12:44:40</t>
  </si>
  <si>
    <t>12:44:40</t>
  </si>
  <si>
    <t>MPF-20768-20231116-12_44_04</t>
  </si>
  <si>
    <t>DARK-20769-20231116-12_44_11</t>
  </si>
  <si>
    <t>12:43:09</t>
  </si>
  <si>
    <t>20231116 12:48:51</t>
  </si>
  <si>
    <t>12:48:51</t>
  </si>
  <si>
    <t>MPF-20770-20231116-12_48_14</t>
  </si>
  <si>
    <t>DARK-20771-20231116-12_48_22</t>
  </si>
  <si>
    <t>12:46:34</t>
  </si>
  <si>
    <t>20231116 12:51:11</t>
  </si>
  <si>
    <t>12:51:11</t>
  </si>
  <si>
    <t>12:50:43</t>
  </si>
  <si>
    <t>20231116 12:53:26</t>
  </si>
  <si>
    <t>12:53:26</t>
  </si>
  <si>
    <t>MPF-20772-20231116-12_52_50</t>
  </si>
  <si>
    <t>DARK-20773-20231116-12_52_57</t>
  </si>
  <si>
    <t>12:52:51</t>
  </si>
  <si>
    <t>20231116 12:56:05</t>
  </si>
  <si>
    <t>12:56:05</t>
  </si>
  <si>
    <t>12:55:02</t>
  </si>
  <si>
    <t>20231116 12:58:12</t>
  </si>
  <si>
    <t>12:58:12</t>
  </si>
  <si>
    <t>MPF-20774-20231116-12_57_35</t>
  </si>
  <si>
    <t>DARK-20775-20231116-12_57_43</t>
  </si>
  <si>
    <t>12:57:31</t>
  </si>
  <si>
    <t>20231116 13:00:20</t>
  </si>
  <si>
    <t>13:00:20</t>
  </si>
  <si>
    <t>12:59:44</t>
  </si>
  <si>
    <t>20231116 13:02:10</t>
  </si>
  <si>
    <t>13:02:10</t>
  </si>
  <si>
    <t>MPF-20776-20231116-13_01_33</t>
  </si>
  <si>
    <t>DARK-20777-20231116-13_01_41</t>
  </si>
  <si>
    <t>13:01:37</t>
  </si>
  <si>
    <t>20231116 13:21:45</t>
  </si>
  <si>
    <t>13:21:45</t>
  </si>
  <si>
    <t>10</t>
  </si>
  <si>
    <t>MPF-20778-20231116-13_21_09</t>
  </si>
  <si>
    <t>DARK-20779-20231116-13_21_16</t>
  </si>
  <si>
    <t>13:21:07</t>
  </si>
  <si>
    <t>20231116 13:23:57</t>
  </si>
  <si>
    <t>13:23:57</t>
  </si>
  <si>
    <t>13:24:17</t>
  </si>
  <si>
    <t>20231116 13:25:48</t>
  </si>
  <si>
    <t>13:25:48</t>
  </si>
  <si>
    <t>MPF-20780-20231116-13_25_12</t>
  </si>
  <si>
    <t>DARK-20781-20231116-13_25_19</t>
  </si>
  <si>
    <t>13:26:10</t>
  </si>
  <si>
    <t>20231116 13:29:11</t>
  </si>
  <si>
    <t>13:29:11</t>
  </si>
  <si>
    <t>MPF-20782-20231116-13_28_35</t>
  </si>
  <si>
    <t>DARK-20783-20231116-13_28_42</t>
  </si>
  <si>
    <t>13:27:33</t>
  </si>
  <si>
    <t>20231116 13:32:23</t>
  </si>
  <si>
    <t>13:32:23</t>
  </si>
  <si>
    <t>MPF-20784-20231116-13_31_47</t>
  </si>
  <si>
    <t>DARK-20785-20231116-13_31_54</t>
  </si>
  <si>
    <t>13:31:18</t>
  </si>
  <si>
    <t>20231116 13:35:55</t>
  </si>
  <si>
    <t>13:35:55</t>
  </si>
  <si>
    <t>MPF-20786-20231116-13_35_19</t>
  </si>
  <si>
    <t>DARK-20787-20231116-13_35_26</t>
  </si>
  <si>
    <t>13:34:29</t>
  </si>
  <si>
    <t>20231116 13:38:14</t>
  </si>
  <si>
    <t>13:38:14</t>
  </si>
  <si>
    <t>13:37:47</t>
  </si>
  <si>
    <t>20231116 13:42:47</t>
  </si>
  <si>
    <t>13:42:47</t>
  </si>
  <si>
    <t>MPF-20788-20231116-13_42_11</t>
  </si>
  <si>
    <t>DARK-20789-20231116-13_42_18</t>
  </si>
  <si>
    <t>13:40:44</t>
  </si>
  <si>
    <t>20231116 13:45:46</t>
  </si>
  <si>
    <t>13:45:46</t>
  </si>
  <si>
    <t>13:44:30</t>
  </si>
  <si>
    <t>20231116 13:48:23</t>
  </si>
  <si>
    <t>13:48:23</t>
  </si>
  <si>
    <t>MPF-20790-20231116-13_47_47</t>
  </si>
  <si>
    <t>DARK-20791-20231116-13_47_54</t>
  </si>
  <si>
    <t>13:47:18</t>
  </si>
  <si>
    <t>20231116 13:50:47</t>
  </si>
  <si>
    <t>13:50:47</t>
  </si>
  <si>
    <t>13:50:08</t>
  </si>
  <si>
    <t>20231116 13:52:49</t>
  </si>
  <si>
    <t>13:52:49</t>
  </si>
  <si>
    <t>MPF-20792-20231116-13_52_13</t>
  </si>
  <si>
    <t>DARK-20793-20231116-13_52_20</t>
  </si>
  <si>
    <t>13:52:16</t>
  </si>
  <si>
    <t>20231116 13:55:03</t>
  </si>
  <si>
    <t>13:55:03</t>
  </si>
  <si>
    <t>13:54:29</t>
  </si>
  <si>
    <t>20231116 13:56:52</t>
  </si>
  <si>
    <t>13:56:52</t>
  </si>
  <si>
    <t>MPF-20794-20231116-13_56_16</t>
  </si>
  <si>
    <t>DARK-20795-20231116-13_56_23</t>
  </si>
  <si>
    <t>13:56:20</t>
  </si>
  <si>
    <t>20231116 14:06:16</t>
  </si>
  <si>
    <t>14:06:16</t>
  </si>
  <si>
    <t>7</t>
  </si>
  <si>
    <t>MPF-20796-20231116-14_05_40</t>
  </si>
  <si>
    <t>DARK-20797-20231116-14_05_47</t>
  </si>
  <si>
    <t>14:05:40</t>
  </si>
  <si>
    <t>20231116 14:08:14</t>
  </si>
  <si>
    <t>14:08:14</t>
  </si>
  <si>
    <t>14:07:52</t>
  </si>
  <si>
    <t>20231116 14:10:17</t>
  </si>
  <si>
    <t>14:10:17</t>
  </si>
  <si>
    <t>MPF-20798-20231116-14_09_41</t>
  </si>
  <si>
    <t>DARK-20799-20231116-14_09_48</t>
  </si>
  <si>
    <t>14:09:50</t>
  </si>
  <si>
    <t>20231116 14:12:31</t>
  </si>
  <si>
    <t>14:12:31</t>
  </si>
  <si>
    <t>14:12:06</t>
  </si>
  <si>
    <t>20231116 14:16:15</t>
  </si>
  <si>
    <t>14:16:15</t>
  </si>
  <si>
    <t>MPF-20800-20231116-14_15_39</t>
  </si>
  <si>
    <t>DARK-20801-20231116-14_15_46</t>
  </si>
  <si>
    <t>14:13:50</t>
  </si>
  <si>
    <t>20231116 14:19:58</t>
  </si>
  <si>
    <t>14:19:58</t>
  </si>
  <si>
    <t>MPF-20802-20231116-14_19_22</t>
  </si>
  <si>
    <t>DARK-20803-20231116-14_19_29</t>
  </si>
  <si>
    <t>14:17:49</t>
  </si>
  <si>
    <t>20231116 14:23:37</t>
  </si>
  <si>
    <t>14:23:37</t>
  </si>
  <si>
    <t>MPF-20804-20231116-14_23_01</t>
  </si>
  <si>
    <t>DARK-20805-20231116-14_23_08</t>
  </si>
  <si>
    <t>14:21:34</t>
  </si>
  <si>
    <t>20231116 14:25:49</t>
  </si>
  <si>
    <t>14:25:49</t>
  </si>
  <si>
    <t>14:25:04</t>
  </si>
  <si>
    <t>20231116 14:28:39</t>
  </si>
  <si>
    <t>14:28:39</t>
  </si>
  <si>
    <t>MPF-20806-20231116-14_28_03</t>
  </si>
  <si>
    <t>DARK-20807-20231116-14_28_10</t>
  </si>
  <si>
    <t>14:27:17</t>
  </si>
  <si>
    <t>20231116 14:31:49</t>
  </si>
  <si>
    <t>14:31:49</t>
  </si>
  <si>
    <t>MPF-20808-20231116-14_31_13</t>
  </si>
  <si>
    <t>DARK-20809-20231116-14_31_20</t>
  </si>
  <si>
    <t>14:30:13</t>
  </si>
  <si>
    <t>20231116 14:34:06</t>
  </si>
  <si>
    <t>14:34:06</t>
  </si>
  <si>
    <t>14:33:27</t>
  </si>
  <si>
    <t>20231116 14:36:13</t>
  </si>
  <si>
    <t>14:36:13</t>
  </si>
  <si>
    <t>MPF-20810-20231116-14_35_37</t>
  </si>
  <si>
    <t>DARK-20811-20231116-14_35_44</t>
  </si>
  <si>
    <t>14:35:39</t>
  </si>
  <si>
    <t>20231116 14:38:23</t>
  </si>
  <si>
    <t>14:38:23</t>
  </si>
  <si>
    <t>14:37:50</t>
  </si>
  <si>
    <t>20231116 14:40:15</t>
  </si>
  <si>
    <t>14:40:15</t>
  </si>
  <si>
    <t>MPF-20812-20231116-14_39_39</t>
  </si>
  <si>
    <t>DARK-20813-20231116-14_39_46</t>
  </si>
  <si>
    <t>14:39:41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</si>
</sst>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100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1700148981.5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1700148981.5</v>
      </c>
      <c r="J17">
        <f t="shared" ref="J17:J48" si="0">(K17)/1000</f>
        <v>3.9840103343856967E-3</v>
      </c>
      <c r="K17">
        <f t="shared" ref="K17:K48" si="1">1000*DK17*AI17*(DG17-DH17)/(100*CZ17*(1000-AI17*DG17))</f>
        <v>3.9840103343856965</v>
      </c>
      <c r="L17">
        <f t="shared" ref="L17:L48" si="2">DK17*AI17*(DF17-DE17*(1000-AI17*DH17)/(1000-AI17*DG17))/(100*CZ17)</f>
        <v>43.935780552004069</v>
      </c>
      <c r="M17">
        <f t="shared" ref="M17:M48" si="3">DE17 - IF(AI17&gt;1, L17*CZ17*100/(AK17*DS17), 0)</f>
        <v>401.18599999999998</v>
      </c>
      <c r="N17">
        <f t="shared" ref="N17:N48" si="4">((T17-J17/2)*M17-L17)/(T17+J17/2)</f>
        <v>119.76215178406652</v>
      </c>
      <c r="O17">
        <f t="shared" ref="O17:O48" si="5">N17*(DL17+DM17)/1000</f>
        <v>11.941499723469006</v>
      </c>
      <c r="P17">
        <f t="shared" ref="P17:P48" si="6">(DE17 - IF(AI17&gt;1, L17*CZ17*100/(AK17*DS17), 0))*(DL17+DM17)/1000</f>
        <v>40.002308214180005</v>
      </c>
      <c r="Q17">
        <f t="shared" ref="Q17:Q48" si="7">2/((1/S17-1/R17)+SIGN(S17)*SQRT((1/S17-1/R17)*(1/S17-1/R17) + 4*DA17/((DA17+1)*(DA17+1))*(2*1/S17*1/R17-1/R17*1/R17)))</f>
        <v>0.26627940047742954</v>
      </c>
      <c r="R17">
        <f t="shared" ref="R17:R48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3.0490375042890219</v>
      </c>
      <c r="S17">
        <f t="shared" ref="S17:S48" si="9">J17*(1000-(1000*0.61365*EXP(17.502*W17/(240.97+W17))/(DL17+DM17)+DG17)/2)/(1000*0.61365*EXP(17.502*W17/(240.97+W17))/(DL17+DM17)-DG17)</f>
        <v>0.25400180389418736</v>
      </c>
      <c r="T17">
        <f t="shared" ref="T17:T48" si="10">1/((DA17+1)/(Q17/1.6)+1/(R17/1.37)) + DA17/((DA17+1)/(Q17/1.6) + DA17/(R17/1.37))</f>
        <v>0.15980703926587561</v>
      </c>
      <c r="U17">
        <f t="shared" ref="U17:U48" si="11">(CV17*CY17)</f>
        <v>344.37639876298812</v>
      </c>
      <c r="V17">
        <f t="shared" ref="V17:V48" si="12">(DN17+(U17+2*0.95*0.0000000567*(((DN17+$B$7)+273)^4-(DN17+273)^4)-44100*J17)/(1.84*29.3*R17+8*0.95*0.0000000567*(DN17+273)^3))</f>
        <v>30.838998573540177</v>
      </c>
      <c r="W17">
        <f t="shared" ref="W17:W48" si="13">($C$7*DO17+$D$7*DP17+$E$7*V17)</f>
        <v>30.015999999999998</v>
      </c>
      <c r="X17">
        <f t="shared" ref="X17:X48" si="14">0.61365*EXP(17.502*W17/(240.97+W17))</f>
        <v>4.264366808677857</v>
      </c>
      <c r="Y17">
        <f t="shared" ref="Y17:Y48" si="15">(Z17/AA17*100)</f>
        <v>65.113723155763282</v>
      </c>
      <c r="Z17">
        <f t="shared" ref="Z17:Z48" si="16">DG17*(DL17+DM17)/1000</f>
        <v>2.7554695005240002</v>
      </c>
      <c r="AA17">
        <f t="shared" ref="AA17:AA48" si="17">0.61365*EXP(17.502*DN17/(240.97+DN17))</f>
        <v>4.2317799796710149</v>
      </c>
      <c r="AB17">
        <f t="shared" ref="AB17:AB48" si="18">(X17-DG17*(DL17+DM17)/1000)</f>
        <v>1.5088973081538568</v>
      </c>
      <c r="AC17">
        <f t="shared" ref="AC17:AC48" si="19">(-J17*44100)</f>
        <v>-175.69485574640922</v>
      </c>
      <c r="AD17">
        <f t="shared" ref="AD17:AD48" si="20">2*29.3*R17*0.92*(DN17-W17)</f>
        <v>-21.944691275818833</v>
      </c>
      <c r="AE17">
        <f t="shared" ref="AE17:AE48" si="21">2*0.95*0.0000000567*(((DN17+$B$7)+273)^4-(W17+273)^4)</f>
        <v>-1.5995122958405836</v>
      </c>
      <c r="AF17">
        <f t="shared" ref="AF17:AF48" si="22">U17+AE17+AC17+AD17</f>
        <v>145.13733944491946</v>
      </c>
      <c r="AG17">
        <v>24</v>
      </c>
      <c r="AH17">
        <v>5</v>
      </c>
      <c r="AI17">
        <f t="shared" ref="AI17:AI48" si="23">IF(AG17*$H$13&gt;=AK17,1,(AK17/(AK17-AG17*$H$13)))</f>
        <v>1</v>
      </c>
      <c r="AJ17">
        <f t="shared" ref="AJ17:AJ48" si="24">(AI17-1)*100</f>
        <v>0</v>
      </c>
      <c r="AK17">
        <f t="shared" ref="AK17:AK48" si="25">MAX(0,($B$13+$C$13*DS17)/(1+$D$13*DS17)*DL17/(DN17+273)*$E$13)</f>
        <v>52119.43272951134</v>
      </c>
      <c r="AL17" t="s">
        <v>415</v>
      </c>
      <c r="AM17">
        <v>7133.88</v>
      </c>
      <c r="AN17">
        <v>306.28384615384618</v>
      </c>
      <c r="AO17">
        <v>859.63916333292491</v>
      </c>
      <c r="AP17">
        <f t="shared" ref="AP17:AP48" si="26">1-AN17/AO17</f>
        <v>0.64370650010133712</v>
      </c>
      <c r="AQ17">
        <v>-0.73746743666429193</v>
      </c>
      <c r="AR17" t="s">
        <v>416</v>
      </c>
      <c r="AS17">
        <v>7145.39</v>
      </c>
      <c r="AT17">
        <v>696.13308000000006</v>
      </c>
      <c r="AU17">
        <v>946.83860983994066</v>
      </c>
      <c r="AV17">
        <f t="shared" ref="AV17:AV48" si="27">1-AT17/AU17</f>
        <v>0.26478169271352525</v>
      </c>
      <c r="AW17">
        <v>0.5</v>
      </c>
      <c r="AX17">
        <f t="shared" ref="AX17:AX48" si="28">CW17</f>
        <v>1513.2179993814941</v>
      </c>
      <c r="AY17">
        <f t="shared" ref="AY17:AY48" si="29">L17</f>
        <v>43.935780552004069</v>
      </c>
      <c r="AZ17">
        <f t="shared" ref="AZ17:AZ48" si="30">AV17*AW17*AX17</f>
        <v>200.33621166040311</v>
      </c>
      <c r="BA17">
        <f t="shared" ref="BA17:BA48" si="31">(AY17-AQ17)/AX17</f>
        <v>2.9522017321316492E-2</v>
      </c>
      <c r="BB17">
        <f t="shared" ref="BB17:BB48" si="32">(AO17-AU17)/AU17</f>
        <v>-9.2095364089299733E-2</v>
      </c>
      <c r="BC17">
        <f t="shared" ref="BC17:BC48" si="33">AN17/(AP17+AN17/AU17)</f>
        <v>316.67489295488264</v>
      </c>
      <c r="BD17" t="s">
        <v>417</v>
      </c>
      <c r="BE17">
        <v>466.14</v>
      </c>
      <c r="BF17">
        <f t="shared" ref="BF17:BF48" si="34">IF(BE17&lt;&gt;0, BE17, BC17)</f>
        <v>466.14</v>
      </c>
      <c r="BG17">
        <f t="shared" ref="BG17:BG48" si="35">1-BF17/AU17</f>
        <v>0.50768801023143839</v>
      </c>
      <c r="BH17">
        <f t="shared" ref="BH17:BH48" si="36">(AU17-AT17)/(AU17-BF17)</f>
        <v>0.52154411248124599</v>
      </c>
      <c r="BI17">
        <f t="shared" ref="BI17:BI48" si="37">(AO17-AU17)/(AO17-BF17)</f>
        <v>-0.22160008109912946</v>
      </c>
      <c r="BJ17">
        <f t="shared" ref="BJ17:BJ48" si="38">(AU17-AT17)/(AU17-AN17)</f>
        <v>0.39138812799899725</v>
      </c>
      <c r="BK17">
        <f t="shared" ref="BK17:BK48" si="39">(AO17-AU17)/(AO17-AN17)</f>
        <v>-0.15758310040562232</v>
      </c>
      <c r="BL17">
        <f t="shared" ref="BL17:BL48" si="40">(BH17*BF17/AT17)</f>
        <v>0.34923289752586961</v>
      </c>
      <c r="BM17">
        <f t="shared" ref="BM17:BM48" si="41">(1-BL17)</f>
        <v>0.65076710247413039</v>
      </c>
      <c r="BN17">
        <v>20708</v>
      </c>
      <c r="BO17">
        <v>290.00000000000011</v>
      </c>
      <c r="BP17">
        <v>878.2</v>
      </c>
      <c r="BQ17">
        <v>295</v>
      </c>
      <c r="BR17">
        <v>7145.39</v>
      </c>
      <c r="BS17">
        <v>879.9</v>
      </c>
      <c r="BT17">
        <v>-1.7</v>
      </c>
      <c r="BU17">
        <v>300.00000000000011</v>
      </c>
      <c r="BV17">
        <v>38.200000000000003</v>
      </c>
      <c r="BW17">
        <v>946.83860983994066</v>
      </c>
      <c r="BX17">
        <v>1.065873097791598</v>
      </c>
      <c r="BY17">
        <v>-47.827382584363669</v>
      </c>
      <c r="BZ17">
        <v>0.63829272543683735</v>
      </c>
      <c r="CA17">
        <v>0.99503768735841247</v>
      </c>
      <c r="CB17">
        <v>-7.0540362625139017E-3</v>
      </c>
      <c r="CC17">
        <v>289.99999999999989</v>
      </c>
      <c r="CD17">
        <v>889.38</v>
      </c>
      <c r="CE17">
        <v>895</v>
      </c>
      <c r="CF17">
        <v>7138.15</v>
      </c>
      <c r="CG17">
        <v>879.84</v>
      </c>
      <c r="CH17">
        <v>9.5399999999999991</v>
      </c>
      <c r="CV17">
        <f t="shared" ref="CV17:CV48" si="42">$B$11*DT17+$C$11*DU17+$F$11*EF17*(1-EI17)</f>
        <v>1800.04</v>
      </c>
      <c r="CW17">
        <f t="shared" ref="CW17:CW48" si="43">CV17*CX17</f>
        <v>1513.2179993814941</v>
      </c>
      <c r="CX17">
        <f t="shared" ref="CX17:CX48" si="44">($B$11*$D$9+$C$11*$D$9+$F$11*((ES17+EK17)/MAX(ES17+EK17+ET17, 0.1)*$I$9+ET17/MAX(ES17+EK17+ET17, 0.1)*$J$9))/($B$11+$C$11+$F$11)</f>
        <v>0.84065798503449596</v>
      </c>
      <c r="CY17">
        <f t="shared" ref="CY17:CY48" si="45">($B$11*$K$9+$C$11*$K$9+$F$11*((ES17+EK17)/MAX(ES17+EK17+ET17, 0.1)*$P$9+ET17/MAX(ES17+EK17+ET17, 0.1)*$Q$9))/($B$11+$C$11+$F$11)</f>
        <v>0.19131597006899187</v>
      </c>
      <c r="CZ17">
        <v>5.36</v>
      </c>
      <c r="DA17">
        <v>0.5</v>
      </c>
      <c r="DB17" t="s">
        <v>418</v>
      </c>
      <c r="DC17">
        <v>2</v>
      </c>
      <c r="DD17">
        <v>1700148981.5</v>
      </c>
      <c r="DE17">
        <v>401.18599999999998</v>
      </c>
      <c r="DF17">
        <v>449.97699999999998</v>
      </c>
      <c r="DG17">
        <v>27.634799999999998</v>
      </c>
      <c r="DH17">
        <v>23.483799999999999</v>
      </c>
      <c r="DI17">
        <v>405.97800000000001</v>
      </c>
      <c r="DJ17">
        <v>27.604299999999999</v>
      </c>
      <c r="DK17">
        <v>500.221</v>
      </c>
      <c r="DL17">
        <v>99.6096</v>
      </c>
      <c r="DM17">
        <v>0.10052999999999999</v>
      </c>
      <c r="DN17">
        <v>29.8825</v>
      </c>
      <c r="DO17">
        <v>30.015999999999998</v>
      </c>
      <c r="DP17">
        <v>999.9</v>
      </c>
      <c r="DQ17">
        <v>0</v>
      </c>
      <c r="DR17">
        <v>0</v>
      </c>
      <c r="DS17">
        <v>9990</v>
      </c>
      <c r="DT17">
        <v>0</v>
      </c>
      <c r="DU17">
        <v>390.803</v>
      </c>
      <c r="DV17">
        <v>-48.791600000000003</v>
      </c>
      <c r="DW17">
        <v>412.58800000000002</v>
      </c>
      <c r="DX17">
        <v>460.79899999999998</v>
      </c>
      <c r="DY17">
        <v>4.1510699999999998</v>
      </c>
      <c r="DZ17">
        <v>449.97699999999998</v>
      </c>
      <c r="EA17">
        <v>23.483799999999999</v>
      </c>
      <c r="EB17">
        <v>2.7526999999999999</v>
      </c>
      <c r="EC17">
        <v>2.33921</v>
      </c>
      <c r="ED17">
        <v>22.603100000000001</v>
      </c>
      <c r="EE17">
        <v>19.949000000000002</v>
      </c>
      <c r="EF17">
        <v>1800.04</v>
      </c>
      <c r="EG17">
        <v>0.97800399999999998</v>
      </c>
      <c r="EH17">
        <v>2.19963E-2</v>
      </c>
      <c r="EI17">
        <v>0</v>
      </c>
      <c r="EJ17">
        <v>696.35900000000004</v>
      </c>
      <c r="EK17">
        <v>5.0009399999999999</v>
      </c>
      <c r="EL17">
        <v>13514.7</v>
      </c>
      <c r="EM17">
        <v>13860.5</v>
      </c>
      <c r="EN17">
        <v>47.686999999999998</v>
      </c>
      <c r="EO17">
        <v>49.686999999999998</v>
      </c>
      <c r="EP17">
        <v>48.75</v>
      </c>
      <c r="EQ17">
        <v>48.875</v>
      </c>
      <c r="ER17">
        <v>49.125</v>
      </c>
      <c r="ES17">
        <v>1755.56</v>
      </c>
      <c r="ET17">
        <v>39.479999999999997</v>
      </c>
      <c r="EU17">
        <v>0</v>
      </c>
      <c r="EV17">
        <v>1700148963.4000001</v>
      </c>
      <c r="EW17">
        <v>0</v>
      </c>
      <c r="EX17">
        <v>696.13308000000006</v>
      </c>
      <c r="EY17">
        <v>-0.51600000674751179</v>
      </c>
      <c r="EZ17">
        <v>106.4230766931878</v>
      </c>
      <c r="FA17">
        <v>13525.404</v>
      </c>
      <c r="FB17">
        <v>15</v>
      </c>
      <c r="FC17">
        <v>1700148945</v>
      </c>
      <c r="FD17" t="s">
        <v>419</v>
      </c>
      <c r="FE17">
        <v>1700148945</v>
      </c>
      <c r="FF17">
        <v>1700148944.5</v>
      </c>
      <c r="FG17">
        <v>2</v>
      </c>
      <c r="FH17">
        <v>0.24</v>
      </c>
      <c r="FI17">
        <v>-4.3999999999999997E-2</v>
      </c>
      <c r="FJ17">
        <v>-4.952</v>
      </c>
      <c r="FK17">
        <v>3.1E-2</v>
      </c>
      <c r="FL17">
        <v>450</v>
      </c>
      <c r="FM17">
        <v>23</v>
      </c>
      <c r="FN17">
        <v>7.0000000000000007E-2</v>
      </c>
      <c r="FO17">
        <v>0.03</v>
      </c>
      <c r="FP17">
        <v>43.932916178000987</v>
      </c>
      <c r="FQ17">
        <v>-0.35645631393855759</v>
      </c>
      <c r="FR17">
        <v>4.6556640860532572E-2</v>
      </c>
      <c r="FS17">
        <v>1</v>
      </c>
      <c r="FT17">
        <v>0.26797167272003553</v>
      </c>
      <c r="FU17">
        <v>5.6670288572191439E-3</v>
      </c>
      <c r="FV17">
        <v>2.1189187685307568E-3</v>
      </c>
      <c r="FW17">
        <v>1</v>
      </c>
      <c r="FX17">
        <v>2</v>
      </c>
      <c r="FY17">
        <v>2</v>
      </c>
      <c r="FZ17" t="s">
        <v>420</v>
      </c>
      <c r="GA17">
        <v>3.1193900000000001</v>
      </c>
      <c r="GB17">
        <v>2.8780800000000002</v>
      </c>
      <c r="GC17">
        <v>8.8241899999999998E-2</v>
      </c>
      <c r="GD17">
        <v>9.6676399999999996E-2</v>
      </c>
      <c r="GE17">
        <v>0.125003</v>
      </c>
      <c r="GF17">
        <v>0.112249</v>
      </c>
      <c r="GG17">
        <v>26514.6</v>
      </c>
      <c r="GH17">
        <v>26860.2</v>
      </c>
      <c r="GI17">
        <v>26784.3</v>
      </c>
      <c r="GJ17">
        <v>27460</v>
      </c>
      <c r="GK17">
        <v>33524.6</v>
      </c>
      <c r="GL17">
        <v>34057.300000000003</v>
      </c>
      <c r="GM17">
        <v>39687.5</v>
      </c>
      <c r="GN17">
        <v>39757.599999999999</v>
      </c>
      <c r="GO17">
        <v>1.93587</v>
      </c>
      <c r="GP17">
        <v>2.4790999999999999</v>
      </c>
      <c r="GQ17">
        <v>3.9611E-2</v>
      </c>
      <c r="GR17">
        <v>0</v>
      </c>
      <c r="GS17">
        <v>29.371099999999998</v>
      </c>
      <c r="GT17">
        <v>999.9</v>
      </c>
      <c r="GU17">
        <v>58.1</v>
      </c>
      <c r="GV17">
        <v>34.9</v>
      </c>
      <c r="GW17">
        <v>32.764400000000002</v>
      </c>
      <c r="GX17">
        <v>62.340200000000003</v>
      </c>
      <c r="GY17">
        <v>5.0480799999999997</v>
      </c>
      <c r="GZ17">
        <v>3</v>
      </c>
      <c r="HA17">
        <v>0.50862799999999997</v>
      </c>
      <c r="HB17">
        <v>3.3360300000000001</v>
      </c>
      <c r="HC17">
        <v>20.2728</v>
      </c>
      <c r="HD17">
        <v>5.2171399999999997</v>
      </c>
      <c r="HE17">
        <v>11.908099999999999</v>
      </c>
      <c r="HF17">
        <v>4.9976000000000003</v>
      </c>
      <c r="HG17">
        <v>3.3026</v>
      </c>
      <c r="HH17">
        <v>9999</v>
      </c>
      <c r="HI17">
        <v>9999</v>
      </c>
      <c r="HJ17">
        <v>9999</v>
      </c>
      <c r="HK17">
        <v>999.9</v>
      </c>
      <c r="HL17">
        <v>1.88479</v>
      </c>
      <c r="HM17">
        <v>1.8853800000000001</v>
      </c>
      <c r="HN17">
        <v>1.8814200000000001</v>
      </c>
      <c r="HO17">
        <v>1.8829400000000001</v>
      </c>
      <c r="HP17">
        <v>1.8800399999999999</v>
      </c>
      <c r="HQ17">
        <v>1.88354</v>
      </c>
      <c r="HR17">
        <v>1.8794299999999999</v>
      </c>
      <c r="HS17">
        <v>1.88171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-4.7919999999999998</v>
      </c>
      <c r="IH17">
        <v>3.0499999999999999E-2</v>
      </c>
      <c r="II17">
        <v>-3.3483438077624861</v>
      </c>
      <c r="IJ17">
        <v>-3.7794827560518689E-3</v>
      </c>
      <c r="IK17">
        <v>4.9551128961100493E-7</v>
      </c>
      <c r="IL17">
        <v>1.3680294268397379E-10</v>
      </c>
      <c r="IM17">
        <v>3.0519999999999211E-2</v>
      </c>
      <c r="IN17">
        <v>0</v>
      </c>
      <c r="IO17">
        <v>0</v>
      </c>
      <c r="IP17">
        <v>0</v>
      </c>
      <c r="IQ17">
        <v>4</v>
      </c>
      <c r="IR17">
        <v>2229</v>
      </c>
      <c r="IS17">
        <v>1</v>
      </c>
      <c r="IT17">
        <v>22</v>
      </c>
      <c r="IU17">
        <v>0.6</v>
      </c>
      <c r="IV17">
        <v>0.6</v>
      </c>
      <c r="IW17">
        <v>1.64307</v>
      </c>
      <c r="IX17">
        <v>2.51709</v>
      </c>
      <c r="IY17">
        <v>2.9956100000000001</v>
      </c>
      <c r="IZ17">
        <v>2.94556</v>
      </c>
      <c r="JA17">
        <v>3.1970200000000002</v>
      </c>
      <c r="JB17">
        <v>2.4670399999999999</v>
      </c>
      <c r="JC17">
        <v>41.717399999999998</v>
      </c>
      <c r="JD17">
        <v>23.500900000000001</v>
      </c>
      <c r="JE17">
        <v>18</v>
      </c>
      <c r="JF17">
        <v>492.48</v>
      </c>
      <c r="JG17">
        <v>1165</v>
      </c>
      <c r="JH17">
        <v>25.061900000000001</v>
      </c>
      <c r="JI17">
        <v>33.501199999999997</v>
      </c>
      <c r="JJ17">
        <v>30.000399999999999</v>
      </c>
      <c r="JK17">
        <v>33.498399999999997</v>
      </c>
      <c r="JL17">
        <v>33.412100000000002</v>
      </c>
      <c r="JM17">
        <v>32.913699999999999</v>
      </c>
      <c r="JN17">
        <v>30.4817</v>
      </c>
      <c r="JO17">
        <v>51.688299999999998</v>
      </c>
      <c r="JP17">
        <v>25.0623</v>
      </c>
      <c r="JQ17">
        <v>450</v>
      </c>
      <c r="JR17">
        <v>23.511500000000002</v>
      </c>
      <c r="JS17">
        <v>98.918599999999998</v>
      </c>
      <c r="JT17">
        <v>97.276899999999998</v>
      </c>
    </row>
    <row r="18" spans="1:280" x14ac:dyDescent="0.25">
      <c r="A18">
        <v>2</v>
      </c>
      <c r="B18">
        <v>1700149229.5</v>
      </c>
      <c r="C18">
        <v>248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1700149229.5</v>
      </c>
      <c r="J18">
        <f t="shared" si="0"/>
        <v>2.0500324844088371E-3</v>
      </c>
      <c r="K18">
        <f t="shared" si="1"/>
        <v>2.0500324844088369</v>
      </c>
      <c r="L18">
        <f t="shared" si="2"/>
        <v>48.383238592320637</v>
      </c>
      <c r="M18">
        <f t="shared" si="3"/>
        <v>1444.81</v>
      </c>
      <c r="N18">
        <f t="shared" si="4"/>
        <v>793.37591309710365</v>
      </c>
      <c r="O18">
        <f t="shared" si="5"/>
        <v>79.10504862468926</v>
      </c>
      <c r="P18">
        <f t="shared" si="6"/>
        <v>144.05751853150699</v>
      </c>
      <c r="Q18">
        <f t="shared" si="7"/>
        <v>0.12693145258009741</v>
      </c>
      <c r="R18">
        <f t="shared" si="8"/>
        <v>3.0482809405758511</v>
      </c>
      <c r="S18">
        <f t="shared" si="9"/>
        <v>0.12406657097355411</v>
      </c>
      <c r="T18">
        <f t="shared" si="10"/>
        <v>7.7793619531414449E-2</v>
      </c>
      <c r="U18">
        <f t="shared" si="11"/>
        <v>344.35109876321212</v>
      </c>
      <c r="V18">
        <f t="shared" si="12"/>
        <v>31.054371258781508</v>
      </c>
      <c r="W18">
        <f t="shared" si="13"/>
        <v>30.021000000000001</v>
      </c>
      <c r="X18">
        <f t="shared" si="14"/>
        <v>4.2655915259724431</v>
      </c>
      <c r="Y18">
        <f t="shared" si="15"/>
        <v>64.207157606674727</v>
      </c>
      <c r="Z18">
        <f t="shared" si="16"/>
        <v>2.6754151641061599</v>
      </c>
      <c r="AA18">
        <f t="shared" si="17"/>
        <v>4.1668487810898425</v>
      </c>
      <c r="AB18">
        <f t="shared" si="18"/>
        <v>1.5901763618662832</v>
      </c>
      <c r="AC18">
        <f t="shared" si="19"/>
        <v>-90.406432562429714</v>
      </c>
      <c r="AD18">
        <f t="shared" si="20"/>
        <v>-66.918809066221982</v>
      </c>
      <c r="AE18">
        <f t="shared" si="21"/>
        <v>-4.8724466841586143</v>
      </c>
      <c r="AF18">
        <f t="shared" si="22"/>
        <v>182.15341045040185</v>
      </c>
      <c r="AG18">
        <v>24</v>
      </c>
      <c r="AH18">
        <v>5</v>
      </c>
      <c r="AI18">
        <f t="shared" si="23"/>
        <v>1</v>
      </c>
      <c r="AJ18">
        <f t="shared" si="24"/>
        <v>0</v>
      </c>
      <c r="AK18">
        <f t="shared" si="25"/>
        <v>52145.510563052878</v>
      </c>
      <c r="AL18" t="s">
        <v>415</v>
      </c>
      <c r="AM18">
        <v>7133.88</v>
      </c>
      <c r="AN18">
        <v>306.28384615384618</v>
      </c>
      <c r="AO18">
        <v>859.63916333292491</v>
      </c>
      <c r="AP18">
        <f t="shared" si="26"/>
        <v>0.64370650010133712</v>
      </c>
      <c r="AQ18">
        <v>-0.73746743666429193</v>
      </c>
      <c r="AR18" t="s">
        <v>426</v>
      </c>
      <c r="AS18">
        <v>7143.95</v>
      </c>
      <c r="AT18">
        <v>683.11892307692312</v>
      </c>
      <c r="AU18">
        <v>971.32725853878617</v>
      </c>
      <c r="AV18">
        <f t="shared" si="27"/>
        <v>0.29671599651741321</v>
      </c>
      <c r="AW18">
        <v>0.5</v>
      </c>
      <c r="AX18">
        <f t="shared" si="28"/>
        <v>1513.1084993816062</v>
      </c>
      <c r="AY18">
        <f t="shared" si="29"/>
        <v>48.383238592320637</v>
      </c>
      <c r="AZ18">
        <f t="shared" si="30"/>
        <v>224.48174811649048</v>
      </c>
      <c r="BA18">
        <f t="shared" si="31"/>
        <v>3.2463439369390973E-2</v>
      </c>
      <c r="BB18">
        <f t="shared" si="32"/>
        <v>-0.11498503127965232</v>
      </c>
      <c r="BC18">
        <f t="shared" si="33"/>
        <v>319.3678417848551</v>
      </c>
      <c r="BD18" t="s">
        <v>427</v>
      </c>
      <c r="BE18">
        <v>472.15</v>
      </c>
      <c r="BF18">
        <f t="shared" si="34"/>
        <v>472.15</v>
      </c>
      <c r="BG18">
        <f t="shared" si="35"/>
        <v>0.51391253992987118</v>
      </c>
      <c r="BH18">
        <f t="shared" si="36"/>
        <v>0.57736671799817019</v>
      </c>
      <c r="BI18">
        <f t="shared" si="37"/>
        <v>-0.28823540314055313</v>
      </c>
      <c r="BJ18">
        <f t="shared" si="38"/>
        <v>0.43336770215993431</v>
      </c>
      <c r="BK18">
        <f t="shared" si="39"/>
        <v>-0.20183793620205945</v>
      </c>
      <c r="BL18">
        <f t="shared" si="40"/>
        <v>0.39905745060459885</v>
      </c>
      <c r="BM18">
        <f t="shared" si="41"/>
        <v>0.60094254939540115</v>
      </c>
      <c r="BN18">
        <v>20710</v>
      </c>
      <c r="BO18">
        <v>290.00000000000011</v>
      </c>
      <c r="BP18">
        <v>889.96</v>
      </c>
      <c r="BQ18">
        <v>285</v>
      </c>
      <c r="BR18">
        <v>7143.95</v>
      </c>
      <c r="BS18">
        <v>891.07</v>
      </c>
      <c r="BT18">
        <v>-1.1100000000000001</v>
      </c>
      <c r="BU18">
        <v>300.00000000000011</v>
      </c>
      <c r="BV18">
        <v>38.200000000000003</v>
      </c>
      <c r="BW18">
        <v>971.32725853878617</v>
      </c>
      <c r="BX18">
        <v>1.2093918112735531</v>
      </c>
      <c r="BY18">
        <v>-57.334183517077037</v>
      </c>
      <c r="BZ18">
        <v>0.72408394661767594</v>
      </c>
      <c r="CA18">
        <v>0.99555395955637449</v>
      </c>
      <c r="CB18">
        <v>-7.0528489432703043E-3</v>
      </c>
      <c r="CC18">
        <v>289.99999999999989</v>
      </c>
      <c r="CD18">
        <v>899.97</v>
      </c>
      <c r="CE18">
        <v>855</v>
      </c>
      <c r="CF18">
        <v>7136.98</v>
      </c>
      <c r="CG18">
        <v>890.99</v>
      </c>
      <c r="CH18">
        <v>8.98</v>
      </c>
      <c r="CV18">
        <f t="shared" si="42"/>
        <v>1799.91</v>
      </c>
      <c r="CW18">
        <f t="shared" si="43"/>
        <v>1513.1084993816062</v>
      </c>
      <c r="CX18">
        <f t="shared" si="44"/>
        <v>0.84065786588307534</v>
      </c>
      <c r="CY18">
        <f t="shared" si="45"/>
        <v>0.1913157317661506</v>
      </c>
      <c r="CZ18">
        <v>5.36</v>
      </c>
      <c r="DA18">
        <v>0.5</v>
      </c>
      <c r="DB18" t="s">
        <v>418</v>
      </c>
      <c r="DC18">
        <v>2</v>
      </c>
      <c r="DD18">
        <v>1700149229.5</v>
      </c>
      <c r="DE18">
        <v>1444.81</v>
      </c>
      <c r="DF18">
        <v>1499.84</v>
      </c>
      <c r="DG18">
        <v>26.832799999999999</v>
      </c>
      <c r="DH18">
        <v>24.694600000000001</v>
      </c>
      <c r="DI18">
        <v>1452.71</v>
      </c>
      <c r="DJ18">
        <v>26.773700000000002</v>
      </c>
      <c r="DK18">
        <v>500.10899999999998</v>
      </c>
      <c r="DL18">
        <v>99.606899999999996</v>
      </c>
      <c r="DM18">
        <v>9.9994700000000006E-2</v>
      </c>
      <c r="DN18">
        <v>29.613800000000001</v>
      </c>
      <c r="DO18">
        <v>30.021000000000001</v>
      </c>
      <c r="DP18">
        <v>999.9</v>
      </c>
      <c r="DQ18">
        <v>0</v>
      </c>
      <c r="DR18">
        <v>0</v>
      </c>
      <c r="DS18">
        <v>9986.25</v>
      </c>
      <c r="DT18">
        <v>0</v>
      </c>
      <c r="DU18">
        <v>478.125</v>
      </c>
      <c r="DV18">
        <v>-55.033299999999997</v>
      </c>
      <c r="DW18">
        <v>1484.65</v>
      </c>
      <c r="DX18">
        <v>1537.82</v>
      </c>
      <c r="DY18">
        <v>2.1381899999999998</v>
      </c>
      <c r="DZ18">
        <v>1499.84</v>
      </c>
      <c r="EA18">
        <v>24.694600000000001</v>
      </c>
      <c r="EB18">
        <v>2.6727300000000001</v>
      </c>
      <c r="EC18">
        <v>2.4597500000000001</v>
      </c>
      <c r="ED18">
        <v>22.118400000000001</v>
      </c>
      <c r="EE18">
        <v>20.762599999999999</v>
      </c>
      <c r="EF18">
        <v>1799.91</v>
      </c>
      <c r="EG18">
        <v>0.97800799999999999</v>
      </c>
      <c r="EH18">
        <v>2.1992500000000002E-2</v>
      </c>
      <c r="EI18">
        <v>0</v>
      </c>
      <c r="EJ18">
        <v>683.02599999999995</v>
      </c>
      <c r="EK18">
        <v>5.0009399999999999</v>
      </c>
      <c r="EL18">
        <v>13298.2</v>
      </c>
      <c r="EM18">
        <v>13859.5</v>
      </c>
      <c r="EN18">
        <v>48.061999999999998</v>
      </c>
      <c r="EO18">
        <v>50.125</v>
      </c>
      <c r="EP18">
        <v>49.125</v>
      </c>
      <c r="EQ18">
        <v>49.5</v>
      </c>
      <c r="ER18">
        <v>49.436999999999998</v>
      </c>
      <c r="ES18">
        <v>1755.44</v>
      </c>
      <c r="ET18">
        <v>39.47</v>
      </c>
      <c r="EU18">
        <v>0</v>
      </c>
      <c r="EV18">
        <v>246.20000004768369</v>
      </c>
      <c r="EW18">
        <v>0</v>
      </c>
      <c r="EX18">
        <v>683.11892307692312</v>
      </c>
      <c r="EY18">
        <v>-0.75391450484085187</v>
      </c>
      <c r="EZ18">
        <v>10.194871728057571</v>
      </c>
      <c r="FA18">
        <v>13298.130769230769</v>
      </c>
      <c r="FB18">
        <v>15</v>
      </c>
      <c r="FC18">
        <v>1700149148.5</v>
      </c>
      <c r="FD18" t="s">
        <v>428</v>
      </c>
      <c r="FE18">
        <v>1700149148.5</v>
      </c>
      <c r="FF18">
        <v>1700149144.5</v>
      </c>
      <c r="FG18">
        <v>3</v>
      </c>
      <c r="FH18">
        <v>-0.52600000000000002</v>
      </c>
      <c r="FI18">
        <v>2.8000000000000001E-2</v>
      </c>
      <c r="FJ18">
        <v>-7.9790000000000001</v>
      </c>
      <c r="FK18">
        <v>5.8999999999999997E-2</v>
      </c>
      <c r="FL18">
        <v>1500</v>
      </c>
      <c r="FM18">
        <v>25</v>
      </c>
      <c r="FN18">
        <v>0.05</v>
      </c>
      <c r="FO18">
        <v>0.05</v>
      </c>
      <c r="FP18">
        <v>48.567722847609318</v>
      </c>
      <c r="FQ18">
        <v>0.68448847538420488</v>
      </c>
      <c r="FR18">
        <v>6.2059058470029189E-2</v>
      </c>
      <c r="FS18">
        <v>1</v>
      </c>
      <c r="FT18">
        <v>0.13401911048435461</v>
      </c>
      <c r="FU18">
        <v>-4.7617981378254882E-2</v>
      </c>
      <c r="FV18">
        <v>3.6503385171560488E-3</v>
      </c>
      <c r="FW18">
        <v>1</v>
      </c>
      <c r="FX18">
        <v>2</v>
      </c>
      <c r="FY18">
        <v>2</v>
      </c>
      <c r="FZ18" t="s">
        <v>420</v>
      </c>
      <c r="GA18">
        <v>3.1195400000000002</v>
      </c>
      <c r="GB18">
        <v>2.8774999999999999</v>
      </c>
      <c r="GC18">
        <v>0.20960899999999999</v>
      </c>
      <c r="GD18">
        <v>0.21610099999999999</v>
      </c>
      <c r="GE18">
        <v>0.122305</v>
      </c>
      <c r="GF18">
        <v>0.11632099999999999</v>
      </c>
      <c r="GG18">
        <v>22976.799999999999</v>
      </c>
      <c r="GH18">
        <v>23299.599999999999</v>
      </c>
      <c r="GI18">
        <v>26779</v>
      </c>
      <c r="GJ18">
        <v>27453.5</v>
      </c>
      <c r="GK18">
        <v>33632.1</v>
      </c>
      <c r="GL18">
        <v>33902.800000000003</v>
      </c>
      <c r="GM18">
        <v>39679.800000000003</v>
      </c>
      <c r="GN18">
        <v>39748.300000000003</v>
      </c>
      <c r="GO18">
        <v>1.9348700000000001</v>
      </c>
      <c r="GP18">
        <v>2.4750800000000002</v>
      </c>
      <c r="GQ18">
        <v>4.7367100000000002E-2</v>
      </c>
      <c r="GR18">
        <v>0</v>
      </c>
      <c r="GS18">
        <v>29.2498</v>
      </c>
      <c r="GT18">
        <v>999.9</v>
      </c>
      <c r="GU18">
        <v>56.1</v>
      </c>
      <c r="GV18">
        <v>35.6</v>
      </c>
      <c r="GW18">
        <v>32.886800000000001</v>
      </c>
      <c r="GX18">
        <v>63.340200000000003</v>
      </c>
      <c r="GY18">
        <v>4.9919900000000004</v>
      </c>
      <c r="GZ18">
        <v>3</v>
      </c>
      <c r="HA18">
        <v>0.52296699999999996</v>
      </c>
      <c r="HB18">
        <v>4.1203900000000004</v>
      </c>
      <c r="HC18">
        <v>20.254200000000001</v>
      </c>
      <c r="HD18">
        <v>5.21624</v>
      </c>
      <c r="HE18">
        <v>11.908099999999999</v>
      </c>
      <c r="HF18">
        <v>4.99735</v>
      </c>
      <c r="HG18">
        <v>3.3025799999999998</v>
      </c>
      <c r="HH18">
        <v>9999</v>
      </c>
      <c r="HI18">
        <v>9999</v>
      </c>
      <c r="HJ18">
        <v>9999</v>
      </c>
      <c r="HK18">
        <v>999.9</v>
      </c>
      <c r="HL18">
        <v>1.8848400000000001</v>
      </c>
      <c r="HM18">
        <v>1.8854</v>
      </c>
      <c r="HN18">
        <v>1.8814599999999999</v>
      </c>
      <c r="HO18">
        <v>1.88306</v>
      </c>
      <c r="HP18">
        <v>1.8800699999999999</v>
      </c>
      <c r="HQ18">
        <v>1.88354</v>
      </c>
      <c r="HR18">
        <v>1.8794299999999999</v>
      </c>
      <c r="HS18">
        <v>1.8817299999999999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-7.9</v>
      </c>
      <c r="IH18">
        <v>5.91E-2</v>
      </c>
      <c r="II18">
        <v>-3.8753634912015831</v>
      </c>
      <c r="IJ18">
        <v>-3.7794827560518689E-3</v>
      </c>
      <c r="IK18">
        <v>4.9551128961100493E-7</v>
      </c>
      <c r="IL18">
        <v>1.3680294268397379E-10</v>
      </c>
      <c r="IM18">
        <v>5.9014999999998707E-2</v>
      </c>
      <c r="IN18">
        <v>0</v>
      </c>
      <c r="IO18">
        <v>0</v>
      </c>
      <c r="IP18">
        <v>0</v>
      </c>
      <c r="IQ18">
        <v>4</v>
      </c>
      <c r="IR18">
        <v>2229</v>
      </c>
      <c r="IS18">
        <v>1</v>
      </c>
      <c r="IT18">
        <v>22</v>
      </c>
      <c r="IU18">
        <v>1.4</v>
      </c>
      <c r="IV18">
        <v>1.4</v>
      </c>
      <c r="IW18">
        <v>4.3237300000000003</v>
      </c>
      <c r="IX18">
        <v>2.5</v>
      </c>
      <c r="IY18">
        <v>2.9956100000000001</v>
      </c>
      <c r="IZ18">
        <v>2.94556</v>
      </c>
      <c r="JA18">
        <v>3.1970200000000002</v>
      </c>
      <c r="JB18">
        <v>2.49146</v>
      </c>
      <c r="JC18">
        <v>42.643900000000002</v>
      </c>
      <c r="JD18">
        <v>23.4833</v>
      </c>
      <c r="JE18">
        <v>18</v>
      </c>
      <c r="JF18">
        <v>492.43</v>
      </c>
      <c r="JG18">
        <v>1160.6600000000001</v>
      </c>
      <c r="JH18">
        <v>24.234200000000001</v>
      </c>
      <c r="JI18">
        <v>33.6126</v>
      </c>
      <c r="JJ18">
        <v>30.000900000000001</v>
      </c>
      <c r="JK18">
        <v>33.573300000000003</v>
      </c>
      <c r="JL18">
        <v>33.475700000000003</v>
      </c>
      <c r="JM18">
        <v>86.627300000000005</v>
      </c>
      <c r="JN18">
        <v>27.034400000000002</v>
      </c>
      <c r="JO18">
        <v>45.650599999999997</v>
      </c>
      <c r="JP18">
        <v>24.235399999999998</v>
      </c>
      <c r="JQ18">
        <v>1500</v>
      </c>
      <c r="JR18">
        <v>24.857299999999999</v>
      </c>
      <c r="JS18">
        <v>98.8994</v>
      </c>
      <c r="JT18">
        <v>97.254199999999997</v>
      </c>
    </row>
    <row r="19" spans="1:280" x14ac:dyDescent="0.25">
      <c r="A19">
        <v>3</v>
      </c>
      <c r="B19">
        <v>1700149373</v>
      </c>
      <c r="C19">
        <v>391.5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1700149373</v>
      </c>
      <c r="J19">
        <f t="shared" si="0"/>
        <v>2.2564107555289388E-3</v>
      </c>
      <c r="K19">
        <f t="shared" si="1"/>
        <v>2.2564107555289388</v>
      </c>
      <c r="L19">
        <f t="shared" si="2"/>
        <v>47.032898216308773</v>
      </c>
      <c r="M19">
        <f t="shared" si="3"/>
        <v>1196.74</v>
      </c>
      <c r="N19">
        <f t="shared" si="4"/>
        <v>638.30712469018624</v>
      </c>
      <c r="O19">
        <f t="shared" si="5"/>
        <v>63.644289383811589</v>
      </c>
      <c r="P19">
        <f t="shared" si="6"/>
        <v>119.32448179103602</v>
      </c>
      <c r="Q19">
        <f t="shared" si="7"/>
        <v>0.14383878306206885</v>
      </c>
      <c r="R19">
        <f t="shared" si="8"/>
        <v>3.0504180516623638</v>
      </c>
      <c r="S19">
        <f t="shared" si="9"/>
        <v>0.14017423902494666</v>
      </c>
      <c r="T19">
        <f t="shared" si="10"/>
        <v>8.7930368038581938E-2</v>
      </c>
      <c r="U19">
        <f t="shared" si="11"/>
        <v>344.37949876236837</v>
      </c>
      <c r="V19">
        <f t="shared" si="12"/>
        <v>30.948245630792925</v>
      </c>
      <c r="W19">
        <f t="shared" si="13"/>
        <v>30.0091</v>
      </c>
      <c r="X19">
        <f t="shared" si="14"/>
        <v>4.2626772020649577</v>
      </c>
      <c r="Y19">
        <f t="shared" si="15"/>
        <v>65.330804701314065</v>
      </c>
      <c r="Z19">
        <f t="shared" si="16"/>
        <v>2.7138108658486404</v>
      </c>
      <c r="AA19">
        <f t="shared" si="17"/>
        <v>4.1539529143348428</v>
      </c>
      <c r="AB19">
        <f t="shared" si="18"/>
        <v>1.5488663362163173</v>
      </c>
      <c r="AC19">
        <f t="shared" si="19"/>
        <v>-99.507714318826203</v>
      </c>
      <c r="AD19">
        <f t="shared" si="20"/>
        <v>-73.85635337634875</v>
      </c>
      <c r="AE19">
        <f t="shared" si="21"/>
        <v>-5.3720627613101373</v>
      </c>
      <c r="AF19">
        <f t="shared" si="22"/>
        <v>165.64336830588329</v>
      </c>
      <c r="AG19">
        <v>23</v>
      </c>
      <c r="AH19">
        <v>5</v>
      </c>
      <c r="AI19">
        <f t="shared" si="23"/>
        <v>1</v>
      </c>
      <c r="AJ19">
        <f t="shared" si="24"/>
        <v>0</v>
      </c>
      <c r="AK19">
        <f t="shared" si="25"/>
        <v>52211.723113815257</v>
      </c>
      <c r="AL19" t="s">
        <v>431</v>
      </c>
      <c r="AM19" t="s">
        <v>431</v>
      </c>
      <c r="AN19">
        <v>0</v>
      </c>
      <c r="AO19">
        <v>0</v>
      </c>
      <c r="AP19" t="e">
        <f t="shared" si="26"/>
        <v>#DIV/0!</v>
      </c>
      <c r="AQ19">
        <v>0</v>
      </c>
      <c r="AR19" t="s">
        <v>431</v>
      </c>
      <c r="AS19" t="s">
        <v>431</v>
      </c>
      <c r="AT19">
        <v>0</v>
      </c>
      <c r="AU19">
        <v>0</v>
      </c>
      <c r="AV19" t="e">
        <f t="shared" si="27"/>
        <v>#DIV/0!</v>
      </c>
      <c r="AW19">
        <v>0.5</v>
      </c>
      <c r="AX19">
        <f t="shared" si="28"/>
        <v>1513.226999381184</v>
      </c>
      <c r="AY19">
        <f t="shared" si="29"/>
        <v>47.032898216308773</v>
      </c>
      <c r="AZ19" t="e">
        <f t="shared" si="30"/>
        <v>#DIV/0!</v>
      </c>
      <c r="BA19">
        <f t="shared" si="31"/>
        <v>3.1081191543332436E-2</v>
      </c>
      <c r="BB19" t="e">
        <f t="shared" si="32"/>
        <v>#DIV/0!</v>
      </c>
      <c r="BC19" t="e">
        <f t="shared" si="33"/>
        <v>#DIV/0!</v>
      </c>
      <c r="BD19" t="s">
        <v>431</v>
      </c>
      <c r="BE19">
        <v>0</v>
      </c>
      <c r="BF19" t="e">
        <f t="shared" si="34"/>
        <v>#DIV/0!</v>
      </c>
      <c r="BG19" t="e">
        <f t="shared" si="35"/>
        <v>#DIV/0!</v>
      </c>
      <c r="BH19" t="e">
        <f t="shared" si="36"/>
        <v>#DIV/0!</v>
      </c>
      <c r="BI19" t="e">
        <f t="shared" si="37"/>
        <v>#DIV/0!</v>
      </c>
      <c r="BJ19" t="e">
        <f t="shared" si="38"/>
        <v>#DIV/0!</v>
      </c>
      <c r="BK19" t="e">
        <f t="shared" si="39"/>
        <v>#DIV/0!</v>
      </c>
      <c r="BL19" t="e">
        <f t="shared" si="40"/>
        <v>#DIV/0!</v>
      </c>
      <c r="BM19" t="e">
        <f t="shared" si="41"/>
        <v>#DIV/0!</v>
      </c>
      <c r="BN19">
        <v>20710</v>
      </c>
      <c r="BO19">
        <v>290.00000000000011</v>
      </c>
      <c r="BP19">
        <v>889.96</v>
      </c>
      <c r="BQ19">
        <v>285</v>
      </c>
      <c r="BR19">
        <v>7143.95</v>
      </c>
      <c r="BS19">
        <v>891.07</v>
      </c>
      <c r="BT19">
        <v>-1.1100000000000001</v>
      </c>
      <c r="BU19">
        <v>300.00000000000011</v>
      </c>
      <c r="BV19">
        <v>38.200000000000003</v>
      </c>
      <c r="BW19">
        <v>971.32725853878617</v>
      </c>
      <c r="BX19">
        <v>1.2093918112735531</v>
      </c>
      <c r="BY19">
        <v>-57.334183517077037</v>
      </c>
      <c r="BZ19">
        <v>0.72408394661767594</v>
      </c>
      <c r="CA19">
        <v>0.99555395955637449</v>
      </c>
      <c r="CB19">
        <v>-7.0528489432703043E-3</v>
      </c>
      <c r="CC19">
        <v>289.99999999999989</v>
      </c>
      <c r="CD19">
        <v>899.97</v>
      </c>
      <c r="CE19">
        <v>855</v>
      </c>
      <c r="CF19">
        <v>7136.98</v>
      </c>
      <c r="CG19">
        <v>890.99</v>
      </c>
      <c r="CH19">
        <v>8.98</v>
      </c>
      <c r="CV19">
        <f t="shared" si="42"/>
        <v>1800.05</v>
      </c>
      <c r="CW19">
        <f t="shared" si="43"/>
        <v>1513.226999381184</v>
      </c>
      <c r="CX19">
        <f t="shared" si="44"/>
        <v>0.84065831470302721</v>
      </c>
      <c r="CY19">
        <f t="shared" si="45"/>
        <v>0.19131662940605448</v>
      </c>
      <c r="CZ19">
        <v>5.36</v>
      </c>
      <c r="DA19">
        <v>0.5</v>
      </c>
      <c r="DB19" t="s">
        <v>418</v>
      </c>
      <c r="DC19">
        <v>2</v>
      </c>
      <c r="DD19">
        <v>1700149373</v>
      </c>
      <c r="DE19">
        <v>1196.74</v>
      </c>
      <c r="DF19">
        <v>1250.06</v>
      </c>
      <c r="DG19">
        <v>27.217600000000001</v>
      </c>
      <c r="DH19">
        <v>24.8643</v>
      </c>
      <c r="DI19">
        <v>1204.1600000000001</v>
      </c>
      <c r="DJ19">
        <v>27.151</v>
      </c>
      <c r="DK19">
        <v>499.94400000000002</v>
      </c>
      <c r="DL19">
        <v>99.608000000000004</v>
      </c>
      <c r="DM19">
        <v>9.99414E-2</v>
      </c>
      <c r="DN19">
        <v>29.56</v>
      </c>
      <c r="DO19">
        <v>30.0091</v>
      </c>
      <c r="DP19">
        <v>999.9</v>
      </c>
      <c r="DQ19">
        <v>0</v>
      </c>
      <c r="DR19">
        <v>0</v>
      </c>
      <c r="DS19">
        <v>9997.5</v>
      </c>
      <c r="DT19">
        <v>0</v>
      </c>
      <c r="DU19">
        <v>527.32399999999996</v>
      </c>
      <c r="DV19">
        <v>-53.321399999999997</v>
      </c>
      <c r="DW19">
        <v>1230.23</v>
      </c>
      <c r="DX19">
        <v>1281.94</v>
      </c>
      <c r="DY19">
        <v>2.3532700000000002</v>
      </c>
      <c r="DZ19">
        <v>1250.06</v>
      </c>
      <c r="EA19">
        <v>24.8643</v>
      </c>
      <c r="EB19">
        <v>2.71109</v>
      </c>
      <c r="EC19">
        <v>2.47668</v>
      </c>
      <c r="ED19">
        <v>22.352499999999999</v>
      </c>
      <c r="EE19">
        <v>20.874099999999999</v>
      </c>
      <c r="EF19">
        <v>1800.05</v>
      </c>
      <c r="EG19">
        <v>0.97799400000000003</v>
      </c>
      <c r="EH19">
        <v>2.2005799999999999E-2</v>
      </c>
      <c r="EI19">
        <v>0</v>
      </c>
      <c r="EJ19">
        <v>681.322</v>
      </c>
      <c r="EK19">
        <v>5.0009399999999999</v>
      </c>
      <c r="EL19">
        <v>13329.4</v>
      </c>
      <c r="EM19">
        <v>13860.5</v>
      </c>
      <c r="EN19">
        <v>48.311999999999998</v>
      </c>
      <c r="EO19">
        <v>50.375</v>
      </c>
      <c r="EP19">
        <v>49.375</v>
      </c>
      <c r="EQ19">
        <v>49.811999999999998</v>
      </c>
      <c r="ER19">
        <v>49.686999999999998</v>
      </c>
      <c r="ES19">
        <v>1755.55</v>
      </c>
      <c r="ET19">
        <v>39.5</v>
      </c>
      <c r="EU19">
        <v>0</v>
      </c>
      <c r="EV19">
        <v>141.60000014305109</v>
      </c>
      <c r="EW19">
        <v>0</v>
      </c>
      <c r="EX19">
        <v>681.6268399999999</v>
      </c>
      <c r="EY19">
        <v>-3.7209230753625211</v>
      </c>
      <c r="EZ19">
        <v>-41.823076761601058</v>
      </c>
      <c r="FA19">
        <v>13334.444</v>
      </c>
      <c r="FB19">
        <v>15</v>
      </c>
      <c r="FC19">
        <v>1700149338</v>
      </c>
      <c r="FD19" t="s">
        <v>432</v>
      </c>
      <c r="FE19">
        <v>1700149338</v>
      </c>
      <c r="FF19">
        <v>1700149335</v>
      </c>
      <c r="FG19">
        <v>4</v>
      </c>
      <c r="FH19">
        <v>4.7E-2</v>
      </c>
      <c r="FI19">
        <v>8.0000000000000002E-3</v>
      </c>
      <c r="FJ19">
        <v>-7.5250000000000004</v>
      </c>
      <c r="FK19">
        <v>6.7000000000000004E-2</v>
      </c>
      <c r="FL19">
        <v>1250</v>
      </c>
      <c r="FM19">
        <v>25</v>
      </c>
      <c r="FN19">
        <v>0.08</v>
      </c>
      <c r="FO19">
        <v>0.06</v>
      </c>
      <c r="FP19">
        <v>46.908929513399229</v>
      </c>
      <c r="FQ19">
        <v>0.49573481138452308</v>
      </c>
      <c r="FR19">
        <v>9.4498537913592529E-2</v>
      </c>
      <c r="FS19">
        <v>1</v>
      </c>
      <c r="FT19">
        <v>0.14926804075616071</v>
      </c>
      <c r="FU19">
        <v>1.6498623499563578E-2</v>
      </c>
      <c r="FV19">
        <v>2.8242775535185132E-3</v>
      </c>
      <c r="FW19">
        <v>1</v>
      </c>
      <c r="FX19">
        <v>2</v>
      </c>
      <c r="FY19">
        <v>2</v>
      </c>
      <c r="FZ19" t="s">
        <v>420</v>
      </c>
      <c r="GA19">
        <v>3.1193900000000001</v>
      </c>
      <c r="GB19">
        <v>2.8775400000000002</v>
      </c>
      <c r="GC19">
        <v>0.18682000000000001</v>
      </c>
      <c r="GD19">
        <v>0.193466</v>
      </c>
      <c r="GE19">
        <v>0.123511</v>
      </c>
      <c r="GF19">
        <v>0.11687699999999999</v>
      </c>
      <c r="GG19">
        <v>23638.7</v>
      </c>
      <c r="GH19">
        <v>23969.8</v>
      </c>
      <c r="GI19">
        <v>26777</v>
      </c>
      <c r="GJ19">
        <v>27449.3</v>
      </c>
      <c r="GK19">
        <v>33581.599999999999</v>
      </c>
      <c r="GL19">
        <v>33875.5</v>
      </c>
      <c r="GM19">
        <v>39676.800000000003</v>
      </c>
      <c r="GN19">
        <v>39743.4</v>
      </c>
      <c r="GO19">
        <v>1.93557</v>
      </c>
      <c r="GP19">
        <v>2.4744199999999998</v>
      </c>
      <c r="GQ19">
        <v>4.8488400000000001E-2</v>
      </c>
      <c r="GR19">
        <v>0</v>
      </c>
      <c r="GS19">
        <v>29.2196</v>
      </c>
      <c r="GT19">
        <v>999.9</v>
      </c>
      <c r="GU19">
        <v>54.9</v>
      </c>
      <c r="GV19">
        <v>36</v>
      </c>
      <c r="GW19">
        <v>32.8994</v>
      </c>
      <c r="GX19">
        <v>63.160200000000003</v>
      </c>
      <c r="GY19">
        <v>5.2243599999999999</v>
      </c>
      <c r="GZ19">
        <v>3</v>
      </c>
      <c r="HA19">
        <v>0.52721499999999999</v>
      </c>
      <c r="HB19">
        <v>4.2943499999999997</v>
      </c>
      <c r="HC19">
        <v>20.25</v>
      </c>
      <c r="HD19">
        <v>5.21549</v>
      </c>
      <c r="HE19">
        <v>11.908099999999999</v>
      </c>
      <c r="HF19">
        <v>4.9970999999999997</v>
      </c>
      <c r="HG19">
        <v>3.3028499999999998</v>
      </c>
      <c r="HH19">
        <v>9999</v>
      </c>
      <c r="HI19">
        <v>9999</v>
      </c>
      <c r="HJ19">
        <v>9999</v>
      </c>
      <c r="HK19">
        <v>999.9</v>
      </c>
      <c r="HL19">
        <v>1.8848800000000001</v>
      </c>
      <c r="HM19">
        <v>1.88541</v>
      </c>
      <c r="HN19">
        <v>1.88154</v>
      </c>
      <c r="HO19">
        <v>1.8830800000000001</v>
      </c>
      <c r="HP19">
        <v>1.88008</v>
      </c>
      <c r="HQ19">
        <v>1.88358</v>
      </c>
      <c r="HR19">
        <v>1.8794500000000001</v>
      </c>
      <c r="HS19">
        <v>1.8817299999999999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-7.42</v>
      </c>
      <c r="IH19">
        <v>6.6600000000000006E-2</v>
      </c>
      <c r="II19">
        <v>-3.828053941512032</v>
      </c>
      <c r="IJ19">
        <v>-3.7794827560518689E-3</v>
      </c>
      <c r="IK19">
        <v>4.9551128961100493E-7</v>
      </c>
      <c r="IL19">
        <v>1.3680294268397379E-10</v>
      </c>
      <c r="IM19">
        <v>6.6575000000000273E-2</v>
      </c>
      <c r="IN19">
        <v>0</v>
      </c>
      <c r="IO19">
        <v>0</v>
      </c>
      <c r="IP19">
        <v>0</v>
      </c>
      <c r="IQ19">
        <v>4</v>
      </c>
      <c r="IR19">
        <v>2229</v>
      </c>
      <c r="IS19">
        <v>1</v>
      </c>
      <c r="IT19">
        <v>22</v>
      </c>
      <c r="IU19">
        <v>0.6</v>
      </c>
      <c r="IV19">
        <v>0.6</v>
      </c>
      <c r="IW19">
        <v>3.75244</v>
      </c>
      <c r="IX19">
        <v>2.4841299999999999</v>
      </c>
      <c r="IY19">
        <v>2.9956100000000001</v>
      </c>
      <c r="IZ19">
        <v>2.94556</v>
      </c>
      <c r="JA19">
        <v>3.1970200000000002</v>
      </c>
      <c r="JB19">
        <v>2.4890099999999999</v>
      </c>
      <c r="JC19">
        <v>43.263300000000001</v>
      </c>
      <c r="JD19">
        <v>23.4833</v>
      </c>
      <c r="JE19">
        <v>18</v>
      </c>
      <c r="JF19">
        <v>493.22899999999998</v>
      </c>
      <c r="JG19">
        <v>1160.6199999999999</v>
      </c>
      <c r="JH19">
        <v>23.837499999999999</v>
      </c>
      <c r="JI19">
        <v>33.666499999999999</v>
      </c>
      <c r="JJ19">
        <v>30.0016</v>
      </c>
      <c r="JK19">
        <v>33.621600000000001</v>
      </c>
      <c r="JL19">
        <v>33.520800000000001</v>
      </c>
      <c r="JM19">
        <v>75.187399999999997</v>
      </c>
      <c r="JN19">
        <v>26.766999999999999</v>
      </c>
      <c r="JO19">
        <v>43.387</v>
      </c>
      <c r="JP19">
        <v>23.8062</v>
      </c>
      <c r="JQ19">
        <v>1250</v>
      </c>
      <c r="JR19">
        <v>24.868200000000002</v>
      </c>
      <c r="JS19">
        <v>98.891900000000007</v>
      </c>
      <c r="JT19">
        <v>97.240899999999996</v>
      </c>
    </row>
    <row r="20" spans="1:280" x14ac:dyDescent="0.25">
      <c r="A20">
        <v>4</v>
      </c>
      <c r="B20">
        <v>1700149533</v>
      </c>
      <c r="C20">
        <v>551.5</v>
      </c>
      <c r="D20" t="s">
        <v>433</v>
      </c>
      <c r="E20" t="s">
        <v>434</v>
      </c>
      <c r="F20" t="s">
        <v>412</v>
      </c>
      <c r="G20" t="s">
        <v>413</v>
      </c>
      <c r="H20" t="s">
        <v>414</v>
      </c>
      <c r="I20">
        <v>1700149533</v>
      </c>
      <c r="J20">
        <f t="shared" si="0"/>
        <v>1.9994666125201762E-3</v>
      </c>
      <c r="K20">
        <f t="shared" si="1"/>
        <v>1.9994666125201761</v>
      </c>
      <c r="L20">
        <f t="shared" si="2"/>
        <v>46.47830591470349</v>
      </c>
      <c r="M20">
        <f t="shared" si="3"/>
        <v>948.13699999999994</v>
      </c>
      <c r="N20">
        <f t="shared" si="4"/>
        <v>332.51906744399707</v>
      </c>
      <c r="O20">
        <f t="shared" si="5"/>
        <v>33.151546870272867</v>
      </c>
      <c r="P20">
        <f t="shared" si="6"/>
        <v>94.527536229884703</v>
      </c>
      <c r="Q20">
        <f t="shared" si="7"/>
        <v>0.12657169013932396</v>
      </c>
      <c r="R20">
        <f t="shared" si="8"/>
        <v>3.0502330739961199</v>
      </c>
      <c r="S20">
        <f t="shared" si="9"/>
        <v>0.12372460813285882</v>
      </c>
      <c r="T20">
        <f t="shared" si="10"/>
        <v>7.7578345128610615E-2</v>
      </c>
      <c r="U20">
        <f t="shared" si="11"/>
        <v>344.36429876231335</v>
      </c>
      <c r="V20">
        <f t="shared" si="12"/>
        <v>31.015878166859594</v>
      </c>
      <c r="W20">
        <f t="shared" si="13"/>
        <v>29.988800000000001</v>
      </c>
      <c r="X20">
        <f t="shared" si="14"/>
        <v>4.2577097131041048</v>
      </c>
      <c r="Y20">
        <f t="shared" si="15"/>
        <v>65.052215526004659</v>
      </c>
      <c r="Z20">
        <f t="shared" si="16"/>
        <v>2.7027678947494502</v>
      </c>
      <c r="AA20">
        <f t="shared" si="17"/>
        <v>4.1547668636574224</v>
      </c>
      <c r="AB20">
        <f t="shared" si="18"/>
        <v>1.5549418183546546</v>
      </c>
      <c r="AC20">
        <f t="shared" si="19"/>
        <v>-88.176477612139763</v>
      </c>
      <c r="AD20">
        <f t="shared" si="20"/>
        <v>-69.954547997437572</v>
      </c>
      <c r="AE20">
        <f t="shared" si="21"/>
        <v>-5.0881408261631353</v>
      </c>
      <c r="AF20">
        <f t="shared" si="22"/>
        <v>181.14513232657291</v>
      </c>
      <c r="AG20">
        <v>22</v>
      </c>
      <c r="AH20">
        <v>4</v>
      </c>
      <c r="AI20">
        <f t="shared" si="23"/>
        <v>1</v>
      </c>
      <c r="AJ20">
        <f t="shared" si="24"/>
        <v>0</v>
      </c>
      <c r="AK20">
        <f t="shared" si="25"/>
        <v>52205.999566544851</v>
      </c>
      <c r="AL20" t="s">
        <v>415</v>
      </c>
      <c r="AM20">
        <v>7133.88</v>
      </c>
      <c r="AN20">
        <v>306.28384615384618</v>
      </c>
      <c r="AO20">
        <v>859.63916333292491</v>
      </c>
      <c r="AP20">
        <f t="shared" si="26"/>
        <v>0.64370650010133712</v>
      </c>
      <c r="AQ20">
        <v>-0.73746743666429193</v>
      </c>
      <c r="AR20" t="s">
        <v>435</v>
      </c>
      <c r="AS20">
        <v>7142.89</v>
      </c>
      <c r="AT20">
        <v>681.22965384615372</v>
      </c>
      <c r="AU20">
        <v>947.44561093893458</v>
      </c>
      <c r="AV20">
        <f t="shared" si="27"/>
        <v>0.2809828385071691</v>
      </c>
      <c r="AW20">
        <v>0.5</v>
      </c>
      <c r="AX20">
        <f t="shared" si="28"/>
        <v>1513.1597993811567</v>
      </c>
      <c r="AY20">
        <f t="shared" si="29"/>
        <v>46.47830591470349</v>
      </c>
      <c r="AZ20">
        <f t="shared" si="30"/>
        <v>212.58596777252797</v>
      </c>
      <c r="BA20">
        <f t="shared" si="31"/>
        <v>3.1203428329696449E-2</v>
      </c>
      <c r="BB20">
        <f t="shared" si="32"/>
        <v>-9.2677032425103542E-2</v>
      </c>
      <c r="BC20">
        <f t="shared" si="33"/>
        <v>316.74276322279837</v>
      </c>
      <c r="BD20" t="s">
        <v>436</v>
      </c>
      <c r="BE20">
        <v>466.68</v>
      </c>
      <c r="BF20">
        <f t="shared" si="34"/>
        <v>466.68</v>
      </c>
      <c r="BG20">
        <f t="shared" si="35"/>
        <v>0.50743346677440171</v>
      </c>
      <c r="BH20">
        <f t="shared" si="36"/>
        <v>0.55373335994823225</v>
      </c>
      <c r="BI20">
        <f t="shared" si="37"/>
        <v>-0.22344929397057434</v>
      </c>
      <c r="BJ20">
        <f t="shared" si="38"/>
        <v>0.41520872222006877</v>
      </c>
      <c r="BK20">
        <f t="shared" si="39"/>
        <v>-0.15868004676205805</v>
      </c>
      <c r="BL20">
        <f t="shared" si="40"/>
        <v>0.37933798530590795</v>
      </c>
      <c r="BM20">
        <f t="shared" si="41"/>
        <v>0.62066201469409199</v>
      </c>
      <c r="BN20">
        <v>20712</v>
      </c>
      <c r="BO20">
        <v>290.00000000000011</v>
      </c>
      <c r="BP20">
        <v>873.36</v>
      </c>
      <c r="BQ20">
        <v>275</v>
      </c>
      <c r="BR20">
        <v>7142.89</v>
      </c>
      <c r="BS20">
        <v>875.24</v>
      </c>
      <c r="BT20">
        <v>-1.88</v>
      </c>
      <c r="BU20">
        <v>300.00000000000011</v>
      </c>
      <c r="BV20">
        <v>38.299999999999997</v>
      </c>
      <c r="BW20">
        <v>947.44561093893458</v>
      </c>
      <c r="BX20">
        <v>1.1055945677625589</v>
      </c>
      <c r="BY20">
        <v>-51.579000858593503</v>
      </c>
      <c r="BZ20">
        <v>0.661812274063867</v>
      </c>
      <c r="CA20">
        <v>0.99541135556170357</v>
      </c>
      <c r="CB20">
        <v>-7.0513955506117882E-3</v>
      </c>
      <c r="CC20">
        <v>289.99999999999989</v>
      </c>
      <c r="CD20">
        <v>885.22</v>
      </c>
      <c r="CE20">
        <v>885</v>
      </c>
      <c r="CF20">
        <v>7135.18</v>
      </c>
      <c r="CG20">
        <v>875.16</v>
      </c>
      <c r="CH20">
        <v>10.06</v>
      </c>
      <c r="CV20">
        <f t="shared" si="42"/>
        <v>1799.97</v>
      </c>
      <c r="CW20">
        <f t="shared" si="43"/>
        <v>1513.1597993811567</v>
      </c>
      <c r="CX20">
        <f t="shared" si="44"/>
        <v>0.84065834396193084</v>
      </c>
      <c r="CY20">
        <f t="shared" si="45"/>
        <v>0.19131668792386169</v>
      </c>
      <c r="CZ20">
        <v>5.36</v>
      </c>
      <c r="DA20">
        <v>0.5</v>
      </c>
      <c r="DB20" t="s">
        <v>418</v>
      </c>
      <c r="DC20">
        <v>2</v>
      </c>
      <c r="DD20">
        <v>1700149533</v>
      </c>
      <c r="DE20">
        <v>948.13699999999994</v>
      </c>
      <c r="DF20">
        <v>999.99099999999999</v>
      </c>
      <c r="DG20">
        <v>27.109500000000001</v>
      </c>
      <c r="DH20">
        <v>25.0243</v>
      </c>
      <c r="DI20">
        <v>955.04399999999998</v>
      </c>
      <c r="DJ20">
        <v>27.0488</v>
      </c>
      <c r="DK20">
        <v>500.029</v>
      </c>
      <c r="DL20">
        <v>99.598200000000006</v>
      </c>
      <c r="DM20">
        <v>9.9983100000000005E-2</v>
      </c>
      <c r="DN20">
        <v>29.563400000000001</v>
      </c>
      <c r="DO20">
        <v>29.988800000000001</v>
      </c>
      <c r="DP20">
        <v>999.9</v>
      </c>
      <c r="DQ20">
        <v>0</v>
      </c>
      <c r="DR20">
        <v>0</v>
      </c>
      <c r="DS20">
        <v>9997.5</v>
      </c>
      <c r="DT20">
        <v>0</v>
      </c>
      <c r="DU20">
        <v>601.36</v>
      </c>
      <c r="DV20">
        <v>-51.853900000000003</v>
      </c>
      <c r="DW20">
        <v>974.55700000000002</v>
      </c>
      <c r="DX20">
        <v>1025.6600000000001</v>
      </c>
      <c r="DY20">
        <v>2.08528</v>
      </c>
      <c r="DZ20">
        <v>999.99099999999999</v>
      </c>
      <c r="EA20">
        <v>25.0243</v>
      </c>
      <c r="EB20">
        <v>2.7000600000000001</v>
      </c>
      <c r="EC20">
        <v>2.4923700000000002</v>
      </c>
      <c r="ED20">
        <v>22.285499999999999</v>
      </c>
      <c r="EE20">
        <v>20.976800000000001</v>
      </c>
      <c r="EF20">
        <v>1799.97</v>
      </c>
      <c r="EG20">
        <v>0.97799400000000003</v>
      </c>
      <c r="EH20">
        <v>2.2005799999999999E-2</v>
      </c>
      <c r="EI20">
        <v>0</v>
      </c>
      <c r="EJ20">
        <v>680.26599999999996</v>
      </c>
      <c r="EK20">
        <v>5.0009399999999999</v>
      </c>
      <c r="EL20">
        <v>13523.4</v>
      </c>
      <c r="EM20">
        <v>13859.9</v>
      </c>
      <c r="EN20">
        <v>48.436999999999998</v>
      </c>
      <c r="EO20">
        <v>50.561999999999998</v>
      </c>
      <c r="EP20">
        <v>49.5</v>
      </c>
      <c r="EQ20">
        <v>49.936999999999998</v>
      </c>
      <c r="ER20">
        <v>49.811999999999998</v>
      </c>
      <c r="ES20">
        <v>1755.47</v>
      </c>
      <c r="ET20">
        <v>39.5</v>
      </c>
      <c r="EU20">
        <v>0</v>
      </c>
      <c r="EV20">
        <v>301.79999995231628</v>
      </c>
      <c r="EW20">
        <v>0</v>
      </c>
      <c r="EX20">
        <v>681.22965384615372</v>
      </c>
      <c r="EY20">
        <v>-2.0064615270712811</v>
      </c>
      <c r="EZ20">
        <v>39.880343778046672</v>
      </c>
      <c r="FA20">
        <v>13537.36538461539</v>
      </c>
      <c r="FB20">
        <v>15</v>
      </c>
      <c r="FC20">
        <v>1700149446.5</v>
      </c>
      <c r="FD20" t="s">
        <v>437</v>
      </c>
      <c r="FE20">
        <v>1700149446.5</v>
      </c>
      <c r="FF20">
        <v>1700149443.5</v>
      </c>
      <c r="FG20">
        <v>5</v>
      </c>
      <c r="FH20">
        <v>-3.9E-2</v>
      </c>
      <c r="FI20">
        <v>-6.0000000000000001E-3</v>
      </c>
      <c r="FJ20">
        <v>-7.032</v>
      </c>
      <c r="FK20">
        <v>6.0999999999999999E-2</v>
      </c>
      <c r="FL20">
        <v>1000</v>
      </c>
      <c r="FM20">
        <v>25</v>
      </c>
      <c r="FN20">
        <v>7.0000000000000007E-2</v>
      </c>
      <c r="FO20">
        <v>0.05</v>
      </c>
      <c r="FP20">
        <v>46.422405321554798</v>
      </c>
      <c r="FQ20">
        <v>0.67181983865227146</v>
      </c>
      <c r="FR20">
        <v>5.4749798129661749E-2</v>
      </c>
      <c r="FS20">
        <v>1</v>
      </c>
      <c r="FT20">
        <v>0.12722288212041</v>
      </c>
      <c r="FU20">
        <v>-6.2822235703001081E-4</v>
      </c>
      <c r="FV20">
        <v>3.0469880593205167E-4</v>
      </c>
      <c r="FW20">
        <v>1</v>
      </c>
      <c r="FX20">
        <v>2</v>
      </c>
      <c r="FY20">
        <v>2</v>
      </c>
      <c r="FZ20" t="s">
        <v>420</v>
      </c>
      <c r="GA20">
        <v>3.1195200000000001</v>
      </c>
      <c r="GB20">
        <v>2.8775900000000001</v>
      </c>
      <c r="GC20">
        <v>0.161163</v>
      </c>
      <c r="GD20">
        <v>0.16806199999999999</v>
      </c>
      <c r="GE20">
        <v>0.123154</v>
      </c>
      <c r="GF20">
        <v>0.117384</v>
      </c>
      <c r="GG20">
        <v>24382.7</v>
      </c>
      <c r="GH20">
        <v>24721.9</v>
      </c>
      <c r="GI20">
        <v>26774.1</v>
      </c>
      <c r="GJ20">
        <v>27445.1</v>
      </c>
      <c r="GK20">
        <v>33590</v>
      </c>
      <c r="GL20">
        <v>33849.800000000003</v>
      </c>
      <c r="GM20">
        <v>39672.699999999997</v>
      </c>
      <c r="GN20">
        <v>39738.300000000003</v>
      </c>
      <c r="GO20">
        <v>1.9365699999999999</v>
      </c>
      <c r="GP20">
        <v>2.4698000000000002</v>
      </c>
      <c r="GQ20">
        <v>4.9393600000000003E-2</v>
      </c>
      <c r="GR20">
        <v>0</v>
      </c>
      <c r="GS20">
        <v>29.1844</v>
      </c>
      <c r="GT20">
        <v>999.9</v>
      </c>
      <c r="GU20">
        <v>53.6</v>
      </c>
      <c r="GV20">
        <v>36.5</v>
      </c>
      <c r="GW20">
        <v>33.015900000000002</v>
      </c>
      <c r="GX20">
        <v>63.180300000000003</v>
      </c>
      <c r="GY20">
        <v>5.4447099999999997</v>
      </c>
      <c r="GZ20">
        <v>3</v>
      </c>
      <c r="HA20">
        <v>0.53117899999999996</v>
      </c>
      <c r="HB20">
        <v>4.0697299999999998</v>
      </c>
      <c r="HC20">
        <v>20.255099999999999</v>
      </c>
      <c r="HD20">
        <v>5.2114500000000001</v>
      </c>
      <c r="HE20">
        <v>11.908099999999999</v>
      </c>
      <c r="HF20">
        <v>4.9972500000000002</v>
      </c>
      <c r="HG20">
        <v>3.3028499999999998</v>
      </c>
      <c r="HH20">
        <v>9999</v>
      </c>
      <c r="HI20">
        <v>9999</v>
      </c>
      <c r="HJ20">
        <v>9999</v>
      </c>
      <c r="HK20">
        <v>999.9</v>
      </c>
      <c r="HL20">
        <v>1.8849199999999999</v>
      </c>
      <c r="HM20">
        <v>1.8855</v>
      </c>
      <c r="HN20">
        <v>1.8815599999999999</v>
      </c>
      <c r="HO20">
        <v>1.8830899999999999</v>
      </c>
      <c r="HP20">
        <v>1.8801600000000001</v>
      </c>
      <c r="HQ20">
        <v>1.88358</v>
      </c>
      <c r="HR20">
        <v>1.8795200000000001</v>
      </c>
      <c r="HS20">
        <v>1.88185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-6.907</v>
      </c>
      <c r="IH20">
        <v>6.0699999999999997E-2</v>
      </c>
      <c r="II20">
        <v>-3.868305129228566</v>
      </c>
      <c r="IJ20">
        <v>-3.7794827560518689E-3</v>
      </c>
      <c r="IK20">
        <v>4.9551128961100493E-7</v>
      </c>
      <c r="IL20">
        <v>1.3680294268397379E-10</v>
      </c>
      <c r="IM20">
        <v>6.0744999999997162E-2</v>
      </c>
      <c r="IN20">
        <v>0</v>
      </c>
      <c r="IO20">
        <v>0</v>
      </c>
      <c r="IP20">
        <v>0</v>
      </c>
      <c r="IQ20">
        <v>4</v>
      </c>
      <c r="IR20">
        <v>2229</v>
      </c>
      <c r="IS20">
        <v>1</v>
      </c>
      <c r="IT20">
        <v>22</v>
      </c>
      <c r="IU20">
        <v>1.4</v>
      </c>
      <c r="IV20">
        <v>1.5</v>
      </c>
      <c r="IW20">
        <v>3.14575</v>
      </c>
      <c r="IX20">
        <v>2.49512</v>
      </c>
      <c r="IY20">
        <v>2.9956100000000001</v>
      </c>
      <c r="IZ20">
        <v>2.94678</v>
      </c>
      <c r="JA20">
        <v>3.1970200000000002</v>
      </c>
      <c r="JB20">
        <v>2.50122</v>
      </c>
      <c r="JC20">
        <v>43.974299999999999</v>
      </c>
      <c r="JD20">
        <v>23.474599999999999</v>
      </c>
      <c r="JE20">
        <v>18</v>
      </c>
      <c r="JF20">
        <v>494.27100000000002</v>
      </c>
      <c r="JG20">
        <v>1155.25</v>
      </c>
      <c r="JH20">
        <v>23.851299999999998</v>
      </c>
      <c r="JI20">
        <v>33.738300000000002</v>
      </c>
      <c r="JJ20">
        <v>30</v>
      </c>
      <c r="JK20">
        <v>33.677300000000002</v>
      </c>
      <c r="JL20">
        <v>33.573099999999997</v>
      </c>
      <c r="JM20">
        <v>63.024000000000001</v>
      </c>
      <c r="JN20">
        <v>26.223099999999999</v>
      </c>
      <c r="JO20">
        <v>40.373399999999997</v>
      </c>
      <c r="JP20">
        <v>23.859300000000001</v>
      </c>
      <c r="JQ20">
        <v>1000</v>
      </c>
      <c r="JR20">
        <v>25.042100000000001</v>
      </c>
      <c r="JS20">
        <v>98.881399999999999</v>
      </c>
      <c r="JT20">
        <v>97.227400000000003</v>
      </c>
    </row>
    <row r="21" spans="1:280" x14ac:dyDescent="0.25">
      <c r="A21">
        <v>5</v>
      </c>
      <c r="B21">
        <v>1700149714</v>
      </c>
      <c r="C21">
        <v>732.5</v>
      </c>
      <c r="D21" t="s">
        <v>438</v>
      </c>
      <c r="E21" t="s">
        <v>439</v>
      </c>
      <c r="F21" t="s">
        <v>412</v>
      </c>
      <c r="G21" t="s">
        <v>413</v>
      </c>
      <c r="H21" t="s">
        <v>414</v>
      </c>
      <c r="I21">
        <v>1700149714</v>
      </c>
      <c r="J21">
        <f t="shared" si="0"/>
        <v>2.806490848167302E-3</v>
      </c>
      <c r="K21">
        <f t="shared" si="1"/>
        <v>2.8064908481673019</v>
      </c>
      <c r="L21">
        <f t="shared" si="2"/>
        <v>46.043870760956935</v>
      </c>
      <c r="M21">
        <f t="shared" si="3"/>
        <v>698.57</v>
      </c>
      <c r="N21">
        <f t="shared" si="4"/>
        <v>266.73383896084391</v>
      </c>
      <c r="O21">
        <f t="shared" si="5"/>
        <v>26.593558460098578</v>
      </c>
      <c r="P21">
        <f t="shared" si="6"/>
        <v>69.647938956099992</v>
      </c>
      <c r="Q21">
        <f t="shared" si="7"/>
        <v>0.18054912706847184</v>
      </c>
      <c r="R21">
        <f t="shared" si="8"/>
        <v>3.0509740752507977</v>
      </c>
      <c r="S21">
        <f t="shared" si="9"/>
        <v>0.17481651659042699</v>
      </c>
      <c r="T21">
        <f t="shared" si="10"/>
        <v>0.10976021285890261</v>
      </c>
      <c r="U21">
        <f t="shared" si="11"/>
        <v>344.36429876231335</v>
      </c>
      <c r="V21">
        <f t="shared" si="12"/>
        <v>30.898944318998534</v>
      </c>
      <c r="W21">
        <f t="shared" si="13"/>
        <v>29.982099999999999</v>
      </c>
      <c r="X21">
        <f t="shared" si="14"/>
        <v>4.2560713047536529</v>
      </c>
      <c r="Y21">
        <f t="shared" si="15"/>
        <v>64.94073121610117</v>
      </c>
      <c r="Z21">
        <f t="shared" si="16"/>
        <v>2.7114112027149999</v>
      </c>
      <c r="AA21">
        <f t="shared" si="17"/>
        <v>4.1752089204113272</v>
      </c>
      <c r="AB21">
        <f t="shared" si="18"/>
        <v>1.544660102038653</v>
      </c>
      <c r="AC21">
        <f t="shared" si="19"/>
        <v>-123.76624640417802</v>
      </c>
      <c r="AD21">
        <f t="shared" si="20"/>
        <v>-54.855452134031296</v>
      </c>
      <c r="AE21">
        <f t="shared" si="21"/>
        <v>-3.9904904857348131</v>
      </c>
      <c r="AF21">
        <f t="shared" si="22"/>
        <v>161.7521097383692</v>
      </c>
      <c r="AG21">
        <v>21</v>
      </c>
      <c r="AH21">
        <v>4</v>
      </c>
      <c r="AI21">
        <f t="shared" si="23"/>
        <v>1</v>
      </c>
      <c r="AJ21">
        <f t="shared" si="24"/>
        <v>0</v>
      </c>
      <c r="AK21">
        <f t="shared" si="25"/>
        <v>52211.087198055509</v>
      </c>
      <c r="AL21" t="s">
        <v>431</v>
      </c>
      <c r="AM21" t="s">
        <v>431</v>
      </c>
      <c r="AN21">
        <v>0</v>
      </c>
      <c r="AO21">
        <v>0</v>
      </c>
      <c r="AP21" t="e">
        <f t="shared" si="26"/>
        <v>#DIV/0!</v>
      </c>
      <c r="AQ21">
        <v>0</v>
      </c>
      <c r="AR21" t="s">
        <v>431</v>
      </c>
      <c r="AS21" t="s">
        <v>431</v>
      </c>
      <c r="AT21">
        <v>0</v>
      </c>
      <c r="AU21">
        <v>0</v>
      </c>
      <c r="AV21" t="e">
        <f t="shared" si="27"/>
        <v>#DIV/0!</v>
      </c>
      <c r="AW21">
        <v>0.5</v>
      </c>
      <c r="AX21">
        <f t="shared" si="28"/>
        <v>1513.1597993811567</v>
      </c>
      <c r="AY21">
        <f t="shared" si="29"/>
        <v>46.043870760956935</v>
      </c>
      <c r="AZ21" t="e">
        <f t="shared" si="30"/>
        <v>#DIV/0!</v>
      </c>
      <c r="BA21">
        <f t="shared" si="31"/>
        <v>3.0428954549141265E-2</v>
      </c>
      <c r="BB21" t="e">
        <f t="shared" si="32"/>
        <v>#DIV/0!</v>
      </c>
      <c r="BC21" t="e">
        <f t="shared" si="33"/>
        <v>#DIV/0!</v>
      </c>
      <c r="BD21" t="s">
        <v>431</v>
      </c>
      <c r="BE21">
        <v>0</v>
      </c>
      <c r="BF21" t="e">
        <f t="shared" si="34"/>
        <v>#DIV/0!</v>
      </c>
      <c r="BG21" t="e">
        <f t="shared" si="35"/>
        <v>#DIV/0!</v>
      </c>
      <c r="BH21" t="e">
        <f t="shared" si="36"/>
        <v>#DIV/0!</v>
      </c>
      <c r="BI21" t="e">
        <f t="shared" si="37"/>
        <v>#DIV/0!</v>
      </c>
      <c r="BJ21" t="e">
        <f t="shared" si="38"/>
        <v>#DIV/0!</v>
      </c>
      <c r="BK21" t="e">
        <f t="shared" si="39"/>
        <v>#DIV/0!</v>
      </c>
      <c r="BL21" t="e">
        <f t="shared" si="40"/>
        <v>#DIV/0!</v>
      </c>
      <c r="BM21" t="e">
        <f t="shared" si="41"/>
        <v>#DIV/0!</v>
      </c>
      <c r="BN21">
        <v>20712</v>
      </c>
      <c r="BO21">
        <v>290.00000000000011</v>
      </c>
      <c r="BP21">
        <v>873.36</v>
      </c>
      <c r="BQ21">
        <v>275</v>
      </c>
      <c r="BR21">
        <v>7142.89</v>
      </c>
      <c r="BS21">
        <v>875.24</v>
      </c>
      <c r="BT21">
        <v>-1.88</v>
      </c>
      <c r="BU21">
        <v>300.00000000000011</v>
      </c>
      <c r="BV21">
        <v>38.299999999999997</v>
      </c>
      <c r="BW21">
        <v>947.44561093893458</v>
      </c>
      <c r="BX21">
        <v>1.1055945677625589</v>
      </c>
      <c r="BY21">
        <v>-51.579000858593503</v>
      </c>
      <c r="BZ21">
        <v>0.661812274063867</v>
      </c>
      <c r="CA21">
        <v>0.99541135556170357</v>
      </c>
      <c r="CB21">
        <v>-7.0513955506117882E-3</v>
      </c>
      <c r="CC21">
        <v>289.99999999999989</v>
      </c>
      <c r="CD21">
        <v>885.22</v>
      </c>
      <c r="CE21">
        <v>885</v>
      </c>
      <c r="CF21">
        <v>7135.18</v>
      </c>
      <c r="CG21">
        <v>875.16</v>
      </c>
      <c r="CH21">
        <v>10.06</v>
      </c>
      <c r="CV21">
        <f t="shared" si="42"/>
        <v>1799.97</v>
      </c>
      <c r="CW21">
        <f t="shared" si="43"/>
        <v>1513.1597993811567</v>
      </c>
      <c r="CX21">
        <f t="shared" si="44"/>
        <v>0.84065834396193084</v>
      </c>
      <c r="CY21">
        <f t="shared" si="45"/>
        <v>0.19131668792386169</v>
      </c>
      <c r="CZ21">
        <v>5.36</v>
      </c>
      <c r="DA21">
        <v>0.5</v>
      </c>
      <c r="DB21" t="s">
        <v>418</v>
      </c>
      <c r="DC21">
        <v>2</v>
      </c>
      <c r="DD21">
        <v>1700149714</v>
      </c>
      <c r="DE21">
        <v>698.57</v>
      </c>
      <c r="DF21">
        <v>750.02300000000002</v>
      </c>
      <c r="DG21">
        <v>27.195499999999999</v>
      </c>
      <c r="DH21">
        <v>24.269200000000001</v>
      </c>
      <c r="DI21">
        <v>704.71799999999996</v>
      </c>
      <c r="DJ21">
        <v>27.135000000000002</v>
      </c>
      <c r="DK21">
        <v>500.07499999999999</v>
      </c>
      <c r="DL21">
        <v>99.6006</v>
      </c>
      <c r="DM21">
        <v>0.10013</v>
      </c>
      <c r="DN21">
        <v>29.648599999999998</v>
      </c>
      <c r="DO21">
        <v>29.982099999999999</v>
      </c>
      <c r="DP21">
        <v>999.9</v>
      </c>
      <c r="DQ21">
        <v>0</v>
      </c>
      <c r="DR21">
        <v>0</v>
      </c>
      <c r="DS21">
        <v>10001.200000000001</v>
      </c>
      <c r="DT21">
        <v>0</v>
      </c>
      <c r="DU21">
        <v>643.51800000000003</v>
      </c>
      <c r="DV21">
        <v>-51.452599999999997</v>
      </c>
      <c r="DW21">
        <v>718.09900000000005</v>
      </c>
      <c r="DX21">
        <v>768.678</v>
      </c>
      <c r="DY21">
        <v>2.92624</v>
      </c>
      <c r="DZ21">
        <v>750.02300000000002</v>
      </c>
      <c r="EA21">
        <v>24.269200000000001</v>
      </c>
      <c r="EB21">
        <v>2.7086899999999998</v>
      </c>
      <c r="EC21">
        <v>2.41723</v>
      </c>
      <c r="ED21">
        <v>22.337900000000001</v>
      </c>
      <c r="EE21">
        <v>20.479700000000001</v>
      </c>
      <c r="EF21">
        <v>1799.97</v>
      </c>
      <c r="EG21">
        <v>0.97799400000000003</v>
      </c>
      <c r="EH21">
        <v>2.2005799999999999E-2</v>
      </c>
      <c r="EI21">
        <v>0</v>
      </c>
      <c r="EJ21">
        <v>681.06399999999996</v>
      </c>
      <c r="EK21">
        <v>5.0009399999999999</v>
      </c>
      <c r="EL21">
        <v>13915.2</v>
      </c>
      <c r="EM21">
        <v>13859.9</v>
      </c>
      <c r="EN21">
        <v>48.5</v>
      </c>
      <c r="EO21">
        <v>50.686999999999998</v>
      </c>
      <c r="EP21">
        <v>49.625</v>
      </c>
      <c r="EQ21">
        <v>50</v>
      </c>
      <c r="ER21">
        <v>49.936999999999998</v>
      </c>
      <c r="ES21">
        <v>1755.47</v>
      </c>
      <c r="ET21">
        <v>39.5</v>
      </c>
      <c r="EU21">
        <v>0</v>
      </c>
      <c r="EV21">
        <v>178.79999995231631</v>
      </c>
      <c r="EW21">
        <v>0</v>
      </c>
      <c r="EX21">
        <v>681.54307999999992</v>
      </c>
      <c r="EY21">
        <v>-1.843461524816193</v>
      </c>
      <c r="EZ21">
        <v>96.307692913874078</v>
      </c>
      <c r="FA21">
        <v>13912.7</v>
      </c>
      <c r="FB21">
        <v>15</v>
      </c>
      <c r="FC21">
        <v>1700149648.5</v>
      </c>
      <c r="FD21" t="s">
        <v>440</v>
      </c>
      <c r="FE21">
        <v>1700149648.5</v>
      </c>
      <c r="FF21">
        <v>1700149641.5</v>
      </c>
      <c r="FG21">
        <v>6</v>
      </c>
      <c r="FH21">
        <v>0.09</v>
      </c>
      <c r="FI21">
        <v>0</v>
      </c>
      <c r="FJ21">
        <v>-6.2939999999999996</v>
      </c>
      <c r="FK21">
        <v>6.0999999999999999E-2</v>
      </c>
      <c r="FL21">
        <v>750</v>
      </c>
      <c r="FM21">
        <v>25</v>
      </c>
      <c r="FN21">
        <v>0.08</v>
      </c>
      <c r="FO21">
        <v>0.03</v>
      </c>
      <c r="FP21">
        <v>45.892935797047627</v>
      </c>
      <c r="FQ21">
        <v>0.62709426782525046</v>
      </c>
      <c r="FR21">
        <v>7.1515600490839035E-2</v>
      </c>
      <c r="FS21">
        <v>1</v>
      </c>
      <c r="FT21">
        <v>0.1816454429283928</v>
      </c>
      <c r="FU21">
        <v>-1.431874001478668E-3</v>
      </c>
      <c r="FV21">
        <v>4.4954963099840472E-4</v>
      </c>
      <c r="FW21">
        <v>1</v>
      </c>
      <c r="FX21">
        <v>2</v>
      </c>
      <c r="FY21">
        <v>2</v>
      </c>
      <c r="FZ21" t="s">
        <v>420</v>
      </c>
      <c r="GA21">
        <v>3.1193900000000001</v>
      </c>
      <c r="GB21">
        <v>2.8777699999999999</v>
      </c>
      <c r="GC21">
        <v>0.13156399999999999</v>
      </c>
      <c r="GD21">
        <v>0.13900399999999999</v>
      </c>
      <c r="GE21">
        <v>0.123415</v>
      </c>
      <c r="GF21">
        <v>0.114841</v>
      </c>
      <c r="GG21">
        <v>25241.599999999999</v>
      </c>
      <c r="GH21">
        <v>25583.9</v>
      </c>
      <c r="GI21">
        <v>26771.8</v>
      </c>
      <c r="GJ21">
        <v>27442.9</v>
      </c>
      <c r="GK21">
        <v>33575.4</v>
      </c>
      <c r="GL21">
        <v>33943.300000000003</v>
      </c>
      <c r="GM21">
        <v>39669.699999999997</v>
      </c>
      <c r="GN21">
        <v>39736</v>
      </c>
      <c r="GO21">
        <v>1.9371799999999999</v>
      </c>
      <c r="GP21">
        <v>2.4648500000000002</v>
      </c>
      <c r="GQ21">
        <v>4.7650199999999997E-2</v>
      </c>
      <c r="GR21">
        <v>0</v>
      </c>
      <c r="GS21">
        <v>29.206199999999999</v>
      </c>
      <c r="GT21">
        <v>999.9</v>
      </c>
      <c r="GU21">
        <v>52</v>
      </c>
      <c r="GV21">
        <v>37.1</v>
      </c>
      <c r="GW21">
        <v>33.098500000000001</v>
      </c>
      <c r="GX21">
        <v>63.2303</v>
      </c>
      <c r="GY21">
        <v>5.7251599999999998</v>
      </c>
      <c r="GZ21">
        <v>3</v>
      </c>
      <c r="HA21">
        <v>0.53564500000000004</v>
      </c>
      <c r="HB21">
        <v>3.9500799999999998</v>
      </c>
      <c r="HC21">
        <v>20.257200000000001</v>
      </c>
      <c r="HD21">
        <v>5.2140000000000004</v>
      </c>
      <c r="HE21">
        <v>11.908099999999999</v>
      </c>
      <c r="HF21">
        <v>4.9969999999999999</v>
      </c>
      <c r="HG21">
        <v>3.3027299999999999</v>
      </c>
      <c r="HH21">
        <v>9999</v>
      </c>
      <c r="HI21">
        <v>9999</v>
      </c>
      <c r="HJ21">
        <v>9999</v>
      </c>
      <c r="HK21">
        <v>999.9</v>
      </c>
      <c r="HL21">
        <v>1.8849100000000001</v>
      </c>
      <c r="HM21">
        <v>1.8855299999999999</v>
      </c>
      <c r="HN21">
        <v>1.8815599999999999</v>
      </c>
      <c r="HO21">
        <v>1.88317</v>
      </c>
      <c r="HP21">
        <v>1.88015</v>
      </c>
      <c r="HQ21">
        <v>1.8836200000000001</v>
      </c>
      <c r="HR21">
        <v>1.87957</v>
      </c>
      <c r="HS21">
        <v>1.8818600000000001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-6.1479999999999997</v>
      </c>
      <c r="IH21">
        <v>6.0499999999999998E-2</v>
      </c>
      <c r="II21">
        <v>-3.7780689981368161</v>
      </c>
      <c r="IJ21">
        <v>-3.7794827560518689E-3</v>
      </c>
      <c r="IK21">
        <v>4.9551128961100493E-7</v>
      </c>
      <c r="IL21">
        <v>1.3680294268397379E-10</v>
      </c>
      <c r="IM21">
        <v>6.0515000000002317E-2</v>
      </c>
      <c r="IN21">
        <v>0</v>
      </c>
      <c r="IO21">
        <v>0</v>
      </c>
      <c r="IP21">
        <v>0</v>
      </c>
      <c r="IQ21">
        <v>4</v>
      </c>
      <c r="IR21">
        <v>2229</v>
      </c>
      <c r="IS21">
        <v>1</v>
      </c>
      <c r="IT21">
        <v>22</v>
      </c>
      <c r="IU21">
        <v>1.1000000000000001</v>
      </c>
      <c r="IV21">
        <v>1.2</v>
      </c>
      <c r="IW21">
        <v>2.49634</v>
      </c>
      <c r="IX21">
        <v>2.5109900000000001</v>
      </c>
      <c r="IY21">
        <v>2.9956100000000001</v>
      </c>
      <c r="IZ21">
        <v>2.94678</v>
      </c>
      <c r="JA21">
        <v>3.1970200000000002</v>
      </c>
      <c r="JB21">
        <v>2.48047</v>
      </c>
      <c r="JC21">
        <v>44.781500000000001</v>
      </c>
      <c r="JD21">
        <v>23.465800000000002</v>
      </c>
      <c r="JE21">
        <v>18</v>
      </c>
      <c r="JF21">
        <v>495.16500000000002</v>
      </c>
      <c r="JG21">
        <v>1149.77</v>
      </c>
      <c r="JH21">
        <v>24.050999999999998</v>
      </c>
      <c r="JI21">
        <v>33.815100000000001</v>
      </c>
      <c r="JJ21">
        <v>30.000299999999999</v>
      </c>
      <c r="JK21">
        <v>33.746000000000002</v>
      </c>
      <c r="JL21">
        <v>33.644100000000002</v>
      </c>
      <c r="JM21">
        <v>50.0154</v>
      </c>
      <c r="JN21">
        <v>28.338999999999999</v>
      </c>
      <c r="JO21">
        <v>36.172699999999999</v>
      </c>
      <c r="JP21">
        <v>24.045300000000001</v>
      </c>
      <c r="JQ21">
        <v>750</v>
      </c>
      <c r="JR21">
        <v>24.217099999999999</v>
      </c>
      <c r="JS21">
        <v>98.873699999999999</v>
      </c>
      <c r="JT21">
        <v>97.221000000000004</v>
      </c>
    </row>
    <row r="22" spans="1:280" x14ac:dyDescent="0.25">
      <c r="A22">
        <v>6</v>
      </c>
      <c r="B22">
        <v>1700149829.5</v>
      </c>
      <c r="C22">
        <v>848</v>
      </c>
      <c r="D22" t="s">
        <v>441</v>
      </c>
      <c r="E22" t="s">
        <v>442</v>
      </c>
      <c r="F22" t="s">
        <v>412</v>
      </c>
      <c r="G22" t="s">
        <v>413</v>
      </c>
      <c r="H22" t="s">
        <v>414</v>
      </c>
      <c r="I22">
        <v>1700149829.5</v>
      </c>
      <c r="J22">
        <f t="shared" si="0"/>
        <v>2.8513330144337217E-3</v>
      </c>
      <c r="K22">
        <f t="shared" si="1"/>
        <v>2.8513330144337217</v>
      </c>
      <c r="L22">
        <f t="shared" si="2"/>
        <v>43.957649100157958</v>
      </c>
      <c r="M22">
        <f t="shared" si="3"/>
        <v>551.23900000000003</v>
      </c>
      <c r="N22">
        <f t="shared" si="4"/>
        <v>146.68059025316884</v>
      </c>
      <c r="O22">
        <f t="shared" si="5"/>
        <v>14.624472447881386</v>
      </c>
      <c r="P22">
        <f t="shared" si="6"/>
        <v>54.960097677433005</v>
      </c>
      <c r="Q22">
        <f t="shared" si="7"/>
        <v>0.18284282628313409</v>
      </c>
      <c r="R22">
        <f t="shared" si="8"/>
        <v>3.0502033081719824</v>
      </c>
      <c r="S22">
        <f t="shared" si="9"/>
        <v>0.17696475397833264</v>
      </c>
      <c r="T22">
        <f t="shared" si="10"/>
        <v>0.11111535096463168</v>
      </c>
      <c r="U22">
        <f t="shared" si="11"/>
        <v>344.35859876229273</v>
      </c>
      <c r="V22">
        <f t="shared" si="12"/>
        <v>30.908877884276759</v>
      </c>
      <c r="W22">
        <f t="shared" si="13"/>
        <v>30.101500000000001</v>
      </c>
      <c r="X22">
        <f t="shared" si="14"/>
        <v>4.2853517136852846</v>
      </c>
      <c r="Y22">
        <f t="shared" si="15"/>
        <v>65.437854122807565</v>
      </c>
      <c r="Z22">
        <f t="shared" si="16"/>
        <v>2.7354572805767003</v>
      </c>
      <c r="AA22">
        <f t="shared" si="17"/>
        <v>4.1802368327100901</v>
      </c>
      <c r="AB22">
        <f t="shared" si="18"/>
        <v>1.5498944331085842</v>
      </c>
      <c r="AC22">
        <f t="shared" si="19"/>
        <v>-125.74378593652713</v>
      </c>
      <c r="AD22">
        <f t="shared" si="20"/>
        <v>-71.039186244072894</v>
      </c>
      <c r="AE22">
        <f t="shared" si="21"/>
        <v>-5.1726854228758219</v>
      </c>
      <c r="AF22">
        <f t="shared" si="22"/>
        <v>142.40294115881687</v>
      </c>
      <c r="AG22">
        <v>21</v>
      </c>
      <c r="AH22">
        <v>4</v>
      </c>
      <c r="AI22">
        <f t="shared" si="23"/>
        <v>1</v>
      </c>
      <c r="AJ22">
        <f t="shared" si="24"/>
        <v>0</v>
      </c>
      <c r="AK22">
        <f t="shared" si="25"/>
        <v>52187.004678630154</v>
      </c>
      <c r="AL22" t="s">
        <v>415</v>
      </c>
      <c r="AM22">
        <v>7133.88</v>
      </c>
      <c r="AN22">
        <v>306.28384615384618</v>
      </c>
      <c r="AO22">
        <v>859.63916333292491</v>
      </c>
      <c r="AP22">
        <f t="shared" si="26"/>
        <v>0.64370650010133712</v>
      </c>
      <c r="AQ22">
        <v>-0.73746743666429193</v>
      </c>
      <c r="AR22" t="s">
        <v>443</v>
      </c>
      <c r="AS22">
        <v>7142.09</v>
      </c>
      <c r="AT22">
        <v>682.95415384615376</v>
      </c>
      <c r="AU22">
        <v>928.33003192427668</v>
      </c>
      <c r="AV22">
        <f t="shared" si="27"/>
        <v>0.26431965964679471</v>
      </c>
      <c r="AW22">
        <v>0.5</v>
      </c>
      <c r="AX22">
        <f t="shared" si="28"/>
        <v>1513.1345993811462</v>
      </c>
      <c r="AY22">
        <f t="shared" si="29"/>
        <v>43.957649100157958</v>
      </c>
      <c r="AZ22">
        <f t="shared" si="30"/>
        <v>199.97561115410682</v>
      </c>
      <c r="BA22">
        <f t="shared" si="31"/>
        <v>2.9538096977692541E-2</v>
      </c>
      <c r="BB22">
        <f t="shared" si="32"/>
        <v>-7.3994017460543432E-2</v>
      </c>
      <c r="BC22">
        <f t="shared" si="33"/>
        <v>314.57723048020131</v>
      </c>
      <c r="BD22" t="s">
        <v>444</v>
      </c>
      <c r="BE22">
        <v>465.8</v>
      </c>
      <c r="BF22">
        <f t="shared" si="34"/>
        <v>465.8</v>
      </c>
      <c r="BG22">
        <f t="shared" si="35"/>
        <v>0.49823879010520367</v>
      </c>
      <c r="BH22">
        <f t="shared" si="36"/>
        <v>0.5305079911401186</v>
      </c>
      <c r="BI22">
        <f t="shared" si="37"/>
        <v>-0.17441350425906013</v>
      </c>
      <c r="BJ22">
        <f t="shared" si="38"/>
        <v>0.39446569031560658</v>
      </c>
      <c r="BK22">
        <f t="shared" si="39"/>
        <v>-0.12413519208874214</v>
      </c>
      <c r="BL22">
        <f t="shared" si="40"/>
        <v>0.36182607702351399</v>
      </c>
      <c r="BM22">
        <f t="shared" si="41"/>
        <v>0.63817392297648601</v>
      </c>
      <c r="BN22">
        <v>20714</v>
      </c>
      <c r="BO22">
        <v>290.00000000000011</v>
      </c>
      <c r="BP22">
        <v>860.39</v>
      </c>
      <c r="BQ22">
        <v>295</v>
      </c>
      <c r="BR22">
        <v>7142.09</v>
      </c>
      <c r="BS22">
        <v>861.98</v>
      </c>
      <c r="BT22">
        <v>-1.59</v>
      </c>
      <c r="BU22">
        <v>300.00000000000011</v>
      </c>
      <c r="BV22">
        <v>38.299999999999997</v>
      </c>
      <c r="BW22">
        <v>928.33003192427668</v>
      </c>
      <c r="BX22">
        <v>1.0838257487453919</v>
      </c>
      <c r="BY22">
        <v>-47.390517988796027</v>
      </c>
      <c r="BZ22">
        <v>0.64873940140966768</v>
      </c>
      <c r="CA22">
        <v>0.99478033222279216</v>
      </c>
      <c r="CB22">
        <v>-7.0507962180200298E-3</v>
      </c>
      <c r="CC22">
        <v>289.99999999999989</v>
      </c>
      <c r="CD22">
        <v>871.13</v>
      </c>
      <c r="CE22">
        <v>845</v>
      </c>
      <c r="CF22">
        <v>7135.2</v>
      </c>
      <c r="CG22">
        <v>861.91</v>
      </c>
      <c r="CH22">
        <v>9.2200000000000006</v>
      </c>
      <c r="CV22">
        <f t="shared" si="42"/>
        <v>1799.94</v>
      </c>
      <c r="CW22">
        <f t="shared" si="43"/>
        <v>1513.1345993811462</v>
      </c>
      <c r="CX22">
        <f t="shared" si="44"/>
        <v>0.84065835493469021</v>
      </c>
      <c r="CY22">
        <f t="shared" si="45"/>
        <v>0.19131670986938049</v>
      </c>
      <c r="CZ22">
        <v>5.36</v>
      </c>
      <c r="DA22">
        <v>0.5</v>
      </c>
      <c r="DB22" t="s">
        <v>418</v>
      </c>
      <c r="DC22">
        <v>2</v>
      </c>
      <c r="DD22">
        <v>1700149829.5</v>
      </c>
      <c r="DE22">
        <v>551.23900000000003</v>
      </c>
      <c r="DF22">
        <v>600.05200000000002</v>
      </c>
      <c r="DG22">
        <v>27.4361</v>
      </c>
      <c r="DH22">
        <v>24.463000000000001</v>
      </c>
      <c r="DI22">
        <v>556.76199999999994</v>
      </c>
      <c r="DJ22">
        <v>27.3871</v>
      </c>
      <c r="DK22">
        <v>499.94400000000002</v>
      </c>
      <c r="DL22">
        <v>99.602800000000002</v>
      </c>
      <c r="DM22">
        <v>0.100047</v>
      </c>
      <c r="DN22">
        <v>29.669499999999999</v>
      </c>
      <c r="DO22">
        <v>30.101500000000001</v>
      </c>
      <c r="DP22">
        <v>999.9</v>
      </c>
      <c r="DQ22">
        <v>0</v>
      </c>
      <c r="DR22">
        <v>0</v>
      </c>
      <c r="DS22">
        <v>9996.8799999999992</v>
      </c>
      <c r="DT22">
        <v>0</v>
      </c>
      <c r="DU22">
        <v>634.29600000000005</v>
      </c>
      <c r="DV22">
        <v>-48.813299999999998</v>
      </c>
      <c r="DW22">
        <v>566.78899999999999</v>
      </c>
      <c r="DX22">
        <v>615.09900000000005</v>
      </c>
      <c r="DY22">
        <v>2.9730400000000001</v>
      </c>
      <c r="DZ22">
        <v>600.05200000000002</v>
      </c>
      <c r="EA22">
        <v>24.463000000000001</v>
      </c>
      <c r="EB22">
        <v>2.73271</v>
      </c>
      <c r="EC22">
        <v>2.4365899999999998</v>
      </c>
      <c r="ED22">
        <v>22.4831</v>
      </c>
      <c r="EE22">
        <v>20.609000000000002</v>
      </c>
      <c r="EF22">
        <v>1799.94</v>
      </c>
      <c r="EG22">
        <v>0.97799400000000003</v>
      </c>
      <c r="EH22">
        <v>2.2005799999999999E-2</v>
      </c>
      <c r="EI22">
        <v>0</v>
      </c>
      <c r="EJ22">
        <v>682.88400000000001</v>
      </c>
      <c r="EK22">
        <v>5.0009399999999999</v>
      </c>
      <c r="EL22">
        <v>14098.3</v>
      </c>
      <c r="EM22">
        <v>13859.6</v>
      </c>
      <c r="EN22">
        <v>48.561999999999998</v>
      </c>
      <c r="EO22">
        <v>50.686999999999998</v>
      </c>
      <c r="EP22">
        <v>49.686999999999998</v>
      </c>
      <c r="EQ22">
        <v>50.061999999999998</v>
      </c>
      <c r="ER22">
        <v>50</v>
      </c>
      <c r="ES22">
        <v>1755.44</v>
      </c>
      <c r="ET22">
        <v>39.5</v>
      </c>
      <c r="EU22">
        <v>0</v>
      </c>
      <c r="EV22">
        <v>294.60000014305109</v>
      </c>
      <c r="EW22">
        <v>0</v>
      </c>
      <c r="EX22">
        <v>682.95415384615376</v>
      </c>
      <c r="EY22">
        <v>-1.047247875557578</v>
      </c>
      <c r="EZ22">
        <v>29.33675224970494</v>
      </c>
      <c r="FA22">
        <v>14092.057692307701</v>
      </c>
      <c r="FB22">
        <v>15</v>
      </c>
      <c r="FC22">
        <v>1700149798.5</v>
      </c>
      <c r="FD22" t="s">
        <v>445</v>
      </c>
      <c r="FE22">
        <v>1700149798.5</v>
      </c>
      <c r="FF22">
        <v>1700149791.5</v>
      </c>
      <c r="FG22">
        <v>7</v>
      </c>
      <c r="FH22">
        <v>0.182</v>
      </c>
      <c r="FI22">
        <v>-1.0999999999999999E-2</v>
      </c>
      <c r="FJ22">
        <v>-5.673</v>
      </c>
      <c r="FK22">
        <v>4.9000000000000002E-2</v>
      </c>
      <c r="FL22">
        <v>600</v>
      </c>
      <c r="FM22">
        <v>25</v>
      </c>
      <c r="FN22">
        <v>0.03</v>
      </c>
      <c r="FO22">
        <v>0.03</v>
      </c>
      <c r="FP22">
        <v>43.819168367049762</v>
      </c>
      <c r="FQ22">
        <v>0.25577255837631369</v>
      </c>
      <c r="FR22">
        <v>3.1842966836752848E-2</v>
      </c>
      <c r="FS22">
        <v>1</v>
      </c>
      <c r="FT22">
        <v>0.18752362230752209</v>
      </c>
      <c r="FU22">
        <v>3.8112174103422401E-2</v>
      </c>
      <c r="FV22">
        <v>4.5310844056258579E-3</v>
      </c>
      <c r="FW22">
        <v>1</v>
      </c>
      <c r="FX22">
        <v>2</v>
      </c>
      <c r="FY22">
        <v>2</v>
      </c>
      <c r="FZ22" t="s">
        <v>420</v>
      </c>
      <c r="GA22">
        <v>3.1192799999999998</v>
      </c>
      <c r="GB22">
        <v>2.87764</v>
      </c>
      <c r="GC22">
        <v>0.11149100000000001</v>
      </c>
      <c r="GD22">
        <v>0.119128</v>
      </c>
      <c r="GE22">
        <v>0.124212</v>
      </c>
      <c r="GF22">
        <v>0.11548</v>
      </c>
      <c r="GG22">
        <v>25823.7</v>
      </c>
      <c r="GH22">
        <v>26172.6</v>
      </c>
      <c r="GI22">
        <v>26770.400000000001</v>
      </c>
      <c r="GJ22">
        <v>27440.7</v>
      </c>
      <c r="GK22">
        <v>33542.1</v>
      </c>
      <c r="GL22">
        <v>33914.5</v>
      </c>
      <c r="GM22">
        <v>39668.1</v>
      </c>
      <c r="GN22">
        <v>39732.6</v>
      </c>
      <c r="GO22">
        <v>1.9372</v>
      </c>
      <c r="GP22">
        <v>2.4657</v>
      </c>
      <c r="GQ22">
        <v>4.6841800000000003E-2</v>
      </c>
      <c r="GR22">
        <v>0</v>
      </c>
      <c r="GS22">
        <v>29.338799999999999</v>
      </c>
      <c r="GT22">
        <v>999.9</v>
      </c>
      <c r="GU22">
        <v>51</v>
      </c>
      <c r="GV22">
        <v>37.5</v>
      </c>
      <c r="GW22">
        <v>33.175899999999999</v>
      </c>
      <c r="GX22">
        <v>63.520299999999999</v>
      </c>
      <c r="GY22">
        <v>5.7692300000000003</v>
      </c>
      <c r="GZ22">
        <v>3</v>
      </c>
      <c r="HA22">
        <v>0.54824899999999999</v>
      </c>
      <c r="HB22">
        <v>5.3941699999999999</v>
      </c>
      <c r="HC22">
        <v>20.2148</v>
      </c>
      <c r="HD22">
        <v>5.2147399999999999</v>
      </c>
      <c r="HE22">
        <v>11.909000000000001</v>
      </c>
      <c r="HF22">
        <v>4.9976500000000001</v>
      </c>
      <c r="HG22">
        <v>3.3029299999999999</v>
      </c>
      <c r="HH22">
        <v>9999</v>
      </c>
      <c r="HI22">
        <v>9999</v>
      </c>
      <c r="HJ22">
        <v>9999</v>
      </c>
      <c r="HK22">
        <v>999.9</v>
      </c>
      <c r="HL22">
        <v>1.8849199999999999</v>
      </c>
      <c r="HM22">
        <v>1.8855299999999999</v>
      </c>
      <c r="HN22">
        <v>1.88157</v>
      </c>
      <c r="HO22">
        <v>1.8832</v>
      </c>
      <c r="HP22">
        <v>1.8801699999999999</v>
      </c>
      <c r="HQ22">
        <v>1.8836599999999999</v>
      </c>
      <c r="HR22">
        <v>1.87958</v>
      </c>
      <c r="HS22">
        <v>1.8818699999999999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-5.5229999999999997</v>
      </c>
      <c r="IH22">
        <v>4.9000000000000002E-2</v>
      </c>
      <c r="II22">
        <v>-3.59586937039224</v>
      </c>
      <c r="IJ22">
        <v>-3.7794827560518689E-3</v>
      </c>
      <c r="IK22">
        <v>4.9551128961100493E-7</v>
      </c>
      <c r="IL22">
        <v>1.3680294268397379E-10</v>
      </c>
      <c r="IM22">
        <v>4.9005000000001082E-2</v>
      </c>
      <c r="IN22">
        <v>0</v>
      </c>
      <c r="IO22">
        <v>0</v>
      </c>
      <c r="IP22">
        <v>0</v>
      </c>
      <c r="IQ22">
        <v>4</v>
      </c>
      <c r="IR22">
        <v>2229</v>
      </c>
      <c r="IS22">
        <v>1</v>
      </c>
      <c r="IT22">
        <v>22</v>
      </c>
      <c r="IU22">
        <v>0.5</v>
      </c>
      <c r="IV22">
        <v>0.6</v>
      </c>
      <c r="IW22">
        <v>2.0849600000000001</v>
      </c>
      <c r="IX22">
        <v>2.5293000000000001</v>
      </c>
      <c r="IY22">
        <v>2.9956100000000001</v>
      </c>
      <c r="IZ22">
        <v>2.94678</v>
      </c>
      <c r="JA22">
        <v>3.1970200000000002</v>
      </c>
      <c r="JB22">
        <v>2.4523899999999998</v>
      </c>
      <c r="JC22">
        <v>45.261899999999997</v>
      </c>
      <c r="JD22">
        <v>23.439599999999999</v>
      </c>
      <c r="JE22">
        <v>18</v>
      </c>
      <c r="JF22">
        <v>495.60399999999998</v>
      </c>
      <c r="JG22">
        <v>1152</v>
      </c>
      <c r="JH22">
        <v>23.396799999999999</v>
      </c>
      <c r="JI22">
        <v>33.875700000000002</v>
      </c>
      <c r="JJ22">
        <v>30.002700000000001</v>
      </c>
      <c r="JK22">
        <v>33.801600000000001</v>
      </c>
      <c r="JL22">
        <v>33.700099999999999</v>
      </c>
      <c r="JM22">
        <v>41.772500000000001</v>
      </c>
      <c r="JN22">
        <v>27.608699999999999</v>
      </c>
      <c r="JO22">
        <v>33.886299999999999</v>
      </c>
      <c r="JP22">
        <v>23.3431</v>
      </c>
      <c r="JQ22">
        <v>600</v>
      </c>
      <c r="JR22">
        <v>24.3994</v>
      </c>
      <c r="JS22">
        <v>98.869100000000003</v>
      </c>
      <c r="JT22">
        <v>97.212999999999994</v>
      </c>
    </row>
    <row r="23" spans="1:280" x14ac:dyDescent="0.25">
      <c r="A23">
        <v>7</v>
      </c>
      <c r="B23">
        <v>1700150009.5</v>
      </c>
      <c r="C23">
        <v>1028</v>
      </c>
      <c r="D23" t="s">
        <v>446</v>
      </c>
      <c r="E23" t="s">
        <v>447</v>
      </c>
      <c r="F23" t="s">
        <v>412</v>
      </c>
      <c r="G23" t="s">
        <v>413</v>
      </c>
      <c r="H23" t="s">
        <v>414</v>
      </c>
      <c r="I23">
        <v>1700150009.5</v>
      </c>
      <c r="J23">
        <f t="shared" si="0"/>
        <v>3.8377035047476231E-3</v>
      </c>
      <c r="K23">
        <f t="shared" si="1"/>
        <v>3.8377035047476231</v>
      </c>
      <c r="L23">
        <f t="shared" si="2"/>
        <v>44.333790077865025</v>
      </c>
      <c r="M23">
        <f t="shared" si="3"/>
        <v>450.65199999999999</v>
      </c>
      <c r="N23">
        <f t="shared" si="4"/>
        <v>151.94534691571283</v>
      </c>
      <c r="O23">
        <f t="shared" si="5"/>
        <v>15.145855960779896</v>
      </c>
      <c r="P23">
        <f t="shared" si="6"/>
        <v>44.920824618760001</v>
      </c>
      <c r="Q23">
        <f t="shared" si="7"/>
        <v>0.25326213129428771</v>
      </c>
      <c r="R23">
        <f t="shared" si="8"/>
        <v>3.0491767510254126</v>
      </c>
      <c r="S23">
        <f t="shared" si="9"/>
        <v>0.24212910439005064</v>
      </c>
      <c r="T23">
        <f t="shared" si="10"/>
        <v>0.15229016355432143</v>
      </c>
      <c r="U23">
        <f t="shared" si="11"/>
        <v>344.33199876219641</v>
      </c>
      <c r="V23">
        <f t="shared" si="12"/>
        <v>30.770361047056856</v>
      </c>
      <c r="W23">
        <f t="shared" si="13"/>
        <v>29.9849</v>
      </c>
      <c r="X23">
        <f t="shared" si="14"/>
        <v>4.2567559458769599</v>
      </c>
      <c r="Y23">
        <f t="shared" si="15"/>
        <v>64.95582622841701</v>
      </c>
      <c r="Z23">
        <f t="shared" si="16"/>
        <v>2.7322385942260001</v>
      </c>
      <c r="AA23">
        <f t="shared" si="17"/>
        <v>4.2063025795685967</v>
      </c>
      <c r="AB23">
        <f t="shared" si="18"/>
        <v>1.5245173516509598</v>
      </c>
      <c r="AC23">
        <f t="shared" si="19"/>
        <v>-169.24272455937017</v>
      </c>
      <c r="AD23">
        <f t="shared" si="20"/>
        <v>-34.093908806065869</v>
      </c>
      <c r="AE23">
        <f t="shared" si="21"/>
        <v>-2.4832612175049089</v>
      </c>
      <c r="AF23">
        <f t="shared" si="22"/>
        <v>138.51210417925546</v>
      </c>
      <c r="AG23">
        <v>20</v>
      </c>
      <c r="AH23">
        <v>4</v>
      </c>
      <c r="AI23">
        <f t="shared" si="23"/>
        <v>1</v>
      </c>
      <c r="AJ23">
        <f t="shared" si="24"/>
        <v>0</v>
      </c>
      <c r="AK23">
        <f t="shared" si="25"/>
        <v>52140.573880299846</v>
      </c>
      <c r="AL23" t="s">
        <v>431</v>
      </c>
      <c r="AM23" t="s">
        <v>431</v>
      </c>
      <c r="AN23">
        <v>0</v>
      </c>
      <c r="AO23">
        <v>0</v>
      </c>
      <c r="AP23" t="e">
        <f t="shared" si="26"/>
        <v>#DIV/0!</v>
      </c>
      <c r="AQ23">
        <v>0</v>
      </c>
      <c r="AR23" t="s">
        <v>431</v>
      </c>
      <c r="AS23" t="s">
        <v>431</v>
      </c>
      <c r="AT23">
        <v>0</v>
      </c>
      <c r="AU23">
        <v>0</v>
      </c>
      <c r="AV23" t="e">
        <f t="shared" si="27"/>
        <v>#DIV/0!</v>
      </c>
      <c r="AW23">
        <v>0.5</v>
      </c>
      <c r="AX23">
        <f t="shared" si="28"/>
        <v>1513.0169993810982</v>
      </c>
      <c r="AY23">
        <f t="shared" si="29"/>
        <v>44.333790077865025</v>
      </c>
      <c r="AZ23" t="e">
        <f t="shared" si="30"/>
        <v>#DIV/0!</v>
      </c>
      <c r="BA23">
        <f t="shared" si="31"/>
        <v>2.9301580944562967E-2</v>
      </c>
      <c r="BB23" t="e">
        <f t="shared" si="32"/>
        <v>#DIV/0!</v>
      </c>
      <c r="BC23" t="e">
        <f t="shared" si="33"/>
        <v>#DIV/0!</v>
      </c>
      <c r="BD23" t="s">
        <v>431</v>
      </c>
      <c r="BE23">
        <v>0</v>
      </c>
      <c r="BF23" t="e">
        <f t="shared" si="34"/>
        <v>#DIV/0!</v>
      </c>
      <c r="BG23" t="e">
        <f t="shared" si="35"/>
        <v>#DIV/0!</v>
      </c>
      <c r="BH23" t="e">
        <f t="shared" si="36"/>
        <v>#DIV/0!</v>
      </c>
      <c r="BI23" t="e">
        <f t="shared" si="37"/>
        <v>#DIV/0!</v>
      </c>
      <c r="BJ23" t="e">
        <f t="shared" si="38"/>
        <v>#DIV/0!</v>
      </c>
      <c r="BK23" t="e">
        <f t="shared" si="39"/>
        <v>#DIV/0!</v>
      </c>
      <c r="BL23" t="e">
        <f t="shared" si="40"/>
        <v>#DIV/0!</v>
      </c>
      <c r="BM23" t="e">
        <f t="shared" si="41"/>
        <v>#DIV/0!</v>
      </c>
      <c r="BN23">
        <v>20714</v>
      </c>
      <c r="BO23">
        <v>290.00000000000011</v>
      </c>
      <c r="BP23">
        <v>860.39</v>
      </c>
      <c r="BQ23">
        <v>295</v>
      </c>
      <c r="BR23">
        <v>7142.09</v>
      </c>
      <c r="BS23">
        <v>861.98</v>
      </c>
      <c r="BT23">
        <v>-1.59</v>
      </c>
      <c r="BU23">
        <v>300.00000000000011</v>
      </c>
      <c r="BV23">
        <v>38.299999999999997</v>
      </c>
      <c r="BW23">
        <v>928.33003192427668</v>
      </c>
      <c r="BX23">
        <v>1.0838257487453919</v>
      </c>
      <c r="BY23">
        <v>-47.390517988796027</v>
      </c>
      <c r="BZ23">
        <v>0.64873940140966768</v>
      </c>
      <c r="CA23">
        <v>0.99478033222279216</v>
      </c>
      <c r="CB23">
        <v>-7.0507962180200298E-3</v>
      </c>
      <c r="CC23">
        <v>289.99999999999989</v>
      </c>
      <c r="CD23">
        <v>871.13</v>
      </c>
      <c r="CE23">
        <v>845</v>
      </c>
      <c r="CF23">
        <v>7135.2</v>
      </c>
      <c r="CG23">
        <v>861.91</v>
      </c>
      <c r="CH23">
        <v>9.2200000000000006</v>
      </c>
      <c r="CV23">
        <f t="shared" si="42"/>
        <v>1799.8</v>
      </c>
      <c r="CW23">
        <f t="shared" si="43"/>
        <v>1513.0169993810982</v>
      </c>
      <c r="CX23">
        <f t="shared" si="44"/>
        <v>0.84065840614573739</v>
      </c>
      <c r="CY23">
        <f t="shared" si="45"/>
        <v>0.19131681229147485</v>
      </c>
      <c r="CZ23">
        <v>5.36</v>
      </c>
      <c r="DA23">
        <v>0.5</v>
      </c>
      <c r="DB23" t="s">
        <v>418</v>
      </c>
      <c r="DC23">
        <v>2</v>
      </c>
      <c r="DD23">
        <v>1700150009.5</v>
      </c>
      <c r="DE23">
        <v>450.65199999999999</v>
      </c>
      <c r="DF23">
        <v>500.02499999999998</v>
      </c>
      <c r="DG23">
        <v>27.4102</v>
      </c>
      <c r="DH23">
        <v>23.409500000000001</v>
      </c>
      <c r="DI23">
        <v>455.71600000000001</v>
      </c>
      <c r="DJ23">
        <v>27.373899999999999</v>
      </c>
      <c r="DK23">
        <v>500.06900000000002</v>
      </c>
      <c r="DL23">
        <v>99.579599999999999</v>
      </c>
      <c r="DM23">
        <v>0.10002999999999999</v>
      </c>
      <c r="DN23">
        <v>29.7775</v>
      </c>
      <c r="DO23">
        <v>29.9849</v>
      </c>
      <c r="DP23">
        <v>999.9</v>
      </c>
      <c r="DQ23">
        <v>0</v>
      </c>
      <c r="DR23">
        <v>0</v>
      </c>
      <c r="DS23">
        <v>9993.75</v>
      </c>
      <c r="DT23">
        <v>0</v>
      </c>
      <c r="DU23">
        <v>615.16300000000001</v>
      </c>
      <c r="DV23">
        <v>-49.372300000000003</v>
      </c>
      <c r="DW23">
        <v>463.35300000000001</v>
      </c>
      <c r="DX23">
        <v>512.01099999999997</v>
      </c>
      <c r="DY23">
        <v>4.0006700000000004</v>
      </c>
      <c r="DZ23">
        <v>500.02499999999998</v>
      </c>
      <c r="EA23">
        <v>23.409500000000001</v>
      </c>
      <c r="EB23">
        <v>2.7294900000000002</v>
      </c>
      <c r="EC23">
        <v>2.3311099999999998</v>
      </c>
      <c r="ED23">
        <v>22.463799999999999</v>
      </c>
      <c r="EE23">
        <v>19.893000000000001</v>
      </c>
      <c r="EF23">
        <v>1799.8</v>
      </c>
      <c r="EG23">
        <v>0.97799400000000003</v>
      </c>
      <c r="EH23">
        <v>2.2005799999999999E-2</v>
      </c>
      <c r="EI23">
        <v>0</v>
      </c>
      <c r="EJ23">
        <v>680.77800000000002</v>
      </c>
      <c r="EK23">
        <v>5.0009399999999999</v>
      </c>
      <c r="EL23">
        <v>13738.6</v>
      </c>
      <c r="EM23">
        <v>13858.6</v>
      </c>
      <c r="EN23">
        <v>48.686999999999998</v>
      </c>
      <c r="EO23">
        <v>50.75</v>
      </c>
      <c r="EP23">
        <v>49.75</v>
      </c>
      <c r="EQ23">
        <v>50</v>
      </c>
      <c r="ER23">
        <v>50.061999999999998</v>
      </c>
      <c r="ES23">
        <v>1755.3</v>
      </c>
      <c r="ET23">
        <v>39.5</v>
      </c>
      <c r="EU23">
        <v>0</v>
      </c>
      <c r="EV23">
        <v>177.79999995231631</v>
      </c>
      <c r="EW23">
        <v>0</v>
      </c>
      <c r="EX23">
        <v>681.06099999999992</v>
      </c>
      <c r="EY23">
        <v>-1.0970256532379701</v>
      </c>
      <c r="EZ23">
        <v>-573.36068448180106</v>
      </c>
      <c r="FA23">
        <v>13825.5</v>
      </c>
      <c r="FB23">
        <v>15</v>
      </c>
      <c r="FC23">
        <v>1700149919.5</v>
      </c>
      <c r="FD23" t="s">
        <v>448</v>
      </c>
      <c r="FE23">
        <v>1700149919.5</v>
      </c>
      <c r="FF23">
        <v>1700149914.5</v>
      </c>
      <c r="FG23">
        <v>8</v>
      </c>
      <c r="FH23">
        <v>0.13900000000000001</v>
      </c>
      <c r="FI23">
        <v>-1.2999999999999999E-2</v>
      </c>
      <c r="FJ23">
        <v>-5.2220000000000004</v>
      </c>
      <c r="FK23">
        <v>3.5999999999999997E-2</v>
      </c>
      <c r="FL23">
        <v>500</v>
      </c>
      <c r="FM23">
        <v>24</v>
      </c>
      <c r="FN23">
        <v>0.03</v>
      </c>
      <c r="FO23">
        <v>0.03</v>
      </c>
      <c r="FP23">
        <v>44.21974910966</v>
      </c>
      <c r="FQ23">
        <v>0.57563029661099596</v>
      </c>
      <c r="FR23">
        <v>5.9489661099189732E-2</v>
      </c>
      <c r="FS23">
        <v>1</v>
      </c>
      <c r="FT23">
        <v>0.25376008289150331</v>
      </c>
      <c r="FU23">
        <v>2.148914762060626E-3</v>
      </c>
      <c r="FV23">
        <v>7.3928690960131497E-4</v>
      </c>
      <c r="FW23">
        <v>1</v>
      </c>
      <c r="FX23">
        <v>2</v>
      </c>
      <c r="FY23">
        <v>2</v>
      </c>
      <c r="FZ23" t="s">
        <v>420</v>
      </c>
      <c r="GA23">
        <v>3.11917</v>
      </c>
      <c r="GB23">
        <v>2.8776000000000002</v>
      </c>
      <c r="GC23">
        <v>9.62002E-2</v>
      </c>
      <c r="GD23">
        <v>0.104407</v>
      </c>
      <c r="GE23">
        <v>0.124109</v>
      </c>
      <c r="GF23">
        <v>0.111857</v>
      </c>
      <c r="GG23">
        <v>26262.2</v>
      </c>
      <c r="GH23">
        <v>26605.3</v>
      </c>
      <c r="GI23">
        <v>26764.7</v>
      </c>
      <c r="GJ23">
        <v>27436.400000000001</v>
      </c>
      <c r="GK23">
        <v>33538.199999999997</v>
      </c>
      <c r="GL23">
        <v>34049.1</v>
      </c>
      <c r="GM23">
        <v>39659.599999999999</v>
      </c>
      <c r="GN23">
        <v>39728.6</v>
      </c>
      <c r="GO23">
        <v>1.9373199999999999</v>
      </c>
      <c r="GP23">
        <v>2.4588800000000002</v>
      </c>
      <c r="GQ23">
        <v>3.0621900000000001E-2</v>
      </c>
      <c r="GR23">
        <v>0</v>
      </c>
      <c r="GS23">
        <v>29.4864</v>
      </c>
      <c r="GT23">
        <v>999.9</v>
      </c>
      <c r="GU23">
        <v>49.3</v>
      </c>
      <c r="GV23">
        <v>38.1</v>
      </c>
      <c r="GW23">
        <v>33.135899999999999</v>
      </c>
      <c r="GX23">
        <v>63.310299999999998</v>
      </c>
      <c r="GY23">
        <v>6.0977600000000001</v>
      </c>
      <c r="GZ23">
        <v>3</v>
      </c>
      <c r="HA23">
        <v>0.55085399999999995</v>
      </c>
      <c r="HB23">
        <v>4.1452999999999998</v>
      </c>
      <c r="HC23">
        <v>20.2517</v>
      </c>
      <c r="HD23">
        <v>5.2144399999999997</v>
      </c>
      <c r="HE23">
        <v>11.9086</v>
      </c>
      <c r="HF23">
        <v>4.99655</v>
      </c>
      <c r="HG23">
        <v>3.3029500000000001</v>
      </c>
      <c r="HH23">
        <v>9999</v>
      </c>
      <c r="HI23">
        <v>9999</v>
      </c>
      <c r="HJ23">
        <v>9999</v>
      </c>
      <c r="HK23">
        <v>999.9</v>
      </c>
      <c r="HL23">
        <v>1.8849199999999999</v>
      </c>
      <c r="HM23">
        <v>1.8855299999999999</v>
      </c>
      <c r="HN23">
        <v>1.88157</v>
      </c>
      <c r="HO23">
        <v>1.88324</v>
      </c>
      <c r="HP23">
        <v>1.8801699999999999</v>
      </c>
      <c r="HQ23">
        <v>1.8836599999999999</v>
      </c>
      <c r="HR23">
        <v>1.87958</v>
      </c>
      <c r="HS23">
        <v>1.8818699999999999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-5.0640000000000001</v>
      </c>
      <c r="IH23">
        <v>3.6299999999999999E-2</v>
      </c>
      <c r="II23">
        <v>-3.4568657952614199</v>
      </c>
      <c r="IJ23">
        <v>-3.7794827560518689E-3</v>
      </c>
      <c r="IK23">
        <v>4.9551128961100493E-7</v>
      </c>
      <c r="IL23">
        <v>1.3680294268397379E-10</v>
      </c>
      <c r="IM23">
        <v>3.6305000000002252E-2</v>
      </c>
      <c r="IN23">
        <v>0</v>
      </c>
      <c r="IO23">
        <v>0</v>
      </c>
      <c r="IP23">
        <v>0</v>
      </c>
      <c r="IQ23">
        <v>4</v>
      </c>
      <c r="IR23">
        <v>2229</v>
      </c>
      <c r="IS23">
        <v>1</v>
      </c>
      <c r="IT23">
        <v>22</v>
      </c>
      <c r="IU23">
        <v>1.5</v>
      </c>
      <c r="IV23">
        <v>1.6</v>
      </c>
      <c r="IW23">
        <v>1.79688</v>
      </c>
      <c r="IX23">
        <v>2.5305200000000001</v>
      </c>
      <c r="IY23">
        <v>2.9956100000000001</v>
      </c>
      <c r="IZ23">
        <v>2.95044</v>
      </c>
      <c r="JA23">
        <v>3.1970200000000002</v>
      </c>
      <c r="JB23">
        <v>2.49146</v>
      </c>
      <c r="JC23">
        <v>45.9499</v>
      </c>
      <c r="JD23">
        <v>23.457100000000001</v>
      </c>
      <c r="JE23">
        <v>18</v>
      </c>
      <c r="JF23">
        <v>496.54700000000003</v>
      </c>
      <c r="JG23">
        <v>1144.83</v>
      </c>
      <c r="JH23">
        <v>24.017600000000002</v>
      </c>
      <c r="JI23">
        <v>33.997999999999998</v>
      </c>
      <c r="JJ23">
        <v>30.000699999999998</v>
      </c>
      <c r="JK23">
        <v>33.915399999999998</v>
      </c>
      <c r="JL23">
        <v>33.816099999999999</v>
      </c>
      <c r="JM23">
        <v>36.006700000000002</v>
      </c>
      <c r="JN23">
        <v>30.049800000000001</v>
      </c>
      <c r="JO23">
        <v>28.171600000000002</v>
      </c>
      <c r="JP23">
        <v>24.010200000000001</v>
      </c>
      <c r="JQ23">
        <v>500</v>
      </c>
      <c r="JR23">
        <v>23.345600000000001</v>
      </c>
      <c r="JS23">
        <v>98.848100000000002</v>
      </c>
      <c r="JT23">
        <v>97.200900000000004</v>
      </c>
    </row>
    <row r="24" spans="1:280" x14ac:dyDescent="0.25">
      <c r="A24">
        <v>8</v>
      </c>
      <c r="B24">
        <v>1700150201.5</v>
      </c>
      <c r="C24">
        <v>1220</v>
      </c>
      <c r="D24" t="s">
        <v>449</v>
      </c>
      <c r="E24" t="s">
        <v>450</v>
      </c>
      <c r="F24" t="s">
        <v>412</v>
      </c>
      <c r="G24" t="s">
        <v>413</v>
      </c>
      <c r="H24" t="s">
        <v>414</v>
      </c>
      <c r="I24">
        <v>1700150201.5</v>
      </c>
      <c r="J24">
        <f t="shared" si="0"/>
        <v>4.3940561127374239E-3</v>
      </c>
      <c r="K24">
        <f t="shared" si="1"/>
        <v>4.3940561127374238</v>
      </c>
      <c r="L24">
        <f t="shared" si="2"/>
        <v>41.748612974932151</v>
      </c>
      <c r="M24">
        <f t="shared" si="3"/>
        <v>353.54399999999998</v>
      </c>
      <c r="N24">
        <f t="shared" si="4"/>
        <v>110.81451411491278</v>
      </c>
      <c r="O24">
        <f t="shared" si="5"/>
        <v>11.043331440264776</v>
      </c>
      <c r="P24">
        <f t="shared" si="6"/>
        <v>35.232781571087997</v>
      </c>
      <c r="Q24">
        <f t="shared" si="7"/>
        <v>0.29485262686468716</v>
      </c>
      <c r="R24">
        <f t="shared" si="8"/>
        <v>3.0464943523309258</v>
      </c>
      <c r="S24">
        <f t="shared" si="9"/>
        <v>0.27986653786744403</v>
      </c>
      <c r="T24">
        <f t="shared" si="10"/>
        <v>0.1761995313536151</v>
      </c>
      <c r="U24">
        <f t="shared" si="11"/>
        <v>344.35669876228587</v>
      </c>
      <c r="V24">
        <f t="shared" si="12"/>
        <v>30.716824152286563</v>
      </c>
      <c r="W24">
        <f t="shared" si="13"/>
        <v>29.950700000000001</v>
      </c>
      <c r="X24">
        <f t="shared" si="14"/>
        <v>4.2484001135556992</v>
      </c>
      <c r="Y24">
        <f t="shared" si="15"/>
        <v>64.790209652799462</v>
      </c>
      <c r="Z24">
        <f t="shared" si="16"/>
        <v>2.738596762961</v>
      </c>
      <c r="AA24">
        <f t="shared" si="17"/>
        <v>4.2268681914084079</v>
      </c>
      <c r="AB24">
        <f t="shared" si="18"/>
        <v>1.5098033505946993</v>
      </c>
      <c r="AC24">
        <f t="shared" si="19"/>
        <v>-193.77787457172039</v>
      </c>
      <c r="AD24">
        <f t="shared" si="20"/>
        <v>-14.519046151421263</v>
      </c>
      <c r="AE24">
        <f t="shared" si="21"/>
        <v>-1.0587043658308894</v>
      </c>
      <c r="AF24">
        <f t="shared" si="22"/>
        <v>135.00107367331336</v>
      </c>
      <c r="AG24">
        <v>20</v>
      </c>
      <c r="AH24">
        <v>4</v>
      </c>
      <c r="AI24">
        <f t="shared" si="23"/>
        <v>1</v>
      </c>
      <c r="AJ24">
        <f t="shared" si="24"/>
        <v>0</v>
      </c>
      <c r="AK24">
        <f t="shared" si="25"/>
        <v>52054.129289602373</v>
      </c>
      <c r="AL24" t="s">
        <v>415</v>
      </c>
      <c r="AM24">
        <v>7133.88</v>
      </c>
      <c r="AN24">
        <v>306.28384615384618</v>
      </c>
      <c r="AO24">
        <v>859.63916333292491</v>
      </c>
      <c r="AP24">
        <f t="shared" si="26"/>
        <v>0.64370650010133712</v>
      </c>
      <c r="AQ24">
        <v>-0.73746743666429193</v>
      </c>
      <c r="AR24" t="s">
        <v>451</v>
      </c>
      <c r="AS24">
        <v>7142.01</v>
      </c>
      <c r="AT24">
        <v>683.98957692307692</v>
      </c>
      <c r="AU24">
        <v>912.32965894653489</v>
      </c>
      <c r="AV24">
        <f t="shared" si="27"/>
        <v>0.25028242783109977</v>
      </c>
      <c r="AW24">
        <v>0.5</v>
      </c>
      <c r="AX24">
        <f t="shared" si="28"/>
        <v>1513.1261993811429</v>
      </c>
      <c r="AY24">
        <f t="shared" si="29"/>
        <v>41.748612974932151</v>
      </c>
      <c r="AZ24">
        <f t="shared" si="30"/>
        <v>189.35444939797858</v>
      </c>
      <c r="BA24">
        <f t="shared" si="31"/>
        <v>2.8078345632355665E-2</v>
      </c>
      <c r="BB24">
        <f t="shared" si="32"/>
        <v>-5.7753790087731648E-2</v>
      </c>
      <c r="BC24">
        <f t="shared" si="33"/>
        <v>312.71875376659392</v>
      </c>
      <c r="BD24" t="s">
        <v>452</v>
      </c>
      <c r="BE24">
        <v>471.51</v>
      </c>
      <c r="BF24">
        <f t="shared" si="34"/>
        <v>471.51</v>
      </c>
      <c r="BG24">
        <f t="shared" si="35"/>
        <v>0.48318023493344331</v>
      </c>
      <c r="BH24">
        <f t="shared" si="36"/>
        <v>0.51798978877017898</v>
      </c>
      <c r="BI24">
        <f t="shared" si="37"/>
        <v>-0.13575505422253917</v>
      </c>
      <c r="BJ24">
        <f t="shared" si="38"/>
        <v>0.37677033188506942</v>
      </c>
      <c r="BK24">
        <f t="shared" si="39"/>
        <v>-9.5220004177818549E-2</v>
      </c>
      <c r="BL24">
        <f t="shared" si="40"/>
        <v>0.35707761279305955</v>
      </c>
      <c r="BM24">
        <f t="shared" si="41"/>
        <v>0.6429223872069405</v>
      </c>
      <c r="BN24">
        <v>20716</v>
      </c>
      <c r="BO24">
        <v>290.00000000000011</v>
      </c>
      <c r="BP24">
        <v>850.47</v>
      </c>
      <c r="BQ24">
        <v>295</v>
      </c>
      <c r="BR24">
        <v>7142.01</v>
      </c>
      <c r="BS24">
        <v>851.35</v>
      </c>
      <c r="BT24">
        <v>-0.88</v>
      </c>
      <c r="BU24">
        <v>300.00000000000011</v>
      </c>
      <c r="BV24">
        <v>38.299999999999997</v>
      </c>
      <c r="BW24">
        <v>912.32965894653489</v>
      </c>
      <c r="BX24">
        <v>1.381108415815492</v>
      </c>
      <c r="BY24">
        <v>-43.549216600139331</v>
      </c>
      <c r="BZ24">
        <v>0.82667301781534552</v>
      </c>
      <c r="CA24">
        <v>0.99001139006078165</v>
      </c>
      <c r="CB24">
        <v>-7.0506593993325877E-3</v>
      </c>
      <c r="CC24">
        <v>289.99999999999989</v>
      </c>
      <c r="CD24">
        <v>859.85</v>
      </c>
      <c r="CE24">
        <v>885</v>
      </c>
      <c r="CF24">
        <v>7134.59</v>
      </c>
      <c r="CG24">
        <v>851.29</v>
      </c>
      <c r="CH24">
        <v>8.56</v>
      </c>
      <c r="CV24">
        <f t="shared" si="42"/>
        <v>1799.93</v>
      </c>
      <c r="CW24">
        <f t="shared" si="43"/>
        <v>1513.1261993811429</v>
      </c>
      <c r="CX24">
        <f t="shared" si="44"/>
        <v>0.84065835859235793</v>
      </c>
      <c r="CY24">
        <f t="shared" si="45"/>
        <v>0.19131671718471599</v>
      </c>
      <c r="CZ24">
        <v>5.36</v>
      </c>
      <c r="DA24">
        <v>0.5</v>
      </c>
      <c r="DB24" t="s">
        <v>418</v>
      </c>
      <c r="DC24">
        <v>2</v>
      </c>
      <c r="DD24">
        <v>1700150201.5</v>
      </c>
      <c r="DE24">
        <v>353.54399999999998</v>
      </c>
      <c r="DF24">
        <v>399.96199999999999</v>
      </c>
      <c r="DG24">
        <v>27.480499999999999</v>
      </c>
      <c r="DH24">
        <v>22.899699999999999</v>
      </c>
      <c r="DI24">
        <v>358.375</v>
      </c>
      <c r="DJ24">
        <v>27.446400000000001</v>
      </c>
      <c r="DK24">
        <v>500.02</v>
      </c>
      <c r="DL24">
        <v>99.555800000000005</v>
      </c>
      <c r="DM24">
        <v>0.100202</v>
      </c>
      <c r="DN24">
        <v>29.862300000000001</v>
      </c>
      <c r="DO24">
        <v>29.950700000000001</v>
      </c>
      <c r="DP24">
        <v>999.9</v>
      </c>
      <c r="DQ24">
        <v>0</v>
      </c>
      <c r="DR24">
        <v>0</v>
      </c>
      <c r="DS24">
        <v>9981.8799999999992</v>
      </c>
      <c r="DT24">
        <v>0</v>
      </c>
      <c r="DU24">
        <v>365.39299999999997</v>
      </c>
      <c r="DV24">
        <v>-46.418100000000003</v>
      </c>
      <c r="DW24">
        <v>363.53399999999999</v>
      </c>
      <c r="DX24">
        <v>409.33600000000001</v>
      </c>
      <c r="DY24">
        <v>4.5807599999999997</v>
      </c>
      <c r="DZ24">
        <v>399.96199999999999</v>
      </c>
      <c r="EA24">
        <v>22.899699999999999</v>
      </c>
      <c r="EB24">
        <v>2.73584</v>
      </c>
      <c r="EC24">
        <v>2.2797999999999998</v>
      </c>
      <c r="ED24">
        <v>22.501999999999999</v>
      </c>
      <c r="EE24">
        <v>19.534400000000002</v>
      </c>
      <c r="EF24">
        <v>1799.93</v>
      </c>
      <c r="EG24">
        <v>0.97799400000000003</v>
      </c>
      <c r="EH24">
        <v>2.2005799999999999E-2</v>
      </c>
      <c r="EI24">
        <v>0</v>
      </c>
      <c r="EJ24">
        <v>683.3</v>
      </c>
      <c r="EK24">
        <v>5.0009399999999999</v>
      </c>
      <c r="EL24">
        <v>13651.6</v>
      </c>
      <c r="EM24">
        <v>13859.6</v>
      </c>
      <c r="EN24">
        <v>48.561999999999998</v>
      </c>
      <c r="EO24">
        <v>50.561999999999998</v>
      </c>
      <c r="EP24">
        <v>49.686999999999998</v>
      </c>
      <c r="EQ24">
        <v>49.811999999999998</v>
      </c>
      <c r="ER24">
        <v>50</v>
      </c>
      <c r="ES24">
        <v>1755.43</v>
      </c>
      <c r="ET24">
        <v>39.5</v>
      </c>
      <c r="EU24">
        <v>0</v>
      </c>
      <c r="EV24">
        <v>369.79999995231628</v>
      </c>
      <c r="EW24">
        <v>0</v>
      </c>
      <c r="EX24">
        <v>683.98957692307692</v>
      </c>
      <c r="EY24">
        <v>-3.7128546998391139</v>
      </c>
      <c r="EZ24">
        <v>293.69572660636771</v>
      </c>
      <c r="FA24">
        <v>13619.93076923077</v>
      </c>
      <c r="FB24">
        <v>15</v>
      </c>
      <c r="FC24">
        <v>1700150100</v>
      </c>
      <c r="FD24" t="s">
        <v>453</v>
      </c>
      <c r="FE24">
        <v>1700150100</v>
      </c>
      <c r="FF24">
        <v>1700150100</v>
      </c>
      <c r="FG24">
        <v>9</v>
      </c>
      <c r="FH24">
        <v>-8.8999999999999996E-2</v>
      </c>
      <c r="FI24">
        <v>-2E-3</v>
      </c>
      <c r="FJ24">
        <v>-4.9859999999999998</v>
      </c>
      <c r="FK24">
        <v>3.4000000000000002E-2</v>
      </c>
      <c r="FL24">
        <v>400</v>
      </c>
      <c r="FM24">
        <v>24</v>
      </c>
      <c r="FN24">
        <v>0.04</v>
      </c>
      <c r="FO24">
        <v>0.02</v>
      </c>
      <c r="FP24">
        <v>41.712720315107973</v>
      </c>
      <c r="FQ24">
        <v>0.58899565176555535</v>
      </c>
      <c r="FR24">
        <v>5.1346059437222258E-2</v>
      </c>
      <c r="FS24">
        <v>1</v>
      </c>
      <c r="FT24">
        <v>0.2952486676006022</v>
      </c>
      <c r="FU24">
        <v>-8.1634175656692017E-3</v>
      </c>
      <c r="FV24">
        <v>8.2428537386186303E-4</v>
      </c>
      <c r="FW24">
        <v>1</v>
      </c>
      <c r="FX24">
        <v>2</v>
      </c>
      <c r="FY24">
        <v>2</v>
      </c>
      <c r="FZ24" t="s">
        <v>420</v>
      </c>
      <c r="GA24">
        <v>3.1189800000000001</v>
      </c>
      <c r="GB24">
        <v>2.8776700000000002</v>
      </c>
      <c r="GC24">
        <v>7.9921099999999995E-2</v>
      </c>
      <c r="GD24">
        <v>8.8232599999999994E-2</v>
      </c>
      <c r="GE24">
        <v>0.12427199999999999</v>
      </c>
      <c r="GF24">
        <v>0.110046</v>
      </c>
      <c r="GG24">
        <v>26729</v>
      </c>
      <c r="GH24">
        <v>27080.1</v>
      </c>
      <c r="GI24">
        <v>26759.1</v>
      </c>
      <c r="GJ24">
        <v>27431.4</v>
      </c>
      <c r="GK24">
        <v>33525.1</v>
      </c>
      <c r="GL24">
        <v>34112.9</v>
      </c>
      <c r="GM24">
        <v>39652.300000000003</v>
      </c>
      <c r="GN24">
        <v>39723.199999999997</v>
      </c>
      <c r="GO24">
        <v>1.93587</v>
      </c>
      <c r="GP24">
        <v>2.4531000000000001</v>
      </c>
      <c r="GQ24">
        <v>2.3782299999999999E-2</v>
      </c>
      <c r="GR24">
        <v>0</v>
      </c>
      <c r="GS24">
        <v>29.563500000000001</v>
      </c>
      <c r="GT24">
        <v>999.9</v>
      </c>
      <c r="GU24">
        <v>47.5</v>
      </c>
      <c r="GV24">
        <v>38.700000000000003</v>
      </c>
      <c r="GW24">
        <v>32.987499999999997</v>
      </c>
      <c r="GX24">
        <v>63.430399999999999</v>
      </c>
      <c r="GY24">
        <v>6.3661899999999996</v>
      </c>
      <c r="GZ24">
        <v>3</v>
      </c>
      <c r="HA24">
        <v>0.56190600000000002</v>
      </c>
      <c r="HB24">
        <v>3.9203999999999999</v>
      </c>
      <c r="HC24">
        <v>20.256799999999998</v>
      </c>
      <c r="HD24">
        <v>5.2119</v>
      </c>
      <c r="HE24">
        <v>11.908300000000001</v>
      </c>
      <c r="HF24">
        <v>4.9969999999999999</v>
      </c>
      <c r="HG24">
        <v>3.3029299999999999</v>
      </c>
      <c r="HH24">
        <v>9999</v>
      </c>
      <c r="HI24">
        <v>9999</v>
      </c>
      <c r="HJ24">
        <v>9999</v>
      </c>
      <c r="HK24">
        <v>999.9</v>
      </c>
      <c r="HL24">
        <v>1.88493</v>
      </c>
      <c r="HM24">
        <v>1.8855299999999999</v>
      </c>
      <c r="HN24">
        <v>1.8815999999999999</v>
      </c>
      <c r="HO24">
        <v>1.88324</v>
      </c>
      <c r="HP24">
        <v>1.88018</v>
      </c>
      <c r="HQ24">
        <v>1.88367</v>
      </c>
      <c r="HR24">
        <v>1.87958</v>
      </c>
      <c r="HS24">
        <v>1.88188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-4.8310000000000004</v>
      </c>
      <c r="IH24">
        <v>3.4099999999999998E-2</v>
      </c>
      <c r="II24">
        <v>-3.5461142531158649</v>
      </c>
      <c r="IJ24">
        <v>-3.7794827560518689E-3</v>
      </c>
      <c r="IK24">
        <v>4.9551128961100493E-7</v>
      </c>
      <c r="IL24">
        <v>1.3680294268397379E-10</v>
      </c>
      <c r="IM24">
        <v>3.4095000000000653E-2</v>
      </c>
      <c r="IN24">
        <v>0</v>
      </c>
      <c r="IO24">
        <v>0</v>
      </c>
      <c r="IP24">
        <v>0</v>
      </c>
      <c r="IQ24">
        <v>4</v>
      </c>
      <c r="IR24">
        <v>2229</v>
      </c>
      <c r="IS24">
        <v>1</v>
      </c>
      <c r="IT24">
        <v>22</v>
      </c>
      <c r="IU24">
        <v>1.7</v>
      </c>
      <c r="IV24">
        <v>1.7</v>
      </c>
      <c r="IW24">
        <v>1.50024</v>
      </c>
      <c r="IX24">
        <v>2.5402800000000001</v>
      </c>
      <c r="IY24">
        <v>2.9956100000000001</v>
      </c>
      <c r="IZ24">
        <v>2.95044</v>
      </c>
      <c r="JA24">
        <v>3.1970200000000002</v>
      </c>
      <c r="JB24">
        <v>2.48169</v>
      </c>
      <c r="JC24">
        <v>46.5321</v>
      </c>
      <c r="JD24">
        <v>23.4483</v>
      </c>
      <c r="JE24">
        <v>18</v>
      </c>
      <c r="JF24">
        <v>496.71499999999997</v>
      </c>
      <c r="JG24">
        <v>1139.56</v>
      </c>
      <c r="JH24">
        <v>24.369</v>
      </c>
      <c r="JI24">
        <v>34.139499999999998</v>
      </c>
      <c r="JJ24">
        <v>30.000399999999999</v>
      </c>
      <c r="JK24">
        <v>34.056600000000003</v>
      </c>
      <c r="JL24">
        <v>33.956899999999997</v>
      </c>
      <c r="JM24">
        <v>30.043600000000001</v>
      </c>
      <c r="JN24">
        <v>30.689900000000002</v>
      </c>
      <c r="JO24">
        <v>21.270800000000001</v>
      </c>
      <c r="JP24">
        <v>24.367100000000001</v>
      </c>
      <c r="JQ24">
        <v>400</v>
      </c>
      <c r="JR24">
        <v>22.969799999999999</v>
      </c>
      <c r="JS24">
        <v>98.828800000000001</v>
      </c>
      <c r="JT24">
        <v>97.185699999999997</v>
      </c>
    </row>
    <row r="25" spans="1:280" x14ac:dyDescent="0.25">
      <c r="A25">
        <v>9</v>
      </c>
      <c r="B25">
        <v>1700150393.5</v>
      </c>
      <c r="C25">
        <v>1412</v>
      </c>
      <c r="D25" t="s">
        <v>454</v>
      </c>
      <c r="E25" t="s">
        <v>455</v>
      </c>
      <c r="F25" t="s">
        <v>412</v>
      </c>
      <c r="G25" t="s">
        <v>413</v>
      </c>
      <c r="H25" t="s">
        <v>414</v>
      </c>
      <c r="I25">
        <v>1700150393.5</v>
      </c>
      <c r="J25">
        <f t="shared" si="0"/>
        <v>5.1491112888325981E-3</v>
      </c>
      <c r="K25">
        <f t="shared" si="1"/>
        <v>5.1491112888325983</v>
      </c>
      <c r="L25">
        <f t="shared" si="2"/>
        <v>36.729792558046775</v>
      </c>
      <c r="M25">
        <f t="shared" si="3"/>
        <v>259.166</v>
      </c>
      <c r="N25">
        <f t="shared" si="4"/>
        <v>81.511167554911239</v>
      </c>
      <c r="O25">
        <f t="shared" si="5"/>
        <v>8.1218058613098485</v>
      </c>
      <c r="P25">
        <f t="shared" si="6"/>
        <v>25.823405565062394</v>
      </c>
      <c r="Q25">
        <f t="shared" si="7"/>
        <v>0.35749762025838294</v>
      </c>
      <c r="R25">
        <f t="shared" si="8"/>
        <v>3.0504407034662884</v>
      </c>
      <c r="S25">
        <f t="shared" si="9"/>
        <v>0.33574591312615931</v>
      </c>
      <c r="T25">
        <f t="shared" si="10"/>
        <v>0.21168512201503395</v>
      </c>
      <c r="U25">
        <f t="shared" si="11"/>
        <v>344.39089876240962</v>
      </c>
      <c r="V25">
        <f t="shared" si="12"/>
        <v>30.658493277266487</v>
      </c>
      <c r="W25">
        <f t="shared" si="13"/>
        <v>29.949200000000001</v>
      </c>
      <c r="X25">
        <f t="shared" si="14"/>
        <v>4.248033957148114</v>
      </c>
      <c r="Y25">
        <f t="shared" si="15"/>
        <v>65.128795430232913</v>
      </c>
      <c r="Z25">
        <f t="shared" si="16"/>
        <v>2.7737597412412796</v>
      </c>
      <c r="AA25">
        <f t="shared" si="17"/>
        <v>4.258883836125265</v>
      </c>
      <c r="AB25">
        <f t="shared" si="18"/>
        <v>1.4742742159068345</v>
      </c>
      <c r="AC25">
        <f t="shared" si="19"/>
        <v>-227.07580783751757</v>
      </c>
      <c r="AD25">
        <f t="shared" si="20"/>
        <v>7.3018179487141168</v>
      </c>
      <c r="AE25">
        <f t="shared" si="21"/>
        <v>0.53208929911386127</v>
      </c>
      <c r="AF25">
        <f t="shared" si="22"/>
        <v>125.14899817272003</v>
      </c>
      <c r="AG25">
        <v>19</v>
      </c>
      <c r="AH25">
        <v>4</v>
      </c>
      <c r="AI25">
        <f t="shared" si="23"/>
        <v>1</v>
      </c>
      <c r="AJ25">
        <f t="shared" si="24"/>
        <v>0</v>
      </c>
      <c r="AK25">
        <f t="shared" si="25"/>
        <v>52136.162466147121</v>
      </c>
      <c r="AL25" t="s">
        <v>415</v>
      </c>
      <c r="AM25">
        <v>7133.88</v>
      </c>
      <c r="AN25">
        <v>306.28384615384618</v>
      </c>
      <c r="AO25">
        <v>859.63916333292491</v>
      </c>
      <c r="AP25">
        <f t="shared" si="26"/>
        <v>0.64370650010133712</v>
      </c>
      <c r="AQ25">
        <v>-0.73746743666429193</v>
      </c>
      <c r="AR25" t="s">
        <v>456</v>
      </c>
      <c r="AS25">
        <v>7142.47</v>
      </c>
      <c r="AT25">
        <v>690.01246153846137</v>
      </c>
      <c r="AU25">
        <v>890.05766039016385</v>
      </c>
      <c r="AV25">
        <f t="shared" si="27"/>
        <v>0.22475532513703789</v>
      </c>
      <c r="AW25">
        <v>0.5</v>
      </c>
      <c r="AX25">
        <f t="shared" si="28"/>
        <v>1513.2773993812045</v>
      </c>
      <c r="AY25">
        <f t="shared" si="29"/>
        <v>36.729792558046775</v>
      </c>
      <c r="AZ25">
        <f t="shared" si="30"/>
        <v>170.05857696022687</v>
      </c>
      <c r="BA25">
        <f t="shared" si="31"/>
        <v>2.4759016430187769E-2</v>
      </c>
      <c r="BB25">
        <f t="shared" si="32"/>
        <v>-3.4175872430449894E-2</v>
      </c>
      <c r="BC25">
        <f t="shared" si="33"/>
        <v>310.05932733360476</v>
      </c>
      <c r="BD25" t="s">
        <v>457</v>
      </c>
      <c r="BE25">
        <v>469.75</v>
      </c>
      <c r="BF25">
        <f t="shared" si="34"/>
        <v>469.75</v>
      </c>
      <c r="BG25">
        <f t="shared" si="35"/>
        <v>0.47222520415803027</v>
      </c>
      <c r="BH25">
        <f t="shared" si="36"/>
        <v>0.47594944775930137</v>
      </c>
      <c r="BI25">
        <f t="shared" si="37"/>
        <v>-7.8018318840179443E-2</v>
      </c>
      <c r="BJ25">
        <f t="shared" si="38"/>
        <v>0.34267586858687382</v>
      </c>
      <c r="BK25">
        <f t="shared" si="39"/>
        <v>-5.4971003463575287E-2</v>
      </c>
      <c r="BL25">
        <f t="shared" si="40"/>
        <v>0.32401915261999886</v>
      </c>
      <c r="BM25">
        <f t="shared" si="41"/>
        <v>0.67598084738000108</v>
      </c>
      <c r="BN25">
        <v>20718</v>
      </c>
      <c r="BO25">
        <v>290.00000000000011</v>
      </c>
      <c r="BP25">
        <v>835.34</v>
      </c>
      <c r="BQ25">
        <v>295</v>
      </c>
      <c r="BR25">
        <v>7142.47</v>
      </c>
      <c r="BS25">
        <v>836.62</v>
      </c>
      <c r="BT25">
        <v>-1.28</v>
      </c>
      <c r="BU25">
        <v>300.00000000000011</v>
      </c>
      <c r="BV25">
        <v>38.299999999999997</v>
      </c>
      <c r="BW25">
        <v>890.05766039016385</v>
      </c>
      <c r="BX25">
        <v>1.379038954251353</v>
      </c>
      <c r="BY25">
        <v>-38.166152026060701</v>
      </c>
      <c r="BZ25">
        <v>0.82548938868226607</v>
      </c>
      <c r="CA25">
        <v>0.98707077294873469</v>
      </c>
      <c r="CB25">
        <v>-7.0510144605116856E-3</v>
      </c>
      <c r="CC25">
        <v>289.99999999999989</v>
      </c>
      <c r="CD25">
        <v>843.34</v>
      </c>
      <c r="CE25">
        <v>835</v>
      </c>
      <c r="CF25">
        <v>7135.68</v>
      </c>
      <c r="CG25">
        <v>836.57</v>
      </c>
      <c r="CH25">
        <v>6.77</v>
      </c>
      <c r="CV25">
        <f t="shared" si="42"/>
        <v>1800.11</v>
      </c>
      <c r="CW25">
        <f t="shared" si="43"/>
        <v>1513.2773993812045</v>
      </c>
      <c r="CX25">
        <f t="shared" si="44"/>
        <v>0.84065829276055615</v>
      </c>
      <c r="CY25">
        <f t="shared" si="45"/>
        <v>0.19131658552111239</v>
      </c>
      <c r="CZ25">
        <v>5.36</v>
      </c>
      <c r="DA25">
        <v>0.5</v>
      </c>
      <c r="DB25" t="s">
        <v>418</v>
      </c>
      <c r="DC25">
        <v>2</v>
      </c>
      <c r="DD25">
        <v>1700150393.5</v>
      </c>
      <c r="DE25">
        <v>259.166</v>
      </c>
      <c r="DF25">
        <v>299.99</v>
      </c>
      <c r="DG25">
        <v>27.837700000000002</v>
      </c>
      <c r="DH25">
        <v>22.469000000000001</v>
      </c>
      <c r="DI25">
        <v>263.54599999999999</v>
      </c>
      <c r="DJ25">
        <v>27.811599999999999</v>
      </c>
      <c r="DK25">
        <v>499.76600000000002</v>
      </c>
      <c r="DL25">
        <v>99.540499999999994</v>
      </c>
      <c r="DM25">
        <v>9.9906400000000006E-2</v>
      </c>
      <c r="DN25">
        <v>29.993600000000001</v>
      </c>
      <c r="DO25">
        <v>29.949200000000001</v>
      </c>
      <c r="DP25">
        <v>999.9</v>
      </c>
      <c r="DQ25">
        <v>0</v>
      </c>
      <c r="DR25">
        <v>0</v>
      </c>
      <c r="DS25">
        <v>10004.4</v>
      </c>
      <c r="DT25">
        <v>0</v>
      </c>
      <c r="DU25">
        <v>416.33800000000002</v>
      </c>
      <c r="DV25">
        <v>-40.8245</v>
      </c>
      <c r="DW25">
        <v>266.58699999999999</v>
      </c>
      <c r="DX25">
        <v>306.88600000000002</v>
      </c>
      <c r="DY25">
        <v>5.36869</v>
      </c>
      <c r="DZ25">
        <v>299.99</v>
      </c>
      <c r="EA25">
        <v>22.469000000000001</v>
      </c>
      <c r="EB25">
        <v>2.7709800000000002</v>
      </c>
      <c r="EC25">
        <v>2.23658</v>
      </c>
      <c r="ED25">
        <v>22.712199999999999</v>
      </c>
      <c r="EE25">
        <v>19.226800000000001</v>
      </c>
      <c r="EF25">
        <v>1800.11</v>
      </c>
      <c r="EG25">
        <v>0.97799400000000003</v>
      </c>
      <c r="EH25">
        <v>2.2005799999999999E-2</v>
      </c>
      <c r="EI25">
        <v>0</v>
      </c>
      <c r="EJ25">
        <v>689.71299999999997</v>
      </c>
      <c r="EK25">
        <v>5.0009399999999999</v>
      </c>
      <c r="EL25">
        <v>14273</v>
      </c>
      <c r="EM25">
        <v>13861</v>
      </c>
      <c r="EN25">
        <v>48.5</v>
      </c>
      <c r="EO25">
        <v>50.5</v>
      </c>
      <c r="EP25">
        <v>49.561999999999998</v>
      </c>
      <c r="EQ25">
        <v>49.686999999999998</v>
      </c>
      <c r="ER25">
        <v>49.875</v>
      </c>
      <c r="ES25">
        <v>1755.61</v>
      </c>
      <c r="ET25">
        <v>39.5</v>
      </c>
      <c r="EU25">
        <v>0</v>
      </c>
      <c r="EV25">
        <v>190.20000004768369</v>
      </c>
      <c r="EW25">
        <v>0</v>
      </c>
      <c r="EX25">
        <v>690.01246153846137</v>
      </c>
      <c r="EY25">
        <v>-2.0896410136218688</v>
      </c>
      <c r="EZ25">
        <v>90.625640511555389</v>
      </c>
      <c r="FA25">
        <v>14269.33076923077</v>
      </c>
      <c r="FB25">
        <v>15</v>
      </c>
      <c r="FC25">
        <v>1700150301</v>
      </c>
      <c r="FD25" t="s">
        <v>458</v>
      </c>
      <c r="FE25">
        <v>1700150299</v>
      </c>
      <c r="FF25">
        <v>1700150301</v>
      </c>
      <c r="FG25">
        <v>10</v>
      </c>
      <c r="FH25">
        <v>0.125</v>
      </c>
      <c r="FI25">
        <v>-8.0000000000000002E-3</v>
      </c>
      <c r="FJ25">
        <v>-4.5220000000000002</v>
      </c>
      <c r="FK25">
        <v>2.5999999999999999E-2</v>
      </c>
      <c r="FL25">
        <v>300</v>
      </c>
      <c r="FM25">
        <v>23</v>
      </c>
      <c r="FN25">
        <v>0.05</v>
      </c>
      <c r="FO25">
        <v>0.02</v>
      </c>
      <c r="FP25">
        <v>36.647495453270032</v>
      </c>
      <c r="FQ25">
        <v>0.61090716419948976</v>
      </c>
      <c r="FR25">
        <v>4.9742099019805398E-2</v>
      </c>
      <c r="FS25">
        <v>1</v>
      </c>
      <c r="FT25">
        <v>0.35559499867611338</v>
      </c>
      <c r="FU25">
        <v>5.6133929691552006E-3</v>
      </c>
      <c r="FV25">
        <v>7.2307653788911011E-4</v>
      </c>
      <c r="FW25">
        <v>1</v>
      </c>
      <c r="FX25">
        <v>2</v>
      </c>
      <c r="FY25">
        <v>2</v>
      </c>
      <c r="FZ25" t="s">
        <v>420</v>
      </c>
      <c r="GA25">
        <v>3.1185800000000001</v>
      </c>
      <c r="GB25">
        <v>2.87757</v>
      </c>
      <c r="GC25">
        <v>6.21991E-2</v>
      </c>
      <c r="GD25">
        <v>7.0216100000000004E-2</v>
      </c>
      <c r="GE25">
        <v>0.12539</v>
      </c>
      <c r="GF25">
        <v>0.108515</v>
      </c>
      <c r="GG25">
        <v>27240.3</v>
      </c>
      <c r="GH25">
        <v>27613.4</v>
      </c>
      <c r="GI25">
        <v>26756.1</v>
      </c>
      <c r="GJ25">
        <v>27430.3</v>
      </c>
      <c r="GK25">
        <v>33477.5</v>
      </c>
      <c r="GL25">
        <v>34170.300000000003</v>
      </c>
      <c r="GM25">
        <v>39647.9</v>
      </c>
      <c r="GN25">
        <v>39723.199999999997</v>
      </c>
      <c r="GO25">
        <v>1.9357800000000001</v>
      </c>
      <c r="GP25">
        <v>2.4521999999999999</v>
      </c>
      <c r="GQ25">
        <v>2.1658799999999999E-2</v>
      </c>
      <c r="GR25">
        <v>0</v>
      </c>
      <c r="GS25">
        <v>29.596599999999999</v>
      </c>
      <c r="GT25">
        <v>999.9</v>
      </c>
      <c r="GU25">
        <v>45.7</v>
      </c>
      <c r="GV25">
        <v>39.299999999999997</v>
      </c>
      <c r="GW25">
        <v>32.786000000000001</v>
      </c>
      <c r="GX25">
        <v>63.340400000000002</v>
      </c>
      <c r="GY25">
        <v>6.6626599999999998</v>
      </c>
      <c r="GZ25">
        <v>3</v>
      </c>
      <c r="HA25">
        <v>0.56732499999999997</v>
      </c>
      <c r="HB25">
        <v>3.69299</v>
      </c>
      <c r="HC25">
        <v>20.261500000000002</v>
      </c>
      <c r="HD25">
        <v>5.2159399999999998</v>
      </c>
      <c r="HE25">
        <v>11.908099999999999</v>
      </c>
      <c r="HF25">
        <v>4.9976000000000003</v>
      </c>
      <c r="HG25">
        <v>3.3029999999999999</v>
      </c>
      <c r="HH25">
        <v>9999</v>
      </c>
      <c r="HI25">
        <v>9999</v>
      </c>
      <c r="HJ25">
        <v>9999</v>
      </c>
      <c r="HK25">
        <v>999.9</v>
      </c>
      <c r="HL25">
        <v>1.8849499999999999</v>
      </c>
      <c r="HM25">
        <v>1.8855299999999999</v>
      </c>
      <c r="HN25">
        <v>1.88164</v>
      </c>
      <c r="HO25">
        <v>1.88324</v>
      </c>
      <c r="HP25">
        <v>1.88019</v>
      </c>
      <c r="HQ25">
        <v>1.88368</v>
      </c>
      <c r="HR25">
        <v>1.87958</v>
      </c>
      <c r="HS25">
        <v>1.8818999999999999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-4.38</v>
      </c>
      <c r="IH25">
        <v>2.6100000000000002E-2</v>
      </c>
      <c r="II25">
        <v>-3.421536184238855</v>
      </c>
      <c r="IJ25">
        <v>-3.7794827560518689E-3</v>
      </c>
      <c r="IK25">
        <v>4.9551128961100493E-7</v>
      </c>
      <c r="IL25">
        <v>1.3680294268397379E-10</v>
      </c>
      <c r="IM25">
        <v>2.609500000000153E-2</v>
      </c>
      <c r="IN25">
        <v>0</v>
      </c>
      <c r="IO25">
        <v>0</v>
      </c>
      <c r="IP25">
        <v>0</v>
      </c>
      <c r="IQ25">
        <v>4</v>
      </c>
      <c r="IR25">
        <v>2229</v>
      </c>
      <c r="IS25">
        <v>1</v>
      </c>
      <c r="IT25">
        <v>22</v>
      </c>
      <c r="IU25">
        <v>1.6</v>
      </c>
      <c r="IV25">
        <v>1.5</v>
      </c>
      <c r="IW25">
        <v>1.18774</v>
      </c>
      <c r="IX25">
        <v>2.5549300000000001</v>
      </c>
      <c r="IY25">
        <v>2.9956100000000001</v>
      </c>
      <c r="IZ25">
        <v>2.9528799999999999</v>
      </c>
      <c r="JA25">
        <v>3.1970200000000002</v>
      </c>
      <c r="JB25">
        <v>2.4572799999999999</v>
      </c>
      <c r="JC25">
        <v>47.033700000000003</v>
      </c>
      <c r="JD25">
        <v>23.4483</v>
      </c>
      <c r="JE25">
        <v>18</v>
      </c>
      <c r="JF25">
        <v>497.416</v>
      </c>
      <c r="JG25">
        <v>1140.24</v>
      </c>
      <c r="JH25">
        <v>24.632899999999999</v>
      </c>
      <c r="JI25">
        <v>34.227600000000002</v>
      </c>
      <c r="JJ25">
        <v>30.0001</v>
      </c>
      <c r="JK25">
        <v>34.1571</v>
      </c>
      <c r="JL25">
        <v>34.059699999999999</v>
      </c>
      <c r="JM25">
        <v>23.8004</v>
      </c>
      <c r="JN25">
        <v>31.052099999999999</v>
      </c>
      <c r="JO25">
        <v>14.267099999999999</v>
      </c>
      <c r="JP25">
        <v>24.636199999999999</v>
      </c>
      <c r="JQ25">
        <v>300</v>
      </c>
      <c r="JR25">
        <v>22.374300000000002</v>
      </c>
      <c r="JS25">
        <v>98.817899999999995</v>
      </c>
      <c r="JT25">
        <v>97.184100000000001</v>
      </c>
    </row>
    <row r="26" spans="1:280" x14ac:dyDescent="0.25">
      <c r="A26">
        <v>10</v>
      </c>
      <c r="B26">
        <v>1700150598.5</v>
      </c>
      <c r="C26">
        <v>1617</v>
      </c>
      <c r="D26" t="s">
        <v>459</v>
      </c>
      <c r="E26" t="s">
        <v>460</v>
      </c>
      <c r="F26" t="s">
        <v>412</v>
      </c>
      <c r="G26" t="s">
        <v>413</v>
      </c>
      <c r="H26" t="s">
        <v>414</v>
      </c>
      <c r="I26">
        <v>1700150598.5</v>
      </c>
      <c r="J26">
        <f t="shared" si="0"/>
        <v>6.1917676621283165E-3</v>
      </c>
      <c r="K26">
        <f t="shared" si="1"/>
        <v>6.1917676621283162</v>
      </c>
      <c r="L26">
        <f t="shared" si="2"/>
        <v>28.937909256516214</v>
      </c>
      <c r="M26">
        <f t="shared" si="3"/>
        <v>167.83500000000001</v>
      </c>
      <c r="N26">
        <f t="shared" si="4"/>
        <v>52.214193959048316</v>
      </c>
      <c r="O26">
        <f t="shared" si="5"/>
        <v>5.2015243260090038</v>
      </c>
      <c r="P26">
        <f t="shared" si="6"/>
        <v>16.719550165619999</v>
      </c>
      <c r="Q26">
        <f t="shared" si="7"/>
        <v>0.437709916437235</v>
      </c>
      <c r="R26">
        <f t="shared" si="8"/>
        <v>3.0507316687765149</v>
      </c>
      <c r="S26">
        <f t="shared" si="9"/>
        <v>0.40557550331741571</v>
      </c>
      <c r="T26">
        <f t="shared" si="10"/>
        <v>0.2561749654957598</v>
      </c>
      <c r="U26">
        <f t="shared" si="11"/>
        <v>344.38709876239585</v>
      </c>
      <c r="V26">
        <f t="shared" si="12"/>
        <v>30.580584014126508</v>
      </c>
      <c r="W26">
        <f t="shared" si="13"/>
        <v>29.997900000000001</v>
      </c>
      <c r="X26">
        <f t="shared" si="14"/>
        <v>4.2599358942719885</v>
      </c>
      <c r="Y26">
        <f t="shared" si="15"/>
        <v>64.894319058179036</v>
      </c>
      <c r="Z26">
        <f t="shared" si="16"/>
        <v>2.7929274608892003</v>
      </c>
      <c r="AA26">
        <f t="shared" si="17"/>
        <v>4.3038088717523726</v>
      </c>
      <c r="AB26">
        <f t="shared" si="18"/>
        <v>1.4670084333827882</v>
      </c>
      <c r="AC26">
        <f t="shared" si="19"/>
        <v>-273.05695389985874</v>
      </c>
      <c r="AD26">
        <f t="shared" si="20"/>
        <v>29.358081662283631</v>
      </c>
      <c r="AE26">
        <f t="shared" si="21"/>
        <v>2.1415956751574776</v>
      </c>
      <c r="AF26">
        <f t="shared" si="22"/>
        <v>102.82982219997822</v>
      </c>
      <c r="AG26">
        <v>19</v>
      </c>
      <c r="AH26">
        <v>4</v>
      </c>
      <c r="AI26">
        <f t="shared" si="23"/>
        <v>1</v>
      </c>
      <c r="AJ26">
        <f t="shared" si="24"/>
        <v>0</v>
      </c>
      <c r="AK26">
        <f t="shared" si="25"/>
        <v>52112.000748884413</v>
      </c>
      <c r="AL26" t="s">
        <v>415</v>
      </c>
      <c r="AM26">
        <v>7133.88</v>
      </c>
      <c r="AN26">
        <v>306.28384615384618</v>
      </c>
      <c r="AO26">
        <v>859.63916333292491</v>
      </c>
      <c r="AP26">
        <f t="shared" si="26"/>
        <v>0.64370650010133712</v>
      </c>
      <c r="AQ26">
        <v>-0.73746743666429193</v>
      </c>
      <c r="AR26" t="s">
        <v>461</v>
      </c>
      <c r="AS26">
        <v>7142.48</v>
      </c>
      <c r="AT26">
        <v>703.67472000000009</v>
      </c>
      <c r="AU26">
        <v>860.43717077818258</v>
      </c>
      <c r="AV26">
        <f t="shared" si="27"/>
        <v>0.18218930574141279</v>
      </c>
      <c r="AW26">
        <v>0.5</v>
      </c>
      <c r="AX26">
        <f t="shared" si="28"/>
        <v>1513.2605993811976</v>
      </c>
      <c r="AY26">
        <f t="shared" si="29"/>
        <v>28.937909256516214</v>
      </c>
      <c r="AZ26">
        <f t="shared" si="30"/>
        <v>137.84994900354729</v>
      </c>
      <c r="BA26">
        <f t="shared" si="31"/>
        <v>1.9610222261331169E-2</v>
      </c>
      <c r="BB26">
        <f t="shared" si="32"/>
        <v>-9.2744417879570039E-4</v>
      </c>
      <c r="BC26">
        <f t="shared" si="33"/>
        <v>306.38508875719498</v>
      </c>
      <c r="BD26" t="s">
        <v>462</v>
      </c>
      <c r="BE26">
        <v>476.87</v>
      </c>
      <c r="BF26">
        <f t="shared" si="34"/>
        <v>476.87</v>
      </c>
      <c r="BG26">
        <f t="shared" si="35"/>
        <v>0.44578173027007073</v>
      </c>
      <c r="BH26">
        <f t="shared" si="36"/>
        <v>0.40869621469465756</v>
      </c>
      <c r="BI26">
        <f t="shared" si="37"/>
        <v>-2.0848268922948124E-3</v>
      </c>
      <c r="BJ26">
        <f t="shared" si="38"/>
        <v>0.28288642116232471</v>
      </c>
      <c r="BK26">
        <f t="shared" si="39"/>
        <v>-1.4421248345923338E-3</v>
      </c>
      <c r="BL26">
        <f t="shared" si="40"/>
        <v>0.27696740889233779</v>
      </c>
      <c r="BM26">
        <f t="shared" si="41"/>
        <v>0.72303259110766227</v>
      </c>
      <c r="BN26">
        <v>20720</v>
      </c>
      <c r="BO26">
        <v>290.00000000000011</v>
      </c>
      <c r="BP26">
        <v>817.66</v>
      </c>
      <c r="BQ26">
        <v>275</v>
      </c>
      <c r="BR26">
        <v>7142.48</v>
      </c>
      <c r="BS26">
        <v>818.23</v>
      </c>
      <c r="BT26">
        <v>-0.56999999999999995</v>
      </c>
      <c r="BU26">
        <v>300.00000000000011</v>
      </c>
      <c r="BV26">
        <v>38.299999999999997</v>
      </c>
      <c r="BW26">
        <v>860.43717077818258</v>
      </c>
      <c r="BX26">
        <v>1.0784663822611411</v>
      </c>
      <c r="BY26">
        <v>-30.144005064079469</v>
      </c>
      <c r="BZ26">
        <v>0.6455385331436112</v>
      </c>
      <c r="CA26">
        <v>0.98732175408351419</v>
      </c>
      <c r="CB26">
        <v>-7.05067296996664E-3</v>
      </c>
      <c r="CC26">
        <v>289.99999999999989</v>
      </c>
      <c r="CD26">
        <v>822.99</v>
      </c>
      <c r="CE26">
        <v>885</v>
      </c>
      <c r="CF26">
        <v>7134.69</v>
      </c>
      <c r="CG26">
        <v>818.19</v>
      </c>
      <c r="CH26">
        <v>4.8</v>
      </c>
      <c r="CV26">
        <f t="shared" si="42"/>
        <v>1800.09</v>
      </c>
      <c r="CW26">
        <f t="shared" si="43"/>
        <v>1513.2605993811976</v>
      </c>
      <c r="CX26">
        <f t="shared" si="44"/>
        <v>0.84065830007455056</v>
      </c>
      <c r="CY26">
        <f t="shared" si="45"/>
        <v>0.19131660014910135</v>
      </c>
      <c r="CZ26">
        <v>5.36</v>
      </c>
      <c r="DA26">
        <v>0.5</v>
      </c>
      <c r="DB26" t="s">
        <v>418</v>
      </c>
      <c r="DC26">
        <v>2</v>
      </c>
      <c r="DD26">
        <v>1700150598.5</v>
      </c>
      <c r="DE26">
        <v>167.83500000000001</v>
      </c>
      <c r="DF26">
        <v>199.98099999999999</v>
      </c>
      <c r="DG26">
        <v>28.036100000000001</v>
      </c>
      <c r="DH26">
        <v>21.5825</v>
      </c>
      <c r="DI26">
        <v>171.785</v>
      </c>
      <c r="DJ26">
        <v>28.0184</v>
      </c>
      <c r="DK26">
        <v>499.83600000000001</v>
      </c>
      <c r="DL26">
        <v>99.519099999999995</v>
      </c>
      <c r="DM26">
        <v>9.9872000000000002E-2</v>
      </c>
      <c r="DN26">
        <v>30.176400000000001</v>
      </c>
      <c r="DO26">
        <v>29.997900000000001</v>
      </c>
      <c r="DP26">
        <v>999.9</v>
      </c>
      <c r="DQ26">
        <v>0</v>
      </c>
      <c r="DR26">
        <v>0</v>
      </c>
      <c r="DS26">
        <v>10008.1</v>
      </c>
      <c r="DT26">
        <v>0</v>
      </c>
      <c r="DU26">
        <v>334.20499999999998</v>
      </c>
      <c r="DV26">
        <v>-32.145800000000001</v>
      </c>
      <c r="DW26">
        <v>172.67599999999999</v>
      </c>
      <c r="DX26">
        <v>204.392</v>
      </c>
      <c r="DY26">
        <v>6.4535799999999997</v>
      </c>
      <c r="DZ26">
        <v>199.98099999999999</v>
      </c>
      <c r="EA26">
        <v>21.5825</v>
      </c>
      <c r="EB26">
        <v>2.79013</v>
      </c>
      <c r="EC26">
        <v>2.1478700000000002</v>
      </c>
      <c r="ED26">
        <v>22.825800000000001</v>
      </c>
      <c r="EE26">
        <v>18.578700000000001</v>
      </c>
      <c r="EF26">
        <v>1800.09</v>
      </c>
      <c r="EG26">
        <v>0.97799400000000003</v>
      </c>
      <c r="EH26">
        <v>2.2005799999999999E-2</v>
      </c>
      <c r="EI26">
        <v>0</v>
      </c>
      <c r="EJ26">
        <v>703.428</v>
      </c>
      <c r="EK26">
        <v>5.0009399999999999</v>
      </c>
      <c r="EL26">
        <v>14837.1</v>
      </c>
      <c r="EM26">
        <v>13860.8</v>
      </c>
      <c r="EN26">
        <v>48.561999999999998</v>
      </c>
      <c r="EO26">
        <v>50.5</v>
      </c>
      <c r="EP26">
        <v>49.561999999999998</v>
      </c>
      <c r="EQ26">
        <v>49.75</v>
      </c>
      <c r="ER26">
        <v>50</v>
      </c>
      <c r="ES26">
        <v>1755.59</v>
      </c>
      <c r="ET26">
        <v>39.5</v>
      </c>
      <c r="EU26">
        <v>0</v>
      </c>
      <c r="EV26">
        <v>202.79999995231631</v>
      </c>
      <c r="EW26">
        <v>0</v>
      </c>
      <c r="EX26">
        <v>703.67472000000009</v>
      </c>
      <c r="EY26">
        <v>-1.898923074975837</v>
      </c>
      <c r="EZ26">
        <v>13.0538461937552</v>
      </c>
      <c r="FA26">
        <v>14834.248</v>
      </c>
      <c r="FB26">
        <v>15</v>
      </c>
      <c r="FC26">
        <v>1700150487</v>
      </c>
      <c r="FD26" t="s">
        <v>463</v>
      </c>
      <c r="FE26">
        <v>1700150486</v>
      </c>
      <c r="FF26">
        <v>1700150487</v>
      </c>
      <c r="FG26">
        <v>11</v>
      </c>
      <c r="FH26">
        <v>0.105</v>
      </c>
      <c r="FI26">
        <v>-8.0000000000000002E-3</v>
      </c>
      <c r="FJ26">
        <v>-4.0659999999999998</v>
      </c>
      <c r="FK26">
        <v>1.7999999999999999E-2</v>
      </c>
      <c r="FL26">
        <v>200</v>
      </c>
      <c r="FM26">
        <v>22</v>
      </c>
      <c r="FN26">
        <v>0.05</v>
      </c>
      <c r="FO26">
        <v>0.01</v>
      </c>
      <c r="FP26">
        <v>28.883798453821569</v>
      </c>
      <c r="FQ26">
        <v>0.66491726044186827</v>
      </c>
      <c r="FR26">
        <v>5.214016344523472E-2</v>
      </c>
      <c r="FS26">
        <v>1</v>
      </c>
      <c r="FT26">
        <v>0.43682669824587622</v>
      </c>
      <c r="FU26">
        <v>3.7641735044364171E-3</v>
      </c>
      <c r="FV26">
        <v>4.7597477343782588E-4</v>
      </c>
      <c r="FW26">
        <v>1</v>
      </c>
      <c r="FX26">
        <v>2</v>
      </c>
      <c r="FY26">
        <v>2</v>
      </c>
      <c r="FZ26" t="s">
        <v>420</v>
      </c>
      <c r="GA26">
        <v>3.1184599999999998</v>
      </c>
      <c r="GB26">
        <v>2.87757</v>
      </c>
      <c r="GC26">
        <v>4.28037E-2</v>
      </c>
      <c r="GD26">
        <v>4.9748199999999999E-2</v>
      </c>
      <c r="GE26">
        <v>0.12598599999999999</v>
      </c>
      <c r="GF26">
        <v>0.105363</v>
      </c>
      <c r="GG26">
        <v>27793.3</v>
      </c>
      <c r="GH26">
        <v>28213.9</v>
      </c>
      <c r="GI26">
        <v>26747.1</v>
      </c>
      <c r="GJ26">
        <v>27424.1</v>
      </c>
      <c r="GK26">
        <v>33442.9</v>
      </c>
      <c r="GL26">
        <v>34283.199999999997</v>
      </c>
      <c r="GM26">
        <v>39635.199999999997</v>
      </c>
      <c r="GN26">
        <v>39715.599999999999</v>
      </c>
      <c r="GO26">
        <v>1.93415</v>
      </c>
      <c r="GP26">
        <v>2.4453499999999999</v>
      </c>
      <c r="GQ26">
        <v>8.2477899999999996E-3</v>
      </c>
      <c r="GR26">
        <v>0</v>
      </c>
      <c r="GS26">
        <v>29.863700000000001</v>
      </c>
      <c r="GT26">
        <v>999.9</v>
      </c>
      <c r="GU26">
        <v>43.9</v>
      </c>
      <c r="GV26">
        <v>40</v>
      </c>
      <c r="GW26">
        <v>32.704099999999997</v>
      </c>
      <c r="GX26">
        <v>63.300400000000003</v>
      </c>
      <c r="GY26">
        <v>6.9030500000000004</v>
      </c>
      <c r="GZ26">
        <v>3</v>
      </c>
      <c r="HA26">
        <v>0.58034300000000005</v>
      </c>
      <c r="HB26">
        <v>3.8077399999999999</v>
      </c>
      <c r="HC26">
        <v>20.258299999999998</v>
      </c>
      <c r="HD26">
        <v>5.2151899999999998</v>
      </c>
      <c r="HE26">
        <v>11.908099999999999</v>
      </c>
      <c r="HF26">
        <v>4.9971500000000004</v>
      </c>
      <c r="HG26">
        <v>3.3029799999999998</v>
      </c>
      <c r="HH26">
        <v>9999</v>
      </c>
      <c r="HI26">
        <v>9999</v>
      </c>
      <c r="HJ26">
        <v>9999</v>
      </c>
      <c r="HK26">
        <v>999.9</v>
      </c>
      <c r="HL26">
        <v>1.8849199999999999</v>
      </c>
      <c r="HM26">
        <v>1.8855299999999999</v>
      </c>
      <c r="HN26">
        <v>1.88167</v>
      </c>
      <c r="HO26">
        <v>1.8832500000000001</v>
      </c>
      <c r="HP26">
        <v>1.88018</v>
      </c>
      <c r="HQ26">
        <v>1.8836999999999999</v>
      </c>
      <c r="HR26">
        <v>1.87958</v>
      </c>
      <c r="HS26">
        <v>1.88192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-3.95</v>
      </c>
      <c r="IH26">
        <v>1.77E-2</v>
      </c>
      <c r="II26">
        <v>-3.316450954457661</v>
      </c>
      <c r="IJ26">
        <v>-3.7794827560518689E-3</v>
      </c>
      <c r="IK26">
        <v>4.9551128961100493E-7</v>
      </c>
      <c r="IL26">
        <v>1.3680294268397379E-10</v>
      </c>
      <c r="IM26">
        <v>1.772000000000418E-2</v>
      </c>
      <c r="IN26">
        <v>0</v>
      </c>
      <c r="IO26">
        <v>0</v>
      </c>
      <c r="IP26">
        <v>0</v>
      </c>
      <c r="IQ26">
        <v>4</v>
      </c>
      <c r="IR26">
        <v>2229</v>
      </c>
      <c r="IS26">
        <v>1</v>
      </c>
      <c r="IT26">
        <v>22</v>
      </c>
      <c r="IU26">
        <v>1.9</v>
      </c>
      <c r="IV26">
        <v>1.9</v>
      </c>
      <c r="IW26">
        <v>0.859375</v>
      </c>
      <c r="IX26">
        <v>2.5695800000000002</v>
      </c>
      <c r="IY26">
        <v>2.9956100000000001</v>
      </c>
      <c r="IZ26">
        <v>2.9553199999999999</v>
      </c>
      <c r="JA26">
        <v>3.1970200000000002</v>
      </c>
      <c r="JB26">
        <v>2.4450699999999999</v>
      </c>
      <c r="JC26">
        <v>47.541699999999999</v>
      </c>
      <c r="JD26">
        <v>23.439599999999999</v>
      </c>
      <c r="JE26">
        <v>18</v>
      </c>
      <c r="JF26">
        <v>497.31700000000001</v>
      </c>
      <c r="JG26">
        <v>1133.21</v>
      </c>
      <c r="JH26">
        <v>24.8095</v>
      </c>
      <c r="JI26">
        <v>34.341700000000003</v>
      </c>
      <c r="JJ26">
        <v>30.000399999999999</v>
      </c>
      <c r="JK26">
        <v>34.277999999999999</v>
      </c>
      <c r="JL26">
        <v>34.183599999999998</v>
      </c>
      <c r="JM26">
        <v>17.2318</v>
      </c>
      <c r="JN26">
        <v>32.961199999999998</v>
      </c>
      <c r="JO26">
        <v>5.4092799999999999</v>
      </c>
      <c r="JP26">
        <v>24.8081</v>
      </c>
      <c r="JQ26">
        <v>200</v>
      </c>
      <c r="JR26">
        <v>21.517600000000002</v>
      </c>
      <c r="JS26">
        <v>98.785499999999999</v>
      </c>
      <c r="JT26">
        <v>97.164199999999994</v>
      </c>
    </row>
    <row r="27" spans="1:280" x14ac:dyDescent="0.25">
      <c r="A27">
        <v>11</v>
      </c>
      <c r="B27">
        <v>1700150699.5999999</v>
      </c>
      <c r="C27">
        <v>1718.099999904633</v>
      </c>
      <c r="D27" t="s">
        <v>464</v>
      </c>
      <c r="E27" t="s">
        <v>465</v>
      </c>
      <c r="F27" t="s">
        <v>412</v>
      </c>
      <c r="G27" t="s">
        <v>413</v>
      </c>
      <c r="H27" t="s">
        <v>414</v>
      </c>
      <c r="I27">
        <v>1700150699.5999999</v>
      </c>
      <c r="J27">
        <f t="shared" si="0"/>
        <v>6.0396559468373781E-3</v>
      </c>
      <c r="K27">
        <f t="shared" si="1"/>
        <v>6.0396559468373781</v>
      </c>
      <c r="L27">
        <f t="shared" si="2"/>
        <v>18.724930800219756</v>
      </c>
      <c r="M27">
        <f t="shared" si="3"/>
        <v>99.254000000000005</v>
      </c>
      <c r="N27">
        <f t="shared" si="4"/>
        <v>23.624525780706431</v>
      </c>
      <c r="O27">
        <f t="shared" si="5"/>
        <v>2.3534350871303373</v>
      </c>
      <c r="P27">
        <f t="shared" si="6"/>
        <v>9.8875147084984008</v>
      </c>
      <c r="Q27">
        <f t="shared" si="7"/>
        <v>0.43097496687824155</v>
      </c>
      <c r="R27">
        <f t="shared" si="8"/>
        <v>3.0536664805899498</v>
      </c>
      <c r="S27">
        <f t="shared" si="9"/>
        <v>0.39981173358789435</v>
      </c>
      <c r="T27">
        <f t="shared" si="10"/>
        <v>0.25249418969031079</v>
      </c>
      <c r="U27">
        <f t="shared" si="11"/>
        <v>344.37949876236837</v>
      </c>
      <c r="V27">
        <f t="shared" si="12"/>
        <v>30.66034317762222</v>
      </c>
      <c r="W27">
        <f t="shared" si="13"/>
        <v>30.021599999999999</v>
      </c>
      <c r="X27">
        <f t="shared" si="14"/>
        <v>4.265738512644905</v>
      </c>
      <c r="Y27">
        <f t="shared" si="15"/>
        <v>65.234141917681995</v>
      </c>
      <c r="Z27">
        <f t="shared" si="16"/>
        <v>2.8143564293194401</v>
      </c>
      <c r="AA27">
        <f t="shared" si="17"/>
        <v>4.3142384441429993</v>
      </c>
      <c r="AB27">
        <f t="shared" si="18"/>
        <v>1.4513820833254649</v>
      </c>
      <c r="AC27">
        <f t="shared" si="19"/>
        <v>-266.34882725552836</v>
      </c>
      <c r="AD27">
        <f t="shared" si="20"/>
        <v>32.431965658408238</v>
      </c>
      <c r="AE27">
        <f t="shared" si="21"/>
        <v>2.3643247572412776</v>
      </c>
      <c r="AF27">
        <f t="shared" si="22"/>
        <v>112.82696192248952</v>
      </c>
      <c r="AG27">
        <v>19</v>
      </c>
      <c r="AH27">
        <v>4</v>
      </c>
      <c r="AI27">
        <f t="shared" si="23"/>
        <v>1</v>
      </c>
      <c r="AJ27">
        <f t="shared" si="24"/>
        <v>0</v>
      </c>
      <c r="AK27">
        <f t="shared" si="25"/>
        <v>52182.744585040113</v>
      </c>
      <c r="AL27" t="s">
        <v>431</v>
      </c>
      <c r="AM27" t="s">
        <v>431</v>
      </c>
      <c r="AN27">
        <v>0</v>
      </c>
      <c r="AO27">
        <v>0</v>
      </c>
      <c r="AP27" t="e">
        <f t="shared" si="26"/>
        <v>#DIV/0!</v>
      </c>
      <c r="AQ27">
        <v>0</v>
      </c>
      <c r="AR27" t="s">
        <v>431</v>
      </c>
      <c r="AS27" t="s">
        <v>431</v>
      </c>
      <c r="AT27">
        <v>0</v>
      </c>
      <c r="AU27">
        <v>0</v>
      </c>
      <c r="AV27" t="e">
        <f t="shared" si="27"/>
        <v>#DIV/0!</v>
      </c>
      <c r="AW27">
        <v>0.5</v>
      </c>
      <c r="AX27">
        <f t="shared" si="28"/>
        <v>1513.226999381184</v>
      </c>
      <c r="AY27">
        <f t="shared" si="29"/>
        <v>18.724930800219756</v>
      </c>
      <c r="AZ27" t="e">
        <f t="shared" si="30"/>
        <v>#DIV/0!</v>
      </c>
      <c r="BA27">
        <f t="shared" si="31"/>
        <v>1.2374171758683324E-2</v>
      </c>
      <c r="BB27" t="e">
        <f t="shared" si="32"/>
        <v>#DIV/0!</v>
      </c>
      <c r="BC27" t="e">
        <f t="shared" si="33"/>
        <v>#DIV/0!</v>
      </c>
      <c r="BD27" t="s">
        <v>431</v>
      </c>
      <c r="BE27">
        <v>0</v>
      </c>
      <c r="BF27" t="e">
        <f t="shared" si="34"/>
        <v>#DIV/0!</v>
      </c>
      <c r="BG27" t="e">
        <f t="shared" si="35"/>
        <v>#DIV/0!</v>
      </c>
      <c r="BH27" t="e">
        <f t="shared" si="36"/>
        <v>#DIV/0!</v>
      </c>
      <c r="BI27" t="e">
        <f t="shared" si="37"/>
        <v>#DIV/0!</v>
      </c>
      <c r="BJ27" t="e">
        <f t="shared" si="38"/>
        <v>#DIV/0!</v>
      </c>
      <c r="BK27" t="e">
        <f t="shared" si="39"/>
        <v>#DIV/0!</v>
      </c>
      <c r="BL27" t="e">
        <f t="shared" si="40"/>
        <v>#DIV/0!</v>
      </c>
      <c r="BM27" t="e">
        <f t="shared" si="41"/>
        <v>#DIV/0!</v>
      </c>
      <c r="BN27">
        <v>20720</v>
      </c>
      <c r="BO27">
        <v>290.00000000000011</v>
      </c>
      <c r="BP27">
        <v>817.66</v>
      </c>
      <c r="BQ27">
        <v>275</v>
      </c>
      <c r="BR27">
        <v>7142.48</v>
      </c>
      <c r="BS27">
        <v>818.23</v>
      </c>
      <c r="BT27">
        <v>-0.56999999999999995</v>
      </c>
      <c r="BU27">
        <v>300.00000000000011</v>
      </c>
      <c r="BV27">
        <v>38.299999999999997</v>
      </c>
      <c r="BW27">
        <v>860.43717077818258</v>
      </c>
      <c r="BX27">
        <v>1.0784663822611411</v>
      </c>
      <c r="BY27">
        <v>-30.144005064079469</v>
      </c>
      <c r="BZ27">
        <v>0.6455385331436112</v>
      </c>
      <c r="CA27">
        <v>0.98732175408351419</v>
      </c>
      <c r="CB27">
        <v>-7.05067296996664E-3</v>
      </c>
      <c r="CC27">
        <v>289.99999999999989</v>
      </c>
      <c r="CD27">
        <v>822.99</v>
      </c>
      <c r="CE27">
        <v>885</v>
      </c>
      <c r="CF27">
        <v>7134.69</v>
      </c>
      <c r="CG27">
        <v>818.19</v>
      </c>
      <c r="CH27">
        <v>4.8</v>
      </c>
      <c r="CV27">
        <f t="shared" si="42"/>
        <v>1800.05</v>
      </c>
      <c r="CW27">
        <f t="shared" si="43"/>
        <v>1513.226999381184</v>
      </c>
      <c r="CX27">
        <f t="shared" si="44"/>
        <v>0.84065831470302721</v>
      </c>
      <c r="CY27">
        <f t="shared" si="45"/>
        <v>0.19131662940605448</v>
      </c>
      <c r="CZ27">
        <v>5.36</v>
      </c>
      <c r="DA27">
        <v>0.5</v>
      </c>
      <c r="DB27" t="s">
        <v>418</v>
      </c>
      <c r="DC27">
        <v>2</v>
      </c>
      <c r="DD27">
        <v>1700150699.5999999</v>
      </c>
      <c r="DE27">
        <v>99.254000000000005</v>
      </c>
      <c r="DF27">
        <v>119.977</v>
      </c>
      <c r="DG27">
        <v>28.2514</v>
      </c>
      <c r="DH27">
        <v>21.957599999999999</v>
      </c>
      <c r="DI27">
        <v>103.048</v>
      </c>
      <c r="DJ27">
        <v>28.2424</v>
      </c>
      <c r="DK27">
        <v>499.82499999999999</v>
      </c>
      <c r="DL27">
        <v>99.5184</v>
      </c>
      <c r="DM27">
        <v>9.9899600000000005E-2</v>
      </c>
      <c r="DN27">
        <v>30.218599999999999</v>
      </c>
      <c r="DO27">
        <v>30.021599999999999</v>
      </c>
      <c r="DP27">
        <v>999.9</v>
      </c>
      <c r="DQ27">
        <v>0</v>
      </c>
      <c r="DR27">
        <v>0</v>
      </c>
      <c r="DS27">
        <v>10023.799999999999</v>
      </c>
      <c r="DT27">
        <v>0</v>
      </c>
      <c r="DU27">
        <v>382.52199999999999</v>
      </c>
      <c r="DV27">
        <v>-20.6296</v>
      </c>
      <c r="DW27">
        <v>102.236</v>
      </c>
      <c r="DX27">
        <v>122.67</v>
      </c>
      <c r="DY27">
        <v>6.3024899999999997</v>
      </c>
      <c r="DZ27">
        <v>119.977</v>
      </c>
      <c r="EA27">
        <v>21.957599999999999</v>
      </c>
      <c r="EB27">
        <v>2.8123999999999998</v>
      </c>
      <c r="EC27">
        <v>2.18519</v>
      </c>
      <c r="ED27">
        <v>22.957100000000001</v>
      </c>
      <c r="EE27">
        <v>18.854099999999999</v>
      </c>
      <c r="EF27">
        <v>1800.05</v>
      </c>
      <c r="EG27">
        <v>0.97799400000000003</v>
      </c>
      <c r="EH27">
        <v>2.2005799999999999E-2</v>
      </c>
      <c r="EI27">
        <v>0</v>
      </c>
      <c r="EJ27">
        <v>724.38800000000003</v>
      </c>
      <c r="EK27">
        <v>5.0009399999999999</v>
      </c>
      <c r="EL27">
        <v>15285</v>
      </c>
      <c r="EM27">
        <v>13860.5</v>
      </c>
      <c r="EN27">
        <v>48.625</v>
      </c>
      <c r="EO27">
        <v>50.625</v>
      </c>
      <c r="EP27">
        <v>49.686999999999998</v>
      </c>
      <c r="EQ27">
        <v>49.811999999999998</v>
      </c>
      <c r="ER27">
        <v>50.125</v>
      </c>
      <c r="ES27">
        <v>1755.55</v>
      </c>
      <c r="ET27">
        <v>39.5</v>
      </c>
      <c r="EU27">
        <v>0</v>
      </c>
      <c r="EV27">
        <v>99</v>
      </c>
      <c r="EW27">
        <v>0</v>
      </c>
      <c r="EX27">
        <v>724.8866153846152</v>
      </c>
      <c r="EY27">
        <v>-4.1855726458459452</v>
      </c>
      <c r="EZ27">
        <v>-53.791453368818473</v>
      </c>
      <c r="FA27">
        <v>15285.815384615389</v>
      </c>
      <c r="FB27">
        <v>15</v>
      </c>
      <c r="FC27">
        <v>1700150727.0999999</v>
      </c>
      <c r="FD27" t="s">
        <v>466</v>
      </c>
      <c r="FE27">
        <v>1700150716.5999999</v>
      </c>
      <c r="FF27">
        <v>1700150727.0999999</v>
      </c>
      <c r="FG27">
        <v>12</v>
      </c>
      <c r="FH27">
        <v>-1.7999999999999999E-2</v>
      </c>
      <c r="FI27">
        <v>-3.0000000000000001E-3</v>
      </c>
      <c r="FJ27">
        <v>-3.794</v>
      </c>
      <c r="FK27">
        <v>8.9999999999999993E-3</v>
      </c>
      <c r="FL27">
        <v>120</v>
      </c>
      <c r="FM27">
        <v>22</v>
      </c>
      <c r="FN27">
        <v>7.0000000000000007E-2</v>
      </c>
      <c r="FO27">
        <v>0.02</v>
      </c>
      <c r="FP27">
        <v>18.557162144237051</v>
      </c>
      <c r="FQ27">
        <v>0.6902729739033604</v>
      </c>
      <c r="FR27">
        <v>5.5459645374341747E-2</v>
      </c>
      <c r="FS27">
        <v>1</v>
      </c>
      <c r="FT27">
        <v>0.42534808329281709</v>
      </c>
      <c r="FU27">
        <v>2.7526323017211491E-2</v>
      </c>
      <c r="FV27">
        <v>2.0370713104262629E-3</v>
      </c>
      <c r="FW27">
        <v>1</v>
      </c>
      <c r="FX27">
        <v>2</v>
      </c>
      <c r="FY27">
        <v>2</v>
      </c>
      <c r="FZ27" t="s">
        <v>420</v>
      </c>
      <c r="GA27">
        <v>3.1185299999999998</v>
      </c>
      <c r="GB27">
        <v>2.8777300000000001</v>
      </c>
      <c r="GC27">
        <v>2.6614200000000001E-2</v>
      </c>
      <c r="GD27">
        <v>3.12372E-2</v>
      </c>
      <c r="GE27">
        <v>0.12667200000000001</v>
      </c>
      <c r="GF27">
        <v>0.10666</v>
      </c>
      <c r="GG27">
        <v>28256.799999999999</v>
      </c>
      <c r="GH27">
        <v>28758.3</v>
      </c>
      <c r="GI27">
        <v>26741.7</v>
      </c>
      <c r="GJ27">
        <v>27420.1</v>
      </c>
      <c r="GK27">
        <v>33409.699999999997</v>
      </c>
      <c r="GL27">
        <v>34228.199999999997</v>
      </c>
      <c r="GM27">
        <v>39628.199999999997</v>
      </c>
      <c r="GN27">
        <v>39711.1</v>
      </c>
      <c r="GO27">
        <v>1.9333800000000001</v>
      </c>
      <c r="GP27">
        <v>2.4428999999999998</v>
      </c>
      <c r="GQ27">
        <v>-1.8626499999999999E-5</v>
      </c>
      <c r="GR27">
        <v>0</v>
      </c>
      <c r="GS27">
        <v>30.021899999999999</v>
      </c>
      <c r="GT27">
        <v>999.9</v>
      </c>
      <c r="GU27">
        <v>43.3</v>
      </c>
      <c r="GV27">
        <v>40.299999999999997</v>
      </c>
      <c r="GW27">
        <v>32.7759</v>
      </c>
      <c r="GX27">
        <v>62.9422</v>
      </c>
      <c r="GY27">
        <v>7.0112199999999998</v>
      </c>
      <c r="GZ27">
        <v>3</v>
      </c>
      <c r="HA27">
        <v>0.59371700000000005</v>
      </c>
      <c r="HB27">
        <v>4.6525699999999999</v>
      </c>
      <c r="HC27">
        <v>20.2361</v>
      </c>
      <c r="HD27">
        <v>5.2112999999999996</v>
      </c>
      <c r="HE27">
        <v>11.9101</v>
      </c>
      <c r="HF27">
        <v>4.9970999999999997</v>
      </c>
      <c r="HG27">
        <v>3.3029999999999999</v>
      </c>
      <c r="HH27">
        <v>9999</v>
      </c>
      <c r="HI27">
        <v>9999</v>
      </c>
      <c r="HJ27">
        <v>9999</v>
      </c>
      <c r="HK27">
        <v>999.9</v>
      </c>
      <c r="HL27">
        <v>1.8849499999999999</v>
      </c>
      <c r="HM27">
        <v>1.88554</v>
      </c>
      <c r="HN27">
        <v>1.88167</v>
      </c>
      <c r="HO27">
        <v>1.8832599999999999</v>
      </c>
      <c r="HP27">
        <v>1.88019</v>
      </c>
      <c r="HQ27">
        <v>1.8836999999999999</v>
      </c>
      <c r="HR27">
        <v>1.87958</v>
      </c>
      <c r="HS27">
        <v>1.8819699999999999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-3.794</v>
      </c>
      <c r="IH27">
        <v>8.9999999999999993E-3</v>
      </c>
      <c r="II27">
        <v>-3.316450954457661</v>
      </c>
      <c r="IJ27">
        <v>-3.7794827560518689E-3</v>
      </c>
      <c r="IK27">
        <v>4.9551128961100493E-7</v>
      </c>
      <c r="IL27">
        <v>1.3680294268397379E-10</v>
      </c>
      <c r="IM27">
        <v>1.772000000000418E-2</v>
      </c>
      <c r="IN27">
        <v>0</v>
      </c>
      <c r="IO27">
        <v>0</v>
      </c>
      <c r="IP27">
        <v>0</v>
      </c>
      <c r="IQ27">
        <v>4</v>
      </c>
      <c r="IR27">
        <v>2229</v>
      </c>
      <c r="IS27">
        <v>1</v>
      </c>
      <c r="IT27">
        <v>22</v>
      </c>
      <c r="IU27">
        <v>3.6</v>
      </c>
      <c r="IV27">
        <v>3.5</v>
      </c>
      <c r="IW27">
        <v>0.58471700000000004</v>
      </c>
      <c r="IX27">
        <v>2.5830099999999998</v>
      </c>
      <c r="IY27">
        <v>2.9956100000000001</v>
      </c>
      <c r="IZ27">
        <v>2.9553199999999999</v>
      </c>
      <c r="JA27">
        <v>3.1970200000000002</v>
      </c>
      <c r="JB27">
        <v>2.4694799999999999</v>
      </c>
      <c r="JC27">
        <v>47.813400000000001</v>
      </c>
      <c r="JD27">
        <v>23.4221</v>
      </c>
      <c r="JE27">
        <v>18</v>
      </c>
      <c r="JF27">
        <v>497.40899999999999</v>
      </c>
      <c r="JG27">
        <v>1131.3</v>
      </c>
      <c r="JH27">
        <v>24.146799999999999</v>
      </c>
      <c r="JI27">
        <v>34.408799999999999</v>
      </c>
      <c r="JJ27">
        <v>30.0002</v>
      </c>
      <c r="JK27">
        <v>34.354199999999999</v>
      </c>
      <c r="JL27">
        <v>34.2605</v>
      </c>
      <c r="JM27">
        <v>11.7224</v>
      </c>
      <c r="JN27">
        <v>32.0807</v>
      </c>
      <c r="JO27">
        <v>5.9307699999999998E-2</v>
      </c>
      <c r="JP27">
        <v>24.144300000000001</v>
      </c>
      <c r="JQ27">
        <v>120</v>
      </c>
      <c r="JR27">
        <v>21.8855</v>
      </c>
      <c r="JS27">
        <v>98.766999999999996</v>
      </c>
      <c r="JT27">
        <v>97.151899999999998</v>
      </c>
    </row>
    <row r="28" spans="1:280" x14ac:dyDescent="0.25">
      <c r="A28">
        <v>12</v>
      </c>
      <c r="B28">
        <v>1700150818.0999999</v>
      </c>
      <c r="C28">
        <v>1836.599999904633</v>
      </c>
      <c r="D28" t="s">
        <v>467</v>
      </c>
      <c r="E28" t="s">
        <v>468</v>
      </c>
      <c r="F28" t="s">
        <v>412</v>
      </c>
      <c r="G28" t="s">
        <v>413</v>
      </c>
      <c r="H28" t="s">
        <v>414</v>
      </c>
      <c r="I28">
        <v>1700150818.0999999</v>
      </c>
      <c r="J28">
        <f t="shared" si="0"/>
        <v>7.2643161405719341E-3</v>
      </c>
      <c r="K28">
        <f t="shared" si="1"/>
        <v>7.2643161405719345</v>
      </c>
      <c r="L28">
        <f t="shared" si="2"/>
        <v>12.167152911094265</v>
      </c>
      <c r="M28">
        <f t="shared" si="3"/>
        <v>56.537199999999999</v>
      </c>
      <c r="N28">
        <f t="shared" si="4"/>
        <v>15.891490154806041</v>
      </c>
      <c r="O28">
        <f t="shared" si="5"/>
        <v>1.5830843111315471</v>
      </c>
      <c r="P28">
        <f t="shared" si="6"/>
        <v>5.6321435839821596</v>
      </c>
      <c r="Q28">
        <f t="shared" si="7"/>
        <v>0.52944435829937508</v>
      </c>
      <c r="R28">
        <f t="shared" si="8"/>
        <v>3.0515487185316226</v>
      </c>
      <c r="S28">
        <f t="shared" si="9"/>
        <v>0.48320239543083293</v>
      </c>
      <c r="T28">
        <f t="shared" si="10"/>
        <v>0.30581887756181136</v>
      </c>
      <c r="U28">
        <f t="shared" si="11"/>
        <v>344.37949876236837</v>
      </c>
      <c r="V28">
        <f t="shared" si="12"/>
        <v>30.387283618387595</v>
      </c>
      <c r="W28">
        <f t="shared" si="13"/>
        <v>29.9679</v>
      </c>
      <c r="X28">
        <f t="shared" si="14"/>
        <v>4.2526006734356354</v>
      </c>
      <c r="Y28">
        <f t="shared" si="15"/>
        <v>64.966238815646378</v>
      </c>
      <c r="Z28">
        <f t="shared" si="16"/>
        <v>2.8080425515464</v>
      </c>
      <c r="AA28">
        <f t="shared" si="17"/>
        <v>4.3223104842420321</v>
      </c>
      <c r="AB28">
        <f t="shared" si="18"/>
        <v>1.4445581218892354</v>
      </c>
      <c r="AC28">
        <f t="shared" si="19"/>
        <v>-320.35634179922232</v>
      </c>
      <c r="AD28">
        <f t="shared" si="20"/>
        <v>46.607126275668087</v>
      </c>
      <c r="AE28">
        <f t="shared" si="21"/>
        <v>3.3997124050223229</v>
      </c>
      <c r="AF28">
        <f t="shared" si="22"/>
        <v>74.029995643836486</v>
      </c>
      <c r="AG28">
        <v>17</v>
      </c>
      <c r="AH28">
        <v>3</v>
      </c>
      <c r="AI28">
        <f t="shared" si="23"/>
        <v>1</v>
      </c>
      <c r="AJ28">
        <f t="shared" si="24"/>
        <v>0</v>
      </c>
      <c r="AK28">
        <f t="shared" si="25"/>
        <v>52120.847931415003</v>
      </c>
      <c r="AL28" t="s">
        <v>415</v>
      </c>
      <c r="AM28">
        <v>7133.88</v>
      </c>
      <c r="AN28">
        <v>306.28384615384618</v>
      </c>
      <c r="AO28">
        <v>859.63916333292491</v>
      </c>
      <c r="AP28">
        <f t="shared" si="26"/>
        <v>0.64370650010133712</v>
      </c>
      <c r="AQ28">
        <v>-0.73746743666429193</v>
      </c>
      <c r="AR28" t="s">
        <v>469</v>
      </c>
      <c r="AS28">
        <v>7141.66</v>
      </c>
      <c r="AT28">
        <v>741.95950000000016</v>
      </c>
      <c r="AU28">
        <v>826.66887678628052</v>
      </c>
      <c r="AV28">
        <f t="shared" si="27"/>
        <v>0.10247074634718634</v>
      </c>
      <c r="AW28">
        <v>0.5</v>
      </c>
      <c r="AX28">
        <f t="shared" si="28"/>
        <v>1513.226999381184</v>
      </c>
      <c r="AY28">
        <f t="shared" si="29"/>
        <v>12.167152911094265</v>
      </c>
      <c r="AZ28">
        <f t="shared" si="30"/>
        <v>77.530750009651598</v>
      </c>
      <c r="BA28">
        <f t="shared" si="31"/>
        <v>8.5278813773715014E-3</v>
      </c>
      <c r="BB28">
        <f t="shared" si="32"/>
        <v>3.9883304515851786E-2</v>
      </c>
      <c r="BC28">
        <f t="shared" si="33"/>
        <v>301.99248398725592</v>
      </c>
      <c r="BD28" t="s">
        <v>470</v>
      </c>
      <c r="BE28">
        <v>504.75</v>
      </c>
      <c r="BF28">
        <f t="shared" si="34"/>
        <v>504.75</v>
      </c>
      <c r="BG28">
        <f t="shared" si="35"/>
        <v>0.389416954993827</v>
      </c>
      <c r="BH28">
        <f t="shared" si="36"/>
        <v>0.26313889272954399</v>
      </c>
      <c r="BI28">
        <f t="shared" si="37"/>
        <v>9.2903052426299773E-2</v>
      </c>
      <c r="BJ28">
        <f t="shared" si="38"/>
        <v>0.1627821167018032</v>
      </c>
      <c r="BK28">
        <f t="shared" si="39"/>
        <v>5.9582488001962093E-2</v>
      </c>
      <c r="BL28">
        <f t="shared" si="40"/>
        <v>0.179011598483795</v>
      </c>
      <c r="BM28">
        <f t="shared" si="41"/>
        <v>0.820988401516205</v>
      </c>
      <c r="BN28">
        <v>20722</v>
      </c>
      <c r="BO28">
        <v>290.00000000000011</v>
      </c>
      <c r="BP28">
        <v>804.85</v>
      </c>
      <c r="BQ28">
        <v>295</v>
      </c>
      <c r="BR28">
        <v>7141.66</v>
      </c>
      <c r="BS28">
        <v>806.96</v>
      </c>
      <c r="BT28">
        <v>-2.11</v>
      </c>
      <c r="BU28">
        <v>300.00000000000011</v>
      </c>
      <c r="BV28">
        <v>38.299999999999997</v>
      </c>
      <c r="BW28">
        <v>826.66887678628052</v>
      </c>
      <c r="BX28">
        <v>1.103328166249125</v>
      </c>
      <c r="BY28">
        <v>-14.07686323871698</v>
      </c>
      <c r="BZ28">
        <v>0.66037779142573905</v>
      </c>
      <c r="CA28">
        <v>0.94195543964259909</v>
      </c>
      <c r="CB28">
        <v>-7.0501127919911036E-3</v>
      </c>
      <c r="CC28">
        <v>289.99999999999989</v>
      </c>
      <c r="CD28">
        <v>809.97</v>
      </c>
      <c r="CE28">
        <v>805</v>
      </c>
      <c r="CF28">
        <v>7135.26</v>
      </c>
      <c r="CG28">
        <v>806.94</v>
      </c>
      <c r="CH28">
        <v>3.03</v>
      </c>
      <c r="CV28">
        <f t="shared" si="42"/>
        <v>1800.05</v>
      </c>
      <c r="CW28">
        <f t="shared" si="43"/>
        <v>1513.226999381184</v>
      </c>
      <c r="CX28">
        <f t="shared" si="44"/>
        <v>0.84065831470302721</v>
      </c>
      <c r="CY28">
        <f t="shared" si="45"/>
        <v>0.19131662940605448</v>
      </c>
      <c r="CZ28">
        <v>5.36</v>
      </c>
      <c r="DA28">
        <v>0.5</v>
      </c>
      <c r="DB28" t="s">
        <v>418</v>
      </c>
      <c r="DC28">
        <v>2</v>
      </c>
      <c r="DD28">
        <v>1700150818.0999999</v>
      </c>
      <c r="DE28">
        <v>56.537199999999999</v>
      </c>
      <c r="DF28">
        <v>70.022199999999998</v>
      </c>
      <c r="DG28">
        <v>28.187999999999999</v>
      </c>
      <c r="DH28">
        <v>20.619299999999999</v>
      </c>
      <c r="DI28">
        <v>60.161200000000001</v>
      </c>
      <c r="DJ28">
        <v>28.202000000000002</v>
      </c>
      <c r="DK28">
        <v>499.94299999999998</v>
      </c>
      <c r="DL28">
        <v>99.518600000000006</v>
      </c>
      <c r="DM28">
        <v>9.9767800000000004E-2</v>
      </c>
      <c r="DN28">
        <v>30.251200000000001</v>
      </c>
      <c r="DO28">
        <v>29.9679</v>
      </c>
      <c r="DP28">
        <v>999.9</v>
      </c>
      <c r="DQ28">
        <v>0</v>
      </c>
      <c r="DR28">
        <v>0</v>
      </c>
      <c r="DS28">
        <v>10012.5</v>
      </c>
      <c r="DT28">
        <v>0</v>
      </c>
      <c r="DU28">
        <v>644.17499999999995</v>
      </c>
      <c r="DV28">
        <v>-13.421099999999999</v>
      </c>
      <c r="DW28">
        <v>58.244599999999998</v>
      </c>
      <c r="DX28">
        <v>71.496399999999994</v>
      </c>
      <c r="DY28">
        <v>7.5974399999999997</v>
      </c>
      <c r="DZ28">
        <v>70.022199999999998</v>
      </c>
      <c r="EA28">
        <v>20.619299999999999</v>
      </c>
      <c r="EB28">
        <v>2.8080799999999999</v>
      </c>
      <c r="EC28">
        <v>2.052</v>
      </c>
      <c r="ED28">
        <v>22.931699999999999</v>
      </c>
      <c r="EE28">
        <v>17.851400000000002</v>
      </c>
      <c r="EF28">
        <v>1800.05</v>
      </c>
      <c r="EG28">
        <v>0.97799400000000003</v>
      </c>
      <c r="EH28">
        <v>2.2005799999999999E-2</v>
      </c>
      <c r="EI28">
        <v>0</v>
      </c>
      <c r="EJ28">
        <v>741.66600000000005</v>
      </c>
      <c r="EK28">
        <v>5.0009399999999999</v>
      </c>
      <c r="EL28">
        <v>15604.5</v>
      </c>
      <c r="EM28">
        <v>13860.5</v>
      </c>
      <c r="EN28">
        <v>48.75</v>
      </c>
      <c r="EO28">
        <v>50.75</v>
      </c>
      <c r="EP28">
        <v>49.811999999999998</v>
      </c>
      <c r="EQ28">
        <v>49.936999999999998</v>
      </c>
      <c r="ER28">
        <v>50.186999999999998</v>
      </c>
      <c r="ES28">
        <v>1755.55</v>
      </c>
      <c r="ET28">
        <v>39.5</v>
      </c>
      <c r="EU28">
        <v>0</v>
      </c>
      <c r="EV28">
        <v>217.79999995231631</v>
      </c>
      <c r="EW28">
        <v>0</v>
      </c>
      <c r="EX28">
        <v>741.95950000000016</v>
      </c>
      <c r="EY28">
        <v>-2.8105641002601511</v>
      </c>
      <c r="EZ28">
        <v>-17.95213685025907</v>
      </c>
      <c r="FA28">
        <v>15601.873076923081</v>
      </c>
      <c r="FB28">
        <v>15</v>
      </c>
      <c r="FC28">
        <v>1700150845.0999999</v>
      </c>
      <c r="FD28" t="s">
        <v>471</v>
      </c>
      <c r="FE28">
        <v>1700150841.0999999</v>
      </c>
      <c r="FF28">
        <v>1700150845.0999999</v>
      </c>
      <c r="FG28">
        <v>13</v>
      </c>
      <c r="FH28">
        <v>-1.4E-2</v>
      </c>
      <c r="FI28">
        <v>8.9999999999999993E-3</v>
      </c>
      <c r="FJ28">
        <v>-3.6240000000000001</v>
      </c>
      <c r="FK28">
        <v>-1.4E-2</v>
      </c>
      <c r="FL28">
        <v>70</v>
      </c>
      <c r="FM28">
        <v>21</v>
      </c>
      <c r="FN28">
        <v>0.1</v>
      </c>
      <c r="FO28">
        <v>0.01</v>
      </c>
      <c r="FP28">
        <v>12.03634288347118</v>
      </c>
      <c r="FQ28">
        <v>0.23244468512293801</v>
      </c>
      <c r="FR28">
        <v>2.1264588793834211E-2</v>
      </c>
      <c r="FS28">
        <v>1</v>
      </c>
      <c r="FT28">
        <v>0.53440150803505504</v>
      </c>
      <c r="FU28">
        <v>-3.5411924589894479E-3</v>
      </c>
      <c r="FV28">
        <v>1.2469707929697021E-3</v>
      </c>
      <c r="FW28">
        <v>1</v>
      </c>
      <c r="FX28">
        <v>2</v>
      </c>
      <c r="FY28">
        <v>2</v>
      </c>
      <c r="FZ28" t="s">
        <v>420</v>
      </c>
      <c r="GA28">
        <v>3.1183399999999999</v>
      </c>
      <c r="GB28">
        <v>2.8774999999999999</v>
      </c>
      <c r="GC28">
        <v>1.58061E-2</v>
      </c>
      <c r="GD28">
        <v>1.8654899999999999E-2</v>
      </c>
      <c r="GE28">
        <v>0.126522</v>
      </c>
      <c r="GF28">
        <v>0.10190100000000001</v>
      </c>
      <c r="GG28">
        <v>28566.1</v>
      </c>
      <c r="GH28">
        <v>29130.5</v>
      </c>
      <c r="GI28">
        <v>26738.3</v>
      </c>
      <c r="GJ28">
        <v>27419.8</v>
      </c>
      <c r="GK28">
        <v>33411.1</v>
      </c>
      <c r="GL28">
        <v>34410</v>
      </c>
      <c r="GM28">
        <v>39623.699999999997</v>
      </c>
      <c r="GN28">
        <v>39711.4</v>
      </c>
      <c r="GO28">
        <v>1.9357500000000001</v>
      </c>
      <c r="GP28">
        <v>2.4404499999999998</v>
      </c>
      <c r="GQ28">
        <v>-1.0326500000000001E-2</v>
      </c>
      <c r="GR28">
        <v>0</v>
      </c>
      <c r="GS28">
        <v>30.135899999999999</v>
      </c>
      <c r="GT28">
        <v>999.9</v>
      </c>
      <c r="GU28">
        <v>42.8</v>
      </c>
      <c r="GV28">
        <v>40.700000000000003</v>
      </c>
      <c r="GW28">
        <v>33.095999999999997</v>
      </c>
      <c r="GX28">
        <v>63.042200000000001</v>
      </c>
      <c r="GY28">
        <v>7.1113799999999996</v>
      </c>
      <c r="GZ28">
        <v>3</v>
      </c>
      <c r="HA28">
        <v>0.595028</v>
      </c>
      <c r="HB28">
        <v>3.85127</v>
      </c>
      <c r="HC28">
        <v>20.256900000000002</v>
      </c>
      <c r="HD28">
        <v>5.21265</v>
      </c>
      <c r="HE28">
        <v>11.9087</v>
      </c>
      <c r="HF28">
        <v>4.9972000000000003</v>
      </c>
      <c r="HG28">
        <v>3.3029999999999999</v>
      </c>
      <c r="HH28">
        <v>9999</v>
      </c>
      <c r="HI28">
        <v>9999</v>
      </c>
      <c r="HJ28">
        <v>9999</v>
      </c>
      <c r="HK28">
        <v>999.9</v>
      </c>
      <c r="HL28">
        <v>1.8849400000000001</v>
      </c>
      <c r="HM28">
        <v>1.88554</v>
      </c>
      <c r="HN28">
        <v>1.8816900000000001</v>
      </c>
      <c r="HO28">
        <v>1.8832599999999999</v>
      </c>
      <c r="HP28">
        <v>1.88019</v>
      </c>
      <c r="HQ28">
        <v>1.88368</v>
      </c>
      <c r="HR28">
        <v>1.87958</v>
      </c>
      <c r="HS28">
        <v>1.8819699999999999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-3.6240000000000001</v>
      </c>
      <c r="IH28">
        <v>-1.4E-2</v>
      </c>
      <c r="II28">
        <v>-3.334511903441316</v>
      </c>
      <c r="IJ28">
        <v>-3.7794827560518689E-3</v>
      </c>
      <c r="IK28">
        <v>4.9551128961100493E-7</v>
      </c>
      <c r="IL28">
        <v>1.3680294268397379E-10</v>
      </c>
      <c r="IM28">
        <v>1.4739293165394849E-2</v>
      </c>
      <c r="IN28">
        <v>0</v>
      </c>
      <c r="IO28">
        <v>0</v>
      </c>
      <c r="IP28">
        <v>0</v>
      </c>
      <c r="IQ28">
        <v>4</v>
      </c>
      <c r="IR28">
        <v>2229</v>
      </c>
      <c r="IS28">
        <v>1</v>
      </c>
      <c r="IT28">
        <v>22</v>
      </c>
      <c r="IU28">
        <v>1.7</v>
      </c>
      <c r="IV28">
        <v>1.5</v>
      </c>
      <c r="IW28">
        <v>0.40893600000000002</v>
      </c>
      <c r="IX28">
        <v>2.5939899999999998</v>
      </c>
      <c r="IY28">
        <v>2.9956100000000001</v>
      </c>
      <c r="IZ28">
        <v>2.9565399999999999</v>
      </c>
      <c r="JA28">
        <v>3.1970200000000002</v>
      </c>
      <c r="JB28">
        <v>2.5134300000000001</v>
      </c>
      <c r="JC28">
        <v>48.117400000000004</v>
      </c>
      <c r="JD28">
        <v>23.439599999999999</v>
      </c>
      <c r="JE28">
        <v>18</v>
      </c>
      <c r="JF28">
        <v>499.46800000000002</v>
      </c>
      <c r="JG28">
        <v>1129.28</v>
      </c>
      <c r="JH28">
        <v>24.677099999999999</v>
      </c>
      <c r="JI28">
        <v>34.485700000000001</v>
      </c>
      <c r="JJ28">
        <v>30.000399999999999</v>
      </c>
      <c r="JK28">
        <v>34.429600000000001</v>
      </c>
      <c r="JL28">
        <v>34.331800000000001</v>
      </c>
      <c r="JM28">
        <v>8.2004099999999998</v>
      </c>
      <c r="JN28">
        <v>36.331499999999998</v>
      </c>
      <c r="JO28">
        <v>0</v>
      </c>
      <c r="JP28">
        <v>24.6951</v>
      </c>
      <c r="JQ28">
        <v>70</v>
      </c>
      <c r="JR28">
        <v>20.580500000000001</v>
      </c>
      <c r="JS28">
        <v>98.755200000000002</v>
      </c>
      <c r="JT28">
        <v>97.151899999999998</v>
      </c>
    </row>
    <row r="29" spans="1:280" x14ac:dyDescent="0.25">
      <c r="A29">
        <v>13</v>
      </c>
      <c r="B29">
        <v>1700150966.0999999</v>
      </c>
      <c r="C29">
        <v>1984.599999904633</v>
      </c>
      <c r="D29" t="s">
        <v>472</v>
      </c>
      <c r="E29" t="s">
        <v>473</v>
      </c>
      <c r="F29" t="s">
        <v>412</v>
      </c>
      <c r="G29" t="s">
        <v>413</v>
      </c>
      <c r="H29" t="s">
        <v>414</v>
      </c>
      <c r="I29">
        <v>1700150966.0999999</v>
      </c>
      <c r="J29">
        <f t="shared" si="0"/>
        <v>7.6742251496648801E-3</v>
      </c>
      <c r="K29">
        <f t="shared" si="1"/>
        <v>7.6742251496648803</v>
      </c>
      <c r="L29">
        <f t="shared" si="2"/>
        <v>5.6397415958298422</v>
      </c>
      <c r="M29">
        <f t="shared" si="3"/>
        <v>23.797000000000001</v>
      </c>
      <c r="N29">
        <f t="shared" si="4"/>
        <v>6.2712806869903401</v>
      </c>
      <c r="O29">
        <f t="shared" si="5"/>
        <v>0.62471156677309314</v>
      </c>
      <c r="P29">
        <f t="shared" si="6"/>
        <v>2.3705303424449005</v>
      </c>
      <c r="Q29">
        <f t="shared" si="7"/>
        <v>0.57197879030570997</v>
      </c>
      <c r="R29">
        <f t="shared" si="8"/>
        <v>3.0493520010307118</v>
      </c>
      <c r="S29">
        <f t="shared" si="9"/>
        <v>0.51837572236857077</v>
      </c>
      <c r="T29">
        <f t="shared" si="10"/>
        <v>0.32838121340248533</v>
      </c>
      <c r="U29">
        <f t="shared" si="11"/>
        <v>344.37189876234083</v>
      </c>
      <c r="V29">
        <f t="shared" si="12"/>
        <v>30.355961096796548</v>
      </c>
      <c r="W29">
        <f t="shared" si="13"/>
        <v>30.023599999999998</v>
      </c>
      <c r="X29">
        <f t="shared" si="14"/>
        <v>4.26622850009967</v>
      </c>
      <c r="Y29">
        <f t="shared" si="15"/>
        <v>65.533498972628351</v>
      </c>
      <c r="Z29">
        <f t="shared" si="16"/>
        <v>2.8441283761082099</v>
      </c>
      <c r="AA29">
        <f t="shared" si="17"/>
        <v>4.3399611201839372</v>
      </c>
      <c r="AB29">
        <f t="shared" si="18"/>
        <v>1.4221001239914601</v>
      </c>
      <c r="AC29">
        <f t="shared" si="19"/>
        <v>-338.43332910022121</v>
      </c>
      <c r="AD29">
        <f t="shared" si="20"/>
        <v>49.105283859266919</v>
      </c>
      <c r="AE29">
        <f t="shared" si="21"/>
        <v>3.5867683435718303</v>
      </c>
      <c r="AF29">
        <f t="shared" si="22"/>
        <v>58.630621864958343</v>
      </c>
      <c r="AG29">
        <v>17</v>
      </c>
      <c r="AH29">
        <v>3</v>
      </c>
      <c r="AI29">
        <f t="shared" si="23"/>
        <v>1</v>
      </c>
      <c r="AJ29">
        <f t="shared" si="24"/>
        <v>0</v>
      </c>
      <c r="AK29">
        <f t="shared" si="25"/>
        <v>52050.193571609321</v>
      </c>
      <c r="AL29" t="s">
        <v>431</v>
      </c>
      <c r="AM29" t="s">
        <v>431</v>
      </c>
      <c r="AN29">
        <v>0</v>
      </c>
      <c r="AO29">
        <v>0</v>
      </c>
      <c r="AP29" t="e">
        <f t="shared" si="26"/>
        <v>#DIV/0!</v>
      </c>
      <c r="AQ29">
        <v>0</v>
      </c>
      <c r="AR29" t="s">
        <v>431</v>
      </c>
      <c r="AS29" t="s">
        <v>431</v>
      </c>
      <c r="AT29">
        <v>0</v>
      </c>
      <c r="AU29">
        <v>0</v>
      </c>
      <c r="AV29" t="e">
        <f t="shared" si="27"/>
        <v>#DIV/0!</v>
      </c>
      <c r="AW29">
        <v>0.5</v>
      </c>
      <c r="AX29">
        <f t="shared" si="28"/>
        <v>1513.1933993811704</v>
      </c>
      <c r="AY29">
        <f t="shared" si="29"/>
        <v>5.6397415958298422</v>
      </c>
      <c r="AZ29" t="e">
        <f t="shared" si="30"/>
        <v>#DIV/0!</v>
      </c>
      <c r="BA29">
        <f t="shared" si="31"/>
        <v>3.7270461251920932E-3</v>
      </c>
      <c r="BB29" t="e">
        <f t="shared" si="32"/>
        <v>#DIV/0!</v>
      </c>
      <c r="BC29" t="e">
        <f t="shared" si="33"/>
        <v>#DIV/0!</v>
      </c>
      <c r="BD29" t="s">
        <v>431</v>
      </c>
      <c r="BE29">
        <v>0</v>
      </c>
      <c r="BF29" t="e">
        <f t="shared" si="34"/>
        <v>#DIV/0!</v>
      </c>
      <c r="BG29" t="e">
        <f t="shared" si="35"/>
        <v>#DIV/0!</v>
      </c>
      <c r="BH29" t="e">
        <f t="shared" si="36"/>
        <v>#DIV/0!</v>
      </c>
      <c r="BI29" t="e">
        <f t="shared" si="37"/>
        <v>#DIV/0!</v>
      </c>
      <c r="BJ29" t="e">
        <f t="shared" si="38"/>
        <v>#DIV/0!</v>
      </c>
      <c r="BK29" t="e">
        <f t="shared" si="39"/>
        <v>#DIV/0!</v>
      </c>
      <c r="BL29" t="e">
        <f t="shared" si="40"/>
        <v>#DIV/0!</v>
      </c>
      <c r="BM29" t="e">
        <f t="shared" si="41"/>
        <v>#DIV/0!</v>
      </c>
      <c r="BN29">
        <v>20722</v>
      </c>
      <c r="BO29">
        <v>290.00000000000011</v>
      </c>
      <c r="BP29">
        <v>804.85</v>
      </c>
      <c r="BQ29">
        <v>295</v>
      </c>
      <c r="BR29">
        <v>7141.66</v>
      </c>
      <c r="BS29">
        <v>806.96</v>
      </c>
      <c r="BT29">
        <v>-2.11</v>
      </c>
      <c r="BU29">
        <v>300.00000000000011</v>
      </c>
      <c r="BV29">
        <v>38.299999999999997</v>
      </c>
      <c r="BW29">
        <v>826.66887678628052</v>
      </c>
      <c r="BX29">
        <v>1.103328166249125</v>
      </c>
      <c r="BY29">
        <v>-14.07686323871698</v>
      </c>
      <c r="BZ29">
        <v>0.66037779142573905</v>
      </c>
      <c r="CA29">
        <v>0.94195543964259909</v>
      </c>
      <c r="CB29">
        <v>-7.0501127919911036E-3</v>
      </c>
      <c r="CC29">
        <v>289.99999999999989</v>
      </c>
      <c r="CD29">
        <v>809.97</v>
      </c>
      <c r="CE29">
        <v>805</v>
      </c>
      <c r="CF29">
        <v>7135.26</v>
      </c>
      <c r="CG29">
        <v>806.94</v>
      </c>
      <c r="CH29">
        <v>3.03</v>
      </c>
      <c r="CV29">
        <f t="shared" si="42"/>
        <v>1800.01</v>
      </c>
      <c r="CW29">
        <f t="shared" si="43"/>
        <v>1513.1933993811704</v>
      </c>
      <c r="CX29">
        <f t="shared" si="44"/>
        <v>0.8406583293321539</v>
      </c>
      <c r="CY29">
        <f t="shared" si="45"/>
        <v>0.19131665866430789</v>
      </c>
      <c r="CZ29">
        <v>5.36</v>
      </c>
      <c r="DA29">
        <v>0.5</v>
      </c>
      <c r="DB29" t="s">
        <v>418</v>
      </c>
      <c r="DC29">
        <v>2</v>
      </c>
      <c r="DD29">
        <v>1700150966.0999999</v>
      </c>
      <c r="DE29">
        <v>23.797000000000001</v>
      </c>
      <c r="DF29">
        <v>30.038900000000002</v>
      </c>
      <c r="DG29">
        <v>28.551300000000001</v>
      </c>
      <c r="DH29">
        <v>20.559000000000001</v>
      </c>
      <c r="DI29">
        <v>27.2699</v>
      </c>
      <c r="DJ29">
        <v>28.5261</v>
      </c>
      <c r="DK29">
        <v>499.97399999999999</v>
      </c>
      <c r="DL29">
        <v>99.514700000000005</v>
      </c>
      <c r="DM29">
        <v>9.9971699999999997E-2</v>
      </c>
      <c r="DN29">
        <v>30.322299999999998</v>
      </c>
      <c r="DO29">
        <v>30.023599999999998</v>
      </c>
      <c r="DP29">
        <v>999.9</v>
      </c>
      <c r="DQ29">
        <v>0</v>
      </c>
      <c r="DR29">
        <v>0</v>
      </c>
      <c r="DS29">
        <v>10001.200000000001</v>
      </c>
      <c r="DT29">
        <v>0</v>
      </c>
      <c r="DU29">
        <v>693.351</v>
      </c>
      <c r="DV29">
        <v>-6.2419099999999998</v>
      </c>
      <c r="DW29">
        <v>24.496400000000001</v>
      </c>
      <c r="DX29">
        <v>30.669499999999999</v>
      </c>
      <c r="DY29">
        <v>7.9922500000000003</v>
      </c>
      <c r="DZ29">
        <v>30.038900000000002</v>
      </c>
      <c r="EA29">
        <v>20.559000000000001</v>
      </c>
      <c r="EB29">
        <v>2.8412700000000002</v>
      </c>
      <c r="EC29">
        <v>2.0459299999999998</v>
      </c>
      <c r="ED29">
        <v>23.125800000000002</v>
      </c>
      <c r="EE29">
        <v>17.804300000000001</v>
      </c>
      <c r="EF29">
        <v>1800.01</v>
      </c>
      <c r="EG29">
        <v>0.97799400000000003</v>
      </c>
      <c r="EH29">
        <v>2.2005799999999999E-2</v>
      </c>
      <c r="EI29">
        <v>0</v>
      </c>
      <c r="EJ29">
        <v>756.077</v>
      </c>
      <c r="EK29">
        <v>5.0009399999999999</v>
      </c>
      <c r="EL29">
        <v>15646.5</v>
      </c>
      <c r="EM29">
        <v>13860.2</v>
      </c>
      <c r="EN29">
        <v>48.875</v>
      </c>
      <c r="EO29">
        <v>50.936999999999998</v>
      </c>
      <c r="EP29">
        <v>49.936999999999998</v>
      </c>
      <c r="EQ29">
        <v>50.061999999999998</v>
      </c>
      <c r="ER29">
        <v>50.25</v>
      </c>
      <c r="ES29">
        <v>1755.51</v>
      </c>
      <c r="ET29">
        <v>39.5</v>
      </c>
      <c r="EU29">
        <v>0</v>
      </c>
      <c r="EV29">
        <v>145.79999995231631</v>
      </c>
      <c r="EW29">
        <v>0</v>
      </c>
      <c r="EX29">
        <v>755.97432000000003</v>
      </c>
      <c r="EY29">
        <v>0.13238460898619581</v>
      </c>
      <c r="EZ29">
        <v>-94.153846636776677</v>
      </c>
      <c r="FA29">
        <v>15719.712</v>
      </c>
      <c r="FB29">
        <v>15</v>
      </c>
      <c r="FC29">
        <v>1700150935.5999999</v>
      </c>
      <c r="FD29" t="s">
        <v>474</v>
      </c>
      <c r="FE29">
        <v>1700150935.5999999</v>
      </c>
      <c r="FF29">
        <v>1700150933.0999999</v>
      </c>
      <c r="FG29">
        <v>14</v>
      </c>
      <c r="FH29">
        <v>-2.1000000000000001E-2</v>
      </c>
      <c r="FI29">
        <v>1E-3</v>
      </c>
      <c r="FJ29">
        <v>-3.496</v>
      </c>
      <c r="FK29">
        <v>-1.0999999999999999E-2</v>
      </c>
      <c r="FL29">
        <v>30</v>
      </c>
      <c r="FM29">
        <v>21</v>
      </c>
      <c r="FN29">
        <v>0.22</v>
      </c>
      <c r="FO29">
        <v>0.01</v>
      </c>
      <c r="FP29">
        <v>5.6489593485272973</v>
      </c>
      <c r="FQ29">
        <v>-0.1702316450040674</v>
      </c>
      <c r="FR29">
        <v>1.8405209502041851E-2</v>
      </c>
      <c r="FS29">
        <v>1</v>
      </c>
      <c r="FT29">
        <v>0.57266577858717727</v>
      </c>
      <c r="FU29">
        <v>4.1082052998223942E-2</v>
      </c>
      <c r="FV29">
        <v>4.258632628807984E-3</v>
      </c>
      <c r="FW29">
        <v>1</v>
      </c>
      <c r="FX29">
        <v>2</v>
      </c>
      <c r="FY29">
        <v>2</v>
      </c>
      <c r="FZ29" t="s">
        <v>420</v>
      </c>
      <c r="GA29">
        <v>3.11836</v>
      </c>
      <c r="GB29">
        <v>2.8776099999999998</v>
      </c>
      <c r="GC29">
        <v>7.2278999999999998E-3</v>
      </c>
      <c r="GD29">
        <v>8.1068700000000004E-3</v>
      </c>
      <c r="GE29">
        <v>0.12751799999999999</v>
      </c>
      <c r="GF29">
        <v>0.10166600000000001</v>
      </c>
      <c r="GG29">
        <v>28809</v>
      </c>
      <c r="GH29">
        <v>29439.599999999999</v>
      </c>
      <c r="GI29">
        <v>26733.3</v>
      </c>
      <c r="GJ29">
        <v>27416.9</v>
      </c>
      <c r="GK29">
        <v>33366.800000000003</v>
      </c>
      <c r="GL29">
        <v>34415.599999999999</v>
      </c>
      <c r="GM29">
        <v>39616.699999999997</v>
      </c>
      <c r="GN29">
        <v>39708.300000000003</v>
      </c>
      <c r="GO29">
        <v>1.9351499999999999</v>
      </c>
      <c r="GP29">
        <v>2.43405</v>
      </c>
      <c r="GQ29">
        <v>-1.36942E-2</v>
      </c>
      <c r="GR29">
        <v>0</v>
      </c>
      <c r="GS29">
        <v>30.246400000000001</v>
      </c>
      <c r="GT29">
        <v>999.9</v>
      </c>
      <c r="GU29">
        <v>42.1</v>
      </c>
      <c r="GV29">
        <v>41.1</v>
      </c>
      <c r="GW29">
        <v>33.254899999999999</v>
      </c>
      <c r="GX29">
        <v>63.122300000000003</v>
      </c>
      <c r="GY29">
        <v>7.2035299999999998</v>
      </c>
      <c r="GZ29">
        <v>3</v>
      </c>
      <c r="HA29">
        <v>0.60569399999999995</v>
      </c>
      <c r="HB29">
        <v>4.3298300000000003</v>
      </c>
      <c r="HC29">
        <v>20.2438</v>
      </c>
      <c r="HD29">
        <v>5.2151899999999998</v>
      </c>
      <c r="HE29">
        <v>11.9087</v>
      </c>
      <c r="HF29">
        <v>4.9972000000000003</v>
      </c>
      <c r="HG29">
        <v>3.3029999999999999</v>
      </c>
      <c r="HH29">
        <v>9999</v>
      </c>
      <c r="HI29">
        <v>9999</v>
      </c>
      <c r="HJ29">
        <v>9999</v>
      </c>
      <c r="HK29">
        <v>999.9</v>
      </c>
      <c r="HL29">
        <v>1.88497</v>
      </c>
      <c r="HM29">
        <v>1.88554</v>
      </c>
      <c r="HN29">
        <v>1.88171</v>
      </c>
      <c r="HO29">
        <v>1.88331</v>
      </c>
      <c r="HP29">
        <v>1.88019</v>
      </c>
      <c r="HQ29">
        <v>1.8836999999999999</v>
      </c>
      <c r="HR29">
        <v>1.8795999999999999</v>
      </c>
      <c r="HS29">
        <v>1.88202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-3.4729999999999999</v>
      </c>
      <c r="IH29">
        <v>2.52E-2</v>
      </c>
      <c r="II29">
        <v>-3.3701880889854769</v>
      </c>
      <c r="IJ29">
        <v>-3.7794827560518689E-3</v>
      </c>
      <c r="IK29">
        <v>4.9551128961100493E-7</v>
      </c>
      <c r="IL29">
        <v>1.3680294268397379E-10</v>
      </c>
      <c r="IM29">
        <v>2.5138105364286119E-2</v>
      </c>
      <c r="IN29">
        <v>0</v>
      </c>
      <c r="IO29">
        <v>0</v>
      </c>
      <c r="IP29">
        <v>0</v>
      </c>
      <c r="IQ29">
        <v>4</v>
      </c>
      <c r="IR29">
        <v>2229</v>
      </c>
      <c r="IS29">
        <v>1</v>
      </c>
      <c r="IT29">
        <v>22</v>
      </c>
      <c r="IU29">
        <v>0.5</v>
      </c>
      <c r="IV29">
        <v>0.6</v>
      </c>
      <c r="IW29">
        <v>0.26855499999999999</v>
      </c>
      <c r="IX29">
        <v>2.6061999999999999</v>
      </c>
      <c r="IY29">
        <v>2.9956100000000001</v>
      </c>
      <c r="IZ29">
        <v>2.9565399999999999</v>
      </c>
      <c r="JA29">
        <v>3.1970200000000002</v>
      </c>
      <c r="JB29">
        <v>2.49268</v>
      </c>
      <c r="JC29">
        <v>48.546999999999997</v>
      </c>
      <c r="JD29">
        <v>23.430800000000001</v>
      </c>
      <c r="JE29">
        <v>18</v>
      </c>
      <c r="JF29">
        <v>499.7</v>
      </c>
      <c r="JG29">
        <v>1121.96</v>
      </c>
      <c r="JH29">
        <v>24.558700000000002</v>
      </c>
      <c r="JI29">
        <v>34.5687</v>
      </c>
      <c r="JJ29">
        <v>30.000900000000001</v>
      </c>
      <c r="JK29">
        <v>34.509700000000002</v>
      </c>
      <c r="JL29">
        <v>34.403599999999997</v>
      </c>
      <c r="JM29">
        <v>5.3921200000000002</v>
      </c>
      <c r="JN29">
        <v>37.2121</v>
      </c>
      <c r="JO29">
        <v>0</v>
      </c>
      <c r="JP29">
        <v>24.5306</v>
      </c>
      <c r="JQ29">
        <v>30</v>
      </c>
      <c r="JR29">
        <v>20.443200000000001</v>
      </c>
      <c r="JS29">
        <v>98.737499999999997</v>
      </c>
      <c r="JT29">
        <v>97.143299999999996</v>
      </c>
    </row>
    <row r="30" spans="1:280" x14ac:dyDescent="0.25">
      <c r="A30">
        <v>14</v>
      </c>
      <c r="B30">
        <v>1700151082.0999999</v>
      </c>
      <c r="C30">
        <v>2100.599999904633</v>
      </c>
      <c r="D30" t="s">
        <v>475</v>
      </c>
      <c r="E30" t="s">
        <v>476</v>
      </c>
      <c r="F30" t="s">
        <v>412</v>
      </c>
      <c r="G30" t="s">
        <v>413</v>
      </c>
      <c r="H30" t="s">
        <v>414</v>
      </c>
      <c r="I30">
        <v>1700151082.0999999</v>
      </c>
      <c r="J30">
        <f t="shared" si="0"/>
        <v>7.7462634761884079E-3</v>
      </c>
      <c r="K30">
        <f t="shared" si="1"/>
        <v>7.7462634761884077</v>
      </c>
      <c r="L30">
        <f t="shared" si="2"/>
        <v>2.1087522681253548</v>
      </c>
      <c r="M30">
        <f t="shared" si="3"/>
        <v>7.6690699999999996</v>
      </c>
      <c r="N30">
        <f t="shared" si="4"/>
        <v>1.2045518614671396</v>
      </c>
      <c r="O30">
        <f t="shared" si="5"/>
        <v>0.11998301338071671</v>
      </c>
      <c r="P30">
        <f t="shared" si="6"/>
        <v>0.76390079818307199</v>
      </c>
      <c r="Q30">
        <f t="shared" si="7"/>
        <v>0.57795909407340695</v>
      </c>
      <c r="R30">
        <f t="shared" si="8"/>
        <v>3.0478268509908206</v>
      </c>
      <c r="S30">
        <f t="shared" si="9"/>
        <v>0.52326196182514417</v>
      </c>
      <c r="T30">
        <f t="shared" si="10"/>
        <v>0.33152060658851162</v>
      </c>
      <c r="U30">
        <f t="shared" si="11"/>
        <v>344.4117987624852</v>
      </c>
      <c r="V30">
        <f t="shared" si="12"/>
        <v>30.339087352974968</v>
      </c>
      <c r="W30">
        <f t="shared" si="13"/>
        <v>30.005299999999998</v>
      </c>
      <c r="X30">
        <f t="shared" si="14"/>
        <v>4.261746943226159</v>
      </c>
      <c r="Y30">
        <f t="shared" si="15"/>
        <v>65.428887031024885</v>
      </c>
      <c r="Z30">
        <f t="shared" si="16"/>
        <v>2.8397347064873601</v>
      </c>
      <c r="AA30">
        <f t="shared" si="17"/>
        <v>4.340184947882153</v>
      </c>
      <c r="AB30">
        <f t="shared" si="18"/>
        <v>1.4220122367387988</v>
      </c>
      <c r="AC30">
        <f t="shared" si="19"/>
        <v>-341.61021929990881</v>
      </c>
      <c r="AD30">
        <f t="shared" si="20"/>
        <v>52.235560854497457</v>
      </c>
      <c r="AE30">
        <f t="shared" si="21"/>
        <v>3.8169920785167166</v>
      </c>
      <c r="AF30">
        <f t="shared" si="22"/>
        <v>58.854132395590561</v>
      </c>
      <c r="AG30">
        <v>17</v>
      </c>
      <c r="AH30">
        <v>3</v>
      </c>
      <c r="AI30">
        <f t="shared" si="23"/>
        <v>1</v>
      </c>
      <c r="AJ30">
        <f t="shared" si="24"/>
        <v>0</v>
      </c>
      <c r="AK30">
        <f t="shared" si="25"/>
        <v>52009.39873541308</v>
      </c>
      <c r="AL30" t="s">
        <v>415</v>
      </c>
      <c r="AM30">
        <v>7133.88</v>
      </c>
      <c r="AN30">
        <v>306.28384615384618</v>
      </c>
      <c r="AO30">
        <v>859.63916333292491</v>
      </c>
      <c r="AP30">
        <f t="shared" si="26"/>
        <v>0.64370650010133712</v>
      </c>
      <c r="AQ30">
        <v>-0.73746743666429193</v>
      </c>
      <c r="AR30" t="s">
        <v>477</v>
      </c>
      <c r="AS30">
        <v>7142.23</v>
      </c>
      <c r="AT30">
        <v>763.64155999999991</v>
      </c>
      <c r="AU30">
        <v>803.97721474821594</v>
      </c>
      <c r="AV30">
        <f t="shared" si="27"/>
        <v>5.0170146626416612E-2</v>
      </c>
      <c r="AW30">
        <v>0.5</v>
      </c>
      <c r="AX30">
        <f t="shared" si="28"/>
        <v>1513.3697993812425</v>
      </c>
      <c r="AY30">
        <f t="shared" si="29"/>
        <v>2.1087522681253548</v>
      </c>
      <c r="AZ30">
        <f t="shared" si="30"/>
        <v>37.962992367473817</v>
      </c>
      <c r="BA30">
        <f t="shared" si="31"/>
        <v>1.8807166007629823E-3</v>
      </c>
      <c r="BB30">
        <f t="shared" si="32"/>
        <v>6.9233241394957679E-2</v>
      </c>
      <c r="BC30">
        <f t="shared" si="33"/>
        <v>298.91051470733237</v>
      </c>
      <c r="BD30" t="s">
        <v>478</v>
      </c>
      <c r="BE30">
        <v>539.92999999999995</v>
      </c>
      <c r="BF30">
        <f t="shared" si="34"/>
        <v>539.92999999999995</v>
      </c>
      <c r="BG30">
        <f t="shared" si="35"/>
        <v>0.32842624132191167</v>
      </c>
      <c r="BH30">
        <f t="shared" si="36"/>
        <v>0.15275925097970969</v>
      </c>
      <c r="BI30">
        <f t="shared" si="37"/>
        <v>0.17410182430944629</v>
      </c>
      <c r="BJ30">
        <f t="shared" si="38"/>
        <v>8.1045192267953259E-2</v>
      </c>
      <c r="BK30">
        <f t="shared" si="39"/>
        <v>0.10058988656414312</v>
      </c>
      <c r="BL30">
        <f t="shared" si="40"/>
        <v>0.10800787529357969</v>
      </c>
      <c r="BM30">
        <f t="shared" si="41"/>
        <v>0.89199212470642031</v>
      </c>
      <c r="BN30">
        <v>20724</v>
      </c>
      <c r="BO30">
        <v>290.00000000000011</v>
      </c>
      <c r="BP30">
        <v>793.11</v>
      </c>
      <c r="BQ30">
        <v>255</v>
      </c>
      <c r="BR30">
        <v>7142.23</v>
      </c>
      <c r="BS30">
        <v>792.28</v>
      </c>
      <c r="BT30">
        <v>0.83</v>
      </c>
      <c r="BU30">
        <v>300.00000000000011</v>
      </c>
      <c r="BV30">
        <v>38.299999999999997</v>
      </c>
      <c r="BW30">
        <v>803.97721474821594</v>
      </c>
      <c r="BX30">
        <v>0.94432781240106889</v>
      </c>
      <c r="BY30">
        <v>-8.3548356686390548</v>
      </c>
      <c r="BZ30">
        <v>0.56517320679767291</v>
      </c>
      <c r="CA30">
        <v>0.88642393653192342</v>
      </c>
      <c r="CB30">
        <v>-7.0495966629588432E-3</v>
      </c>
      <c r="CC30">
        <v>289.99999999999989</v>
      </c>
      <c r="CD30">
        <v>792.62</v>
      </c>
      <c r="CE30">
        <v>695</v>
      </c>
      <c r="CF30">
        <v>7136.79</v>
      </c>
      <c r="CG30">
        <v>792.27</v>
      </c>
      <c r="CH30">
        <v>0.35</v>
      </c>
      <c r="CV30">
        <f t="shared" si="42"/>
        <v>1800.22</v>
      </c>
      <c r="CW30">
        <f t="shared" si="43"/>
        <v>1513.3697993812425</v>
      </c>
      <c r="CX30">
        <f t="shared" si="44"/>
        <v>0.8406582525364914</v>
      </c>
      <c r="CY30">
        <f t="shared" si="45"/>
        <v>0.19131650507298287</v>
      </c>
      <c r="CZ30">
        <v>5.36</v>
      </c>
      <c r="DA30">
        <v>0.5</v>
      </c>
      <c r="DB30" t="s">
        <v>418</v>
      </c>
      <c r="DC30">
        <v>2</v>
      </c>
      <c r="DD30">
        <v>1700151082.0999999</v>
      </c>
      <c r="DE30">
        <v>7.6690699999999996</v>
      </c>
      <c r="DF30">
        <v>9.9930900000000005</v>
      </c>
      <c r="DG30">
        <v>28.5091</v>
      </c>
      <c r="DH30">
        <v>20.442699999999999</v>
      </c>
      <c r="DI30">
        <v>11.1036</v>
      </c>
      <c r="DJ30">
        <v>28.4818</v>
      </c>
      <c r="DK30">
        <v>500.053</v>
      </c>
      <c r="DL30">
        <v>99.508099999999999</v>
      </c>
      <c r="DM30">
        <v>9.9909600000000001E-2</v>
      </c>
      <c r="DN30">
        <v>30.3232</v>
      </c>
      <c r="DO30">
        <v>30.005299999999998</v>
      </c>
      <c r="DP30">
        <v>999.9</v>
      </c>
      <c r="DQ30">
        <v>0</v>
      </c>
      <c r="DR30">
        <v>0</v>
      </c>
      <c r="DS30">
        <v>9993.75</v>
      </c>
      <c r="DT30">
        <v>0</v>
      </c>
      <c r="DU30">
        <v>692.24800000000005</v>
      </c>
      <c r="DV30">
        <v>-2.3240099999999999</v>
      </c>
      <c r="DW30">
        <v>7.8941299999999996</v>
      </c>
      <c r="DX30">
        <v>10.201599999999999</v>
      </c>
      <c r="DY30">
        <v>8.0664300000000004</v>
      </c>
      <c r="DZ30">
        <v>9.9930900000000005</v>
      </c>
      <c r="EA30">
        <v>20.442699999999999</v>
      </c>
      <c r="EB30">
        <v>2.8368899999999999</v>
      </c>
      <c r="EC30">
        <v>2.0342099999999999</v>
      </c>
      <c r="ED30">
        <v>23.100300000000001</v>
      </c>
      <c r="EE30">
        <v>17.713200000000001</v>
      </c>
      <c r="EF30">
        <v>1800.22</v>
      </c>
      <c r="EG30">
        <v>0.97799800000000003</v>
      </c>
      <c r="EH30">
        <v>2.20021E-2</v>
      </c>
      <c r="EI30">
        <v>0</v>
      </c>
      <c r="EJ30">
        <v>763.73699999999997</v>
      </c>
      <c r="EK30">
        <v>5.0009399999999999</v>
      </c>
      <c r="EL30">
        <v>15452.8</v>
      </c>
      <c r="EM30">
        <v>13861.8</v>
      </c>
      <c r="EN30">
        <v>48.875</v>
      </c>
      <c r="EO30">
        <v>51</v>
      </c>
      <c r="EP30">
        <v>49.936999999999998</v>
      </c>
      <c r="EQ30">
        <v>50.125</v>
      </c>
      <c r="ER30">
        <v>50.311999999999998</v>
      </c>
      <c r="ES30">
        <v>1755.72</v>
      </c>
      <c r="ET30">
        <v>39.5</v>
      </c>
      <c r="EU30">
        <v>0</v>
      </c>
      <c r="EV30">
        <v>262.19999980926508</v>
      </c>
      <c r="EW30">
        <v>0</v>
      </c>
      <c r="EX30">
        <v>763.64155999999991</v>
      </c>
      <c r="EY30">
        <v>-0.9770000064413964</v>
      </c>
      <c r="EZ30">
        <v>-482.99231053740459</v>
      </c>
      <c r="FA30">
        <v>15583.276</v>
      </c>
      <c r="FB30">
        <v>15</v>
      </c>
      <c r="FC30">
        <v>1700151049.5999999</v>
      </c>
      <c r="FD30" t="s">
        <v>479</v>
      </c>
      <c r="FE30">
        <v>1700151045.0999999</v>
      </c>
      <c r="FF30">
        <v>1700151049.5999999</v>
      </c>
      <c r="FG30">
        <v>15</v>
      </c>
      <c r="FH30">
        <v>-2.1999999999999999E-2</v>
      </c>
      <c r="FI30">
        <v>2E-3</v>
      </c>
      <c r="FJ30">
        <v>-3.4430000000000001</v>
      </c>
      <c r="FK30">
        <v>-1.9E-2</v>
      </c>
      <c r="FL30">
        <v>10</v>
      </c>
      <c r="FM30">
        <v>20</v>
      </c>
      <c r="FN30">
        <v>0.18</v>
      </c>
      <c r="FO30">
        <v>0.01</v>
      </c>
      <c r="FP30">
        <v>2.12485841332134</v>
      </c>
      <c r="FQ30">
        <v>-8.3519255475687545E-2</v>
      </c>
      <c r="FR30">
        <v>1.8737851018904988E-2</v>
      </c>
      <c r="FS30">
        <v>1</v>
      </c>
      <c r="FT30">
        <v>0.57790309385738181</v>
      </c>
      <c r="FU30">
        <v>4.5912216904234512E-2</v>
      </c>
      <c r="FV30">
        <v>3.9255422438712389E-3</v>
      </c>
      <c r="FW30">
        <v>1</v>
      </c>
      <c r="FX30">
        <v>2</v>
      </c>
      <c r="FY30">
        <v>2</v>
      </c>
      <c r="FZ30" t="s">
        <v>420</v>
      </c>
      <c r="GA30">
        <v>3.11842</v>
      </c>
      <c r="GB30">
        <v>2.8774799999999998</v>
      </c>
      <c r="GC30">
        <v>2.9506900000000002E-3</v>
      </c>
      <c r="GD30">
        <v>2.7077099999999999E-3</v>
      </c>
      <c r="GE30">
        <v>0.12736</v>
      </c>
      <c r="GF30">
        <v>0.101232</v>
      </c>
      <c r="GG30">
        <v>28933.3</v>
      </c>
      <c r="GH30">
        <v>29599.8</v>
      </c>
      <c r="GI30">
        <v>26733.8</v>
      </c>
      <c r="GJ30">
        <v>27417.4</v>
      </c>
      <c r="GK30">
        <v>33373</v>
      </c>
      <c r="GL30">
        <v>34432.699999999997</v>
      </c>
      <c r="GM30">
        <v>39617.1</v>
      </c>
      <c r="GN30">
        <v>39709.300000000003</v>
      </c>
      <c r="GO30">
        <v>1.9360299999999999</v>
      </c>
      <c r="GP30">
        <v>2.4332699999999998</v>
      </c>
      <c r="GQ30">
        <v>-1.59889E-2</v>
      </c>
      <c r="GR30">
        <v>0</v>
      </c>
      <c r="GS30">
        <v>30.265499999999999</v>
      </c>
      <c r="GT30">
        <v>999.9</v>
      </c>
      <c r="GU30">
        <v>41.7</v>
      </c>
      <c r="GV30">
        <v>41.4</v>
      </c>
      <c r="GW30">
        <v>33.470799999999997</v>
      </c>
      <c r="GX30">
        <v>63.162300000000002</v>
      </c>
      <c r="GY30">
        <v>7.2996800000000004</v>
      </c>
      <c r="GZ30">
        <v>3</v>
      </c>
      <c r="HA30">
        <v>0.60667400000000005</v>
      </c>
      <c r="HB30">
        <v>4.2151800000000001</v>
      </c>
      <c r="HC30">
        <v>20.247</v>
      </c>
      <c r="HD30">
        <v>5.2151899999999998</v>
      </c>
      <c r="HE30">
        <v>11.909000000000001</v>
      </c>
      <c r="HF30">
        <v>4.9971500000000004</v>
      </c>
      <c r="HG30">
        <v>3.3029500000000001</v>
      </c>
      <c r="HH30">
        <v>9999</v>
      </c>
      <c r="HI30">
        <v>9999</v>
      </c>
      <c r="HJ30">
        <v>9999</v>
      </c>
      <c r="HK30">
        <v>999.9</v>
      </c>
      <c r="HL30">
        <v>1.8849800000000001</v>
      </c>
      <c r="HM30">
        <v>1.8855500000000001</v>
      </c>
      <c r="HN30">
        <v>1.88171</v>
      </c>
      <c r="HO30">
        <v>1.8833599999999999</v>
      </c>
      <c r="HP30">
        <v>1.88019</v>
      </c>
      <c r="HQ30">
        <v>1.8836999999999999</v>
      </c>
      <c r="HR30">
        <v>1.87961</v>
      </c>
      <c r="HS30">
        <v>1.8819999999999999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-3.4350000000000001</v>
      </c>
      <c r="IH30">
        <v>2.7300000000000001E-2</v>
      </c>
      <c r="II30">
        <v>-3.3925835635911818</v>
      </c>
      <c r="IJ30">
        <v>-3.7794827560518689E-3</v>
      </c>
      <c r="IK30">
        <v>4.9551128961100493E-7</v>
      </c>
      <c r="IL30">
        <v>1.3680294268397379E-10</v>
      </c>
      <c r="IM30">
        <v>2.7323699663633211E-2</v>
      </c>
      <c r="IN30">
        <v>0</v>
      </c>
      <c r="IO30">
        <v>0</v>
      </c>
      <c r="IP30">
        <v>0</v>
      </c>
      <c r="IQ30">
        <v>4</v>
      </c>
      <c r="IR30">
        <v>2229</v>
      </c>
      <c r="IS30">
        <v>1</v>
      </c>
      <c r="IT30">
        <v>22</v>
      </c>
      <c r="IU30">
        <v>0.6</v>
      </c>
      <c r="IV30">
        <v>0.5</v>
      </c>
      <c r="IW30">
        <v>0.20019500000000001</v>
      </c>
      <c r="IX30">
        <v>2.6269499999999999</v>
      </c>
      <c r="IY30">
        <v>2.9956100000000001</v>
      </c>
      <c r="IZ30">
        <v>2.9589799999999999</v>
      </c>
      <c r="JA30">
        <v>3.1970200000000002</v>
      </c>
      <c r="JB30">
        <v>2.47925</v>
      </c>
      <c r="JC30">
        <v>48.794699999999999</v>
      </c>
      <c r="JD30">
        <v>23.4133</v>
      </c>
      <c r="JE30">
        <v>18</v>
      </c>
      <c r="JF30">
        <v>500.49200000000002</v>
      </c>
      <c r="JG30">
        <v>1121.52</v>
      </c>
      <c r="JH30">
        <v>24.600899999999999</v>
      </c>
      <c r="JI30">
        <v>34.600099999999998</v>
      </c>
      <c r="JJ30">
        <v>30.000399999999999</v>
      </c>
      <c r="JK30">
        <v>34.541699999999999</v>
      </c>
      <c r="JL30">
        <v>34.437800000000003</v>
      </c>
      <c r="JM30">
        <v>3.99858</v>
      </c>
      <c r="JN30">
        <v>37.585599999999999</v>
      </c>
      <c r="JO30">
        <v>0</v>
      </c>
      <c r="JP30">
        <v>24.597999999999999</v>
      </c>
      <c r="JQ30">
        <v>10</v>
      </c>
      <c r="JR30">
        <v>20.3429</v>
      </c>
      <c r="JS30">
        <v>98.738900000000001</v>
      </c>
      <c r="JT30">
        <v>97.145399999999995</v>
      </c>
    </row>
    <row r="31" spans="1:280" x14ac:dyDescent="0.25">
      <c r="A31">
        <v>15</v>
      </c>
      <c r="B31">
        <v>1700151861.0999999</v>
      </c>
      <c r="C31">
        <v>2879.599999904633</v>
      </c>
      <c r="D31" t="s">
        <v>480</v>
      </c>
      <c r="E31" t="s">
        <v>481</v>
      </c>
      <c r="F31" t="s">
        <v>412</v>
      </c>
      <c r="G31" t="s">
        <v>482</v>
      </c>
      <c r="H31" t="s">
        <v>483</v>
      </c>
      <c r="I31">
        <v>1700151861.0999999</v>
      </c>
      <c r="J31">
        <f t="shared" si="0"/>
        <v>5.0852657322189541E-3</v>
      </c>
      <c r="K31">
        <f t="shared" si="1"/>
        <v>5.0852657322189545</v>
      </c>
      <c r="L31">
        <f t="shared" si="2"/>
        <v>56.122275503308671</v>
      </c>
      <c r="M31">
        <f t="shared" si="3"/>
        <v>382.69799999999998</v>
      </c>
      <c r="N31">
        <f t="shared" si="4"/>
        <v>110.61829485965146</v>
      </c>
      <c r="O31">
        <f t="shared" si="5"/>
        <v>11.015825914539288</v>
      </c>
      <c r="P31">
        <f t="shared" si="6"/>
        <v>38.110644818663403</v>
      </c>
      <c r="Q31">
        <f t="shared" si="7"/>
        <v>0.35669763876781924</v>
      </c>
      <c r="R31">
        <f t="shared" si="8"/>
        <v>2.9553460333319115</v>
      </c>
      <c r="S31">
        <f t="shared" si="9"/>
        <v>0.33438988626502114</v>
      </c>
      <c r="T31">
        <f t="shared" si="10"/>
        <v>0.2108815786109782</v>
      </c>
      <c r="U31">
        <f t="shared" si="11"/>
        <v>344.37449876298126</v>
      </c>
      <c r="V31">
        <f t="shared" si="12"/>
        <v>30.793981893162986</v>
      </c>
      <c r="W31">
        <f t="shared" si="13"/>
        <v>30.0014</v>
      </c>
      <c r="X31">
        <f t="shared" si="14"/>
        <v>4.2607923878676965</v>
      </c>
      <c r="Y31">
        <f t="shared" si="15"/>
        <v>65.372210347227224</v>
      </c>
      <c r="Z31">
        <f t="shared" si="16"/>
        <v>2.8000466284754202</v>
      </c>
      <c r="AA31">
        <f t="shared" si="17"/>
        <v>4.2832368885843932</v>
      </c>
      <c r="AB31">
        <f t="shared" si="18"/>
        <v>1.4607457593922764</v>
      </c>
      <c r="AC31">
        <f t="shared" si="19"/>
        <v>-224.26021879085587</v>
      </c>
      <c r="AD31">
        <f t="shared" si="20"/>
        <v>14.578568304432572</v>
      </c>
      <c r="AE31">
        <f t="shared" si="21"/>
        <v>1.0973580838736423</v>
      </c>
      <c r="AF31">
        <f t="shared" si="22"/>
        <v>135.7902063604316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51964.62481657516</v>
      </c>
      <c r="AL31" t="s">
        <v>415</v>
      </c>
      <c r="AM31">
        <v>7133.88</v>
      </c>
      <c r="AN31">
        <v>306.28384615384618</v>
      </c>
      <c r="AO31">
        <v>859.63916333292491</v>
      </c>
      <c r="AP31">
        <f t="shared" si="26"/>
        <v>0.64370650010133712</v>
      </c>
      <c r="AQ31">
        <v>-0.73746743666429193</v>
      </c>
      <c r="AR31" t="s">
        <v>484</v>
      </c>
      <c r="AS31">
        <v>7144.93</v>
      </c>
      <c r="AT31">
        <v>654.35423076923075</v>
      </c>
      <c r="AU31">
        <v>1010.009337797504</v>
      </c>
      <c r="AV31">
        <f t="shared" si="27"/>
        <v>0.35213051376716908</v>
      </c>
      <c r="AW31">
        <v>0.5</v>
      </c>
      <c r="AX31">
        <f t="shared" si="28"/>
        <v>1513.2095993814905</v>
      </c>
      <c r="AY31">
        <f t="shared" si="29"/>
        <v>56.122275503308671</v>
      </c>
      <c r="AZ31">
        <f t="shared" si="30"/>
        <v>266.42363683380819</v>
      </c>
      <c r="BA31">
        <f t="shared" si="31"/>
        <v>3.757558963623666E-2</v>
      </c>
      <c r="BB31">
        <f t="shared" si="32"/>
        <v>-0.14887998440933892</v>
      </c>
      <c r="BC31">
        <f t="shared" si="33"/>
        <v>323.4407513348433</v>
      </c>
      <c r="BD31" t="s">
        <v>485</v>
      </c>
      <c r="BE31">
        <v>475.07</v>
      </c>
      <c r="BF31">
        <f t="shared" si="34"/>
        <v>475.07</v>
      </c>
      <c r="BG31">
        <f t="shared" si="35"/>
        <v>0.5296380120247498</v>
      </c>
      <c r="BH31">
        <f t="shared" si="36"/>
        <v>0.66485128667599114</v>
      </c>
      <c r="BI31">
        <f t="shared" si="37"/>
        <v>-0.39100944329850579</v>
      </c>
      <c r="BJ31">
        <f t="shared" si="38"/>
        <v>0.50538897801980531</v>
      </c>
      <c r="BK31">
        <f t="shared" si="39"/>
        <v>-0.27174253105788049</v>
      </c>
      <c r="BL31">
        <f t="shared" si="40"/>
        <v>0.48269100421321087</v>
      </c>
      <c r="BM31">
        <f t="shared" si="41"/>
        <v>0.51730899578678913</v>
      </c>
      <c r="BN31">
        <v>20726</v>
      </c>
      <c r="BO31">
        <v>290.00000000000011</v>
      </c>
      <c r="BP31">
        <v>907.38</v>
      </c>
      <c r="BQ31">
        <v>295</v>
      </c>
      <c r="BR31">
        <v>7144.93</v>
      </c>
      <c r="BS31">
        <v>909.04</v>
      </c>
      <c r="BT31">
        <v>-1.66</v>
      </c>
      <c r="BU31">
        <v>300.00000000000011</v>
      </c>
      <c r="BV31">
        <v>38.299999999999997</v>
      </c>
      <c r="BW31">
        <v>1010.009337797504</v>
      </c>
      <c r="BX31">
        <v>1.5082449175074011</v>
      </c>
      <c r="BY31">
        <v>-72.145165813140395</v>
      </c>
      <c r="BZ31">
        <v>0.90313115078454376</v>
      </c>
      <c r="CA31">
        <v>0.99563138490348502</v>
      </c>
      <c r="CB31">
        <v>-7.0538080088987784E-3</v>
      </c>
      <c r="CC31">
        <v>289.99999999999989</v>
      </c>
      <c r="CD31">
        <v>918.2</v>
      </c>
      <c r="CE31">
        <v>815</v>
      </c>
      <c r="CF31">
        <v>7138.31</v>
      </c>
      <c r="CG31">
        <v>908.94</v>
      </c>
      <c r="CH31">
        <v>9.26</v>
      </c>
      <c r="CV31">
        <f t="shared" si="42"/>
        <v>1800.03</v>
      </c>
      <c r="CW31">
        <f t="shared" si="43"/>
        <v>1513.2095993814905</v>
      </c>
      <c r="CX31">
        <f t="shared" si="44"/>
        <v>0.84065798868990549</v>
      </c>
      <c r="CY31">
        <f t="shared" si="45"/>
        <v>0.19131597737981104</v>
      </c>
      <c r="CZ31">
        <v>5.79</v>
      </c>
      <c r="DA31">
        <v>0.5</v>
      </c>
      <c r="DB31" t="s">
        <v>418</v>
      </c>
      <c r="DC31">
        <v>2</v>
      </c>
      <c r="DD31">
        <v>1700151861.0999999</v>
      </c>
      <c r="DE31">
        <v>382.69799999999998</v>
      </c>
      <c r="DF31">
        <v>449.99099999999999</v>
      </c>
      <c r="DG31">
        <v>28.1174</v>
      </c>
      <c r="DH31">
        <v>22.39</v>
      </c>
      <c r="DI31">
        <v>387.21100000000001</v>
      </c>
      <c r="DJ31">
        <v>28.1172</v>
      </c>
      <c r="DK31">
        <v>499.63</v>
      </c>
      <c r="DL31">
        <v>99.484200000000001</v>
      </c>
      <c r="DM31">
        <v>9.9923300000000007E-2</v>
      </c>
      <c r="DN31">
        <v>30.0929</v>
      </c>
      <c r="DO31">
        <v>30.0014</v>
      </c>
      <c r="DP31">
        <v>999.9</v>
      </c>
      <c r="DQ31">
        <v>0</v>
      </c>
      <c r="DR31">
        <v>0</v>
      </c>
      <c r="DS31">
        <v>9979.3799999999992</v>
      </c>
      <c r="DT31">
        <v>0</v>
      </c>
      <c r="DU31">
        <v>212.898</v>
      </c>
      <c r="DV31">
        <v>-67.293000000000006</v>
      </c>
      <c r="DW31">
        <v>393.77</v>
      </c>
      <c r="DX31">
        <v>460.29700000000003</v>
      </c>
      <c r="DY31">
        <v>5.7274200000000004</v>
      </c>
      <c r="DZ31">
        <v>449.99099999999999</v>
      </c>
      <c r="EA31">
        <v>22.39</v>
      </c>
      <c r="EB31">
        <v>2.7972399999999999</v>
      </c>
      <c r="EC31">
        <v>2.2274500000000002</v>
      </c>
      <c r="ED31">
        <v>22.867799999999999</v>
      </c>
      <c r="EE31">
        <v>19.161100000000001</v>
      </c>
      <c r="EF31">
        <v>1800.03</v>
      </c>
      <c r="EG31">
        <v>0.97800399999999998</v>
      </c>
      <c r="EH31">
        <v>2.19963E-2</v>
      </c>
      <c r="EI31">
        <v>0</v>
      </c>
      <c r="EJ31">
        <v>654.26099999999997</v>
      </c>
      <c r="EK31">
        <v>5.0009399999999999</v>
      </c>
      <c r="EL31">
        <v>14678.5</v>
      </c>
      <c r="EM31">
        <v>13860.4</v>
      </c>
      <c r="EN31">
        <v>49.061999999999998</v>
      </c>
      <c r="EO31">
        <v>50.875</v>
      </c>
      <c r="EP31">
        <v>50.125</v>
      </c>
      <c r="EQ31">
        <v>50.186999999999998</v>
      </c>
      <c r="ER31">
        <v>50.5</v>
      </c>
      <c r="ES31">
        <v>1755.55</v>
      </c>
      <c r="ET31">
        <v>39.479999999999997</v>
      </c>
      <c r="EU31">
        <v>0</v>
      </c>
      <c r="EV31">
        <v>777</v>
      </c>
      <c r="EW31">
        <v>0</v>
      </c>
      <c r="EX31">
        <v>654.35423076923075</v>
      </c>
      <c r="EY31">
        <v>-2.3931635332562508E-2</v>
      </c>
      <c r="EZ31">
        <v>-124.25982913618989</v>
      </c>
      <c r="FA31">
        <v>14700.07692307692</v>
      </c>
      <c r="FB31">
        <v>15</v>
      </c>
      <c r="FC31">
        <v>1700151825.5999999</v>
      </c>
      <c r="FD31" t="s">
        <v>486</v>
      </c>
      <c r="FE31">
        <v>1700151825.5999999</v>
      </c>
      <c r="FF31">
        <v>1700151822.0999999</v>
      </c>
      <c r="FG31">
        <v>17</v>
      </c>
      <c r="FH31">
        <v>1E-3</v>
      </c>
      <c r="FI31">
        <v>-3.1E-2</v>
      </c>
      <c r="FJ31">
        <v>-4.7350000000000003</v>
      </c>
      <c r="FK31">
        <v>-3.0000000000000001E-3</v>
      </c>
      <c r="FL31">
        <v>450</v>
      </c>
      <c r="FM31">
        <v>22</v>
      </c>
      <c r="FN31">
        <v>0.02</v>
      </c>
      <c r="FO31">
        <v>0.02</v>
      </c>
      <c r="FP31">
        <v>56.08425060406217</v>
      </c>
      <c r="FQ31">
        <v>0.13855017464516101</v>
      </c>
      <c r="FR31">
        <v>1.9439464998197709E-2</v>
      </c>
      <c r="FS31">
        <v>1</v>
      </c>
      <c r="FT31">
        <v>0.35059815472928618</v>
      </c>
      <c r="FU31">
        <v>4.4929928559038178E-2</v>
      </c>
      <c r="FV31">
        <v>3.7487303249549371E-3</v>
      </c>
      <c r="FW31">
        <v>1</v>
      </c>
      <c r="FX31">
        <v>2</v>
      </c>
      <c r="FY31">
        <v>2</v>
      </c>
      <c r="FZ31" t="s">
        <v>420</v>
      </c>
      <c r="GA31">
        <v>3.1183900000000002</v>
      </c>
      <c r="GB31">
        <v>2.8773599999999999</v>
      </c>
      <c r="GC31">
        <v>8.4700499999999998E-2</v>
      </c>
      <c r="GD31">
        <v>9.6252400000000002E-2</v>
      </c>
      <c r="GE31">
        <v>0.126109</v>
      </c>
      <c r="GF31">
        <v>0.108026</v>
      </c>
      <c r="GG31">
        <v>26549.3</v>
      </c>
      <c r="GH31">
        <v>26812</v>
      </c>
      <c r="GI31">
        <v>26720.7</v>
      </c>
      <c r="GJ31">
        <v>27404.3</v>
      </c>
      <c r="GK31">
        <v>33413</v>
      </c>
      <c r="GL31">
        <v>34165.800000000003</v>
      </c>
      <c r="GM31">
        <v>39598.400000000001</v>
      </c>
      <c r="GN31">
        <v>39692.300000000003</v>
      </c>
      <c r="GO31">
        <v>1.97787</v>
      </c>
      <c r="GP31">
        <v>2.4243800000000002</v>
      </c>
      <c r="GQ31">
        <v>-5.4392999999999997E-2</v>
      </c>
      <c r="GR31">
        <v>0</v>
      </c>
      <c r="GS31">
        <v>30.885899999999999</v>
      </c>
      <c r="GT31">
        <v>999.9</v>
      </c>
      <c r="GU31">
        <v>38.799999999999997</v>
      </c>
      <c r="GV31">
        <v>43.6</v>
      </c>
      <c r="GW31">
        <v>34.958199999999998</v>
      </c>
      <c r="GX31">
        <v>63.322400000000002</v>
      </c>
      <c r="GY31">
        <v>7.5520899999999997</v>
      </c>
      <c r="GZ31">
        <v>3</v>
      </c>
      <c r="HA31">
        <v>0.63350099999999998</v>
      </c>
      <c r="HB31">
        <v>5.0759299999999996</v>
      </c>
      <c r="HC31">
        <v>20.221499999999999</v>
      </c>
      <c r="HD31">
        <v>5.2114500000000001</v>
      </c>
      <c r="HE31">
        <v>11.9114</v>
      </c>
      <c r="HF31">
        <v>4.9958499999999999</v>
      </c>
      <c r="HG31">
        <v>3.3022999999999998</v>
      </c>
      <c r="HH31">
        <v>9999</v>
      </c>
      <c r="HI31">
        <v>9999</v>
      </c>
      <c r="HJ31">
        <v>9999</v>
      </c>
      <c r="HK31">
        <v>999.9</v>
      </c>
      <c r="HL31">
        <v>1.8849199999999999</v>
      </c>
      <c r="HM31">
        <v>1.8855200000000001</v>
      </c>
      <c r="HN31">
        <v>1.8816200000000001</v>
      </c>
      <c r="HO31">
        <v>1.8832599999999999</v>
      </c>
      <c r="HP31">
        <v>1.88009</v>
      </c>
      <c r="HQ31">
        <v>1.88354</v>
      </c>
      <c r="HR31">
        <v>1.87958</v>
      </c>
      <c r="HS31">
        <v>1.8818900000000001</v>
      </c>
      <c r="HT31">
        <v>5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423</v>
      </c>
      <c r="IB31" t="s">
        <v>423</v>
      </c>
      <c r="IC31" t="s">
        <v>423</v>
      </c>
      <c r="ID31">
        <v>0</v>
      </c>
      <c r="IE31">
        <v>100</v>
      </c>
      <c r="IF31">
        <v>100</v>
      </c>
      <c r="IG31">
        <v>-4.5129999999999999</v>
      </c>
      <c r="IH31">
        <v>2.0000000000000001E-4</v>
      </c>
      <c r="II31">
        <v>-3.1321686194998208</v>
      </c>
      <c r="IJ31">
        <v>-3.7794827560518689E-3</v>
      </c>
      <c r="IK31">
        <v>4.9551128961100493E-7</v>
      </c>
      <c r="IL31">
        <v>1.3680294268397379E-10</v>
      </c>
      <c r="IM31">
        <v>2.7148687078071282E-4</v>
      </c>
      <c r="IN31">
        <v>0</v>
      </c>
      <c r="IO31">
        <v>0</v>
      </c>
      <c r="IP31">
        <v>0</v>
      </c>
      <c r="IQ31">
        <v>4</v>
      </c>
      <c r="IR31">
        <v>2229</v>
      </c>
      <c r="IS31">
        <v>1</v>
      </c>
      <c r="IT31">
        <v>22</v>
      </c>
      <c r="IU31">
        <v>0.6</v>
      </c>
      <c r="IV31">
        <v>0.7</v>
      </c>
      <c r="IW31">
        <v>1.6638200000000001</v>
      </c>
      <c r="IX31">
        <v>2.5842299999999998</v>
      </c>
      <c r="IY31">
        <v>2.9956100000000001</v>
      </c>
      <c r="IZ31">
        <v>2.9577599999999999</v>
      </c>
      <c r="JA31">
        <v>3.1970200000000002</v>
      </c>
      <c r="JB31">
        <v>2.4841299999999999</v>
      </c>
      <c r="JC31">
        <v>50.607599999999998</v>
      </c>
      <c r="JD31">
        <v>23.544599999999999</v>
      </c>
      <c r="JE31">
        <v>18</v>
      </c>
      <c r="JF31">
        <v>529.29999999999995</v>
      </c>
      <c r="JG31">
        <v>1113.81</v>
      </c>
      <c r="JH31">
        <v>23.6661</v>
      </c>
      <c r="JI31">
        <v>34.910400000000003</v>
      </c>
      <c r="JJ31">
        <v>30.000499999999999</v>
      </c>
      <c r="JK31">
        <v>34.7851</v>
      </c>
      <c r="JL31">
        <v>34.673699999999997</v>
      </c>
      <c r="JM31">
        <v>33.346600000000002</v>
      </c>
      <c r="JN31">
        <v>33.9587</v>
      </c>
      <c r="JO31">
        <v>0</v>
      </c>
      <c r="JP31">
        <v>23.655999999999999</v>
      </c>
      <c r="JQ31">
        <v>450</v>
      </c>
      <c r="JR31">
        <v>22.262899999999998</v>
      </c>
      <c r="JS31">
        <v>98.691500000000005</v>
      </c>
      <c r="JT31">
        <v>97.101699999999994</v>
      </c>
    </row>
    <row r="32" spans="1:280" x14ac:dyDescent="0.25">
      <c r="A32">
        <v>16</v>
      </c>
      <c r="B32">
        <v>1700152025.0999999</v>
      </c>
      <c r="C32">
        <v>3043.599999904633</v>
      </c>
      <c r="D32" t="s">
        <v>487</v>
      </c>
      <c r="E32" t="s">
        <v>488</v>
      </c>
      <c r="F32" t="s">
        <v>412</v>
      </c>
      <c r="G32" t="s">
        <v>482</v>
      </c>
      <c r="H32" t="s">
        <v>483</v>
      </c>
      <c r="I32">
        <v>1700152025.0999999</v>
      </c>
      <c r="J32">
        <f t="shared" si="0"/>
        <v>4.6912562971257593E-3</v>
      </c>
      <c r="K32">
        <f t="shared" si="1"/>
        <v>4.6912562971257596</v>
      </c>
      <c r="L32">
        <f t="shared" si="2"/>
        <v>60.746896123607037</v>
      </c>
      <c r="M32">
        <f t="shared" si="3"/>
        <v>1421.82</v>
      </c>
      <c r="N32">
        <f t="shared" si="4"/>
        <v>1060.7833927601712</v>
      </c>
      <c r="O32">
        <f t="shared" si="5"/>
        <v>105.63104828984247</v>
      </c>
      <c r="P32">
        <f t="shared" si="6"/>
        <v>141.58247395697998</v>
      </c>
      <c r="Q32">
        <f t="shared" si="7"/>
        <v>0.30965711563248244</v>
      </c>
      <c r="R32">
        <f t="shared" si="8"/>
        <v>2.9571390816084397</v>
      </c>
      <c r="S32">
        <f t="shared" si="9"/>
        <v>0.29270472653761348</v>
      </c>
      <c r="T32">
        <f t="shared" si="10"/>
        <v>0.18438617909779398</v>
      </c>
      <c r="U32">
        <f t="shared" si="11"/>
        <v>344.35549876291253</v>
      </c>
      <c r="V32">
        <f t="shared" si="12"/>
        <v>30.756914161885632</v>
      </c>
      <c r="W32">
        <f t="shared" si="13"/>
        <v>30.024799999999999</v>
      </c>
      <c r="X32">
        <f t="shared" si="14"/>
        <v>4.2665225161158595</v>
      </c>
      <c r="Y32">
        <f t="shared" si="15"/>
        <v>64.163834214430921</v>
      </c>
      <c r="Z32">
        <f t="shared" si="16"/>
        <v>2.7265943314945997</v>
      </c>
      <c r="AA32">
        <f t="shared" si="17"/>
        <v>4.249425497831874</v>
      </c>
      <c r="AB32">
        <f t="shared" si="18"/>
        <v>1.5399281846212598</v>
      </c>
      <c r="AC32">
        <f t="shared" si="19"/>
        <v>-206.884402703246</v>
      </c>
      <c r="AD32">
        <f t="shared" si="20"/>
        <v>-11.143827223520509</v>
      </c>
      <c r="AE32">
        <f t="shared" si="21"/>
        <v>-0.8378341786708382</v>
      </c>
      <c r="AF32">
        <f t="shared" si="22"/>
        <v>125.48943465747519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52038.188027110155</v>
      </c>
      <c r="AL32" t="s">
        <v>431</v>
      </c>
      <c r="AM32" t="s">
        <v>431</v>
      </c>
      <c r="AN32">
        <v>0</v>
      </c>
      <c r="AO32">
        <v>0</v>
      </c>
      <c r="AP32" t="e">
        <f t="shared" si="26"/>
        <v>#DIV/0!</v>
      </c>
      <c r="AQ32">
        <v>0</v>
      </c>
      <c r="AR32" t="s">
        <v>431</v>
      </c>
      <c r="AS32" t="s">
        <v>431</v>
      </c>
      <c r="AT32">
        <v>0</v>
      </c>
      <c r="AU32">
        <v>0</v>
      </c>
      <c r="AV32" t="e">
        <f t="shared" si="27"/>
        <v>#DIV/0!</v>
      </c>
      <c r="AW32">
        <v>0.5</v>
      </c>
      <c r="AX32">
        <f t="shared" si="28"/>
        <v>1513.1255993814561</v>
      </c>
      <c r="AY32">
        <f t="shared" si="29"/>
        <v>60.746896123607037</v>
      </c>
      <c r="AZ32" t="e">
        <f t="shared" si="30"/>
        <v>#DIV/0!</v>
      </c>
      <c r="BA32">
        <f t="shared" si="31"/>
        <v>4.014663167977562E-2</v>
      </c>
      <c r="BB32" t="e">
        <f t="shared" si="32"/>
        <v>#DIV/0!</v>
      </c>
      <c r="BC32" t="e">
        <f t="shared" si="33"/>
        <v>#DIV/0!</v>
      </c>
      <c r="BD32" t="s">
        <v>431</v>
      </c>
      <c r="BE32">
        <v>0</v>
      </c>
      <c r="BF32" t="e">
        <f t="shared" si="34"/>
        <v>#DIV/0!</v>
      </c>
      <c r="BG32" t="e">
        <f t="shared" si="35"/>
        <v>#DIV/0!</v>
      </c>
      <c r="BH32" t="e">
        <f t="shared" si="36"/>
        <v>#DIV/0!</v>
      </c>
      <c r="BI32" t="e">
        <f t="shared" si="37"/>
        <v>#DIV/0!</v>
      </c>
      <c r="BJ32" t="e">
        <f t="shared" si="38"/>
        <v>#DIV/0!</v>
      </c>
      <c r="BK32" t="e">
        <f t="shared" si="39"/>
        <v>#DIV/0!</v>
      </c>
      <c r="BL32" t="e">
        <f t="shared" si="40"/>
        <v>#DIV/0!</v>
      </c>
      <c r="BM32" t="e">
        <f t="shared" si="41"/>
        <v>#DIV/0!</v>
      </c>
      <c r="BN32">
        <v>20726</v>
      </c>
      <c r="BO32">
        <v>290.00000000000011</v>
      </c>
      <c r="BP32">
        <v>907.38</v>
      </c>
      <c r="BQ32">
        <v>295</v>
      </c>
      <c r="BR32">
        <v>7144.93</v>
      </c>
      <c r="BS32">
        <v>909.04</v>
      </c>
      <c r="BT32">
        <v>-1.66</v>
      </c>
      <c r="BU32">
        <v>300.00000000000011</v>
      </c>
      <c r="BV32">
        <v>38.299999999999997</v>
      </c>
      <c r="BW32">
        <v>1010.009337797504</v>
      </c>
      <c r="BX32">
        <v>1.5082449175074011</v>
      </c>
      <c r="BY32">
        <v>-72.145165813140395</v>
      </c>
      <c r="BZ32">
        <v>0.90313115078454376</v>
      </c>
      <c r="CA32">
        <v>0.99563138490348502</v>
      </c>
      <c r="CB32">
        <v>-7.0538080088987784E-3</v>
      </c>
      <c r="CC32">
        <v>289.99999999999989</v>
      </c>
      <c r="CD32">
        <v>918.2</v>
      </c>
      <c r="CE32">
        <v>815</v>
      </c>
      <c r="CF32">
        <v>7138.31</v>
      </c>
      <c r="CG32">
        <v>908.94</v>
      </c>
      <c r="CH32">
        <v>9.26</v>
      </c>
      <c r="CV32">
        <f t="shared" si="42"/>
        <v>1799.93</v>
      </c>
      <c r="CW32">
        <f t="shared" si="43"/>
        <v>1513.1255993814561</v>
      </c>
      <c r="CX32">
        <f t="shared" si="44"/>
        <v>0.84065802524623523</v>
      </c>
      <c r="CY32">
        <f t="shared" si="45"/>
        <v>0.19131605049247055</v>
      </c>
      <c r="CZ32">
        <v>5.79</v>
      </c>
      <c r="DA32">
        <v>0.5</v>
      </c>
      <c r="DB32" t="s">
        <v>418</v>
      </c>
      <c r="DC32">
        <v>2</v>
      </c>
      <c r="DD32">
        <v>1700152025.0999999</v>
      </c>
      <c r="DE32">
        <v>1421.82</v>
      </c>
      <c r="DF32">
        <v>1499.89</v>
      </c>
      <c r="DG32">
        <v>27.381399999999999</v>
      </c>
      <c r="DH32">
        <v>22.0976</v>
      </c>
      <c r="DI32">
        <v>1429.48</v>
      </c>
      <c r="DJ32">
        <v>27.3781</v>
      </c>
      <c r="DK32">
        <v>499.99299999999999</v>
      </c>
      <c r="DL32">
        <v>99.478099999999998</v>
      </c>
      <c r="DM32">
        <v>0.10023899999999999</v>
      </c>
      <c r="DN32">
        <v>29.954899999999999</v>
      </c>
      <c r="DO32">
        <v>30.024799999999999</v>
      </c>
      <c r="DP32">
        <v>999.9</v>
      </c>
      <c r="DQ32">
        <v>0</v>
      </c>
      <c r="DR32">
        <v>0</v>
      </c>
      <c r="DS32">
        <v>9990</v>
      </c>
      <c r="DT32">
        <v>0</v>
      </c>
      <c r="DU32">
        <v>208.155</v>
      </c>
      <c r="DV32">
        <v>-78.074700000000007</v>
      </c>
      <c r="DW32">
        <v>1461.85</v>
      </c>
      <c r="DX32">
        <v>1533.79</v>
      </c>
      <c r="DY32">
        <v>5.2837199999999998</v>
      </c>
      <c r="DZ32">
        <v>1499.89</v>
      </c>
      <c r="EA32">
        <v>22.0976</v>
      </c>
      <c r="EB32">
        <v>2.7238500000000001</v>
      </c>
      <c r="EC32">
        <v>2.1982300000000001</v>
      </c>
      <c r="ED32">
        <v>22.4297</v>
      </c>
      <c r="EE32">
        <v>18.949400000000001</v>
      </c>
      <c r="EF32">
        <v>1799.93</v>
      </c>
      <c r="EG32">
        <v>0.97800399999999998</v>
      </c>
      <c r="EH32">
        <v>2.19963E-2</v>
      </c>
      <c r="EI32">
        <v>0</v>
      </c>
      <c r="EJ32">
        <v>647.58600000000001</v>
      </c>
      <c r="EK32">
        <v>5.0009399999999999</v>
      </c>
      <c r="EL32">
        <v>13726.7</v>
      </c>
      <c r="EM32">
        <v>13859.6</v>
      </c>
      <c r="EN32">
        <v>49</v>
      </c>
      <c r="EO32">
        <v>50.875</v>
      </c>
      <c r="EP32">
        <v>50.061999999999998</v>
      </c>
      <c r="EQ32">
        <v>50.125</v>
      </c>
      <c r="ER32">
        <v>50.436999999999998</v>
      </c>
      <c r="ES32">
        <v>1755.45</v>
      </c>
      <c r="ET32">
        <v>39.479999999999997</v>
      </c>
      <c r="EU32">
        <v>0</v>
      </c>
      <c r="EV32">
        <v>162.19999980926511</v>
      </c>
      <c r="EW32">
        <v>0</v>
      </c>
      <c r="EX32">
        <v>647.8591923076923</v>
      </c>
      <c r="EY32">
        <v>-2.0304615368517238</v>
      </c>
      <c r="EZ32">
        <v>-132.98803419551601</v>
      </c>
      <c r="FA32">
        <v>13751.565384615389</v>
      </c>
      <c r="FB32">
        <v>15</v>
      </c>
      <c r="FC32">
        <v>1700151980.5999999</v>
      </c>
      <c r="FD32" t="s">
        <v>489</v>
      </c>
      <c r="FE32">
        <v>1700151977.0999999</v>
      </c>
      <c r="FF32">
        <v>1700151980.5999999</v>
      </c>
      <c r="FG32">
        <v>18</v>
      </c>
      <c r="FH32">
        <v>-0.54</v>
      </c>
      <c r="FI32">
        <v>3.0000000000000001E-3</v>
      </c>
      <c r="FJ32">
        <v>-7.7759999999999998</v>
      </c>
      <c r="FK32">
        <v>3.0000000000000001E-3</v>
      </c>
      <c r="FL32">
        <v>1500</v>
      </c>
      <c r="FM32">
        <v>23</v>
      </c>
      <c r="FN32">
        <v>0.05</v>
      </c>
      <c r="FO32">
        <v>0.03</v>
      </c>
      <c r="FP32">
        <v>60.469226936630712</v>
      </c>
      <c r="FQ32">
        <v>0.32789852564194638</v>
      </c>
      <c r="FR32">
        <v>7.170493165568248E-2</v>
      </c>
      <c r="FS32">
        <v>1</v>
      </c>
      <c r="FT32">
        <v>0.3262511746858055</v>
      </c>
      <c r="FU32">
        <v>2.414358422567579E-2</v>
      </c>
      <c r="FV32">
        <v>8.4875155400767604E-3</v>
      </c>
      <c r="FW32">
        <v>1</v>
      </c>
      <c r="FX32">
        <v>2</v>
      </c>
      <c r="FY32">
        <v>2</v>
      </c>
      <c r="FZ32" t="s">
        <v>420</v>
      </c>
      <c r="GA32">
        <v>3.1187299999999998</v>
      </c>
      <c r="GB32">
        <v>2.8777699999999999</v>
      </c>
      <c r="GC32">
        <v>0.20680000000000001</v>
      </c>
      <c r="GD32">
        <v>0.215196</v>
      </c>
      <c r="GE32">
        <v>0.123721</v>
      </c>
      <c r="GF32">
        <v>0.106979</v>
      </c>
      <c r="GG32">
        <v>22998.400000000001</v>
      </c>
      <c r="GH32">
        <v>23274.799999999999</v>
      </c>
      <c r="GI32">
        <v>26715.3</v>
      </c>
      <c r="GJ32">
        <v>27400.5</v>
      </c>
      <c r="GK32">
        <v>33508.400000000001</v>
      </c>
      <c r="GL32">
        <v>34211.199999999997</v>
      </c>
      <c r="GM32">
        <v>39591</v>
      </c>
      <c r="GN32">
        <v>39687.1</v>
      </c>
      <c r="GO32">
        <v>1.9775700000000001</v>
      </c>
      <c r="GP32">
        <v>2.4209000000000001</v>
      </c>
      <c r="GQ32">
        <v>-5.3837900000000001E-2</v>
      </c>
      <c r="GR32">
        <v>0</v>
      </c>
      <c r="GS32">
        <v>30.900200000000002</v>
      </c>
      <c r="GT32">
        <v>999.9</v>
      </c>
      <c r="GU32">
        <v>38.200000000000003</v>
      </c>
      <c r="GV32">
        <v>44</v>
      </c>
      <c r="GW32">
        <v>35.1462</v>
      </c>
      <c r="GX32">
        <v>63.452500000000001</v>
      </c>
      <c r="GY32">
        <v>7.46394</v>
      </c>
      <c r="GZ32">
        <v>3</v>
      </c>
      <c r="HA32">
        <v>0.64242100000000002</v>
      </c>
      <c r="HB32">
        <v>5.1712999999999996</v>
      </c>
      <c r="HC32">
        <v>20.2194</v>
      </c>
      <c r="HD32">
        <v>5.2085999999999997</v>
      </c>
      <c r="HE32">
        <v>11.9131</v>
      </c>
      <c r="HF32">
        <v>4.9955999999999996</v>
      </c>
      <c r="HG32">
        <v>3.30233</v>
      </c>
      <c r="HH32">
        <v>9999</v>
      </c>
      <c r="HI32">
        <v>9999</v>
      </c>
      <c r="HJ32">
        <v>9999</v>
      </c>
      <c r="HK32">
        <v>999.9</v>
      </c>
      <c r="HL32">
        <v>1.8849199999999999</v>
      </c>
      <c r="HM32">
        <v>1.8855200000000001</v>
      </c>
      <c r="HN32">
        <v>1.8816200000000001</v>
      </c>
      <c r="HO32">
        <v>1.8832800000000001</v>
      </c>
      <c r="HP32">
        <v>1.8800699999999999</v>
      </c>
      <c r="HQ32">
        <v>1.8835500000000001</v>
      </c>
      <c r="HR32">
        <v>1.87958</v>
      </c>
      <c r="HS32">
        <v>1.8819900000000001</v>
      </c>
      <c r="HT32">
        <v>5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423</v>
      </c>
      <c r="IB32" t="s">
        <v>423</v>
      </c>
      <c r="IC32" t="s">
        <v>423</v>
      </c>
      <c r="ID32">
        <v>0</v>
      </c>
      <c r="IE32">
        <v>100</v>
      </c>
      <c r="IF32">
        <v>100</v>
      </c>
      <c r="IG32">
        <v>-7.66</v>
      </c>
      <c r="IH32">
        <v>3.3E-3</v>
      </c>
      <c r="II32">
        <v>-3.672809120984363</v>
      </c>
      <c r="IJ32">
        <v>-3.7794827560518689E-3</v>
      </c>
      <c r="IK32">
        <v>4.9551128961100493E-7</v>
      </c>
      <c r="IL32">
        <v>1.3680294268397379E-10</v>
      </c>
      <c r="IM32">
        <v>3.2100000000028221E-3</v>
      </c>
      <c r="IN32">
        <v>0</v>
      </c>
      <c r="IO32">
        <v>0</v>
      </c>
      <c r="IP32">
        <v>0</v>
      </c>
      <c r="IQ32">
        <v>4</v>
      </c>
      <c r="IR32">
        <v>2229</v>
      </c>
      <c r="IS32">
        <v>1</v>
      </c>
      <c r="IT32">
        <v>22</v>
      </c>
      <c r="IU32">
        <v>0.8</v>
      </c>
      <c r="IV32">
        <v>0.7</v>
      </c>
      <c r="IW32">
        <v>4.375</v>
      </c>
      <c r="IX32">
        <v>2.5402800000000001</v>
      </c>
      <c r="IY32">
        <v>2.9956100000000001</v>
      </c>
      <c r="IZ32">
        <v>2.9577599999999999</v>
      </c>
      <c r="JA32">
        <v>3.1970200000000002</v>
      </c>
      <c r="JB32">
        <v>2.51953</v>
      </c>
      <c r="JC32">
        <v>50.869300000000003</v>
      </c>
      <c r="JD32">
        <v>23.544599999999999</v>
      </c>
      <c r="JE32">
        <v>18</v>
      </c>
      <c r="JF32">
        <v>529.93100000000004</v>
      </c>
      <c r="JG32">
        <v>1110.8399999999999</v>
      </c>
      <c r="JH32">
        <v>23.467199999999998</v>
      </c>
      <c r="JI32">
        <v>35.042999999999999</v>
      </c>
      <c r="JJ32">
        <v>30.002099999999999</v>
      </c>
      <c r="JK32">
        <v>34.887900000000002</v>
      </c>
      <c r="JL32">
        <v>34.767899999999997</v>
      </c>
      <c r="JM32">
        <v>87.6571</v>
      </c>
      <c r="JN32">
        <v>34.902299999999997</v>
      </c>
      <c r="JO32">
        <v>0</v>
      </c>
      <c r="JP32">
        <v>23.400200000000002</v>
      </c>
      <c r="JQ32">
        <v>1500</v>
      </c>
      <c r="JR32">
        <v>22.338100000000001</v>
      </c>
      <c r="JS32">
        <v>98.672600000000003</v>
      </c>
      <c r="JT32">
        <v>97.088800000000006</v>
      </c>
    </row>
    <row r="33" spans="1:280" x14ac:dyDescent="0.25">
      <c r="A33">
        <v>17</v>
      </c>
      <c r="B33">
        <v>1700152166.0999999</v>
      </c>
      <c r="C33">
        <v>3184.599999904633</v>
      </c>
      <c r="D33" t="s">
        <v>490</v>
      </c>
      <c r="E33" t="s">
        <v>491</v>
      </c>
      <c r="F33" t="s">
        <v>412</v>
      </c>
      <c r="G33" t="s">
        <v>482</v>
      </c>
      <c r="H33" t="s">
        <v>483</v>
      </c>
      <c r="I33">
        <v>1700152166.0999999</v>
      </c>
      <c r="J33">
        <f t="shared" si="0"/>
        <v>3.3018971995342531E-3</v>
      </c>
      <c r="K33">
        <f t="shared" si="1"/>
        <v>3.301897199534253</v>
      </c>
      <c r="L33">
        <f t="shared" si="2"/>
        <v>60.785644358978644</v>
      </c>
      <c r="M33">
        <f t="shared" si="3"/>
        <v>1175.08</v>
      </c>
      <c r="N33">
        <f t="shared" si="4"/>
        <v>688.06236162317862</v>
      </c>
      <c r="O33">
        <f t="shared" si="5"/>
        <v>68.512165189583726</v>
      </c>
      <c r="P33">
        <f t="shared" si="6"/>
        <v>117.00578255879998</v>
      </c>
      <c r="Q33">
        <f t="shared" si="7"/>
        <v>0.2171087637524661</v>
      </c>
      <c r="R33">
        <f t="shared" si="8"/>
        <v>2.9584904426322503</v>
      </c>
      <c r="S33">
        <f t="shared" si="9"/>
        <v>0.20862990627082598</v>
      </c>
      <c r="T33">
        <f t="shared" si="10"/>
        <v>0.13112789270818048</v>
      </c>
      <c r="U33">
        <f t="shared" si="11"/>
        <v>344.3459987628782</v>
      </c>
      <c r="V33">
        <f t="shared" si="12"/>
        <v>30.989223061297508</v>
      </c>
      <c r="W33">
        <f t="shared" si="13"/>
        <v>29.974499999999999</v>
      </c>
      <c r="X33">
        <f t="shared" si="14"/>
        <v>4.2542134768596336</v>
      </c>
      <c r="Y33">
        <f t="shared" si="15"/>
        <v>64.791877704949798</v>
      </c>
      <c r="Z33">
        <f t="shared" si="16"/>
        <v>2.733616648635</v>
      </c>
      <c r="AA33">
        <f t="shared" si="17"/>
        <v>4.2190730465991182</v>
      </c>
      <c r="AB33">
        <f t="shared" si="18"/>
        <v>1.5205968282246336</v>
      </c>
      <c r="AC33">
        <f t="shared" si="19"/>
        <v>-145.61366649946055</v>
      </c>
      <c r="AD33">
        <f t="shared" si="20"/>
        <v>-23.015581132041927</v>
      </c>
      <c r="AE33">
        <f t="shared" si="21"/>
        <v>-1.7281082163643087</v>
      </c>
      <c r="AF33">
        <f t="shared" si="22"/>
        <v>173.98864291501141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52097.221708665573</v>
      </c>
      <c r="AL33" t="s">
        <v>415</v>
      </c>
      <c r="AM33">
        <v>7133.88</v>
      </c>
      <c r="AN33">
        <v>306.28384615384618</v>
      </c>
      <c r="AO33">
        <v>859.63916333292491</v>
      </c>
      <c r="AP33">
        <f t="shared" si="26"/>
        <v>0.64370650010133712</v>
      </c>
      <c r="AQ33">
        <v>-0.73746743666429193</v>
      </c>
      <c r="AR33" t="s">
        <v>492</v>
      </c>
      <c r="AS33">
        <v>7144.94</v>
      </c>
      <c r="AT33">
        <v>647.85955999999987</v>
      </c>
      <c r="AU33">
        <v>1054.5607413701439</v>
      </c>
      <c r="AV33">
        <f t="shared" si="27"/>
        <v>0.38565932280177173</v>
      </c>
      <c r="AW33">
        <v>0.5</v>
      </c>
      <c r="AX33">
        <f t="shared" si="28"/>
        <v>1513.0835993814389</v>
      </c>
      <c r="AY33">
        <f t="shared" si="29"/>
        <v>60.785644358978644</v>
      </c>
      <c r="AZ33">
        <f t="shared" si="30"/>
        <v>291.76739813995653</v>
      </c>
      <c r="BA33">
        <f t="shared" si="31"/>
        <v>4.0660748567226616E-2</v>
      </c>
      <c r="BB33">
        <f t="shared" si="32"/>
        <v>-0.18483674803213898</v>
      </c>
      <c r="BC33">
        <f t="shared" si="33"/>
        <v>327.87652587791257</v>
      </c>
      <c r="BD33" t="s">
        <v>493</v>
      </c>
      <c r="BE33">
        <v>481.73</v>
      </c>
      <c r="BF33">
        <f t="shared" si="34"/>
        <v>481.73</v>
      </c>
      <c r="BG33">
        <f t="shared" si="35"/>
        <v>0.54319369088772484</v>
      </c>
      <c r="BH33">
        <f t="shared" si="36"/>
        <v>0.70998490827737792</v>
      </c>
      <c r="BI33">
        <f t="shared" si="37"/>
        <v>-0.51578949903762938</v>
      </c>
      <c r="BJ33">
        <f t="shared" si="38"/>
        <v>0.54351695738591865</v>
      </c>
      <c r="BK33">
        <f t="shared" si="39"/>
        <v>-0.35225391712308746</v>
      </c>
      <c r="BL33">
        <f t="shared" si="40"/>
        <v>0.52792464753389046</v>
      </c>
      <c r="BM33">
        <f t="shared" si="41"/>
        <v>0.47207535246610954</v>
      </c>
      <c r="BN33">
        <v>20728</v>
      </c>
      <c r="BO33">
        <v>290.00000000000011</v>
      </c>
      <c r="BP33">
        <v>932.67</v>
      </c>
      <c r="BQ33">
        <v>285</v>
      </c>
      <c r="BR33">
        <v>7144.94</v>
      </c>
      <c r="BS33">
        <v>934.76</v>
      </c>
      <c r="BT33">
        <v>-2.09</v>
      </c>
      <c r="BU33">
        <v>300.00000000000011</v>
      </c>
      <c r="BV33">
        <v>38.299999999999997</v>
      </c>
      <c r="BW33">
        <v>1054.5607413701439</v>
      </c>
      <c r="BX33">
        <v>1.6931210659571789</v>
      </c>
      <c r="BY33">
        <v>-85.593653265370136</v>
      </c>
      <c r="BZ33">
        <v>1.013833024168733</v>
      </c>
      <c r="CA33">
        <v>0.996087043108832</v>
      </c>
      <c r="CB33">
        <v>-7.0540387096774248E-3</v>
      </c>
      <c r="CC33">
        <v>289.99999999999989</v>
      </c>
      <c r="CD33">
        <v>942</v>
      </c>
      <c r="CE33">
        <v>865</v>
      </c>
      <c r="CF33">
        <v>7137.65</v>
      </c>
      <c r="CG33">
        <v>934.64</v>
      </c>
      <c r="CH33">
        <v>7.36</v>
      </c>
      <c r="CV33">
        <f t="shared" si="42"/>
        <v>1799.88</v>
      </c>
      <c r="CW33">
        <f t="shared" si="43"/>
        <v>1513.0835993814389</v>
      </c>
      <c r="CX33">
        <f t="shared" si="44"/>
        <v>0.84065804352592333</v>
      </c>
      <c r="CY33">
        <f t="shared" si="45"/>
        <v>0.19131608705184688</v>
      </c>
      <c r="CZ33">
        <v>5.79</v>
      </c>
      <c r="DA33">
        <v>0.5</v>
      </c>
      <c r="DB33" t="s">
        <v>418</v>
      </c>
      <c r="DC33">
        <v>2</v>
      </c>
      <c r="DD33">
        <v>1700152166.0999999</v>
      </c>
      <c r="DE33">
        <v>1175.08</v>
      </c>
      <c r="DF33">
        <v>1249.92</v>
      </c>
      <c r="DG33">
        <v>27.453499999999998</v>
      </c>
      <c r="DH33">
        <v>23.736999999999998</v>
      </c>
      <c r="DI33">
        <v>1182.3399999999999</v>
      </c>
      <c r="DJ33">
        <v>27.441500000000001</v>
      </c>
      <c r="DK33">
        <v>500.286</v>
      </c>
      <c r="DL33">
        <v>99.472399999999993</v>
      </c>
      <c r="DM33">
        <v>0.10020999999999999</v>
      </c>
      <c r="DN33">
        <v>29.830200000000001</v>
      </c>
      <c r="DO33">
        <v>29.974499999999999</v>
      </c>
      <c r="DP33">
        <v>999.9</v>
      </c>
      <c r="DQ33">
        <v>0</v>
      </c>
      <c r="DR33">
        <v>0</v>
      </c>
      <c r="DS33">
        <v>9998.1200000000008</v>
      </c>
      <c r="DT33">
        <v>0</v>
      </c>
      <c r="DU33">
        <v>167.91499999999999</v>
      </c>
      <c r="DV33">
        <v>-74.8459</v>
      </c>
      <c r="DW33">
        <v>1208.25</v>
      </c>
      <c r="DX33">
        <v>1280.31</v>
      </c>
      <c r="DY33">
        <v>3.7165900000000001</v>
      </c>
      <c r="DZ33">
        <v>1249.92</v>
      </c>
      <c r="EA33">
        <v>23.736999999999998</v>
      </c>
      <c r="EB33">
        <v>2.7308699999999999</v>
      </c>
      <c r="EC33">
        <v>2.36117</v>
      </c>
      <c r="ED33">
        <v>22.472100000000001</v>
      </c>
      <c r="EE33">
        <v>20.099900000000002</v>
      </c>
      <c r="EF33">
        <v>1799.88</v>
      </c>
      <c r="EG33">
        <v>0.97800399999999998</v>
      </c>
      <c r="EH33">
        <v>2.19963E-2</v>
      </c>
      <c r="EI33">
        <v>0</v>
      </c>
      <c r="EJ33">
        <v>647.83500000000004</v>
      </c>
      <c r="EK33">
        <v>5.0009399999999999</v>
      </c>
      <c r="EL33">
        <v>12835.9</v>
      </c>
      <c r="EM33">
        <v>13859.2</v>
      </c>
      <c r="EN33">
        <v>48.875</v>
      </c>
      <c r="EO33">
        <v>50.75</v>
      </c>
      <c r="EP33">
        <v>50</v>
      </c>
      <c r="EQ33">
        <v>50.061999999999998</v>
      </c>
      <c r="ER33">
        <v>50.25</v>
      </c>
      <c r="ES33">
        <v>1755.4</v>
      </c>
      <c r="ET33">
        <v>39.479999999999997</v>
      </c>
      <c r="EU33">
        <v>0</v>
      </c>
      <c r="EV33">
        <v>303.19999980926508</v>
      </c>
      <c r="EW33">
        <v>0</v>
      </c>
      <c r="EX33">
        <v>647.85955999999987</v>
      </c>
      <c r="EY33">
        <v>1.0307693469671531E-2</v>
      </c>
      <c r="EZ33">
        <v>-84.315384728198296</v>
      </c>
      <c r="FA33">
        <v>12845.12</v>
      </c>
      <c r="FB33">
        <v>15</v>
      </c>
      <c r="FC33">
        <v>1700152128.5999999</v>
      </c>
      <c r="FD33" t="s">
        <v>494</v>
      </c>
      <c r="FE33">
        <v>1700152128.5999999</v>
      </c>
      <c r="FF33">
        <v>1700152126.0999999</v>
      </c>
      <c r="FG33">
        <v>19</v>
      </c>
      <c r="FH33">
        <v>-4.4999999999999998E-2</v>
      </c>
      <c r="FI33">
        <v>8.9999999999999993E-3</v>
      </c>
      <c r="FJ33">
        <v>-7.4139999999999997</v>
      </c>
      <c r="FK33">
        <v>1.2E-2</v>
      </c>
      <c r="FL33">
        <v>1250</v>
      </c>
      <c r="FM33">
        <v>23</v>
      </c>
      <c r="FN33">
        <v>0.04</v>
      </c>
      <c r="FO33">
        <v>0.02</v>
      </c>
      <c r="FP33">
        <v>60.762939493934851</v>
      </c>
      <c r="FQ33">
        <v>-0.50776518238120683</v>
      </c>
      <c r="FR33">
        <v>4.9754782368146677E-2</v>
      </c>
      <c r="FS33">
        <v>1</v>
      </c>
      <c r="FT33">
        <v>0.21846594992744889</v>
      </c>
      <c r="FU33">
        <v>-6.1497080754178866E-3</v>
      </c>
      <c r="FV33">
        <v>5.1848805848671558E-4</v>
      </c>
      <c r="FW33">
        <v>1</v>
      </c>
      <c r="FX33">
        <v>2</v>
      </c>
      <c r="FY33">
        <v>2</v>
      </c>
      <c r="FZ33" t="s">
        <v>420</v>
      </c>
      <c r="GA33">
        <v>3.1194500000000001</v>
      </c>
      <c r="GB33">
        <v>2.8778199999999998</v>
      </c>
      <c r="GC33">
        <v>0.183951</v>
      </c>
      <c r="GD33">
        <v>0.19264400000000001</v>
      </c>
      <c r="GE33">
        <v>0.123891</v>
      </c>
      <c r="GF33">
        <v>0.112582</v>
      </c>
      <c r="GG33">
        <v>23656.9</v>
      </c>
      <c r="GH33">
        <v>23939.599999999999</v>
      </c>
      <c r="GI33">
        <v>26709.3</v>
      </c>
      <c r="GJ33">
        <v>27394.2</v>
      </c>
      <c r="GK33">
        <v>33493.4</v>
      </c>
      <c r="GL33">
        <v>33988.6</v>
      </c>
      <c r="GM33">
        <v>39582.699999999997</v>
      </c>
      <c r="GN33">
        <v>39679.5</v>
      </c>
      <c r="GO33">
        <v>1.9755199999999999</v>
      </c>
      <c r="GP33">
        <v>2.4198499999999998</v>
      </c>
      <c r="GQ33">
        <v>-2.98731E-2</v>
      </c>
      <c r="GR33">
        <v>0</v>
      </c>
      <c r="GS33">
        <v>30.4605</v>
      </c>
      <c r="GT33">
        <v>999.9</v>
      </c>
      <c r="GU33">
        <v>37.799999999999997</v>
      </c>
      <c r="GV33">
        <v>44.4</v>
      </c>
      <c r="GW33">
        <v>35.512300000000003</v>
      </c>
      <c r="GX33">
        <v>63.452500000000001</v>
      </c>
      <c r="GY33">
        <v>7.3517599999999996</v>
      </c>
      <c r="GZ33">
        <v>3</v>
      </c>
      <c r="HA33">
        <v>0.650752</v>
      </c>
      <c r="HB33">
        <v>4.83012</v>
      </c>
      <c r="HC33">
        <v>20.229099999999999</v>
      </c>
      <c r="HD33">
        <v>5.21265</v>
      </c>
      <c r="HE33">
        <v>11.911</v>
      </c>
      <c r="HF33">
        <v>4.9974999999999996</v>
      </c>
      <c r="HG33">
        <v>3.3029999999999999</v>
      </c>
      <c r="HH33">
        <v>9999</v>
      </c>
      <c r="HI33">
        <v>9999</v>
      </c>
      <c r="HJ33">
        <v>9999</v>
      </c>
      <c r="HK33">
        <v>999.9</v>
      </c>
      <c r="HL33">
        <v>1.8849199999999999</v>
      </c>
      <c r="HM33">
        <v>1.8855299999999999</v>
      </c>
      <c r="HN33">
        <v>1.88167</v>
      </c>
      <c r="HO33">
        <v>1.8833500000000001</v>
      </c>
      <c r="HP33">
        <v>1.8800699999999999</v>
      </c>
      <c r="HQ33">
        <v>1.8835999999999999</v>
      </c>
      <c r="HR33">
        <v>1.87958</v>
      </c>
      <c r="HS33">
        <v>1.8819699999999999</v>
      </c>
      <c r="HT33">
        <v>5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423</v>
      </c>
      <c r="IB33" t="s">
        <v>423</v>
      </c>
      <c r="IC33" t="s">
        <v>423</v>
      </c>
      <c r="ID33">
        <v>0</v>
      </c>
      <c r="IE33">
        <v>100</v>
      </c>
      <c r="IF33">
        <v>100</v>
      </c>
      <c r="IG33">
        <v>-7.26</v>
      </c>
      <c r="IH33">
        <v>1.2E-2</v>
      </c>
      <c r="II33">
        <v>-3.7174977900301229</v>
      </c>
      <c r="IJ33">
        <v>-3.7794827560518689E-3</v>
      </c>
      <c r="IK33">
        <v>4.9551128961100493E-7</v>
      </c>
      <c r="IL33">
        <v>1.3680294268397379E-10</v>
      </c>
      <c r="IM33">
        <v>1.2076190476189909E-2</v>
      </c>
      <c r="IN33">
        <v>0</v>
      </c>
      <c r="IO33">
        <v>0</v>
      </c>
      <c r="IP33">
        <v>0</v>
      </c>
      <c r="IQ33">
        <v>4</v>
      </c>
      <c r="IR33">
        <v>2229</v>
      </c>
      <c r="IS33">
        <v>1</v>
      </c>
      <c r="IT33">
        <v>22</v>
      </c>
      <c r="IU33">
        <v>0.6</v>
      </c>
      <c r="IV33">
        <v>0.7</v>
      </c>
      <c r="IW33">
        <v>3.8012700000000001</v>
      </c>
      <c r="IX33">
        <v>2.5366200000000001</v>
      </c>
      <c r="IY33">
        <v>2.9956100000000001</v>
      </c>
      <c r="IZ33">
        <v>2.9589799999999999</v>
      </c>
      <c r="JA33">
        <v>3.1970200000000002</v>
      </c>
      <c r="JB33">
        <v>2.52319</v>
      </c>
      <c r="JC33">
        <v>51.099699999999999</v>
      </c>
      <c r="JD33">
        <v>23.544599999999999</v>
      </c>
      <c r="JE33">
        <v>18</v>
      </c>
      <c r="JF33">
        <v>529.30899999999997</v>
      </c>
      <c r="JG33">
        <v>1110.92</v>
      </c>
      <c r="JH33">
        <v>23.581399999999999</v>
      </c>
      <c r="JI33">
        <v>35.132100000000001</v>
      </c>
      <c r="JJ33">
        <v>30.0002</v>
      </c>
      <c r="JK33">
        <v>34.978499999999997</v>
      </c>
      <c r="JL33">
        <v>34.851300000000002</v>
      </c>
      <c r="JM33">
        <v>76.170199999999994</v>
      </c>
      <c r="JN33">
        <v>30.903500000000001</v>
      </c>
      <c r="JO33">
        <v>0</v>
      </c>
      <c r="JP33">
        <v>23.5929</v>
      </c>
      <c r="JQ33">
        <v>1250</v>
      </c>
      <c r="JR33">
        <v>23.7134</v>
      </c>
      <c r="JS33">
        <v>98.651200000000003</v>
      </c>
      <c r="JT33">
        <v>97.068799999999996</v>
      </c>
    </row>
    <row r="34" spans="1:280" x14ac:dyDescent="0.25">
      <c r="A34">
        <v>18</v>
      </c>
      <c r="B34">
        <v>1700152361.0999999</v>
      </c>
      <c r="C34">
        <v>3379.599999904633</v>
      </c>
      <c r="D34" t="s">
        <v>495</v>
      </c>
      <c r="E34" t="s">
        <v>496</v>
      </c>
      <c r="F34" t="s">
        <v>412</v>
      </c>
      <c r="G34" t="s">
        <v>482</v>
      </c>
      <c r="H34" t="s">
        <v>483</v>
      </c>
      <c r="I34">
        <v>1700152361.0999999</v>
      </c>
      <c r="J34">
        <f t="shared" si="0"/>
        <v>3.0782625669353914E-3</v>
      </c>
      <c r="K34">
        <f t="shared" si="1"/>
        <v>3.0782625669353916</v>
      </c>
      <c r="L34">
        <f t="shared" si="2"/>
        <v>60.589068813851412</v>
      </c>
      <c r="M34">
        <f t="shared" si="3"/>
        <v>926.51099999999997</v>
      </c>
      <c r="N34">
        <f t="shared" si="4"/>
        <v>413.2183687509135</v>
      </c>
      <c r="O34">
        <f t="shared" si="5"/>
        <v>41.14487693511051</v>
      </c>
      <c r="P34">
        <f t="shared" si="6"/>
        <v>92.254323517271999</v>
      </c>
      <c r="Q34">
        <f t="shared" si="7"/>
        <v>0.20160502530107224</v>
      </c>
      <c r="R34">
        <f t="shared" si="8"/>
        <v>2.9590291162845519</v>
      </c>
      <c r="S34">
        <f t="shared" si="9"/>
        <v>0.19427316612792223</v>
      </c>
      <c r="T34">
        <f t="shared" si="10"/>
        <v>0.12205725230112169</v>
      </c>
      <c r="U34">
        <f t="shared" si="11"/>
        <v>344.36369876262671</v>
      </c>
      <c r="V34">
        <f t="shared" si="12"/>
        <v>31.086804111698594</v>
      </c>
      <c r="W34">
        <f t="shared" si="13"/>
        <v>30.005700000000001</v>
      </c>
      <c r="X34">
        <f t="shared" si="14"/>
        <v>4.2618448568767686</v>
      </c>
      <c r="Y34">
        <f t="shared" si="15"/>
        <v>64.783701954864284</v>
      </c>
      <c r="Z34">
        <f t="shared" si="16"/>
        <v>2.7395972701776001</v>
      </c>
      <c r="AA34">
        <f t="shared" si="17"/>
        <v>4.2288371727912617</v>
      </c>
      <c r="AB34">
        <f t="shared" si="18"/>
        <v>1.5222475866991685</v>
      </c>
      <c r="AC34">
        <f t="shared" si="19"/>
        <v>-135.75137920185077</v>
      </c>
      <c r="AD34">
        <f t="shared" si="20"/>
        <v>-21.584027145128204</v>
      </c>
      <c r="AE34">
        <f t="shared" si="21"/>
        <v>-1.6208989692482316</v>
      </c>
      <c r="AF34">
        <f t="shared" si="22"/>
        <v>185.40739344639951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52105.331156182088</v>
      </c>
      <c r="AL34" t="s">
        <v>415</v>
      </c>
      <c r="AM34">
        <v>7133.88</v>
      </c>
      <c r="AN34">
        <v>306.28384615384618</v>
      </c>
      <c r="AO34">
        <v>859.63916333292491</v>
      </c>
      <c r="AP34">
        <f t="shared" si="26"/>
        <v>0.64370650010133712</v>
      </c>
      <c r="AQ34">
        <v>-0.73746743666429193</v>
      </c>
      <c r="AR34" t="s">
        <v>497</v>
      </c>
      <c r="AS34">
        <v>7145.89</v>
      </c>
      <c r="AT34">
        <v>646.3870384615384</v>
      </c>
      <c r="AU34">
        <v>1040.9751673889341</v>
      </c>
      <c r="AV34">
        <f t="shared" si="27"/>
        <v>0.37905623619930962</v>
      </c>
      <c r="AW34">
        <v>0.5</v>
      </c>
      <c r="AX34">
        <f t="shared" si="28"/>
        <v>1513.1594993813135</v>
      </c>
      <c r="AY34">
        <f t="shared" si="29"/>
        <v>60.589068813851412</v>
      </c>
      <c r="AZ34">
        <f t="shared" si="30"/>
        <v>286.78627230235611</v>
      </c>
      <c r="BA34">
        <f t="shared" si="31"/>
        <v>4.0528798368969249E-2</v>
      </c>
      <c r="BB34">
        <f t="shared" si="32"/>
        <v>-0.17419820350840085</v>
      </c>
      <c r="BC34">
        <f t="shared" si="33"/>
        <v>326.55148884728493</v>
      </c>
      <c r="BD34" t="s">
        <v>498</v>
      </c>
      <c r="BE34">
        <v>479.71</v>
      </c>
      <c r="BF34">
        <f t="shared" si="34"/>
        <v>479.71</v>
      </c>
      <c r="BG34">
        <f t="shared" si="35"/>
        <v>0.53917248458169187</v>
      </c>
      <c r="BH34">
        <f t="shared" si="36"/>
        <v>0.70303334654288652</v>
      </c>
      <c r="BI34">
        <f t="shared" si="37"/>
        <v>-0.47728898320213387</v>
      </c>
      <c r="BJ34">
        <f t="shared" si="38"/>
        <v>0.53708015532843711</v>
      </c>
      <c r="BK34">
        <f t="shared" si="39"/>
        <v>-0.32770265040631136</v>
      </c>
      <c r="BL34">
        <f t="shared" si="40"/>
        <v>0.52174951940988745</v>
      </c>
      <c r="BM34">
        <f t="shared" si="41"/>
        <v>0.47825048059011255</v>
      </c>
      <c r="BN34">
        <v>20730</v>
      </c>
      <c r="BO34">
        <v>290.00000000000011</v>
      </c>
      <c r="BP34">
        <v>924.56</v>
      </c>
      <c r="BQ34">
        <v>295</v>
      </c>
      <c r="BR34">
        <v>7145.89</v>
      </c>
      <c r="BS34">
        <v>927.12</v>
      </c>
      <c r="BT34">
        <v>-2.56</v>
      </c>
      <c r="BU34">
        <v>300.00000000000011</v>
      </c>
      <c r="BV34">
        <v>38.200000000000003</v>
      </c>
      <c r="BW34">
        <v>1040.9751673889341</v>
      </c>
      <c r="BX34">
        <v>1.606381882168251</v>
      </c>
      <c r="BY34">
        <v>-81.357130438013371</v>
      </c>
      <c r="BZ34">
        <v>0.96202981736035997</v>
      </c>
      <c r="CA34">
        <v>0.99610015934467477</v>
      </c>
      <c r="CB34">
        <v>-7.0546006674082357E-3</v>
      </c>
      <c r="CC34">
        <v>289.99999999999989</v>
      </c>
      <c r="CD34">
        <v>936.3</v>
      </c>
      <c r="CE34">
        <v>845</v>
      </c>
      <c r="CF34">
        <v>7138.91</v>
      </c>
      <c r="CG34">
        <v>927.01</v>
      </c>
      <c r="CH34">
        <v>9.2899999999999991</v>
      </c>
      <c r="CV34">
        <f t="shared" si="42"/>
        <v>1799.97</v>
      </c>
      <c r="CW34">
        <f t="shared" si="43"/>
        <v>1513.1594993813135</v>
      </c>
      <c r="CX34">
        <f t="shared" si="44"/>
        <v>0.84065817729257342</v>
      </c>
      <c r="CY34">
        <f t="shared" si="45"/>
        <v>0.19131635458514681</v>
      </c>
      <c r="CZ34">
        <v>5.79</v>
      </c>
      <c r="DA34">
        <v>0.5</v>
      </c>
      <c r="DB34" t="s">
        <v>418</v>
      </c>
      <c r="DC34">
        <v>2</v>
      </c>
      <c r="DD34">
        <v>1700152361.0999999</v>
      </c>
      <c r="DE34">
        <v>926.51099999999997</v>
      </c>
      <c r="DF34">
        <v>999.96199999999999</v>
      </c>
      <c r="DG34">
        <v>27.5138</v>
      </c>
      <c r="DH34">
        <v>24.047899999999998</v>
      </c>
      <c r="DI34">
        <v>933.029</v>
      </c>
      <c r="DJ34">
        <v>27.4846</v>
      </c>
      <c r="DK34">
        <v>500.09399999999999</v>
      </c>
      <c r="DL34">
        <v>99.471699999999998</v>
      </c>
      <c r="DM34">
        <v>0.100052</v>
      </c>
      <c r="DN34">
        <v>29.8704</v>
      </c>
      <c r="DO34">
        <v>30.005700000000001</v>
      </c>
      <c r="DP34">
        <v>999.9</v>
      </c>
      <c r="DQ34">
        <v>0</v>
      </c>
      <c r="DR34">
        <v>0</v>
      </c>
      <c r="DS34">
        <v>10001.200000000001</v>
      </c>
      <c r="DT34">
        <v>0</v>
      </c>
      <c r="DU34">
        <v>206.81100000000001</v>
      </c>
      <c r="DV34">
        <v>-73.450599999999994</v>
      </c>
      <c r="DW34">
        <v>952.72400000000005</v>
      </c>
      <c r="DX34">
        <v>1024.5999999999999</v>
      </c>
      <c r="DY34">
        <v>3.46591</v>
      </c>
      <c r="DZ34">
        <v>999.96199999999999</v>
      </c>
      <c r="EA34">
        <v>24.047899999999998</v>
      </c>
      <c r="EB34">
        <v>2.7368399999999999</v>
      </c>
      <c r="EC34">
        <v>2.39208</v>
      </c>
      <c r="ED34">
        <v>22.507999999999999</v>
      </c>
      <c r="EE34">
        <v>20.310300000000002</v>
      </c>
      <c r="EF34">
        <v>1799.97</v>
      </c>
      <c r="EG34">
        <v>0.97799999999999998</v>
      </c>
      <c r="EH34">
        <v>2.2000100000000002E-2</v>
      </c>
      <c r="EI34">
        <v>0</v>
      </c>
      <c r="EJ34">
        <v>646.173</v>
      </c>
      <c r="EK34">
        <v>5.0009399999999999</v>
      </c>
      <c r="EL34">
        <v>14518.1</v>
      </c>
      <c r="EM34">
        <v>13859.9</v>
      </c>
      <c r="EN34">
        <v>48.625</v>
      </c>
      <c r="EO34">
        <v>50.436999999999998</v>
      </c>
      <c r="EP34">
        <v>49.75</v>
      </c>
      <c r="EQ34">
        <v>49.75</v>
      </c>
      <c r="ER34">
        <v>50.061999999999998</v>
      </c>
      <c r="ES34">
        <v>1755.48</v>
      </c>
      <c r="ET34">
        <v>39.49</v>
      </c>
      <c r="EU34">
        <v>0</v>
      </c>
      <c r="EV34">
        <v>193.20000004768369</v>
      </c>
      <c r="EW34">
        <v>0</v>
      </c>
      <c r="EX34">
        <v>646.3870384615384</v>
      </c>
      <c r="EY34">
        <v>-0.71271794744948358</v>
      </c>
      <c r="EZ34">
        <v>-14.59829066182308</v>
      </c>
      <c r="FA34">
        <v>14519.3</v>
      </c>
      <c r="FB34">
        <v>15</v>
      </c>
      <c r="FC34">
        <v>1700152291.5999999</v>
      </c>
      <c r="FD34" t="s">
        <v>499</v>
      </c>
      <c r="FE34">
        <v>1700152291.5999999</v>
      </c>
      <c r="FF34">
        <v>1700152282.5999999</v>
      </c>
      <c r="FG34">
        <v>20</v>
      </c>
      <c r="FH34">
        <v>0.183</v>
      </c>
      <c r="FI34">
        <v>1.7000000000000001E-2</v>
      </c>
      <c r="FJ34">
        <v>-6.6970000000000001</v>
      </c>
      <c r="FK34">
        <v>2.9000000000000001E-2</v>
      </c>
      <c r="FL34">
        <v>1000</v>
      </c>
      <c r="FM34">
        <v>25</v>
      </c>
      <c r="FN34">
        <v>0.05</v>
      </c>
      <c r="FO34">
        <v>0.03</v>
      </c>
      <c r="FP34">
        <v>60.526534530466868</v>
      </c>
      <c r="FQ34">
        <v>0.6795772613217248</v>
      </c>
      <c r="FR34">
        <v>6.4492600399011613E-2</v>
      </c>
      <c r="FS34">
        <v>1</v>
      </c>
      <c r="FT34">
        <v>0.2032632478709846</v>
      </c>
      <c r="FU34">
        <v>-1.671446660904612E-2</v>
      </c>
      <c r="FV34">
        <v>1.305239392584255E-3</v>
      </c>
      <c r="FW34">
        <v>1</v>
      </c>
      <c r="FX34">
        <v>2</v>
      </c>
      <c r="FY34">
        <v>2</v>
      </c>
      <c r="FZ34" t="s">
        <v>420</v>
      </c>
      <c r="GA34">
        <v>3.11931</v>
      </c>
      <c r="GB34">
        <v>2.8776899999999999</v>
      </c>
      <c r="GC34">
        <v>0.158108</v>
      </c>
      <c r="GD34">
        <v>0.16736899999999999</v>
      </c>
      <c r="GE34">
        <v>0.124024</v>
      </c>
      <c r="GF34">
        <v>0.113624</v>
      </c>
      <c r="GG34">
        <v>24407.7</v>
      </c>
      <c r="GH34">
        <v>24690</v>
      </c>
      <c r="GI34">
        <v>26709.4</v>
      </c>
      <c r="GJ34">
        <v>27393.4</v>
      </c>
      <c r="GK34">
        <v>33485.800000000003</v>
      </c>
      <c r="GL34">
        <v>33946</v>
      </c>
      <c r="GM34">
        <v>39582.300000000003</v>
      </c>
      <c r="GN34">
        <v>39678.800000000003</v>
      </c>
      <c r="GO34">
        <v>1.9755499999999999</v>
      </c>
      <c r="GP34">
        <v>2.4180000000000001</v>
      </c>
      <c r="GQ34">
        <v>-1.49757E-2</v>
      </c>
      <c r="GR34">
        <v>0</v>
      </c>
      <c r="GS34">
        <v>30.249300000000002</v>
      </c>
      <c r="GT34">
        <v>999.9</v>
      </c>
      <c r="GU34">
        <v>37.200000000000003</v>
      </c>
      <c r="GV34">
        <v>44.9</v>
      </c>
      <c r="GW34">
        <v>35.858400000000003</v>
      </c>
      <c r="GX34">
        <v>63.392499999999998</v>
      </c>
      <c r="GY34">
        <v>7.5520899999999997</v>
      </c>
      <c r="GZ34">
        <v>3</v>
      </c>
      <c r="HA34">
        <v>0.64829499999999995</v>
      </c>
      <c r="HB34">
        <v>4.8936700000000002</v>
      </c>
      <c r="HC34">
        <v>20.226700000000001</v>
      </c>
      <c r="HD34">
        <v>5.2153400000000003</v>
      </c>
      <c r="HE34">
        <v>11.9123</v>
      </c>
      <c r="HF34">
        <v>4.9969999999999999</v>
      </c>
      <c r="HG34">
        <v>3.3029999999999999</v>
      </c>
      <c r="HH34">
        <v>9999</v>
      </c>
      <c r="HI34">
        <v>9999</v>
      </c>
      <c r="HJ34">
        <v>9999</v>
      </c>
      <c r="HK34">
        <v>999.9</v>
      </c>
      <c r="HL34">
        <v>1.8849100000000001</v>
      </c>
      <c r="HM34">
        <v>1.8855299999999999</v>
      </c>
      <c r="HN34">
        <v>1.8816999999999999</v>
      </c>
      <c r="HO34">
        <v>1.8833299999999999</v>
      </c>
      <c r="HP34">
        <v>1.8800600000000001</v>
      </c>
      <c r="HQ34">
        <v>1.8835999999999999</v>
      </c>
      <c r="HR34">
        <v>1.87958</v>
      </c>
      <c r="HS34">
        <v>1.88201</v>
      </c>
      <c r="HT34">
        <v>5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423</v>
      </c>
      <c r="IB34" t="s">
        <v>423</v>
      </c>
      <c r="IC34" t="s">
        <v>423</v>
      </c>
      <c r="ID34">
        <v>0</v>
      </c>
      <c r="IE34">
        <v>100</v>
      </c>
      <c r="IF34">
        <v>100</v>
      </c>
      <c r="IG34">
        <v>-6.5179999999999998</v>
      </c>
      <c r="IH34">
        <v>2.92E-2</v>
      </c>
      <c r="II34">
        <v>-3.5340843198184899</v>
      </c>
      <c r="IJ34">
        <v>-3.7794827560518689E-3</v>
      </c>
      <c r="IK34">
        <v>4.9551128961100493E-7</v>
      </c>
      <c r="IL34">
        <v>1.3680294268397379E-10</v>
      </c>
      <c r="IM34">
        <v>2.9219999999998691E-2</v>
      </c>
      <c r="IN34">
        <v>0</v>
      </c>
      <c r="IO34">
        <v>0</v>
      </c>
      <c r="IP34">
        <v>0</v>
      </c>
      <c r="IQ34">
        <v>4</v>
      </c>
      <c r="IR34">
        <v>2229</v>
      </c>
      <c r="IS34">
        <v>1</v>
      </c>
      <c r="IT34">
        <v>22</v>
      </c>
      <c r="IU34">
        <v>1.2</v>
      </c>
      <c r="IV34">
        <v>1.3</v>
      </c>
      <c r="IW34">
        <v>3.1872600000000002</v>
      </c>
      <c r="IX34">
        <v>2.5451700000000002</v>
      </c>
      <c r="IY34">
        <v>2.9956100000000001</v>
      </c>
      <c r="IZ34">
        <v>2.9589799999999999</v>
      </c>
      <c r="JA34">
        <v>3.1970200000000002</v>
      </c>
      <c r="JB34">
        <v>2.5390600000000001</v>
      </c>
      <c r="JC34">
        <v>51.364800000000002</v>
      </c>
      <c r="JD34">
        <v>23.544599999999999</v>
      </c>
      <c r="JE34">
        <v>18</v>
      </c>
      <c r="JF34">
        <v>529.43499999999995</v>
      </c>
      <c r="JG34">
        <v>1108.9100000000001</v>
      </c>
      <c r="JH34">
        <v>23.639700000000001</v>
      </c>
      <c r="JI34">
        <v>35.110300000000002</v>
      </c>
      <c r="JJ34">
        <v>30</v>
      </c>
      <c r="JK34">
        <v>34.991900000000001</v>
      </c>
      <c r="JL34">
        <v>34.877400000000002</v>
      </c>
      <c r="JM34">
        <v>63.877600000000001</v>
      </c>
      <c r="JN34">
        <v>30.3507</v>
      </c>
      <c r="JO34">
        <v>0</v>
      </c>
      <c r="JP34">
        <v>23.636700000000001</v>
      </c>
      <c r="JQ34">
        <v>1000</v>
      </c>
      <c r="JR34">
        <v>24.1023</v>
      </c>
      <c r="JS34">
        <v>98.650700000000001</v>
      </c>
      <c r="JT34">
        <v>97.066500000000005</v>
      </c>
    </row>
    <row r="35" spans="1:280" x14ac:dyDescent="0.25">
      <c r="A35">
        <v>19</v>
      </c>
      <c r="B35">
        <v>1700152510</v>
      </c>
      <c r="C35">
        <v>3528.5</v>
      </c>
      <c r="D35" t="s">
        <v>500</v>
      </c>
      <c r="E35" t="s">
        <v>501</v>
      </c>
      <c r="F35" t="s">
        <v>412</v>
      </c>
      <c r="G35" t="s">
        <v>482</v>
      </c>
      <c r="H35" t="s">
        <v>483</v>
      </c>
      <c r="I35">
        <v>1700152510</v>
      </c>
      <c r="J35">
        <f t="shared" si="0"/>
        <v>3.8430637344004995E-3</v>
      </c>
      <c r="K35">
        <f t="shared" si="1"/>
        <v>3.8430637344004994</v>
      </c>
      <c r="L35">
        <f t="shared" si="2"/>
        <v>59.675488038084843</v>
      </c>
      <c r="M35">
        <f t="shared" si="3"/>
        <v>677.84500000000003</v>
      </c>
      <c r="N35">
        <f t="shared" si="4"/>
        <v>282.98861379288701</v>
      </c>
      <c r="O35">
        <f t="shared" si="5"/>
        <v>28.175861397062636</v>
      </c>
      <c r="P35">
        <f t="shared" si="6"/>
        <v>67.489877110992012</v>
      </c>
      <c r="Q35">
        <f t="shared" si="7"/>
        <v>0.25965617806359653</v>
      </c>
      <c r="R35">
        <f t="shared" si="8"/>
        <v>2.9616006398123691</v>
      </c>
      <c r="S35">
        <f t="shared" si="9"/>
        <v>0.24763941364343184</v>
      </c>
      <c r="T35">
        <f t="shared" si="10"/>
        <v>0.15580794079849378</v>
      </c>
      <c r="U35">
        <f t="shared" si="11"/>
        <v>344.35039876257861</v>
      </c>
      <c r="V35">
        <f t="shared" si="12"/>
        <v>30.874849004142142</v>
      </c>
      <c r="W35">
        <f t="shared" si="13"/>
        <v>29.970700000000001</v>
      </c>
      <c r="X35">
        <f t="shared" si="14"/>
        <v>4.2532848279790176</v>
      </c>
      <c r="Y35">
        <f t="shared" si="15"/>
        <v>65.381527637340611</v>
      </c>
      <c r="Z35">
        <f t="shared" si="16"/>
        <v>2.7625900836624004</v>
      </c>
      <c r="AA35">
        <f t="shared" si="17"/>
        <v>4.2253373139061283</v>
      </c>
      <c r="AB35">
        <f t="shared" si="18"/>
        <v>1.4906947443166172</v>
      </c>
      <c r="AC35">
        <f t="shared" si="19"/>
        <v>-169.47911068706202</v>
      </c>
      <c r="AD35">
        <f t="shared" si="20"/>
        <v>-18.313668830651704</v>
      </c>
      <c r="AE35">
        <f t="shared" si="21"/>
        <v>-1.3737741073034999</v>
      </c>
      <c r="AF35">
        <f t="shared" si="22"/>
        <v>155.18384513756138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52179.495485007305</v>
      </c>
      <c r="AL35" t="s">
        <v>431</v>
      </c>
      <c r="AM35" t="s">
        <v>431</v>
      </c>
      <c r="AN35">
        <v>0</v>
      </c>
      <c r="AO35">
        <v>0</v>
      </c>
      <c r="AP35" t="e">
        <f t="shared" si="26"/>
        <v>#DIV/0!</v>
      </c>
      <c r="AQ35">
        <v>0</v>
      </c>
      <c r="AR35" t="s">
        <v>431</v>
      </c>
      <c r="AS35" t="s">
        <v>431</v>
      </c>
      <c r="AT35">
        <v>0</v>
      </c>
      <c r="AU35">
        <v>0</v>
      </c>
      <c r="AV35" t="e">
        <f t="shared" si="27"/>
        <v>#DIV/0!</v>
      </c>
      <c r="AW35">
        <v>0.5</v>
      </c>
      <c r="AX35">
        <f t="shared" si="28"/>
        <v>1513.1006993812894</v>
      </c>
      <c r="AY35">
        <f t="shared" si="29"/>
        <v>59.675488038084843</v>
      </c>
      <c r="AZ35" t="e">
        <f t="shared" si="30"/>
        <v>#DIV/0!</v>
      </c>
      <c r="BA35">
        <f t="shared" si="31"/>
        <v>3.9439204583334275E-2</v>
      </c>
      <c r="BB35" t="e">
        <f t="shared" si="32"/>
        <v>#DIV/0!</v>
      </c>
      <c r="BC35" t="e">
        <f t="shared" si="33"/>
        <v>#DIV/0!</v>
      </c>
      <c r="BD35" t="s">
        <v>431</v>
      </c>
      <c r="BE35">
        <v>0</v>
      </c>
      <c r="BF35" t="e">
        <f t="shared" si="34"/>
        <v>#DIV/0!</v>
      </c>
      <c r="BG35" t="e">
        <f t="shared" si="35"/>
        <v>#DIV/0!</v>
      </c>
      <c r="BH35" t="e">
        <f t="shared" si="36"/>
        <v>#DIV/0!</v>
      </c>
      <c r="BI35" t="e">
        <f t="shared" si="37"/>
        <v>#DIV/0!</v>
      </c>
      <c r="BJ35" t="e">
        <f t="shared" si="38"/>
        <v>#DIV/0!</v>
      </c>
      <c r="BK35" t="e">
        <f t="shared" si="39"/>
        <v>#DIV/0!</v>
      </c>
      <c r="BL35" t="e">
        <f t="shared" si="40"/>
        <v>#DIV/0!</v>
      </c>
      <c r="BM35" t="e">
        <f t="shared" si="41"/>
        <v>#DIV/0!</v>
      </c>
      <c r="BN35">
        <v>20730</v>
      </c>
      <c r="BO35">
        <v>290.00000000000011</v>
      </c>
      <c r="BP35">
        <v>924.56</v>
      </c>
      <c r="BQ35">
        <v>295</v>
      </c>
      <c r="BR35">
        <v>7145.89</v>
      </c>
      <c r="BS35">
        <v>927.12</v>
      </c>
      <c r="BT35">
        <v>-2.56</v>
      </c>
      <c r="BU35">
        <v>300.00000000000011</v>
      </c>
      <c r="BV35">
        <v>38.200000000000003</v>
      </c>
      <c r="BW35">
        <v>1040.9751673889341</v>
      </c>
      <c r="BX35">
        <v>1.606381882168251</v>
      </c>
      <c r="BY35">
        <v>-81.357130438013371</v>
      </c>
      <c r="BZ35">
        <v>0.96202981736035997</v>
      </c>
      <c r="CA35">
        <v>0.99610015934467477</v>
      </c>
      <c r="CB35">
        <v>-7.0546006674082357E-3</v>
      </c>
      <c r="CC35">
        <v>289.99999999999989</v>
      </c>
      <c r="CD35">
        <v>936.3</v>
      </c>
      <c r="CE35">
        <v>845</v>
      </c>
      <c r="CF35">
        <v>7138.91</v>
      </c>
      <c r="CG35">
        <v>927.01</v>
      </c>
      <c r="CH35">
        <v>9.2899999999999991</v>
      </c>
      <c r="CV35">
        <f t="shared" si="42"/>
        <v>1799.9</v>
      </c>
      <c r="CW35">
        <f t="shared" si="43"/>
        <v>1513.1006993812894</v>
      </c>
      <c r="CX35">
        <f t="shared" si="44"/>
        <v>0.84065820288976567</v>
      </c>
      <c r="CY35">
        <f t="shared" si="45"/>
        <v>0.19131640577953141</v>
      </c>
      <c r="CZ35">
        <v>5.79</v>
      </c>
      <c r="DA35">
        <v>0.5</v>
      </c>
      <c r="DB35" t="s">
        <v>418</v>
      </c>
      <c r="DC35">
        <v>2</v>
      </c>
      <c r="DD35">
        <v>1700152510</v>
      </c>
      <c r="DE35">
        <v>677.84500000000003</v>
      </c>
      <c r="DF35">
        <v>749.971</v>
      </c>
      <c r="DG35">
        <v>27.746500000000001</v>
      </c>
      <c r="DH35">
        <v>23.4194</v>
      </c>
      <c r="DI35">
        <v>683.68100000000004</v>
      </c>
      <c r="DJ35">
        <v>27.724299999999999</v>
      </c>
      <c r="DK35">
        <v>499.964</v>
      </c>
      <c r="DL35">
        <v>99.465500000000006</v>
      </c>
      <c r="DM35">
        <v>9.9853600000000001E-2</v>
      </c>
      <c r="DN35">
        <v>29.856000000000002</v>
      </c>
      <c r="DO35">
        <v>29.970700000000001</v>
      </c>
      <c r="DP35">
        <v>999.9</v>
      </c>
      <c r="DQ35">
        <v>0</v>
      </c>
      <c r="DR35">
        <v>0</v>
      </c>
      <c r="DS35">
        <v>10016.200000000001</v>
      </c>
      <c r="DT35">
        <v>0</v>
      </c>
      <c r="DU35">
        <v>211.98400000000001</v>
      </c>
      <c r="DV35">
        <v>-72.125699999999995</v>
      </c>
      <c r="DW35">
        <v>697.19</v>
      </c>
      <c r="DX35">
        <v>767.95600000000002</v>
      </c>
      <c r="DY35">
        <v>4.3270999999999997</v>
      </c>
      <c r="DZ35">
        <v>749.971</v>
      </c>
      <c r="EA35">
        <v>23.4194</v>
      </c>
      <c r="EB35">
        <v>2.7598199999999999</v>
      </c>
      <c r="EC35">
        <v>2.3294199999999998</v>
      </c>
      <c r="ED35">
        <v>22.645700000000001</v>
      </c>
      <c r="EE35">
        <v>19.8813</v>
      </c>
      <c r="EF35">
        <v>1799.9</v>
      </c>
      <c r="EG35">
        <v>0.97799999999999998</v>
      </c>
      <c r="EH35">
        <v>2.2000100000000002E-2</v>
      </c>
      <c r="EI35">
        <v>0</v>
      </c>
      <c r="EJ35">
        <v>645.875</v>
      </c>
      <c r="EK35">
        <v>5.0009399999999999</v>
      </c>
      <c r="EL35">
        <v>14475.7</v>
      </c>
      <c r="EM35">
        <v>13859.4</v>
      </c>
      <c r="EN35">
        <v>48.625</v>
      </c>
      <c r="EO35">
        <v>50.436999999999998</v>
      </c>
      <c r="EP35">
        <v>49.686999999999998</v>
      </c>
      <c r="EQ35">
        <v>49.686999999999998</v>
      </c>
      <c r="ER35">
        <v>50</v>
      </c>
      <c r="ES35">
        <v>1755.41</v>
      </c>
      <c r="ET35">
        <v>39.49</v>
      </c>
      <c r="EU35">
        <v>0</v>
      </c>
      <c r="EV35">
        <v>147.19999980926511</v>
      </c>
      <c r="EW35">
        <v>0</v>
      </c>
      <c r="EX35">
        <v>646.16740000000004</v>
      </c>
      <c r="EY35">
        <v>1.132538468203292</v>
      </c>
      <c r="EZ35">
        <v>-234.05384680444669</v>
      </c>
      <c r="FA35">
        <v>14502.064</v>
      </c>
      <c r="FB35">
        <v>15</v>
      </c>
      <c r="FC35">
        <v>1700152457.5</v>
      </c>
      <c r="FD35" t="s">
        <v>502</v>
      </c>
      <c r="FE35">
        <v>1700152457.5</v>
      </c>
      <c r="FF35">
        <v>1700152455.5</v>
      </c>
      <c r="FG35">
        <v>21</v>
      </c>
      <c r="FH35">
        <v>7.0000000000000001E-3</v>
      </c>
      <c r="FI35">
        <v>-7.0000000000000001E-3</v>
      </c>
      <c r="FJ35">
        <v>-6.0410000000000004</v>
      </c>
      <c r="FK35">
        <v>2.1999999999999999E-2</v>
      </c>
      <c r="FL35">
        <v>750</v>
      </c>
      <c r="FM35">
        <v>24</v>
      </c>
      <c r="FN35">
        <v>0.04</v>
      </c>
      <c r="FO35">
        <v>0.02</v>
      </c>
      <c r="FP35">
        <v>59.528703188925853</v>
      </c>
      <c r="FQ35">
        <v>0.62406306255003563</v>
      </c>
      <c r="FR35">
        <v>6.3422259776081069E-2</v>
      </c>
      <c r="FS35">
        <v>1</v>
      </c>
      <c r="FT35">
        <v>0.25855712317014928</v>
      </c>
      <c r="FU35">
        <v>1.3418462748747421E-2</v>
      </c>
      <c r="FV35">
        <v>1.6276073613665171E-3</v>
      </c>
      <c r="FW35">
        <v>1</v>
      </c>
      <c r="FX35">
        <v>2</v>
      </c>
      <c r="FY35">
        <v>2</v>
      </c>
      <c r="FZ35" t="s">
        <v>420</v>
      </c>
      <c r="GA35">
        <v>3.1190099999999998</v>
      </c>
      <c r="GB35">
        <v>2.8776199999999998</v>
      </c>
      <c r="GC35">
        <v>0.12831999999999999</v>
      </c>
      <c r="GD35">
        <v>0.13841100000000001</v>
      </c>
      <c r="GE35">
        <v>0.12477100000000001</v>
      </c>
      <c r="GF35">
        <v>0.11148</v>
      </c>
      <c r="GG35">
        <v>25269.599999999999</v>
      </c>
      <c r="GH35">
        <v>25547.1</v>
      </c>
      <c r="GI35">
        <v>26706.6</v>
      </c>
      <c r="GJ35">
        <v>27390.7</v>
      </c>
      <c r="GK35">
        <v>33452.1</v>
      </c>
      <c r="GL35">
        <v>34022.1</v>
      </c>
      <c r="GM35">
        <v>39578.9</v>
      </c>
      <c r="GN35">
        <v>39674.5</v>
      </c>
      <c r="GO35">
        <v>1.9750000000000001</v>
      </c>
      <c r="GP35">
        <v>2.4168500000000002</v>
      </c>
      <c r="GQ35">
        <v>-4.8819899999999999E-2</v>
      </c>
      <c r="GR35">
        <v>0</v>
      </c>
      <c r="GS35">
        <v>30.764700000000001</v>
      </c>
      <c r="GT35">
        <v>999.9</v>
      </c>
      <c r="GU35">
        <v>36.799999999999997</v>
      </c>
      <c r="GV35">
        <v>45.2</v>
      </c>
      <c r="GW35">
        <v>36.031700000000001</v>
      </c>
      <c r="GX35">
        <v>63.282600000000002</v>
      </c>
      <c r="GY35">
        <v>7.7083399999999997</v>
      </c>
      <c r="GZ35">
        <v>3</v>
      </c>
      <c r="HA35">
        <v>0.65130299999999997</v>
      </c>
      <c r="HB35">
        <v>4.8509000000000002</v>
      </c>
      <c r="HC35">
        <v>20.228100000000001</v>
      </c>
      <c r="HD35">
        <v>5.2148899999999996</v>
      </c>
      <c r="HE35">
        <v>11.912599999999999</v>
      </c>
      <c r="HF35">
        <v>4.9970499999999998</v>
      </c>
      <c r="HG35">
        <v>3.3029999999999999</v>
      </c>
      <c r="HH35">
        <v>9999</v>
      </c>
      <c r="HI35">
        <v>9999</v>
      </c>
      <c r="HJ35">
        <v>9999</v>
      </c>
      <c r="HK35">
        <v>999.9</v>
      </c>
      <c r="HL35">
        <v>1.8849199999999999</v>
      </c>
      <c r="HM35">
        <v>1.8855299999999999</v>
      </c>
      <c r="HN35">
        <v>1.8816900000000001</v>
      </c>
      <c r="HO35">
        <v>1.88334</v>
      </c>
      <c r="HP35">
        <v>1.88009</v>
      </c>
      <c r="HQ35">
        <v>1.8836200000000001</v>
      </c>
      <c r="HR35">
        <v>1.87958</v>
      </c>
      <c r="HS35">
        <v>1.88201</v>
      </c>
      <c r="HT35">
        <v>5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423</v>
      </c>
      <c r="IB35" t="s">
        <v>423</v>
      </c>
      <c r="IC35" t="s">
        <v>423</v>
      </c>
      <c r="ID35">
        <v>0</v>
      </c>
      <c r="IE35">
        <v>100</v>
      </c>
      <c r="IF35">
        <v>100</v>
      </c>
      <c r="IG35">
        <v>-5.8360000000000003</v>
      </c>
      <c r="IH35">
        <v>2.2200000000000001E-2</v>
      </c>
      <c r="II35">
        <v>-3.5265372500354082</v>
      </c>
      <c r="IJ35">
        <v>-3.7794827560518689E-3</v>
      </c>
      <c r="IK35">
        <v>4.9551128961100493E-7</v>
      </c>
      <c r="IL35">
        <v>1.3680294268397379E-10</v>
      </c>
      <c r="IM35">
        <v>2.2219999999997238E-2</v>
      </c>
      <c r="IN35">
        <v>0</v>
      </c>
      <c r="IO35">
        <v>0</v>
      </c>
      <c r="IP35">
        <v>0</v>
      </c>
      <c r="IQ35">
        <v>4</v>
      </c>
      <c r="IR35">
        <v>2229</v>
      </c>
      <c r="IS35">
        <v>1</v>
      </c>
      <c r="IT35">
        <v>22</v>
      </c>
      <c r="IU35">
        <v>0.9</v>
      </c>
      <c r="IV35">
        <v>0.9</v>
      </c>
      <c r="IW35">
        <v>2.5305200000000001</v>
      </c>
      <c r="IX35">
        <v>2.5610400000000002</v>
      </c>
      <c r="IY35">
        <v>2.9956100000000001</v>
      </c>
      <c r="IZ35">
        <v>2.96021</v>
      </c>
      <c r="JA35">
        <v>3.1970200000000002</v>
      </c>
      <c r="JB35">
        <v>2.47559</v>
      </c>
      <c r="JC35">
        <v>51.698900000000002</v>
      </c>
      <c r="JD35">
        <v>23.535900000000002</v>
      </c>
      <c r="JE35">
        <v>18</v>
      </c>
      <c r="JF35">
        <v>529.32799999999997</v>
      </c>
      <c r="JG35">
        <v>1108.03</v>
      </c>
      <c r="JH35">
        <v>23.5533</v>
      </c>
      <c r="JI35">
        <v>35.144100000000002</v>
      </c>
      <c r="JJ35">
        <v>30</v>
      </c>
      <c r="JK35">
        <v>35.023800000000001</v>
      </c>
      <c r="JL35">
        <v>34.913699999999999</v>
      </c>
      <c r="JM35">
        <v>50.692399999999999</v>
      </c>
      <c r="JN35">
        <v>32.345300000000002</v>
      </c>
      <c r="JO35">
        <v>0</v>
      </c>
      <c r="JP35">
        <v>23.576000000000001</v>
      </c>
      <c r="JQ35">
        <v>750</v>
      </c>
      <c r="JR35">
        <v>23.353200000000001</v>
      </c>
      <c r="JS35">
        <v>98.641499999999994</v>
      </c>
      <c r="JT35">
        <v>97.056399999999996</v>
      </c>
    </row>
    <row r="36" spans="1:280" x14ac:dyDescent="0.25">
      <c r="A36">
        <v>20</v>
      </c>
      <c r="B36">
        <v>1700152656</v>
      </c>
      <c r="C36">
        <v>3674.5</v>
      </c>
      <c r="D36" t="s">
        <v>503</v>
      </c>
      <c r="E36" t="s">
        <v>504</v>
      </c>
      <c r="F36" t="s">
        <v>412</v>
      </c>
      <c r="G36" t="s">
        <v>482</v>
      </c>
      <c r="H36" t="s">
        <v>483</v>
      </c>
      <c r="I36">
        <v>1700152656</v>
      </c>
      <c r="J36">
        <f t="shared" si="0"/>
        <v>4.5384013741006776E-3</v>
      </c>
      <c r="K36">
        <f t="shared" si="1"/>
        <v>4.5384013741006779</v>
      </c>
      <c r="L36">
        <f t="shared" si="2"/>
        <v>58.444831952629912</v>
      </c>
      <c r="M36">
        <f t="shared" si="3"/>
        <v>529.58299999999997</v>
      </c>
      <c r="N36">
        <f t="shared" si="4"/>
        <v>206.34804240586752</v>
      </c>
      <c r="O36">
        <f t="shared" si="5"/>
        <v>20.540873745021823</v>
      </c>
      <c r="P36">
        <f t="shared" si="6"/>
        <v>52.717231594151393</v>
      </c>
      <c r="Q36">
        <f t="shared" si="7"/>
        <v>0.31246099372176234</v>
      </c>
      <c r="R36">
        <f t="shared" si="8"/>
        <v>2.9578846519851236</v>
      </c>
      <c r="S36">
        <f t="shared" si="9"/>
        <v>0.29521348686587023</v>
      </c>
      <c r="T36">
        <f t="shared" si="10"/>
        <v>0.18597866897540727</v>
      </c>
      <c r="U36">
        <f t="shared" si="11"/>
        <v>344.40929876279165</v>
      </c>
      <c r="V36">
        <f t="shared" si="12"/>
        <v>30.765375567239335</v>
      </c>
      <c r="W36">
        <f t="shared" si="13"/>
        <v>29.966999999999999</v>
      </c>
      <c r="X36">
        <f t="shared" si="14"/>
        <v>4.2523807869875094</v>
      </c>
      <c r="Y36">
        <f t="shared" si="15"/>
        <v>65.444732300905542</v>
      </c>
      <c r="Z36">
        <f t="shared" si="16"/>
        <v>2.7760754018316596</v>
      </c>
      <c r="AA36">
        <f t="shared" si="17"/>
        <v>4.2418622618359274</v>
      </c>
      <c r="AB36">
        <f t="shared" si="18"/>
        <v>1.4763053851558499</v>
      </c>
      <c r="AC36">
        <f t="shared" si="19"/>
        <v>-200.14350059783987</v>
      </c>
      <c r="AD36">
        <f t="shared" si="20"/>
        <v>-6.8729620741219728</v>
      </c>
      <c r="AE36">
        <f t="shared" si="21"/>
        <v>-0.51637739930399817</v>
      </c>
      <c r="AF36">
        <f t="shared" si="22"/>
        <v>136.87645869152578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52063.611849049041</v>
      </c>
      <c r="AL36" t="s">
        <v>415</v>
      </c>
      <c r="AM36">
        <v>7133.88</v>
      </c>
      <c r="AN36">
        <v>306.28384615384618</v>
      </c>
      <c r="AO36">
        <v>859.63916333292491</v>
      </c>
      <c r="AP36">
        <f t="shared" si="26"/>
        <v>0.64370650010133712</v>
      </c>
      <c r="AQ36">
        <v>-0.73746743666429193</v>
      </c>
      <c r="AR36" t="s">
        <v>505</v>
      </c>
      <c r="AS36">
        <v>7145.52</v>
      </c>
      <c r="AT36">
        <v>647.07384615384626</v>
      </c>
      <c r="AU36">
        <v>1016.036566120008</v>
      </c>
      <c r="AV36">
        <f t="shared" si="27"/>
        <v>0.3631392139508709</v>
      </c>
      <c r="AW36">
        <v>0.5</v>
      </c>
      <c r="AX36">
        <f t="shared" si="28"/>
        <v>1513.3610993813959</v>
      </c>
      <c r="AY36">
        <f t="shared" si="29"/>
        <v>58.444831952629912</v>
      </c>
      <c r="AZ36">
        <f t="shared" si="30"/>
        <v>274.78038002659298</v>
      </c>
      <c r="BA36">
        <f t="shared" si="31"/>
        <v>3.9106528781191523E-2</v>
      </c>
      <c r="BB36">
        <f t="shared" si="32"/>
        <v>-0.15392891161813799</v>
      </c>
      <c r="BC36">
        <f t="shared" si="33"/>
        <v>324.05635073903932</v>
      </c>
      <c r="BD36" t="s">
        <v>506</v>
      </c>
      <c r="BE36">
        <v>477.55</v>
      </c>
      <c r="BF36">
        <f t="shared" si="34"/>
        <v>477.55</v>
      </c>
      <c r="BG36">
        <f t="shared" si="35"/>
        <v>0.52998738832437375</v>
      </c>
      <c r="BH36">
        <f t="shared" si="36"/>
        <v>0.68518463259849283</v>
      </c>
      <c r="BI36">
        <f t="shared" si="37"/>
        <v>-0.40932174423070394</v>
      </c>
      <c r="BJ36">
        <f t="shared" si="38"/>
        <v>0.51984685593561719</v>
      </c>
      <c r="BK36">
        <f t="shared" si="39"/>
        <v>-0.28263467962027239</v>
      </c>
      <c r="BL36">
        <f t="shared" si="40"/>
        <v>0.5056763200094071</v>
      </c>
      <c r="BM36">
        <f t="shared" si="41"/>
        <v>0.4943236799905929</v>
      </c>
      <c r="BN36">
        <v>20732</v>
      </c>
      <c r="BO36">
        <v>290.00000000000011</v>
      </c>
      <c r="BP36">
        <v>908.37</v>
      </c>
      <c r="BQ36">
        <v>295</v>
      </c>
      <c r="BR36">
        <v>7145.52</v>
      </c>
      <c r="BS36">
        <v>911.21</v>
      </c>
      <c r="BT36">
        <v>-2.84</v>
      </c>
      <c r="BU36">
        <v>300.00000000000011</v>
      </c>
      <c r="BV36">
        <v>38.299999999999997</v>
      </c>
      <c r="BW36">
        <v>1016.036566120008</v>
      </c>
      <c r="BX36">
        <v>1.555567108823259</v>
      </c>
      <c r="BY36">
        <v>-74.904039360061688</v>
      </c>
      <c r="BZ36">
        <v>0.93155123456844313</v>
      </c>
      <c r="CA36">
        <v>0.9956879449694227</v>
      </c>
      <c r="CB36">
        <v>-7.0542896551724172E-3</v>
      </c>
      <c r="CC36">
        <v>289.99999999999989</v>
      </c>
      <c r="CD36">
        <v>919.93</v>
      </c>
      <c r="CE36">
        <v>875</v>
      </c>
      <c r="CF36">
        <v>7138.16</v>
      </c>
      <c r="CG36">
        <v>911.1</v>
      </c>
      <c r="CH36">
        <v>8.83</v>
      </c>
      <c r="CV36">
        <f t="shared" si="42"/>
        <v>1800.21</v>
      </c>
      <c r="CW36">
        <f t="shared" si="43"/>
        <v>1513.3610993813959</v>
      </c>
      <c r="CX36">
        <f t="shared" si="44"/>
        <v>0.84065808954588406</v>
      </c>
      <c r="CY36">
        <f t="shared" si="45"/>
        <v>0.19131617909176798</v>
      </c>
      <c r="CZ36">
        <v>5.79</v>
      </c>
      <c r="DA36">
        <v>0.5</v>
      </c>
      <c r="DB36" t="s">
        <v>418</v>
      </c>
      <c r="DC36">
        <v>2</v>
      </c>
      <c r="DD36">
        <v>1700152656</v>
      </c>
      <c r="DE36">
        <v>529.58299999999997</v>
      </c>
      <c r="DF36">
        <v>600.048</v>
      </c>
      <c r="DG36">
        <v>27.887699999999999</v>
      </c>
      <c r="DH36">
        <v>22.778600000000001</v>
      </c>
      <c r="DI36">
        <v>534.78599999999994</v>
      </c>
      <c r="DJ36">
        <v>27.880400000000002</v>
      </c>
      <c r="DK36">
        <v>499.98099999999999</v>
      </c>
      <c r="DL36">
        <v>99.444900000000004</v>
      </c>
      <c r="DM36">
        <v>9.9895800000000007E-2</v>
      </c>
      <c r="DN36">
        <v>29.9239</v>
      </c>
      <c r="DO36">
        <v>29.966999999999999</v>
      </c>
      <c r="DP36">
        <v>999.9</v>
      </c>
      <c r="DQ36">
        <v>0</v>
      </c>
      <c r="DR36">
        <v>0</v>
      </c>
      <c r="DS36">
        <v>9997.5</v>
      </c>
      <c r="DT36">
        <v>0</v>
      </c>
      <c r="DU36">
        <v>216.762</v>
      </c>
      <c r="DV36">
        <v>-70.464699999999993</v>
      </c>
      <c r="DW36">
        <v>544.77599999999995</v>
      </c>
      <c r="DX36">
        <v>614.03499999999997</v>
      </c>
      <c r="DY36">
        <v>5.10907</v>
      </c>
      <c r="DZ36">
        <v>600.048</v>
      </c>
      <c r="EA36">
        <v>22.778600000000001</v>
      </c>
      <c r="EB36">
        <v>2.7732899999999998</v>
      </c>
      <c r="EC36">
        <v>2.2652199999999998</v>
      </c>
      <c r="ED36">
        <v>22.725999999999999</v>
      </c>
      <c r="EE36">
        <v>19.4312</v>
      </c>
      <c r="EF36">
        <v>1800.21</v>
      </c>
      <c r="EG36">
        <v>0.97800399999999998</v>
      </c>
      <c r="EH36">
        <v>2.19963E-2</v>
      </c>
      <c r="EI36">
        <v>0</v>
      </c>
      <c r="EJ36">
        <v>646.995</v>
      </c>
      <c r="EK36">
        <v>5.0009399999999999</v>
      </c>
      <c r="EL36">
        <v>14606.6</v>
      </c>
      <c r="EM36">
        <v>13861.8</v>
      </c>
      <c r="EN36">
        <v>48.625</v>
      </c>
      <c r="EO36">
        <v>50.5</v>
      </c>
      <c r="EP36">
        <v>49.75</v>
      </c>
      <c r="EQ36">
        <v>49.686999999999998</v>
      </c>
      <c r="ER36">
        <v>50.061999999999998</v>
      </c>
      <c r="ES36">
        <v>1755.72</v>
      </c>
      <c r="ET36">
        <v>39.49</v>
      </c>
      <c r="EU36">
        <v>0</v>
      </c>
      <c r="EV36">
        <v>293</v>
      </c>
      <c r="EW36">
        <v>0</v>
      </c>
      <c r="EX36">
        <v>647.07384615384626</v>
      </c>
      <c r="EY36">
        <v>-0.477401713821417</v>
      </c>
      <c r="EZ36">
        <v>-179.6854701281361</v>
      </c>
      <c r="FA36">
        <v>14640.47692307692</v>
      </c>
      <c r="FB36">
        <v>15</v>
      </c>
      <c r="FC36">
        <v>1700152593.5</v>
      </c>
      <c r="FD36" t="s">
        <v>507</v>
      </c>
      <c r="FE36">
        <v>1700152593.5</v>
      </c>
      <c r="FF36">
        <v>1700152586.5</v>
      </c>
      <c r="FG36">
        <v>22</v>
      </c>
      <c r="FH36">
        <v>0.182</v>
      </c>
      <c r="FI36">
        <v>-1.4999999999999999E-2</v>
      </c>
      <c r="FJ36">
        <v>-5.4210000000000003</v>
      </c>
      <c r="FK36">
        <v>7.0000000000000001E-3</v>
      </c>
      <c r="FL36">
        <v>600</v>
      </c>
      <c r="FM36">
        <v>23</v>
      </c>
      <c r="FN36">
        <v>0.02</v>
      </c>
      <c r="FO36">
        <v>0.02</v>
      </c>
      <c r="FP36">
        <v>58.405496123889748</v>
      </c>
      <c r="FQ36">
        <v>0.123902130945167</v>
      </c>
      <c r="FR36">
        <v>3.2372814998371163E-2</v>
      </c>
      <c r="FS36">
        <v>1</v>
      </c>
      <c r="FT36">
        <v>0.30874477967644981</v>
      </c>
      <c r="FU36">
        <v>3.8686445644382637E-2</v>
      </c>
      <c r="FV36">
        <v>3.054563085508655E-3</v>
      </c>
      <c r="FW36">
        <v>1</v>
      </c>
      <c r="FX36">
        <v>2</v>
      </c>
      <c r="FY36">
        <v>2</v>
      </c>
      <c r="FZ36" t="s">
        <v>420</v>
      </c>
      <c r="GA36">
        <v>3.1188699999999998</v>
      </c>
      <c r="GB36">
        <v>2.8774999999999999</v>
      </c>
      <c r="GC36">
        <v>0.107807</v>
      </c>
      <c r="GD36">
        <v>0.11856899999999999</v>
      </c>
      <c r="GE36">
        <v>0.125222</v>
      </c>
      <c r="GF36">
        <v>0.109248</v>
      </c>
      <c r="GG36">
        <v>25859</v>
      </c>
      <c r="GH36">
        <v>26130.7</v>
      </c>
      <c r="GI36">
        <v>26701</v>
      </c>
      <c r="GJ36">
        <v>27385.599999999999</v>
      </c>
      <c r="GK36">
        <v>33427.1</v>
      </c>
      <c r="GL36">
        <v>34100.5</v>
      </c>
      <c r="GM36">
        <v>39571.199999999997</v>
      </c>
      <c r="GN36">
        <v>39668</v>
      </c>
      <c r="GO36">
        <v>1.97505</v>
      </c>
      <c r="GP36">
        <v>2.4129</v>
      </c>
      <c r="GQ36">
        <v>-6.2946199999999994E-2</v>
      </c>
      <c r="GR36">
        <v>0</v>
      </c>
      <c r="GS36">
        <v>30.990500000000001</v>
      </c>
      <c r="GT36">
        <v>999.9</v>
      </c>
      <c r="GU36">
        <v>36.4</v>
      </c>
      <c r="GV36">
        <v>45.6</v>
      </c>
      <c r="GW36">
        <v>36.385599999999997</v>
      </c>
      <c r="GX36">
        <v>63.2926</v>
      </c>
      <c r="GY36">
        <v>7.9086499999999997</v>
      </c>
      <c r="GZ36">
        <v>3</v>
      </c>
      <c r="HA36">
        <v>0.657304</v>
      </c>
      <c r="HB36">
        <v>4.4917499999999997</v>
      </c>
      <c r="HC36">
        <v>20.2376</v>
      </c>
      <c r="HD36">
        <v>5.2112999999999996</v>
      </c>
      <c r="HE36">
        <v>11.9125</v>
      </c>
      <c r="HF36">
        <v>4.9970499999999998</v>
      </c>
      <c r="HG36">
        <v>3.3029999999999999</v>
      </c>
      <c r="HH36">
        <v>9999</v>
      </c>
      <c r="HI36">
        <v>9999</v>
      </c>
      <c r="HJ36">
        <v>9999</v>
      </c>
      <c r="HK36">
        <v>999.9</v>
      </c>
      <c r="HL36">
        <v>1.8849199999999999</v>
      </c>
      <c r="HM36">
        <v>1.8855299999999999</v>
      </c>
      <c r="HN36">
        <v>1.88171</v>
      </c>
      <c r="HO36">
        <v>1.8833599999999999</v>
      </c>
      <c r="HP36">
        <v>1.8801099999999999</v>
      </c>
      <c r="HQ36">
        <v>1.8836200000000001</v>
      </c>
      <c r="HR36">
        <v>1.87958</v>
      </c>
      <c r="HS36">
        <v>1.88202</v>
      </c>
      <c r="HT36">
        <v>5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423</v>
      </c>
      <c r="IB36" t="s">
        <v>423</v>
      </c>
      <c r="IC36" t="s">
        <v>423</v>
      </c>
      <c r="ID36">
        <v>0</v>
      </c>
      <c r="IE36">
        <v>100</v>
      </c>
      <c r="IF36">
        <v>100</v>
      </c>
      <c r="IG36">
        <v>-5.2030000000000003</v>
      </c>
      <c r="IH36">
        <v>7.3000000000000001E-3</v>
      </c>
      <c r="II36">
        <v>-3.3448391958547519</v>
      </c>
      <c r="IJ36">
        <v>-3.7794827560518689E-3</v>
      </c>
      <c r="IK36">
        <v>4.9551128961100493E-7</v>
      </c>
      <c r="IL36">
        <v>1.3680294268397379E-10</v>
      </c>
      <c r="IM36">
        <v>7.3199999999999932E-3</v>
      </c>
      <c r="IN36">
        <v>0</v>
      </c>
      <c r="IO36">
        <v>0</v>
      </c>
      <c r="IP36">
        <v>0</v>
      </c>
      <c r="IQ36">
        <v>4</v>
      </c>
      <c r="IR36">
        <v>2229</v>
      </c>
      <c r="IS36">
        <v>1</v>
      </c>
      <c r="IT36">
        <v>22</v>
      </c>
      <c r="IU36">
        <v>1</v>
      </c>
      <c r="IV36">
        <v>1.2</v>
      </c>
      <c r="IW36">
        <v>2.1118199999999998</v>
      </c>
      <c r="IX36">
        <v>2.5708000000000002</v>
      </c>
      <c r="IY36">
        <v>2.9956100000000001</v>
      </c>
      <c r="IZ36">
        <v>2.96021</v>
      </c>
      <c r="JA36">
        <v>3.1970200000000002</v>
      </c>
      <c r="JB36">
        <v>2.48169</v>
      </c>
      <c r="JC36">
        <v>52.07</v>
      </c>
      <c r="JD36">
        <v>23.544599999999999</v>
      </c>
      <c r="JE36">
        <v>18</v>
      </c>
      <c r="JF36">
        <v>529.92499999999995</v>
      </c>
      <c r="JG36">
        <v>1104</v>
      </c>
      <c r="JH36">
        <v>23.8005</v>
      </c>
      <c r="JI36">
        <v>35.205300000000001</v>
      </c>
      <c r="JJ36">
        <v>29.9999</v>
      </c>
      <c r="JK36">
        <v>35.094099999999997</v>
      </c>
      <c r="JL36">
        <v>34.984200000000001</v>
      </c>
      <c r="JM36">
        <v>42.302100000000003</v>
      </c>
      <c r="JN36">
        <v>34.5182</v>
      </c>
      <c r="JO36">
        <v>0</v>
      </c>
      <c r="JP36">
        <v>23.816700000000001</v>
      </c>
      <c r="JQ36">
        <v>600</v>
      </c>
      <c r="JR36">
        <v>22.6357</v>
      </c>
      <c r="JS36">
        <v>98.621799999999993</v>
      </c>
      <c r="JT36">
        <v>97.039599999999993</v>
      </c>
    </row>
    <row r="37" spans="1:280" x14ac:dyDescent="0.25">
      <c r="A37">
        <v>21</v>
      </c>
      <c r="B37">
        <v>1700152820.5</v>
      </c>
      <c r="C37">
        <v>3839</v>
      </c>
      <c r="D37" t="s">
        <v>508</v>
      </c>
      <c r="E37" t="s">
        <v>509</v>
      </c>
      <c r="F37" t="s">
        <v>412</v>
      </c>
      <c r="G37" t="s">
        <v>482</v>
      </c>
      <c r="H37" t="s">
        <v>483</v>
      </c>
      <c r="I37">
        <v>1700152820.5</v>
      </c>
      <c r="J37">
        <f t="shared" si="0"/>
        <v>5.0007083514728816E-3</v>
      </c>
      <c r="K37">
        <f t="shared" si="1"/>
        <v>5.0007083514728814</v>
      </c>
      <c r="L37">
        <f t="shared" si="2"/>
        <v>55.724643156928778</v>
      </c>
      <c r="M37">
        <f t="shared" si="3"/>
        <v>432.96699999999998</v>
      </c>
      <c r="N37">
        <f t="shared" si="4"/>
        <v>157.17116080127707</v>
      </c>
      <c r="O37">
        <f t="shared" si="5"/>
        <v>15.644069651512956</v>
      </c>
      <c r="P37">
        <f t="shared" si="6"/>
        <v>43.095475469387594</v>
      </c>
      <c r="Q37">
        <f t="shared" si="7"/>
        <v>0.35046023118156</v>
      </c>
      <c r="R37">
        <f t="shared" si="8"/>
        <v>2.9583740665840077</v>
      </c>
      <c r="S37">
        <f t="shared" si="9"/>
        <v>0.3289211448573704</v>
      </c>
      <c r="T37">
        <f t="shared" si="10"/>
        <v>0.20740050951361322</v>
      </c>
      <c r="U37">
        <f t="shared" si="11"/>
        <v>344.38021192262255</v>
      </c>
      <c r="V37">
        <f t="shared" si="12"/>
        <v>30.707146382432821</v>
      </c>
      <c r="W37">
        <f t="shared" si="13"/>
        <v>29.949200000000001</v>
      </c>
      <c r="X37">
        <f t="shared" si="14"/>
        <v>4.248033957148114</v>
      </c>
      <c r="Y37">
        <f t="shared" si="15"/>
        <v>65.501779557839683</v>
      </c>
      <c r="Z37">
        <f t="shared" si="16"/>
        <v>2.7882508959835595</v>
      </c>
      <c r="AA37">
        <f t="shared" si="17"/>
        <v>4.2567559458769599</v>
      </c>
      <c r="AB37">
        <f t="shared" si="18"/>
        <v>1.4597830611645546</v>
      </c>
      <c r="AC37">
        <f t="shared" si="19"/>
        <v>-220.53123829995408</v>
      </c>
      <c r="AD37">
        <f t="shared" si="20"/>
        <v>5.6938594975928325</v>
      </c>
      <c r="AE37">
        <f t="shared" si="21"/>
        <v>0.42781012950483499</v>
      </c>
      <c r="AF37">
        <f t="shared" si="22"/>
        <v>129.97064324976614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52066.580340200868</v>
      </c>
      <c r="AL37" t="s">
        <v>431</v>
      </c>
      <c r="AM37" t="s">
        <v>431</v>
      </c>
      <c r="AN37">
        <v>0</v>
      </c>
      <c r="AO37">
        <v>0</v>
      </c>
      <c r="AP37" t="e">
        <f t="shared" si="26"/>
        <v>#DIV/0!</v>
      </c>
      <c r="AQ37">
        <v>0</v>
      </c>
      <c r="AR37" t="s">
        <v>431</v>
      </c>
      <c r="AS37" t="s">
        <v>431</v>
      </c>
      <c r="AT37">
        <v>0</v>
      </c>
      <c r="AU37">
        <v>0</v>
      </c>
      <c r="AV37" t="e">
        <f t="shared" si="27"/>
        <v>#DIV/0!</v>
      </c>
      <c r="AW37">
        <v>0.5</v>
      </c>
      <c r="AX37">
        <f t="shared" si="28"/>
        <v>1513.2348059613112</v>
      </c>
      <c r="AY37">
        <f t="shared" si="29"/>
        <v>55.724643156928778</v>
      </c>
      <c r="AZ37" t="e">
        <f t="shared" si="30"/>
        <v>#DIV/0!</v>
      </c>
      <c r="BA37">
        <f t="shared" si="31"/>
        <v>3.6824848951005087E-2</v>
      </c>
      <c r="BB37" t="e">
        <f t="shared" si="32"/>
        <v>#DIV/0!</v>
      </c>
      <c r="BC37" t="e">
        <f t="shared" si="33"/>
        <v>#DIV/0!</v>
      </c>
      <c r="BD37" t="s">
        <v>431</v>
      </c>
      <c r="BE37">
        <v>0</v>
      </c>
      <c r="BF37" t="e">
        <f t="shared" si="34"/>
        <v>#DIV/0!</v>
      </c>
      <c r="BG37" t="e">
        <f t="shared" si="35"/>
        <v>#DIV/0!</v>
      </c>
      <c r="BH37" t="e">
        <f t="shared" si="36"/>
        <v>#DIV/0!</v>
      </c>
      <c r="BI37" t="e">
        <f t="shared" si="37"/>
        <v>#DIV/0!</v>
      </c>
      <c r="BJ37" t="e">
        <f t="shared" si="38"/>
        <v>#DIV/0!</v>
      </c>
      <c r="BK37" t="e">
        <f t="shared" si="39"/>
        <v>#DIV/0!</v>
      </c>
      <c r="BL37" t="e">
        <f t="shared" si="40"/>
        <v>#DIV/0!</v>
      </c>
      <c r="BM37" t="e">
        <f t="shared" si="41"/>
        <v>#DIV/0!</v>
      </c>
      <c r="BN37">
        <v>20732</v>
      </c>
      <c r="BO37">
        <v>290.00000000000011</v>
      </c>
      <c r="BP37">
        <v>908.37</v>
      </c>
      <c r="BQ37">
        <v>295</v>
      </c>
      <c r="BR37">
        <v>7145.52</v>
      </c>
      <c r="BS37">
        <v>911.21</v>
      </c>
      <c r="BT37">
        <v>-2.84</v>
      </c>
      <c r="BU37">
        <v>300.00000000000011</v>
      </c>
      <c r="BV37">
        <v>38.299999999999997</v>
      </c>
      <c r="BW37">
        <v>1016.036566120008</v>
      </c>
      <c r="BX37">
        <v>1.555567108823259</v>
      </c>
      <c r="BY37">
        <v>-74.904039360061688</v>
      </c>
      <c r="BZ37">
        <v>0.93155123456844313</v>
      </c>
      <c r="CA37">
        <v>0.9956879449694227</v>
      </c>
      <c r="CB37">
        <v>-7.0542896551724172E-3</v>
      </c>
      <c r="CC37">
        <v>289.99999999999989</v>
      </c>
      <c r="CD37">
        <v>919.93</v>
      </c>
      <c r="CE37">
        <v>875</v>
      </c>
      <c r="CF37">
        <v>7138.16</v>
      </c>
      <c r="CG37">
        <v>911.1</v>
      </c>
      <c r="CH37">
        <v>8.83</v>
      </c>
      <c r="CV37">
        <f t="shared" si="42"/>
        <v>1800.06</v>
      </c>
      <c r="CW37">
        <f t="shared" si="43"/>
        <v>1513.2348059613112</v>
      </c>
      <c r="CX37">
        <f t="shared" si="44"/>
        <v>0.84065798137912695</v>
      </c>
      <c r="CY37">
        <f t="shared" si="45"/>
        <v>0.19131596275825394</v>
      </c>
      <c r="CZ37">
        <v>5.79</v>
      </c>
      <c r="DA37">
        <v>0.5</v>
      </c>
      <c r="DB37" t="s">
        <v>418</v>
      </c>
      <c r="DC37">
        <v>2</v>
      </c>
      <c r="DD37">
        <v>1700152820.5</v>
      </c>
      <c r="DE37">
        <v>432.96699999999998</v>
      </c>
      <c r="DF37">
        <v>500.02</v>
      </c>
      <c r="DG37">
        <v>28.012699999999999</v>
      </c>
      <c r="DH37">
        <v>22.3827</v>
      </c>
      <c r="DI37">
        <v>437.68900000000002</v>
      </c>
      <c r="DJ37">
        <v>28.006</v>
      </c>
      <c r="DK37">
        <v>499.87599999999998</v>
      </c>
      <c r="DL37">
        <v>99.435299999999998</v>
      </c>
      <c r="DM37">
        <v>9.9942799999999998E-2</v>
      </c>
      <c r="DN37">
        <v>29.9849</v>
      </c>
      <c r="DO37">
        <v>29.949200000000001</v>
      </c>
      <c r="DP37">
        <v>999.9</v>
      </c>
      <c r="DQ37">
        <v>0</v>
      </c>
      <c r="DR37">
        <v>0</v>
      </c>
      <c r="DS37">
        <v>10001.200000000001</v>
      </c>
      <c r="DT37">
        <v>0</v>
      </c>
      <c r="DU37">
        <v>157.417</v>
      </c>
      <c r="DV37">
        <v>-67.052199999999999</v>
      </c>
      <c r="DW37">
        <v>445.44600000000003</v>
      </c>
      <c r="DX37">
        <v>511.46800000000002</v>
      </c>
      <c r="DY37">
        <v>5.6300299999999996</v>
      </c>
      <c r="DZ37">
        <v>500.02</v>
      </c>
      <c r="EA37">
        <v>22.3827</v>
      </c>
      <c r="EB37">
        <v>2.78545</v>
      </c>
      <c r="EC37">
        <v>2.2256300000000002</v>
      </c>
      <c r="ED37">
        <v>22.798100000000002</v>
      </c>
      <c r="EE37">
        <v>19.148</v>
      </c>
      <c r="EF37">
        <v>1800.06</v>
      </c>
      <c r="EG37">
        <v>0.97800399999999998</v>
      </c>
      <c r="EH37">
        <v>2.19963E-2</v>
      </c>
      <c r="EI37">
        <v>0</v>
      </c>
      <c r="EJ37">
        <v>647.98199999999997</v>
      </c>
      <c r="EK37">
        <v>5.0009399999999999</v>
      </c>
      <c r="EL37">
        <v>14215</v>
      </c>
      <c r="EM37">
        <v>13860.7</v>
      </c>
      <c r="EN37">
        <v>48.75</v>
      </c>
      <c r="EO37">
        <v>50.561999999999998</v>
      </c>
      <c r="EP37">
        <v>49.75</v>
      </c>
      <c r="EQ37">
        <v>49.811999999999998</v>
      </c>
      <c r="ER37">
        <v>50.125</v>
      </c>
      <c r="ES37">
        <v>1755.57</v>
      </c>
      <c r="ET37">
        <v>39.479999999999997</v>
      </c>
      <c r="EU37">
        <v>0</v>
      </c>
      <c r="EV37">
        <v>162.79999995231631</v>
      </c>
      <c r="EW37">
        <v>0</v>
      </c>
      <c r="EX37">
        <v>647.59155999999996</v>
      </c>
      <c r="EY37">
        <v>1.847076941087842</v>
      </c>
      <c r="EZ37">
        <v>-217.8692310315331</v>
      </c>
      <c r="FA37">
        <v>14243.972</v>
      </c>
      <c r="FB37">
        <v>15</v>
      </c>
      <c r="FC37">
        <v>1700152770</v>
      </c>
      <c r="FD37" t="s">
        <v>510</v>
      </c>
      <c r="FE37">
        <v>1700152770</v>
      </c>
      <c r="FF37">
        <v>1700152766.5</v>
      </c>
      <c r="FG37">
        <v>23</v>
      </c>
      <c r="FH37">
        <v>0.17100000000000001</v>
      </c>
      <c r="FI37">
        <v>-1E-3</v>
      </c>
      <c r="FJ37">
        <v>-4.9379999999999997</v>
      </c>
      <c r="FK37">
        <v>7.0000000000000001E-3</v>
      </c>
      <c r="FL37">
        <v>500</v>
      </c>
      <c r="FM37">
        <v>23</v>
      </c>
      <c r="FN37">
        <v>0.05</v>
      </c>
      <c r="FO37">
        <v>0.02</v>
      </c>
      <c r="FP37">
        <v>55.646101432758009</v>
      </c>
      <c r="FQ37">
        <v>0.61352319578613812</v>
      </c>
      <c r="FR37">
        <v>6.2880487615611214E-2</v>
      </c>
      <c r="FS37">
        <v>1</v>
      </c>
      <c r="FT37">
        <v>0.35186658466881687</v>
      </c>
      <c r="FU37">
        <v>1.331487439543824E-2</v>
      </c>
      <c r="FV37">
        <v>1.7277356310032479E-3</v>
      </c>
      <c r="FW37">
        <v>1</v>
      </c>
      <c r="FX37">
        <v>2</v>
      </c>
      <c r="FY37">
        <v>2</v>
      </c>
      <c r="FZ37" t="s">
        <v>420</v>
      </c>
      <c r="GA37">
        <v>3.1186500000000001</v>
      </c>
      <c r="GB37">
        <v>2.87757</v>
      </c>
      <c r="GC37">
        <v>9.2915600000000001E-2</v>
      </c>
      <c r="GD37">
        <v>0.10394399999999999</v>
      </c>
      <c r="GE37">
        <v>0.12559500000000001</v>
      </c>
      <c r="GF37">
        <v>0.10785699999999999</v>
      </c>
      <c r="GG37">
        <v>26288.2</v>
      </c>
      <c r="GH37">
        <v>26562.3</v>
      </c>
      <c r="GI37">
        <v>26698.6</v>
      </c>
      <c r="GJ37">
        <v>27383.5</v>
      </c>
      <c r="GK37">
        <v>33408.5</v>
      </c>
      <c r="GL37">
        <v>34150.400000000001</v>
      </c>
      <c r="GM37">
        <v>39567.5</v>
      </c>
      <c r="GN37">
        <v>39665.5</v>
      </c>
      <c r="GO37">
        <v>1.9752799999999999</v>
      </c>
      <c r="GP37">
        <v>2.4099200000000001</v>
      </c>
      <c r="GQ37">
        <v>-6.9122799999999998E-2</v>
      </c>
      <c r="GR37">
        <v>0</v>
      </c>
      <c r="GS37">
        <v>31.0731</v>
      </c>
      <c r="GT37">
        <v>999.9</v>
      </c>
      <c r="GU37">
        <v>35.9</v>
      </c>
      <c r="GV37">
        <v>45.9</v>
      </c>
      <c r="GW37">
        <v>36.451099999999997</v>
      </c>
      <c r="GX37">
        <v>63.302700000000002</v>
      </c>
      <c r="GY37">
        <v>8.0248399999999993</v>
      </c>
      <c r="GZ37">
        <v>3</v>
      </c>
      <c r="HA37">
        <v>0.65953300000000004</v>
      </c>
      <c r="HB37">
        <v>4.4508000000000001</v>
      </c>
      <c r="HC37">
        <v>20.238499999999998</v>
      </c>
      <c r="HD37">
        <v>5.21549</v>
      </c>
      <c r="HE37">
        <v>11.911899999999999</v>
      </c>
      <c r="HF37">
        <v>4.9971500000000004</v>
      </c>
      <c r="HG37">
        <v>3.3029999999999999</v>
      </c>
      <c r="HH37">
        <v>9999</v>
      </c>
      <c r="HI37">
        <v>9999</v>
      </c>
      <c r="HJ37">
        <v>9999</v>
      </c>
      <c r="HK37">
        <v>999.9</v>
      </c>
      <c r="HL37">
        <v>1.8849199999999999</v>
      </c>
      <c r="HM37">
        <v>1.8855299999999999</v>
      </c>
      <c r="HN37">
        <v>1.88168</v>
      </c>
      <c r="HO37">
        <v>1.8833899999999999</v>
      </c>
      <c r="HP37">
        <v>1.8801300000000001</v>
      </c>
      <c r="HQ37">
        <v>1.88361</v>
      </c>
      <c r="HR37">
        <v>1.87958</v>
      </c>
      <c r="HS37">
        <v>1.88202</v>
      </c>
      <c r="HT37">
        <v>5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423</v>
      </c>
      <c r="IB37" t="s">
        <v>423</v>
      </c>
      <c r="IC37" t="s">
        <v>423</v>
      </c>
      <c r="ID37">
        <v>0</v>
      </c>
      <c r="IE37">
        <v>100</v>
      </c>
      <c r="IF37">
        <v>100</v>
      </c>
      <c r="IG37">
        <v>-4.7220000000000004</v>
      </c>
      <c r="IH37">
        <v>6.7000000000000002E-3</v>
      </c>
      <c r="II37">
        <v>-3.1737733344281809</v>
      </c>
      <c r="IJ37">
        <v>-3.7794827560518689E-3</v>
      </c>
      <c r="IK37">
        <v>4.9551128961100493E-7</v>
      </c>
      <c r="IL37">
        <v>1.3680294268397379E-10</v>
      </c>
      <c r="IM37">
        <v>6.7249999999994259E-3</v>
      </c>
      <c r="IN37">
        <v>0</v>
      </c>
      <c r="IO37">
        <v>0</v>
      </c>
      <c r="IP37">
        <v>0</v>
      </c>
      <c r="IQ37">
        <v>4</v>
      </c>
      <c r="IR37">
        <v>2229</v>
      </c>
      <c r="IS37">
        <v>1</v>
      </c>
      <c r="IT37">
        <v>22</v>
      </c>
      <c r="IU37">
        <v>0.8</v>
      </c>
      <c r="IV37">
        <v>0.9</v>
      </c>
      <c r="IW37">
        <v>1.8200700000000001</v>
      </c>
      <c r="IX37">
        <v>2.5732400000000002</v>
      </c>
      <c r="IY37">
        <v>2.9956100000000001</v>
      </c>
      <c r="IZ37">
        <v>2.96021</v>
      </c>
      <c r="JA37">
        <v>3.1970200000000002</v>
      </c>
      <c r="JB37">
        <v>2.5134300000000001</v>
      </c>
      <c r="JC37">
        <v>52.479199999999999</v>
      </c>
      <c r="JD37">
        <v>23.5534</v>
      </c>
      <c r="JE37">
        <v>18</v>
      </c>
      <c r="JF37">
        <v>530.43200000000002</v>
      </c>
      <c r="JG37">
        <v>1100.98</v>
      </c>
      <c r="JH37">
        <v>23.925599999999999</v>
      </c>
      <c r="JI37">
        <v>35.208599999999997</v>
      </c>
      <c r="JJ37">
        <v>29.9998</v>
      </c>
      <c r="JK37">
        <v>35.138800000000003</v>
      </c>
      <c r="JL37">
        <v>35.037500000000001</v>
      </c>
      <c r="JM37">
        <v>36.466299999999997</v>
      </c>
      <c r="JN37">
        <v>36.084499999999998</v>
      </c>
      <c r="JO37">
        <v>0</v>
      </c>
      <c r="JP37">
        <v>23.946100000000001</v>
      </c>
      <c r="JQ37">
        <v>500</v>
      </c>
      <c r="JR37">
        <v>22.251100000000001</v>
      </c>
      <c r="JS37">
        <v>98.6126</v>
      </c>
      <c r="JT37">
        <v>97.033000000000001</v>
      </c>
    </row>
    <row r="38" spans="1:280" x14ac:dyDescent="0.25">
      <c r="A38">
        <v>22</v>
      </c>
      <c r="B38">
        <v>1700152996.5</v>
      </c>
      <c r="C38">
        <v>4015</v>
      </c>
      <c r="D38" t="s">
        <v>511</v>
      </c>
      <c r="E38" t="s">
        <v>512</v>
      </c>
      <c r="F38" t="s">
        <v>412</v>
      </c>
      <c r="G38" t="s">
        <v>482</v>
      </c>
      <c r="H38" t="s">
        <v>483</v>
      </c>
      <c r="I38">
        <v>1700152996.5</v>
      </c>
      <c r="J38">
        <f t="shared" si="0"/>
        <v>5.6099116748702504E-3</v>
      </c>
      <c r="K38">
        <f t="shared" si="1"/>
        <v>5.6099116748702507</v>
      </c>
      <c r="L38">
        <f t="shared" si="2"/>
        <v>51.771887951900894</v>
      </c>
      <c r="M38">
        <f t="shared" si="3"/>
        <v>337.86500000000001</v>
      </c>
      <c r="N38">
        <f t="shared" si="4"/>
        <v>110.37053136852217</v>
      </c>
      <c r="O38">
        <f t="shared" si="5"/>
        <v>10.984788716910092</v>
      </c>
      <c r="P38">
        <f t="shared" si="6"/>
        <v>33.626508759360007</v>
      </c>
      <c r="Q38">
        <f t="shared" si="7"/>
        <v>0.39664401472843591</v>
      </c>
      <c r="R38">
        <f t="shared" si="8"/>
        <v>2.9569914534666597</v>
      </c>
      <c r="S38">
        <f t="shared" si="9"/>
        <v>0.36927976823750669</v>
      </c>
      <c r="T38">
        <f t="shared" si="10"/>
        <v>0.23310091511746472</v>
      </c>
      <c r="U38">
        <f t="shared" si="11"/>
        <v>344.36879876296064</v>
      </c>
      <c r="V38">
        <f t="shared" si="12"/>
        <v>30.694196603943432</v>
      </c>
      <c r="W38">
        <f t="shared" si="13"/>
        <v>29.950299999999999</v>
      </c>
      <c r="X38">
        <f t="shared" si="14"/>
        <v>4.2483024691576521</v>
      </c>
      <c r="Y38">
        <f t="shared" si="15"/>
        <v>65.000191760042526</v>
      </c>
      <c r="Z38">
        <f t="shared" si="16"/>
        <v>2.7898064070911999</v>
      </c>
      <c r="AA38">
        <f t="shared" si="17"/>
        <v>4.2919971950085438</v>
      </c>
      <c r="AB38">
        <f t="shared" si="18"/>
        <v>1.4584960620664522</v>
      </c>
      <c r="AC38">
        <f t="shared" si="19"/>
        <v>-247.39710486177805</v>
      </c>
      <c r="AD38">
        <f t="shared" si="20"/>
        <v>28.408167001242351</v>
      </c>
      <c r="AE38">
        <f t="shared" si="21"/>
        <v>2.1369860185585985</v>
      </c>
      <c r="AF38">
        <f t="shared" si="22"/>
        <v>127.51684692098355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52003.167545008815</v>
      </c>
      <c r="AL38" t="s">
        <v>415</v>
      </c>
      <c r="AM38">
        <v>7133.88</v>
      </c>
      <c r="AN38">
        <v>306.28384615384618</v>
      </c>
      <c r="AO38">
        <v>859.63916333292491</v>
      </c>
      <c r="AP38">
        <f t="shared" si="26"/>
        <v>0.64370650010133712</v>
      </c>
      <c r="AQ38">
        <v>-0.73746743666429193</v>
      </c>
      <c r="AR38" t="s">
        <v>513</v>
      </c>
      <c r="AS38">
        <v>7144.86</v>
      </c>
      <c r="AT38">
        <v>650.70242307692308</v>
      </c>
      <c r="AU38">
        <v>968.48757248380616</v>
      </c>
      <c r="AV38">
        <f t="shared" si="27"/>
        <v>0.32812517004413777</v>
      </c>
      <c r="AW38">
        <v>0.5</v>
      </c>
      <c r="AX38">
        <f t="shared" si="28"/>
        <v>1513.1843993814805</v>
      </c>
      <c r="AY38">
        <f t="shared" si="29"/>
        <v>51.771887951900894</v>
      </c>
      <c r="AZ38">
        <f t="shared" si="30"/>
        <v>248.25694417759237</v>
      </c>
      <c r="BA38">
        <f t="shared" si="31"/>
        <v>3.4701227034873321E-2</v>
      </c>
      <c r="BB38">
        <f t="shared" si="32"/>
        <v>-0.1123900938364403</v>
      </c>
      <c r="BC38">
        <f t="shared" si="33"/>
        <v>319.06025010451856</v>
      </c>
      <c r="BD38" t="s">
        <v>514</v>
      </c>
      <c r="BE38">
        <v>476.69</v>
      </c>
      <c r="BF38">
        <f t="shared" si="34"/>
        <v>476.69</v>
      </c>
      <c r="BG38">
        <f t="shared" si="35"/>
        <v>0.50779956961402251</v>
      </c>
      <c r="BH38">
        <f t="shared" si="36"/>
        <v>0.64617063439723887</v>
      </c>
      <c r="BI38">
        <f t="shared" si="37"/>
        <v>-0.28423722930620843</v>
      </c>
      <c r="BJ38">
        <f t="shared" si="38"/>
        <v>0.47989030682158756</v>
      </c>
      <c r="BK38">
        <f t="shared" si="39"/>
        <v>-0.19670617733606302</v>
      </c>
      <c r="BL38">
        <f t="shared" si="40"/>
        <v>0.47337011326052292</v>
      </c>
      <c r="BM38">
        <f t="shared" si="41"/>
        <v>0.52662988673947708</v>
      </c>
      <c r="BN38">
        <v>20734</v>
      </c>
      <c r="BO38">
        <v>290.00000000000011</v>
      </c>
      <c r="BP38">
        <v>877.36</v>
      </c>
      <c r="BQ38">
        <v>285</v>
      </c>
      <c r="BR38">
        <v>7144.86</v>
      </c>
      <c r="BS38">
        <v>879.55</v>
      </c>
      <c r="BT38">
        <v>-2.19</v>
      </c>
      <c r="BU38">
        <v>300.00000000000011</v>
      </c>
      <c r="BV38">
        <v>38.299999999999997</v>
      </c>
      <c r="BW38">
        <v>968.48757248380616</v>
      </c>
      <c r="BX38">
        <v>1.395478338045639</v>
      </c>
      <c r="BY38">
        <v>-63.544167879514113</v>
      </c>
      <c r="BZ38">
        <v>0.83560370409874407</v>
      </c>
      <c r="CA38">
        <v>0.99518152449896813</v>
      </c>
      <c r="CB38">
        <v>-7.0536660734149071E-3</v>
      </c>
      <c r="CC38">
        <v>289.99999999999989</v>
      </c>
      <c r="CD38">
        <v>888.6</v>
      </c>
      <c r="CE38">
        <v>885</v>
      </c>
      <c r="CF38">
        <v>7137.38</v>
      </c>
      <c r="CG38">
        <v>879.46</v>
      </c>
      <c r="CH38">
        <v>9.14</v>
      </c>
      <c r="CV38">
        <f t="shared" si="42"/>
        <v>1800</v>
      </c>
      <c r="CW38">
        <f t="shared" si="43"/>
        <v>1513.1843993814805</v>
      </c>
      <c r="CX38">
        <f t="shared" si="44"/>
        <v>0.840657999656378</v>
      </c>
      <c r="CY38">
        <f t="shared" si="45"/>
        <v>0.19131599931275592</v>
      </c>
      <c r="CZ38">
        <v>5.79</v>
      </c>
      <c r="DA38">
        <v>0.5</v>
      </c>
      <c r="DB38" t="s">
        <v>418</v>
      </c>
      <c r="DC38">
        <v>2</v>
      </c>
      <c r="DD38">
        <v>1700152996.5</v>
      </c>
      <c r="DE38">
        <v>337.86500000000001</v>
      </c>
      <c r="DF38">
        <v>400.005</v>
      </c>
      <c r="DG38">
        <v>28.030799999999999</v>
      </c>
      <c r="DH38">
        <v>21.717300000000002</v>
      </c>
      <c r="DI38">
        <v>342.22300000000001</v>
      </c>
      <c r="DJ38">
        <v>28.034199999999998</v>
      </c>
      <c r="DK38">
        <v>500.05399999999997</v>
      </c>
      <c r="DL38">
        <v>99.426299999999998</v>
      </c>
      <c r="DM38">
        <v>0.100164</v>
      </c>
      <c r="DN38">
        <v>30.128499999999999</v>
      </c>
      <c r="DO38">
        <v>29.950299999999999</v>
      </c>
      <c r="DP38">
        <v>999.9</v>
      </c>
      <c r="DQ38">
        <v>0</v>
      </c>
      <c r="DR38">
        <v>0</v>
      </c>
      <c r="DS38">
        <v>9994.3799999999992</v>
      </c>
      <c r="DT38">
        <v>0</v>
      </c>
      <c r="DU38">
        <v>138.83500000000001</v>
      </c>
      <c r="DV38">
        <v>-62.14</v>
      </c>
      <c r="DW38">
        <v>347.60899999999998</v>
      </c>
      <c r="DX38">
        <v>408.88499999999999</v>
      </c>
      <c r="DY38">
        <v>6.3135599999999998</v>
      </c>
      <c r="DZ38">
        <v>400.005</v>
      </c>
      <c r="EA38">
        <v>21.717300000000002</v>
      </c>
      <c r="EB38">
        <v>2.7869999999999999</v>
      </c>
      <c r="EC38">
        <v>2.1592699999999998</v>
      </c>
      <c r="ED38">
        <v>22.807300000000001</v>
      </c>
      <c r="EE38">
        <v>18.6633</v>
      </c>
      <c r="EF38">
        <v>1800</v>
      </c>
      <c r="EG38">
        <v>0.97800399999999998</v>
      </c>
      <c r="EH38">
        <v>2.19963E-2</v>
      </c>
      <c r="EI38">
        <v>0</v>
      </c>
      <c r="EJ38">
        <v>650.68299999999999</v>
      </c>
      <c r="EK38">
        <v>5.0009399999999999</v>
      </c>
      <c r="EL38">
        <v>13761.3</v>
      </c>
      <c r="EM38">
        <v>13860.2</v>
      </c>
      <c r="EN38">
        <v>48.686999999999998</v>
      </c>
      <c r="EO38">
        <v>50.5</v>
      </c>
      <c r="EP38">
        <v>49.75</v>
      </c>
      <c r="EQ38">
        <v>49.75</v>
      </c>
      <c r="ER38">
        <v>50.125</v>
      </c>
      <c r="ES38">
        <v>1755.52</v>
      </c>
      <c r="ET38">
        <v>39.479999999999997</v>
      </c>
      <c r="EU38">
        <v>0</v>
      </c>
      <c r="EV38">
        <v>338.59999990463263</v>
      </c>
      <c r="EW38">
        <v>0</v>
      </c>
      <c r="EX38">
        <v>650.70242307692308</v>
      </c>
      <c r="EY38">
        <v>-3.6752131623515753E-2</v>
      </c>
      <c r="EZ38">
        <v>-95.69914529340349</v>
      </c>
      <c r="FA38">
        <v>13787.961538461541</v>
      </c>
      <c r="FB38">
        <v>15</v>
      </c>
      <c r="FC38">
        <v>1700152902.5</v>
      </c>
      <c r="FD38" t="s">
        <v>515</v>
      </c>
      <c r="FE38">
        <v>1700152895.5</v>
      </c>
      <c r="FF38">
        <v>1700152902.5</v>
      </c>
      <c r="FG38">
        <v>24</v>
      </c>
      <c r="FH38">
        <v>4.4999999999999998E-2</v>
      </c>
      <c r="FI38">
        <v>-0.01</v>
      </c>
      <c r="FJ38">
        <v>-4.5670000000000002</v>
      </c>
      <c r="FK38">
        <v>-3.0000000000000001E-3</v>
      </c>
      <c r="FL38">
        <v>400</v>
      </c>
      <c r="FM38">
        <v>22</v>
      </c>
      <c r="FN38">
        <v>0.04</v>
      </c>
      <c r="FO38">
        <v>0.02</v>
      </c>
      <c r="FP38">
        <v>51.633928961695979</v>
      </c>
      <c r="FQ38">
        <v>0.6872285395838138</v>
      </c>
      <c r="FR38">
        <v>7.6924543060736206E-2</v>
      </c>
      <c r="FS38">
        <v>1</v>
      </c>
      <c r="FT38">
        <v>0.39548535692028891</v>
      </c>
      <c r="FU38">
        <v>4.2203462702448201E-2</v>
      </c>
      <c r="FV38">
        <v>4.089604298463727E-3</v>
      </c>
      <c r="FW38">
        <v>1</v>
      </c>
      <c r="FX38">
        <v>2</v>
      </c>
      <c r="FY38">
        <v>2</v>
      </c>
      <c r="FZ38" t="s">
        <v>420</v>
      </c>
      <c r="GA38">
        <v>3.1187100000000001</v>
      </c>
      <c r="GB38">
        <v>2.8777400000000002</v>
      </c>
      <c r="GC38">
        <v>7.6747599999999999E-2</v>
      </c>
      <c r="GD38">
        <v>8.7884799999999999E-2</v>
      </c>
      <c r="GE38">
        <v>0.12567900000000001</v>
      </c>
      <c r="GF38">
        <v>0.105534</v>
      </c>
      <c r="GG38">
        <v>26758.9</v>
      </c>
      <c r="GH38">
        <v>27042.7</v>
      </c>
      <c r="GI38">
        <v>26700.6</v>
      </c>
      <c r="GJ38">
        <v>27387.7</v>
      </c>
      <c r="GK38">
        <v>33405.599999999999</v>
      </c>
      <c r="GL38">
        <v>34243.699999999997</v>
      </c>
      <c r="GM38">
        <v>39569.599999999999</v>
      </c>
      <c r="GN38">
        <v>39672.300000000003</v>
      </c>
      <c r="GO38">
        <v>1.9761299999999999</v>
      </c>
      <c r="GP38">
        <v>2.41127</v>
      </c>
      <c r="GQ38">
        <v>-5.4817600000000001E-2</v>
      </c>
      <c r="GR38">
        <v>0</v>
      </c>
      <c r="GS38">
        <v>30.841799999999999</v>
      </c>
      <c r="GT38">
        <v>999.9</v>
      </c>
      <c r="GU38">
        <v>35.299999999999997</v>
      </c>
      <c r="GV38">
        <v>46.3</v>
      </c>
      <c r="GW38">
        <v>36.585299999999997</v>
      </c>
      <c r="GX38">
        <v>63.252699999999997</v>
      </c>
      <c r="GY38">
        <v>8.2331699999999994</v>
      </c>
      <c r="GZ38">
        <v>3</v>
      </c>
      <c r="HA38">
        <v>0.65108500000000002</v>
      </c>
      <c r="HB38">
        <v>3.6522100000000002</v>
      </c>
      <c r="HC38">
        <v>20.2576</v>
      </c>
      <c r="HD38">
        <v>5.2114500000000001</v>
      </c>
      <c r="HE38">
        <v>11.909000000000001</v>
      </c>
      <c r="HF38">
        <v>4.9971500000000004</v>
      </c>
      <c r="HG38">
        <v>3.3029999999999999</v>
      </c>
      <c r="HH38">
        <v>9999</v>
      </c>
      <c r="HI38">
        <v>9999</v>
      </c>
      <c r="HJ38">
        <v>9999</v>
      </c>
      <c r="HK38">
        <v>999.9</v>
      </c>
      <c r="HL38">
        <v>1.8849</v>
      </c>
      <c r="HM38">
        <v>1.8855299999999999</v>
      </c>
      <c r="HN38">
        <v>1.8816600000000001</v>
      </c>
      <c r="HO38">
        <v>1.88337</v>
      </c>
      <c r="HP38">
        <v>1.8800600000000001</v>
      </c>
      <c r="HQ38">
        <v>1.8835599999999999</v>
      </c>
      <c r="HR38">
        <v>1.87958</v>
      </c>
      <c r="HS38">
        <v>1.8819900000000001</v>
      </c>
      <c r="HT38">
        <v>5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423</v>
      </c>
      <c r="IB38" t="s">
        <v>423</v>
      </c>
      <c r="IC38" t="s">
        <v>423</v>
      </c>
      <c r="ID38">
        <v>0</v>
      </c>
      <c r="IE38">
        <v>100</v>
      </c>
      <c r="IF38">
        <v>100</v>
      </c>
      <c r="IG38">
        <v>-4.3579999999999997</v>
      </c>
      <c r="IH38">
        <v>-3.3999999999999998E-3</v>
      </c>
      <c r="II38">
        <v>-3.1283521299230932</v>
      </c>
      <c r="IJ38">
        <v>-3.7794827560518689E-3</v>
      </c>
      <c r="IK38">
        <v>4.9551128961100493E-7</v>
      </c>
      <c r="IL38">
        <v>1.3680294268397379E-10</v>
      </c>
      <c r="IM38">
        <v>-3.355000000002648E-3</v>
      </c>
      <c r="IN38">
        <v>0</v>
      </c>
      <c r="IO38">
        <v>0</v>
      </c>
      <c r="IP38">
        <v>0</v>
      </c>
      <c r="IQ38">
        <v>4</v>
      </c>
      <c r="IR38">
        <v>2229</v>
      </c>
      <c r="IS38">
        <v>1</v>
      </c>
      <c r="IT38">
        <v>22</v>
      </c>
      <c r="IU38">
        <v>1.7</v>
      </c>
      <c r="IV38">
        <v>1.6</v>
      </c>
      <c r="IW38">
        <v>1.5173300000000001</v>
      </c>
      <c r="IX38">
        <v>2.5769000000000002</v>
      </c>
      <c r="IY38">
        <v>2.9956100000000001</v>
      </c>
      <c r="IZ38">
        <v>2.96143</v>
      </c>
      <c r="JA38">
        <v>3.1970200000000002</v>
      </c>
      <c r="JB38">
        <v>2.5341800000000001</v>
      </c>
      <c r="JC38">
        <v>52.720100000000002</v>
      </c>
      <c r="JD38">
        <v>23.562100000000001</v>
      </c>
      <c r="JE38">
        <v>18</v>
      </c>
      <c r="JF38">
        <v>530.80999999999995</v>
      </c>
      <c r="JG38">
        <v>1102.44</v>
      </c>
      <c r="JH38">
        <v>24.842500000000001</v>
      </c>
      <c r="JI38">
        <v>35.165399999999998</v>
      </c>
      <c r="JJ38">
        <v>29.9998</v>
      </c>
      <c r="JK38">
        <v>35.116</v>
      </c>
      <c r="JL38">
        <v>35.0184</v>
      </c>
      <c r="JM38">
        <v>30.404</v>
      </c>
      <c r="JN38">
        <v>37.633899999999997</v>
      </c>
      <c r="JO38">
        <v>0</v>
      </c>
      <c r="JP38">
        <v>24.856000000000002</v>
      </c>
      <c r="JQ38">
        <v>400</v>
      </c>
      <c r="JR38">
        <v>21.652799999999999</v>
      </c>
      <c r="JS38">
        <v>98.618799999999993</v>
      </c>
      <c r="JT38">
        <v>97.048900000000003</v>
      </c>
    </row>
    <row r="39" spans="1:280" x14ac:dyDescent="0.25">
      <c r="A39">
        <v>23</v>
      </c>
      <c r="B39">
        <v>1700153223</v>
      </c>
      <c r="C39">
        <v>4241.5</v>
      </c>
      <c r="D39" t="s">
        <v>516</v>
      </c>
      <c r="E39" t="s">
        <v>517</v>
      </c>
      <c r="F39" t="s">
        <v>412</v>
      </c>
      <c r="G39" t="s">
        <v>482</v>
      </c>
      <c r="H39" t="s">
        <v>483</v>
      </c>
      <c r="I39">
        <v>1700153223</v>
      </c>
      <c r="J39">
        <f t="shared" si="0"/>
        <v>6.6409225140063284E-3</v>
      </c>
      <c r="K39">
        <f t="shared" si="1"/>
        <v>6.6409225140063288</v>
      </c>
      <c r="L39">
        <f t="shared" si="2"/>
        <v>45.672322597879543</v>
      </c>
      <c r="M39">
        <f t="shared" si="3"/>
        <v>245.18700000000001</v>
      </c>
      <c r="N39">
        <f t="shared" si="4"/>
        <v>78.455822266013342</v>
      </c>
      <c r="O39">
        <f t="shared" si="5"/>
        <v>7.808428797247192</v>
      </c>
      <c r="P39">
        <f t="shared" si="6"/>
        <v>24.402589587541801</v>
      </c>
      <c r="Q39">
        <f t="shared" si="7"/>
        <v>0.48322109300116345</v>
      </c>
      <c r="R39">
        <f t="shared" si="8"/>
        <v>2.9607929519268019</v>
      </c>
      <c r="S39">
        <f t="shared" si="9"/>
        <v>0.44329886067122559</v>
      </c>
      <c r="T39">
        <f t="shared" si="10"/>
        <v>0.2803732732273026</v>
      </c>
      <c r="U39">
        <f t="shared" si="11"/>
        <v>344.36369876262671</v>
      </c>
      <c r="V39">
        <f t="shared" si="12"/>
        <v>30.656619846761767</v>
      </c>
      <c r="W39">
        <f t="shared" si="13"/>
        <v>29.979399999999998</v>
      </c>
      <c r="X39">
        <f t="shared" si="14"/>
        <v>4.2554112059875866</v>
      </c>
      <c r="Y39">
        <f t="shared" si="15"/>
        <v>64.790510342258216</v>
      </c>
      <c r="Z39">
        <f t="shared" si="16"/>
        <v>2.8174144084394799</v>
      </c>
      <c r="AA39">
        <f t="shared" si="17"/>
        <v>4.3484985587493998</v>
      </c>
      <c r="AB39">
        <f t="shared" si="18"/>
        <v>1.4379967975481067</v>
      </c>
      <c r="AC39">
        <f t="shared" si="19"/>
        <v>-292.86468286767911</v>
      </c>
      <c r="AD39">
        <f t="shared" si="20"/>
        <v>60.209520102277885</v>
      </c>
      <c r="AE39">
        <f t="shared" si="21"/>
        <v>4.5291695562144652</v>
      </c>
      <c r="AF39">
        <f t="shared" si="22"/>
        <v>116.23770555343995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52070.024854138268</v>
      </c>
      <c r="AL39" t="s">
        <v>415</v>
      </c>
      <c r="AM39">
        <v>7133.88</v>
      </c>
      <c r="AN39">
        <v>306.28384615384618</v>
      </c>
      <c r="AO39">
        <v>859.63916333292491</v>
      </c>
      <c r="AP39">
        <f t="shared" si="26"/>
        <v>0.64370650010133712</v>
      </c>
      <c r="AQ39">
        <v>-0.73746743666429193</v>
      </c>
      <c r="AR39" t="s">
        <v>518</v>
      </c>
      <c r="AS39">
        <v>7145.67</v>
      </c>
      <c r="AT39">
        <v>656.31395999999995</v>
      </c>
      <c r="AU39">
        <v>931.5689936796341</v>
      </c>
      <c r="AV39">
        <f t="shared" si="27"/>
        <v>0.29547466215292928</v>
      </c>
      <c r="AW39">
        <v>0.5</v>
      </c>
      <c r="AX39">
        <f t="shared" si="28"/>
        <v>1513.1594993813135</v>
      </c>
      <c r="AY39">
        <f t="shared" si="29"/>
        <v>45.672322597879543</v>
      </c>
      <c r="AZ39">
        <f t="shared" si="30"/>
        <v>223.55014593159461</v>
      </c>
      <c r="BA39">
        <f t="shared" si="31"/>
        <v>3.0670785236797199E-2</v>
      </c>
      <c r="BB39">
        <f t="shared" si="32"/>
        <v>-7.7213637245043182E-2</v>
      </c>
      <c r="BC39">
        <f t="shared" si="33"/>
        <v>314.94829971389532</v>
      </c>
      <c r="BD39" t="s">
        <v>519</v>
      </c>
      <c r="BE39">
        <v>474.85</v>
      </c>
      <c r="BF39">
        <f t="shared" si="34"/>
        <v>474.85</v>
      </c>
      <c r="BG39">
        <f t="shared" si="35"/>
        <v>0.49026856494614013</v>
      </c>
      <c r="BH39">
        <f t="shared" si="36"/>
        <v>0.60267919111923784</v>
      </c>
      <c r="BI39">
        <f t="shared" si="37"/>
        <v>-0.18693309791698712</v>
      </c>
      <c r="BJ39">
        <f t="shared" si="38"/>
        <v>0.44020721549008507</v>
      </c>
      <c r="BK39">
        <f t="shared" si="39"/>
        <v>-0.12998850487855892</v>
      </c>
      <c r="BL39">
        <f t="shared" si="40"/>
        <v>0.43604468492940501</v>
      </c>
      <c r="BM39">
        <f t="shared" si="41"/>
        <v>0.56395531507059493</v>
      </c>
      <c r="BN39">
        <v>20736</v>
      </c>
      <c r="BO39">
        <v>290.00000000000011</v>
      </c>
      <c r="BP39">
        <v>852.92</v>
      </c>
      <c r="BQ39">
        <v>285</v>
      </c>
      <c r="BR39">
        <v>7145.67</v>
      </c>
      <c r="BS39">
        <v>854.72</v>
      </c>
      <c r="BT39">
        <v>-1.8</v>
      </c>
      <c r="BU39">
        <v>300.00000000000011</v>
      </c>
      <c r="BV39">
        <v>38.200000000000003</v>
      </c>
      <c r="BW39">
        <v>931.5689936796341</v>
      </c>
      <c r="BX39">
        <v>1.1686939668346339</v>
      </c>
      <c r="BY39">
        <v>-54.913843174862897</v>
      </c>
      <c r="BZ39">
        <v>0.69989118622696134</v>
      </c>
      <c r="CA39">
        <v>0.99547222798926804</v>
      </c>
      <c r="CB39">
        <v>-7.0543223581757582E-3</v>
      </c>
      <c r="CC39">
        <v>289.99999999999989</v>
      </c>
      <c r="CD39">
        <v>862.65</v>
      </c>
      <c r="CE39">
        <v>865</v>
      </c>
      <c r="CF39">
        <v>7138.5</v>
      </c>
      <c r="CG39">
        <v>854.64</v>
      </c>
      <c r="CH39">
        <v>8.01</v>
      </c>
      <c r="CV39">
        <f t="shared" si="42"/>
        <v>1799.97</v>
      </c>
      <c r="CW39">
        <f t="shared" si="43"/>
        <v>1513.1594993813135</v>
      </c>
      <c r="CX39">
        <f t="shared" si="44"/>
        <v>0.84065817729257342</v>
      </c>
      <c r="CY39">
        <f t="shared" si="45"/>
        <v>0.19131635458514681</v>
      </c>
      <c r="CZ39">
        <v>5.79</v>
      </c>
      <c r="DA39">
        <v>0.5</v>
      </c>
      <c r="DB39" t="s">
        <v>418</v>
      </c>
      <c r="DC39">
        <v>2</v>
      </c>
      <c r="DD39">
        <v>1700153223</v>
      </c>
      <c r="DE39">
        <v>245.18700000000001</v>
      </c>
      <c r="DF39">
        <v>299.96699999999998</v>
      </c>
      <c r="DG39">
        <v>28.308199999999999</v>
      </c>
      <c r="DH39">
        <v>20.834900000000001</v>
      </c>
      <c r="DI39">
        <v>249.16</v>
      </c>
      <c r="DJ39">
        <v>28.303699999999999</v>
      </c>
      <c r="DK39">
        <v>499.94600000000003</v>
      </c>
      <c r="DL39">
        <v>99.426599999999993</v>
      </c>
      <c r="DM39">
        <v>9.9841399999999997E-2</v>
      </c>
      <c r="DN39">
        <v>30.3566</v>
      </c>
      <c r="DO39">
        <v>29.979399999999998</v>
      </c>
      <c r="DP39">
        <v>999.9</v>
      </c>
      <c r="DQ39">
        <v>0</v>
      </c>
      <c r="DR39">
        <v>0</v>
      </c>
      <c r="DS39">
        <v>10015.6</v>
      </c>
      <c r="DT39">
        <v>0</v>
      </c>
      <c r="DU39">
        <v>133.21</v>
      </c>
      <c r="DV39">
        <v>-54.78</v>
      </c>
      <c r="DW39">
        <v>252.33</v>
      </c>
      <c r="DX39">
        <v>306.34899999999999</v>
      </c>
      <c r="DY39">
        <v>7.4733200000000002</v>
      </c>
      <c r="DZ39">
        <v>299.96699999999998</v>
      </c>
      <c r="EA39">
        <v>20.834900000000001</v>
      </c>
      <c r="EB39">
        <v>2.8145899999999999</v>
      </c>
      <c r="EC39">
        <v>2.0715400000000002</v>
      </c>
      <c r="ED39">
        <v>22.969899999999999</v>
      </c>
      <c r="EE39">
        <v>18.001999999999999</v>
      </c>
      <c r="EF39">
        <v>1799.97</v>
      </c>
      <c r="EG39">
        <v>0.97799999999999998</v>
      </c>
      <c r="EH39">
        <v>2.2000100000000002E-2</v>
      </c>
      <c r="EI39">
        <v>0</v>
      </c>
      <c r="EJ39">
        <v>656.20799999999997</v>
      </c>
      <c r="EK39">
        <v>5.0009399999999999</v>
      </c>
      <c r="EL39">
        <v>14087.8</v>
      </c>
      <c r="EM39">
        <v>13859.9</v>
      </c>
      <c r="EN39">
        <v>48.436999999999998</v>
      </c>
      <c r="EO39">
        <v>50.125</v>
      </c>
      <c r="EP39">
        <v>49.5</v>
      </c>
      <c r="EQ39">
        <v>49.436999999999998</v>
      </c>
      <c r="ER39">
        <v>49.875</v>
      </c>
      <c r="ES39">
        <v>1755.48</v>
      </c>
      <c r="ET39">
        <v>39.49</v>
      </c>
      <c r="EU39">
        <v>0</v>
      </c>
      <c r="EV39">
        <v>224.5999999046326</v>
      </c>
      <c r="EW39">
        <v>0</v>
      </c>
      <c r="EX39">
        <v>656.31395999999995</v>
      </c>
      <c r="EY39">
        <v>2.4846155082874851E-2</v>
      </c>
      <c r="EZ39">
        <v>-30.999999938905031</v>
      </c>
      <c r="FA39">
        <v>14098.18</v>
      </c>
      <c r="FB39">
        <v>15</v>
      </c>
      <c r="FC39">
        <v>1700153106.5</v>
      </c>
      <c r="FD39" t="s">
        <v>520</v>
      </c>
      <c r="FE39">
        <v>1700153092</v>
      </c>
      <c r="FF39">
        <v>1700153106.5</v>
      </c>
      <c r="FG39">
        <v>25</v>
      </c>
      <c r="FH39">
        <v>6.4000000000000001E-2</v>
      </c>
      <c r="FI39">
        <v>8.0000000000000002E-3</v>
      </c>
      <c r="FJ39">
        <v>-4.1639999999999997</v>
      </c>
      <c r="FK39">
        <v>0</v>
      </c>
      <c r="FL39">
        <v>300</v>
      </c>
      <c r="FM39">
        <v>22</v>
      </c>
      <c r="FN39">
        <v>0.03</v>
      </c>
      <c r="FO39">
        <v>0.02</v>
      </c>
      <c r="FP39">
        <v>45.617559592648227</v>
      </c>
      <c r="FQ39">
        <v>0.42594819336209488</v>
      </c>
      <c r="FR39">
        <v>4.2609762081990202E-2</v>
      </c>
      <c r="FS39">
        <v>1</v>
      </c>
      <c r="FT39">
        <v>0.48292018927579061</v>
      </c>
      <c r="FU39">
        <v>1.980934794499626E-3</v>
      </c>
      <c r="FV39">
        <v>4.8435695719522903E-4</v>
      </c>
      <c r="FW39">
        <v>1</v>
      </c>
      <c r="FX39">
        <v>2</v>
      </c>
      <c r="FY39">
        <v>2</v>
      </c>
      <c r="FZ39" t="s">
        <v>420</v>
      </c>
      <c r="GA39">
        <v>3.1183999999999998</v>
      </c>
      <c r="GB39">
        <v>2.8776099999999998</v>
      </c>
      <c r="GC39">
        <v>5.91338E-2</v>
      </c>
      <c r="GD39">
        <v>6.9981799999999997E-2</v>
      </c>
      <c r="GE39">
        <v>0.12659000000000001</v>
      </c>
      <c r="GF39">
        <v>0.102461</v>
      </c>
      <c r="GG39">
        <v>27283.9</v>
      </c>
      <c r="GH39">
        <v>27587.8</v>
      </c>
      <c r="GI39">
        <v>26714.2</v>
      </c>
      <c r="GJ39">
        <v>27401.1</v>
      </c>
      <c r="GK39">
        <v>33384.1</v>
      </c>
      <c r="GL39">
        <v>34374.6</v>
      </c>
      <c r="GM39">
        <v>39588.300000000003</v>
      </c>
      <c r="GN39">
        <v>39689.800000000003</v>
      </c>
      <c r="GO39">
        <v>1.9797</v>
      </c>
      <c r="GP39">
        <v>2.41255</v>
      </c>
      <c r="GQ39">
        <v>-3.0189799999999999E-2</v>
      </c>
      <c r="GR39">
        <v>0</v>
      </c>
      <c r="GS39">
        <v>30.470600000000001</v>
      </c>
      <c r="GT39">
        <v>999.9</v>
      </c>
      <c r="GU39">
        <v>34.700000000000003</v>
      </c>
      <c r="GV39">
        <v>46.7</v>
      </c>
      <c r="GW39">
        <v>36.701300000000003</v>
      </c>
      <c r="GX39">
        <v>62.542700000000004</v>
      </c>
      <c r="GY39">
        <v>8.4455100000000005</v>
      </c>
      <c r="GZ39">
        <v>3</v>
      </c>
      <c r="HA39">
        <v>0.62649100000000002</v>
      </c>
      <c r="HB39">
        <v>3.1981099999999998</v>
      </c>
      <c r="HC39">
        <v>20.266400000000001</v>
      </c>
      <c r="HD39">
        <v>5.2120499999999996</v>
      </c>
      <c r="HE39">
        <v>11.9084</v>
      </c>
      <c r="HF39">
        <v>4.9968500000000002</v>
      </c>
      <c r="HG39">
        <v>3.3029999999999999</v>
      </c>
      <c r="HH39">
        <v>9999</v>
      </c>
      <c r="HI39">
        <v>9999</v>
      </c>
      <c r="HJ39">
        <v>9999</v>
      </c>
      <c r="HK39">
        <v>999.9</v>
      </c>
      <c r="HL39">
        <v>1.8849199999999999</v>
      </c>
      <c r="HM39">
        <v>1.8855299999999999</v>
      </c>
      <c r="HN39">
        <v>1.88164</v>
      </c>
      <c r="HO39">
        <v>1.8833899999999999</v>
      </c>
      <c r="HP39">
        <v>1.8800699999999999</v>
      </c>
      <c r="HQ39">
        <v>1.88357</v>
      </c>
      <c r="HR39">
        <v>1.87958</v>
      </c>
      <c r="HS39">
        <v>1.8819900000000001</v>
      </c>
      <c r="HT39">
        <v>5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423</v>
      </c>
      <c r="IB39" t="s">
        <v>423</v>
      </c>
      <c r="IC39" t="s">
        <v>423</v>
      </c>
      <c r="ID39">
        <v>0</v>
      </c>
      <c r="IE39">
        <v>100</v>
      </c>
      <c r="IF39">
        <v>100</v>
      </c>
      <c r="IG39">
        <v>-3.9729999999999999</v>
      </c>
      <c r="IH39">
        <v>4.4999999999999997E-3</v>
      </c>
      <c r="II39">
        <v>-3.0646736044120559</v>
      </c>
      <c r="IJ39">
        <v>-3.7794827560518689E-3</v>
      </c>
      <c r="IK39">
        <v>4.9551128961100493E-7</v>
      </c>
      <c r="IL39">
        <v>1.3680294268397379E-10</v>
      </c>
      <c r="IM39">
        <v>4.4891923974866299E-3</v>
      </c>
      <c r="IN39">
        <v>0</v>
      </c>
      <c r="IO39">
        <v>0</v>
      </c>
      <c r="IP39">
        <v>0</v>
      </c>
      <c r="IQ39">
        <v>4</v>
      </c>
      <c r="IR39">
        <v>2229</v>
      </c>
      <c r="IS39">
        <v>1</v>
      </c>
      <c r="IT39">
        <v>22</v>
      </c>
      <c r="IU39">
        <v>2.2000000000000002</v>
      </c>
      <c r="IV39">
        <v>1.9</v>
      </c>
      <c r="IW39">
        <v>1.2011700000000001</v>
      </c>
      <c r="IX39">
        <v>2.5915499999999998</v>
      </c>
      <c r="IY39">
        <v>2.9956100000000001</v>
      </c>
      <c r="IZ39">
        <v>2.96265</v>
      </c>
      <c r="JA39">
        <v>3.1970200000000002</v>
      </c>
      <c r="JB39">
        <v>2.5122100000000001</v>
      </c>
      <c r="JC39">
        <v>52.789200000000001</v>
      </c>
      <c r="JD39">
        <v>23.562100000000001</v>
      </c>
      <c r="JE39">
        <v>18</v>
      </c>
      <c r="JF39">
        <v>531.50900000000001</v>
      </c>
      <c r="JG39">
        <v>1100.82</v>
      </c>
      <c r="JH39">
        <v>25.445399999999999</v>
      </c>
      <c r="JI39">
        <v>34.910200000000003</v>
      </c>
      <c r="JJ39">
        <v>29.999600000000001</v>
      </c>
      <c r="JK39">
        <v>34.909999999999997</v>
      </c>
      <c r="JL39">
        <v>34.830300000000001</v>
      </c>
      <c r="JM39">
        <v>24.064699999999998</v>
      </c>
      <c r="JN39">
        <v>39.893599999999999</v>
      </c>
      <c r="JO39">
        <v>0</v>
      </c>
      <c r="JP39">
        <v>25.449200000000001</v>
      </c>
      <c r="JQ39">
        <v>300</v>
      </c>
      <c r="JR39">
        <v>20.907</v>
      </c>
      <c r="JS39">
        <v>98.666799999999995</v>
      </c>
      <c r="JT39">
        <v>97.093699999999998</v>
      </c>
    </row>
    <row r="40" spans="1:280" x14ac:dyDescent="0.25">
      <c r="A40">
        <v>24</v>
      </c>
      <c r="B40">
        <v>1700153414.5</v>
      </c>
      <c r="C40">
        <v>4433</v>
      </c>
      <c r="D40" t="s">
        <v>521</v>
      </c>
      <c r="E40" t="s">
        <v>522</v>
      </c>
      <c r="F40" t="s">
        <v>412</v>
      </c>
      <c r="G40" t="s">
        <v>482</v>
      </c>
      <c r="H40" t="s">
        <v>483</v>
      </c>
      <c r="I40">
        <v>1700153414.5</v>
      </c>
      <c r="J40">
        <f t="shared" si="0"/>
        <v>7.6486875733002184E-3</v>
      </c>
      <c r="K40">
        <f t="shared" si="1"/>
        <v>7.6486875733002186</v>
      </c>
      <c r="L40">
        <f t="shared" si="2"/>
        <v>34.903746403527038</v>
      </c>
      <c r="M40">
        <f t="shared" si="3"/>
        <v>158.16399999999999</v>
      </c>
      <c r="N40">
        <f t="shared" si="4"/>
        <v>49.891410365320574</v>
      </c>
      <c r="O40">
        <f t="shared" si="5"/>
        <v>4.9652855584486995</v>
      </c>
      <c r="P40">
        <f t="shared" si="6"/>
        <v>15.740774199727998</v>
      </c>
      <c r="Q40">
        <f t="shared" si="7"/>
        <v>0.57612314850925705</v>
      </c>
      <c r="R40">
        <f t="shared" si="8"/>
        <v>2.9559006347170467</v>
      </c>
      <c r="S40">
        <f t="shared" si="9"/>
        <v>0.52024002019548743</v>
      </c>
      <c r="T40">
        <f t="shared" si="10"/>
        <v>0.32971800101844206</v>
      </c>
      <c r="U40">
        <f t="shared" si="11"/>
        <v>344.36939876264734</v>
      </c>
      <c r="V40">
        <f t="shared" si="12"/>
        <v>30.550001945327192</v>
      </c>
      <c r="W40">
        <f t="shared" si="13"/>
        <v>30.008199999999999</v>
      </c>
      <c r="X40">
        <f t="shared" si="14"/>
        <v>4.2624568616116782</v>
      </c>
      <c r="Y40">
        <f t="shared" si="15"/>
        <v>65.006763448681923</v>
      </c>
      <c r="Z40">
        <f t="shared" si="16"/>
        <v>2.8515598166151999</v>
      </c>
      <c r="AA40">
        <f t="shared" si="17"/>
        <v>4.3865586676474013</v>
      </c>
      <c r="AB40">
        <f t="shared" si="18"/>
        <v>1.4108970449964784</v>
      </c>
      <c r="AC40">
        <f t="shared" si="19"/>
        <v>-337.30712198253963</v>
      </c>
      <c r="AD40">
        <f t="shared" si="20"/>
        <v>79.774872618444377</v>
      </c>
      <c r="AE40">
        <f t="shared" si="21"/>
        <v>6.016261984515987</v>
      </c>
      <c r="AF40">
        <f t="shared" si="22"/>
        <v>92.853411383068092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51907.537373045576</v>
      </c>
      <c r="AL40" t="s">
        <v>415</v>
      </c>
      <c r="AM40">
        <v>7133.88</v>
      </c>
      <c r="AN40">
        <v>306.28384615384618</v>
      </c>
      <c r="AO40">
        <v>859.63916333292491</v>
      </c>
      <c r="AP40">
        <f t="shared" si="26"/>
        <v>0.64370650010133712</v>
      </c>
      <c r="AQ40">
        <v>-0.73746743666429193</v>
      </c>
      <c r="AR40" t="s">
        <v>523</v>
      </c>
      <c r="AS40">
        <v>7145.7</v>
      </c>
      <c r="AT40">
        <v>670.77231999999992</v>
      </c>
      <c r="AU40">
        <v>881.99120491151916</v>
      </c>
      <c r="AV40">
        <f t="shared" si="27"/>
        <v>0.239479581809105</v>
      </c>
      <c r="AW40">
        <v>0.5</v>
      </c>
      <c r="AX40">
        <f t="shared" si="28"/>
        <v>1513.1846993813235</v>
      </c>
      <c r="AY40">
        <f t="shared" si="29"/>
        <v>34.903746403527038</v>
      </c>
      <c r="AZ40">
        <f t="shared" si="30"/>
        <v>181.18841950388781</v>
      </c>
      <c r="BA40">
        <f t="shared" si="31"/>
        <v>2.355377625399166E-2</v>
      </c>
      <c r="BB40">
        <f t="shared" si="32"/>
        <v>-2.5342703480627789E-2</v>
      </c>
      <c r="BC40">
        <f t="shared" si="33"/>
        <v>309.07461702451292</v>
      </c>
      <c r="BD40" t="s">
        <v>524</v>
      </c>
      <c r="BE40">
        <v>476.68</v>
      </c>
      <c r="BF40">
        <f t="shared" si="34"/>
        <v>476.68</v>
      </c>
      <c r="BG40">
        <f t="shared" si="35"/>
        <v>0.45954109593664227</v>
      </c>
      <c r="BH40">
        <f t="shared" si="36"/>
        <v>0.52112767264262794</v>
      </c>
      <c r="BI40">
        <f t="shared" si="37"/>
        <v>-5.8366645111877224E-2</v>
      </c>
      <c r="BJ40">
        <f t="shared" si="38"/>
        <v>0.36688585215813718</v>
      </c>
      <c r="BK40">
        <f t="shared" si="39"/>
        <v>-4.0393651031567862E-2</v>
      </c>
      <c r="BL40">
        <f t="shared" si="40"/>
        <v>0.37033600163359143</v>
      </c>
      <c r="BM40">
        <f t="shared" si="41"/>
        <v>0.62966399836640852</v>
      </c>
      <c r="BN40">
        <v>20738</v>
      </c>
      <c r="BO40">
        <v>290.00000000000011</v>
      </c>
      <c r="BP40">
        <v>823.81</v>
      </c>
      <c r="BQ40">
        <v>295</v>
      </c>
      <c r="BR40">
        <v>7145.7</v>
      </c>
      <c r="BS40">
        <v>824.58</v>
      </c>
      <c r="BT40">
        <v>-0.77</v>
      </c>
      <c r="BU40">
        <v>300.00000000000011</v>
      </c>
      <c r="BV40">
        <v>38.200000000000003</v>
      </c>
      <c r="BW40">
        <v>881.99120491151916</v>
      </c>
      <c r="BX40">
        <v>1.241413294683642</v>
      </c>
      <c r="BY40">
        <v>-41.026497728994897</v>
      </c>
      <c r="BZ40">
        <v>0.74344269734962076</v>
      </c>
      <c r="CA40">
        <v>0.99088935125154998</v>
      </c>
      <c r="CB40">
        <v>-7.0541999999999992E-3</v>
      </c>
      <c r="CC40">
        <v>289.99999999999989</v>
      </c>
      <c r="CD40">
        <v>830.78</v>
      </c>
      <c r="CE40">
        <v>885</v>
      </c>
      <c r="CF40">
        <v>7138.24</v>
      </c>
      <c r="CG40">
        <v>824.52</v>
      </c>
      <c r="CH40">
        <v>6.26</v>
      </c>
      <c r="CV40">
        <f t="shared" si="42"/>
        <v>1800</v>
      </c>
      <c r="CW40">
        <f t="shared" si="43"/>
        <v>1513.1846993813235</v>
      </c>
      <c r="CX40">
        <f t="shared" si="44"/>
        <v>0.84065816632295753</v>
      </c>
      <c r="CY40">
        <f t="shared" si="45"/>
        <v>0.19131633264591519</v>
      </c>
      <c r="CZ40">
        <v>5.79</v>
      </c>
      <c r="DA40">
        <v>0.5</v>
      </c>
      <c r="DB40" t="s">
        <v>418</v>
      </c>
      <c r="DC40">
        <v>2</v>
      </c>
      <c r="DD40">
        <v>1700153414.5</v>
      </c>
      <c r="DE40">
        <v>158.16399999999999</v>
      </c>
      <c r="DF40">
        <v>199.98099999999999</v>
      </c>
      <c r="DG40">
        <v>28.6526</v>
      </c>
      <c r="DH40">
        <v>20.049700000000001</v>
      </c>
      <c r="DI40">
        <v>161.93299999999999</v>
      </c>
      <c r="DJ40">
        <v>28.638000000000002</v>
      </c>
      <c r="DK40">
        <v>500.029</v>
      </c>
      <c r="DL40">
        <v>99.421700000000001</v>
      </c>
      <c r="DM40">
        <v>0.100152</v>
      </c>
      <c r="DN40">
        <v>30.508800000000001</v>
      </c>
      <c r="DO40">
        <v>30.008199999999999</v>
      </c>
      <c r="DP40">
        <v>999.9</v>
      </c>
      <c r="DQ40">
        <v>0</v>
      </c>
      <c r="DR40">
        <v>0</v>
      </c>
      <c r="DS40">
        <v>9988.75</v>
      </c>
      <c r="DT40">
        <v>0</v>
      </c>
      <c r="DU40">
        <v>140.291</v>
      </c>
      <c r="DV40">
        <v>-41.816299999999998</v>
      </c>
      <c r="DW40">
        <v>162.83000000000001</v>
      </c>
      <c r="DX40">
        <v>204.072</v>
      </c>
      <c r="DY40">
        <v>8.6028500000000001</v>
      </c>
      <c r="DZ40">
        <v>199.98099999999999</v>
      </c>
      <c r="EA40">
        <v>20.049700000000001</v>
      </c>
      <c r="EB40">
        <v>2.8486899999999999</v>
      </c>
      <c r="EC40">
        <v>1.9933799999999999</v>
      </c>
      <c r="ED40">
        <v>23.168900000000001</v>
      </c>
      <c r="EE40">
        <v>17.3918</v>
      </c>
      <c r="EF40">
        <v>1800</v>
      </c>
      <c r="EG40">
        <v>0.97799999999999998</v>
      </c>
      <c r="EH40">
        <v>2.2000100000000002E-2</v>
      </c>
      <c r="EI40">
        <v>0</v>
      </c>
      <c r="EJ40">
        <v>670.5</v>
      </c>
      <c r="EK40">
        <v>5.0009399999999999</v>
      </c>
      <c r="EL40">
        <v>14432.2</v>
      </c>
      <c r="EM40">
        <v>13860.1</v>
      </c>
      <c r="EN40">
        <v>48.375</v>
      </c>
      <c r="EO40">
        <v>50.061999999999998</v>
      </c>
      <c r="EP40">
        <v>49.436999999999998</v>
      </c>
      <c r="EQ40">
        <v>49.436999999999998</v>
      </c>
      <c r="ER40">
        <v>49.811999999999998</v>
      </c>
      <c r="ES40">
        <v>1755.51</v>
      </c>
      <c r="ET40">
        <v>39.49</v>
      </c>
      <c r="EU40">
        <v>0</v>
      </c>
      <c r="EV40">
        <v>189.79999995231631</v>
      </c>
      <c r="EW40">
        <v>0</v>
      </c>
      <c r="EX40">
        <v>670.77231999999992</v>
      </c>
      <c r="EY40">
        <v>-0.64146153810501816</v>
      </c>
      <c r="EZ40">
        <v>76.053846197268385</v>
      </c>
      <c r="FA40">
        <v>14410.24</v>
      </c>
      <c r="FB40">
        <v>15</v>
      </c>
      <c r="FC40">
        <v>1700153321</v>
      </c>
      <c r="FD40" t="s">
        <v>525</v>
      </c>
      <c r="FE40">
        <v>1700153312</v>
      </c>
      <c r="FF40">
        <v>1700153321</v>
      </c>
      <c r="FG40">
        <v>26</v>
      </c>
      <c r="FH40">
        <v>-0.106</v>
      </c>
      <c r="FI40">
        <v>0.01</v>
      </c>
      <c r="FJ40">
        <v>-3.919</v>
      </c>
      <c r="FK40">
        <v>-1.4999999999999999E-2</v>
      </c>
      <c r="FL40">
        <v>200</v>
      </c>
      <c r="FM40">
        <v>21</v>
      </c>
      <c r="FN40">
        <v>0.05</v>
      </c>
      <c r="FO40">
        <v>0.01</v>
      </c>
      <c r="FP40">
        <v>34.811191418947033</v>
      </c>
      <c r="FQ40">
        <v>0.69170937778088282</v>
      </c>
      <c r="FR40">
        <v>5.4933507529219577E-2</v>
      </c>
      <c r="FS40">
        <v>1</v>
      </c>
      <c r="FT40">
        <v>0.57701942889257929</v>
      </c>
      <c r="FU40">
        <v>-1.466040130862023E-2</v>
      </c>
      <c r="FV40">
        <v>1.154276251037638E-3</v>
      </c>
      <c r="FW40">
        <v>1</v>
      </c>
      <c r="FX40">
        <v>2</v>
      </c>
      <c r="FY40">
        <v>2</v>
      </c>
      <c r="FZ40" t="s">
        <v>420</v>
      </c>
      <c r="GA40">
        <v>3.1183100000000001</v>
      </c>
      <c r="GB40">
        <v>2.8776799999999998</v>
      </c>
      <c r="GC40">
        <v>4.0479500000000002E-2</v>
      </c>
      <c r="GD40">
        <v>4.9625299999999997E-2</v>
      </c>
      <c r="GE40">
        <v>0.12767899999999999</v>
      </c>
      <c r="GF40">
        <v>9.9668999999999994E-2</v>
      </c>
      <c r="GG40">
        <v>27832.1</v>
      </c>
      <c r="GH40">
        <v>28201.5</v>
      </c>
      <c r="GI40">
        <v>26721.200000000001</v>
      </c>
      <c r="GJ40">
        <v>27410.6</v>
      </c>
      <c r="GK40">
        <v>33348.199999999997</v>
      </c>
      <c r="GL40">
        <v>34489.699999999997</v>
      </c>
      <c r="GM40">
        <v>39597.800000000003</v>
      </c>
      <c r="GN40">
        <v>39701.4</v>
      </c>
      <c r="GO40">
        <v>1.9826699999999999</v>
      </c>
      <c r="GP40">
        <v>2.4130500000000001</v>
      </c>
      <c r="GQ40">
        <v>-5.3711200000000001E-2</v>
      </c>
      <c r="GR40">
        <v>0</v>
      </c>
      <c r="GS40">
        <v>30.881699999999999</v>
      </c>
      <c r="GT40">
        <v>999.9</v>
      </c>
      <c r="GU40">
        <v>34.299999999999997</v>
      </c>
      <c r="GV40">
        <v>47</v>
      </c>
      <c r="GW40">
        <v>36.840499999999999</v>
      </c>
      <c r="GX40">
        <v>63.0627</v>
      </c>
      <c r="GY40">
        <v>8.6898999999999997</v>
      </c>
      <c r="GZ40">
        <v>3</v>
      </c>
      <c r="HA40">
        <v>0.61538599999999999</v>
      </c>
      <c r="HB40">
        <v>3.8046199999999999</v>
      </c>
      <c r="HC40">
        <v>20.254300000000001</v>
      </c>
      <c r="HD40">
        <v>5.2142900000000001</v>
      </c>
      <c r="HE40">
        <v>11.9086</v>
      </c>
      <c r="HF40">
        <v>4.9970999999999997</v>
      </c>
      <c r="HG40">
        <v>3.3029799999999998</v>
      </c>
      <c r="HH40">
        <v>9999</v>
      </c>
      <c r="HI40">
        <v>9999</v>
      </c>
      <c r="HJ40">
        <v>9999</v>
      </c>
      <c r="HK40">
        <v>999.9</v>
      </c>
      <c r="HL40">
        <v>1.8849199999999999</v>
      </c>
      <c r="HM40">
        <v>1.8855299999999999</v>
      </c>
      <c r="HN40">
        <v>1.88168</v>
      </c>
      <c r="HO40">
        <v>1.8833899999999999</v>
      </c>
      <c r="HP40">
        <v>1.88008</v>
      </c>
      <c r="HQ40">
        <v>1.8835900000000001</v>
      </c>
      <c r="HR40">
        <v>1.87958</v>
      </c>
      <c r="HS40">
        <v>1.88202</v>
      </c>
      <c r="HT40">
        <v>5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423</v>
      </c>
      <c r="IB40" t="s">
        <v>423</v>
      </c>
      <c r="IC40" t="s">
        <v>423</v>
      </c>
      <c r="ID40">
        <v>0</v>
      </c>
      <c r="IE40">
        <v>100</v>
      </c>
      <c r="IF40">
        <v>100</v>
      </c>
      <c r="IG40">
        <v>-3.7690000000000001</v>
      </c>
      <c r="IH40">
        <v>1.46E-2</v>
      </c>
      <c r="II40">
        <v>-3.1702983433511851</v>
      </c>
      <c r="IJ40">
        <v>-3.7794827560518689E-3</v>
      </c>
      <c r="IK40">
        <v>4.9551128961100493E-7</v>
      </c>
      <c r="IL40">
        <v>1.3680294268397379E-10</v>
      </c>
      <c r="IM40">
        <v>1.4603912326457689E-2</v>
      </c>
      <c r="IN40">
        <v>0</v>
      </c>
      <c r="IO40">
        <v>0</v>
      </c>
      <c r="IP40">
        <v>0</v>
      </c>
      <c r="IQ40">
        <v>4</v>
      </c>
      <c r="IR40">
        <v>2229</v>
      </c>
      <c r="IS40">
        <v>1</v>
      </c>
      <c r="IT40">
        <v>22</v>
      </c>
      <c r="IU40">
        <v>1.7</v>
      </c>
      <c r="IV40">
        <v>1.6</v>
      </c>
      <c r="IW40">
        <v>0.86792000000000002</v>
      </c>
      <c r="IX40">
        <v>2.6013199999999999</v>
      </c>
      <c r="IY40">
        <v>2.9956100000000001</v>
      </c>
      <c r="IZ40">
        <v>2.96265</v>
      </c>
      <c r="JA40">
        <v>3.1970200000000002</v>
      </c>
      <c r="JB40">
        <v>2.50732</v>
      </c>
      <c r="JC40">
        <v>52.823799999999999</v>
      </c>
      <c r="JD40">
        <v>23.5534</v>
      </c>
      <c r="JE40">
        <v>18</v>
      </c>
      <c r="JF40">
        <v>532.25900000000001</v>
      </c>
      <c r="JG40">
        <v>1099</v>
      </c>
      <c r="JH40">
        <v>25.2088</v>
      </c>
      <c r="JI40">
        <v>34.7622</v>
      </c>
      <c r="JJ40">
        <v>30.0001</v>
      </c>
      <c r="JK40">
        <v>34.760199999999998</v>
      </c>
      <c r="JL40">
        <v>34.690300000000001</v>
      </c>
      <c r="JM40">
        <v>17.395099999999999</v>
      </c>
      <c r="JN40">
        <v>41.744700000000002</v>
      </c>
      <c r="JO40">
        <v>0</v>
      </c>
      <c r="JP40">
        <v>25.2056</v>
      </c>
      <c r="JQ40">
        <v>200</v>
      </c>
      <c r="JR40">
        <v>19.9499</v>
      </c>
      <c r="JS40">
        <v>98.691199999999995</v>
      </c>
      <c r="JT40">
        <v>97.124099999999999</v>
      </c>
    </row>
    <row r="41" spans="1:280" x14ac:dyDescent="0.25">
      <c r="A41">
        <v>25</v>
      </c>
      <c r="B41">
        <v>1700153557</v>
      </c>
      <c r="C41">
        <v>4575.5</v>
      </c>
      <c r="D41" t="s">
        <v>526</v>
      </c>
      <c r="E41" t="s">
        <v>527</v>
      </c>
      <c r="F41" t="s">
        <v>412</v>
      </c>
      <c r="G41" t="s">
        <v>482</v>
      </c>
      <c r="H41" t="s">
        <v>483</v>
      </c>
      <c r="I41">
        <v>1700153557</v>
      </c>
      <c r="J41">
        <f t="shared" si="0"/>
        <v>8.0068313980049231E-3</v>
      </c>
      <c r="K41">
        <f t="shared" si="1"/>
        <v>8.0068313980049233</v>
      </c>
      <c r="L41">
        <f t="shared" si="2"/>
        <v>22.2851066478378</v>
      </c>
      <c r="M41">
        <f t="shared" si="3"/>
        <v>93.326899999999995</v>
      </c>
      <c r="N41">
        <f t="shared" si="4"/>
        <v>29.367153604701389</v>
      </c>
      <c r="O41">
        <f t="shared" si="5"/>
        <v>2.9226321921865206</v>
      </c>
      <c r="P41">
        <f t="shared" si="6"/>
        <v>9.2879346091378086</v>
      </c>
      <c r="Q41">
        <f t="shared" si="7"/>
        <v>0.62670782634607447</v>
      </c>
      <c r="R41">
        <f t="shared" si="8"/>
        <v>2.9607921585850434</v>
      </c>
      <c r="S41">
        <f t="shared" si="9"/>
        <v>0.56127307858305553</v>
      </c>
      <c r="T41">
        <f t="shared" si="10"/>
        <v>0.35610369383652363</v>
      </c>
      <c r="U41">
        <f t="shared" si="11"/>
        <v>344.37319876266105</v>
      </c>
      <c r="V41">
        <f t="shared" si="12"/>
        <v>30.424656741279264</v>
      </c>
      <c r="W41">
        <f t="shared" si="13"/>
        <v>29.975000000000001</v>
      </c>
      <c r="X41">
        <f t="shared" si="14"/>
        <v>4.2543356806559256</v>
      </c>
      <c r="Y41">
        <f t="shared" si="15"/>
        <v>65.907246051582334</v>
      </c>
      <c r="Z41">
        <f t="shared" si="16"/>
        <v>2.8855554916975392</v>
      </c>
      <c r="AA41">
        <f t="shared" si="17"/>
        <v>4.3782067444286143</v>
      </c>
      <c r="AB41">
        <f t="shared" si="18"/>
        <v>1.3687801889583864</v>
      </c>
      <c r="AC41">
        <f t="shared" si="19"/>
        <v>-353.10126465201711</v>
      </c>
      <c r="AD41">
        <f t="shared" si="20"/>
        <v>79.890924540245067</v>
      </c>
      <c r="AE41">
        <f t="shared" si="21"/>
        <v>6.0130818729638742</v>
      </c>
      <c r="AF41">
        <f t="shared" si="22"/>
        <v>77.175940523852887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52049.472413118761</v>
      </c>
      <c r="AL41" t="s">
        <v>431</v>
      </c>
      <c r="AM41" t="s">
        <v>431</v>
      </c>
      <c r="AN41">
        <v>0</v>
      </c>
      <c r="AO41">
        <v>0</v>
      </c>
      <c r="AP41" t="e">
        <f t="shared" si="26"/>
        <v>#DIV/0!</v>
      </c>
      <c r="AQ41">
        <v>0</v>
      </c>
      <c r="AR41" t="s">
        <v>431</v>
      </c>
      <c r="AS41" t="s">
        <v>431</v>
      </c>
      <c r="AT41">
        <v>0</v>
      </c>
      <c r="AU41">
        <v>0</v>
      </c>
      <c r="AV41" t="e">
        <f t="shared" si="27"/>
        <v>#DIV/0!</v>
      </c>
      <c r="AW41">
        <v>0.5</v>
      </c>
      <c r="AX41">
        <f t="shared" si="28"/>
        <v>1513.2014993813304</v>
      </c>
      <c r="AY41">
        <f t="shared" si="29"/>
        <v>22.2851066478378</v>
      </c>
      <c r="AZ41" t="e">
        <f t="shared" si="30"/>
        <v>#DIV/0!</v>
      </c>
      <c r="BA41">
        <f t="shared" si="31"/>
        <v>1.4727124349895915E-2</v>
      </c>
      <c r="BB41" t="e">
        <f t="shared" si="32"/>
        <v>#DIV/0!</v>
      </c>
      <c r="BC41" t="e">
        <f t="shared" si="33"/>
        <v>#DIV/0!</v>
      </c>
      <c r="BD41" t="s">
        <v>431</v>
      </c>
      <c r="BE41">
        <v>0</v>
      </c>
      <c r="BF41" t="e">
        <f t="shared" si="34"/>
        <v>#DIV/0!</v>
      </c>
      <c r="BG41" t="e">
        <f t="shared" si="35"/>
        <v>#DIV/0!</v>
      </c>
      <c r="BH41" t="e">
        <f t="shared" si="36"/>
        <v>#DIV/0!</v>
      </c>
      <c r="BI41" t="e">
        <f t="shared" si="37"/>
        <v>#DIV/0!</v>
      </c>
      <c r="BJ41" t="e">
        <f t="shared" si="38"/>
        <v>#DIV/0!</v>
      </c>
      <c r="BK41" t="e">
        <f t="shared" si="39"/>
        <v>#DIV/0!</v>
      </c>
      <c r="BL41" t="e">
        <f t="shared" si="40"/>
        <v>#DIV/0!</v>
      </c>
      <c r="BM41" t="e">
        <f t="shared" si="41"/>
        <v>#DIV/0!</v>
      </c>
      <c r="BN41">
        <v>20738</v>
      </c>
      <c r="BO41">
        <v>290.00000000000011</v>
      </c>
      <c r="BP41">
        <v>823.81</v>
      </c>
      <c r="BQ41">
        <v>295</v>
      </c>
      <c r="BR41">
        <v>7145.7</v>
      </c>
      <c r="BS41">
        <v>824.58</v>
      </c>
      <c r="BT41">
        <v>-0.77</v>
      </c>
      <c r="BU41">
        <v>300.00000000000011</v>
      </c>
      <c r="BV41">
        <v>38.200000000000003</v>
      </c>
      <c r="BW41">
        <v>881.99120491151916</v>
      </c>
      <c r="BX41">
        <v>1.241413294683642</v>
      </c>
      <c r="BY41">
        <v>-41.026497728994897</v>
      </c>
      <c r="BZ41">
        <v>0.74344269734962076</v>
      </c>
      <c r="CA41">
        <v>0.99088935125154998</v>
      </c>
      <c r="CB41">
        <v>-7.0541999999999992E-3</v>
      </c>
      <c r="CC41">
        <v>289.99999999999989</v>
      </c>
      <c r="CD41">
        <v>830.78</v>
      </c>
      <c r="CE41">
        <v>885</v>
      </c>
      <c r="CF41">
        <v>7138.24</v>
      </c>
      <c r="CG41">
        <v>824.52</v>
      </c>
      <c r="CH41">
        <v>6.26</v>
      </c>
      <c r="CV41">
        <f t="shared" si="42"/>
        <v>1800.02</v>
      </c>
      <c r="CW41">
        <f t="shared" si="43"/>
        <v>1513.2014993813304</v>
      </c>
      <c r="CX41">
        <f t="shared" si="44"/>
        <v>0.84065815901008345</v>
      </c>
      <c r="CY41">
        <f t="shared" si="45"/>
        <v>0.19131631802016702</v>
      </c>
      <c r="CZ41">
        <v>5.79</v>
      </c>
      <c r="DA41">
        <v>0.5</v>
      </c>
      <c r="DB41" t="s">
        <v>418</v>
      </c>
      <c r="DC41">
        <v>2</v>
      </c>
      <c r="DD41">
        <v>1700153557</v>
      </c>
      <c r="DE41">
        <v>93.326899999999995</v>
      </c>
      <c r="DF41">
        <v>120.002</v>
      </c>
      <c r="DG41">
        <v>28.994599999999998</v>
      </c>
      <c r="DH41">
        <v>19.990300000000001</v>
      </c>
      <c r="DI41">
        <v>96.858400000000003</v>
      </c>
      <c r="DJ41">
        <v>28.9694</v>
      </c>
      <c r="DK41">
        <v>499.93200000000002</v>
      </c>
      <c r="DL41">
        <v>99.420599999999993</v>
      </c>
      <c r="DM41">
        <v>9.98449E-2</v>
      </c>
      <c r="DN41">
        <v>30.4755</v>
      </c>
      <c r="DO41">
        <v>29.975000000000001</v>
      </c>
      <c r="DP41">
        <v>999.9</v>
      </c>
      <c r="DQ41">
        <v>0</v>
      </c>
      <c r="DR41">
        <v>0</v>
      </c>
      <c r="DS41">
        <v>10016.200000000001</v>
      </c>
      <c r="DT41">
        <v>0</v>
      </c>
      <c r="DU41">
        <v>145.416</v>
      </c>
      <c r="DV41">
        <v>-26.675599999999999</v>
      </c>
      <c r="DW41">
        <v>96.113699999999994</v>
      </c>
      <c r="DX41">
        <v>122.45</v>
      </c>
      <c r="DY41">
        <v>9.0043100000000003</v>
      </c>
      <c r="DZ41">
        <v>120.002</v>
      </c>
      <c r="EA41">
        <v>19.990300000000001</v>
      </c>
      <c r="EB41">
        <v>2.88266</v>
      </c>
      <c r="EC41">
        <v>1.9874499999999999</v>
      </c>
      <c r="ED41">
        <v>23.365200000000002</v>
      </c>
      <c r="EE41">
        <v>17.3447</v>
      </c>
      <c r="EF41">
        <v>1800.02</v>
      </c>
      <c r="EG41">
        <v>0.97799999999999998</v>
      </c>
      <c r="EH41">
        <v>2.2000200000000001E-2</v>
      </c>
      <c r="EI41">
        <v>0</v>
      </c>
      <c r="EJ41">
        <v>694.33199999999999</v>
      </c>
      <c r="EK41">
        <v>5.0009399999999999</v>
      </c>
      <c r="EL41">
        <v>15018.5</v>
      </c>
      <c r="EM41">
        <v>13860.3</v>
      </c>
      <c r="EN41">
        <v>48.436999999999998</v>
      </c>
      <c r="EO41">
        <v>50.125</v>
      </c>
      <c r="EP41">
        <v>49.5</v>
      </c>
      <c r="EQ41">
        <v>49.561999999999998</v>
      </c>
      <c r="ER41">
        <v>49.936999999999998</v>
      </c>
      <c r="ES41">
        <v>1755.53</v>
      </c>
      <c r="ET41">
        <v>39.49</v>
      </c>
      <c r="EU41">
        <v>0</v>
      </c>
      <c r="EV41">
        <v>140.39999985694891</v>
      </c>
      <c r="EW41">
        <v>0</v>
      </c>
      <c r="EX41">
        <v>694.00555999999995</v>
      </c>
      <c r="EY41">
        <v>1.2794615341580631</v>
      </c>
      <c r="EZ41">
        <v>63.192307782109403</v>
      </c>
      <c r="FA41">
        <v>15042.108</v>
      </c>
      <c r="FB41">
        <v>15</v>
      </c>
      <c r="FC41">
        <v>1700153512.5</v>
      </c>
      <c r="FD41" t="s">
        <v>528</v>
      </c>
      <c r="FE41">
        <v>1700153510</v>
      </c>
      <c r="FF41">
        <v>1700153512.5</v>
      </c>
      <c r="FG41">
        <v>27</v>
      </c>
      <c r="FH41">
        <v>0</v>
      </c>
      <c r="FI41">
        <v>1.0999999999999999E-2</v>
      </c>
      <c r="FJ41">
        <v>-3.63</v>
      </c>
      <c r="FK41">
        <v>-2.7E-2</v>
      </c>
      <c r="FL41">
        <v>120</v>
      </c>
      <c r="FM41">
        <v>20</v>
      </c>
      <c r="FN41">
        <v>0.06</v>
      </c>
      <c r="FO41">
        <v>0.01</v>
      </c>
      <c r="FP41">
        <v>22.203066046676099</v>
      </c>
      <c r="FQ41">
        <v>0.44213970005806669</v>
      </c>
      <c r="FR41">
        <v>3.5274451961424952E-2</v>
      </c>
      <c r="FS41">
        <v>1</v>
      </c>
      <c r="FT41">
        <v>0.61622801526596882</v>
      </c>
      <c r="FU41">
        <v>4.5993192071924503E-2</v>
      </c>
      <c r="FV41">
        <v>3.5321471564485249E-3</v>
      </c>
      <c r="FW41">
        <v>1</v>
      </c>
      <c r="FX41">
        <v>2</v>
      </c>
      <c r="FY41">
        <v>2</v>
      </c>
      <c r="FZ41" t="s">
        <v>420</v>
      </c>
      <c r="GA41">
        <v>3.1181899999999998</v>
      </c>
      <c r="GB41">
        <v>2.8776199999999998</v>
      </c>
      <c r="GC41">
        <v>2.5031600000000001E-2</v>
      </c>
      <c r="GD41">
        <v>3.1172800000000001E-2</v>
      </c>
      <c r="GE41">
        <v>0.128717</v>
      </c>
      <c r="GF41">
        <v>9.9456299999999997E-2</v>
      </c>
      <c r="GG41">
        <v>28278.3</v>
      </c>
      <c r="GH41">
        <v>28748.2</v>
      </c>
      <c r="GI41">
        <v>26720</v>
      </c>
      <c r="GJ41">
        <v>27410.5</v>
      </c>
      <c r="GK41">
        <v>33306.199999999997</v>
      </c>
      <c r="GL41">
        <v>34496.199999999997</v>
      </c>
      <c r="GM41">
        <v>39596.300000000003</v>
      </c>
      <c r="GN41">
        <v>39701.199999999997</v>
      </c>
      <c r="GO41">
        <v>1.98288</v>
      </c>
      <c r="GP41">
        <v>2.4134199999999999</v>
      </c>
      <c r="GQ41">
        <v>-6.9342600000000004E-2</v>
      </c>
      <c r="GR41">
        <v>0</v>
      </c>
      <c r="GS41">
        <v>31.102499999999999</v>
      </c>
      <c r="GT41">
        <v>999.9</v>
      </c>
      <c r="GU41">
        <v>34.1</v>
      </c>
      <c r="GV41">
        <v>47.2</v>
      </c>
      <c r="GW41">
        <v>37.003799999999998</v>
      </c>
      <c r="GX41">
        <v>62.832799999999999</v>
      </c>
      <c r="GY41">
        <v>8.7860600000000009</v>
      </c>
      <c r="GZ41">
        <v>3</v>
      </c>
      <c r="HA41">
        <v>0.61470999999999998</v>
      </c>
      <c r="HB41">
        <v>2.6207500000000001</v>
      </c>
      <c r="HC41">
        <v>20.2776</v>
      </c>
      <c r="HD41">
        <v>5.2111499999999999</v>
      </c>
      <c r="HE41">
        <v>11.908099999999999</v>
      </c>
      <c r="HF41">
        <v>4.9966999999999997</v>
      </c>
      <c r="HG41">
        <v>3.3029799999999998</v>
      </c>
      <c r="HH41">
        <v>9999</v>
      </c>
      <c r="HI41">
        <v>9999</v>
      </c>
      <c r="HJ41">
        <v>9999</v>
      </c>
      <c r="HK41">
        <v>999.9</v>
      </c>
      <c r="HL41">
        <v>1.8849199999999999</v>
      </c>
      <c r="HM41">
        <v>1.8855299999999999</v>
      </c>
      <c r="HN41">
        <v>1.88171</v>
      </c>
      <c r="HO41">
        <v>1.8833899999999999</v>
      </c>
      <c r="HP41">
        <v>1.8801300000000001</v>
      </c>
      <c r="HQ41">
        <v>1.88364</v>
      </c>
      <c r="HR41">
        <v>1.8795900000000001</v>
      </c>
      <c r="HS41">
        <v>1.88201</v>
      </c>
      <c r="HT41">
        <v>5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423</v>
      </c>
      <c r="IB41" t="s">
        <v>423</v>
      </c>
      <c r="IC41" t="s">
        <v>423</v>
      </c>
      <c r="ID41">
        <v>0</v>
      </c>
      <c r="IE41">
        <v>100</v>
      </c>
      <c r="IF41">
        <v>100</v>
      </c>
      <c r="IG41">
        <v>-3.532</v>
      </c>
      <c r="IH41">
        <v>2.52E-2</v>
      </c>
      <c r="II41">
        <v>-3.1702463109754002</v>
      </c>
      <c r="IJ41">
        <v>-3.7794827560518689E-3</v>
      </c>
      <c r="IK41">
        <v>4.9551128961100493E-7</v>
      </c>
      <c r="IL41">
        <v>1.3680294268397379E-10</v>
      </c>
      <c r="IM41">
        <v>2.517951906830251E-2</v>
      </c>
      <c r="IN41">
        <v>0</v>
      </c>
      <c r="IO41">
        <v>0</v>
      </c>
      <c r="IP41">
        <v>0</v>
      </c>
      <c r="IQ41">
        <v>4</v>
      </c>
      <c r="IR41">
        <v>2229</v>
      </c>
      <c r="IS41">
        <v>1</v>
      </c>
      <c r="IT41">
        <v>22</v>
      </c>
      <c r="IU41">
        <v>0.8</v>
      </c>
      <c r="IV41">
        <v>0.7</v>
      </c>
      <c r="IW41">
        <v>0.58837899999999999</v>
      </c>
      <c r="IX41">
        <v>2.6122999999999998</v>
      </c>
      <c r="IY41">
        <v>2.9956100000000001</v>
      </c>
      <c r="IZ41">
        <v>2.96265</v>
      </c>
      <c r="JA41">
        <v>3.1970200000000002</v>
      </c>
      <c r="JB41">
        <v>2.5</v>
      </c>
      <c r="JC41">
        <v>52.789200000000001</v>
      </c>
      <c r="JD41">
        <v>23.579699999999999</v>
      </c>
      <c r="JE41">
        <v>18</v>
      </c>
      <c r="JF41">
        <v>532.34900000000005</v>
      </c>
      <c r="JG41">
        <v>1099.21</v>
      </c>
      <c r="JH41">
        <v>24.773800000000001</v>
      </c>
      <c r="JI41">
        <v>34.7896</v>
      </c>
      <c r="JJ41">
        <v>29.995200000000001</v>
      </c>
      <c r="JK41">
        <v>34.755099999999999</v>
      </c>
      <c r="JL41">
        <v>34.674599999999998</v>
      </c>
      <c r="JM41">
        <v>11.8057</v>
      </c>
      <c r="JN41">
        <v>42.267000000000003</v>
      </c>
      <c r="JO41">
        <v>0</v>
      </c>
      <c r="JP41">
        <v>24.9833</v>
      </c>
      <c r="JQ41">
        <v>120</v>
      </c>
      <c r="JR41">
        <v>19.724599999999999</v>
      </c>
      <c r="JS41">
        <v>98.687299999999993</v>
      </c>
      <c r="JT41">
        <v>97.123599999999996</v>
      </c>
    </row>
    <row r="42" spans="1:280" x14ac:dyDescent="0.25">
      <c r="A42">
        <v>26</v>
      </c>
      <c r="B42">
        <v>1700153683</v>
      </c>
      <c r="C42">
        <v>4701.5</v>
      </c>
      <c r="D42" t="s">
        <v>529</v>
      </c>
      <c r="E42" t="s">
        <v>530</v>
      </c>
      <c r="F42" t="s">
        <v>412</v>
      </c>
      <c r="G42" t="s">
        <v>482</v>
      </c>
      <c r="H42" t="s">
        <v>483</v>
      </c>
      <c r="I42">
        <v>1700153683</v>
      </c>
      <c r="J42">
        <f t="shared" si="0"/>
        <v>8.5120538022158618E-3</v>
      </c>
      <c r="K42">
        <f t="shared" si="1"/>
        <v>8.5120538022158616</v>
      </c>
      <c r="L42">
        <f t="shared" si="2"/>
        <v>13.642528135496278</v>
      </c>
      <c r="M42">
        <f t="shared" si="3"/>
        <v>53.665799999999997</v>
      </c>
      <c r="N42">
        <f t="shared" si="4"/>
        <v>16.636848430870931</v>
      </c>
      <c r="O42">
        <f t="shared" si="5"/>
        <v>1.6556188930287052</v>
      </c>
      <c r="P42">
        <f t="shared" si="6"/>
        <v>5.3405615107144806</v>
      </c>
      <c r="Q42">
        <f t="shared" si="7"/>
        <v>0.66655309954970754</v>
      </c>
      <c r="R42">
        <f t="shared" si="8"/>
        <v>2.954554942916634</v>
      </c>
      <c r="S42">
        <f t="shared" si="9"/>
        <v>0.5929173877636803</v>
      </c>
      <c r="T42">
        <f t="shared" si="10"/>
        <v>0.3765091234735467</v>
      </c>
      <c r="U42">
        <f t="shared" si="11"/>
        <v>344.37699876267482</v>
      </c>
      <c r="V42">
        <f t="shared" si="12"/>
        <v>30.36334445540777</v>
      </c>
      <c r="W42">
        <f t="shared" si="13"/>
        <v>30.001200000000001</v>
      </c>
      <c r="X42">
        <f t="shared" si="14"/>
        <v>4.2607434413339513</v>
      </c>
      <c r="Y42">
        <f t="shared" si="15"/>
        <v>65.598391728453549</v>
      </c>
      <c r="Z42">
        <f t="shared" si="16"/>
        <v>2.8833626493519602</v>
      </c>
      <c r="AA42">
        <f t="shared" si="17"/>
        <v>4.3954776533054707</v>
      </c>
      <c r="AB42">
        <f t="shared" si="18"/>
        <v>1.3773807919819911</v>
      </c>
      <c r="AC42">
        <f t="shared" si="19"/>
        <v>-375.38157267771953</v>
      </c>
      <c r="AD42">
        <f t="shared" si="20"/>
        <v>86.508208179417323</v>
      </c>
      <c r="AE42">
        <f t="shared" si="21"/>
        <v>6.5279522679330979</v>
      </c>
      <c r="AF42">
        <f t="shared" si="22"/>
        <v>62.031586532305681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51863.877326467802</v>
      </c>
      <c r="AL42" t="s">
        <v>415</v>
      </c>
      <c r="AM42">
        <v>7133.88</v>
      </c>
      <c r="AN42">
        <v>306.28384615384618</v>
      </c>
      <c r="AO42">
        <v>859.63916333292491</v>
      </c>
      <c r="AP42">
        <f t="shared" si="26"/>
        <v>0.64370650010133712</v>
      </c>
      <c r="AQ42">
        <v>-0.73746743666429193</v>
      </c>
      <c r="AR42" t="s">
        <v>531</v>
      </c>
      <c r="AS42">
        <v>7145.24</v>
      </c>
      <c r="AT42">
        <v>713.62679999999989</v>
      </c>
      <c r="AU42">
        <v>817.50719992902089</v>
      </c>
      <c r="AV42">
        <f t="shared" si="27"/>
        <v>0.12706970646624305</v>
      </c>
      <c r="AW42">
        <v>0.5</v>
      </c>
      <c r="AX42">
        <f t="shared" si="28"/>
        <v>1513.2182993813374</v>
      </c>
      <c r="AY42">
        <f t="shared" si="29"/>
        <v>13.642528135496278</v>
      </c>
      <c r="AZ42">
        <f t="shared" si="30"/>
        <v>96.142102560867016</v>
      </c>
      <c r="BA42">
        <f t="shared" si="31"/>
        <v>9.5029220688381006E-3</v>
      </c>
      <c r="BB42">
        <f t="shared" si="32"/>
        <v>5.153711601263216E-2</v>
      </c>
      <c r="BC42">
        <f t="shared" si="33"/>
        <v>300.76116750608247</v>
      </c>
      <c r="BD42" t="s">
        <v>532</v>
      </c>
      <c r="BE42">
        <v>495.07</v>
      </c>
      <c r="BF42">
        <f t="shared" si="34"/>
        <v>495.07</v>
      </c>
      <c r="BG42">
        <f t="shared" si="35"/>
        <v>0.39441511947175034</v>
      </c>
      <c r="BH42">
        <f t="shared" si="36"/>
        <v>0.32217250351971954</v>
      </c>
      <c r="BI42">
        <f t="shared" si="37"/>
        <v>0.115566448403726</v>
      </c>
      <c r="BJ42">
        <f t="shared" si="38"/>
        <v>0.20319963703126406</v>
      </c>
      <c r="BK42">
        <f t="shared" si="39"/>
        <v>7.6139077543677297E-2</v>
      </c>
      <c r="BL42">
        <f t="shared" si="40"/>
        <v>0.2235032951642337</v>
      </c>
      <c r="BM42">
        <f t="shared" si="41"/>
        <v>0.77649670483576627</v>
      </c>
      <c r="BN42">
        <v>20740</v>
      </c>
      <c r="BO42">
        <v>290.00000000000011</v>
      </c>
      <c r="BP42">
        <v>788.69</v>
      </c>
      <c r="BQ42">
        <v>285</v>
      </c>
      <c r="BR42">
        <v>7145.24</v>
      </c>
      <c r="BS42">
        <v>789.46</v>
      </c>
      <c r="BT42">
        <v>-0.77</v>
      </c>
      <c r="BU42">
        <v>300.00000000000011</v>
      </c>
      <c r="BV42">
        <v>38.200000000000003</v>
      </c>
      <c r="BW42">
        <v>817.50719992902089</v>
      </c>
      <c r="BX42">
        <v>0.87516618875972263</v>
      </c>
      <c r="BY42">
        <v>-20.03891076167011</v>
      </c>
      <c r="BZ42">
        <v>0.5240793192485208</v>
      </c>
      <c r="CA42">
        <v>0.98120834262068091</v>
      </c>
      <c r="CB42">
        <v>-7.0535597330367086E-3</v>
      </c>
      <c r="CC42">
        <v>289.99999999999989</v>
      </c>
      <c r="CD42">
        <v>789.48</v>
      </c>
      <c r="CE42">
        <v>655</v>
      </c>
      <c r="CF42">
        <v>7141.77</v>
      </c>
      <c r="CG42">
        <v>789.45</v>
      </c>
      <c r="CH42">
        <v>0.03</v>
      </c>
      <c r="CV42">
        <f t="shared" si="42"/>
        <v>1800.04</v>
      </c>
      <c r="CW42">
        <f t="shared" si="43"/>
        <v>1513.2182993813374</v>
      </c>
      <c r="CX42">
        <f t="shared" si="44"/>
        <v>0.8406581516973719</v>
      </c>
      <c r="CY42">
        <f t="shared" si="45"/>
        <v>0.1913163033947439</v>
      </c>
      <c r="CZ42">
        <v>5.79</v>
      </c>
      <c r="DA42">
        <v>0.5</v>
      </c>
      <c r="DB42" t="s">
        <v>418</v>
      </c>
      <c r="DC42">
        <v>2</v>
      </c>
      <c r="DD42">
        <v>1700153683</v>
      </c>
      <c r="DE42">
        <v>53.665799999999997</v>
      </c>
      <c r="DF42">
        <v>69.997500000000002</v>
      </c>
      <c r="DG42">
        <v>28.9741</v>
      </c>
      <c r="DH42">
        <v>19.399999999999999</v>
      </c>
      <c r="DI42">
        <v>57.127499999999998</v>
      </c>
      <c r="DJ42">
        <v>28.938400000000001</v>
      </c>
      <c r="DK42">
        <v>499.85700000000003</v>
      </c>
      <c r="DL42">
        <v>99.415300000000002</v>
      </c>
      <c r="DM42">
        <v>9.9875599999999995E-2</v>
      </c>
      <c r="DN42">
        <v>30.5443</v>
      </c>
      <c r="DO42">
        <v>30.001200000000001</v>
      </c>
      <c r="DP42">
        <v>999.9</v>
      </c>
      <c r="DQ42">
        <v>0</v>
      </c>
      <c r="DR42">
        <v>0</v>
      </c>
      <c r="DS42">
        <v>9981.8799999999992</v>
      </c>
      <c r="DT42">
        <v>0</v>
      </c>
      <c r="DU42">
        <v>127.151</v>
      </c>
      <c r="DV42">
        <v>-16.331700000000001</v>
      </c>
      <c r="DW42">
        <v>55.267099999999999</v>
      </c>
      <c r="DX42">
        <v>71.382300000000001</v>
      </c>
      <c r="DY42">
        <v>9.5741099999999992</v>
      </c>
      <c r="DZ42">
        <v>69.997500000000002</v>
      </c>
      <c r="EA42">
        <v>19.399999999999999</v>
      </c>
      <c r="EB42">
        <v>2.8804699999999999</v>
      </c>
      <c r="EC42">
        <v>1.92865</v>
      </c>
      <c r="ED42">
        <v>23.352599999999999</v>
      </c>
      <c r="EE42">
        <v>16.8704</v>
      </c>
      <c r="EF42">
        <v>1800.04</v>
      </c>
      <c r="EG42">
        <v>0.97799999999999998</v>
      </c>
      <c r="EH42">
        <v>2.2000100000000002E-2</v>
      </c>
      <c r="EI42">
        <v>0</v>
      </c>
      <c r="EJ42">
        <v>713.86400000000003</v>
      </c>
      <c r="EK42">
        <v>5.0009399999999999</v>
      </c>
      <c r="EL42">
        <v>15337.5</v>
      </c>
      <c r="EM42">
        <v>13860.5</v>
      </c>
      <c r="EN42">
        <v>48.5</v>
      </c>
      <c r="EO42">
        <v>50.125</v>
      </c>
      <c r="EP42">
        <v>49.5</v>
      </c>
      <c r="EQ42">
        <v>49.561999999999998</v>
      </c>
      <c r="ER42">
        <v>50</v>
      </c>
      <c r="ES42">
        <v>1755.55</v>
      </c>
      <c r="ET42">
        <v>39.49</v>
      </c>
      <c r="EU42">
        <v>0</v>
      </c>
      <c r="EV42">
        <v>266.39999985694891</v>
      </c>
      <c r="EW42">
        <v>0</v>
      </c>
      <c r="EX42">
        <v>713.62679999999989</v>
      </c>
      <c r="EY42">
        <v>0.93215384349647579</v>
      </c>
      <c r="EZ42">
        <v>5.1923077668755218</v>
      </c>
      <c r="FA42">
        <v>15335.388000000001</v>
      </c>
      <c r="FB42">
        <v>15</v>
      </c>
      <c r="FC42">
        <v>1700153647</v>
      </c>
      <c r="FD42" t="s">
        <v>533</v>
      </c>
      <c r="FE42">
        <v>1700153640.5</v>
      </c>
      <c r="FF42">
        <v>1700153647</v>
      </c>
      <c r="FG42">
        <v>28</v>
      </c>
      <c r="FH42">
        <v>-7.6999999999999999E-2</v>
      </c>
      <c r="FI42">
        <v>0.01</v>
      </c>
      <c r="FJ42">
        <v>-3.5230000000000001</v>
      </c>
      <c r="FK42">
        <v>-3.3000000000000002E-2</v>
      </c>
      <c r="FL42">
        <v>70</v>
      </c>
      <c r="FM42">
        <v>19</v>
      </c>
      <c r="FN42">
        <v>0.06</v>
      </c>
      <c r="FO42">
        <v>0.01</v>
      </c>
      <c r="FP42">
        <v>13.672968293256989</v>
      </c>
      <c r="FQ42">
        <v>-0.1816377273839149</v>
      </c>
      <c r="FR42">
        <v>2.0288764025479401E-2</v>
      </c>
      <c r="FS42">
        <v>1</v>
      </c>
      <c r="FT42">
        <v>0.66491300648664142</v>
      </c>
      <c r="FU42">
        <v>4.1939583322238211E-2</v>
      </c>
      <c r="FV42">
        <v>3.5505239017411729E-3</v>
      </c>
      <c r="FW42">
        <v>1</v>
      </c>
      <c r="FX42">
        <v>2</v>
      </c>
      <c r="FY42">
        <v>2</v>
      </c>
      <c r="FZ42" t="s">
        <v>420</v>
      </c>
      <c r="GA42">
        <v>3.1179600000000001</v>
      </c>
      <c r="GB42">
        <v>2.8773399999999998</v>
      </c>
      <c r="GC42">
        <v>1.4993299999999999E-2</v>
      </c>
      <c r="GD42">
        <v>1.8609500000000001E-2</v>
      </c>
      <c r="GE42">
        <v>0.12861</v>
      </c>
      <c r="GF42">
        <v>9.7299300000000005E-2</v>
      </c>
      <c r="GG42">
        <v>28565.4</v>
      </c>
      <c r="GH42">
        <v>29120</v>
      </c>
      <c r="GI42">
        <v>26716.799999999999</v>
      </c>
      <c r="GJ42">
        <v>27410.3</v>
      </c>
      <c r="GK42">
        <v>33305.699999999997</v>
      </c>
      <c r="GL42">
        <v>34578.400000000001</v>
      </c>
      <c r="GM42">
        <v>39591.699999999997</v>
      </c>
      <c r="GN42">
        <v>39701.800000000003</v>
      </c>
      <c r="GO42">
        <v>1.98197</v>
      </c>
      <c r="GP42">
        <v>2.4119999999999999</v>
      </c>
      <c r="GQ42">
        <v>-7.3358400000000004E-2</v>
      </c>
      <c r="GR42">
        <v>0</v>
      </c>
      <c r="GS42">
        <v>31.1938</v>
      </c>
      <c r="GT42">
        <v>999.9</v>
      </c>
      <c r="GU42">
        <v>33.9</v>
      </c>
      <c r="GV42">
        <v>47.3</v>
      </c>
      <c r="GW42">
        <v>36.968299999999999</v>
      </c>
      <c r="GX42">
        <v>63.222799999999999</v>
      </c>
      <c r="GY42">
        <v>8.9703499999999998</v>
      </c>
      <c r="GZ42">
        <v>3</v>
      </c>
      <c r="HA42">
        <v>0.62250799999999995</v>
      </c>
      <c r="HB42">
        <v>4.1290399999999998</v>
      </c>
      <c r="HC42">
        <v>20.246200000000002</v>
      </c>
      <c r="HD42">
        <v>5.2123499999999998</v>
      </c>
      <c r="HE42">
        <v>11.908099999999999</v>
      </c>
      <c r="HF42">
        <v>4.9960500000000003</v>
      </c>
      <c r="HG42">
        <v>3.30233</v>
      </c>
      <c r="HH42">
        <v>9999</v>
      </c>
      <c r="HI42">
        <v>9999</v>
      </c>
      <c r="HJ42">
        <v>9999</v>
      </c>
      <c r="HK42">
        <v>999.9</v>
      </c>
      <c r="HL42">
        <v>1.8849</v>
      </c>
      <c r="HM42">
        <v>1.8855299999999999</v>
      </c>
      <c r="HN42">
        <v>1.8816999999999999</v>
      </c>
      <c r="HO42">
        <v>1.88337</v>
      </c>
      <c r="HP42">
        <v>1.8801000000000001</v>
      </c>
      <c r="HQ42">
        <v>1.88358</v>
      </c>
      <c r="HR42">
        <v>1.87958</v>
      </c>
      <c r="HS42">
        <v>1.8819900000000001</v>
      </c>
      <c r="HT42">
        <v>5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423</v>
      </c>
      <c r="IB42" t="s">
        <v>423</v>
      </c>
      <c r="IC42" t="s">
        <v>423</v>
      </c>
      <c r="ID42">
        <v>0</v>
      </c>
      <c r="IE42">
        <v>100</v>
      </c>
      <c r="IF42">
        <v>100</v>
      </c>
      <c r="IG42">
        <v>-3.4620000000000002</v>
      </c>
      <c r="IH42">
        <v>3.5700000000000003E-2</v>
      </c>
      <c r="II42">
        <v>-3.2474376260561542</v>
      </c>
      <c r="IJ42">
        <v>-3.7794827560518689E-3</v>
      </c>
      <c r="IK42">
        <v>4.9551128961100493E-7</v>
      </c>
      <c r="IL42">
        <v>1.3680294268397379E-10</v>
      </c>
      <c r="IM42">
        <v>3.5638285021631161E-2</v>
      </c>
      <c r="IN42">
        <v>0</v>
      </c>
      <c r="IO42">
        <v>0</v>
      </c>
      <c r="IP42">
        <v>0</v>
      </c>
      <c r="IQ42">
        <v>4</v>
      </c>
      <c r="IR42">
        <v>2229</v>
      </c>
      <c r="IS42">
        <v>1</v>
      </c>
      <c r="IT42">
        <v>22</v>
      </c>
      <c r="IU42">
        <v>0.7</v>
      </c>
      <c r="IV42">
        <v>0.6</v>
      </c>
      <c r="IW42">
        <v>0.41137699999999999</v>
      </c>
      <c r="IX42">
        <v>2.6355</v>
      </c>
      <c r="IY42">
        <v>2.9956100000000001</v>
      </c>
      <c r="IZ42">
        <v>2.96387</v>
      </c>
      <c r="JA42">
        <v>3.1970200000000002</v>
      </c>
      <c r="JB42">
        <v>2.47437</v>
      </c>
      <c r="JC42">
        <v>52.720100000000002</v>
      </c>
      <c r="JD42">
        <v>23.535900000000002</v>
      </c>
      <c r="JE42">
        <v>18</v>
      </c>
      <c r="JF42">
        <v>531.846</v>
      </c>
      <c r="JG42">
        <v>1097.33</v>
      </c>
      <c r="JH42">
        <v>24.9404</v>
      </c>
      <c r="JI42">
        <v>34.811799999999998</v>
      </c>
      <c r="JJ42">
        <v>30.000299999999999</v>
      </c>
      <c r="JK42">
        <v>34.766100000000002</v>
      </c>
      <c r="JL42">
        <v>34.675400000000003</v>
      </c>
      <c r="JM42">
        <v>8.2354599999999998</v>
      </c>
      <c r="JN42">
        <v>44.031399999999998</v>
      </c>
      <c r="JO42">
        <v>0</v>
      </c>
      <c r="JP42">
        <v>24.929500000000001</v>
      </c>
      <c r="JQ42">
        <v>70</v>
      </c>
      <c r="JR42">
        <v>19.214300000000001</v>
      </c>
      <c r="JS42">
        <v>98.675700000000006</v>
      </c>
      <c r="JT42">
        <v>97.124300000000005</v>
      </c>
    </row>
    <row r="43" spans="1:280" x14ac:dyDescent="0.25">
      <c r="A43">
        <v>27</v>
      </c>
      <c r="B43">
        <v>1700153813</v>
      </c>
      <c r="C43">
        <v>4831.5</v>
      </c>
      <c r="D43" t="s">
        <v>534</v>
      </c>
      <c r="E43" t="s">
        <v>535</v>
      </c>
      <c r="F43" t="s">
        <v>412</v>
      </c>
      <c r="G43" t="s">
        <v>482</v>
      </c>
      <c r="H43" t="s">
        <v>483</v>
      </c>
      <c r="I43">
        <v>1700153813</v>
      </c>
      <c r="J43">
        <f t="shared" si="0"/>
        <v>8.6869302234295794E-3</v>
      </c>
      <c r="K43">
        <f t="shared" si="1"/>
        <v>8.6869302234295791</v>
      </c>
      <c r="L43">
        <f t="shared" si="2"/>
        <v>6.2835130320408092</v>
      </c>
      <c r="M43">
        <f t="shared" si="3"/>
        <v>22.496400000000001</v>
      </c>
      <c r="N43">
        <f t="shared" si="4"/>
        <v>5.9202448462074839</v>
      </c>
      <c r="O43">
        <f t="shared" si="5"/>
        <v>0.58907728076392352</v>
      </c>
      <c r="P43">
        <f t="shared" si="6"/>
        <v>2.2384408893944401</v>
      </c>
      <c r="Q43">
        <f t="shared" si="7"/>
        <v>0.68606098732286525</v>
      </c>
      <c r="R43">
        <f t="shared" si="8"/>
        <v>2.9598047377303356</v>
      </c>
      <c r="S43">
        <f t="shared" si="9"/>
        <v>0.60844150572232969</v>
      </c>
      <c r="T43">
        <f t="shared" si="10"/>
        <v>0.38651543003061445</v>
      </c>
      <c r="U43">
        <f t="shared" si="11"/>
        <v>344.38269876269544</v>
      </c>
      <c r="V43">
        <f t="shared" si="12"/>
        <v>30.390650854401844</v>
      </c>
      <c r="W43">
        <f t="shared" si="13"/>
        <v>30.016400000000001</v>
      </c>
      <c r="X43">
        <f t="shared" si="14"/>
        <v>4.2644647747828763</v>
      </c>
      <c r="Y43">
        <f t="shared" si="15"/>
        <v>65.591643847843756</v>
      </c>
      <c r="Z43">
        <f t="shared" si="16"/>
        <v>2.8949463366720303</v>
      </c>
      <c r="AA43">
        <f t="shared" si="17"/>
        <v>4.4135901569833855</v>
      </c>
      <c r="AB43">
        <f t="shared" si="18"/>
        <v>1.3695184381108461</v>
      </c>
      <c r="AC43">
        <f t="shared" si="19"/>
        <v>-383.09362285324443</v>
      </c>
      <c r="AD43">
        <f t="shared" si="20"/>
        <v>95.709482013706349</v>
      </c>
      <c r="AE43">
        <f t="shared" si="21"/>
        <v>7.2125823703797067</v>
      </c>
      <c r="AF43">
        <f t="shared" si="22"/>
        <v>64.211140293537085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51997.457596118293</v>
      </c>
      <c r="AL43" t="s">
        <v>431</v>
      </c>
      <c r="AM43" t="s">
        <v>431</v>
      </c>
      <c r="AN43">
        <v>0</v>
      </c>
      <c r="AO43">
        <v>0</v>
      </c>
      <c r="AP43" t="e">
        <f t="shared" si="26"/>
        <v>#DIV/0!</v>
      </c>
      <c r="AQ43">
        <v>0</v>
      </c>
      <c r="AR43" t="s">
        <v>431</v>
      </c>
      <c r="AS43" t="s">
        <v>431</v>
      </c>
      <c r="AT43">
        <v>0</v>
      </c>
      <c r="AU43">
        <v>0</v>
      </c>
      <c r="AV43" t="e">
        <f t="shared" si="27"/>
        <v>#DIV/0!</v>
      </c>
      <c r="AW43">
        <v>0.5</v>
      </c>
      <c r="AX43">
        <f t="shared" si="28"/>
        <v>1513.2434993813476</v>
      </c>
      <c r="AY43">
        <f t="shared" si="29"/>
        <v>6.2835130320408092</v>
      </c>
      <c r="AZ43" t="e">
        <f t="shared" si="30"/>
        <v>#DIV/0!</v>
      </c>
      <c r="BA43">
        <f t="shared" si="31"/>
        <v>4.1523476126675372E-3</v>
      </c>
      <c r="BB43" t="e">
        <f t="shared" si="32"/>
        <v>#DIV/0!</v>
      </c>
      <c r="BC43" t="e">
        <f t="shared" si="33"/>
        <v>#DIV/0!</v>
      </c>
      <c r="BD43" t="s">
        <v>431</v>
      </c>
      <c r="BE43">
        <v>0</v>
      </c>
      <c r="BF43" t="e">
        <f t="shared" si="34"/>
        <v>#DIV/0!</v>
      </c>
      <c r="BG43" t="e">
        <f t="shared" si="35"/>
        <v>#DIV/0!</v>
      </c>
      <c r="BH43" t="e">
        <f t="shared" si="36"/>
        <v>#DIV/0!</v>
      </c>
      <c r="BI43" t="e">
        <f t="shared" si="37"/>
        <v>#DIV/0!</v>
      </c>
      <c r="BJ43" t="e">
        <f t="shared" si="38"/>
        <v>#DIV/0!</v>
      </c>
      <c r="BK43" t="e">
        <f t="shared" si="39"/>
        <v>#DIV/0!</v>
      </c>
      <c r="BL43" t="e">
        <f t="shared" si="40"/>
        <v>#DIV/0!</v>
      </c>
      <c r="BM43" t="e">
        <f t="shared" si="41"/>
        <v>#DIV/0!</v>
      </c>
      <c r="BN43">
        <v>20740</v>
      </c>
      <c r="BO43">
        <v>290.00000000000011</v>
      </c>
      <c r="BP43">
        <v>788.69</v>
      </c>
      <c r="BQ43">
        <v>285</v>
      </c>
      <c r="BR43">
        <v>7145.24</v>
      </c>
      <c r="BS43">
        <v>789.46</v>
      </c>
      <c r="BT43">
        <v>-0.77</v>
      </c>
      <c r="BU43">
        <v>300.00000000000011</v>
      </c>
      <c r="BV43">
        <v>38.200000000000003</v>
      </c>
      <c r="BW43">
        <v>817.50719992902089</v>
      </c>
      <c r="BX43">
        <v>0.87516618875972263</v>
      </c>
      <c r="BY43">
        <v>-20.03891076167011</v>
      </c>
      <c r="BZ43">
        <v>0.5240793192485208</v>
      </c>
      <c r="CA43">
        <v>0.98120834262068091</v>
      </c>
      <c r="CB43">
        <v>-7.0535597330367086E-3</v>
      </c>
      <c r="CC43">
        <v>289.99999999999989</v>
      </c>
      <c r="CD43">
        <v>789.48</v>
      </c>
      <c r="CE43">
        <v>655</v>
      </c>
      <c r="CF43">
        <v>7141.77</v>
      </c>
      <c r="CG43">
        <v>789.45</v>
      </c>
      <c r="CH43">
        <v>0.03</v>
      </c>
      <c r="CV43">
        <f t="shared" si="42"/>
        <v>1800.07</v>
      </c>
      <c r="CW43">
        <f t="shared" si="43"/>
        <v>1513.2434993813476</v>
      </c>
      <c r="CX43">
        <f t="shared" si="44"/>
        <v>0.84065814072860934</v>
      </c>
      <c r="CY43">
        <f t="shared" si="45"/>
        <v>0.19131628145721857</v>
      </c>
      <c r="CZ43">
        <v>5.79</v>
      </c>
      <c r="DA43">
        <v>0.5</v>
      </c>
      <c r="DB43" t="s">
        <v>418</v>
      </c>
      <c r="DC43">
        <v>2</v>
      </c>
      <c r="DD43">
        <v>1700153813</v>
      </c>
      <c r="DE43">
        <v>22.496400000000001</v>
      </c>
      <c r="DF43">
        <v>29.999400000000001</v>
      </c>
      <c r="DG43">
        <v>29.0943</v>
      </c>
      <c r="DH43">
        <v>19.327000000000002</v>
      </c>
      <c r="DI43">
        <v>25.8659</v>
      </c>
      <c r="DJ43">
        <v>29.058</v>
      </c>
      <c r="DK43">
        <v>499.97399999999999</v>
      </c>
      <c r="DL43">
        <v>99.402500000000003</v>
      </c>
      <c r="DM43">
        <v>9.9682099999999996E-2</v>
      </c>
      <c r="DN43">
        <v>30.616199999999999</v>
      </c>
      <c r="DO43">
        <v>30.016400000000001</v>
      </c>
      <c r="DP43">
        <v>999.9</v>
      </c>
      <c r="DQ43">
        <v>0</v>
      </c>
      <c r="DR43">
        <v>0</v>
      </c>
      <c r="DS43">
        <v>10012.5</v>
      </c>
      <c r="DT43">
        <v>0</v>
      </c>
      <c r="DU43">
        <v>136.40799999999999</v>
      </c>
      <c r="DV43">
        <v>-7.5029899999999996</v>
      </c>
      <c r="DW43">
        <v>23.170500000000001</v>
      </c>
      <c r="DX43">
        <v>30.590599999999998</v>
      </c>
      <c r="DY43">
        <v>9.7673699999999997</v>
      </c>
      <c r="DZ43">
        <v>29.999400000000001</v>
      </c>
      <c r="EA43">
        <v>19.327000000000002</v>
      </c>
      <c r="EB43">
        <v>2.8920499999999998</v>
      </c>
      <c r="EC43">
        <v>1.9211499999999999</v>
      </c>
      <c r="ED43">
        <v>23.4191</v>
      </c>
      <c r="EE43">
        <v>16.809000000000001</v>
      </c>
      <c r="EF43">
        <v>1800.07</v>
      </c>
      <c r="EG43">
        <v>0.97799999999999998</v>
      </c>
      <c r="EH43">
        <v>2.2000100000000002E-2</v>
      </c>
      <c r="EI43">
        <v>0</v>
      </c>
      <c r="EJ43">
        <v>732.39800000000002</v>
      </c>
      <c r="EK43">
        <v>5.0009399999999999</v>
      </c>
      <c r="EL43">
        <v>15925.2</v>
      </c>
      <c r="EM43">
        <v>13860.7</v>
      </c>
      <c r="EN43">
        <v>48.561999999999998</v>
      </c>
      <c r="EO43">
        <v>50.125</v>
      </c>
      <c r="EP43">
        <v>49.5</v>
      </c>
      <c r="EQ43">
        <v>49.686999999999998</v>
      </c>
      <c r="ER43">
        <v>50.061999999999998</v>
      </c>
      <c r="ES43">
        <v>1755.58</v>
      </c>
      <c r="ET43">
        <v>39.49</v>
      </c>
      <c r="EU43">
        <v>0</v>
      </c>
      <c r="EV43">
        <v>128</v>
      </c>
      <c r="EW43">
        <v>0</v>
      </c>
      <c r="EX43">
        <v>732.78173076923076</v>
      </c>
      <c r="EY43">
        <v>-1.0728546958684579</v>
      </c>
      <c r="EZ43">
        <v>349.16923028554999</v>
      </c>
      <c r="FA43">
        <v>15928.45384615385</v>
      </c>
      <c r="FB43">
        <v>15</v>
      </c>
      <c r="FC43">
        <v>1700153779.5</v>
      </c>
      <c r="FD43" t="s">
        <v>536</v>
      </c>
      <c r="FE43">
        <v>1700153772</v>
      </c>
      <c r="FF43">
        <v>1700153779.5</v>
      </c>
      <c r="FG43">
        <v>29</v>
      </c>
      <c r="FH43">
        <v>-2.5000000000000001E-2</v>
      </c>
      <c r="FI43">
        <v>1E-3</v>
      </c>
      <c r="FJ43">
        <v>-3.3980000000000001</v>
      </c>
      <c r="FK43">
        <v>-3.9E-2</v>
      </c>
      <c r="FL43">
        <v>30</v>
      </c>
      <c r="FM43">
        <v>19</v>
      </c>
      <c r="FN43">
        <v>0.34</v>
      </c>
      <c r="FO43">
        <v>0.01</v>
      </c>
      <c r="FP43">
        <v>6.3073706403831862</v>
      </c>
      <c r="FQ43">
        <v>-7.4450797177388589E-2</v>
      </c>
      <c r="FR43">
        <v>1.170568946943297E-2</v>
      </c>
      <c r="FS43">
        <v>1</v>
      </c>
      <c r="FT43">
        <v>0.68025815135046108</v>
      </c>
      <c r="FU43">
        <v>4.8755848402783609E-2</v>
      </c>
      <c r="FV43">
        <v>3.683871600780579E-3</v>
      </c>
      <c r="FW43">
        <v>1</v>
      </c>
      <c r="FX43">
        <v>2</v>
      </c>
      <c r="FY43">
        <v>2</v>
      </c>
      <c r="FZ43" t="s">
        <v>420</v>
      </c>
      <c r="GA43">
        <v>3.1180699999999999</v>
      </c>
      <c r="GB43">
        <v>2.8774199999999999</v>
      </c>
      <c r="GC43">
        <v>6.8440200000000001E-3</v>
      </c>
      <c r="GD43">
        <v>8.0797000000000004E-3</v>
      </c>
      <c r="GE43">
        <v>0.12895899999999999</v>
      </c>
      <c r="GF43">
        <v>9.7013799999999997E-2</v>
      </c>
      <c r="GG43">
        <v>28797.7</v>
      </c>
      <c r="GH43">
        <v>29428.6</v>
      </c>
      <c r="GI43">
        <v>26713.599999999999</v>
      </c>
      <c r="GJ43">
        <v>27407.4</v>
      </c>
      <c r="GK43">
        <v>33288.400000000001</v>
      </c>
      <c r="GL43">
        <v>34585.4</v>
      </c>
      <c r="GM43">
        <v>39587.5</v>
      </c>
      <c r="GN43">
        <v>39698.199999999997</v>
      </c>
      <c r="GO43">
        <v>1.9818499999999999</v>
      </c>
      <c r="GP43">
        <v>2.4097499999999998</v>
      </c>
      <c r="GQ43">
        <v>-7.7005500000000005E-2</v>
      </c>
      <c r="GR43">
        <v>0</v>
      </c>
      <c r="GS43">
        <v>31.2682</v>
      </c>
      <c r="GT43">
        <v>999.9</v>
      </c>
      <c r="GU43">
        <v>33.700000000000003</v>
      </c>
      <c r="GV43">
        <v>47.4</v>
      </c>
      <c r="GW43">
        <v>36.941699999999997</v>
      </c>
      <c r="GX43">
        <v>62.822800000000001</v>
      </c>
      <c r="GY43">
        <v>8.9382999999999999</v>
      </c>
      <c r="GZ43">
        <v>3</v>
      </c>
      <c r="HA43">
        <v>0.62882400000000005</v>
      </c>
      <c r="HB43">
        <v>4.4978699999999998</v>
      </c>
      <c r="HC43">
        <v>20.237100000000002</v>
      </c>
      <c r="HD43">
        <v>5.2140000000000004</v>
      </c>
      <c r="HE43">
        <v>11.9093</v>
      </c>
      <c r="HF43">
        <v>4.9955499999999997</v>
      </c>
      <c r="HG43">
        <v>3.3029999999999999</v>
      </c>
      <c r="HH43">
        <v>9999</v>
      </c>
      <c r="HI43">
        <v>9999</v>
      </c>
      <c r="HJ43">
        <v>9999</v>
      </c>
      <c r="HK43">
        <v>999.9</v>
      </c>
      <c r="HL43">
        <v>1.8849199999999999</v>
      </c>
      <c r="HM43">
        <v>1.8855299999999999</v>
      </c>
      <c r="HN43">
        <v>1.88168</v>
      </c>
      <c r="HO43">
        <v>1.8833899999999999</v>
      </c>
      <c r="HP43">
        <v>1.88012</v>
      </c>
      <c r="HQ43">
        <v>1.88361</v>
      </c>
      <c r="HR43">
        <v>1.87958</v>
      </c>
      <c r="HS43">
        <v>1.88202</v>
      </c>
      <c r="HT43">
        <v>5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423</v>
      </c>
      <c r="IB43" t="s">
        <v>423</v>
      </c>
      <c r="IC43" t="s">
        <v>423</v>
      </c>
      <c r="ID43">
        <v>0</v>
      </c>
      <c r="IE43">
        <v>100</v>
      </c>
      <c r="IF43">
        <v>100</v>
      </c>
      <c r="IG43">
        <v>-3.3690000000000002</v>
      </c>
      <c r="IH43">
        <v>3.6299999999999999E-2</v>
      </c>
      <c r="II43">
        <v>-3.2721267309225621</v>
      </c>
      <c r="IJ43">
        <v>-3.7794827560518689E-3</v>
      </c>
      <c r="IK43">
        <v>4.9551128961100493E-7</v>
      </c>
      <c r="IL43">
        <v>1.3680294268397379E-10</v>
      </c>
      <c r="IM43">
        <v>3.6343281558796348E-2</v>
      </c>
      <c r="IN43">
        <v>0</v>
      </c>
      <c r="IO43">
        <v>0</v>
      </c>
      <c r="IP43">
        <v>0</v>
      </c>
      <c r="IQ43">
        <v>4</v>
      </c>
      <c r="IR43">
        <v>2229</v>
      </c>
      <c r="IS43">
        <v>1</v>
      </c>
      <c r="IT43">
        <v>22</v>
      </c>
      <c r="IU43">
        <v>0.7</v>
      </c>
      <c r="IV43">
        <v>0.6</v>
      </c>
      <c r="IW43">
        <v>0.26855499999999999</v>
      </c>
      <c r="IX43">
        <v>2.6440399999999999</v>
      </c>
      <c r="IY43">
        <v>2.9956100000000001</v>
      </c>
      <c r="IZ43">
        <v>2.96387</v>
      </c>
      <c r="JA43">
        <v>3.1970200000000002</v>
      </c>
      <c r="JB43">
        <v>2.51831</v>
      </c>
      <c r="JC43">
        <v>52.6511</v>
      </c>
      <c r="JD43">
        <v>23.5534</v>
      </c>
      <c r="JE43">
        <v>18</v>
      </c>
      <c r="JF43">
        <v>531.97400000000005</v>
      </c>
      <c r="JG43">
        <v>1094.76</v>
      </c>
      <c r="JH43">
        <v>24.764800000000001</v>
      </c>
      <c r="JI43">
        <v>34.851599999999998</v>
      </c>
      <c r="JJ43">
        <v>30.000499999999999</v>
      </c>
      <c r="JK43">
        <v>34.792099999999998</v>
      </c>
      <c r="JL43">
        <v>34.698700000000002</v>
      </c>
      <c r="JM43">
        <v>5.3857900000000001</v>
      </c>
      <c r="JN43">
        <v>43.844000000000001</v>
      </c>
      <c r="JO43">
        <v>0</v>
      </c>
      <c r="JP43">
        <v>24.746099999999998</v>
      </c>
      <c r="JQ43">
        <v>30</v>
      </c>
      <c r="JR43">
        <v>19.165199999999999</v>
      </c>
      <c r="JS43">
        <v>98.664699999999996</v>
      </c>
      <c r="JT43">
        <v>97.114900000000006</v>
      </c>
    </row>
    <row r="44" spans="1:280" x14ac:dyDescent="0.25">
      <c r="A44">
        <v>28</v>
      </c>
      <c r="B44">
        <v>1700153940.5</v>
      </c>
      <c r="C44">
        <v>4959</v>
      </c>
      <c r="D44" t="s">
        <v>537</v>
      </c>
      <c r="E44" t="s">
        <v>538</v>
      </c>
      <c r="F44" t="s">
        <v>412</v>
      </c>
      <c r="G44" t="s">
        <v>482</v>
      </c>
      <c r="H44" t="s">
        <v>483</v>
      </c>
      <c r="I44">
        <v>1700153940.5</v>
      </c>
      <c r="J44">
        <f t="shared" si="0"/>
        <v>8.9124329171254429E-3</v>
      </c>
      <c r="K44">
        <f t="shared" si="1"/>
        <v>8.9124329171254431</v>
      </c>
      <c r="L44">
        <f t="shared" si="2"/>
        <v>2.439730016573681</v>
      </c>
      <c r="M44">
        <f t="shared" si="3"/>
        <v>7.0964</v>
      </c>
      <c r="N44">
        <f t="shared" si="4"/>
        <v>0.85312300493989923</v>
      </c>
      <c r="O44">
        <f t="shared" si="5"/>
        <v>8.4882692062707821E-2</v>
      </c>
      <c r="P44">
        <f t="shared" si="6"/>
        <v>0.70606645520739997</v>
      </c>
      <c r="Q44">
        <f t="shared" si="7"/>
        <v>0.70575597828269598</v>
      </c>
      <c r="R44">
        <f t="shared" si="8"/>
        <v>2.9563459788397863</v>
      </c>
      <c r="S44">
        <f t="shared" si="9"/>
        <v>0.62381575306920634</v>
      </c>
      <c r="T44">
        <f t="shared" si="10"/>
        <v>0.39645122485906781</v>
      </c>
      <c r="U44">
        <f t="shared" si="11"/>
        <v>344.32759876249605</v>
      </c>
      <c r="V44">
        <f t="shared" si="12"/>
        <v>30.366785382651308</v>
      </c>
      <c r="W44">
        <f t="shared" si="13"/>
        <v>30.027899999999999</v>
      </c>
      <c r="X44">
        <f t="shared" si="14"/>
        <v>4.2672821392254656</v>
      </c>
      <c r="Y44">
        <f t="shared" si="15"/>
        <v>65.507135237774932</v>
      </c>
      <c r="Z44">
        <f t="shared" si="16"/>
        <v>2.8969579114916995</v>
      </c>
      <c r="AA44">
        <f t="shared" si="17"/>
        <v>4.422354757197744</v>
      </c>
      <c r="AB44">
        <f t="shared" si="18"/>
        <v>1.3703242277337662</v>
      </c>
      <c r="AC44">
        <f t="shared" si="19"/>
        <v>-393.03829164523205</v>
      </c>
      <c r="AD44">
        <f t="shared" si="20"/>
        <v>99.295312708184355</v>
      </c>
      <c r="AE44">
        <f t="shared" si="21"/>
        <v>7.4932742185409218</v>
      </c>
      <c r="AF44">
        <f t="shared" si="22"/>
        <v>58.077894043989289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51895.108158992043</v>
      </c>
      <c r="AL44" t="s">
        <v>415</v>
      </c>
      <c r="AM44">
        <v>7133.88</v>
      </c>
      <c r="AN44">
        <v>306.28384615384618</v>
      </c>
      <c r="AO44">
        <v>859.63916333292491</v>
      </c>
      <c r="AP44">
        <f t="shared" si="26"/>
        <v>0.64370650010133712</v>
      </c>
      <c r="AQ44">
        <v>-0.73746743666429193</v>
      </c>
      <c r="AR44" t="s">
        <v>539</v>
      </c>
      <c r="AS44">
        <v>7147.37</v>
      </c>
      <c r="AT44">
        <v>744.01635999999996</v>
      </c>
      <c r="AU44">
        <v>796.22656335921636</v>
      </c>
      <c r="AV44">
        <f t="shared" si="27"/>
        <v>6.5572044141488761E-2</v>
      </c>
      <c r="AW44">
        <v>0.5</v>
      </c>
      <c r="AX44">
        <f t="shared" si="28"/>
        <v>1512.999899381248</v>
      </c>
      <c r="AY44">
        <f t="shared" si="29"/>
        <v>2.439730016573681</v>
      </c>
      <c r="AZ44">
        <f t="shared" si="30"/>
        <v>49.605248094147626</v>
      </c>
      <c r="BA44">
        <f t="shared" si="31"/>
        <v>2.0999323625449746E-3</v>
      </c>
      <c r="BB44">
        <f t="shared" si="32"/>
        <v>7.9641402198610226E-2</v>
      </c>
      <c r="BC44">
        <f t="shared" si="33"/>
        <v>297.83263257404406</v>
      </c>
      <c r="BD44" t="s">
        <v>540</v>
      </c>
      <c r="BE44">
        <v>531.29999999999995</v>
      </c>
      <c r="BF44">
        <f t="shared" si="34"/>
        <v>531.29999999999995</v>
      </c>
      <c r="BG44">
        <f t="shared" si="35"/>
        <v>0.332727612404078</v>
      </c>
      <c r="BH44">
        <f t="shared" si="36"/>
        <v>0.19707424841511303</v>
      </c>
      <c r="BI44">
        <f t="shared" si="37"/>
        <v>0.1931313929475123</v>
      </c>
      <c r="BJ44">
        <f t="shared" si="38"/>
        <v>0.10656389313637118</v>
      </c>
      <c r="BK44">
        <f t="shared" si="39"/>
        <v>0.11459653138778235</v>
      </c>
      <c r="BL44">
        <f t="shared" si="40"/>
        <v>0.14073016913626676</v>
      </c>
      <c r="BM44">
        <f t="shared" si="41"/>
        <v>0.85926983086373321</v>
      </c>
      <c r="BN44">
        <v>20742</v>
      </c>
      <c r="BO44">
        <v>290.00000000000011</v>
      </c>
      <c r="BP44">
        <v>779.71</v>
      </c>
      <c r="BQ44">
        <v>225</v>
      </c>
      <c r="BR44">
        <v>7147.37</v>
      </c>
      <c r="BS44">
        <v>779.54</v>
      </c>
      <c r="BT44">
        <v>0.17</v>
      </c>
      <c r="BU44">
        <v>300.00000000000011</v>
      </c>
      <c r="BV44">
        <v>38.200000000000003</v>
      </c>
      <c r="BW44">
        <v>796.22656335921636</v>
      </c>
      <c r="BX44">
        <v>1.071061301466196</v>
      </c>
      <c r="BY44">
        <v>-11.928266270293561</v>
      </c>
      <c r="BZ44">
        <v>0.64137956767849602</v>
      </c>
      <c r="CA44">
        <v>0.92510949476219195</v>
      </c>
      <c r="CB44">
        <v>-7.0534051167964384E-3</v>
      </c>
      <c r="CC44">
        <v>289.99999999999989</v>
      </c>
      <c r="CD44">
        <v>779.29</v>
      </c>
      <c r="CE44">
        <v>675</v>
      </c>
      <c r="CF44">
        <v>7141.19</v>
      </c>
      <c r="CG44">
        <v>779.52</v>
      </c>
      <c r="CH44">
        <v>-0.23</v>
      </c>
      <c r="CV44">
        <f t="shared" si="42"/>
        <v>1799.78</v>
      </c>
      <c r="CW44">
        <f t="shared" si="43"/>
        <v>1512.999899381248</v>
      </c>
      <c r="CX44">
        <f t="shared" si="44"/>
        <v>0.84065824677529921</v>
      </c>
      <c r="CY44">
        <f t="shared" si="45"/>
        <v>0.19131649355059843</v>
      </c>
      <c r="CZ44">
        <v>5.79</v>
      </c>
      <c r="DA44">
        <v>0.5</v>
      </c>
      <c r="DB44" t="s">
        <v>418</v>
      </c>
      <c r="DC44">
        <v>2</v>
      </c>
      <c r="DD44">
        <v>1700153940.5</v>
      </c>
      <c r="DE44">
        <v>7.0964</v>
      </c>
      <c r="DF44">
        <v>9.9969000000000001</v>
      </c>
      <c r="DG44">
        <v>29.116199999999999</v>
      </c>
      <c r="DH44">
        <v>19.088999999999999</v>
      </c>
      <c r="DI44">
        <v>10.450900000000001</v>
      </c>
      <c r="DJ44">
        <v>29.08</v>
      </c>
      <c r="DK44">
        <v>499.64600000000002</v>
      </c>
      <c r="DL44">
        <v>99.396699999999996</v>
      </c>
      <c r="DM44">
        <v>9.9728499999999998E-2</v>
      </c>
      <c r="DN44">
        <v>30.6509</v>
      </c>
      <c r="DO44">
        <v>30.027899999999999</v>
      </c>
      <c r="DP44">
        <v>999.9</v>
      </c>
      <c r="DQ44">
        <v>0</v>
      </c>
      <c r="DR44">
        <v>0</v>
      </c>
      <c r="DS44">
        <v>9993.75</v>
      </c>
      <c r="DT44">
        <v>0</v>
      </c>
      <c r="DU44">
        <v>144.642</v>
      </c>
      <c r="DV44">
        <v>-2.90049</v>
      </c>
      <c r="DW44">
        <v>7.3092199999999998</v>
      </c>
      <c r="DX44">
        <v>10.1914</v>
      </c>
      <c r="DY44">
        <v>10.027100000000001</v>
      </c>
      <c r="DZ44">
        <v>9.9969000000000001</v>
      </c>
      <c r="EA44">
        <v>19.088999999999999</v>
      </c>
      <c r="EB44">
        <v>2.89405</v>
      </c>
      <c r="EC44">
        <v>1.8973899999999999</v>
      </c>
      <c r="ED44">
        <v>23.430599999999998</v>
      </c>
      <c r="EE44">
        <v>16.613099999999999</v>
      </c>
      <c r="EF44">
        <v>1799.78</v>
      </c>
      <c r="EG44">
        <v>0.97799599999999998</v>
      </c>
      <c r="EH44">
        <v>2.20038E-2</v>
      </c>
      <c r="EI44">
        <v>0</v>
      </c>
      <c r="EJ44">
        <v>743.67399999999998</v>
      </c>
      <c r="EK44">
        <v>5.0009399999999999</v>
      </c>
      <c r="EL44">
        <v>16280</v>
      </c>
      <c r="EM44">
        <v>13858.4</v>
      </c>
      <c r="EN44">
        <v>48.625</v>
      </c>
      <c r="EO44">
        <v>50.186999999999998</v>
      </c>
      <c r="EP44">
        <v>49.561999999999998</v>
      </c>
      <c r="EQ44">
        <v>49.686999999999998</v>
      </c>
      <c r="ER44">
        <v>50.125</v>
      </c>
      <c r="ES44">
        <v>1755.29</v>
      </c>
      <c r="ET44">
        <v>39.49</v>
      </c>
      <c r="EU44">
        <v>0</v>
      </c>
      <c r="EV44">
        <v>255.79999995231631</v>
      </c>
      <c r="EW44">
        <v>0</v>
      </c>
      <c r="EX44">
        <v>744.01635999999996</v>
      </c>
      <c r="EY44">
        <v>-0.8166153901354658</v>
      </c>
      <c r="EZ44">
        <v>20.87692313623031</v>
      </c>
      <c r="FA44">
        <v>16279.504000000001</v>
      </c>
      <c r="FB44">
        <v>15</v>
      </c>
      <c r="FC44">
        <v>1700153904.5</v>
      </c>
      <c r="FD44" t="s">
        <v>541</v>
      </c>
      <c r="FE44">
        <v>1700153900.5</v>
      </c>
      <c r="FF44">
        <v>1700153904.5</v>
      </c>
      <c r="FG44">
        <v>30</v>
      </c>
      <c r="FH44">
        <v>-4.2999999999999997E-2</v>
      </c>
      <c r="FI44">
        <v>0</v>
      </c>
      <c r="FJ44">
        <v>-3.3650000000000002</v>
      </c>
      <c r="FK44">
        <v>-4.2999999999999997E-2</v>
      </c>
      <c r="FL44">
        <v>10</v>
      </c>
      <c r="FM44">
        <v>19</v>
      </c>
      <c r="FN44">
        <v>0.16</v>
      </c>
      <c r="FO44">
        <v>0.01</v>
      </c>
      <c r="FP44">
        <v>2.4293368414593801</v>
      </c>
      <c r="FQ44">
        <v>0.1468825697272568</v>
      </c>
      <c r="FR44">
        <v>1.5633128913360599E-2</v>
      </c>
      <c r="FS44">
        <v>1</v>
      </c>
      <c r="FT44">
        <v>0.69808415687133829</v>
      </c>
      <c r="FU44">
        <v>4.2864541060789442E-2</v>
      </c>
      <c r="FV44">
        <v>3.793697918736281E-3</v>
      </c>
      <c r="FW44">
        <v>1</v>
      </c>
      <c r="FX44">
        <v>2</v>
      </c>
      <c r="FY44">
        <v>2</v>
      </c>
      <c r="FZ44" t="s">
        <v>420</v>
      </c>
      <c r="GA44">
        <v>3.1176400000000002</v>
      </c>
      <c r="GB44">
        <v>2.8772899999999999</v>
      </c>
      <c r="GC44">
        <v>2.77203E-3</v>
      </c>
      <c r="GD44">
        <v>2.7033700000000001E-3</v>
      </c>
      <c r="GE44">
        <v>0.12901399999999999</v>
      </c>
      <c r="GF44">
        <v>9.6129000000000006E-2</v>
      </c>
      <c r="GG44">
        <v>28915.200000000001</v>
      </c>
      <c r="GH44">
        <v>29586.799999999999</v>
      </c>
      <c r="GI44">
        <v>26713.4</v>
      </c>
      <c r="GJ44">
        <v>27406.6</v>
      </c>
      <c r="GK44">
        <v>33286.1</v>
      </c>
      <c r="GL44">
        <v>34617.599999999999</v>
      </c>
      <c r="GM44">
        <v>39587.5</v>
      </c>
      <c r="GN44">
        <v>39696.699999999997</v>
      </c>
      <c r="GO44">
        <v>1.9813000000000001</v>
      </c>
      <c r="GP44">
        <v>2.4094000000000002</v>
      </c>
      <c r="GQ44">
        <v>-8.7074899999999997E-2</v>
      </c>
      <c r="GR44">
        <v>0</v>
      </c>
      <c r="GS44">
        <v>31.443200000000001</v>
      </c>
      <c r="GT44">
        <v>999.9</v>
      </c>
      <c r="GU44">
        <v>33.4</v>
      </c>
      <c r="GV44">
        <v>47.5</v>
      </c>
      <c r="GW44">
        <v>36.802599999999998</v>
      </c>
      <c r="GX44">
        <v>62.842799999999997</v>
      </c>
      <c r="GY44">
        <v>9.0705100000000005</v>
      </c>
      <c r="GZ44">
        <v>3</v>
      </c>
      <c r="HA44">
        <v>0.63167399999999996</v>
      </c>
      <c r="HB44">
        <v>4.6397399999999998</v>
      </c>
      <c r="HC44">
        <v>20.232199999999999</v>
      </c>
      <c r="HD44">
        <v>5.2088999999999999</v>
      </c>
      <c r="HE44">
        <v>11.9087</v>
      </c>
      <c r="HF44">
        <v>4.9947499999999998</v>
      </c>
      <c r="HG44">
        <v>3.3022499999999999</v>
      </c>
      <c r="HH44">
        <v>9999</v>
      </c>
      <c r="HI44">
        <v>9999</v>
      </c>
      <c r="HJ44">
        <v>9999</v>
      </c>
      <c r="HK44">
        <v>999.9</v>
      </c>
      <c r="HL44">
        <v>1.8849199999999999</v>
      </c>
      <c r="HM44">
        <v>1.8855200000000001</v>
      </c>
      <c r="HN44">
        <v>1.8816600000000001</v>
      </c>
      <c r="HO44">
        <v>1.88337</v>
      </c>
      <c r="HP44">
        <v>1.88009</v>
      </c>
      <c r="HQ44">
        <v>1.8835599999999999</v>
      </c>
      <c r="HR44">
        <v>1.87958</v>
      </c>
      <c r="HS44">
        <v>1.8819900000000001</v>
      </c>
      <c r="HT44">
        <v>5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423</v>
      </c>
      <c r="IB44" t="s">
        <v>423</v>
      </c>
      <c r="IC44" t="s">
        <v>423</v>
      </c>
      <c r="ID44">
        <v>0</v>
      </c>
      <c r="IE44">
        <v>100</v>
      </c>
      <c r="IF44">
        <v>100</v>
      </c>
      <c r="IG44">
        <v>-3.355</v>
      </c>
      <c r="IH44">
        <v>3.6200000000000003E-2</v>
      </c>
      <c r="II44">
        <v>-3.315005689717796</v>
      </c>
      <c r="IJ44">
        <v>-3.7794827560518689E-3</v>
      </c>
      <c r="IK44">
        <v>4.9551128961100493E-7</v>
      </c>
      <c r="IL44">
        <v>1.3680294268397379E-10</v>
      </c>
      <c r="IM44">
        <v>3.6210260519443677E-2</v>
      </c>
      <c r="IN44">
        <v>0</v>
      </c>
      <c r="IO44">
        <v>0</v>
      </c>
      <c r="IP44">
        <v>0</v>
      </c>
      <c r="IQ44">
        <v>4</v>
      </c>
      <c r="IR44">
        <v>2229</v>
      </c>
      <c r="IS44">
        <v>1</v>
      </c>
      <c r="IT44">
        <v>22</v>
      </c>
      <c r="IU44">
        <v>0.7</v>
      </c>
      <c r="IV44">
        <v>0.6</v>
      </c>
      <c r="IW44">
        <v>0.19897500000000001</v>
      </c>
      <c r="IX44">
        <v>2.65869</v>
      </c>
      <c r="IY44">
        <v>2.9956100000000001</v>
      </c>
      <c r="IZ44">
        <v>2.96387</v>
      </c>
      <c r="JA44">
        <v>3.1970200000000002</v>
      </c>
      <c r="JB44">
        <v>2.51831</v>
      </c>
      <c r="JC44">
        <v>52.616599999999998</v>
      </c>
      <c r="JD44">
        <v>23.535900000000002</v>
      </c>
      <c r="JE44">
        <v>18</v>
      </c>
      <c r="JF44">
        <v>531.79</v>
      </c>
      <c r="JG44">
        <v>1094.6099999999999</v>
      </c>
      <c r="JH44">
        <v>24.5258</v>
      </c>
      <c r="JI44">
        <v>34.875300000000003</v>
      </c>
      <c r="JJ44">
        <v>30.000599999999999</v>
      </c>
      <c r="JK44">
        <v>34.814300000000003</v>
      </c>
      <c r="JL44">
        <v>34.715600000000002</v>
      </c>
      <c r="JM44">
        <v>3.9716399999999998</v>
      </c>
      <c r="JN44">
        <v>44.162399999999998</v>
      </c>
      <c r="JO44">
        <v>0</v>
      </c>
      <c r="JP44">
        <v>24.4876</v>
      </c>
      <c r="JQ44">
        <v>10</v>
      </c>
      <c r="JR44">
        <v>18.996300000000002</v>
      </c>
      <c r="JS44">
        <v>98.664500000000004</v>
      </c>
      <c r="JT44">
        <v>97.111500000000007</v>
      </c>
    </row>
    <row r="45" spans="1:280" x14ac:dyDescent="0.25">
      <c r="A45">
        <v>29</v>
      </c>
      <c r="B45">
        <v>1700155514.5999999</v>
      </c>
      <c r="C45">
        <v>6533.0999999046326</v>
      </c>
      <c r="D45" t="s">
        <v>542</v>
      </c>
      <c r="E45" t="s">
        <v>543</v>
      </c>
      <c r="F45" t="s">
        <v>412</v>
      </c>
      <c r="G45" t="s">
        <v>544</v>
      </c>
      <c r="H45" t="s">
        <v>545</v>
      </c>
      <c r="I45">
        <v>1700155514.5999999</v>
      </c>
      <c r="J45">
        <f t="shared" si="0"/>
        <v>4.7574785667355178E-3</v>
      </c>
      <c r="K45">
        <f t="shared" si="1"/>
        <v>4.7574785667355179</v>
      </c>
      <c r="L45">
        <f t="shared" si="2"/>
        <v>45.510354013606666</v>
      </c>
      <c r="M45">
        <f t="shared" si="3"/>
        <v>397.73700000000002</v>
      </c>
      <c r="N45">
        <f t="shared" si="4"/>
        <v>159.72877763915793</v>
      </c>
      <c r="O45">
        <f t="shared" si="5"/>
        <v>15.882283115271971</v>
      </c>
      <c r="P45">
        <f t="shared" si="6"/>
        <v>39.548112323814003</v>
      </c>
      <c r="Q45">
        <f t="shared" si="7"/>
        <v>0.33126778453951466</v>
      </c>
      <c r="R45">
        <f t="shared" si="8"/>
        <v>3.0109904920668495</v>
      </c>
      <c r="S45">
        <f t="shared" si="9"/>
        <v>0.31227019426755809</v>
      </c>
      <c r="T45">
        <f t="shared" si="10"/>
        <v>0.19678488118365012</v>
      </c>
      <c r="U45">
        <f t="shared" si="11"/>
        <v>344.3459987628782</v>
      </c>
      <c r="V45">
        <f t="shared" si="12"/>
        <v>30.827594635314629</v>
      </c>
      <c r="W45">
        <f t="shared" si="13"/>
        <v>29.992100000000001</v>
      </c>
      <c r="X45">
        <f t="shared" si="14"/>
        <v>4.2585168923730068</v>
      </c>
      <c r="Y45">
        <f t="shared" si="15"/>
        <v>65.449511131394445</v>
      </c>
      <c r="Z45">
        <f t="shared" si="16"/>
        <v>2.797393297737</v>
      </c>
      <c r="AA45">
        <f t="shared" si="17"/>
        <v>4.2741240528459237</v>
      </c>
      <c r="AB45">
        <f t="shared" si="18"/>
        <v>1.4611235946360068</v>
      </c>
      <c r="AC45">
        <f t="shared" si="19"/>
        <v>-209.80480479303634</v>
      </c>
      <c r="AD45">
        <f t="shared" si="20"/>
        <v>10.340326686309343</v>
      </c>
      <c r="AE45">
        <f t="shared" si="21"/>
        <v>0.76377766359400545</v>
      </c>
      <c r="AF45">
        <f t="shared" si="22"/>
        <v>145.64529831974519</v>
      </c>
      <c r="AG45">
        <v>8</v>
      </c>
      <c r="AH45">
        <v>2</v>
      </c>
      <c r="AI45">
        <f t="shared" si="23"/>
        <v>1</v>
      </c>
      <c r="AJ45">
        <f t="shared" si="24"/>
        <v>0</v>
      </c>
      <c r="AK45">
        <f t="shared" si="25"/>
        <v>52000.531176820303</v>
      </c>
      <c r="AL45" t="s">
        <v>415</v>
      </c>
      <c r="AM45">
        <v>7133.88</v>
      </c>
      <c r="AN45">
        <v>306.28384615384618</v>
      </c>
      <c r="AO45">
        <v>859.63916333292491</v>
      </c>
      <c r="AP45">
        <f t="shared" si="26"/>
        <v>0.64370650010133712</v>
      </c>
      <c r="AQ45">
        <v>-0.73746743666429193</v>
      </c>
      <c r="AR45" t="s">
        <v>546</v>
      </c>
      <c r="AS45">
        <v>7144.64</v>
      </c>
      <c r="AT45">
        <v>543.32832000000008</v>
      </c>
      <c r="AU45">
        <v>802.25261349940729</v>
      </c>
      <c r="AV45">
        <f t="shared" si="27"/>
        <v>0.3227465877237663</v>
      </c>
      <c r="AW45">
        <v>0.5</v>
      </c>
      <c r="AX45">
        <f t="shared" si="28"/>
        <v>1513.0835993814389</v>
      </c>
      <c r="AY45">
        <f t="shared" si="29"/>
        <v>45.510354013606666</v>
      </c>
      <c r="AZ45">
        <f t="shared" si="30"/>
        <v>244.17128432057683</v>
      </c>
      <c r="BA45">
        <f t="shared" si="31"/>
        <v>3.0565278395177534E-2</v>
      </c>
      <c r="BB45">
        <f t="shared" si="32"/>
        <v>7.1531770502060221E-2</v>
      </c>
      <c r="BC45">
        <f t="shared" si="33"/>
        <v>298.67180546485241</v>
      </c>
      <c r="BD45" t="s">
        <v>547</v>
      </c>
      <c r="BE45">
        <v>400.55</v>
      </c>
      <c r="BF45">
        <f t="shared" si="34"/>
        <v>400.55</v>
      </c>
      <c r="BG45">
        <f t="shared" si="35"/>
        <v>0.50071836070086428</v>
      </c>
      <c r="BH45">
        <f t="shared" si="36"/>
        <v>0.64456711208275286</v>
      </c>
      <c r="BI45">
        <f t="shared" si="37"/>
        <v>0.12500088091145317</v>
      </c>
      <c r="BJ45">
        <f t="shared" si="38"/>
        <v>0.52205765876181554</v>
      </c>
      <c r="BK45">
        <f t="shared" si="39"/>
        <v>0.10370651198594337</v>
      </c>
      <c r="BL45">
        <f t="shared" si="40"/>
        <v>0.47518479571384503</v>
      </c>
      <c r="BM45">
        <f t="shared" si="41"/>
        <v>0.52481520428615491</v>
      </c>
      <c r="BN45">
        <v>20744</v>
      </c>
      <c r="BO45">
        <v>290.00000000000011</v>
      </c>
      <c r="BP45">
        <v>730.14</v>
      </c>
      <c r="BQ45">
        <v>295</v>
      </c>
      <c r="BR45">
        <v>7144.64</v>
      </c>
      <c r="BS45">
        <v>732.29</v>
      </c>
      <c r="BT45">
        <v>-2.15</v>
      </c>
      <c r="BU45">
        <v>300.00000000000011</v>
      </c>
      <c r="BV45">
        <v>38.299999999999997</v>
      </c>
      <c r="BW45">
        <v>802.25261349940729</v>
      </c>
      <c r="BX45">
        <v>1.3596510215829249</v>
      </c>
      <c r="BY45">
        <v>-49.984934459942373</v>
      </c>
      <c r="BZ45">
        <v>0.81411242507365356</v>
      </c>
      <c r="CA45">
        <v>0.99262716188326661</v>
      </c>
      <c r="CB45">
        <v>-7.0536769744160132E-3</v>
      </c>
      <c r="CC45">
        <v>289.99999999999989</v>
      </c>
      <c r="CD45">
        <v>740.34</v>
      </c>
      <c r="CE45">
        <v>805</v>
      </c>
      <c r="CF45">
        <v>7138.09</v>
      </c>
      <c r="CG45">
        <v>732.23</v>
      </c>
      <c r="CH45">
        <v>8.11</v>
      </c>
      <c r="CV45">
        <f t="shared" si="42"/>
        <v>1799.88</v>
      </c>
      <c r="CW45">
        <f t="shared" si="43"/>
        <v>1513.0835993814389</v>
      </c>
      <c r="CX45">
        <f t="shared" si="44"/>
        <v>0.84065804352592333</v>
      </c>
      <c r="CY45">
        <f t="shared" si="45"/>
        <v>0.19131608705184688</v>
      </c>
      <c r="CZ45">
        <v>5.52</v>
      </c>
      <c r="DA45">
        <v>0.5</v>
      </c>
      <c r="DB45" t="s">
        <v>418</v>
      </c>
      <c r="DC45">
        <v>2</v>
      </c>
      <c r="DD45">
        <v>1700155514.5999999</v>
      </c>
      <c r="DE45">
        <v>397.73700000000002</v>
      </c>
      <c r="DF45">
        <v>450.048</v>
      </c>
      <c r="DG45">
        <v>28.133500000000002</v>
      </c>
      <c r="DH45">
        <v>23.031099999999999</v>
      </c>
      <c r="DI45">
        <v>401.93599999999998</v>
      </c>
      <c r="DJ45">
        <v>28.129000000000001</v>
      </c>
      <c r="DK45">
        <v>500.20499999999998</v>
      </c>
      <c r="DL45">
        <v>99.332400000000007</v>
      </c>
      <c r="DM45">
        <v>0.100422</v>
      </c>
      <c r="DN45">
        <v>30.055800000000001</v>
      </c>
      <c r="DO45">
        <v>29.992100000000001</v>
      </c>
      <c r="DP45">
        <v>999.9</v>
      </c>
      <c r="DQ45">
        <v>0</v>
      </c>
      <c r="DR45">
        <v>0</v>
      </c>
      <c r="DS45">
        <v>10001.200000000001</v>
      </c>
      <c r="DT45">
        <v>0</v>
      </c>
      <c r="DU45">
        <v>995.96199999999999</v>
      </c>
      <c r="DV45">
        <v>-52.311100000000003</v>
      </c>
      <c r="DW45">
        <v>409.25099999999998</v>
      </c>
      <c r="DX45">
        <v>460.65699999999998</v>
      </c>
      <c r="DY45">
        <v>5.1024099999999999</v>
      </c>
      <c r="DZ45">
        <v>450.048</v>
      </c>
      <c r="EA45">
        <v>23.031099999999999</v>
      </c>
      <c r="EB45">
        <v>2.7945700000000002</v>
      </c>
      <c r="EC45">
        <v>2.2877299999999998</v>
      </c>
      <c r="ED45">
        <v>22.852</v>
      </c>
      <c r="EE45">
        <v>19.590299999999999</v>
      </c>
      <c r="EF45">
        <v>1799.88</v>
      </c>
      <c r="EG45">
        <v>0.97800399999999998</v>
      </c>
      <c r="EH45">
        <v>2.19963E-2</v>
      </c>
      <c r="EI45">
        <v>0</v>
      </c>
      <c r="EJ45">
        <v>543.25900000000001</v>
      </c>
      <c r="EK45">
        <v>5.0009399999999999</v>
      </c>
      <c r="EL45">
        <v>10773.1</v>
      </c>
      <c r="EM45">
        <v>13859.2</v>
      </c>
      <c r="EN45">
        <v>49.686999999999998</v>
      </c>
      <c r="EO45">
        <v>52.311999999999998</v>
      </c>
      <c r="EP45">
        <v>50.875</v>
      </c>
      <c r="EQ45">
        <v>51.25</v>
      </c>
      <c r="ER45">
        <v>51.061999999999998</v>
      </c>
      <c r="ES45">
        <v>1755.4</v>
      </c>
      <c r="ET45">
        <v>39.479999999999997</v>
      </c>
      <c r="EU45">
        <v>0</v>
      </c>
      <c r="EV45">
        <v>1572</v>
      </c>
      <c r="EW45">
        <v>0</v>
      </c>
      <c r="EX45">
        <v>543.32832000000008</v>
      </c>
      <c r="EY45">
        <v>0.26315384343092901</v>
      </c>
      <c r="EZ45">
        <v>8.8153846434851371</v>
      </c>
      <c r="FA45">
        <v>10773.788</v>
      </c>
      <c r="FB45">
        <v>15</v>
      </c>
      <c r="FC45">
        <v>1700155477.5999999</v>
      </c>
      <c r="FD45" t="s">
        <v>548</v>
      </c>
      <c r="FE45">
        <v>1700155471.5999999</v>
      </c>
      <c r="FF45">
        <v>1700155477.5999999</v>
      </c>
      <c r="FG45">
        <v>32</v>
      </c>
      <c r="FH45">
        <v>-0.06</v>
      </c>
      <c r="FI45">
        <v>-3.5000000000000003E-2</v>
      </c>
      <c r="FJ45">
        <v>-4.3710000000000004</v>
      </c>
      <c r="FK45">
        <v>4.0000000000000001E-3</v>
      </c>
      <c r="FL45">
        <v>450</v>
      </c>
      <c r="FM45">
        <v>23</v>
      </c>
      <c r="FN45">
        <v>0.02</v>
      </c>
      <c r="FO45">
        <v>0.02</v>
      </c>
      <c r="FP45">
        <v>45.508982142969643</v>
      </c>
      <c r="FQ45">
        <v>-0.13046246082003049</v>
      </c>
      <c r="FR45">
        <v>1.9420175104970079E-2</v>
      </c>
      <c r="FS45">
        <v>1</v>
      </c>
      <c r="FT45">
        <v>0.32386296332108588</v>
      </c>
      <c r="FU45">
        <v>4.1878957096747688E-2</v>
      </c>
      <c r="FV45">
        <v>3.5545300100513801E-3</v>
      </c>
      <c r="FW45">
        <v>1</v>
      </c>
      <c r="FX45">
        <v>2</v>
      </c>
      <c r="FY45">
        <v>2</v>
      </c>
      <c r="FZ45" t="s">
        <v>420</v>
      </c>
      <c r="GA45">
        <v>3.1191900000000001</v>
      </c>
      <c r="GB45">
        <v>2.8780600000000001</v>
      </c>
      <c r="GC45">
        <v>8.6873300000000001E-2</v>
      </c>
      <c r="GD45">
        <v>9.5929E-2</v>
      </c>
      <c r="GE45">
        <v>0.125721</v>
      </c>
      <c r="GF45">
        <v>0.109857</v>
      </c>
      <c r="GG45">
        <v>26431.200000000001</v>
      </c>
      <c r="GH45">
        <v>26778.9</v>
      </c>
      <c r="GI45">
        <v>26667.8</v>
      </c>
      <c r="GJ45">
        <v>27364.1</v>
      </c>
      <c r="GK45">
        <v>33364.199999999997</v>
      </c>
      <c r="GL45">
        <v>34053.9</v>
      </c>
      <c r="GM45">
        <v>39519</v>
      </c>
      <c r="GN45">
        <v>39642</v>
      </c>
      <c r="GO45">
        <v>1.9398</v>
      </c>
      <c r="GP45">
        <v>2.3904200000000002</v>
      </c>
      <c r="GQ45">
        <v>-1.6763799999999999E-2</v>
      </c>
      <c r="GR45">
        <v>0</v>
      </c>
      <c r="GS45">
        <v>30.264900000000001</v>
      </c>
      <c r="GT45">
        <v>999.9</v>
      </c>
      <c r="GU45">
        <v>31.4</v>
      </c>
      <c r="GV45">
        <v>48.9</v>
      </c>
      <c r="GW45">
        <v>37.156300000000002</v>
      </c>
      <c r="GX45">
        <v>63.1723</v>
      </c>
      <c r="GY45">
        <v>7.6161899999999996</v>
      </c>
      <c r="GZ45">
        <v>3</v>
      </c>
      <c r="HA45">
        <v>0.69957100000000005</v>
      </c>
      <c r="HB45">
        <v>4.6896699999999996</v>
      </c>
      <c r="HC45">
        <v>20.2303</v>
      </c>
      <c r="HD45">
        <v>5.21549</v>
      </c>
      <c r="HE45">
        <v>11.913399999999999</v>
      </c>
      <c r="HF45">
        <v>4.9972500000000002</v>
      </c>
      <c r="HG45">
        <v>3.3029999999999999</v>
      </c>
      <c r="HH45">
        <v>9999</v>
      </c>
      <c r="HI45">
        <v>9999</v>
      </c>
      <c r="HJ45">
        <v>9999</v>
      </c>
      <c r="HK45">
        <v>999.9</v>
      </c>
      <c r="HL45">
        <v>1.8849199999999999</v>
      </c>
      <c r="HM45">
        <v>1.8855299999999999</v>
      </c>
      <c r="HN45">
        <v>1.8816999999999999</v>
      </c>
      <c r="HO45">
        <v>1.8833899999999999</v>
      </c>
      <c r="HP45">
        <v>1.8800600000000001</v>
      </c>
      <c r="HQ45">
        <v>1.8836299999999999</v>
      </c>
      <c r="HR45">
        <v>1.87958</v>
      </c>
      <c r="HS45">
        <v>1.88202</v>
      </c>
      <c r="HT45">
        <v>5</v>
      </c>
      <c r="HU45">
        <v>0</v>
      </c>
      <c r="HV45">
        <v>0</v>
      </c>
      <c r="HW45">
        <v>0</v>
      </c>
      <c r="HX45" t="s">
        <v>421</v>
      </c>
      <c r="HY45" t="s">
        <v>422</v>
      </c>
      <c r="HZ45" t="s">
        <v>423</v>
      </c>
      <c r="IA45" t="s">
        <v>423</v>
      </c>
      <c r="IB45" t="s">
        <v>423</v>
      </c>
      <c r="IC45" t="s">
        <v>423</v>
      </c>
      <c r="ID45">
        <v>0</v>
      </c>
      <c r="IE45">
        <v>100</v>
      </c>
      <c r="IF45">
        <v>100</v>
      </c>
      <c r="IG45">
        <v>-4.1989999999999998</v>
      </c>
      <c r="IH45">
        <v>4.4999999999999997E-3</v>
      </c>
      <c r="II45">
        <v>-2.7690113982830198</v>
      </c>
      <c r="IJ45">
        <v>-3.7794827560518689E-3</v>
      </c>
      <c r="IK45">
        <v>4.9551128961100493E-7</v>
      </c>
      <c r="IL45">
        <v>1.3680294268397379E-10</v>
      </c>
      <c r="IM45">
        <v>4.4649999999961656E-3</v>
      </c>
      <c r="IN45">
        <v>0</v>
      </c>
      <c r="IO45">
        <v>0</v>
      </c>
      <c r="IP45">
        <v>0</v>
      </c>
      <c r="IQ45">
        <v>4</v>
      </c>
      <c r="IR45">
        <v>2229</v>
      </c>
      <c r="IS45">
        <v>1</v>
      </c>
      <c r="IT45">
        <v>22</v>
      </c>
      <c r="IU45">
        <v>0.7</v>
      </c>
      <c r="IV45">
        <v>0.6</v>
      </c>
      <c r="IW45">
        <v>1.6845699999999999</v>
      </c>
      <c r="IX45">
        <v>2.6098599999999998</v>
      </c>
      <c r="IY45">
        <v>2.9956100000000001</v>
      </c>
      <c r="IZ45">
        <v>2.96631</v>
      </c>
      <c r="JA45">
        <v>3.1970200000000002</v>
      </c>
      <c r="JB45">
        <v>2.5341800000000001</v>
      </c>
      <c r="JC45">
        <v>53.629100000000001</v>
      </c>
      <c r="JD45">
        <v>23.5884</v>
      </c>
      <c r="JE45">
        <v>18</v>
      </c>
      <c r="JF45">
        <v>511.01</v>
      </c>
      <c r="JG45">
        <v>1083.47</v>
      </c>
      <c r="JH45">
        <v>24.0578</v>
      </c>
      <c r="JI45">
        <v>35.6614</v>
      </c>
      <c r="JJ45">
        <v>30.000299999999999</v>
      </c>
      <c r="JK45">
        <v>35.607999999999997</v>
      </c>
      <c r="JL45">
        <v>35.512799999999999</v>
      </c>
      <c r="JM45">
        <v>33.753399999999999</v>
      </c>
      <c r="JN45">
        <v>33.357999999999997</v>
      </c>
      <c r="JO45">
        <v>0</v>
      </c>
      <c r="JP45">
        <v>24.0611</v>
      </c>
      <c r="JQ45">
        <v>450</v>
      </c>
      <c r="JR45">
        <v>22.9573</v>
      </c>
      <c r="JS45">
        <v>98.494500000000002</v>
      </c>
      <c r="JT45">
        <v>96.9709</v>
      </c>
    </row>
    <row r="46" spans="1:280" x14ac:dyDescent="0.25">
      <c r="A46">
        <v>30</v>
      </c>
      <c r="B46">
        <v>1700155717.5999999</v>
      </c>
      <c r="C46">
        <v>6736.0999999046326</v>
      </c>
      <c r="D46" t="s">
        <v>549</v>
      </c>
      <c r="E46" t="s">
        <v>550</v>
      </c>
      <c r="F46" t="s">
        <v>412</v>
      </c>
      <c r="G46" t="s">
        <v>544</v>
      </c>
      <c r="H46" t="s">
        <v>545</v>
      </c>
      <c r="I46">
        <v>1700155717.5999999</v>
      </c>
      <c r="J46">
        <f t="shared" si="0"/>
        <v>3.2432487569437085E-3</v>
      </c>
      <c r="K46">
        <f t="shared" si="1"/>
        <v>3.2432487569437085</v>
      </c>
      <c r="L46">
        <f t="shared" si="2"/>
        <v>49.604971803867208</v>
      </c>
      <c r="M46">
        <f t="shared" si="3"/>
        <v>1439.35</v>
      </c>
      <c r="N46">
        <f t="shared" si="4"/>
        <v>986.58359929426138</v>
      </c>
      <c r="O46">
        <f t="shared" si="5"/>
        <v>98.083440373257332</v>
      </c>
      <c r="P46">
        <f t="shared" si="6"/>
        <v>143.09623634757</v>
      </c>
      <c r="Q46">
        <f t="shared" si="7"/>
        <v>0.19502017121967691</v>
      </c>
      <c r="R46">
        <f t="shared" si="8"/>
        <v>3.0071489178416879</v>
      </c>
      <c r="S46">
        <f t="shared" si="9"/>
        <v>0.18825648239539078</v>
      </c>
      <c r="T46">
        <f t="shared" si="10"/>
        <v>0.11824844949975147</v>
      </c>
      <c r="U46">
        <f t="shared" si="11"/>
        <v>344.32699876280941</v>
      </c>
      <c r="V46">
        <f t="shared" si="12"/>
        <v>30.916660853013695</v>
      </c>
      <c r="W46">
        <f t="shared" si="13"/>
        <v>30.035699999999999</v>
      </c>
      <c r="X46">
        <f t="shared" si="14"/>
        <v>4.2691939703837853</v>
      </c>
      <c r="Y46">
        <f t="shared" si="15"/>
        <v>62.24819868446977</v>
      </c>
      <c r="Z46">
        <f t="shared" si="16"/>
        <v>2.6157576440179806</v>
      </c>
      <c r="AA46">
        <f t="shared" si="17"/>
        <v>4.2021419081972295</v>
      </c>
      <c r="AB46">
        <f t="shared" si="18"/>
        <v>1.6534363263658047</v>
      </c>
      <c r="AC46">
        <f t="shared" si="19"/>
        <v>-143.02727018121755</v>
      </c>
      <c r="AD46">
        <f t="shared" si="20"/>
        <v>-44.648236991120392</v>
      </c>
      <c r="AE46">
        <f t="shared" si="21"/>
        <v>-3.2979942497439705</v>
      </c>
      <c r="AF46">
        <f t="shared" si="22"/>
        <v>153.3534973407275</v>
      </c>
      <c r="AG46">
        <v>8</v>
      </c>
      <c r="AH46">
        <v>2</v>
      </c>
      <c r="AI46">
        <f t="shared" si="23"/>
        <v>1</v>
      </c>
      <c r="AJ46">
        <f t="shared" si="24"/>
        <v>0</v>
      </c>
      <c r="AK46">
        <f t="shared" si="25"/>
        <v>51946.973597520329</v>
      </c>
      <c r="AL46" t="s">
        <v>415</v>
      </c>
      <c r="AM46">
        <v>7133.88</v>
      </c>
      <c r="AN46">
        <v>306.28384615384618</v>
      </c>
      <c r="AO46">
        <v>859.63916333292491</v>
      </c>
      <c r="AP46">
        <f t="shared" si="26"/>
        <v>0.64370650010133712</v>
      </c>
      <c r="AQ46">
        <v>-0.73746743666429193</v>
      </c>
      <c r="AR46" t="s">
        <v>551</v>
      </c>
      <c r="AS46">
        <v>7144.31</v>
      </c>
      <c r="AT46">
        <v>537.22315384615376</v>
      </c>
      <c r="AU46">
        <v>833.12974538705078</v>
      </c>
      <c r="AV46">
        <f t="shared" si="27"/>
        <v>0.35517468098972549</v>
      </c>
      <c r="AW46">
        <v>0.5</v>
      </c>
      <c r="AX46">
        <f t="shared" si="28"/>
        <v>1512.9995993814048</v>
      </c>
      <c r="AY46">
        <f t="shared" si="29"/>
        <v>49.604971803867208</v>
      </c>
      <c r="AZ46">
        <f t="shared" si="30"/>
        <v>268.68957502393647</v>
      </c>
      <c r="BA46">
        <f t="shared" si="31"/>
        <v>3.3273266735241822E-2</v>
      </c>
      <c r="BB46">
        <f t="shared" si="32"/>
        <v>3.1819075111234371E-2</v>
      </c>
      <c r="BC46">
        <f t="shared" si="33"/>
        <v>302.85045189085577</v>
      </c>
      <c r="BD46" t="s">
        <v>552</v>
      </c>
      <c r="BE46">
        <v>402.69</v>
      </c>
      <c r="BF46">
        <f t="shared" si="34"/>
        <v>402.69</v>
      </c>
      <c r="BG46">
        <f t="shared" si="35"/>
        <v>0.51665391587606746</v>
      </c>
      <c r="BH46">
        <f t="shared" si="36"/>
        <v>0.68745183202080529</v>
      </c>
      <c r="BI46">
        <f t="shared" si="37"/>
        <v>5.8013932562033931E-2</v>
      </c>
      <c r="BJ46">
        <f t="shared" si="38"/>
        <v>0.56165681838194603</v>
      </c>
      <c r="BK46">
        <f t="shared" si="39"/>
        <v>4.7906683324224868E-2</v>
      </c>
      <c r="BL46">
        <f t="shared" si="40"/>
        <v>0.51529792834605703</v>
      </c>
      <c r="BM46">
        <f t="shared" si="41"/>
        <v>0.48470207165394297</v>
      </c>
      <c r="BN46">
        <v>20746</v>
      </c>
      <c r="BO46">
        <v>290.00000000000011</v>
      </c>
      <c r="BP46">
        <v>747.32</v>
      </c>
      <c r="BQ46">
        <v>295</v>
      </c>
      <c r="BR46">
        <v>7144.31</v>
      </c>
      <c r="BS46">
        <v>749.2</v>
      </c>
      <c r="BT46">
        <v>-1.88</v>
      </c>
      <c r="BU46">
        <v>300.00000000000011</v>
      </c>
      <c r="BV46">
        <v>38.299999999999997</v>
      </c>
      <c r="BW46">
        <v>833.12974538705078</v>
      </c>
      <c r="BX46">
        <v>1.9216926749472469</v>
      </c>
      <c r="BY46">
        <v>-59.962960171273359</v>
      </c>
      <c r="BZ46">
        <v>1.1505897823824369</v>
      </c>
      <c r="CA46">
        <v>0.98979580992592719</v>
      </c>
      <c r="CB46">
        <v>-7.053526585094551E-3</v>
      </c>
      <c r="CC46">
        <v>289.99999999999989</v>
      </c>
      <c r="CD46">
        <v>755.93</v>
      </c>
      <c r="CE46">
        <v>885</v>
      </c>
      <c r="CF46">
        <v>7136.62</v>
      </c>
      <c r="CG46">
        <v>749.11</v>
      </c>
      <c r="CH46">
        <v>6.82</v>
      </c>
      <c r="CV46">
        <f t="shared" si="42"/>
        <v>1799.78</v>
      </c>
      <c r="CW46">
        <f t="shared" si="43"/>
        <v>1512.9995993814048</v>
      </c>
      <c r="CX46">
        <f t="shared" si="44"/>
        <v>0.84065808008834675</v>
      </c>
      <c r="CY46">
        <f t="shared" si="45"/>
        <v>0.19131616017669351</v>
      </c>
      <c r="CZ46">
        <v>5.52</v>
      </c>
      <c r="DA46">
        <v>0.5</v>
      </c>
      <c r="DB46" t="s">
        <v>418</v>
      </c>
      <c r="DC46">
        <v>2</v>
      </c>
      <c r="DD46">
        <v>1700155717.5999999</v>
      </c>
      <c r="DE46">
        <v>1439.35</v>
      </c>
      <c r="DF46">
        <v>1499.26</v>
      </c>
      <c r="DG46">
        <v>26.3109</v>
      </c>
      <c r="DH46">
        <v>22.824999999999999</v>
      </c>
      <c r="DI46">
        <v>1446.49</v>
      </c>
      <c r="DJ46">
        <v>26.304099999999998</v>
      </c>
      <c r="DK46">
        <v>500.06299999999999</v>
      </c>
      <c r="DL46">
        <v>99.317400000000006</v>
      </c>
      <c r="DM46">
        <v>9.9862199999999998E-2</v>
      </c>
      <c r="DN46">
        <v>29.760300000000001</v>
      </c>
      <c r="DO46">
        <v>30.035699999999999</v>
      </c>
      <c r="DP46">
        <v>999.9</v>
      </c>
      <c r="DQ46">
        <v>0</v>
      </c>
      <c r="DR46">
        <v>0</v>
      </c>
      <c r="DS46">
        <v>9981.8799999999992</v>
      </c>
      <c r="DT46">
        <v>0</v>
      </c>
      <c r="DU46">
        <v>797.471</v>
      </c>
      <c r="DV46">
        <v>-59.902500000000003</v>
      </c>
      <c r="DW46">
        <v>1478.25</v>
      </c>
      <c r="DX46">
        <v>1534.28</v>
      </c>
      <c r="DY46">
        <v>3.48584</v>
      </c>
      <c r="DZ46">
        <v>1499.26</v>
      </c>
      <c r="EA46">
        <v>22.824999999999999</v>
      </c>
      <c r="EB46">
        <v>2.61313</v>
      </c>
      <c r="EC46">
        <v>2.2669199999999998</v>
      </c>
      <c r="ED46">
        <v>21.748799999999999</v>
      </c>
      <c r="EE46">
        <v>19.443300000000001</v>
      </c>
      <c r="EF46">
        <v>1799.78</v>
      </c>
      <c r="EG46">
        <v>0.97800399999999998</v>
      </c>
      <c r="EH46">
        <v>2.19962E-2</v>
      </c>
      <c r="EI46">
        <v>0</v>
      </c>
      <c r="EJ46">
        <v>537.07299999999998</v>
      </c>
      <c r="EK46">
        <v>5.0009399999999999</v>
      </c>
      <c r="EL46">
        <v>10601.9</v>
      </c>
      <c r="EM46">
        <v>13858.5</v>
      </c>
      <c r="EN46">
        <v>49.75</v>
      </c>
      <c r="EO46">
        <v>52.375</v>
      </c>
      <c r="EP46">
        <v>50.936999999999998</v>
      </c>
      <c r="EQ46">
        <v>51.311999999999998</v>
      </c>
      <c r="ER46">
        <v>51.061999999999998</v>
      </c>
      <c r="ES46">
        <v>1755.3</v>
      </c>
      <c r="ET46">
        <v>39.479999999999997</v>
      </c>
      <c r="EU46">
        <v>0</v>
      </c>
      <c r="EV46">
        <v>201.20000004768369</v>
      </c>
      <c r="EW46">
        <v>0</v>
      </c>
      <c r="EX46">
        <v>537.22315384615376</v>
      </c>
      <c r="EY46">
        <v>-0.31220513506311121</v>
      </c>
      <c r="EZ46">
        <v>-46.167521475950188</v>
      </c>
      <c r="FA46">
        <v>10601.50769230769</v>
      </c>
      <c r="FB46">
        <v>15</v>
      </c>
      <c r="FC46">
        <v>1700155646.0999999</v>
      </c>
      <c r="FD46" t="s">
        <v>553</v>
      </c>
      <c r="FE46">
        <v>1700155646.0999999</v>
      </c>
      <c r="FF46">
        <v>1700155638.0999999</v>
      </c>
      <c r="FG46">
        <v>33</v>
      </c>
      <c r="FH46">
        <v>-0.35399999999999998</v>
      </c>
      <c r="FI46">
        <v>2E-3</v>
      </c>
      <c r="FJ46">
        <v>-7.226</v>
      </c>
      <c r="FK46">
        <v>7.0000000000000001E-3</v>
      </c>
      <c r="FL46">
        <v>1500</v>
      </c>
      <c r="FM46">
        <v>24</v>
      </c>
      <c r="FN46">
        <v>0.04</v>
      </c>
      <c r="FO46">
        <v>0.02</v>
      </c>
      <c r="FP46">
        <v>49.258792845666143</v>
      </c>
      <c r="FQ46">
        <v>-0.32395278947026801</v>
      </c>
      <c r="FR46">
        <v>8.0221420931881254E-2</v>
      </c>
      <c r="FS46">
        <v>1</v>
      </c>
      <c r="FT46">
        <v>0.22627107530272419</v>
      </c>
      <c r="FU46">
        <v>-3.8540976044825197E-2</v>
      </c>
      <c r="FV46">
        <v>8.1910142917644684E-3</v>
      </c>
      <c r="FW46">
        <v>1</v>
      </c>
      <c r="FX46">
        <v>2</v>
      </c>
      <c r="FY46">
        <v>2</v>
      </c>
      <c r="FZ46" t="s">
        <v>420</v>
      </c>
      <c r="GA46">
        <v>3.11897</v>
      </c>
      <c r="GB46">
        <v>2.8773300000000002</v>
      </c>
      <c r="GC46">
        <v>0.207589</v>
      </c>
      <c r="GD46">
        <v>0.21448</v>
      </c>
      <c r="GE46">
        <v>0.11984499999999999</v>
      </c>
      <c r="GF46">
        <v>0.109113</v>
      </c>
      <c r="GG46">
        <v>22930.400000000001</v>
      </c>
      <c r="GH46">
        <v>23263</v>
      </c>
      <c r="GI46">
        <v>26666.3</v>
      </c>
      <c r="GJ46">
        <v>27365.5</v>
      </c>
      <c r="GK46">
        <v>33596.1</v>
      </c>
      <c r="GL46">
        <v>34094</v>
      </c>
      <c r="GM46">
        <v>39516.800000000003</v>
      </c>
      <c r="GN46">
        <v>39644.300000000003</v>
      </c>
      <c r="GO46">
        <v>1.93862</v>
      </c>
      <c r="GP46">
        <v>2.39107</v>
      </c>
      <c r="GQ46">
        <v>-4.6007299999999999E-3</v>
      </c>
      <c r="GR46">
        <v>0</v>
      </c>
      <c r="GS46">
        <v>30.110499999999998</v>
      </c>
      <c r="GT46">
        <v>999.9</v>
      </c>
      <c r="GU46">
        <v>31.1</v>
      </c>
      <c r="GV46">
        <v>49</v>
      </c>
      <c r="GW46">
        <v>36.993000000000002</v>
      </c>
      <c r="GX46">
        <v>63.362299999999998</v>
      </c>
      <c r="GY46">
        <v>7.5681099999999999</v>
      </c>
      <c r="GZ46">
        <v>3</v>
      </c>
      <c r="HA46">
        <v>0.70275699999999997</v>
      </c>
      <c r="HB46">
        <v>4.6690199999999997</v>
      </c>
      <c r="HC46">
        <v>20.232900000000001</v>
      </c>
      <c r="HD46">
        <v>5.2093499999999997</v>
      </c>
      <c r="HE46">
        <v>11.914099999999999</v>
      </c>
      <c r="HF46">
        <v>4.9957500000000001</v>
      </c>
      <c r="HG46">
        <v>3.3022499999999999</v>
      </c>
      <c r="HH46">
        <v>9999</v>
      </c>
      <c r="HI46">
        <v>9999</v>
      </c>
      <c r="HJ46">
        <v>9999</v>
      </c>
      <c r="HK46">
        <v>999.9</v>
      </c>
      <c r="HL46">
        <v>1.8849100000000001</v>
      </c>
      <c r="HM46">
        <v>1.8855299999999999</v>
      </c>
      <c r="HN46">
        <v>1.8816900000000001</v>
      </c>
      <c r="HO46">
        <v>1.8833800000000001</v>
      </c>
      <c r="HP46">
        <v>1.8800699999999999</v>
      </c>
      <c r="HQ46">
        <v>1.88358</v>
      </c>
      <c r="HR46">
        <v>1.87958</v>
      </c>
      <c r="HS46">
        <v>1.88198</v>
      </c>
      <c r="HT46">
        <v>5</v>
      </c>
      <c r="HU46">
        <v>0</v>
      </c>
      <c r="HV46">
        <v>0</v>
      </c>
      <c r="HW46">
        <v>0</v>
      </c>
      <c r="HX46" t="s">
        <v>421</v>
      </c>
      <c r="HY46" t="s">
        <v>422</v>
      </c>
      <c r="HZ46" t="s">
        <v>423</v>
      </c>
      <c r="IA46" t="s">
        <v>423</v>
      </c>
      <c r="IB46" t="s">
        <v>423</v>
      </c>
      <c r="IC46" t="s">
        <v>423</v>
      </c>
      <c r="ID46">
        <v>0</v>
      </c>
      <c r="IE46">
        <v>100</v>
      </c>
      <c r="IF46">
        <v>100</v>
      </c>
      <c r="IG46">
        <v>-7.14</v>
      </c>
      <c r="IH46">
        <v>6.7999999999999996E-3</v>
      </c>
      <c r="II46">
        <v>-3.1229891784952319</v>
      </c>
      <c r="IJ46">
        <v>-3.7794827560518689E-3</v>
      </c>
      <c r="IK46">
        <v>4.9551128961100493E-7</v>
      </c>
      <c r="IL46">
        <v>1.3680294268397379E-10</v>
      </c>
      <c r="IM46">
        <v>6.7900000000022942E-3</v>
      </c>
      <c r="IN46">
        <v>0</v>
      </c>
      <c r="IO46">
        <v>0</v>
      </c>
      <c r="IP46">
        <v>0</v>
      </c>
      <c r="IQ46">
        <v>4</v>
      </c>
      <c r="IR46">
        <v>2229</v>
      </c>
      <c r="IS46">
        <v>1</v>
      </c>
      <c r="IT46">
        <v>22</v>
      </c>
      <c r="IU46">
        <v>1.2</v>
      </c>
      <c r="IV46">
        <v>1.3</v>
      </c>
      <c r="IW46">
        <v>4.4287099999999997</v>
      </c>
      <c r="IX46">
        <v>2.5585900000000001</v>
      </c>
      <c r="IY46">
        <v>2.9956100000000001</v>
      </c>
      <c r="IZ46">
        <v>2.96631</v>
      </c>
      <c r="JA46">
        <v>3.1970200000000002</v>
      </c>
      <c r="JB46">
        <v>2.51831</v>
      </c>
      <c r="JC46">
        <v>53.593699999999998</v>
      </c>
      <c r="JD46">
        <v>23.597200000000001</v>
      </c>
      <c r="JE46">
        <v>18</v>
      </c>
      <c r="JF46">
        <v>510.91199999999998</v>
      </c>
      <c r="JG46">
        <v>1085.83</v>
      </c>
      <c r="JH46">
        <v>23.5624</v>
      </c>
      <c r="JI46">
        <v>35.768900000000002</v>
      </c>
      <c r="JJ46">
        <v>30.001100000000001</v>
      </c>
      <c r="JK46">
        <v>35.694200000000002</v>
      </c>
      <c r="JL46">
        <v>35.6006</v>
      </c>
      <c r="JM46">
        <v>88.700699999999998</v>
      </c>
      <c r="JN46">
        <v>32.875500000000002</v>
      </c>
      <c r="JO46">
        <v>0</v>
      </c>
      <c r="JP46">
        <v>23.500599999999999</v>
      </c>
      <c r="JQ46">
        <v>1500</v>
      </c>
      <c r="JR46">
        <v>23.479800000000001</v>
      </c>
      <c r="JS46">
        <v>98.489099999999993</v>
      </c>
      <c r="JT46">
        <v>96.976200000000006</v>
      </c>
    </row>
    <row r="47" spans="1:280" x14ac:dyDescent="0.25">
      <c r="A47">
        <v>31</v>
      </c>
      <c r="B47">
        <v>1700155838.0999999</v>
      </c>
      <c r="C47">
        <v>6856.5999999046326</v>
      </c>
      <c r="D47" t="s">
        <v>554</v>
      </c>
      <c r="E47" t="s">
        <v>555</v>
      </c>
      <c r="F47" t="s">
        <v>412</v>
      </c>
      <c r="G47" t="s">
        <v>544</v>
      </c>
      <c r="H47" t="s">
        <v>545</v>
      </c>
      <c r="I47">
        <v>1700155838.0999999</v>
      </c>
      <c r="J47">
        <f t="shared" si="0"/>
        <v>2.9714719164763608E-3</v>
      </c>
      <c r="K47">
        <f t="shared" si="1"/>
        <v>2.9714719164763608</v>
      </c>
      <c r="L47">
        <f t="shared" si="2"/>
        <v>43.81960275479404</v>
      </c>
      <c r="M47">
        <f t="shared" si="3"/>
        <v>1197.75</v>
      </c>
      <c r="N47">
        <f t="shared" si="4"/>
        <v>787.3479875556427</v>
      </c>
      <c r="O47">
        <f t="shared" si="5"/>
        <v>78.273802572110512</v>
      </c>
      <c r="P47">
        <f t="shared" si="6"/>
        <v>119.07371138625</v>
      </c>
      <c r="Q47">
        <f t="shared" si="7"/>
        <v>0.18773252524463915</v>
      </c>
      <c r="R47">
        <f t="shared" si="8"/>
        <v>3.0092810959415326</v>
      </c>
      <c r="S47">
        <f t="shared" si="9"/>
        <v>0.18146042568378304</v>
      </c>
      <c r="T47">
        <f t="shared" si="10"/>
        <v>0.11395883255292927</v>
      </c>
      <c r="U47">
        <f t="shared" si="11"/>
        <v>344.38589876302251</v>
      </c>
      <c r="V47">
        <f t="shared" si="12"/>
        <v>30.780210746444229</v>
      </c>
      <c r="W47">
        <f t="shared" si="13"/>
        <v>30.019300000000001</v>
      </c>
      <c r="X47">
        <f t="shared" si="14"/>
        <v>4.2651750877035708</v>
      </c>
      <c r="Y47">
        <f t="shared" si="15"/>
        <v>64.876569903251053</v>
      </c>
      <c r="Z47">
        <f t="shared" si="16"/>
        <v>2.6942123460960001</v>
      </c>
      <c r="AA47">
        <f t="shared" si="17"/>
        <v>4.152827977980059</v>
      </c>
      <c r="AB47">
        <f t="shared" si="18"/>
        <v>1.5709627416075707</v>
      </c>
      <c r="AC47">
        <f t="shared" si="19"/>
        <v>-131.04191151660751</v>
      </c>
      <c r="AD47">
        <f t="shared" si="20"/>
        <v>-75.277672174201925</v>
      </c>
      <c r="AE47">
        <f t="shared" si="21"/>
        <v>-5.5504456277967646</v>
      </c>
      <c r="AF47">
        <f t="shared" si="22"/>
        <v>132.5158694444163</v>
      </c>
      <c r="AG47">
        <v>9</v>
      </c>
      <c r="AH47">
        <v>2</v>
      </c>
      <c r="AI47">
        <f t="shared" si="23"/>
        <v>1</v>
      </c>
      <c r="AJ47">
        <f t="shared" si="24"/>
        <v>0</v>
      </c>
      <c r="AK47">
        <f t="shared" si="25"/>
        <v>52039.85154988453</v>
      </c>
      <c r="AL47" t="s">
        <v>431</v>
      </c>
      <c r="AM47" t="s">
        <v>431</v>
      </c>
      <c r="AN47">
        <v>0</v>
      </c>
      <c r="AO47">
        <v>0</v>
      </c>
      <c r="AP47" t="e">
        <f t="shared" si="26"/>
        <v>#DIV/0!</v>
      </c>
      <c r="AQ47">
        <v>0</v>
      </c>
      <c r="AR47" t="s">
        <v>431</v>
      </c>
      <c r="AS47" t="s">
        <v>431</v>
      </c>
      <c r="AT47">
        <v>0</v>
      </c>
      <c r="AU47">
        <v>0</v>
      </c>
      <c r="AV47" t="e">
        <f t="shared" si="27"/>
        <v>#DIV/0!</v>
      </c>
      <c r="AW47">
        <v>0.5</v>
      </c>
      <c r="AX47">
        <f t="shared" si="28"/>
        <v>1513.2599993815113</v>
      </c>
      <c r="AY47">
        <f t="shared" si="29"/>
        <v>43.81960275479404</v>
      </c>
      <c r="AZ47" t="e">
        <f t="shared" si="30"/>
        <v>#DIV/0!</v>
      </c>
      <c r="BA47">
        <f t="shared" si="31"/>
        <v>2.8957087858466932E-2</v>
      </c>
      <c r="BB47" t="e">
        <f t="shared" si="32"/>
        <v>#DIV/0!</v>
      </c>
      <c r="BC47" t="e">
        <f t="shared" si="33"/>
        <v>#DIV/0!</v>
      </c>
      <c r="BD47" t="s">
        <v>431</v>
      </c>
      <c r="BE47">
        <v>0</v>
      </c>
      <c r="BF47" t="e">
        <f t="shared" si="34"/>
        <v>#DIV/0!</v>
      </c>
      <c r="BG47" t="e">
        <f t="shared" si="35"/>
        <v>#DIV/0!</v>
      </c>
      <c r="BH47" t="e">
        <f t="shared" si="36"/>
        <v>#DIV/0!</v>
      </c>
      <c r="BI47" t="e">
        <f t="shared" si="37"/>
        <v>#DIV/0!</v>
      </c>
      <c r="BJ47" t="e">
        <f t="shared" si="38"/>
        <v>#DIV/0!</v>
      </c>
      <c r="BK47" t="e">
        <f t="shared" si="39"/>
        <v>#DIV/0!</v>
      </c>
      <c r="BL47" t="e">
        <f t="shared" si="40"/>
        <v>#DIV/0!</v>
      </c>
      <c r="BM47" t="e">
        <f t="shared" si="41"/>
        <v>#DIV/0!</v>
      </c>
      <c r="BN47">
        <v>20746</v>
      </c>
      <c r="BO47">
        <v>290.00000000000011</v>
      </c>
      <c r="BP47">
        <v>747.32</v>
      </c>
      <c r="BQ47">
        <v>295</v>
      </c>
      <c r="BR47">
        <v>7144.31</v>
      </c>
      <c r="BS47">
        <v>749.2</v>
      </c>
      <c r="BT47">
        <v>-1.88</v>
      </c>
      <c r="BU47">
        <v>300.00000000000011</v>
      </c>
      <c r="BV47">
        <v>38.299999999999997</v>
      </c>
      <c r="BW47">
        <v>833.12974538705078</v>
      </c>
      <c r="BX47">
        <v>1.9216926749472469</v>
      </c>
      <c r="BY47">
        <v>-59.962960171273359</v>
      </c>
      <c r="BZ47">
        <v>1.1505897823824369</v>
      </c>
      <c r="CA47">
        <v>0.98979580992592719</v>
      </c>
      <c r="CB47">
        <v>-7.053526585094551E-3</v>
      </c>
      <c r="CC47">
        <v>289.99999999999989</v>
      </c>
      <c r="CD47">
        <v>755.93</v>
      </c>
      <c r="CE47">
        <v>885</v>
      </c>
      <c r="CF47">
        <v>7136.62</v>
      </c>
      <c r="CG47">
        <v>749.11</v>
      </c>
      <c r="CH47">
        <v>6.82</v>
      </c>
      <c r="CV47">
        <f t="shared" si="42"/>
        <v>1800.09</v>
      </c>
      <c r="CW47">
        <f t="shared" si="43"/>
        <v>1513.2599993815113</v>
      </c>
      <c r="CX47">
        <f t="shared" si="44"/>
        <v>0.84065796675805726</v>
      </c>
      <c r="CY47">
        <f t="shared" si="45"/>
        <v>0.19131593351611448</v>
      </c>
      <c r="CZ47">
        <v>5.52</v>
      </c>
      <c r="DA47">
        <v>0.5</v>
      </c>
      <c r="DB47" t="s">
        <v>418</v>
      </c>
      <c r="DC47">
        <v>2</v>
      </c>
      <c r="DD47">
        <v>1700155838.0999999</v>
      </c>
      <c r="DE47">
        <v>1197.75</v>
      </c>
      <c r="DF47">
        <v>1250.02</v>
      </c>
      <c r="DG47">
        <v>27.1008</v>
      </c>
      <c r="DH47">
        <v>23.9114</v>
      </c>
      <c r="DI47">
        <v>1204.27</v>
      </c>
      <c r="DJ47">
        <v>27.075299999999999</v>
      </c>
      <c r="DK47">
        <v>500.34500000000003</v>
      </c>
      <c r="DL47">
        <v>99.314300000000003</v>
      </c>
      <c r="DM47">
        <v>0.10019500000000001</v>
      </c>
      <c r="DN47">
        <v>29.555299999999999</v>
      </c>
      <c r="DO47">
        <v>30.019300000000001</v>
      </c>
      <c r="DP47">
        <v>999.9</v>
      </c>
      <c r="DQ47">
        <v>0</v>
      </c>
      <c r="DR47">
        <v>0</v>
      </c>
      <c r="DS47">
        <v>9993.75</v>
      </c>
      <c r="DT47">
        <v>0</v>
      </c>
      <c r="DU47">
        <v>404.10300000000001</v>
      </c>
      <c r="DV47">
        <v>-52.264499999999998</v>
      </c>
      <c r="DW47">
        <v>1231.1199999999999</v>
      </c>
      <c r="DX47">
        <v>1280.6400000000001</v>
      </c>
      <c r="DY47">
        <v>3.1894100000000001</v>
      </c>
      <c r="DZ47">
        <v>1250.02</v>
      </c>
      <c r="EA47">
        <v>23.9114</v>
      </c>
      <c r="EB47">
        <v>2.6915</v>
      </c>
      <c r="EC47">
        <v>2.3747400000000001</v>
      </c>
      <c r="ED47">
        <v>22.2333</v>
      </c>
      <c r="EE47">
        <v>20.192599999999999</v>
      </c>
      <c r="EF47">
        <v>1800.09</v>
      </c>
      <c r="EG47">
        <v>0.97800799999999999</v>
      </c>
      <c r="EH47">
        <v>2.1992500000000002E-2</v>
      </c>
      <c r="EI47">
        <v>0</v>
      </c>
      <c r="EJ47">
        <v>541.995</v>
      </c>
      <c r="EK47">
        <v>5.0009399999999999</v>
      </c>
      <c r="EL47">
        <v>10536.2</v>
      </c>
      <c r="EM47">
        <v>13860.8</v>
      </c>
      <c r="EN47">
        <v>49.686999999999998</v>
      </c>
      <c r="EO47">
        <v>52.186999999999998</v>
      </c>
      <c r="EP47">
        <v>50.875</v>
      </c>
      <c r="EQ47">
        <v>51.186999999999998</v>
      </c>
      <c r="ER47">
        <v>51.061999999999998</v>
      </c>
      <c r="ES47">
        <v>1755.61</v>
      </c>
      <c r="ET47">
        <v>39.479999999999997</v>
      </c>
      <c r="EU47">
        <v>0</v>
      </c>
      <c r="EV47">
        <v>118.7999999523163</v>
      </c>
      <c r="EW47">
        <v>0</v>
      </c>
      <c r="EX47">
        <v>542.02724000000012</v>
      </c>
      <c r="EY47">
        <v>0.60469230667357643</v>
      </c>
      <c r="EZ47">
        <v>-47.97692322112897</v>
      </c>
      <c r="FA47">
        <v>10540.74</v>
      </c>
      <c r="FB47">
        <v>15</v>
      </c>
      <c r="FC47">
        <v>1700155800.5999999</v>
      </c>
      <c r="FD47" t="s">
        <v>556</v>
      </c>
      <c r="FE47">
        <v>1700155800.5999999</v>
      </c>
      <c r="FF47">
        <v>1700155799.5999999</v>
      </c>
      <c r="FG47">
        <v>34</v>
      </c>
      <c r="FH47">
        <v>0.19700000000000001</v>
      </c>
      <c r="FI47">
        <v>1.9E-2</v>
      </c>
      <c r="FJ47">
        <v>-6.62</v>
      </c>
      <c r="FK47">
        <v>2.5000000000000001E-2</v>
      </c>
      <c r="FL47">
        <v>1250</v>
      </c>
      <c r="FM47">
        <v>25</v>
      </c>
      <c r="FN47">
        <v>7.0000000000000007E-2</v>
      </c>
      <c r="FO47">
        <v>0.05</v>
      </c>
      <c r="FP47">
        <v>43.802351189783131</v>
      </c>
      <c r="FQ47">
        <v>-0.25455867645447228</v>
      </c>
      <c r="FR47">
        <v>4.6261054156515477E-2</v>
      </c>
      <c r="FS47">
        <v>1</v>
      </c>
      <c r="FT47">
        <v>0.1954873230354261</v>
      </c>
      <c r="FU47">
        <v>3.3437211801325459E-2</v>
      </c>
      <c r="FV47">
        <v>6.1693011641114938E-3</v>
      </c>
      <c r="FW47">
        <v>1</v>
      </c>
      <c r="FX47">
        <v>2</v>
      </c>
      <c r="FY47">
        <v>2</v>
      </c>
      <c r="FZ47" t="s">
        <v>420</v>
      </c>
      <c r="GA47">
        <v>3.1195499999999998</v>
      </c>
      <c r="GB47">
        <v>2.8777699999999999</v>
      </c>
      <c r="GC47">
        <v>0.18549399999999999</v>
      </c>
      <c r="GD47">
        <v>0.19205900000000001</v>
      </c>
      <c r="GE47">
        <v>0.12231599999999999</v>
      </c>
      <c r="GF47">
        <v>0.112793</v>
      </c>
      <c r="GG47">
        <v>23568.799999999999</v>
      </c>
      <c r="GH47">
        <v>23924.9</v>
      </c>
      <c r="GI47">
        <v>26663.1</v>
      </c>
      <c r="GJ47">
        <v>27361</v>
      </c>
      <c r="GK47">
        <v>33497.199999999997</v>
      </c>
      <c r="GL47">
        <v>33946.699999999997</v>
      </c>
      <c r="GM47">
        <v>39512.9</v>
      </c>
      <c r="GN47">
        <v>39638.400000000001</v>
      </c>
      <c r="GO47">
        <v>1.9360999999999999</v>
      </c>
      <c r="GP47">
        <v>2.391</v>
      </c>
      <c r="GQ47">
        <v>1.0021E-2</v>
      </c>
      <c r="GR47">
        <v>0</v>
      </c>
      <c r="GS47">
        <v>29.856200000000001</v>
      </c>
      <c r="GT47">
        <v>999.9</v>
      </c>
      <c r="GU47">
        <v>31</v>
      </c>
      <c r="GV47">
        <v>49</v>
      </c>
      <c r="GW47">
        <v>36.871899999999997</v>
      </c>
      <c r="GX47">
        <v>63.232300000000002</v>
      </c>
      <c r="GY47">
        <v>7.4759599999999997</v>
      </c>
      <c r="GZ47">
        <v>3</v>
      </c>
      <c r="HA47">
        <v>0.71217200000000003</v>
      </c>
      <c r="HB47">
        <v>5.4034300000000002</v>
      </c>
      <c r="HC47">
        <v>20.210899999999999</v>
      </c>
      <c r="HD47">
        <v>5.2156399999999996</v>
      </c>
      <c r="HE47">
        <v>11.914099999999999</v>
      </c>
      <c r="HF47">
        <v>4.9974499999999997</v>
      </c>
      <c r="HG47">
        <v>3.3029999999999999</v>
      </c>
      <c r="HH47">
        <v>9999</v>
      </c>
      <c r="HI47">
        <v>9999</v>
      </c>
      <c r="HJ47">
        <v>9999</v>
      </c>
      <c r="HK47">
        <v>999.9</v>
      </c>
      <c r="HL47">
        <v>1.88489</v>
      </c>
      <c r="HM47">
        <v>1.8855299999999999</v>
      </c>
      <c r="HN47">
        <v>1.8816600000000001</v>
      </c>
      <c r="HO47">
        <v>1.88337</v>
      </c>
      <c r="HP47">
        <v>1.8800699999999999</v>
      </c>
      <c r="HQ47">
        <v>1.8835599999999999</v>
      </c>
      <c r="HR47">
        <v>1.87958</v>
      </c>
      <c r="HS47">
        <v>1.88195</v>
      </c>
      <c r="HT47">
        <v>5</v>
      </c>
      <c r="HU47">
        <v>0</v>
      </c>
      <c r="HV47">
        <v>0</v>
      </c>
      <c r="HW47">
        <v>0</v>
      </c>
      <c r="HX47" t="s">
        <v>421</v>
      </c>
      <c r="HY47" t="s">
        <v>422</v>
      </c>
      <c r="HZ47" t="s">
        <v>423</v>
      </c>
      <c r="IA47" t="s">
        <v>423</v>
      </c>
      <c r="IB47" t="s">
        <v>423</v>
      </c>
      <c r="IC47" t="s">
        <v>423</v>
      </c>
      <c r="ID47">
        <v>0</v>
      </c>
      <c r="IE47">
        <v>100</v>
      </c>
      <c r="IF47">
        <v>100</v>
      </c>
      <c r="IG47">
        <v>-6.52</v>
      </c>
      <c r="IH47">
        <v>2.5499999999999998E-2</v>
      </c>
      <c r="II47">
        <v>-2.9252262611695259</v>
      </c>
      <c r="IJ47">
        <v>-3.7794827560518689E-3</v>
      </c>
      <c r="IK47">
        <v>4.9551128961100493E-7</v>
      </c>
      <c r="IL47">
        <v>1.3680294268397379E-10</v>
      </c>
      <c r="IM47">
        <v>2.5469999999998549E-2</v>
      </c>
      <c r="IN47">
        <v>0</v>
      </c>
      <c r="IO47">
        <v>0</v>
      </c>
      <c r="IP47">
        <v>0</v>
      </c>
      <c r="IQ47">
        <v>4</v>
      </c>
      <c r="IR47">
        <v>2229</v>
      </c>
      <c r="IS47">
        <v>1</v>
      </c>
      <c r="IT47">
        <v>22</v>
      </c>
      <c r="IU47">
        <v>0.6</v>
      </c>
      <c r="IV47">
        <v>0.6</v>
      </c>
      <c r="IW47">
        <v>3.8452099999999998</v>
      </c>
      <c r="IX47">
        <v>2.5500500000000001</v>
      </c>
      <c r="IY47">
        <v>2.9956100000000001</v>
      </c>
      <c r="IZ47">
        <v>2.96631</v>
      </c>
      <c r="JA47">
        <v>3.1970200000000002</v>
      </c>
      <c r="JB47">
        <v>2.51831</v>
      </c>
      <c r="JC47">
        <v>53.4878</v>
      </c>
      <c r="JD47">
        <v>23.614699999999999</v>
      </c>
      <c r="JE47">
        <v>18</v>
      </c>
      <c r="JF47">
        <v>509.55599999999998</v>
      </c>
      <c r="JG47">
        <v>1086.18</v>
      </c>
      <c r="JH47">
        <v>23.1159</v>
      </c>
      <c r="JI47">
        <v>35.7941</v>
      </c>
      <c r="JJ47">
        <v>30.001999999999999</v>
      </c>
      <c r="JK47">
        <v>35.729199999999999</v>
      </c>
      <c r="JL47">
        <v>35.6267</v>
      </c>
      <c r="JM47">
        <v>77.0428</v>
      </c>
      <c r="JN47">
        <v>30.147500000000001</v>
      </c>
      <c r="JO47">
        <v>0</v>
      </c>
      <c r="JP47">
        <v>23.077999999999999</v>
      </c>
      <c r="JQ47">
        <v>1250</v>
      </c>
      <c r="JR47">
        <v>24.059699999999999</v>
      </c>
      <c r="JS47">
        <v>98.4786</v>
      </c>
      <c r="JT47">
        <v>96.961200000000005</v>
      </c>
    </row>
    <row r="48" spans="1:280" x14ac:dyDescent="0.25">
      <c r="A48">
        <v>32</v>
      </c>
      <c r="B48">
        <v>1700156094.0999999</v>
      </c>
      <c r="C48">
        <v>7112.5999999046326</v>
      </c>
      <c r="D48" t="s">
        <v>557</v>
      </c>
      <c r="E48" t="s">
        <v>558</v>
      </c>
      <c r="F48" t="s">
        <v>412</v>
      </c>
      <c r="G48" t="s">
        <v>544</v>
      </c>
      <c r="H48" t="s">
        <v>545</v>
      </c>
      <c r="I48">
        <v>1700156094.0999999</v>
      </c>
      <c r="J48">
        <f t="shared" si="0"/>
        <v>2.845158338158179E-3</v>
      </c>
      <c r="K48">
        <f t="shared" si="1"/>
        <v>2.8451583381581789</v>
      </c>
      <c r="L48">
        <f t="shared" si="2"/>
        <v>48.54362931697613</v>
      </c>
      <c r="M48">
        <f t="shared" si="3"/>
        <v>943.48599999999999</v>
      </c>
      <c r="N48">
        <f t="shared" si="4"/>
        <v>494.50704846655253</v>
      </c>
      <c r="O48">
        <f t="shared" si="5"/>
        <v>49.156741670144974</v>
      </c>
      <c r="P48">
        <f t="shared" si="6"/>
        <v>93.787738142898007</v>
      </c>
      <c r="Q48">
        <f t="shared" si="7"/>
        <v>0.18555831966662031</v>
      </c>
      <c r="R48">
        <f t="shared" si="8"/>
        <v>3.0091233667966213</v>
      </c>
      <c r="S48">
        <f t="shared" si="9"/>
        <v>0.17942779567224526</v>
      </c>
      <c r="T48">
        <f t="shared" si="10"/>
        <v>0.11267630275366361</v>
      </c>
      <c r="U48">
        <f t="shared" si="11"/>
        <v>344.36369876262671</v>
      </c>
      <c r="V48">
        <f t="shared" si="12"/>
        <v>30.952906795630376</v>
      </c>
      <c r="W48">
        <f t="shared" si="13"/>
        <v>29.950700000000001</v>
      </c>
      <c r="X48">
        <f t="shared" si="14"/>
        <v>4.2484001135556992</v>
      </c>
      <c r="Y48">
        <f t="shared" si="15"/>
        <v>65.146070903074389</v>
      </c>
      <c r="Z48">
        <f t="shared" si="16"/>
        <v>2.7274495266168</v>
      </c>
      <c r="AA48">
        <f t="shared" si="17"/>
        <v>4.1866677280887021</v>
      </c>
      <c r="AB48">
        <f t="shared" si="18"/>
        <v>1.5209505869388993</v>
      </c>
      <c r="AC48">
        <f t="shared" si="19"/>
        <v>-125.4714827127757</v>
      </c>
      <c r="AD48">
        <f t="shared" si="20"/>
        <v>-41.286990102963223</v>
      </c>
      <c r="AE48">
        <f t="shared" si="21"/>
        <v>-3.0454608675184107</v>
      </c>
      <c r="AF48">
        <f t="shared" si="22"/>
        <v>174.55976507936941</v>
      </c>
      <c r="AG48">
        <v>9</v>
      </c>
      <c r="AH48">
        <v>2</v>
      </c>
      <c r="AI48">
        <f t="shared" si="23"/>
        <v>1</v>
      </c>
      <c r="AJ48">
        <f t="shared" si="24"/>
        <v>0</v>
      </c>
      <c r="AK48">
        <f t="shared" si="25"/>
        <v>52011.176017799065</v>
      </c>
      <c r="AL48" t="s">
        <v>415</v>
      </c>
      <c r="AM48">
        <v>7133.88</v>
      </c>
      <c r="AN48">
        <v>306.28384615384618</v>
      </c>
      <c r="AO48">
        <v>859.63916333292491</v>
      </c>
      <c r="AP48">
        <f t="shared" si="26"/>
        <v>0.64370650010133712</v>
      </c>
      <c r="AQ48">
        <v>-0.73746743666429193</v>
      </c>
      <c r="AR48" t="s">
        <v>559</v>
      </c>
      <c r="AS48">
        <v>7146.02</v>
      </c>
      <c r="AT48">
        <v>536.42251999999996</v>
      </c>
      <c r="AU48">
        <v>811.54963442372753</v>
      </c>
      <c r="AV48">
        <f t="shared" si="27"/>
        <v>0.33901452573395874</v>
      </c>
      <c r="AW48">
        <v>0.5</v>
      </c>
      <c r="AX48">
        <f t="shared" si="28"/>
        <v>1513.1594993813135</v>
      </c>
      <c r="AY48">
        <f t="shared" si="29"/>
        <v>48.54362931697613</v>
      </c>
      <c r="AZ48">
        <f t="shared" si="30"/>
        <v>256.49152502129522</v>
      </c>
      <c r="BA48">
        <f t="shared" si="31"/>
        <v>3.2568342447567497E-2</v>
      </c>
      <c r="BB48">
        <f t="shared" si="32"/>
        <v>5.925642359921119E-2</v>
      </c>
      <c r="BC48">
        <f t="shared" si="33"/>
        <v>299.95107551409831</v>
      </c>
      <c r="BD48" t="s">
        <v>560</v>
      </c>
      <c r="BE48">
        <v>402.09</v>
      </c>
      <c r="BF48">
        <f t="shared" si="34"/>
        <v>402.09</v>
      </c>
      <c r="BG48">
        <f t="shared" si="35"/>
        <v>0.50454047054617956</v>
      </c>
      <c r="BH48">
        <f t="shared" si="36"/>
        <v>0.67192731906514003</v>
      </c>
      <c r="BI48">
        <f t="shared" si="37"/>
        <v>0.1051024299965907</v>
      </c>
      <c r="BJ48">
        <f t="shared" si="38"/>
        <v>0.54451957922148464</v>
      </c>
      <c r="BK48">
        <f t="shared" si="39"/>
        <v>8.690533445011514E-2</v>
      </c>
      <c r="BL48">
        <f t="shared" si="40"/>
        <v>0.50366128499396734</v>
      </c>
      <c r="BM48">
        <f t="shared" si="41"/>
        <v>0.49633871500603266</v>
      </c>
      <c r="BN48">
        <v>20748</v>
      </c>
      <c r="BO48">
        <v>290.00000000000011</v>
      </c>
      <c r="BP48">
        <v>733.8</v>
      </c>
      <c r="BQ48">
        <v>285</v>
      </c>
      <c r="BR48">
        <v>7146.02</v>
      </c>
      <c r="BS48">
        <v>735.19</v>
      </c>
      <c r="BT48">
        <v>-1.39</v>
      </c>
      <c r="BU48">
        <v>300.00000000000011</v>
      </c>
      <c r="BV48">
        <v>38.299999999999997</v>
      </c>
      <c r="BW48">
        <v>811.54963442372753</v>
      </c>
      <c r="BX48">
        <v>1.425936057985564</v>
      </c>
      <c r="BY48">
        <v>-54.566905651471338</v>
      </c>
      <c r="BZ48">
        <v>0.85397441332757451</v>
      </c>
      <c r="CA48">
        <v>0.99318884243566974</v>
      </c>
      <c r="CB48">
        <v>-7.0549288097886591E-3</v>
      </c>
      <c r="CC48">
        <v>289.99999999999989</v>
      </c>
      <c r="CD48">
        <v>741.57</v>
      </c>
      <c r="CE48">
        <v>715</v>
      </c>
      <c r="CF48">
        <v>7141.16</v>
      </c>
      <c r="CG48">
        <v>735.14</v>
      </c>
      <c r="CH48">
        <v>6.43</v>
      </c>
      <c r="CV48">
        <f t="shared" si="42"/>
        <v>1799.97</v>
      </c>
      <c r="CW48">
        <f t="shared" si="43"/>
        <v>1513.1594993813135</v>
      </c>
      <c r="CX48">
        <f t="shared" si="44"/>
        <v>0.84065817729257342</v>
      </c>
      <c r="CY48">
        <f t="shared" si="45"/>
        <v>0.19131635458514681</v>
      </c>
      <c r="CZ48">
        <v>5.52</v>
      </c>
      <c r="DA48">
        <v>0.5</v>
      </c>
      <c r="DB48" t="s">
        <v>418</v>
      </c>
      <c r="DC48">
        <v>2</v>
      </c>
      <c r="DD48">
        <v>1700156094.0999999</v>
      </c>
      <c r="DE48">
        <v>943.48599999999999</v>
      </c>
      <c r="DF48">
        <v>1000.07</v>
      </c>
      <c r="DG48">
        <v>27.4376</v>
      </c>
      <c r="DH48">
        <v>24.3812</v>
      </c>
      <c r="DI48">
        <v>949.60599999999999</v>
      </c>
      <c r="DJ48">
        <v>27.407800000000002</v>
      </c>
      <c r="DK48">
        <v>499.75</v>
      </c>
      <c r="DL48">
        <v>99.305800000000005</v>
      </c>
      <c r="DM48">
        <v>9.9742999999999998E-2</v>
      </c>
      <c r="DN48">
        <v>29.696200000000001</v>
      </c>
      <c r="DO48">
        <v>29.950700000000001</v>
      </c>
      <c r="DP48">
        <v>999.9</v>
      </c>
      <c r="DQ48">
        <v>0</v>
      </c>
      <c r="DR48">
        <v>0</v>
      </c>
      <c r="DS48">
        <v>9993.75</v>
      </c>
      <c r="DT48">
        <v>0</v>
      </c>
      <c r="DU48">
        <v>512.13499999999999</v>
      </c>
      <c r="DV48">
        <v>-56.583300000000001</v>
      </c>
      <c r="DW48">
        <v>970.10299999999995</v>
      </c>
      <c r="DX48">
        <v>1025.06</v>
      </c>
      <c r="DY48">
        <v>3.0563899999999999</v>
      </c>
      <c r="DZ48">
        <v>1000.07</v>
      </c>
      <c r="EA48">
        <v>24.3812</v>
      </c>
      <c r="EB48">
        <v>2.72471</v>
      </c>
      <c r="EC48">
        <v>2.4211999999999998</v>
      </c>
      <c r="ED48">
        <v>22.434899999999999</v>
      </c>
      <c r="EE48">
        <v>20.5062</v>
      </c>
      <c r="EF48">
        <v>1799.97</v>
      </c>
      <c r="EG48">
        <v>0.97799999999999998</v>
      </c>
      <c r="EH48">
        <v>2.2000100000000002E-2</v>
      </c>
      <c r="EI48">
        <v>0</v>
      </c>
      <c r="EJ48">
        <v>536.11500000000001</v>
      </c>
      <c r="EK48">
        <v>5.0009399999999999</v>
      </c>
      <c r="EL48">
        <v>10464.9</v>
      </c>
      <c r="EM48">
        <v>13859.9</v>
      </c>
      <c r="EN48">
        <v>49.311999999999998</v>
      </c>
      <c r="EO48">
        <v>51.5</v>
      </c>
      <c r="EP48">
        <v>50.5</v>
      </c>
      <c r="EQ48">
        <v>50.561999999999998</v>
      </c>
      <c r="ER48">
        <v>50.686999999999998</v>
      </c>
      <c r="ES48">
        <v>1755.48</v>
      </c>
      <c r="ET48">
        <v>39.49</v>
      </c>
      <c r="EU48">
        <v>0</v>
      </c>
      <c r="EV48">
        <v>374.40000009536737</v>
      </c>
      <c r="EW48">
        <v>0</v>
      </c>
      <c r="EX48">
        <v>536.42251999999996</v>
      </c>
      <c r="EY48">
        <v>-1.3550000051621629</v>
      </c>
      <c r="EZ48">
        <v>-101.55384597669899</v>
      </c>
      <c r="FA48">
        <v>10477.191999999999</v>
      </c>
      <c r="FB48">
        <v>15</v>
      </c>
      <c r="FC48">
        <v>1700155933.0999999</v>
      </c>
      <c r="FD48" t="s">
        <v>561</v>
      </c>
      <c r="FE48">
        <v>1700155933.0999999</v>
      </c>
      <c r="FF48">
        <v>1700155931.0999999</v>
      </c>
      <c r="FG48">
        <v>35</v>
      </c>
      <c r="FH48">
        <v>-0.17100000000000001</v>
      </c>
      <c r="FI48">
        <v>4.0000000000000001E-3</v>
      </c>
      <c r="FJ48">
        <v>-6.2569999999999997</v>
      </c>
      <c r="FK48">
        <v>0.03</v>
      </c>
      <c r="FL48">
        <v>1000</v>
      </c>
      <c r="FM48">
        <v>25</v>
      </c>
      <c r="FN48">
        <v>0.04</v>
      </c>
      <c r="FO48">
        <v>0.05</v>
      </c>
      <c r="FP48">
        <v>48.302199789664037</v>
      </c>
      <c r="FQ48">
        <v>0.56502028885749889</v>
      </c>
      <c r="FR48">
        <v>7.0771307473054879E-2</v>
      </c>
      <c r="FS48">
        <v>1</v>
      </c>
      <c r="FT48">
        <v>0.18523896273322099</v>
      </c>
      <c r="FU48">
        <v>3.9706970867388183E-2</v>
      </c>
      <c r="FV48">
        <v>3.5766070717797231E-3</v>
      </c>
      <c r="FW48">
        <v>1</v>
      </c>
      <c r="FX48">
        <v>2</v>
      </c>
      <c r="FY48">
        <v>2</v>
      </c>
      <c r="FZ48" t="s">
        <v>420</v>
      </c>
      <c r="GA48">
        <v>3.1190199999999999</v>
      </c>
      <c r="GB48">
        <v>2.87731</v>
      </c>
      <c r="GC48">
        <v>0.159497</v>
      </c>
      <c r="GD48">
        <v>0.16692399999999999</v>
      </c>
      <c r="GE48">
        <v>0.123431</v>
      </c>
      <c r="GF48">
        <v>0.114411</v>
      </c>
      <c r="GG48">
        <v>24336.6</v>
      </c>
      <c r="GH48">
        <v>24683.1</v>
      </c>
      <c r="GI48">
        <v>26677.1</v>
      </c>
      <c r="GJ48">
        <v>27372.9</v>
      </c>
      <c r="GK48">
        <v>33467.599999999999</v>
      </c>
      <c r="GL48">
        <v>33894.800000000003</v>
      </c>
      <c r="GM48">
        <v>39532.1</v>
      </c>
      <c r="GN48">
        <v>39653.199999999997</v>
      </c>
      <c r="GO48">
        <v>1.93788</v>
      </c>
      <c r="GP48">
        <v>2.3972199999999999</v>
      </c>
      <c r="GQ48">
        <v>2.61143E-2</v>
      </c>
      <c r="GR48">
        <v>0</v>
      </c>
      <c r="GS48">
        <v>29.525500000000001</v>
      </c>
      <c r="GT48">
        <v>999.9</v>
      </c>
      <c r="GU48">
        <v>30.8</v>
      </c>
      <c r="GV48">
        <v>49</v>
      </c>
      <c r="GW48">
        <v>36.634300000000003</v>
      </c>
      <c r="GX48">
        <v>63.342399999999998</v>
      </c>
      <c r="GY48">
        <v>7.6001599999999998</v>
      </c>
      <c r="GZ48">
        <v>3</v>
      </c>
      <c r="HA48">
        <v>0.678257</v>
      </c>
      <c r="HB48">
        <v>3.8872399999999998</v>
      </c>
      <c r="HC48">
        <v>20.252600000000001</v>
      </c>
      <c r="HD48">
        <v>5.2127999999999997</v>
      </c>
      <c r="HE48">
        <v>11.9123</v>
      </c>
      <c r="HF48">
        <v>4.9962499999999999</v>
      </c>
      <c r="HG48">
        <v>3.3029999999999999</v>
      </c>
      <c r="HH48">
        <v>9999</v>
      </c>
      <c r="HI48">
        <v>9999</v>
      </c>
      <c r="HJ48">
        <v>9999</v>
      </c>
      <c r="HK48">
        <v>999.9</v>
      </c>
      <c r="HL48">
        <v>1.88483</v>
      </c>
      <c r="HM48">
        <v>1.8854500000000001</v>
      </c>
      <c r="HN48">
        <v>1.88157</v>
      </c>
      <c r="HO48">
        <v>1.8832899999999999</v>
      </c>
      <c r="HP48">
        <v>1.8800399999999999</v>
      </c>
      <c r="HQ48">
        <v>1.88354</v>
      </c>
      <c r="HR48">
        <v>1.8795599999999999</v>
      </c>
      <c r="HS48">
        <v>1.8818900000000001</v>
      </c>
      <c r="HT48">
        <v>5</v>
      </c>
      <c r="HU48">
        <v>0</v>
      </c>
      <c r="HV48">
        <v>0</v>
      </c>
      <c r="HW48">
        <v>0</v>
      </c>
      <c r="HX48" t="s">
        <v>421</v>
      </c>
      <c r="HY48" t="s">
        <v>422</v>
      </c>
      <c r="HZ48" t="s">
        <v>423</v>
      </c>
      <c r="IA48" t="s">
        <v>423</v>
      </c>
      <c r="IB48" t="s">
        <v>423</v>
      </c>
      <c r="IC48" t="s">
        <v>423</v>
      </c>
      <c r="ID48">
        <v>0</v>
      </c>
      <c r="IE48">
        <v>100</v>
      </c>
      <c r="IF48">
        <v>100</v>
      </c>
      <c r="IG48">
        <v>-6.12</v>
      </c>
      <c r="IH48">
        <v>2.98E-2</v>
      </c>
      <c r="II48">
        <v>-3.0952632983541499</v>
      </c>
      <c r="IJ48">
        <v>-3.7794827560518689E-3</v>
      </c>
      <c r="IK48">
        <v>4.9551128961100493E-7</v>
      </c>
      <c r="IL48">
        <v>1.3680294268397379E-10</v>
      </c>
      <c r="IM48">
        <v>2.9819047619042749E-2</v>
      </c>
      <c r="IN48">
        <v>0</v>
      </c>
      <c r="IO48">
        <v>0</v>
      </c>
      <c r="IP48">
        <v>0</v>
      </c>
      <c r="IQ48">
        <v>4</v>
      </c>
      <c r="IR48">
        <v>2229</v>
      </c>
      <c r="IS48">
        <v>1</v>
      </c>
      <c r="IT48">
        <v>22</v>
      </c>
      <c r="IU48">
        <v>2.7</v>
      </c>
      <c r="IV48">
        <v>2.7</v>
      </c>
      <c r="IW48">
        <v>3.2238799999999999</v>
      </c>
      <c r="IX48">
        <v>2.5683600000000002</v>
      </c>
      <c r="IY48">
        <v>2.9956100000000001</v>
      </c>
      <c r="IZ48">
        <v>2.96509</v>
      </c>
      <c r="JA48">
        <v>3.1970200000000002</v>
      </c>
      <c r="JB48">
        <v>2.5439500000000002</v>
      </c>
      <c r="JC48">
        <v>52.927799999999998</v>
      </c>
      <c r="JD48">
        <v>23.6585</v>
      </c>
      <c r="JE48">
        <v>18</v>
      </c>
      <c r="JF48">
        <v>508.98700000000002</v>
      </c>
      <c r="JG48">
        <v>1090.98</v>
      </c>
      <c r="JH48">
        <v>24.2593</v>
      </c>
      <c r="JI48">
        <v>35.476300000000002</v>
      </c>
      <c r="JJ48">
        <v>29.999099999999999</v>
      </c>
      <c r="JK48">
        <v>35.5045</v>
      </c>
      <c r="JL48">
        <v>35.4283</v>
      </c>
      <c r="JM48">
        <v>64.595600000000005</v>
      </c>
      <c r="JN48">
        <v>28.609100000000002</v>
      </c>
      <c r="JO48">
        <v>0</v>
      </c>
      <c r="JP48">
        <v>24.273599999999998</v>
      </c>
      <c r="JQ48">
        <v>1000</v>
      </c>
      <c r="JR48">
        <v>24.292100000000001</v>
      </c>
      <c r="JS48">
        <v>98.528000000000006</v>
      </c>
      <c r="JT48">
        <v>96.999799999999993</v>
      </c>
    </row>
    <row r="49" spans="1:280" x14ac:dyDescent="0.25">
      <c r="A49">
        <v>33</v>
      </c>
      <c r="B49">
        <v>1700156232.5</v>
      </c>
      <c r="C49">
        <v>7251</v>
      </c>
      <c r="D49" t="s">
        <v>562</v>
      </c>
      <c r="E49" t="s">
        <v>563</v>
      </c>
      <c r="F49" t="s">
        <v>412</v>
      </c>
      <c r="G49" t="s">
        <v>544</v>
      </c>
      <c r="H49" t="s">
        <v>545</v>
      </c>
      <c r="I49">
        <v>1700156232.5</v>
      </c>
      <c r="J49">
        <f t="shared" ref="J49:J80" si="46">(K49)/1000</f>
        <v>2.8323084044435376E-3</v>
      </c>
      <c r="K49">
        <f t="shared" ref="K49:K80" si="47">1000*DK49*AI49*(DG49-DH49)/(100*CZ49*(1000-AI49*DG49))</f>
        <v>2.8323084044435376</v>
      </c>
      <c r="L49">
        <f t="shared" ref="L49:L80" si="48">DK49*AI49*(DF49-DE49*(1000-AI49*DH49)/(1000-AI49*DG49))/(100*CZ49)</f>
        <v>44.891086723074068</v>
      </c>
      <c r="M49">
        <f t="shared" ref="M49:M80" si="49">DE49 - IF(AI49&gt;1, L49*CZ49*100/(AK49*DS49), 0)</f>
        <v>698.32899999999995</v>
      </c>
      <c r="N49">
        <f t="shared" ref="N49:N80" si="50">((T49-J49/2)*M49-L49)/(T49+J49/2)</f>
        <v>286.23168235382508</v>
      </c>
      <c r="O49">
        <f t="shared" ref="O49:O80" si="51">N49*(DL49+DM49)/1000</f>
        <v>28.447924319019787</v>
      </c>
      <c r="P49">
        <f t="shared" ref="P49:P80" si="52">(DE49 - IF(AI49&gt;1, L49*CZ49*100/(AK49*DS49), 0))*(DL49+DM49)/1000</f>
        <v>69.405351561394994</v>
      </c>
      <c r="Q49">
        <f t="shared" ref="Q49:Q80" si="53">2/((1/S49-1/R49)+SIGN(S49)*SQRT((1/S49-1/R49)*(1/S49-1/R49) + 4*DA49/((DA49+1)*(DA49+1))*(2*1/S49*1/R49-1/R49*1/R49)))</f>
        <v>0.18494954890516543</v>
      </c>
      <c r="R49">
        <f t="shared" ref="R49:R80" si="54">IF(LEFT(DB49,1)&lt;&gt;"0",IF(LEFT(DB49,1)="1",3,DC49),$D$5+$E$5*(DS49*DL49/($K$5*1000))+$F$5*(DS49*DL49/($K$5*1000))*MAX(MIN(CZ49,$J$5),$I$5)*MAX(MIN(CZ49,$J$5),$I$5)+$G$5*MAX(MIN(CZ49,$J$5),$I$5)*(DS49*DL49/($K$5*1000))+$H$5*(DS49*DL49/($K$5*1000))*(DS49*DL49/($K$5*1000)))</f>
        <v>3.0086713037430153</v>
      </c>
      <c r="S49">
        <f t="shared" ref="S49:S80" si="55">J49*(1000-(1000*0.61365*EXP(17.502*W49/(240.97+W49))/(DL49+DM49)+DG49)/2)/(1000*0.61365*EXP(17.502*W49/(240.97+W49))/(DL49+DM49)-DG49)</f>
        <v>0.17885759109488467</v>
      </c>
      <c r="T49">
        <f t="shared" ref="T49:T80" si="56">1/((DA49+1)/(Q49/1.6)+1/(R49/1.37)) + DA49/((DA49+1)/(Q49/1.6) + DA49/(R49/1.37))</f>
        <v>0.11231661670380541</v>
      </c>
      <c r="U49">
        <f t="shared" ref="U49:U80" si="57">(CV49*CY49)</f>
        <v>344.36239876230644</v>
      </c>
      <c r="V49">
        <f t="shared" ref="V49:V80" si="58">(DN49+(U49+2*0.95*0.0000000567*(((DN49+$B$7)+273)^4-(DN49+273)^4)-44100*J49)/(1.84*29.3*R49+8*0.95*0.0000000567*(DN49+273)^3))</f>
        <v>30.990000209607569</v>
      </c>
      <c r="W49">
        <f t="shared" ref="W49:W80" si="59">($C$7*DO49+$D$7*DP49+$E$7*V49)</f>
        <v>29.996700000000001</v>
      </c>
      <c r="X49">
        <f t="shared" ref="X49:X80" si="60">0.61365*EXP(17.502*W49/(240.97+W49))</f>
        <v>4.2596422738682334</v>
      </c>
      <c r="Y49">
        <f t="shared" ref="Y49:Y80" si="61">(Z49/AA49*100)</f>
        <v>65.347946815334552</v>
      </c>
      <c r="Z49">
        <f t="shared" ref="Z49:Z80" si="62">DG49*(DL49+DM49)/1000</f>
        <v>2.7412136706550001</v>
      </c>
      <c r="AA49">
        <f t="shared" ref="AA49:AA80" si="63">0.61365*EXP(17.502*DN49/(240.97+DN49))</f>
        <v>4.1947969358568225</v>
      </c>
      <c r="AB49">
        <f t="shared" ref="AB49:AB80" si="64">(X49-DG49*(DL49+DM49)/1000)</f>
        <v>1.5184286032132333</v>
      </c>
      <c r="AC49">
        <f t="shared" ref="AC49:AC80" si="65">(-J49*44100)</f>
        <v>-124.90480063596002</v>
      </c>
      <c r="AD49">
        <f t="shared" ref="AD49:AD80" si="66">2*29.3*R49*0.92*(DN49-W49)</f>
        <v>-43.275890418948556</v>
      </c>
      <c r="AE49">
        <f t="shared" ref="AE49:AE80" si="67">2*0.95*0.0000000567*(((DN49+$B$7)+273)^4-(W49+273)^4)</f>
        <v>-3.1939088002468137</v>
      </c>
      <c r="AF49">
        <f t="shared" ref="AF49:AF80" si="68">U49+AE49+AC49+AD49</f>
        <v>172.98779890715107</v>
      </c>
      <c r="AG49">
        <v>9</v>
      </c>
      <c r="AH49">
        <v>2</v>
      </c>
      <c r="AI49">
        <f t="shared" ref="AI49:AI80" si="69">IF(AG49*$H$13&gt;=AK49,1,(AK49/(AK49-AG49*$H$13)))</f>
        <v>1</v>
      </c>
      <c r="AJ49">
        <f t="shared" ref="AJ49:AJ80" si="70">(AI49-1)*100</f>
        <v>0</v>
      </c>
      <c r="AK49">
        <f t="shared" ref="AK49:AK80" si="71">MAX(0,($B$13+$C$13*DS49)/(1+$D$13*DS49)*DL49/(DN49+273)*$E$13)</f>
        <v>51992.762997727477</v>
      </c>
      <c r="AL49" t="s">
        <v>431</v>
      </c>
      <c r="AM49" t="s">
        <v>431</v>
      </c>
      <c r="AN49">
        <v>0</v>
      </c>
      <c r="AO49">
        <v>0</v>
      </c>
      <c r="AP49" t="e">
        <f t="shared" ref="AP49:AP80" si="72">1-AN49/AO49</f>
        <v>#DIV/0!</v>
      </c>
      <c r="AQ49">
        <v>0</v>
      </c>
      <c r="AR49" t="s">
        <v>431</v>
      </c>
      <c r="AS49" t="s">
        <v>431</v>
      </c>
      <c r="AT49">
        <v>0</v>
      </c>
      <c r="AU49">
        <v>0</v>
      </c>
      <c r="AV49" t="e">
        <f t="shared" ref="AV49:AV80" si="73">1-AT49/AU49</f>
        <v>#DIV/0!</v>
      </c>
      <c r="AW49">
        <v>0.5</v>
      </c>
      <c r="AX49">
        <f t="shared" ref="AX49:AX80" si="74">CW49</f>
        <v>1513.1513993811532</v>
      </c>
      <c r="AY49">
        <f t="shared" ref="AY49:AY80" si="75">L49</f>
        <v>44.891086723074068</v>
      </c>
      <c r="AZ49" t="e">
        <f t="shared" ref="AZ49:AZ80" si="76">AV49*AW49*AX49</f>
        <v>#DIV/0!</v>
      </c>
      <c r="BA49">
        <f t="shared" ref="BA49:BA80" si="77">(AY49-AQ49)/AX49</f>
        <v>2.9667280314074038E-2</v>
      </c>
      <c r="BB49" t="e">
        <f t="shared" ref="BB49:BB80" si="78">(AO49-AU49)/AU49</f>
        <v>#DIV/0!</v>
      </c>
      <c r="BC49" t="e">
        <f t="shared" ref="BC49:BC80" si="79">AN49/(AP49+AN49/AU49)</f>
        <v>#DIV/0!</v>
      </c>
      <c r="BD49" t="s">
        <v>431</v>
      </c>
      <c r="BE49">
        <v>0</v>
      </c>
      <c r="BF49" t="e">
        <f t="shared" ref="BF49:BF80" si="80">IF(BE49&lt;&gt;0, BE49, BC49)</f>
        <v>#DIV/0!</v>
      </c>
      <c r="BG49" t="e">
        <f t="shared" ref="BG49:BG80" si="81">1-BF49/AU49</f>
        <v>#DIV/0!</v>
      </c>
      <c r="BH49" t="e">
        <f t="shared" ref="BH49:BH80" si="82">(AU49-AT49)/(AU49-BF49)</f>
        <v>#DIV/0!</v>
      </c>
      <c r="BI49" t="e">
        <f t="shared" ref="BI49:BI80" si="83">(AO49-AU49)/(AO49-BF49)</f>
        <v>#DIV/0!</v>
      </c>
      <c r="BJ49" t="e">
        <f t="shared" ref="BJ49:BJ80" si="84">(AU49-AT49)/(AU49-AN49)</f>
        <v>#DIV/0!</v>
      </c>
      <c r="BK49" t="e">
        <f t="shared" ref="BK49:BK80" si="85">(AO49-AU49)/(AO49-AN49)</f>
        <v>#DIV/0!</v>
      </c>
      <c r="BL49" t="e">
        <f t="shared" ref="BL49:BL80" si="86">(BH49*BF49/AT49)</f>
        <v>#DIV/0!</v>
      </c>
      <c r="BM49" t="e">
        <f t="shared" ref="BM49:BM80" si="87">(1-BL49)</f>
        <v>#DIV/0!</v>
      </c>
      <c r="BN49">
        <v>20748</v>
      </c>
      <c r="BO49">
        <v>290.00000000000011</v>
      </c>
      <c r="BP49">
        <v>733.8</v>
      </c>
      <c r="BQ49">
        <v>285</v>
      </c>
      <c r="BR49">
        <v>7146.02</v>
      </c>
      <c r="BS49">
        <v>735.19</v>
      </c>
      <c r="BT49">
        <v>-1.39</v>
      </c>
      <c r="BU49">
        <v>300.00000000000011</v>
      </c>
      <c r="BV49">
        <v>38.299999999999997</v>
      </c>
      <c r="BW49">
        <v>811.54963442372753</v>
      </c>
      <c r="BX49">
        <v>1.425936057985564</v>
      </c>
      <c r="BY49">
        <v>-54.566905651471338</v>
      </c>
      <c r="BZ49">
        <v>0.85397441332757451</v>
      </c>
      <c r="CA49">
        <v>0.99318884243566974</v>
      </c>
      <c r="CB49">
        <v>-7.0549288097886591E-3</v>
      </c>
      <c r="CC49">
        <v>289.99999999999989</v>
      </c>
      <c r="CD49">
        <v>741.57</v>
      </c>
      <c r="CE49">
        <v>715</v>
      </c>
      <c r="CF49">
        <v>7141.16</v>
      </c>
      <c r="CG49">
        <v>735.14</v>
      </c>
      <c r="CH49">
        <v>6.43</v>
      </c>
      <c r="CV49">
        <f t="shared" ref="CV49:CV80" si="88">$B$11*DT49+$C$11*DU49+$F$11*EF49*(1-EI49)</f>
        <v>1799.96</v>
      </c>
      <c r="CW49">
        <f t="shared" ref="CW49:CW80" si="89">CV49*CX49</f>
        <v>1513.1513993811532</v>
      </c>
      <c r="CX49">
        <f t="shared" ref="CX49:CX80" si="90">($B$11*$D$9+$C$11*$D$9+$F$11*((ES49+EK49)/MAX(ES49+EK49+ET49, 0.1)*$I$9+ET49/MAX(ES49+EK49+ET49, 0.1)*$J$9))/($B$11+$C$11+$F$11)</f>
        <v>0.84065834761947666</v>
      </c>
      <c r="CY49">
        <f t="shared" ref="CY49:CY80" si="91">($B$11*$K$9+$C$11*$K$9+$F$11*((ES49+EK49)/MAX(ES49+EK49+ET49, 0.1)*$P$9+ET49/MAX(ES49+EK49+ET49, 0.1)*$Q$9))/($B$11+$C$11+$F$11)</f>
        <v>0.19131669523895334</v>
      </c>
      <c r="CZ49">
        <v>5.52</v>
      </c>
      <c r="DA49">
        <v>0.5</v>
      </c>
      <c r="DB49" t="s">
        <v>418</v>
      </c>
      <c r="DC49">
        <v>2</v>
      </c>
      <c r="DD49">
        <v>1700156232.5</v>
      </c>
      <c r="DE49">
        <v>698.32899999999995</v>
      </c>
      <c r="DF49">
        <v>750.077</v>
      </c>
      <c r="DG49">
        <v>27.581</v>
      </c>
      <c r="DH49">
        <v>24.540099999999999</v>
      </c>
      <c r="DI49">
        <v>703.63499999999999</v>
      </c>
      <c r="DJ49">
        <v>27.553799999999999</v>
      </c>
      <c r="DK49">
        <v>499.95499999999998</v>
      </c>
      <c r="DL49">
        <v>99.287700000000001</v>
      </c>
      <c r="DM49">
        <v>0.10005500000000001</v>
      </c>
      <c r="DN49">
        <v>29.729900000000001</v>
      </c>
      <c r="DO49">
        <v>29.996700000000001</v>
      </c>
      <c r="DP49">
        <v>999.9</v>
      </c>
      <c r="DQ49">
        <v>0</v>
      </c>
      <c r="DR49">
        <v>0</v>
      </c>
      <c r="DS49">
        <v>9993.1200000000008</v>
      </c>
      <c r="DT49">
        <v>0</v>
      </c>
      <c r="DU49">
        <v>555.07100000000003</v>
      </c>
      <c r="DV49">
        <v>-51.747999999999998</v>
      </c>
      <c r="DW49">
        <v>718.13499999999999</v>
      </c>
      <c r="DX49">
        <v>768.947</v>
      </c>
      <c r="DY49">
        <v>3.0408599999999999</v>
      </c>
      <c r="DZ49">
        <v>750.077</v>
      </c>
      <c r="EA49">
        <v>24.540099999999999</v>
      </c>
      <c r="EB49">
        <v>2.7384499999999998</v>
      </c>
      <c r="EC49">
        <v>2.4365299999999999</v>
      </c>
      <c r="ED49">
        <v>22.517700000000001</v>
      </c>
      <c r="EE49">
        <v>20.608599999999999</v>
      </c>
      <c r="EF49">
        <v>1799.96</v>
      </c>
      <c r="EG49">
        <v>0.97799599999999998</v>
      </c>
      <c r="EH49">
        <v>2.20038E-2</v>
      </c>
      <c r="EI49">
        <v>0</v>
      </c>
      <c r="EJ49">
        <v>537.61900000000003</v>
      </c>
      <c r="EK49">
        <v>5.0009399999999999</v>
      </c>
      <c r="EL49">
        <v>10515.9</v>
      </c>
      <c r="EM49">
        <v>13859.8</v>
      </c>
      <c r="EN49">
        <v>49.061999999999998</v>
      </c>
      <c r="EO49">
        <v>51.125</v>
      </c>
      <c r="EP49">
        <v>50.186999999999998</v>
      </c>
      <c r="EQ49">
        <v>50.186999999999998</v>
      </c>
      <c r="ER49">
        <v>50.375</v>
      </c>
      <c r="ES49">
        <v>1755.46</v>
      </c>
      <c r="ET49">
        <v>39.5</v>
      </c>
      <c r="EU49">
        <v>0</v>
      </c>
      <c r="EV49">
        <v>136.4000000953674</v>
      </c>
      <c r="EW49">
        <v>0</v>
      </c>
      <c r="EX49">
        <v>538.07053846153849</v>
      </c>
      <c r="EY49">
        <v>-1.6002051190327129</v>
      </c>
      <c r="EZ49">
        <v>3.0153845898659948</v>
      </c>
      <c r="FA49">
        <v>10514</v>
      </c>
      <c r="FB49">
        <v>15</v>
      </c>
      <c r="FC49">
        <v>1700156202.5</v>
      </c>
      <c r="FD49" t="s">
        <v>564</v>
      </c>
      <c r="FE49">
        <v>1700156200.5</v>
      </c>
      <c r="FF49">
        <v>1700156202.5</v>
      </c>
      <c r="FG49">
        <v>36</v>
      </c>
      <c r="FH49">
        <v>0.155</v>
      </c>
      <c r="FI49">
        <v>-3.0000000000000001E-3</v>
      </c>
      <c r="FJ49">
        <v>-5.4539999999999997</v>
      </c>
      <c r="FK49">
        <v>2.7E-2</v>
      </c>
      <c r="FL49">
        <v>750</v>
      </c>
      <c r="FM49">
        <v>25</v>
      </c>
      <c r="FN49">
        <v>0.04</v>
      </c>
      <c r="FO49">
        <v>0.03</v>
      </c>
      <c r="FP49">
        <v>44.669598419663373</v>
      </c>
      <c r="FQ49">
        <v>0.2363934182849268</v>
      </c>
      <c r="FR49">
        <v>4.5971456757392358E-2</v>
      </c>
      <c r="FS49">
        <v>1</v>
      </c>
      <c r="FT49">
        <v>0.18413304123795279</v>
      </c>
      <c r="FU49">
        <v>4.77891805770565E-2</v>
      </c>
      <c r="FV49">
        <v>3.9705350693588024E-3</v>
      </c>
      <c r="FW49">
        <v>1</v>
      </c>
      <c r="FX49">
        <v>2</v>
      </c>
      <c r="FY49">
        <v>2</v>
      </c>
      <c r="FZ49" t="s">
        <v>420</v>
      </c>
      <c r="GA49">
        <v>3.11931</v>
      </c>
      <c r="GB49">
        <v>2.8776199999999998</v>
      </c>
      <c r="GC49">
        <v>0.13058</v>
      </c>
      <c r="GD49">
        <v>0.13810700000000001</v>
      </c>
      <c r="GE49">
        <v>0.123936</v>
      </c>
      <c r="GF49">
        <v>0.11497300000000001</v>
      </c>
      <c r="GG49">
        <v>25187</v>
      </c>
      <c r="GH49">
        <v>25550.2</v>
      </c>
      <c r="GI49">
        <v>26688.9</v>
      </c>
      <c r="GJ49">
        <v>27384.6</v>
      </c>
      <c r="GK49">
        <v>33458.9</v>
      </c>
      <c r="GL49">
        <v>33882.6</v>
      </c>
      <c r="GM49">
        <v>39548.6</v>
      </c>
      <c r="GN49">
        <v>39667.5</v>
      </c>
      <c r="GO49">
        <v>1.94018</v>
      </c>
      <c r="GP49">
        <v>2.4005999999999998</v>
      </c>
      <c r="GQ49">
        <v>3.2894300000000001E-2</v>
      </c>
      <c r="GR49">
        <v>0</v>
      </c>
      <c r="GS49">
        <v>29.461200000000002</v>
      </c>
      <c r="GT49">
        <v>999.9</v>
      </c>
      <c r="GU49">
        <v>30.6</v>
      </c>
      <c r="GV49">
        <v>49</v>
      </c>
      <c r="GW49">
        <v>36.407200000000003</v>
      </c>
      <c r="GX49">
        <v>63.372399999999999</v>
      </c>
      <c r="GY49">
        <v>7.5681099999999999</v>
      </c>
      <c r="GZ49">
        <v>3</v>
      </c>
      <c r="HA49">
        <v>0.65715199999999996</v>
      </c>
      <c r="HB49">
        <v>4.0911799999999996</v>
      </c>
      <c r="HC49">
        <v>20.247199999999999</v>
      </c>
      <c r="HD49">
        <v>5.2141500000000001</v>
      </c>
      <c r="HE49">
        <v>11.9101</v>
      </c>
      <c r="HF49">
        <v>4.9969999999999999</v>
      </c>
      <c r="HG49">
        <v>3.3029999999999999</v>
      </c>
      <c r="HH49">
        <v>9999</v>
      </c>
      <c r="HI49">
        <v>9999</v>
      </c>
      <c r="HJ49">
        <v>9999</v>
      </c>
      <c r="HK49">
        <v>999.9</v>
      </c>
      <c r="HL49">
        <v>1.8847799999999999</v>
      </c>
      <c r="HM49">
        <v>1.8853899999999999</v>
      </c>
      <c r="HN49">
        <v>1.8815599999999999</v>
      </c>
      <c r="HO49">
        <v>1.8832500000000001</v>
      </c>
      <c r="HP49">
        <v>1.8800399999999999</v>
      </c>
      <c r="HQ49">
        <v>1.8834900000000001</v>
      </c>
      <c r="HR49">
        <v>1.87947</v>
      </c>
      <c r="HS49">
        <v>1.8818699999999999</v>
      </c>
      <c r="HT49">
        <v>5</v>
      </c>
      <c r="HU49">
        <v>0</v>
      </c>
      <c r="HV49">
        <v>0</v>
      </c>
      <c r="HW49">
        <v>0</v>
      </c>
      <c r="HX49" t="s">
        <v>421</v>
      </c>
      <c r="HY49" t="s">
        <v>422</v>
      </c>
      <c r="HZ49" t="s">
        <v>423</v>
      </c>
      <c r="IA49" t="s">
        <v>423</v>
      </c>
      <c r="IB49" t="s">
        <v>423</v>
      </c>
      <c r="IC49" t="s">
        <v>423</v>
      </c>
      <c r="ID49">
        <v>0</v>
      </c>
      <c r="IE49">
        <v>100</v>
      </c>
      <c r="IF49">
        <v>100</v>
      </c>
      <c r="IG49">
        <v>-5.306</v>
      </c>
      <c r="IH49">
        <v>2.7199999999999998E-2</v>
      </c>
      <c r="II49">
        <v>-2.9403247041608829</v>
      </c>
      <c r="IJ49">
        <v>-3.7794827560518689E-3</v>
      </c>
      <c r="IK49">
        <v>4.9551128961100493E-7</v>
      </c>
      <c r="IL49">
        <v>1.3680294268397379E-10</v>
      </c>
      <c r="IM49">
        <v>2.7174999999999731E-2</v>
      </c>
      <c r="IN49">
        <v>0</v>
      </c>
      <c r="IO49">
        <v>0</v>
      </c>
      <c r="IP49">
        <v>0</v>
      </c>
      <c r="IQ49">
        <v>4</v>
      </c>
      <c r="IR49">
        <v>2229</v>
      </c>
      <c r="IS49">
        <v>1</v>
      </c>
      <c r="IT49">
        <v>22</v>
      </c>
      <c r="IU49">
        <v>0.5</v>
      </c>
      <c r="IV49">
        <v>0.5</v>
      </c>
      <c r="IW49">
        <v>2.5598100000000001</v>
      </c>
      <c r="IX49">
        <v>2.5817899999999998</v>
      </c>
      <c r="IY49">
        <v>2.9956100000000001</v>
      </c>
      <c r="IZ49">
        <v>2.96509</v>
      </c>
      <c r="JA49">
        <v>3.1970200000000002</v>
      </c>
      <c r="JB49">
        <v>2.49634</v>
      </c>
      <c r="JC49">
        <v>52.685600000000001</v>
      </c>
      <c r="JD49">
        <v>23.710999999999999</v>
      </c>
      <c r="JE49">
        <v>18</v>
      </c>
      <c r="JF49">
        <v>508.80599999999998</v>
      </c>
      <c r="JG49">
        <v>1091.95</v>
      </c>
      <c r="JH49">
        <v>24.319700000000001</v>
      </c>
      <c r="JI49">
        <v>35.214199999999998</v>
      </c>
      <c r="JJ49">
        <v>30</v>
      </c>
      <c r="JK49">
        <v>35.287599999999998</v>
      </c>
      <c r="JL49">
        <v>35.227899999999998</v>
      </c>
      <c r="JM49">
        <v>51.281599999999997</v>
      </c>
      <c r="JN49">
        <v>27.664200000000001</v>
      </c>
      <c r="JO49">
        <v>0</v>
      </c>
      <c r="JP49">
        <v>24.3005</v>
      </c>
      <c r="JQ49">
        <v>750</v>
      </c>
      <c r="JR49">
        <v>24.486799999999999</v>
      </c>
      <c r="JS49">
        <v>98.570099999999996</v>
      </c>
      <c r="JT49">
        <v>97.037400000000005</v>
      </c>
    </row>
    <row r="50" spans="1:280" x14ac:dyDescent="0.25">
      <c r="A50">
        <v>34</v>
      </c>
      <c r="B50">
        <v>1700156390</v>
      </c>
      <c r="C50">
        <v>7408.5</v>
      </c>
      <c r="D50" t="s">
        <v>565</v>
      </c>
      <c r="E50" t="s">
        <v>566</v>
      </c>
      <c r="F50" t="s">
        <v>412</v>
      </c>
      <c r="G50" t="s">
        <v>544</v>
      </c>
      <c r="H50" t="s">
        <v>545</v>
      </c>
      <c r="I50">
        <v>1700156390</v>
      </c>
      <c r="J50">
        <f t="shared" si="46"/>
        <v>3.434954205447887E-3</v>
      </c>
      <c r="K50">
        <f t="shared" si="47"/>
        <v>3.434954205447887</v>
      </c>
      <c r="L50">
        <f t="shared" si="48"/>
        <v>44.893291746015457</v>
      </c>
      <c r="M50">
        <f t="shared" si="49"/>
        <v>548.34699999999998</v>
      </c>
      <c r="N50">
        <f t="shared" si="50"/>
        <v>209.06928363926511</v>
      </c>
      <c r="O50">
        <f t="shared" si="51"/>
        <v>20.777505111049898</v>
      </c>
      <c r="P50">
        <f t="shared" si="52"/>
        <v>54.495248641054395</v>
      </c>
      <c r="Q50">
        <f t="shared" si="53"/>
        <v>0.2255846945413901</v>
      </c>
      <c r="R50">
        <f t="shared" si="54"/>
        <v>3.0128013214909335</v>
      </c>
      <c r="S50">
        <f t="shared" si="55"/>
        <v>0.21660355870280962</v>
      </c>
      <c r="T50">
        <f t="shared" si="56"/>
        <v>0.13615434979313681</v>
      </c>
      <c r="U50">
        <f t="shared" si="57"/>
        <v>344.36239876230644</v>
      </c>
      <c r="V50">
        <f t="shared" si="58"/>
        <v>30.987871608027206</v>
      </c>
      <c r="W50">
        <f t="shared" si="59"/>
        <v>29.996300000000002</v>
      </c>
      <c r="X50">
        <f t="shared" si="60"/>
        <v>4.2595444043198469</v>
      </c>
      <c r="Y50">
        <f t="shared" si="61"/>
        <v>64.727444754255941</v>
      </c>
      <c r="Z50">
        <f t="shared" si="62"/>
        <v>2.7390285681716797</v>
      </c>
      <c r="AA50">
        <f t="shared" si="63"/>
        <v>4.2316340133164045</v>
      </c>
      <c r="AB50">
        <f t="shared" si="64"/>
        <v>1.5205158361481672</v>
      </c>
      <c r="AC50">
        <f t="shared" si="65"/>
        <v>-151.48148046025182</v>
      </c>
      <c r="AD50">
        <f t="shared" si="66"/>
        <v>-18.581550970178654</v>
      </c>
      <c r="AE50">
        <f t="shared" si="67"/>
        <v>-1.370530433060607</v>
      </c>
      <c r="AF50">
        <f t="shared" si="68"/>
        <v>172.92883689881538</v>
      </c>
      <c r="AG50">
        <v>9</v>
      </c>
      <c r="AH50">
        <v>2</v>
      </c>
      <c r="AI50">
        <f t="shared" si="69"/>
        <v>1</v>
      </c>
      <c r="AJ50">
        <f t="shared" si="70"/>
        <v>0</v>
      </c>
      <c r="AK50">
        <f t="shared" si="71"/>
        <v>52078.305746621409</v>
      </c>
      <c r="AL50" t="s">
        <v>415</v>
      </c>
      <c r="AM50">
        <v>7133.88</v>
      </c>
      <c r="AN50">
        <v>306.28384615384618</v>
      </c>
      <c r="AO50">
        <v>859.63916333292491</v>
      </c>
      <c r="AP50">
        <f t="shared" si="72"/>
        <v>0.64370650010133712</v>
      </c>
      <c r="AQ50">
        <v>-0.73746743666429193</v>
      </c>
      <c r="AR50" t="s">
        <v>567</v>
      </c>
      <c r="AS50">
        <v>7148.36</v>
      </c>
      <c r="AT50">
        <v>539.85820000000001</v>
      </c>
      <c r="AU50">
        <v>790.3917862589509</v>
      </c>
      <c r="AV50">
        <f t="shared" si="73"/>
        <v>0.31697392434297156</v>
      </c>
      <c r="AW50">
        <v>0.5</v>
      </c>
      <c r="AX50">
        <f t="shared" si="74"/>
        <v>1513.1513993811532</v>
      </c>
      <c r="AY50">
        <f t="shared" si="75"/>
        <v>44.893291746015457</v>
      </c>
      <c r="AZ50">
        <f t="shared" si="76"/>
        <v>239.81476859345159</v>
      </c>
      <c r="BA50">
        <f t="shared" si="77"/>
        <v>3.0156109429196418E-2</v>
      </c>
      <c r="BB50">
        <f t="shared" si="78"/>
        <v>8.7611458365139117E-2</v>
      </c>
      <c r="BC50">
        <f t="shared" si="79"/>
        <v>297.01248467942384</v>
      </c>
      <c r="BD50" t="s">
        <v>568</v>
      </c>
      <c r="BE50">
        <v>400.11</v>
      </c>
      <c r="BF50">
        <f t="shared" si="80"/>
        <v>400.11</v>
      </c>
      <c r="BG50">
        <f t="shared" si="81"/>
        <v>0.49378269491667692</v>
      </c>
      <c r="BH50">
        <f t="shared" si="82"/>
        <v>0.64192999796491279</v>
      </c>
      <c r="BI50">
        <f t="shared" si="83"/>
        <v>0.15069201826436612</v>
      </c>
      <c r="BJ50">
        <f t="shared" si="84"/>
        <v>0.5175159618422237</v>
      </c>
      <c r="BK50">
        <f t="shared" si="85"/>
        <v>0.12514089035411571</v>
      </c>
      <c r="BL50">
        <f t="shared" si="86"/>
        <v>0.47575939660774119</v>
      </c>
      <c r="BM50">
        <f t="shared" si="87"/>
        <v>0.52424060339225886</v>
      </c>
      <c r="BN50">
        <v>20750</v>
      </c>
      <c r="BO50">
        <v>290.00000000000011</v>
      </c>
      <c r="BP50">
        <v>721.37</v>
      </c>
      <c r="BQ50">
        <v>295</v>
      </c>
      <c r="BR50">
        <v>7148.36</v>
      </c>
      <c r="BS50">
        <v>723.27</v>
      </c>
      <c r="BT50">
        <v>-1.9</v>
      </c>
      <c r="BU50">
        <v>300.00000000000011</v>
      </c>
      <c r="BV50">
        <v>38.200000000000003</v>
      </c>
      <c r="BW50">
        <v>790.3917862589509</v>
      </c>
      <c r="BX50">
        <v>1.1032121021396339</v>
      </c>
      <c r="BY50">
        <v>-47.982457975818633</v>
      </c>
      <c r="BZ50">
        <v>0.66091998434178045</v>
      </c>
      <c r="CA50">
        <v>0.99471567188192234</v>
      </c>
      <c r="CB50">
        <v>-7.0571423804226914E-3</v>
      </c>
      <c r="CC50">
        <v>289.99999999999989</v>
      </c>
      <c r="CD50">
        <v>731.79</v>
      </c>
      <c r="CE50">
        <v>885</v>
      </c>
      <c r="CF50">
        <v>7140.86</v>
      </c>
      <c r="CG50">
        <v>723.2</v>
      </c>
      <c r="CH50">
        <v>8.59</v>
      </c>
      <c r="CV50">
        <f t="shared" si="88"/>
        <v>1799.96</v>
      </c>
      <c r="CW50">
        <f t="shared" si="89"/>
        <v>1513.1513993811532</v>
      </c>
      <c r="CX50">
        <f t="shared" si="90"/>
        <v>0.84065834761947666</v>
      </c>
      <c r="CY50">
        <f t="shared" si="91"/>
        <v>0.19131669523895334</v>
      </c>
      <c r="CZ50">
        <v>5.52</v>
      </c>
      <c r="DA50">
        <v>0.5</v>
      </c>
      <c r="DB50" t="s">
        <v>418</v>
      </c>
      <c r="DC50">
        <v>2</v>
      </c>
      <c r="DD50">
        <v>1700156390</v>
      </c>
      <c r="DE50">
        <v>548.34699999999998</v>
      </c>
      <c r="DF50">
        <v>599.97500000000002</v>
      </c>
      <c r="DG50">
        <v>27.5609</v>
      </c>
      <c r="DH50">
        <v>23.874199999999998</v>
      </c>
      <c r="DI50">
        <v>553.14499999999998</v>
      </c>
      <c r="DJ50">
        <v>27.537700000000001</v>
      </c>
      <c r="DK50">
        <v>500.13200000000001</v>
      </c>
      <c r="DL50">
        <v>99.281099999999995</v>
      </c>
      <c r="DM50">
        <v>9.9855200000000005E-2</v>
      </c>
      <c r="DN50">
        <v>29.881900000000002</v>
      </c>
      <c r="DO50">
        <v>29.996300000000002</v>
      </c>
      <c r="DP50">
        <v>999.9</v>
      </c>
      <c r="DQ50">
        <v>0</v>
      </c>
      <c r="DR50">
        <v>0</v>
      </c>
      <c r="DS50">
        <v>10016.200000000001</v>
      </c>
      <c r="DT50">
        <v>0</v>
      </c>
      <c r="DU50">
        <v>592.42399999999998</v>
      </c>
      <c r="DV50">
        <v>-51.627899999999997</v>
      </c>
      <c r="DW50">
        <v>563.88800000000003</v>
      </c>
      <c r="DX50">
        <v>614.649</v>
      </c>
      <c r="DY50">
        <v>3.68668</v>
      </c>
      <c r="DZ50">
        <v>599.97500000000002</v>
      </c>
      <c r="EA50">
        <v>23.874199999999998</v>
      </c>
      <c r="EB50">
        <v>2.7362700000000002</v>
      </c>
      <c r="EC50">
        <v>2.37026</v>
      </c>
      <c r="ED50">
        <v>22.5046</v>
      </c>
      <c r="EE50">
        <v>20.161999999999999</v>
      </c>
      <c r="EF50">
        <v>1799.96</v>
      </c>
      <c r="EG50">
        <v>0.97799199999999997</v>
      </c>
      <c r="EH50">
        <v>2.2007599999999999E-2</v>
      </c>
      <c r="EI50">
        <v>0</v>
      </c>
      <c r="EJ50">
        <v>540.06899999999996</v>
      </c>
      <c r="EK50">
        <v>5.0009399999999999</v>
      </c>
      <c r="EL50">
        <v>10548.5</v>
      </c>
      <c r="EM50">
        <v>13859.8</v>
      </c>
      <c r="EN50">
        <v>48.686999999999998</v>
      </c>
      <c r="EO50">
        <v>50.75</v>
      </c>
      <c r="EP50">
        <v>49.875</v>
      </c>
      <c r="EQ50">
        <v>49.811999999999998</v>
      </c>
      <c r="ER50">
        <v>50.061999999999998</v>
      </c>
      <c r="ES50">
        <v>1755.46</v>
      </c>
      <c r="ET50">
        <v>39.5</v>
      </c>
      <c r="EU50">
        <v>0</v>
      </c>
      <c r="EV50">
        <v>294.20000004768372</v>
      </c>
      <c r="EW50">
        <v>0</v>
      </c>
      <c r="EX50">
        <v>539.85820000000001</v>
      </c>
      <c r="EY50">
        <v>-0.42676922773649989</v>
      </c>
      <c r="EZ50">
        <v>20.876923078183761</v>
      </c>
      <c r="FA50">
        <v>10541.74</v>
      </c>
      <c r="FB50">
        <v>15</v>
      </c>
      <c r="FC50">
        <v>1700156332</v>
      </c>
      <c r="FD50" t="s">
        <v>569</v>
      </c>
      <c r="FE50">
        <v>1700156330</v>
      </c>
      <c r="FF50">
        <v>1700156332</v>
      </c>
      <c r="FG50">
        <v>37</v>
      </c>
      <c r="FH50">
        <v>5.8999999999999997E-2</v>
      </c>
      <c r="FI50">
        <v>-4.0000000000000001E-3</v>
      </c>
      <c r="FJ50">
        <v>-4.9560000000000004</v>
      </c>
      <c r="FK50">
        <v>2.3E-2</v>
      </c>
      <c r="FL50">
        <v>600</v>
      </c>
      <c r="FM50">
        <v>24</v>
      </c>
      <c r="FN50">
        <v>0.04</v>
      </c>
      <c r="FO50">
        <v>0.04</v>
      </c>
      <c r="FP50">
        <v>44.889216875772988</v>
      </c>
      <c r="FQ50">
        <v>0.64407591849614454</v>
      </c>
      <c r="FR50">
        <v>6.4617456043859142E-2</v>
      </c>
      <c r="FS50">
        <v>1</v>
      </c>
      <c r="FT50">
        <v>0.22808710496338799</v>
      </c>
      <c r="FU50">
        <v>-1.927391254743829E-2</v>
      </c>
      <c r="FV50">
        <v>1.422507783114515E-3</v>
      </c>
      <c r="FW50">
        <v>1</v>
      </c>
      <c r="FX50">
        <v>2</v>
      </c>
      <c r="FY50">
        <v>2</v>
      </c>
      <c r="FZ50" t="s">
        <v>420</v>
      </c>
      <c r="GA50">
        <v>3.11937</v>
      </c>
      <c r="GB50">
        <v>2.8776199999999998</v>
      </c>
      <c r="GC50">
        <v>0.110305</v>
      </c>
      <c r="GD50">
        <v>0.118384</v>
      </c>
      <c r="GE50">
        <v>0.12395</v>
      </c>
      <c r="GF50">
        <v>0.112799</v>
      </c>
      <c r="GG50">
        <v>25788.799999999999</v>
      </c>
      <c r="GH50">
        <v>26147.599999999999</v>
      </c>
      <c r="GI50">
        <v>26702.3</v>
      </c>
      <c r="GJ50">
        <v>27396.2</v>
      </c>
      <c r="GK50">
        <v>33470.5</v>
      </c>
      <c r="GL50">
        <v>33975.699999999997</v>
      </c>
      <c r="GM50">
        <v>39566.400000000001</v>
      </c>
      <c r="GN50">
        <v>39681.5</v>
      </c>
      <c r="GO50">
        <v>1.9445699999999999</v>
      </c>
      <c r="GP50">
        <v>2.4066700000000001</v>
      </c>
      <c r="GQ50">
        <v>3.5129500000000001E-2</v>
      </c>
      <c r="GR50">
        <v>0</v>
      </c>
      <c r="GS50">
        <v>29.424299999999999</v>
      </c>
      <c r="GT50">
        <v>999.9</v>
      </c>
      <c r="GU50">
        <v>30.5</v>
      </c>
      <c r="GV50">
        <v>48.9</v>
      </c>
      <c r="GW50">
        <v>36.109499999999997</v>
      </c>
      <c r="GX50">
        <v>62.452399999999997</v>
      </c>
      <c r="GY50">
        <v>7.6442300000000003</v>
      </c>
      <c r="GZ50">
        <v>3</v>
      </c>
      <c r="HA50">
        <v>0.63094499999999998</v>
      </c>
      <c r="HB50">
        <v>3.2314400000000001</v>
      </c>
      <c r="HC50">
        <v>20.2666</v>
      </c>
      <c r="HD50">
        <v>5.2111499999999999</v>
      </c>
      <c r="HE50">
        <v>11.908300000000001</v>
      </c>
      <c r="HF50">
        <v>4.9968500000000002</v>
      </c>
      <c r="HG50">
        <v>3.3029999999999999</v>
      </c>
      <c r="HH50">
        <v>9999</v>
      </c>
      <c r="HI50">
        <v>9999</v>
      </c>
      <c r="HJ50">
        <v>9999</v>
      </c>
      <c r="HK50">
        <v>999.9</v>
      </c>
      <c r="HL50">
        <v>1.8847700000000001</v>
      </c>
      <c r="HM50">
        <v>1.8853800000000001</v>
      </c>
      <c r="HN50">
        <v>1.88154</v>
      </c>
      <c r="HO50">
        <v>1.88324</v>
      </c>
      <c r="HP50">
        <v>1.87998</v>
      </c>
      <c r="HQ50">
        <v>1.88348</v>
      </c>
      <c r="HR50">
        <v>1.8794500000000001</v>
      </c>
      <c r="HS50">
        <v>1.8818600000000001</v>
      </c>
      <c r="HT50">
        <v>5</v>
      </c>
      <c r="HU50">
        <v>0</v>
      </c>
      <c r="HV50">
        <v>0</v>
      </c>
      <c r="HW50">
        <v>0</v>
      </c>
      <c r="HX50" t="s">
        <v>421</v>
      </c>
      <c r="HY50" t="s">
        <v>422</v>
      </c>
      <c r="HZ50" t="s">
        <v>423</v>
      </c>
      <c r="IA50" t="s">
        <v>423</v>
      </c>
      <c r="IB50" t="s">
        <v>423</v>
      </c>
      <c r="IC50" t="s">
        <v>423</v>
      </c>
      <c r="ID50">
        <v>0</v>
      </c>
      <c r="IE50">
        <v>100</v>
      </c>
      <c r="IF50">
        <v>100</v>
      </c>
      <c r="IG50">
        <v>-4.798</v>
      </c>
      <c r="IH50">
        <v>2.3199999999999998E-2</v>
      </c>
      <c r="II50">
        <v>-2.881615677713512</v>
      </c>
      <c r="IJ50">
        <v>-3.7794827560518689E-3</v>
      </c>
      <c r="IK50">
        <v>4.9551128961100493E-7</v>
      </c>
      <c r="IL50">
        <v>1.3680294268397379E-10</v>
      </c>
      <c r="IM50">
        <v>2.3210000000002399E-2</v>
      </c>
      <c r="IN50">
        <v>0</v>
      </c>
      <c r="IO50">
        <v>0</v>
      </c>
      <c r="IP50">
        <v>0</v>
      </c>
      <c r="IQ50">
        <v>4</v>
      </c>
      <c r="IR50">
        <v>2229</v>
      </c>
      <c r="IS50">
        <v>1</v>
      </c>
      <c r="IT50">
        <v>22</v>
      </c>
      <c r="IU50">
        <v>1</v>
      </c>
      <c r="IV50">
        <v>1</v>
      </c>
      <c r="IW50">
        <v>2.1350099999999999</v>
      </c>
      <c r="IX50">
        <v>2.5903299999999998</v>
      </c>
      <c r="IY50">
        <v>2.9956100000000001</v>
      </c>
      <c r="IZ50">
        <v>2.96387</v>
      </c>
      <c r="JA50">
        <v>3.1970200000000002</v>
      </c>
      <c r="JB50">
        <v>2.49756</v>
      </c>
      <c r="JC50">
        <v>52.239899999999999</v>
      </c>
      <c r="JD50">
        <v>23.737300000000001</v>
      </c>
      <c r="JE50">
        <v>18</v>
      </c>
      <c r="JF50">
        <v>509.63499999999999</v>
      </c>
      <c r="JG50">
        <v>1095.72</v>
      </c>
      <c r="JH50">
        <v>25.198799999999999</v>
      </c>
      <c r="JI50">
        <v>34.921500000000002</v>
      </c>
      <c r="JJ50">
        <v>29.999700000000001</v>
      </c>
      <c r="JK50">
        <v>35.028599999999997</v>
      </c>
      <c r="JL50">
        <v>34.984000000000002</v>
      </c>
      <c r="JM50">
        <v>42.784799999999997</v>
      </c>
      <c r="JN50">
        <v>29.0566</v>
      </c>
      <c r="JO50">
        <v>0</v>
      </c>
      <c r="JP50">
        <v>25.192299999999999</v>
      </c>
      <c r="JQ50">
        <v>600</v>
      </c>
      <c r="JR50">
        <v>23.944700000000001</v>
      </c>
      <c r="JS50">
        <v>98.616500000000002</v>
      </c>
      <c r="JT50">
        <v>97.0745</v>
      </c>
    </row>
    <row r="51" spans="1:280" x14ac:dyDescent="0.25">
      <c r="A51">
        <v>35</v>
      </c>
      <c r="B51">
        <v>1700156615</v>
      </c>
      <c r="C51">
        <v>7633.5</v>
      </c>
      <c r="D51" t="s">
        <v>570</v>
      </c>
      <c r="E51" t="s">
        <v>571</v>
      </c>
      <c r="F51" t="s">
        <v>412</v>
      </c>
      <c r="G51" t="s">
        <v>544</v>
      </c>
      <c r="H51" t="s">
        <v>545</v>
      </c>
      <c r="I51">
        <v>1700156615</v>
      </c>
      <c r="J51">
        <f t="shared" si="46"/>
        <v>4.045574072799386E-3</v>
      </c>
      <c r="K51">
        <f t="shared" si="47"/>
        <v>4.0455740727993863</v>
      </c>
      <c r="L51">
        <f t="shared" si="48"/>
        <v>44.61335514140525</v>
      </c>
      <c r="M51">
        <f t="shared" si="49"/>
        <v>448.69499999999999</v>
      </c>
      <c r="N51">
        <f t="shared" si="50"/>
        <v>165.60733557958031</v>
      </c>
      <c r="O51">
        <f t="shared" si="51"/>
        <v>16.456809489839767</v>
      </c>
      <c r="P51">
        <f t="shared" si="52"/>
        <v>44.587929080565004</v>
      </c>
      <c r="Q51">
        <f t="shared" si="53"/>
        <v>0.27021802074841716</v>
      </c>
      <c r="R51">
        <f t="shared" si="54"/>
        <v>3.007120369180265</v>
      </c>
      <c r="S51">
        <f t="shared" si="55"/>
        <v>0.25741664762120203</v>
      </c>
      <c r="T51">
        <f t="shared" si="56"/>
        <v>0.16198500925898343</v>
      </c>
      <c r="U51">
        <f t="shared" si="57"/>
        <v>344.36499876294693</v>
      </c>
      <c r="V51">
        <f t="shared" si="58"/>
        <v>30.932591221896729</v>
      </c>
      <c r="W51">
        <f t="shared" si="59"/>
        <v>29.997900000000001</v>
      </c>
      <c r="X51">
        <f t="shared" si="60"/>
        <v>4.2599358942719885</v>
      </c>
      <c r="Y51">
        <f t="shared" si="61"/>
        <v>64.701220931322894</v>
      </c>
      <c r="Z51">
        <f t="shared" si="62"/>
        <v>2.7533030059223003</v>
      </c>
      <c r="AA51">
        <f t="shared" si="63"/>
        <v>4.2554112059875866</v>
      </c>
      <c r="AB51">
        <f t="shared" si="64"/>
        <v>1.5066328883496882</v>
      </c>
      <c r="AC51">
        <f t="shared" si="65"/>
        <v>-178.40981661045294</v>
      </c>
      <c r="AD51">
        <f t="shared" si="66"/>
        <v>-2.9992176568505573</v>
      </c>
      <c r="AE51">
        <f t="shared" si="67"/>
        <v>-0.22174174464325583</v>
      </c>
      <c r="AF51">
        <f t="shared" si="68"/>
        <v>162.73422275100015</v>
      </c>
      <c r="AG51">
        <v>9</v>
      </c>
      <c r="AH51">
        <v>2</v>
      </c>
      <c r="AI51">
        <f t="shared" si="69"/>
        <v>1</v>
      </c>
      <c r="AJ51">
        <f t="shared" si="70"/>
        <v>0</v>
      </c>
      <c r="AK51">
        <f t="shared" si="71"/>
        <v>51907.683675690649</v>
      </c>
      <c r="AL51" t="s">
        <v>415</v>
      </c>
      <c r="AM51">
        <v>7133.88</v>
      </c>
      <c r="AN51">
        <v>306.28384615384618</v>
      </c>
      <c r="AO51">
        <v>859.63916333292491</v>
      </c>
      <c r="AP51">
        <f t="shared" si="72"/>
        <v>0.64370650010133712</v>
      </c>
      <c r="AQ51">
        <v>-0.73746743666429193</v>
      </c>
      <c r="AR51" t="s">
        <v>572</v>
      </c>
      <c r="AS51">
        <v>7149.64</v>
      </c>
      <c r="AT51">
        <v>540.77472</v>
      </c>
      <c r="AU51">
        <v>787.70494660615032</v>
      </c>
      <c r="AV51">
        <f t="shared" si="73"/>
        <v>0.31348060929419874</v>
      </c>
      <c r="AW51">
        <v>0.5</v>
      </c>
      <c r="AX51">
        <f t="shared" si="74"/>
        <v>1513.1675993814733</v>
      </c>
      <c r="AY51">
        <f t="shared" si="75"/>
        <v>44.61335514140525</v>
      </c>
      <c r="AZ51">
        <f t="shared" si="76"/>
        <v>237.17435050917214</v>
      </c>
      <c r="BA51">
        <f t="shared" si="77"/>
        <v>2.9970786181654479E-2</v>
      </c>
      <c r="BB51">
        <f t="shared" si="78"/>
        <v>9.1321270783819825E-2</v>
      </c>
      <c r="BC51">
        <f t="shared" si="79"/>
        <v>296.63227001936605</v>
      </c>
      <c r="BD51" t="s">
        <v>573</v>
      </c>
      <c r="BE51">
        <v>400.01</v>
      </c>
      <c r="BF51">
        <f t="shared" si="80"/>
        <v>400.01</v>
      </c>
      <c r="BG51">
        <f t="shared" si="81"/>
        <v>0.49218295286394387</v>
      </c>
      <c r="BH51">
        <f t="shared" si="82"/>
        <v>0.63691886821780164</v>
      </c>
      <c r="BI51">
        <f t="shared" si="83"/>
        <v>0.15650490104926221</v>
      </c>
      <c r="BJ51">
        <f t="shared" si="84"/>
        <v>0.51291940958581739</v>
      </c>
      <c r="BK51">
        <f t="shared" si="85"/>
        <v>0.1299964317565146</v>
      </c>
      <c r="BL51">
        <f t="shared" si="86"/>
        <v>0.4711276379114076</v>
      </c>
      <c r="BM51">
        <f t="shared" si="87"/>
        <v>0.52887236208859245</v>
      </c>
      <c r="BN51">
        <v>20752</v>
      </c>
      <c r="BO51">
        <v>290.00000000000011</v>
      </c>
      <c r="BP51">
        <v>718.7</v>
      </c>
      <c r="BQ51">
        <v>295</v>
      </c>
      <c r="BR51">
        <v>7149.64</v>
      </c>
      <c r="BS51">
        <v>721.08</v>
      </c>
      <c r="BT51">
        <v>-2.38</v>
      </c>
      <c r="BU51">
        <v>300.00000000000011</v>
      </c>
      <c r="BV51">
        <v>38.200000000000003</v>
      </c>
      <c r="BW51">
        <v>787.70494660615032</v>
      </c>
      <c r="BX51">
        <v>1.4708564210447039</v>
      </c>
      <c r="BY51">
        <v>-47.63093953178393</v>
      </c>
      <c r="BZ51">
        <v>0.88133574644615753</v>
      </c>
      <c r="CA51">
        <v>0.99050447573913436</v>
      </c>
      <c r="CB51">
        <v>-7.0582825361512821E-3</v>
      </c>
      <c r="CC51">
        <v>289.99999999999989</v>
      </c>
      <c r="CD51">
        <v>728.72</v>
      </c>
      <c r="CE51">
        <v>795</v>
      </c>
      <c r="CF51">
        <v>7143.47</v>
      </c>
      <c r="CG51">
        <v>721.03</v>
      </c>
      <c r="CH51">
        <v>7.69</v>
      </c>
      <c r="CV51">
        <f t="shared" si="88"/>
        <v>1799.98</v>
      </c>
      <c r="CW51">
        <f t="shared" si="89"/>
        <v>1513.1675993814733</v>
      </c>
      <c r="CX51">
        <f t="shared" si="90"/>
        <v>0.84065800696756254</v>
      </c>
      <c r="CY51">
        <f t="shared" si="91"/>
        <v>0.19131601393512535</v>
      </c>
      <c r="CZ51">
        <v>5.52</v>
      </c>
      <c r="DA51">
        <v>0.5</v>
      </c>
      <c r="DB51" t="s">
        <v>418</v>
      </c>
      <c r="DC51">
        <v>2</v>
      </c>
      <c r="DD51">
        <v>1700156615</v>
      </c>
      <c r="DE51">
        <v>448.69499999999999</v>
      </c>
      <c r="DF51">
        <v>499.96199999999999</v>
      </c>
      <c r="DG51">
        <v>27.706900000000001</v>
      </c>
      <c r="DH51">
        <v>23.363499999999998</v>
      </c>
      <c r="DI51">
        <v>453.05099999999999</v>
      </c>
      <c r="DJ51">
        <v>27.669499999999999</v>
      </c>
      <c r="DK51">
        <v>499.904</v>
      </c>
      <c r="DL51">
        <v>99.272400000000005</v>
      </c>
      <c r="DM51">
        <v>0.100067</v>
      </c>
      <c r="DN51">
        <v>29.979399999999998</v>
      </c>
      <c r="DO51">
        <v>29.997900000000001</v>
      </c>
      <c r="DP51">
        <v>999.9</v>
      </c>
      <c r="DQ51">
        <v>0</v>
      </c>
      <c r="DR51">
        <v>0</v>
      </c>
      <c r="DS51">
        <v>9986.25</v>
      </c>
      <c r="DT51">
        <v>0</v>
      </c>
      <c r="DU51">
        <v>766.44899999999996</v>
      </c>
      <c r="DV51">
        <v>-51.2669</v>
      </c>
      <c r="DW51">
        <v>461.48099999999999</v>
      </c>
      <c r="DX51">
        <v>511.92200000000003</v>
      </c>
      <c r="DY51">
        <v>4.3434200000000001</v>
      </c>
      <c r="DZ51">
        <v>499.96199999999999</v>
      </c>
      <c r="EA51">
        <v>23.363499999999998</v>
      </c>
      <c r="EB51">
        <v>2.7505299999999999</v>
      </c>
      <c r="EC51">
        <v>2.31935</v>
      </c>
      <c r="ED51">
        <v>22.590199999999999</v>
      </c>
      <c r="EE51">
        <v>19.811399999999999</v>
      </c>
      <c r="EF51">
        <v>1799.98</v>
      </c>
      <c r="EG51">
        <v>0.97800600000000004</v>
      </c>
      <c r="EH51">
        <v>2.1994199999999998E-2</v>
      </c>
      <c r="EI51">
        <v>0</v>
      </c>
      <c r="EJ51">
        <v>541.048</v>
      </c>
      <c r="EK51">
        <v>5.0009399999999999</v>
      </c>
      <c r="EL51">
        <v>10632.2</v>
      </c>
      <c r="EM51">
        <v>13860</v>
      </c>
      <c r="EN51">
        <v>48.436999999999998</v>
      </c>
      <c r="EO51">
        <v>50.375</v>
      </c>
      <c r="EP51">
        <v>49.561999999999998</v>
      </c>
      <c r="EQ51">
        <v>49.5</v>
      </c>
      <c r="ER51">
        <v>49.811999999999998</v>
      </c>
      <c r="ES51">
        <v>1755.5</v>
      </c>
      <c r="ET51">
        <v>39.479999999999997</v>
      </c>
      <c r="EU51">
        <v>0</v>
      </c>
      <c r="EV51">
        <v>223.20000004768369</v>
      </c>
      <c r="EW51">
        <v>0</v>
      </c>
      <c r="EX51">
        <v>540.77472</v>
      </c>
      <c r="EY51">
        <v>-1.1728461427560981</v>
      </c>
      <c r="EZ51">
        <v>-23.738461518890809</v>
      </c>
      <c r="FA51">
        <v>10639.456</v>
      </c>
      <c r="FB51">
        <v>15</v>
      </c>
      <c r="FC51">
        <v>1700156505.5</v>
      </c>
      <c r="FD51" t="s">
        <v>574</v>
      </c>
      <c r="FE51">
        <v>1700156503.5</v>
      </c>
      <c r="FF51">
        <v>1700156505.5</v>
      </c>
      <c r="FG51">
        <v>38</v>
      </c>
      <c r="FH51">
        <v>0.124</v>
      </c>
      <c r="FI51">
        <v>1.4E-2</v>
      </c>
      <c r="FJ51">
        <v>-4.5209999999999999</v>
      </c>
      <c r="FK51">
        <v>3.6999999999999998E-2</v>
      </c>
      <c r="FL51">
        <v>500</v>
      </c>
      <c r="FM51">
        <v>25</v>
      </c>
      <c r="FN51">
        <v>0.04</v>
      </c>
      <c r="FO51">
        <v>0.02</v>
      </c>
      <c r="FP51">
        <v>44.571924659931128</v>
      </c>
      <c r="FQ51">
        <v>0.66619788414781411</v>
      </c>
      <c r="FR51">
        <v>5.2932182287116269E-2</v>
      </c>
      <c r="FS51">
        <v>1</v>
      </c>
      <c r="FT51">
        <v>0.27068380363944461</v>
      </c>
      <c r="FU51">
        <v>-6.5244947308822788E-3</v>
      </c>
      <c r="FV51">
        <v>5.1560656755932066E-4</v>
      </c>
      <c r="FW51">
        <v>1</v>
      </c>
      <c r="FX51">
        <v>2</v>
      </c>
      <c r="FY51">
        <v>2</v>
      </c>
      <c r="FZ51" t="s">
        <v>420</v>
      </c>
      <c r="GA51">
        <v>3.1190099999999998</v>
      </c>
      <c r="GB51">
        <v>2.87757</v>
      </c>
      <c r="GC51">
        <v>9.5291899999999999E-2</v>
      </c>
      <c r="GD51">
        <v>0.103855</v>
      </c>
      <c r="GE51">
        <v>0.124429</v>
      </c>
      <c r="GF51">
        <v>0.111124</v>
      </c>
      <c r="GG51">
        <v>26233.5</v>
      </c>
      <c r="GH51">
        <v>26586.1</v>
      </c>
      <c r="GI51">
        <v>26711.1</v>
      </c>
      <c r="GJ51">
        <v>27402.9</v>
      </c>
      <c r="GK51">
        <v>33459.800000000003</v>
      </c>
      <c r="GL51">
        <v>34044.199999999997</v>
      </c>
      <c r="GM51">
        <v>39578</v>
      </c>
      <c r="GN51">
        <v>39688.6</v>
      </c>
      <c r="GO51">
        <v>1.9470799999999999</v>
      </c>
      <c r="GP51">
        <v>2.4096299999999999</v>
      </c>
      <c r="GQ51">
        <v>2.8871000000000001E-2</v>
      </c>
      <c r="GR51">
        <v>0</v>
      </c>
      <c r="GS51">
        <v>29.527799999999999</v>
      </c>
      <c r="GT51">
        <v>999.9</v>
      </c>
      <c r="GU51">
        <v>30.4</v>
      </c>
      <c r="GV51">
        <v>48.8</v>
      </c>
      <c r="GW51">
        <v>35.809600000000003</v>
      </c>
      <c r="GX51">
        <v>63.112400000000001</v>
      </c>
      <c r="GY51">
        <v>7.8445499999999999</v>
      </c>
      <c r="GZ51">
        <v>3</v>
      </c>
      <c r="HA51">
        <v>0.61202999999999996</v>
      </c>
      <c r="HB51">
        <v>3.1005099999999999</v>
      </c>
      <c r="HC51">
        <v>20.2697</v>
      </c>
      <c r="HD51">
        <v>5.2115999999999998</v>
      </c>
      <c r="HE51">
        <v>11.908300000000001</v>
      </c>
      <c r="HF51">
        <v>4.9960500000000003</v>
      </c>
      <c r="HG51">
        <v>3.3029999999999999</v>
      </c>
      <c r="HH51">
        <v>9999</v>
      </c>
      <c r="HI51">
        <v>9999</v>
      </c>
      <c r="HJ51">
        <v>9999</v>
      </c>
      <c r="HK51">
        <v>999.9</v>
      </c>
      <c r="HL51">
        <v>1.88476</v>
      </c>
      <c r="HM51">
        <v>1.8853800000000001</v>
      </c>
      <c r="HN51">
        <v>1.8815</v>
      </c>
      <c r="HO51">
        <v>1.8831899999999999</v>
      </c>
      <c r="HP51">
        <v>1.87992</v>
      </c>
      <c r="HQ51">
        <v>1.88341</v>
      </c>
      <c r="HR51">
        <v>1.8794299999999999</v>
      </c>
      <c r="HS51">
        <v>1.8818299999999999</v>
      </c>
      <c r="HT51">
        <v>5</v>
      </c>
      <c r="HU51">
        <v>0</v>
      </c>
      <c r="HV51">
        <v>0</v>
      </c>
      <c r="HW51">
        <v>0</v>
      </c>
      <c r="HX51" t="s">
        <v>421</v>
      </c>
      <c r="HY51" t="s">
        <v>422</v>
      </c>
      <c r="HZ51" t="s">
        <v>423</v>
      </c>
      <c r="IA51" t="s">
        <v>423</v>
      </c>
      <c r="IB51" t="s">
        <v>423</v>
      </c>
      <c r="IC51" t="s">
        <v>423</v>
      </c>
      <c r="ID51">
        <v>0</v>
      </c>
      <c r="IE51">
        <v>100</v>
      </c>
      <c r="IF51">
        <v>100</v>
      </c>
      <c r="IG51">
        <v>-4.3559999999999999</v>
      </c>
      <c r="IH51">
        <v>3.7400000000000003E-2</v>
      </c>
      <c r="II51">
        <v>-2.757834557885964</v>
      </c>
      <c r="IJ51">
        <v>-3.7794827560518689E-3</v>
      </c>
      <c r="IK51">
        <v>4.9551128961100493E-7</v>
      </c>
      <c r="IL51">
        <v>1.3680294268397379E-10</v>
      </c>
      <c r="IM51">
        <v>3.7395000000000067E-2</v>
      </c>
      <c r="IN51">
        <v>0</v>
      </c>
      <c r="IO51">
        <v>0</v>
      </c>
      <c r="IP51">
        <v>0</v>
      </c>
      <c r="IQ51">
        <v>4</v>
      </c>
      <c r="IR51">
        <v>2229</v>
      </c>
      <c r="IS51">
        <v>1</v>
      </c>
      <c r="IT51">
        <v>22</v>
      </c>
      <c r="IU51">
        <v>1.9</v>
      </c>
      <c r="IV51">
        <v>1.8</v>
      </c>
      <c r="IW51">
        <v>1.8408199999999999</v>
      </c>
      <c r="IX51">
        <v>2.5891099999999998</v>
      </c>
      <c r="IY51">
        <v>2.9956100000000001</v>
      </c>
      <c r="IZ51">
        <v>2.96387</v>
      </c>
      <c r="JA51">
        <v>3.1970200000000002</v>
      </c>
      <c r="JB51">
        <v>2.49512</v>
      </c>
      <c r="JC51">
        <v>51.698900000000002</v>
      </c>
      <c r="JD51">
        <v>23.737300000000001</v>
      </c>
      <c r="JE51">
        <v>18</v>
      </c>
      <c r="JF51">
        <v>509.32100000000003</v>
      </c>
      <c r="JG51">
        <v>1095.27</v>
      </c>
      <c r="JH51">
        <v>25.424700000000001</v>
      </c>
      <c r="JI51">
        <v>34.688400000000001</v>
      </c>
      <c r="JJ51">
        <v>29.9999</v>
      </c>
      <c r="JK51">
        <v>34.7804</v>
      </c>
      <c r="JL51">
        <v>34.735999999999997</v>
      </c>
      <c r="JM51">
        <v>36.867100000000001</v>
      </c>
      <c r="JN51">
        <v>29.8292</v>
      </c>
      <c r="JO51">
        <v>0</v>
      </c>
      <c r="JP51">
        <v>25.416599999999999</v>
      </c>
      <c r="JQ51">
        <v>500</v>
      </c>
      <c r="JR51">
        <v>23.369499999999999</v>
      </c>
      <c r="JS51">
        <v>98.646799999999999</v>
      </c>
      <c r="JT51">
        <v>97.094499999999996</v>
      </c>
    </row>
    <row r="52" spans="1:280" x14ac:dyDescent="0.25">
      <c r="A52">
        <v>36</v>
      </c>
      <c r="B52">
        <v>1700156794.5</v>
      </c>
      <c r="C52">
        <v>7813</v>
      </c>
      <c r="D52" t="s">
        <v>575</v>
      </c>
      <c r="E52" t="s">
        <v>576</v>
      </c>
      <c r="F52" t="s">
        <v>412</v>
      </c>
      <c r="G52" t="s">
        <v>544</v>
      </c>
      <c r="H52" t="s">
        <v>545</v>
      </c>
      <c r="I52">
        <v>1700156794.5</v>
      </c>
      <c r="J52">
        <f t="shared" si="46"/>
        <v>4.8570001151507954E-3</v>
      </c>
      <c r="K52">
        <f t="shared" si="47"/>
        <v>4.8570001151507958</v>
      </c>
      <c r="L52">
        <f t="shared" si="48"/>
        <v>43.386491262224581</v>
      </c>
      <c r="M52">
        <f t="shared" si="49"/>
        <v>350.20299999999997</v>
      </c>
      <c r="N52">
        <f t="shared" si="50"/>
        <v>126.87910433258963</v>
      </c>
      <c r="O52">
        <f t="shared" si="51"/>
        <v>12.607418456349473</v>
      </c>
      <c r="P52">
        <f t="shared" si="52"/>
        <v>34.798131567002997</v>
      </c>
      <c r="Q52">
        <f t="shared" si="53"/>
        <v>0.33603892611773922</v>
      </c>
      <c r="R52">
        <f t="shared" si="54"/>
        <v>3.0069830528860306</v>
      </c>
      <c r="S52">
        <f t="shared" si="55"/>
        <v>0.31648307463561226</v>
      </c>
      <c r="T52">
        <f t="shared" si="56"/>
        <v>0.19946403427604603</v>
      </c>
      <c r="U52">
        <f t="shared" si="57"/>
        <v>344.34029876285751</v>
      </c>
      <c r="V52">
        <f t="shared" si="58"/>
        <v>30.877273750169365</v>
      </c>
      <c r="W52">
        <f t="shared" si="59"/>
        <v>29.982099999999999</v>
      </c>
      <c r="X52">
        <f t="shared" si="60"/>
        <v>4.2560713047536529</v>
      </c>
      <c r="Y52">
        <f t="shared" si="61"/>
        <v>64.887051077256942</v>
      </c>
      <c r="Z52">
        <f t="shared" si="62"/>
        <v>2.7851581766694</v>
      </c>
      <c r="AA52">
        <f t="shared" si="63"/>
        <v>4.2923173891094031</v>
      </c>
      <c r="AB52">
        <f t="shared" si="64"/>
        <v>1.4709131280842529</v>
      </c>
      <c r="AC52">
        <f t="shared" si="65"/>
        <v>-214.19370507815009</v>
      </c>
      <c r="AD52">
        <f t="shared" si="66"/>
        <v>23.944011870280278</v>
      </c>
      <c r="AE52">
        <f t="shared" si="67"/>
        <v>1.7715181960173694</v>
      </c>
      <c r="AF52">
        <f t="shared" si="68"/>
        <v>155.86212375100507</v>
      </c>
      <c r="AG52">
        <v>8</v>
      </c>
      <c r="AH52">
        <v>2</v>
      </c>
      <c r="AI52">
        <f t="shared" si="69"/>
        <v>1</v>
      </c>
      <c r="AJ52">
        <f t="shared" si="70"/>
        <v>0</v>
      </c>
      <c r="AK52">
        <f t="shared" si="71"/>
        <v>51878.061908331241</v>
      </c>
      <c r="AL52" t="s">
        <v>431</v>
      </c>
      <c r="AM52" t="s">
        <v>431</v>
      </c>
      <c r="AN52">
        <v>0</v>
      </c>
      <c r="AO52">
        <v>0</v>
      </c>
      <c r="AP52" t="e">
        <f t="shared" si="72"/>
        <v>#DIV/0!</v>
      </c>
      <c r="AQ52">
        <v>0</v>
      </c>
      <c r="AR52" t="s">
        <v>431</v>
      </c>
      <c r="AS52" t="s">
        <v>431</v>
      </c>
      <c r="AT52">
        <v>0</v>
      </c>
      <c r="AU52">
        <v>0</v>
      </c>
      <c r="AV52" t="e">
        <f t="shared" si="73"/>
        <v>#DIV/0!</v>
      </c>
      <c r="AW52">
        <v>0.5</v>
      </c>
      <c r="AX52">
        <f t="shared" si="74"/>
        <v>1513.0583993814289</v>
      </c>
      <c r="AY52">
        <f t="shared" si="75"/>
        <v>43.386491262224581</v>
      </c>
      <c r="AZ52" t="e">
        <f t="shared" si="76"/>
        <v>#DIV/0!</v>
      </c>
      <c r="BA52">
        <f t="shared" si="77"/>
        <v>2.8674697077100211E-2</v>
      </c>
      <c r="BB52" t="e">
        <f t="shared" si="78"/>
        <v>#DIV/0!</v>
      </c>
      <c r="BC52" t="e">
        <f t="shared" si="79"/>
        <v>#DIV/0!</v>
      </c>
      <c r="BD52" t="s">
        <v>431</v>
      </c>
      <c r="BE52">
        <v>0</v>
      </c>
      <c r="BF52" t="e">
        <f t="shared" si="80"/>
        <v>#DIV/0!</v>
      </c>
      <c r="BG52" t="e">
        <f t="shared" si="81"/>
        <v>#DIV/0!</v>
      </c>
      <c r="BH52" t="e">
        <f t="shared" si="82"/>
        <v>#DIV/0!</v>
      </c>
      <c r="BI52" t="e">
        <f t="shared" si="83"/>
        <v>#DIV/0!</v>
      </c>
      <c r="BJ52" t="e">
        <f t="shared" si="84"/>
        <v>#DIV/0!</v>
      </c>
      <c r="BK52" t="e">
        <f t="shared" si="85"/>
        <v>#DIV/0!</v>
      </c>
      <c r="BL52" t="e">
        <f t="shared" si="86"/>
        <v>#DIV/0!</v>
      </c>
      <c r="BM52" t="e">
        <f t="shared" si="87"/>
        <v>#DIV/0!</v>
      </c>
      <c r="BN52">
        <v>20752</v>
      </c>
      <c r="BO52">
        <v>290.00000000000011</v>
      </c>
      <c r="BP52">
        <v>718.7</v>
      </c>
      <c r="BQ52">
        <v>295</v>
      </c>
      <c r="BR52">
        <v>7149.64</v>
      </c>
      <c r="BS52">
        <v>721.08</v>
      </c>
      <c r="BT52">
        <v>-2.38</v>
      </c>
      <c r="BU52">
        <v>300.00000000000011</v>
      </c>
      <c r="BV52">
        <v>38.200000000000003</v>
      </c>
      <c r="BW52">
        <v>787.70494660615032</v>
      </c>
      <c r="BX52">
        <v>1.4708564210447039</v>
      </c>
      <c r="BY52">
        <v>-47.63093953178393</v>
      </c>
      <c r="BZ52">
        <v>0.88133574644615753</v>
      </c>
      <c r="CA52">
        <v>0.99050447573913436</v>
      </c>
      <c r="CB52">
        <v>-7.0582825361512821E-3</v>
      </c>
      <c r="CC52">
        <v>289.99999999999989</v>
      </c>
      <c r="CD52">
        <v>728.72</v>
      </c>
      <c r="CE52">
        <v>795</v>
      </c>
      <c r="CF52">
        <v>7143.47</v>
      </c>
      <c r="CG52">
        <v>721.03</v>
      </c>
      <c r="CH52">
        <v>7.69</v>
      </c>
      <c r="CV52">
        <f t="shared" si="88"/>
        <v>1799.85</v>
      </c>
      <c r="CW52">
        <f t="shared" si="89"/>
        <v>1513.0583993814289</v>
      </c>
      <c r="CX52">
        <f t="shared" si="90"/>
        <v>0.84065805449422393</v>
      </c>
      <c r="CY52">
        <f t="shared" si="91"/>
        <v>0.19131610898844767</v>
      </c>
      <c r="CZ52">
        <v>5.52</v>
      </c>
      <c r="DA52">
        <v>0.5</v>
      </c>
      <c r="DB52" t="s">
        <v>418</v>
      </c>
      <c r="DC52">
        <v>2</v>
      </c>
      <c r="DD52">
        <v>1700156794.5</v>
      </c>
      <c r="DE52">
        <v>350.20299999999997</v>
      </c>
      <c r="DF52">
        <v>399.98399999999998</v>
      </c>
      <c r="DG52">
        <v>28.029399999999999</v>
      </c>
      <c r="DH52">
        <v>22.8171</v>
      </c>
      <c r="DI52">
        <v>354.30200000000002</v>
      </c>
      <c r="DJ52">
        <v>28.0032</v>
      </c>
      <c r="DK52">
        <v>499.95499999999998</v>
      </c>
      <c r="DL52">
        <v>99.265000000000001</v>
      </c>
      <c r="DM52">
        <v>0.100601</v>
      </c>
      <c r="DN52">
        <v>30.129799999999999</v>
      </c>
      <c r="DO52">
        <v>29.982099999999999</v>
      </c>
      <c r="DP52">
        <v>999.9</v>
      </c>
      <c r="DQ52">
        <v>0</v>
      </c>
      <c r="DR52">
        <v>0</v>
      </c>
      <c r="DS52">
        <v>9986.25</v>
      </c>
      <c r="DT52">
        <v>0</v>
      </c>
      <c r="DU52">
        <v>619.45000000000005</v>
      </c>
      <c r="DV52">
        <v>-49.781500000000001</v>
      </c>
      <c r="DW52">
        <v>360.30200000000002</v>
      </c>
      <c r="DX52">
        <v>409.32400000000001</v>
      </c>
      <c r="DY52">
        <v>5.2122700000000002</v>
      </c>
      <c r="DZ52">
        <v>399.98399999999998</v>
      </c>
      <c r="EA52">
        <v>22.8171</v>
      </c>
      <c r="EB52">
        <v>2.78234</v>
      </c>
      <c r="EC52">
        <v>2.2649400000000002</v>
      </c>
      <c r="ED52">
        <v>22.779699999999998</v>
      </c>
      <c r="EE52">
        <v>19.429200000000002</v>
      </c>
      <c r="EF52">
        <v>1799.85</v>
      </c>
      <c r="EG52">
        <v>0.97800200000000004</v>
      </c>
      <c r="EH52">
        <v>2.1997900000000001E-2</v>
      </c>
      <c r="EI52">
        <v>0</v>
      </c>
      <c r="EJ52">
        <v>540.98400000000004</v>
      </c>
      <c r="EK52">
        <v>5.0009399999999999</v>
      </c>
      <c r="EL52">
        <v>10700.3</v>
      </c>
      <c r="EM52">
        <v>13859</v>
      </c>
      <c r="EN52">
        <v>48.25</v>
      </c>
      <c r="EO52">
        <v>50.25</v>
      </c>
      <c r="EP52">
        <v>49.375</v>
      </c>
      <c r="EQ52">
        <v>49.375</v>
      </c>
      <c r="ER52">
        <v>49.686999999999998</v>
      </c>
      <c r="ES52">
        <v>1755.37</v>
      </c>
      <c r="ET52">
        <v>39.479999999999997</v>
      </c>
      <c r="EU52">
        <v>0</v>
      </c>
      <c r="EV52">
        <v>177.5999999046326</v>
      </c>
      <c r="EW52">
        <v>0</v>
      </c>
      <c r="EX52">
        <v>540.98368000000005</v>
      </c>
      <c r="EY52">
        <v>-0.40338460621313249</v>
      </c>
      <c r="EZ52">
        <v>23.284615436206948</v>
      </c>
      <c r="FA52">
        <v>10696.404</v>
      </c>
      <c r="FB52">
        <v>15</v>
      </c>
      <c r="FC52">
        <v>1700156707.5</v>
      </c>
      <c r="FD52" t="s">
        <v>577</v>
      </c>
      <c r="FE52">
        <v>1700156703</v>
      </c>
      <c r="FF52">
        <v>1700156707.5</v>
      </c>
      <c r="FG52">
        <v>39</v>
      </c>
      <c r="FH52">
        <v>-7.0000000000000007E-2</v>
      </c>
      <c r="FI52">
        <v>-1.0999999999999999E-2</v>
      </c>
      <c r="FJ52">
        <v>-4.266</v>
      </c>
      <c r="FK52">
        <v>2.5999999999999999E-2</v>
      </c>
      <c r="FL52">
        <v>400</v>
      </c>
      <c r="FM52">
        <v>24</v>
      </c>
      <c r="FN52">
        <v>0.04</v>
      </c>
      <c r="FO52">
        <v>0.03</v>
      </c>
      <c r="FP52">
        <v>43.307304130399928</v>
      </c>
      <c r="FQ52">
        <v>0.62066656998233205</v>
      </c>
      <c r="FR52">
        <v>5.3222362438830037E-2</v>
      </c>
      <c r="FS52">
        <v>1</v>
      </c>
      <c r="FT52">
        <v>0.33612923147653961</v>
      </c>
      <c r="FU52">
        <v>-4.9012939502656567E-4</v>
      </c>
      <c r="FV52">
        <v>2.888340055503098E-4</v>
      </c>
      <c r="FW52">
        <v>1</v>
      </c>
      <c r="FX52">
        <v>2</v>
      </c>
      <c r="FY52">
        <v>2</v>
      </c>
      <c r="FZ52" t="s">
        <v>420</v>
      </c>
      <c r="GA52">
        <v>3.1189499999999999</v>
      </c>
      <c r="GB52">
        <v>2.8780999999999999</v>
      </c>
      <c r="GC52">
        <v>7.8857899999999995E-2</v>
      </c>
      <c r="GD52">
        <v>8.7839500000000001E-2</v>
      </c>
      <c r="GE52">
        <v>0.12551100000000001</v>
      </c>
      <c r="GF52">
        <v>0.109279</v>
      </c>
      <c r="GG52">
        <v>26713.7</v>
      </c>
      <c r="GH52">
        <v>27065.200000000001</v>
      </c>
      <c r="GI52">
        <v>26714.5</v>
      </c>
      <c r="GJ52">
        <v>27406.5</v>
      </c>
      <c r="GK52">
        <v>33419.599999999999</v>
      </c>
      <c r="GL52">
        <v>34117</v>
      </c>
      <c r="GM52">
        <v>39581.4</v>
      </c>
      <c r="GN52">
        <v>39692.699999999997</v>
      </c>
      <c r="GO52">
        <v>1.94977</v>
      </c>
      <c r="GP52">
        <v>2.4125800000000002</v>
      </c>
      <c r="GQ52">
        <v>1.2293500000000001E-2</v>
      </c>
      <c r="GR52">
        <v>0</v>
      </c>
      <c r="GS52">
        <v>29.782</v>
      </c>
      <c r="GT52">
        <v>999.9</v>
      </c>
      <c r="GU52">
        <v>30.3</v>
      </c>
      <c r="GV52">
        <v>48.6</v>
      </c>
      <c r="GW52">
        <v>35.340899999999998</v>
      </c>
      <c r="GX52">
        <v>63.302399999999999</v>
      </c>
      <c r="GY52">
        <v>8.0248399999999993</v>
      </c>
      <c r="GZ52">
        <v>3</v>
      </c>
      <c r="HA52">
        <v>0.60333099999999995</v>
      </c>
      <c r="HB52">
        <v>3.0327199999999999</v>
      </c>
      <c r="HC52">
        <v>20.270800000000001</v>
      </c>
      <c r="HD52">
        <v>5.2108499999999998</v>
      </c>
      <c r="HE52">
        <v>11.908300000000001</v>
      </c>
      <c r="HF52">
        <v>4.9969999999999999</v>
      </c>
      <c r="HG52">
        <v>3.3029299999999999</v>
      </c>
      <c r="HH52">
        <v>9999</v>
      </c>
      <c r="HI52">
        <v>9999</v>
      </c>
      <c r="HJ52">
        <v>9999</v>
      </c>
      <c r="HK52">
        <v>999.9</v>
      </c>
      <c r="HL52">
        <v>1.8847700000000001</v>
      </c>
      <c r="HM52">
        <v>1.8853800000000001</v>
      </c>
      <c r="HN52">
        <v>1.88151</v>
      </c>
      <c r="HO52">
        <v>1.8831800000000001</v>
      </c>
      <c r="HP52">
        <v>1.87992</v>
      </c>
      <c r="HQ52">
        <v>1.8834200000000001</v>
      </c>
      <c r="HR52">
        <v>1.8794299999999999</v>
      </c>
      <c r="HS52">
        <v>1.8817999999999999</v>
      </c>
      <c r="HT52">
        <v>5</v>
      </c>
      <c r="HU52">
        <v>0</v>
      </c>
      <c r="HV52">
        <v>0</v>
      </c>
      <c r="HW52">
        <v>0</v>
      </c>
      <c r="HX52" t="s">
        <v>421</v>
      </c>
      <c r="HY52" t="s">
        <v>422</v>
      </c>
      <c r="HZ52" t="s">
        <v>423</v>
      </c>
      <c r="IA52" t="s">
        <v>423</v>
      </c>
      <c r="IB52" t="s">
        <v>423</v>
      </c>
      <c r="IC52" t="s">
        <v>423</v>
      </c>
      <c r="ID52">
        <v>0</v>
      </c>
      <c r="IE52">
        <v>100</v>
      </c>
      <c r="IF52">
        <v>100</v>
      </c>
      <c r="IG52">
        <v>-4.0990000000000002</v>
      </c>
      <c r="IH52">
        <v>2.6200000000000001E-2</v>
      </c>
      <c r="II52">
        <v>-2.8281587599782241</v>
      </c>
      <c r="IJ52">
        <v>-3.7794827560518689E-3</v>
      </c>
      <c r="IK52">
        <v>4.9551128961100493E-7</v>
      </c>
      <c r="IL52">
        <v>1.3680294268397379E-10</v>
      </c>
      <c r="IM52">
        <v>2.6165000000005989E-2</v>
      </c>
      <c r="IN52">
        <v>0</v>
      </c>
      <c r="IO52">
        <v>0</v>
      </c>
      <c r="IP52">
        <v>0</v>
      </c>
      <c r="IQ52">
        <v>4</v>
      </c>
      <c r="IR52">
        <v>2229</v>
      </c>
      <c r="IS52">
        <v>1</v>
      </c>
      <c r="IT52">
        <v>22</v>
      </c>
      <c r="IU52">
        <v>1.5</v>
      </c>
      <c r="IV52">
        <v>1.4</v>
      </c>
      <c r="IW52">
        <v>1.5344199999999999</v>
      </c>
      <c r="IX52">
        <v>2.5903299999999998</v>
      </c>
      <c r="IY52">
        <v>2.9956100000000001</v>
      </c>
      <c r="IZ52">
        <v>2.96265</v>
      </c>
      <c r="JA52">
        <v>3.1970200000000002</v>
      </c>
      <c r="JB52">
        <v>2.5097700000000001</v>
      </c>
      <c r="JC52">
        <v>51.464700000000001</v>
      </c>
      <c r="JD52">
        <v>23.745999999999999</v>
      </c>
      <c r="JE52">
        <v>18</v>
      </c>
      <c r="JF52">
        <v>510.16199999999998</v>
      </c>
      <c r="JG52">
        <v>1097.0899999999999</v>
      </c>
      <c r="JH52">
        <v>25.558700000000002</v>
      </c>
      <c r="JI52">
        <v>34.593800000000002</v>
      </c>
      <c r="JJ52">
        <v>29.9999</v>
      </c>
      <c r="JK52">
        <v>34.666200000000003</v>
      </c>
      <c r="JL52">
        <v>34.6188</v>
      </c>
      <c r="JM52">
        <v>30.7348</v>
      </c>
      <c r="JN52">
        <v>30.676300000000001</v>
      </c>
      <c r="JO52">
        <v>0</v>
      </c>
      <c r="JP52">
        <v>25.571000000000002</v>
      </c>
      <c r="JQ52">
        <v>400</v>
      </c>
      <c r="JR52">
        <v>22.7925</v>
      </c>
      <c r="JS52">
        <v>98.656999999999996</v>
      </c>
      <c r="JT52">
        <v>97.105699999999999</v>
      </c>
    </row>
    <row r="53" spans="1:280" x14ac:dyDescent="0.25">
      <c r="A53">
        <v>37</v>
      </c>
      <c r="B53">
        <v>1700156917.5</v>
      </c>
      <c r="C53">
        <v>7936</v>
      </c>
      <c r="D53" t="s">
        <v>578</v>
      </c>
      <c r="E53" t="s">
        <v>579</v>
      </c>
      <c r="F53" t="s">
        <v>412</v>
      </c>
      <c r="G53" t="s">
        <v>544</v>
      </c>
      <c r="H53" t="s">
        <v>545</v>
      </c>
      <c r="I53">
        <v>1700156917.5</v>
      </c>
      <c r="J53">
        <f t="shared" si="46"/>
        <v>5.1519509905864494E-3</v>
      </c>
      <c r="K53">
        <f t="shared" si="47"/>
        <v>5.1519509905864496</v>
      </c>
      <c r="L53">
        <f t="shared" si="48"/>
        <v>36.361568646612945</v>
      </c>
      <c r="M53">
        <f t="shared" si="49"/>
        <v>258.40800000000002</v>
      </c>
      <c r="N53">
        <f t="shared" si="50"/>
        <v>86.344401869592176</v>
      </c>
      <c r="O53">
        <f t="shared" si="51"/>
        <v>8.5794903592106433</v>
      </c>
      <c r="P53">
        <f t="shared" si="52"/>
        <v>25.676348399416803</v>
      </c>
      <c r="Q53">
        <f t="shared" si="53"/>
        <v>0.36633952764337385</v>
      </c>
      <c r="R53">
        <f t="shared" si="54"/>
        <v>3.0108796714081691</v>
      </c>
      <c r="S53">
        <f t="shared" si="55"/>
        <v>0.34325599625497677</v>
      </c>
      <c r="T53">
        <f t="shared" si="56"/>
        <v>0.21648764056149059</v>
      </c>
      <c r="U53">
        <f t="shared" si="57"/>
        <v>344.33839876285066</v>
      </c>
      <c r="V53">
        <f t="shared" si="58"/>
        <v>30.849624881043667</v>
      </c>
      <c r="W53">
        <f t="shared" si="59"/>
        <v>29.983699999999999</v>
      </c>
      <c r="X53">
        <f t="shared" si="60"/>
        <v>4.2564625165007284</v>
      </c>
      <c r="Y53">
        <f t="shared" si="61"/>
        <v>65.476649908382583</v>
      </c>
      <c r="Z53">
        <f t="shared" si="62"/>
        <v>2.81820002274875</v>
      </c>
      <c r="AA53">
        <f t="shared" si="63"/>
        <v>4.3041298336003484</v>
      </c>
      <c r="AB53">
        <f t="shared" si="64"/>
        <v>1.4382624937519783</v>
      </c>
      <c r="AC53">
        <f t="shared" si="65"/>
        <v>-227.20103868486243</v>
      </c>
      <c r="AD53">
        <f t="shared" si="66"/>
        <v>31.490573699922127</v>
      </c>
      <c r="AE53">
        <f t="shared" si="67"/>
        <v>2.3274120069573372</v>
      </c>
      <c r="AF53">
        <f t="shared" si="68"/>
        <v>150.95534578486769</v>
      </c>
      <c r="AG53">
        <v>8</v>
      </c>
      <c r="AH53">
        <v>2</v>
      </c>
      <c r="AI53">
        <f t="shared" si="69"/>
        <v>1</v>
      </c>
      <c r="AJ53">
        <f t="shared" si="70"/>
        <v>0</v>
      </c>
      <c r="AK53">
        <f t="shared" si="71"/>
        <v>51975.157188434445</v>
      </c>
      <c r="AL53" t="s">
        <v>415</v>
      </c>
      <c r="AM53">
        <v>7133.88</v>
      </c>
      <c r="AN53">
        <v>306.28384615384618</v>
      </c>
      <c r="AO53">
        <v>859.63916333292491</v>
      </c>
      <c r="AP53">
        <f t="shared" si="72"/>
        <v>0.64370650010133712</v>
      </c>
      <c r="AQ53">
        <v>-0.73746743666429193</v>
      </c>
      <c r="AR53" t="s">
        <v>580</v>
      </c>
      <c r="AS53">
        <v>7150.34</v>
      </c>
      <c r="AT53">
        <v>547.70565384615395</v>
      </c>
      <c r="AU53">
        <v>750.47653458086199</v>
      </c>
      <c r="AV53">
        <f t="shared" si="73"/>
        <v>0.27018950145850296</v>
      </c>
      <c r="AW53">
        <v>0.5</v>
      </c>
      <c r="AX53">
        <f t="shared" si="74"/>
        <v>1513.0499993814251</v>
      </c>
      <c r="AY53">
        <f t="shared" si="75"/>
        <v>36.361568646612945</v>
      </c>
      <c r="AZ53">
        <f t="shared" si="76"/>
        <v>204.40511250732771</v>
      </c>
      <c r="BA53">
        <f t="shared" si="77"/>
        <v>2.4519372194206603E-2</v>
      </c>
      <c r="BB53">
        <f t="shared" si="78"/>
        <v>0.1454577508049999</v>
      </c>
      <c r="BC53">
        <f t="shared" si="79"/>
        <v>291.1926000542154</v>
      </c>
      <c r="BD53" t="s">
        <v>581</v>
      </c>
      <c r="BE53">
        <v>400.91</v>
      </c>
      <c r="BF53">
        <f t="shared" si="80"/>
        <v>400.91</v>
      </c>
      <c r="BG53">
        <f t="shared" si="81"/>
        <v>0.46579275763244676</v>
      </c>
      <c r="BH53">
        <f t="shared" si="82"/>
        <v>0.58006376662409864</v>
      </c>
      <c r="BI53">
        <f t="shared" si="83"/>
        <v>0.23796749253728527</v>
      </c>
      <c r="BJ53">
        <f t="shared" si="84"/>
        <v>0.45649306262280998</v>
      </c>
      <c r="BK53">
        <f t="shared" si="85"/>
        <v>0.19727402152482676</v>
      </c>
      <c r="BL53">
        <f t="shared" si="86"/>
        <v>0.42459551593854783</v>
      </c>
      <c r="BM53">
        <f t="shared" si="87"/>
        <v>0.57540448406145217</v>
      </c>
      <c r="BN53">
        <v>20754</v>
      </c>
      <c r="BO53">
        <v>290.00000000000011</v>
      </c>
      <c r="BP53">
        <v>694.47</v>
      </c>
      <c r="BQ53">
        <v>295</v>
      </c>
      <c r="BR53">
        <v>7150.34</v>
      </c>
      <c r="BS53">
        <v>695.7</v>
      </c>
      <c r="BT53">
        <v>-1.23</v>
      </c>
      <c r="BU53">
        <v>300.00000000000011</v>
      </c>
      <c r="BV53">
        <v>38.200000000000003</v>
      </c>
      <c r="BW53">
        <v>750.47653458086199</v>
      </c>
      <c r="BX53">
        <v>1.1476633411737811</v>
      </c>
      <c r="BY53">
        <v>-39.164689952436767</v>
      </c>
      <c r="BZ53">
        <v>0.68774784892804475</v>
      </c>
      <c r="CA53">
        <v>0.99143961308705686</v>
      </c>
      <c r="CB53">
        <v>-7.0588934371523969E-3</v>
      </c>
      <c r="CC53">
        <v>289.99999999999989</v>
      </c>
      <c r="CD53">
        <v>702.97</v>
      </c>
      <c r="CE53">
        <v>875</v>
      </c>
      <c r="CF53">
        <v>7143.1</v>
      </c>
      <c r="CG53">
        <v>695.65</v>
      </c>
      <c r="CH53">
        <v>7.32</v>
      </c>
      <c r="CV53">
        <f t="shared" si="88"/>
        <v>1799.84</v>
      </c>
      <c r="CW53">
        <f t="shared" si="89"/>
        <v>1513.0499993814251</v>
      </c>
      <c r="CX53">
        <f t="shared" si="90"/>
        <v>0.84065805815040517</v>
      </c>
      <c r="CY53">
        <f t="shared" si="91"/>
        <v>0.19131611630081044</v>
      </c>
      <c r="CZ53">
        <v>5.52</v>
      </c>
      <c r="DA53">
        <v>0.5</v>
      </c>
      <c r="DB53" t="s">
        <v>418</v>
      </c>
      <c r="DC53">
        <v>2</v>
      </c>
      <c r="DD53">
        <v>1700156917.5</v>
      </c>
      <c r="DE53">
        <v>258.40800000000002</v>
      </c>
      <c r="DF53">
        <v>300.041</v>
      </c>
      <c r="DG53">
        <v>28.362500000000001</v>
      </c>
      <c r="DH53">
        <v>22.833400000000001</v>
      </c>
      <c r="DI53">
        <v>262.19400000000002</v>
      </c>
      <c r="DJ53">
        <v>28.3444</v>
      </c>
      <c r="DK53">
        <v>499.75900000000001</v>
      </c>
      <c r="DL53">
        <v>99.263900000000007</v>
      </c>
      <c r="DM53">
        <v>9.9697099999999997E-2</v>
      </c>
      <c r="DN53">
        <v>30.177700000000002</v>
      </c>
      <c r="DO53">
        <v>29.983699999999999</v>
      </c>
      <c r="DP53">
        <v>999.9</v>
      </c>
      <c r="DQ53">
        <v>0</v>
      </c>
      <c r="DR53">
        <v>0</v>
      </c>
      <c r="DS53">
        <v>10007.5</v>
      </c>
      <c r="DT53">
        <v>0</v>
      </c>
      <c r="DU53">
        <v>408.19900000000001</v>
      </c>
      <c r="DV53">
        <v>-41.633200000000002</v>
      </c>
      <c r="DW53">
        <v>265.95100000000002</v>
      </c>
      <c r="DX53">
        <v>307.053</v>
      </c>
      <c r="DY53">
        <v>5.5291699999999997</v>
      </c>
      <c r="DZ53">
        <v>300.041</v>
      </c>
      <c r="EA53">
        <v>22.833400000000001</v>
      </c>
      <c r="EB53">
        <v>2.8153800000000002</v>
      </c>
      <c r="EC53">
        <v>2.2665299999999999</v>
      </c>
      <c r="ED53">
        <v>22.974499999999999</v>
      </c>
      <c r="EE53">
        <v>19.4405</v>
      </c>
      <c r="EF53">
        <v>1799.84</v>
      </c>
      <c r="EG53">
        <v>0.97800200000000004</v>
      </c>
      <c r="EH53">
        <v>2.1998E-2</v>
      </c>
      <c r="EI53">
        <v>0</v>
      </c>
      <c r="EJ53">
        <v>547.68200000000002</v>
      </c>
      <c r="EK53">
        <v>5.0009399999999999</v>
      </c>
      <c r="EL53">
        <v>10726.7</v>
      </c>
      <c r="EM53">
        <v>13858.9</v>
      </c>
      <c r="EN53">
        <v>48.25</v>
      </c>
      <c r="EO53">
        <v>50.25</v>
      </c>
      <c r="EP53">
        <v>49.311999999999998</v>
      </c>
      <c r="EQ53">
        <v>49.311999999999998</v>
      </c>
      <c r="ER53">
        <v>49.686999999999998</v>
      </c>
      <c r="ES53">
        <v>1755.36</v>
      </c>
      <c r="ET53">
        <v>39.479999999999997</v>
      </c>
      <c r="EU53">
        <v>0</v>
      </c>
      <c r="EV53">
        <v>300.59999990463263</v>
      </c>
      <c r="EW53">
        <v>0</v>
      </c>
      <c r="EX53">
        <v>547.70565384615395</v>
      </c>
      <c r="EY53">
        <v>-1.0999999980333399</v>
      </c>
      <c r="EZ53">
        <v>-362.16068359995921</v>
      </c>
      <c r="FA53">
        <v>10787.49230769231</v>
      </c>
      <c r="FB53">
        <v>15</v>
      </c>
      <c r="FC53">
        <v>1700156884</v>
      </c>
      <c r="FD53" t="s">
        <v>582</v>
      </c>
      <c r="FE53">
        <v>1700156880</v>
      </c>
      <c r="FF53">
        <v>1700156884</v>
      </c>
      <c r="FG53">
        <v>40</v>
      </c>
      <c r="FH53">
        <v>-3.0000000000000001E-3</v>
      </c>
      <c r="FI53">
        <v>-8.0000000000000002E-3</v>
      </c>
      <c r="FJ53">
        <v>-3.93</v>
      </c>
      <c r="FK53">
        <v>1.7999999999999999E-2</v>
      </c>
      <c r="FL53">
        <v>300</v>
      </c>
      <c r="FM53">
        <v>23</v>
      </c>
      <c r="FN53">
        <v>0.03</v>
      </c>
      <c r="FO53">
        <v>0.01</v>
      </c>
      <c r="FP53">
        <v>36.281454860442381</v>
      </c>
      <c r="FQ53">
        <v>0.67661324948929702</v>
      </c>
      <c r="FR53">
        <v>5.3889840220781561E-2</v>
      </c>
      <c r="FS53">
        <v>1</v>
      </c>
      <c r="FT53">
        <v>0.35772561448712648</v>
      </c>
      <c r="FU53">
        <v>4.9566597488474529E-2</v>
      </c>
      <c r="FV53">
        <v>3.9158416740858511E-3</v>
      </c>
      <c r="FW53">
        <v>1</v>
      </c>
      <c r="FX53">
        <v>2</v>
      </c>
      <c r="FY53">
        <v>2</v>
      </c>
      <c r="FZ53" t="s">
        <v>420</v>
      </c>
      <c r="GA53">
        <v>3.1187299999999998</v>
      </c>
      <c r="GB53">
        <v>2.87738</v>
      </c>
      <c r="GC53">
        <v>6.1683399999999999E-2</v>
      </c>
      <c r="GD53">
        <v>6.9939200000000007E-2</v>
      </c>
      <c r="GE53">
        <v>0.12659200000000001</v>
      </c>
      <c r="GF53">
        <v>0.10934000000000001</v>
      </c>
      <c r="GG53">
        <v>27209.8</v>
      </c>
      <c r="GH53">
        <v>27595.200000000001</v>
      </c>
      <c r="GI53">
        <v>26712.799999999999</v>
      </c>
      <c r="GJ53">
        <v>27405.599999999999</v>
      </c>
      <c r="GK53">
        <v>33375.300000000003</v>
      </c>
      <c r="GL53">
        <v>34112.800000000003</v>
      </c>
      <c r="GM53">
        <v>39579.5</v>
      </c>
      <c r="GN53">
        <v>39692.300000000003</v>
      </c>
      <c r="GO53">
        <v>1.9493</v>
      </c>
      <c r="GP53">
        <v>2.4148000000000001</v>
      </c>
      <c r="GQ53">
        <v>3.6135300000000002E-3</v>
      </c>
      <c r="GR53">
        <v>0</v>
      </c>
      <c r="GS53">
        <v>29.924900000000001</v>
      </c>
      <c r="GT53">
        <v>999.9</v>
      </c>
      <c r="GU53">
        <v>30.3</v>
      </c>
      <c r="GV53">
        <v>48.6</v>
      </c>
      <c r="GW53">
        <v>35.343600000000002</v>
      </c>
      <c r="GX53">
        <v>63.152500000000003</v>
      </c>
      <c r="GY53">
        <v>7.9286899999999996</v>
      </c>
      <c r="GZ53">
        <v>3</v>
      </c>
      <c r="HA53">
        <v>0.607541</v>
      </c>
      <c r="HB53">
        <v>3.5220799999999999</v>
      </c>
      <c r="HC53">
        <v>20.2608</v>
      </c>
      <c r="HD53">
        <v>5.2110000000000003</v>
      </c>
      <c r="HE53">
        <v>11.9084</v>
      </c>
      <c r="HF53">
        <v>4.9953500000000002</v>
      </c>
      <c r="HG53">
        <v>3.3022</v>
      </c>
      <c r="HH53">
        <v>9999</v>
      </c>
      <c r="HI53">
        <v>9999</v>
      </c>
      <c r="HJ53">
        <v>9999</v>
      </c>
      <c r="HK53">
        <v>999.9</v>
      </c>
      <c r="HL53">
        <v>1.8847700000000001</v>
      </c>
      <c r="HM53">
        <v>1.8853800000000001</v>
      </c>
      <c r="HN53">
        <v>1.8815299999999999</v>
      </c>
      <c r="HO53">
        <v>1.8832100000000001</v>
      </c>
      <c r="HP53">
        <v>1.87995</v>
      </c>
      <c r="HQ53">
        <v>1.8834200000000001</v>
      </c>
      <c r="HR53">
        <v>1.8794299999999999</v>
      </c>
      <c r="HS53">
        <v>1.88181</v>
      </c>
      <c r="HT53">
        <v>5</v>
      </c>
      <c r="HU53">
        <v>0</v>
      </c>
      <c r="HV53">
        <v>0</v>
      </c>
      <c r="HW53">
        <v>0</v>
      </c>
      <c r="HX53" t="s">
        <v>421</v>
      </c>
      <c r="HY53" t="s">
        <v>422</v>
      </c>
      <c r="HZ53" t="s">
        <v>423</v>
      </c>
      <c r="IA53" t="s">
        <v>423</v>
      </c>
      <c r="IB53" t="s">
        <v>423</v>
      </c>
      <c r="IC53" t="s">
        <v>423</v>
      </c>
      <c r="ID53">
        <v>0</v>
      </c>
      <c r="IE53">
        <v>100</v>
      </c>
      <c r="IF53">
        <v>100</v>
      </c>
      <c r="IG53">
        <v>-3.786</v>
      </c>
      <c r="IH53">
        <v>1.8100000000000002E-2</v>
      </c>
      <c r="II53">
        <v>-2.8309548941554099</v>
      </c>
      <c r="IJ53">
        <v>-3.7794827560518689E-3</v>
      </c>
      <c r="IK53">
        <v>4.9551128961100493E-7</v>
      </c>
      <c r="IL53">
        <v>1.3680294268397379E-10</v>
      </c>
      <c r="IM53">
        <v>1.8139999999998931E-2</v>
      </c>
      <c r="IN53">
        <v>0</v>
      </c>
      <c r="IO53">
        <v>0</v>
      </c>
      <c r="IP53">
        <v>0</v>
      </c>
      <c r="IQ53">
        <v>4</v>
      </c>
      <c r="IR53">
        <v>2229</v>
      </c>
      <c r="IS53">
        <v>1</v>
      </c>
      <c r="IT53">
        <v>22</v>
      </c>
      <c r="IU53">
        <v>0.6</v>
      </c>
      <c r="IV53">
        <v>0.6</v>
      </c>
      <c r="IW53">
        <v>1.2133799999999999</v>
      </c>
      <c r="IX53">
        <v>2.5939899999999998</v>
      </c>
      <c r="IY53">
        <v>2.9956100000000001</v>
      </c>
      <c r="IZ53">
        <v>2.96265</v>
      </c>
      <c r="JA53">
        <v>3.1970200000000002</v>
      </c>
      <c r="JB53">
        <v>2.50732</v>
      </c>
      <c r="JC53">
        <v>51.364800000000002</v>
      </c>
      <c r="JD53">
        <v>23.754799999999999</v>
      </c>
      <c r="JE53">
        <v>18</v>
      </c>
      <c r="JF53">
        <v>509.71300000000002</v>
      </c>
      <c r="JG53">
        <v>1099.6199999999999</v>
      </c>
      <c r="JH53">
        <v>25.130400000000002</v>
      </c>
      <c r="JI53">
        <v>34.587499999999999</v>
      </c>
      <c r="JJ53">
        <v>30.000299999999999</v>
      </c>
      <c r="JK53">
        <v>34.647300000000001</v>
      </c>
      <c r="JL53">
        <v>34.5946</v>
      </c>
      <c r="JM53">
        <v>24.3154</v>
      </c>
      <c r="JN53">
        <v>30.290900000000001</v>
      </c>
      <c r="JO53">
        <v>0</v>
      </c>
      <c r="JP53">
        <v>25.2727</v>
      </c>
      <c r="JQ53">
        <v>300</v>
      </c>
      <c r="JR53">
        <v>22.776199999999999</v>
      </c>
      <c r="JS53">
        <v>98.651600000000002</v>
      </c>
      <c r="JT53">
        <v>97.103700000000003</v>
      </c>
    </row>
    <row r="54" spans="1:280" x14ac:dyDescent="0.25">
      <c r="A54">
        <v>38</v>
      </c>
      <c r="B54">
        <v>1700157046.5</v>
      </c>
      <c r="C54">
        <v>8065</v>
      </c>
      <c r="D54" t="s">
        <v>583</v>
      </c>
      <c r="E54" t="s">
        <v>584</v>
      </c>
      <c r="F54" t="s">
        <v>412</v>
      </c>
      <c r="G54" t="s">
        <v>544</v>
      </c>
      <c r="H54" t="s">
        <v>545</v>
      </c>
      <c r="I54">
        <v>1700157046.5</v>
      </c>
      <c r="J54">
        <f t="shared" si="46"/>
        <v>5.5916226684602889E-3</v>
      </c>
      <c r="K54">
        <f t="shared" si="47"/>
        <v>5.591622668460289</v>
      </c>
      <c r="L54">
        <f t="shared" si="48"/>
        <v>26.663743654559404</v>
      </c>
      <c r="M54">
        <f t="shared" si="49"/>
        <v>169.54400000000001</v>
      </c>
      <c r="N54">
        <f t="shared" si="50"/>
        <v>54.549584755922069</v>
      </c>
      <c r="O54">
        <f t="shared" si="51"/>
        <v>5.4200912538095771</v>
      </c>
      <c r="P54">
        <f t="shared" si="52"/>
        <v>16.846030187904002</v>
      </c>
      <c r="Q54">
        <f t="shared" si="53"/>
        <v>0.40381632705998977</v>
      </c>
      <c r="R54">
        <f t="shared" si="54"/>
        <v>3.0109381921042631</v>
      </c>
      <c r="S54">
        <f t="shared" si="55"/>
        <v>0.37596135360131977</v>
      </c>
      <c r="T54">
        <f t="shared" si="56"/>
        <v>0.23731819480819255</v>
      </c>
      <c r="U54">
        <f t="shared" si="57"/>
        <v>344.40489876309124</v>
      </c>
      <c r="V54">
        <f t="shared" si="58"/>
        <v>30.81954285051776</v>
      </c>
      <c r="W54">
        <f t="shared" si="59"/>
        <v>29.983799999999999</v>
      </c>
      <c r="X54">
        <f t="shared" si="60"/>
        <v>4.2564869682754418</v>
      </c>
      <c r="Y54">
        <f t="shared" si="61"/>
        <v>65.479582729784838</v>
      </c>
      <c r="Z54">
        <f t="shared" si="62"/>
        <v>2.8314156209808004</v>
      </c>
      <c r="AA54">
        <f t="shared" si="63"/>
        <v>4.3241198293294385</v>
      </c>
      <c r="AB54">
        <f t="shared" si="64"/>
        <v>1.4250713472946415</v>
      </c>
      <c r="AC54">
        <f t="shared" si="65"/>
        <v>-246.59055967909873</v>
      </c>
      <c r="AD54">
        <f t="shared" si="66"/>
        <v>44.59086973855603</v>
      </c>
      <c r="AE54">
        <f t="shared" si="67"/>
        <v>3.2968874362972063</v>
      </c>
      <c r="AF54">
        <f t="shared" si="68"/>
        <v>145.70209625884573</v>
      </c>
      <c r="AG54">
        <v>8</v>
      </c>
      <c r="AH54">
        <v>2</v>
      </c>
      <c r="AI54">
        <f t="shared" si="69"/>
        <v>1</v>
      </c>
      <c r="AJ54">
        <f t="shared" si="70"/>
        <v>0</v>
      </c>
      <c r="AK54">
        <f t="shared" si="71"/>
        <v>51962.830591999926</v>
      </c>
      <c r="AL54" t="s">
        <v>431</v>
      </c>
      <c r="AM54" t="s">
        <v>431</v>
      </c>
      <c r="AN54">
        <v>0</v>
      </c>
      <c r="AO54">
        <v>0</v>
      </c>
      <c r="AP54" t="e">
        <f t="shared" si="72"/>
        <v>#DIV/0!</v>
      </c>
      <c r="AQ54">
        <v>0</v>
      </c>
      <c r="AR54" t="s">
        <v>431</v>
      </c>
      <c r="AS54" t="s">
        <v>431</v>
      </c>
      <c r="AT54">
        <v>0</v>
      </c>
      <c r="AU54">
        <v>0</v>
      </c>
      <c r="AV54" t="e">
        <f t="shared" si="73"/>
        <v>#DIV/0!</v>
      </c>
      <c r="AW54">
        <v>0.5</v>
      </c>
      <c r="AX54">
        <f t="shared" si="74"/>
        <v>1513.3439993815457</v>
      </c>
      <c r="AY54">
        <f t="shared" si="75"/>
        <v>26.663743654559404</v>
      </c>
      <c r="AZ54" t="e">
        <f t="shared" si="76"/>
        <v>#DIV/0!</v>
      </c>
      <c r="BA54">
        <f t="shared" si="77"/>
        <v>1.7619089688435681E-2</v>
      </c>
      <c r="BB54" t="e">
        <f t="shared" si="78"/>
        <v>#DIV/0!</v>
      </c>
      <c r="BC54" t="e">
        <f t="shared" si="79"/>
        <v>#DIV/0!</v>
      </c>
      <c r="BD54" t="s">
        <v>431</v>
      </c>
      <c r="BE54">
        <v>0</v>
      </c>
      <c r="BF54" t="e">
        <f t="shared" si="80"/>
        <v>#DIV/0!</v>
      </c>
      <c r="BG54" t="e">
        <f t="shared" si="81"/>
        <v>#DIV/0!</v>
      </c>
      <c r="BH54" t="e">
        <f t="shared" si="82"/>
        <v>#DIV/0!</v>
      </c>
      <c r="BI54" t="e">
        <f t="shared" si="83"/>
        <v>#DIV/0!</v>
      </c>
      <c r="BJ54" t="e">
        <f t="shared" si="84"/>
        <v>#DIV/0!</v>
      </c>
      <c r="BK54" t="e">
        <f t="shared" si="85"/>
        <v>#DIV/0!</v>
      </c>
      <c r="BL54" t="e">
        <f t="shared" si="86"/>
        <v>#DIV/0!</v>
      </c>
      <c r="BM54" t="e">
        <f t="shared" si="87"/>
        <v>#DIV/0!</v>
      </c>
      <c r="BN54">
        <v>20754</v>
      </c>
      <c r="BO54">
        <v>290.00000000000011</v>
      </c>
      <c r="BP54">
        <v>694.47</v>
      </c>
      <c r="BQ54">
        <v>295</v>
      </c>
      <c r="BR54">
        <v>7150.34</v>
      </c>
      <c r="BS54">
        <v>695.7</v>
      </c>
      <c r="BT54">
        <v>-1.23</v>
      </c>
      <c r="BU54">
        <v>300.00000000000011</v>
      </c>
      <c r="BV54">
        <v>38.200000000000003</v>
      </c>
      <c r="BW54">
        <v>750.47653458086199</v>
      </c>
      <c r="BX54">
        <v>1.1476633411737811</v>
      </c>
      <c r="BY54">
        <v>-39.164689952436767</v>
      </c>
      <c r="BZ54">
        <v>0.68774784892804475</v>
      </c>
      <c r="CA54">
        <v>0.99143961308705686</v>
      </c>
      <c r="CB54">
        <v>-7.0588934371523969E-3</v>
      </c>
      <c r="CC54">
        <v>289.99999999999989</v>
      </c>
      <c r="CD54">
        <v>702.97</v>
      </c>
      <c r="CE54">
        <v>875</v>
      </c>
      <c r="CF54">
        <v>7143.1</v>
      </c>
      <c r="CG54">
        <v>695.65</v>
      </c>
      <c r="CH54">
        <v>7.32</v>
      </c>
      <c r="CV54">
        <f t="shared" si="88"/>
        <v>1800.19</v>
      </c>
      <c r="CW54">
        <f t="shared" si="89"/>
        <v>1513.3439993815457</v>
      </c>
      <c r="CX54">
        <f t="shared" si="90"/>
        <v>0.84065793020822555</v>
      </c>
      <c r="CY54">
        <f t="shared" si="91"/>
        <v>0.19131586041645116</v>
      </c>
      <c r="CZ54">
        <v>5.52</v>
      </c>
      <c r="DA54">
        <v>0.5</v>
      </c>
      <c r="DB54" t="s">
        <v>418</v>
      </c>
      <c r="DC54">
        <v>2</v>
      </c>
      <c r="DD54">
        <v>1700157046.5</v>
      </c>
      <c r="DE54">
        <v>169.54400000000001</v>
      </c>
      <c r="DF54">
        <v>200.04599999999999</v>
      </c>
      <c r="DG54">
        <v>28.496300000000002</v>
      </c>
      <c r="DH54">
        <v>22.4954</v>
      </c>
      <c r="DI54">
        <v>173.1</v>
      </c>
      <c r="DJ54">
        <v>28.482600000000001</v>
      </c>
      <c r="DK54">
        <v>499.69499999999999</v>
      </c>
      <c r="DL54">
        <v>99.261099999999999</v>
      </c>
      <c r="DM54">
        <v>9.9715999999999999E-2</v>
      </c>
      <c r="DN54">
        <v>30.258500000000002</v>
      </c>
      <c r="DO54">
        <v>29.983799999999999</v>
      </c>
      <c r="DP54">
        <v>999.9</v>
      </c>
      <c r="DQ54">
        <v>0</v>
      </c>
      <c r="DR54">
        <v>0</v>
      </c>
      <c r="DS54">
        <v>10008.1</v>
      </c>
      <c r="DT54">
        <v>0</v>
      </c>
      <c r="DU54">
        <v>624.00300000000004</v>
      </c>
      <c r="DV54">
        <v>-30.501799999999999</v>
      </c>
      <c r="DW54">
        <v>174.517</v>
      </c>
      <c r="DX54">
        <v>204.65</v>
      </c>
      <c r="DY54">
        <v>6.0008800000000004</v>
      </c>
      <c r="DZ54">
        <v>200.04599999999999</v>
      </c>
      <c r="EA54">
        <v>22.4954</v>
      </c>
      <c r="EB54">
        <v>2.82857</v>
      </c>
      <c r="EC54">
        <v>2.23292</v>
      </c>
      <c r="ED54">
        <v>23.0518</v>
      </c>
      <c r="EE54">
        <v>19.200500000000002</v>
      </c>
      <c r="EF54">
        <v>1800.19</v>
      </c>
      <c r="EG54">
        <v>0.97800600000000004</v>
      </c>
      <c r="EH54">
        <v>2.1994199999999998E-2</v>
      </c>
      <c r="EI54">
        <v>0</v>
      </c>
      <c r="EJ54">
        <v>562.31799999999998</v>
      </c>
      <c r="EK54">
        <v>5.0009399999999999</v>
      </c>
      <c r="EL54">
        <v>10990.1</v>
      </c>
      <c r="EM54">
        <v>13861.6</v>
      </c>
      <c r="EN54">
        <v>48.186999999999998</v>
      </c>
      <c r="EO54">
        <v>50.186999999999998</v>
      </c>
      <c r="EP54">
        <v>49.25</v>
      </c>
      <c r="EQ54">
        <v>49.311999999999998</v>
      </c>
      <c r="ER54">
        <v>49.625</v>
      </c>
      <c r="ES54">
        <v>1755.71</v>
      </c>
      <c r="ET54">
        <v>39.479999999999997</v>
      </c>
      <c r="EU54">
        <v>0</v>
      </c>
      <c r="EV54">
        <v>126.7999999523163</v>
      </c>
      <c r="EW54">
        <v>0</v>
      </c>
      <c r="EX54">
        <v>562.71364000000005</v>
      </c>
      <c r="EY54">
        <v>2.6307696019297951E-2</v>
      </c>
      <c r="EZ54">
        <v>28.08461540501996</v>
      </c>
      <c r="FA54">
        <v>10985.16</v>
      </c>
      <c r="FB54">
        <v>15</v>
      </c>
      <c r="FC54">
        <v>1700157013</v>
      </c>
      <c r="FD54" t="s">
        <v>585</v>
      </c>
      <c r="FE54">
        <v>1700157009</v>
      </c>
      <c r="FF54">
        <v>1700157013</v>
      </c>
      <c r="FG54">
        <v>41</v>
      </c>
      <c r="FH54">
        <v>-8.5999999999999993E-2</v>
      </c>
      <c r="FI54">
        <v>-4.0000000000000001E-3</v>
      </c>
      <c r="FJ54">
        <v>-3.665</v>
      </c>
      <c r="FK54">
        <v>1.4E-2</v>
      </c>
      <c r="FL54">
        <v>200</v>
      </c>
      <c r="FM54">
        <v>22</v>
      </c>
      <c r="FN54">
        <v>0.04</v>
      </c>
      <c r="FO54">
        <v>0.01</v>
      </c>
      <c r="FP54">
        <v>26.541289390726281</v>
      </c>
      <c r="FQ54">
        <v>0.6382552983742914</v>
      </c>
      <c r="FR54">
        <v>4.9378733437450223E-2</v>
      </c>
      <c r="FS54">
        <v>1</v>
      </c>
      <c r="FT54">
        <v>0.39469657280096548</v>
      </c>
      <c r="FU54">
        <v>4.5775161033367873E-2</v>
      </c>
      <c r="FV54">
        <v>3.7488028081201878E-3</v>
      </c>
      <c r="FW54">
        <v>1</v>
      </c>
      <c r="FX54">
        <v>2</v>
      </c>
      <c r="FY54">
        <v>2</v>
      </c>
      <c r="FZ54" t="s">
        <v>420</v>
      </c>
      <c r="GA54">
        <v>3.1185700000000001</v>
      </c>
      <c r="GB54">
        <v>2.8774099999999998</v>
      </c>
      <c r="GC54">
        <v>4.2945900000000002E-2</v>
      </c>
      <c r="GD54">
        <v>4.9584200000000002E-2</v>
      </c>
      <c r="GE54">
        <v>0.127025</v>
      </c>
      <c r="GF54">
        <v>0.108178</v>
      </c>
      <c r="GG54">
        <v>27753.7</v>
      </c>
      <c r="GH54">
        <v>28198.400000000001</v>
      </c>
      <c r="GI54">
        <v>26713.9</v>
      </c>
      <c r="GJ54">
        <v>27405.5</v>
      </c>
      <c r="GK54">
        <v>33358.400000000001</v>
      </c>
      <c r="GL54">
        <v>34155.599999999999</v>
      </c>
      <c r="GM54">
        <v>39580.800000000003</v>
      </c>
      <c r="GN54">
        <v>39692.199999999997</v>
      </c>
      <c r="GO54">
        <v>1.94885</v>
      </c>
      <c r="GP54">
        <v>2.4116200000000001</v>
      </c>
      <c r="GQ54">
        <v>3.7252900000000002E-4</v>
      </c>
      <c r="GR54">
        <v>0</v>
      </c>
      <c r="GS54">
        <v>29.977799999999998</v>
      </c>
      <c r="GT54">
        <v>999.9</v>
      </c>
      <c r="GU54">
        <v>30.2</v>
      </c>
      <c r="GV54">
        <v>48.5</v>
      </c>
      <c r="GW54">
        <v>35.047800000000002</v>
      </c>
      <c r="GX54">
        <v>63.2425</v>
      </c>
      <c r="GY54">
        <v>7.9887800000000002</v>
      </c>
      <c r="GZ54">
        <v>3</v>
      </c>
      <c r="HA54">
        <v>0.60588900000000001</v>
      </c>
      <c r="HB54">
        <v>3.3447499999999999</v>
      </c>
      <c r="HC54">
        <v>20.264600000000002</v>
      </c>
      <c r="HD54">
        <v>5.20845</v>
      </c>
      <c r="HE54">
        <v>11.908099999999999</v>
      </c>
      <c r="HF54">
        <v>4.9959499999999997</v>
      </c>
      <c r="HG54">
        <v>3.3022300000000002</v>
      </c>
      <c r="HH54">
        <v>9999</v>
      </c>
      <c r="HI54">
        <v>9999</v>
      </c>
      <c r="HJ54">
        <v>9999</v>
      </c>
      <c r="HK54">
        <v>999.9</v>
      </c>
      <c r="HL54">
        <v>1.8847700000000001</v>
      </c>
      <c r="HM54">
        <v>1.8853800000000001</v>
      </c>
      <c r="HN54">
        <v>1.88151</v>
      </c>
      <c r="HO54">
        <v>1.88317</v>
      </c>
      <c r="HP54">
        <v>1.87992</v>
      </c>
      <c r="HQ54">
        <v>1.8834500000000001</v>
      </c>
      <c r="HR54">
        <v>1.8794299999999999</v>
      </c>
      <c r="HS54">
        <v>1.88175</v>
      </c>
      <c r="HT54">
        <v>5</v>
      </c>
      <c r="HU54">
        <v>0</v>
      </c>
      <c r="HV54">
        <v>0</v>
      </c>
      <c r="HW54">
        <v>0</v>
      </c>
      <c r="HX54" t="s">
        <v>421</v>
      </c>
      <c r="HY54" t="s">
        <v>422</v>
      </c>
      <c r="HZ54" t="s">
        <v>423</v>
      </c>
      <c r="IA54" t="s">
        <v>423</v>
      </c>
      <c r="IB54" t="s">
        <v>423</v>
      </c>
      <c r="IC54" t="s">
        <v>423</v>
      </c>
      <c r="ID54">
        <v>0</v>
      </c>
      <c r="IE54">
        <v>100</v>
      </c>
      <c r="IF54">
        <v>100</v>
      </c>
      <c r="IG54">
        <v>-3.556</v>
      </c>
      <c r="IH54">
        <v>1.37E-2</v>
      </c>
      <c r="II54">
        <v>-2.9173238664742471</v>
      </c>
      <c r="IJ54">
        <v>-3.7794827560518689E-3</v>
      </c>
      <c r="IK54">
        <v>4.9551128961100493E-7</v>
      </c>
      <c r="IL54">
        <v>1.3680294268397379E-10</v>
      </c>
      <c r="IM54">
        <v>1.367999999999725E-2</v>
      </c>
      <c r="IN54">
        <v>0</v>
      </c>
      <c r="IO54">
        <v>0</v>
      </c>
      <c r="IP54">
        <v>0</v>
      </c>
      <c r="IQ54">
        <v>4</v>
      </c>
      <c r="IR54">
        <v>2229</v>
      </c>
      <c r="IS54">
        <v>1</v>
      </c>
      <c r="IT54">
        <v>22</v>
      </c>
      <c r="IU54">
        <v>0.6</v>
      </c>
      <c r="IV54">
        <v>0.6</v>
      </c>
      <c r="IW54">
        <v>0.87646500000000005</v>
      </c>
      <c r="IX54">
        <v>2.6135299999999999</v>
      </c>
      <c r="IY54">
        <v>2.9956100000000001</v>
      </c>
      <c r="IZ54">
        <v>2.96265</v>
      </c>
      <c r="JA54">
        <v>3.1970200000000002</v>
      </c>
      <c r="JB54">
        <v>2.5</v>
      </c>
      <c r="JC54">
        <v>51.198900000000002</v>
      </c>
      <c r="JD54">
        <v>23.737300000000001</v>
      </c>
      <c r="JE54">
        <v>18</v>
      </c>
      <c r="JF54">
        <v>509.363</v>
      </c>
      <c r="JG54">
        <v>1095.06</v>
      </c>
      <c r="JH54">
        <v>25.463899999999999</v>
      </c>
      <c r="JI54">
        <v>34.593800000000002</v>
      </c>
      <c r="JJ54">
        <v>30</v>
      </c>
      <c r="JK54">
        <v>34.639099999999999</v>
      </c>
      <c r="JL54">
        <v>34.574599999999997</v>
      </c>
      <c r="JM54">
        <v>17.556699999999999</v>
      </c>
      <c r="JN54">
        <v>30.852900000000002</v>
      </c>
      <c r="JO54">
        <v>0</v>
      </c>
      <c r="JP54">
        <v>25.468399999999999</v>
      </c>
      <c r="JQ54">
        <v>200</v>
      </c>
      <c r="JR54">
        <v>22.418800000000001</v>
      </c>
      <c r="JS54">
        <v>98.655199999999994</v>
      </c>
      <c r="JT54">
        <v>97.103399999999993</v>
      </c>
    </row>
    <row r="55" spans="1:280" x14ac:dyDescent="0.25">
      <c r="A55">
        <v>39</v>
      </c>
      <c r="B55">
        <v>1700157186.5</v>
      </c>
      <c r="C55">
        <v>8205</v>
      </c>
      <c r="D55" t="s">
        <v>586</v>
      </c>
      <c r="E55" t="s">
        <v>587</v>
      </c>
      <c r="F55" t="s">
        <v>412</v>
      </c>
      <c r="G55" t="s">
        <v>544</v>
      </c>
      <c r="H55" t="s">
        <v>545</v>
      </c>
      <c r="I55">
        <v>1700157186.5</v>
      </c>
      <c r="J55">
        <f t="shared" si="46"/>
        <v>6.3632130837460756E-3</v>
      </c>
      <c r="K55">
        <f t="shared" si="47"/>
        <v>6.3632130837460759</v>
      </c>
      <c r="L55">
        <f t="shared" si="48"/>
        <v>18.243006754231125</v>
      </c>
      <c r="M55">
        <f t="shared" si="49"/>
        <v>99.170299999999997</v>
      </c>
      <c r="N55">
        <f t="shared" si="50"/>
        <v>31.10349777648478</v>
      </c>
      <c r="O55">
        <f t="shared" si="51"/>
        <v>3.0903373952750153</v>
      </c>
      <c r="P55">
        <f t="shared" si="52"/>
        <v>9.8532225794342185</v>
      </c>
      <c r="Q55">
        <f t="shared" si="53"/>
        <v>0.47099781292107157</v>
      </c>
      <c r="R55">
        <f t="shared" si="54"/>
        <v>3.0130494072376841</v>
      </c>
      <c r="S55">
        <f t="shared" si="55"/>
        <v>0.43358789036632495</v>
      </c>
      <c r="T55">
        <f t="shared" si="56"/>
        <v>0.27410552739358429</v>
      </c>
      <c r="U55">
        <f t="shared" si="57"/>
        <v>344.42069876283284</v>
      </c>
      <c r="V55">
        <f t="shared" si="58"/>
        <v>30.794279669019613</v>
      </c>
      <c r="W55">
        <f t="shared" si="59"/>
        <v>29.996099999999998</v>
      </c>
      <c r="X55">
        <f t="shared" si="60"/>
        <v>4.2594954702805472</v>
      </c>
      <c r="Y55">
        <f t="shared" si="61"/>
        <v>65.351707007015463</v>
      </c>
      <c r="Z55">
        <f t="shared" si="62"/>
        <v>2.8535609327629601</v>
      </c>
      <c r="AA55">
        <f t="shared" si="63"/>
        <v>4.366467324956993</v>
      </c>
      <c r="AB55">
        <f t="shared" si="64"/>
        <v>1.4059345375175871</v>
      </c>
      <c r="AC55">
        <f t="shared" si="65"/>
        <v>-280.61769699320195</v>
      </c>
      <c r="AD55">
        <f t="shared" si="66"/>
        <v>70.255092245596799</v>
      </c>
      <c r="AE55">
        <f t="shared" si="67"/>
        <v>5.1954556627998096</v>
      </c>
      <c r="AF55">
        <f t="shared" si="68"/>
        <v>139.25354967802753</v>
      </c>
      <c r="AG55">
        <v>8</v>
      </c>
      <c r="AH55">
        <v>2</v>
      </c>
      <c r="AI55">
        <f t="shared" si="69"/>
        <v>1</v>
      </c>
      <c r="AJ55">
        <f t="shared" si="70"/>
        <v>0</v>
      </c>
      <c r="AK55">
        <f t="shared" si="71"/>
        <v>51990.653077959396</v>
      </c>
      <c r="AL55" t="s">
        <v>415</v>
      </c>
      <c r="AM55">
        <v>7133.88</v>
      </c>
      <c r="AN55">
        <v>306.28384615384618</v>
      </c>
      <c r="AO55">
        <v>859.63916333292491</v>
      </c>
      <c r="AP55">
        <f t="shared" si="72"/>
        <v>0.64370650010133712</v>
      </c>
      <c r="AQ55">
        <v>-0.73746743666429193</v>
      </c>
      <c r="AR55" t="s">
        <v>588</v>
      </c>
      <c r="AS55">
        <v>7150.39</v>
      </c>
      <c r="AT55">
        <v>581.09748000000002</v>
      </c>
      <c r="AU55">
        <v>692.08972391697864</v>
      </c>
      <c r="AV55">
        <f t="shared" si="73"/>
        <v>0.16037262233688787</v>
      </c>
      <c r="AW55">
        <v>0.5</v>
      </c>
      <c r="AX55">
        <f t="shared" si="74"/>
        <v>1513.4114993814164</v>
      </c>
      <c r="AY55">
        <f t="shared" si="75"/>
        <v>18.243006754231125</v>
      </c>
      <c r="AZ55">
        <f t="shared" si="76"/>
        <v>121.35488541529955</v>
      </c>
      <c r="BA55">
        <f t="shared" si="77"/>
        <v>1.2541515773240386E-2</v>
      </c>
      <c r="BB55">
        <f t="shared" si="78"/>
        <v>0.24209207798618476</v>
      </c>
      <c r="BC55">
        <f t="shared" si="79"/>
        <v>281.96290103473723</v>
      </c>
      <c r="BD55" t="s">
        <v>589</v>
      </c>
      <c r="BE55">
        <v>410.13</v>
      </c>
      <c r="BF55">
        <f t="shared" si="80"/>
        <v>410.13</v>
      </c>
      <c r="BG55">
        <f t="shared" si="81"/>
        <v>0.40740342497962279</v>
      </c>
      <c r="BH55">
        <f t="shared" si="82"/>
        <v>0.39364573909733158</v>
      </c>
      <c r="BI55">
        <f t="shared" si="83"/>
        <v>0.3727386515852899</v>
      </c>
      <c r="BJ55">
        <f t="shared" si="84"/>
        <v>0.28768935445074501</v>
      </c>
      <c r="BK55">
        <f t="shared" si="85"/>
        <v>0.30278816198981845</v>
      </c>
      <c r="BL55">
        <f t="shared" si="86"/>
        <v>0.27782933592482384</v>
      </c>
      <c r="BM55">
        <f t="shared" si="87"/>
        <v>0.72217066407517616</v>
      </c>
      <c r="BN55">
        <v>20756</v>
      </c>
      <c r="BO55">
        <v>290.00000000000011</v>
      </c>
      <c r="BP55">
        <v>663.04</v>
      </c>
      <c r="BQ55">
        <v>285</v>
      </c>
      <c r="BR55">
        <v>7150.39</v>
      </c>
      <c r="BS55">
        <v>664.26</v>
      </c>
      <c r="BT55">
        <v>-1.22</v>
      </c>
      <c r="BU55">
        <v>300.00000000000011</v>
      </c>
      <c r="BV55">
        <v>38.200000000000003</v>
      </c>
      <c r="BW55">
        <v>692.08972391697864</v>
      </c>
      <c r="BX55">
        <v>1.21471023057799</v>
      </c>
      <c r="BY55">
        <v>-19.898124658324189</v>
      </c>
      <c r="BZ55">
        <v>0.72793693651328395</v>
      </c>
      <c r="CA55">
        <v>0.96388028239707013</v>
      </c>
      <c r="CB55">
        <v>-7.0587681868742964E-3</v>
      </c>
      <c r="CC55">
        <v>289.99999999999989</v>
      </c>
      <c r="CD55">
        <v>667.41</v>
      </c>
      <c r="CE55">
        <v>695</v>
      </c>
      <c r="CF55">
        <v>7146.11</v>
      </c>
      <c r="CG55">
        <v>664.25</v>
      </c>
      <c r="CH55">
        <v>3.16</v>
      </c>
      <c r="CV55">
        <f t="shared" si="88"/>
        <v>1800.27</v>
      </c>
      <c r="CW55">
        <f t="shared" si="89"/>
        <v>1513.4114993814164</v>
      </c>
      <c r="CX55">
        <f t="shared" si="90"/>
        <v>0.84065806761286721</v>
      </c>
      <c r="CY55">
        <f t="shared" si="91"/>
        <v>0.1913161352257344</v>
      </c>
      <c r="CZ55">
        <v>5.52</v>
      </c>
      <c r="DA55">
        <v>0.5</v>
      </c>
      <c r="DB55" t="s">
        <v>418</v>
      </c>
      <c r="DC55">
        <v>2</v>
      </c>
      <c r="DD55">
        <v>1700157186.5</v>
      </c>
      <c r="DE55">
        <v>99.170299999999997</v>
      </c>
      <c r="DF55">
        <v>120.009</v>
      </c>
      <c r="DG55">
        <v>28.720400000000001</v>
      </c>
      <c r="DH55">
        <v>21.896599999999999</v>
      </c>
      <c r="DI55">
        <v>102.51600000000001</v>
      </c>
      <c r="DJ55">
        <v>28.706399999999999</v>
      </c>
      <c r="DK55">
        <v>499.95800000000003</v>
      </c>
      <c r="DL55">
        <v>99.256799999999998</v>
      </c>
      <c r="DM55">
        <v>9.9787399999999998E-2</v>
      </c>
      <c r="DN55">
        <v>30.428599999999999</v>
      </c>
      <c r="DO55">
        <v>29.996099999999998</v>
      </c>
      <c r="DP55">
        <v>999.9</v>
      </c>
      <c r="DQ55">
        <v>0</v>
      </c>
      <c r="DR55">
        <v>0</v>
      </c>
      <c r="DS55">
        <v>10020</v>
      </c>
      <c r="DT55">
        <v>0</v>
      </c>
      <c r="DU55">
        <v>713.90599999999995</v>
      </c>
      <c r="DV55">
        <v>-20.8383</v>
      </c>
      <c r="DW55">
        <v>102.10299999999999</v>
      </c>
      <c r="DX55">
        <v>122.69499999999999</v>
      </c>
      <c r="DY55">
        <v>6.8238000000000003</v>
      </c>
      <c r="DZ55">
        <v>120.009</v>
      </c>
      <c r="EA55">
        <v>21.896599999999999</v>
      </c>
      <c r="EB55">
        <v>2.8506999999999998</v>
      </c>
      <c r="EC55">
        <v>2.1733899999999999</v>
      </c>
      <c r="ED55">
        <v>23.180599999999998</v>
      </c>
      <c r="EE55">
        <v>18.767499999999998</v>
      </c>
      <c r="EF55">
        <v>1800.27</v>
      </c>
      <c r="EG55">
        <v>0.97800600000000004</v>
      </c>
      <c r="EH55">
        <v>2.1994199999999998E-2</v>
      </c>
      <c r="EI55">
        <v>0</v>
      </c>
      <c r="EJ55">
        <v>580.98900000000003</v>
      </c>
      <c r="EK55">
        <v>5.0009399999999999</v>
      </c>
      <c r="EL55">
        <v>11360.1</v>
      </c>
      <c r="EM55">
        <v>13862.2</v>
      </c>
      <c r="EN55">
        <v>48.186999999999998</v>
      </c>
      <c r="EO55">
        <v>50.125</v>
      </c>
      <c r="EP55">
        <v>49.25</v>
      </c>
      <c r="EQ55">
        <v>49.311999999999998</v>
      </c>
      <c r="ER55">
        <v>49.561999999999998</v>
      </c>
      <c r="ES55">
        <v>1755.78</v>
      </c>
      <c r="ET55">
        <v>39.49</v>
      </c>
      <c r="EU55">
        <v>0</v>
      </c>
      <c r="EV55">
        <v>267.20000004768372</v>
      </c>
      <c r="EW55">
        <v>0</v>
      </c>
      <c r="EX55">
        <v>581.09748000000002</v>
      </c>
      <c r="EY55">
        <v>-4.3461540998500511E-2</v>
      </c>
      <c r="EZ55">
        <v>-23.43076917454291</v>
      </c>
      <c r="FA55">
        <v>11365.263999999999</v>
      </c>
      <c r="FB55">
        <v>15</v>
      </c>
      <c r="FC55">
        <v>1700157154</v>
      </c>
      <c r="FD55" t="s">
        <v>590</v>
      </c>
      <c r="FE55">
        <v>1700157154</v>
      </c>
      <c r="FF55">
        <v>1700157153</v>
      </c>
      <c r="FG55">
        <v>42</v>
      </c>
      <c r="FH55">
        <v>-4.5999999999999999E-2</v>
      </c>
      <c r="FI55">
        <v>0</v>
      </c>
      <c r="FJ55">
        <v>-3.4220000000000002</v>
      </c>
      <c r="FK55">
        <v>4.0000000000000001E-3</v>
      </c>
      <c r="FL55">
        <v>120</v>
      </c>
      <c r="FM55">
        <v>22</v>
      </c>
      <c r="FN55">
        <v>0.08</v>
      </c>
      <c r="FO55">
        <v>0.01</v>
      </c>
      <c r="FP55">
        <v>18.149753669075292</v>
      </c>
      <c r="FQ55">
        <v>0.41334026391869783</v>
      </c>
      <c r="FR55">
        <v>3.3711673343315721E-2</v>
      </c>
      <c r="FS55">
        <v>1</v>
      </c>
      <c r="FT55">
        <v>0.47574247527515579</v>
      </c>
      <c r="FU55">
        <v>3.5761823027838521E-2</v>
      </c>
      <c r="FV55">
        <v>4.7350713975198456E-3</v>
      </c>
      <c r="FW55">
        <v>1</v>
      </c>
      <c r="FX55">
        <v>2</v>
      </c>
      <c r="FY55">
        <v>2</v>
      </c>
      <c r="FZ55" t="s">
        <v>420</v>
      </c>
      <c r="GA55">
        <v>3.1187399999999998</v>
      </c>
      <c r="GB55">
        <v>2.87758</v>
      </c>
      <c r="GC55">
        <v>2.6395600000000002E-2</v>
      </c>
      <c r="GD55">
        <v>3.1139199999999999E-2</v>
      </c>
      <c r="GE55">
        <v>0.12773100000000001</v>
      </c>
      <c r="GF55">
        <v>0.106104</v>
      </c>
      <c r="GG55">
        <v>28233.599999999999</v>
      </c>
      <c r="GH55">
        <v>28747.599999999999</v>
      </c>
      <c r="GI55">
        <v>26714.3</v>
      </c>
      <c r="GJ55">
        <v>27407.9</v>
      </c>
      <c r="GK55">
        <v>33330.400000000001</v>
      </c>
      <c r="GL55">
        <v>34236.699999999997</v>
      </c>
      <c r="GM55">
        <v>39581.300000000003</v>
      </c>
      <c r="GN55">
        <v>39695.9</v>
      </c>
      <c r="GO55">
        <v>1.95065</v>
      </c>
      <c r="GP55">
        <v>2.4120499999999998</v>
      </c>
      <c r="GQ55">
        <v>-1.6763800000000001E-3</v>
      </c>
      <c r="GR55">
        <v>0</v>
      </c>
      <c r="GS55">
        <v>30.023399999999999</v>
      </c>
      <c r="GT55">
        <v>999.9</v>
      </c>
      <c r="GU55">
        <v>30.2</v>
      </c>
      <c r="GV55">
        <v>48.4</v>
      </c>
      <c r="GW55">
        <v>34.874499999999998</v>
      </c>
      <c r="GX55">
        <v>63.102499999999999</v>
      </c>
      <c r="GY55">
        <v>7.8685900000000002</v>
      </c>
      <c r="GZ55">
        <v>3</v>
      </c>
      <c r="HA55">
        <v>0.60535600000000001</v>
      </c>
      <c r="HB55">
        <v>3.6141200000000002</v>
      </c>
      <c r="HC55">
        <v>20.258600000000001</v>
      </c>
      <c r="HD55">
        <v>5.2150400000000001</v>
      </c>
      <c r="HE55">
        <v>11.908300000000001</v>
      </c>
      <c r="HF55">
        <v>4.9971500000000004</v>
      </c>
      <c r="HG55">
        <v>3.3029999999999999</v>
      </c>
      <c r="HH55">
        <v>9999</v>
      </c>
      <c r="HI55">
        <v>9999</v>
      </c>
      <c r="HJ55">
        <v>9999</v>
      </c>
      <c r="HK55">
        <v>999.9</v>
      </c>
      <c r="HL55">
        <v>1.8847700000000001</v>
      </c>
      <c r="HM55">
        <v>1.8853800000000001</v>
      </c>
      <c r="HN55">
        <v>1.8814900000000001</v>
      </c>
      <c r="HO55">
        <v>1.8831500000000001</v>
      </c>
      <c r="HP55">
        <v>1.8799399999999999</v>
      </c>
      <c r="HQ55">
        <v>1.88344</v>
      </c>
      <c r="HR55">
        <v>1.8794299999999999</v>
      </c>
      <c r="HS55">
        <v>1.8817600000000001</v>
      </c>
      <c r="HT55">
        <v>5</v>
      </c>
      <c r="HU55">
        <v>0</v>
      </c>
      <c r="HV55">
        <v>0</v>
      </c>
      <c r="HW55">
        <v>0</v>
      </c>
      <c r="HX55" t="s">
        <v>421</v>
      </c>
      <c r="HY55" t="s">
        <v>422</v>
      </c>
      <c r="HZ55" t="s">
        <v>423</v>
      </c>
      <c r="IA55" t="s">
        <v>423</v>
      </c>
      <c r="IB55" t="s">
        <v>423</v>
      </c>
      <c r="IC55" t="s">
        <v>423</v>
      </c>
      <c r="ID55">
        <v>0</v>
      </c>
      <c r="IE55">
        <v>100</v>
      </c>
      <c r="IF55">
        <v>100</v>
      </c>
      <c r="IG55">
        <v>-3.3460000000000001</v>
      </c>
      <c r="IH55">
        <v>1.4E-2</v>
      </c>
      <c r="II55">
        <v>-2.9634999999999998</v>
      </c>
      <c r="IJ55">
        <v>-3.77948E-3</v>
      </c>
      <c r="IK55">
        <v>4.9551100000000005E-7</v>
      </c>
      <c r="IL55">
        <v>1.3680300000000001E-10</v>
      </c>
      <c r="IM55">
        <v>1.4044613472350779E-2</v>
      </c>
      <c r="IN55">
        <v>0</v>
      </c>
      <c r="IO55">
        <v>0</v>
      </c>
      <c r="IP55">
        <v>0</v>
      </c>
      <c r="IQ55">
        <v>4</v>
      </c>
      <c r="IR55">
        <v>2229</v>
      </c>
      <c r="IS55">
        <v>1</v>
      </c>
      <c r="IT55">
        <v>22</v>
      </c>
      <c r="IU55">
        <v>0.5</v>
      </c>
      <c r="IV55">
        <v>0.6</v>
      </c>
      <c r="IW55">
        <v>0.59326199999999996</v>
      </c>
      <c r="IX55">
        <v>2.6135299999999999</v>
      </c>
      <c r="IY55">
        <v>2.9956100000000001</v>
      </c>
      <c r="IZ55">
        <v>2.96265</v>
      </c>
      <c r="JA55">
        <v>3.1970200000000002</v>
      </c>
      <c r="JB55">
        <v>2.49512</v>
      </c>
      <c r="JC55">
        <v>50.967799999999997</v>
      </c>
      <c r="JD55">
        <v>23.737300000000001</v>
      </c>
      <c r="JE55">
        <v>18</v>
      </c>
      <c r="JF55">
        <v>510.25900000000001</v>
      </c>
      <c r="JG55">
        <v>1094.96</v>
      </c>
      <c r="JH55">
        <v>25.799900000000001</v>
      </c>
      <c r="JI55">
        <v>34.568399999999997</v>
      </c>
      <c r="JJ55">
        <v>30.000399999999999</v>
      </c>
      <c r="JK55">
        <v>34.6066</v>
      </c>
      <c r="JL55">
        <v>34.537199999999999</v>
      </c>
      <c r="JM55">
        <v>11.896000000000001</v>
      </c>
      <c r="JN55">
        <v>32.523800000000001</v>
      </c>
      <c r="JO55">
        <v>0</v>
      </c>
      <c r="JP55">
        <v>25.818200000000001</v>
      </c>
      <c r="JQ55">
        <v>120</v>
      </c>
      <c r="JR55">
        <v>21.787700000000001</v>
      </c>
      <c r="JS55">
        <v>98.656499999999994</v>
      </c>
      <c r="JT55">
        <v>97.112200000000001</v>
      </c>
    </row>
    <row r="56" spans="1:280" x14ac:dyDescent="0.25">
      <c r="A56">
        <v>40</v>
      </c>
      <c r="B56">
        <v>1700157317</v>
      </c>
      <c r="C56">
        <v>8335.5</v>
      </c>
      <c r="D56" t="s">
        <v>591</v>
      </c>
      <c r="E56" t="s">
        <v>592</v>
      </c>
      <c r="F56" t="s">
        <v>412</v>
      </c>
      <c r="G56" t="s">
        <v>544</v>
      </c>
      <c r="H56" t="s">
        <v>545</v>
      </c>
      <c r="I56">
        <v>1700157317</v>
      </c>
      <c r="J56">
        <f t="shared" si="46"/>
        <v>6.7863246409136466E-3</v>
      </c>
      <c r="K56">
        <f t="shared" si="47"/>
        <v>6.7863246409136471</v>
      </c>
      <c r="L56">
        <f t="shared" si="48"/>
        <v>11.382204709849375</v>
      </c>
      <c r="M56">
        <f t="shared" si="49"/>
        <v>57.001199999999997</v>
      </c>
      <c r="N56">
        <f t="shared" si="50"/>
        <v>17.498912055357728</v>
      </c>
      <c r="O56">
        <f t="shared" si="51"/>
        <v>1.7384983691026852</v>
      </c>
      <c r="P56">
        <f t="shared" si="52"/>
        <v>5.6630088158283609</v>
      </c>
      <c r="Q56">
        <f t="shared" si="53"/>
        <v>0.50890766084041206</v>
      </c>
      <c r="R56">
        <f t="shared" si="54"/>
        <v>3.0123394434278463</v>
      </c>
      <c r="S56">
        <f t="shared" si="55"/>
        <v>0.46552083256819798</v>
      </c>
      <c r="T56">
        <f t="shared" si="56"/>
        <v>0.29453979220774457</v>
      </c>
      <c r="U56">
        <f t="shared" si="57"/>
        <v>344.37699876267482</v>
      </c>
      <c r="V56">
        <f t="shared" si="58"/>
        <v>30.776826895491325</v>
      </c>
      <c r="W56">
        <f t="shared" si="59"/>
        <v>30.0212</v>
      </c>
      <c r="X56">
        <f t="shared" si="60"/>
        <v>4.2656405210394874</v>
      </c>
      <c r="Y56">
        <f t="shared" si="61"/>
        <v>65.376694028319676</v>
      </c>
      <c r="Z56">
        <f t="shared" si="62"/>
        <v>2.86934641927445</v>
      </c>
      <c r="AA56">
        <f t="shared" si="63"/>
        <v>4.3889438918883164</v>
      </c>
      <c r="AB56">
        <f t="shared" si="64"/>
        <v>1.3962941017650374</v>
      </c>
      <c r="AC56">
        <f t="shared" si="65"/>
        <v>-299.27691666429183</v>
      </c>
      <c r="AD56">
        <f t="shared" si="66"/>
        <v>80.729658429226134</v>
      </c>
      <c r="AE56">
        <f t="shared" si="67"/>
        <v>5.9748634699918899</v>
      </c>
      <c r="AF56">
        <f t="shared" si="68"/>
        <v>131.80460399760099</v>
      </c>
      <c r="AG56">
        <v>8</v>
      </c>
      <c r="AH56">
        <v>2</v>
      </c>
      <c r="AI56">
        <f t="shared" si="69"/>
        <v>1</v>
      </c>
      <c r="AJ56">
        <f t="shared" si="70"/>
        <v>0</v>
      </c>
      <c r="AK56">
        <f t="shared" si="71"/>
        <v>51955.945997195835</v>
      </c>
      <c r="AL56" t="s">
        <v>431</v>
      </c>
      <c r="AM56" t="s">
        <v>431</v>
      </c>
      <c r="AN56">
        <v>0</v>
      </c>
      <c r="AO56">
        <v>0</v>
      </c>
      <c r="AP56" t="e">
        <f t="shared" si="72"/>
        <v>#DIV/0!</v>
      </c>
      <c r="AQ56">
        <v>0</v>
      </c>
      <c r="AR56" t="s">
        <v>431</v>
      </c>
      <c r="AS56" t="s">
        <v>431</v>
      </c>
      <c r="AT56">
        <v>0</v>
      </c>
      <c r="AU56">
        <v>0</v>
      </c>
      <c r="AV56" t="e">
        <f t="shared" si="73"/>
        <v>#DIV/0!</v>
      </c>
      <c r="AW56">
        <v>0.5</v>
      </c>
      <c r="AX56">
        <f t="shared" si="74"/>
        <v>1513.2182993813374</v>
      </c>
      <c r="AY56">
        <f t="shared" si="75"/>
        <v>11.382204709849375</v>
      </c>
      <c r="AZ56" t="e">
        <f t="shared" si="76"/>
        <v>#DIV/0!</v>
      </c>
      <c r="BA56">
        <f t="shared" si="77"/>
        <v>7.5218524085407003E-3</v>
      </c>
      <c r="BB56" t="e">
        <f t="shared" si="78"/>
        <v>#DIV/0!</v>
      </c>
      <c r="BC56" t="e">
        <f t="shared" si="79"/>
        <v>#DIV/0!</v>
      </c>
      <c r="BD56" t="s">
        <v>431</v>
      </c>
      <c r="BE56">
        <v>0</v>
      </c>
      <c r="BF56" t="e">
        <f t="shared" si="80"/>
        <v>#DIV/0!</v>
      </c>
      <c r="BG56" t="e">
        <f t="shared" si="81"/>
        <v>#DIV/0!</v>
      </c>
      <c r="BH56" t="e">
        <f t="shared" si="82"/>
        <v>#DIV/0!</v>
      </c>
      <c r="BI56" t="e">
        <f t="shared" si="83"/>
        <v>#DIV/0!</v>
      </c>
      <c r="BJ56" t="e">
        <f t="shared" si="84"/>
        <v>#DIV/0!</v>
      </c>
      <c r="BK56" t="e">
        <f t="shared" si="85"/>
        <v>#DIV/0!</v>
      </c>
      <c r="BL56" t="e">
        <f t="shared" si="86"/>
        <v>#DIV/0!</v>
      </c>
      <c r="BM56" t="e">
        <f t="shared" si="87"/>
        <v>#DIV/0!</v>
      </c>
      <c r="BN56">
        <v>20756</v>
      </c>
      <c r="BO56">
        <v>290.00000000000011</v>
      </c>
      <c r="BP56">
        <v>663.04</v>
      </c>
      <c r="BQ56">
        <v>285</v>
      </c>
      <c r="BR56">
        <v>7150.39</v>
      </c>
      <c r="BS56">
        <v>664.26</v>
      </c>
      <c r="BT56">
        <v>-1.22</v>
      </c>
      <c r="BU56">
        <v>300.00000000000011</v>
      </c>
      <c r="BV56">
        <v>38.200000000000003</v>
      </c>
      <c r="BW56">
        <v>692.08972391697864</v>
      </c>
      <c r="BX56">
        <v>1.21471023057799</v>
      </c>
      <c r="BY56">
        <v>-19.898124658324189</v>
      </c>
      <c r="BZ56">
        <v>0.72793693651328395</v>
      </c>
      <c r="CA56">
        <v>0.96388028239707013</v>
      </c>
      <c r="CB56">
        <v>-7.0587681868742964E-3</v>
      </c>
      <c r="CC56">
        <v>289.99999999999989</v>
      </c>
      <c r="CD56">
        <v>667.41</v>
      </c>
      <c r="CE56">
        <v>695</v>
      </c>
      <c r="CF56">
        <v>7146.11</v>
      </c>
      <c r="CG56">
        <v>664.25</v>
      </c>
      <c r="CH56">
        <v>3.16</v>
      </c>
      <c r="CV56">
        <f t="shared" si="88"/>
        <v>1800.04</v>
      </c>
      <c r="CW56">
        <f t="shared" si="89"/>
        <v>1513.2182993813374</v>
      </c>
      <c r="CX56">
        <f t="shared" si="90"/>
        <v>0.8406581516973719</v>
      </c>
      <c r="CY56">
        <f t="shared" si="91"/>
        <v>0.1913163033947439</v>
      </c>
      <c r="CZ56">
        <v>5.52</v>
      </c>
      <c r="DA56">
        <v>0.5</v>
      </c>
      <c r="DB56" t="s">
        <v>418</v>
      </c>
      <c r="DC56">
        <v>2</v>
      </c>
      <c r="DD56">
        <v>1700157317</v>
      </c>
      <c r="DE56">
        <v>57.001199999999997</v>
      </c>
      <c r="DF56">
        <v>69.996499999999997</v>
      </c>
      <c r="DG56">
        <v>28.881499999999999</v>
      </c>
      <c r="DH56">
        <v>21.604500000000002</v>
      </c>
      <c r="DI56">
        <v>60.267099999999999</v>
      </c>
      <c r="DJ56">
        <v>28.8643</v>
      </c>
      <c r="DK56">
        <v>499.91199999999998</v>
      </c>
      <c r="DL56">
        <v>99.249300000000005</v>
      </c>
      <c r="DM56">
        <v>9.9640300000000001E-2</v>
      </c>
      <c r="DN56">
        <v>30.5183</v>
      </c>
      <c r="DO56">
        <v>30.0212</v>
      </c>
      <c r="DP56">
        <v>999.9</v>
      </c>
      <c r="DQ56">
        <v>0</v>
      </c>
      <c r="DR56">
        <v>0</v>
      </c>
      <c r="DS56">
        <v>10016.9</v>
      </c>
      <c r="DT56">
        <v>0</v>
      </c>
      <c r="DU56">
        <v>543.36099999999999</v>
      </c>
      <c r="DV56">
        <v>-12.9953</v>
      </c>
      <c r="DW56">
        <v>58.696399999999997</v>
      </c>
      <c r="DX56">
        <v>71.542100000000005</v>
      </c>
      <c r="DY56">
        <v>7.2769899999999996</v>
      </c>
      <c r="DZ56">
        <v>69.996499999999997</v>
      </c>
      <c r="EA56">
        <v>21.604500000000002</v>
      </c>
      <c r="EB56">
        <v>2.8664700000000001</v>
      </c>
      <c r="EC56">
        <v>2.1442399999999999</v>
      </c>
      <c r="ED56">
        <v>23.271999999999998</v>
      </c>
      <c r="EE56">
        <v>18.5517</v>
      </c>
      <c r="EF56">
        <v>1800.04</v>
      </c>
      <c r="EG56">
        <v>0.97800200000000004</v>
      </c>
      <c r="EH56">
        <v>2.1998E-2</v>
      </c>
      <c r="EI56">
        <v>0</v>
      </c>
      <c r="EJ56">
        <v>595.34</v>
      </c>
      <c r="EK56">
        <v>5.0009399999999999</v>
      </c>
      <c r="EL56">
        <v>11461.2</v>
      </c>
      <c r="EM56">
        <v>13860.5</v>
      </c>
      <c r="EN56">
        <v>48.125</v>
      </c>
      <c r="EO56">
        <v>50</v>
      </c>
      <c r="EP56">
        <v>49.186999999999998</v>
      </c>
      <c r="EQ56">
        <v>49.25</v>
      </c>
      <c r="ER56">
        <v>49.561999999999998</v>
      </c>
      <c r="ES56">
        <v>1755.55</v>
      </c>
      <c r="ET56">
        <v>39.49</v>
      </c>
      <c r="EU56">
        <v>0</v>
      </c>
      <c r="EV56">
        <v>128.4000000953674</v>
      </c>
      <c r="EW56">
        <v>0</v>
      </c>
      <c r="EX56">
        <v>595.36851999999999</v>
      </c>
      <c r="EY56">
        <v>-0.56807691817275108</v>
      </c>
      <c r="EZ56">
        <v>-533.69230705624591</v>
      </c>
      <c r="FA56">
        <v>11585.888000000001</v>
      </c>
      <c r="FB56">
        <v>15</v>
      </c>
      <c r="FC56">
        <v>1700157283</v>
      </c>
      <c r="FD56" t="s">
        <v>593</v>
      </c>
      <c r="FE56">
        <v>1700157278</v>
      </c>
      <c r="FF56">
        <v>1700157283</v>
      </c>
      <c r="FG56">
        <v>43</v>
      </c>
      <c r="FH56">
        <v>-7.5999999999999998E-2</v>
      </c>
      <c r="FI56">
        <v>3.0000000000000001E-3</v>
      </c>
      <c r="FJ56">
        <v>-3.3140000000000001</v>
      </c>
      <c r="FK56">
        <v>0</v>
      </c>
      <c r="FL56">
        <v>70</v>
      </c>
      <c r="FM56">
        <v>21</v>
      </c>
      <c r="FN56">
        <v>0.08</v>
      </c>
      <c r="FO56">
        <v>0.01</v>
      </c>
      <c r="FP56">
        <v>11.39067983350858</v>
      </c>
      <c r="FQ56">
        <v>-0.32872511259582321</v>
      </c>
      <c r="FR56">
        <v>2.5706720434579101E-2</v>
      </c>
      <c r="FS56">
        <v>1</v>
      </c>
      <c r="FT56">
        <v>0.5090420720478348</v>
      </c>
      <c r="FU56">
        <v>4.3948729003091803E-2</v>
      </c>
      <c r="FV56">
        <v>4.4206526603073771E-3</v>
      </c>
      <c r="FW56">
        <v>1</v>
      </c>
      <c r="FX56">
        <v>2</v>
      </c>
      <c r="FY56">
        <v>2</v>
      </c>
      <c r="FZ56" t="s">
        <v>420</v>
      </c>
      <c r="GA56">
        <v>3.1186199999999999</v>
      </c>
      <c r="GB56">
        <v>2.8774099999999998</v>
      </c>
      <c r="GC56">
        <v>1.5785E-2</v>
      </c>
      <c r="GD56">
        <v>1.85898E-2</v>
      </c>
      <c r="GE56">
        <v>0.12822500000000001</v>
      </c>
      <c r="GF56">
        <v>0.10508199999999999</v>
      </c>
      <c r="GG56">
        <v>28542.7</v>
      </c>
      <c r="GH56">
        <v>29122.5</v>
      </c>
      <c r="GI56">
        <v>26715.9</v>
      </c>
      <c r="GJ56">
        <v>27410.6</v>
      </c>
      <c r="GK56">
        <v>33312.6</v>
      </c>
      <c r="GL56">
        <v>34277.199999999997</v>
      </c>
      <c r="GM56">
        <v>39583.800000000003</v>
      </c>
      <c r="GN56">
        <v>39698.699999999997</v>
      </c>
      <c r="GO56">
        <v>1.9515199999999999</v>
      </c>
      <c r="GP56">
        <v>2.41195</v>
      </c>
      <c r="GQ56">
        <v>-2.6263300000000001E-3</v>
      </c>
      <c r="GR56">
        <v>0</v>
      </c>
      <c r="GS56">
        <v>30.064</v>
      </c>
      <c r="GT56">
        <v>999.9</v>
      </c>
      <c r="GU56">
        <v>30.4</v>
      </c>
      <c r="GV56">
        <v>48.2</v>
      </c>
      <c r="GW56">
        <v>34.755800000000001</v>
      </c>
      <c r="GX56">
        <v>62.9925</v>
      </c>
      <c r="GY56">
        <v>7.8926299999999996</v>
      </c>
      <c r="GZ56">
        <v>3</v>
      </c>
      <c r="HA56">
        <v>0.59982999999999997</v>
      </c>
      <c r="HB56">
        <v>3.3025199999999999</v>
      </c>
      <c r="HC56">
        <v>20.2652</v>
      </c>
      <c r="HD56">
        <v>5.2107000000000001</v>
      </c>
      <c r="HE56">
        <v>11.9084</v>
      </c>
      <c r="HF56">
        <v>4.9963499999999996</v>
      </c>
      <c r="HG56">
        <v>3.3027799999999998</v>
      </c>
      <c r="HH56">
        <v>9999</v>
      </c>
      <c r="HI56">
        <v>9999</v>
      </c>
      <c r="HJ56">
        <v>9999</v>
      </c>
      <c r="HK56">
        <v>999.9</v>
      </c>
      <c r="HL56">
        <v>1.88476</v>
      </c>
      <c r="HM56">
        <v>1.8853800000000001</v>
      </c>
      <c r="HN56">
        <v>1.8814500000000001</v>
      </c>
      <c r="HO56">
        <v>1.8831</v>
      </c>
      <c r="HP56">
        <v>1.8799399999999999</v>
      </c>
      <c r="HQ56">
        <v>1.8834</v>
      </c>
      <c r="HR56">
        <v>1.8794299999999999</v>
      </c>
      <c r="HS56">
        <v>1.8817200000000001</v>
      </c>
      <c r="HT56">
        <v>5</v>
      </c>
      <c r="HU56">
        <v>0</v>
      </c>
      <c r="HV56">
        <v>0</v>
      </c>
      <c r="HW56">
        <v>0</v>
      </c>
      <c r="HX56" t="s">
        <v>421</v>
      </c>
      <c r="HY56" t="s">
        <v>422</v>
      </c>
      <c r="HZ56" t="s">
        <v>423</v>
      </c>
      <c r="IA56" t="s">
        <v>423</v>
      </c>
      <c r="IB56" t="s">
        <v>423</v>
      </c>
      <c r="IC56" t="s">
        <v>423</v>
      </c>
      <c r="ID56">
        <v>0</v>
      </c>
      <c r="IE56">
        <v>100</v>
      </c>
      <c r="IF56">
        <v>100</v>
      </c>
      <c r="IG56">
        <v>-3.266</v>
      </c>
      <c r="IH56">
        <v>1.72E-2</v>
      </c>
      <c r="II56">
        <v>-3.0399382078298651</v>
      </c>
      <c r="IJ56">
        <v>-3.7794827560518689E-3</v>
      </c>
      <c r="IK56">
        <v>4.9551128961100493E-7</v>
      </c>
      <c r="IL56">
        <v>1.3680294268397379E-10</v>
      </c>
      <c r="IM56">
        <v>1.7236397225074449E-2</v>
      </c>
      <c r="IN56">
        <v>0</v>
      </c>
      <c r="IO56">
        <v>0</v>
      </c>
      <c r="IP56">
        <v>0</v>
      </c>
      <c r="IQ56">
        <v>4</v>
      </c>
      <c r="IR56">
        <v>2229</v>
      </c>
      <c r="IS56">
        <v>1</v>
      </c>
      <c r="IT56">
        <v>22</v>
      </c>
      <c r="IU56">
        <v>0.7</v>
      </c>
      <c r="IV56">
        <v>0.6</v>
      </c>
      <c r="IW56">
        <v>0.41381800000000002</v>
      </c>
      <c r="IX56">
        <v>2.63794</v>
      </c>
      <c r="IY56">
        <v>2.9956100000000001</v>
      </c>
      <c r="IZ56">
        <v>2.96143</v>
      </c>
      <c r="JA56">
        <v>3.1970200000000002</v>
      </c>
      <c r="JB56">
        <v>2.48047</v>
      </c>
      <c r="JC56">
        <v>50.738199999999999</v>
      </c>
      <c r="JD56">
        <v>23.7285</v>
      </c>
      <c r="JE56">
        <v>18</v>
      </c>
      <c r="JF56">
        <v>510.55099999999999</v>
      </c>
      <c r="JG56">
        <v>1094.23</v>
      </c>
      <c r="JH56">
        <v>25.9209</v>
      </c>
      <c r="JI56">
        <v>34.534100000000002</v>
      </c>
      <c r="JJ56">
        <v>30.000299999999999</v>
      </c>
      <c r="JK56">
        <v>34.572200000000002</v>
      </c>
      <c r="JL56">
        <v>34.503</v>
      </c>
      <c r="JM56">
        <v>8.2868200000000005</v>
      </c>
      <c r="JN56">
        <v>33.403799999999997</v>
      </c>
      <c r="JO56">
        <v>0</v>
      </c>
      <c r="JP56">
        <v>25.909099999999999</v>
      </c>
      <c r="JQ56">
        <v>70</v>
      </c>
      <c r="JR56">
        <v>21.534099999999999</v>
      </c>
      <c r="JS56">
        <v>98.662700000000001</v>
      </c>
      <c r="JT56">
        <v>97.120199999999997</v>
      </c>
    </row>
    <row r="57" spans="1:280" x14ac:dyDescent="0.25">
      <c r="A57">
        <v>41</v>
      </c>
      <c r="B57">
        <v>1700157435</v>
      </c>
      <c r="C57">
        <v>8453.5</v>
      </c>
      <c r="D57" t="s">
        <v>594</v>
      </c>
      <c r="E57" t="s">
        <v>595</v>
      </c>
      <c r="F57" t="s">
        <v>412</v>
      </c>
      <c r="G57" t="s">
        <v>544</v>
      </c>
      <c r="H57" t="s">
        <v>545</v>
      </c>
      <c r="I57">
        <v>1700157435</v>
      </c>
      <c r="J57">
        <f t="shared" si="46"/>
        <v>6.8889508715550152E-3</v>
      </c>
      <c r="K57">
        <f t="shared" si="47"/>
        <v>6.8889508715550152</v>
      </c>
      <c r="L57">
        <f t="shared" si="48"/>
        <v>5.1767085697482553</v>
      </c>
      <c r="M57">
        <f t="shared" si="49"/>
        <v>24.0824</v>
      </c>
      <c r="N57">
        <f t="shared" si="50"/>
        <v>6.4839252261797107</v>
      </c>
      <c r="O57">
        <f t="shared" si="51"/>
        <v>0.64409548272422679</v>
      </c>
      <c r="P57">
        <f t="shared" si="52"/>
        <v>2.3922800637071999</v>
      </c>
      <c r="Q57">
        <f t="shared" si="53"/>
        <v>0.51943871339714287</v>
      </c>
      <c r="R57">
        <f t="shared" si="54"/>
        <v>3.0071586902033953</v>
      </c>
      <c r="S57">
        <f t="shared" si="55"/>
        <v>0.47425234278573708</v>
      </c>
      <c r="T57">
        <f t="shared" si="56"/>
        <v>0.3001392787748503</v>
      </c>
      <c r="U57">
        <f t="shared" si="57"/>
        <v>344.32949876250291</v>
      </c>
      <c r="V57">
        <f t="shared" si="58"/>
        <v>30.737785942844976</v>
      </c>
      <c r="W57">
        <f t="shared" si="59"/>
        <v>30.013000000000002</v>
      </c>
      <c r="X57">
        <f t="shared" si="60"/>
        <v>4.2636321254055831</v>
      </c>
      <c r="Y57">
        <f t="shared" si="61"/>
        <v>65.497917944950686</v>
      </c>
      <c r="Z57">
        <f t="shared" si="62"/>
        <v>2.8724963330147997</v>
      </c>
      <c r="AA57">
        <f t="shared" si="63"/>
        <v>4.3856299912144667</v>
      </c>
      <c r="AB57">
        <f t="shared" si="64"/>
        <v>1.3911357923907834</v>
      </c>
      <c r="AC57">
        <f t="shared" si="65"/>
        <v>-303.80273343557616</v>
      </c>
      <c r="AD57">
        <f t="shared" si="66"/>
        <v>79.780206332602916</v>
      </c>
      <c r="AE57">
        <f t="shared" si="67"/>
        <v>5.9141401578959494</v>
      </c>
      <c r="AF57">
        <f t="shared" si="68"/>
        <v>126.22111181742559</v>
      </c>
      <c r="AG57">
        <v>7</v>
      </c>
      <c r="AH57">
        <v>1</v>
      </c>
      <c r="AI57">
        <f t="shared" si="69"/>
        <v>1</v>
      </c>
      <c r="AJ57">
        <f t="shared" si="70"/>
        <v>0</v>
      </c>
      <c r="AK57">
        <f t="shared" si="71"/>
        <v>51818.062944963254</v>
      </c>
      <c r="AL57" t="s">
        <v>415</v>
      </c>
      <c r="AM57">
        <v>7133.88</v>
      </c>
      <c r="AN57">
        <v>306.28384615384618</v>
      </c>
      <c r="AO57">
        <v>859.63916333292491</v>
      </c>
      <c r="AP57">
        <f t="shared" si="72"/>
        <v>0.64370650010133712</v>
      </c>
      <c r="AQ57">
        <v>-0.73746743666429193</v>
      </c>
      <c r="AR57" t="s">
        <v>596</v>
      </c>
      <c r="AS57">
        <v>7151.08</v>
      </c>
      <c r="AT57">
        <v>609.67357692307701</v>
      </c>
      <c r="AU57">
        <v>665.76158642344649</v>
      </c>
      <c r="AV57">
        <f t="shared" si="73"/>
        <v>8.424638886373903E-2</v>
      </c>
      <c r="AW57">
        <v>0.5</v>
      </c>
      <c r="AX57">
        <f t="shared" si="74"/>
        <v>1513.0082993812512</v>
      </c>
      <c r="AY57">
        <f t="shared" si="75"/>
        <v>5.1767085697482553</v>
      </c>
      <c r="AZ57">
        <f t="shared" si="76"/>
        <v>63.732742771868686</v>
      </c>
      <c r="BA57">
        <f t="shared" si="77"/>
        <v>3.9088853701801669E-3</v>
      </c>
      <c r="BB57">
        <f t="shared" si="78"/>
        <v>0.29121172032620973</v>
      </c>
      <c r="BC57">
        <f t="shared" si="79"/>
        <v>277.49213794992784</v>
      </c>
      <c r="BD57" t="s">
        <v>597</v>
      </c>
      <c r="BE57">
        <v>437.02</v>
      </c>
      <c r="BF57">
        <f t="shared" si="80"/>
        <v>437.02</v>
      </c>
      <c r="BG57">
        <f t="shared" si="81"/>
        <v>0.34357882925068506</v>
      </c>
      <c r="BH57">
        <f t="shared" si="82"/>
        <v>0.24520250286512982</v>
      </c>
      <c r="BI57">
        <f t="shared" si="83"/>
        <v>0.45875245074191845</v>
      </c>
      <c r="BJ57">
        <f t="shared" si="84"/>
        <v>0.15602637720573387</v>
      </c>
      <c r="BK57">
        <f t="shared" si="85"/>
        <v>0.35036724305431244</v>
      </c>
      <c r="BL57">
        <f t="shared" si="86"/>
        <v>0.17576355915394917</v>
      </c>
      <c r="BM57">
        <f t="shared" si="87"/>
        <v>0.82423644084605086</v>
      </c>
      <c r="BN57">
        <v>20758</v>
      </c>
      <c r="BO57">
        <v>290.00000000000011</v>
      </c>
      <c r="BP57">
        <v>650.19000000000005</v>
      </c>
      <c r="BQ57">
        <v>275</v>
      </c>
      <c r="BR57">
        <v>7151.08</v>
      </c>
      <c r="BS57">
        <v>650.84</v>
      </c>
      <c r="BT57">
        <v>-0.65</v>
      </c>
      <c r="BU57">
        <v>300.00000000000011</v>
      </c>
      <c r="BV57">
        <v>38.200000000000003</v>
      </c>
      <c r="BW57">
        <v>665.76158642344649</v>
      </c>
      <c r="BX57">
        <v>0.90818429372798393</v>
      </c>
      <c r="BY57">
        <v>-10.67374574996632</v>
      </c>
      <c r="BZ57">
        <v>0.54427309274406077</v>
      </c>
      <c r="CA57">
        <v>0.93213630872690545</v>
      </c>
      <c r="CB57">
        <v>-7.0590242491657537E-3</v>
      </c>
      <c r="CC57">
        <v>289.99999999999989</v>
      </c>
      <c r="CD57">
        <v>651.33000000000004</v>
      </c>
      <c r="CE57">
        <v>675</v>
      </c>
      <c r="CF57">
        <v>7146.88</v>
      </c>
      <c r="CG57">
        <v>650.83000000000004</v>
      </c>
      <c r="CH57">
        <v>0.5</v>
      </c>
      <c r="CV57">
        <f t="shared" si="88"/>
        <v>1799.79</v>
      </c>
      <c r="CW57">
        <f t="shared" si="89"/>
        <v>1513.0082993812512</v>
      </c>
      <c r="CX57">
        <f t="shared" si="90"/>
        <v>0.84065824311794779</v>
      </c>
      <c r="CY57">
        <f t="shared" si="91"/>
        <v>0.19131648623589581</v>
      </c>
      <c r="CZ57">
        <v>5.52</v>
      </c>
      <c r="DA57">
        <v>0.5</v>
      </c>
      <c r="DB57" t="s">
        <v>418</v>
      </c>
      <c r="DC57">
        <v>2</v>
      </c>
      <c r="DD57">
        <v>1700157435</v>
      </c>
      <c r="DE57">
        <v>24.0824</v>
      </c>
      <c r="DF57">
        <v>29.9801</v>
      </c>
      <c r="DG57">
        <v>28.916599999999999</v>
      </c>
      <c r="DH57">
        <v>21.5318</v>
      </c>
      <c r="DI57">
        <v>27.221800000000002</v>
      </c>
      <c r="DJ57">
        <v>28.895099999999999</v>
      </c>
      <c r="DK57">
        <v>500.04599999999999</v>
      </c>
      <c r="DL57">
        <v>99.237200000000001</v>
      </c>
      <c r="DM57">
        <v>0.100078</v>
      </c>
      <c r="DN57">
        <v>30.505099999999999</v>
      </c>
      <c r="DO57">
        <v>30.013000000000002</v>
      </c>
      <c r="DP57">
        <v>999.9</v>
      </c>
      <c r="DQ57">
        <v>0</v>
      </c>
      <c r="DR57">
        <v>0</v>
      </c>
      <c r="DS57">
        <v>9990</v>
      </c>
      <c r="DT57">
        <v>0</v>
      </c>
      <c r="DU57">
        <v>609.06600000000003</v>
      </c>
      <c r="DV57">
        <v>-5.8976899999999999</v>
      </c>
      <c r="DW57">
        <v>24.799499999999998</v>
      </c>
      <c r="DX57">
        <v>30.639800000000001</v>
      </c>
      <c r="DY57">
        <v>7.3847899999999997</v>
      </c>
      <c r="DZ57">
        <v>29.9801</v>
      </c>
      <c r="EA57">
        <v>21.5318</v>
      </c>
      <c r="EB57">
        <v>2.8696100000000002</v>
      </c>
      <c r="EC57">
        <v>2.1367600000000002</v>
      </c>
      <c r="ED57">
        <v>23.290099999999999</v>
      </c>
      <c r="EE57">
        <v>18.495899999999999</v>
      </c>
      <c r="EF57">
        <v>1799.79</v>
      </c>
      <c r="EG57">
        <v>0.97799800000000003</v>
      </c>
      <c r="EH57">
        <v>2.2001799999999998E-2</v>
      </c>
      <c r="EI57">
        <v>0</v>
      </c>
      <c r="EJ57">
        <v>609.53</v>
      </c>
      <c r="EK57">
        <v>5.0009399999999999</v>
      </c>
      <c r="EL57">
        <v>11801</v>
      </c>
      <c r="EM57">
        <v>13858.5</v>
      </c>
      <c r="EN57">
        <v>48.061999999999998</v>
      </c>
      <c r="EO57">
        <v>49.936999999999998</v>
      </c>
      <c r="EP57">
        <v>49.186999999999998</v>
      </c>
      <c r="EQ57">
        <v>49.186999999999998</v>
      </c>
      <c r="ER57">
        <v>49.561999999999998</v>
      </c>
      <c r="ES57">
        <v>1755.3</v>
      </c>
      <c r="ET57">
        <v>39.49</v>
      </c>
      <c r="EU57">
        <v>0</v>
      </c>
      <c r="EV57">
        <v>246.5999999046326</v>
      </c>
      <c r="EW57">
        <v>0</v>
      </c>
      <c r="EX57">
        <v>609.67357692307701</v>
      </c>
      <c r="EY57">
        <v>-0.593059826217752</v>
      </c>
      <c r="EZ57">
        <v>-50.191452880789079</v>
      </c>
      <c r="FA57">
        <v>11809.334615384611</v>
      </c>
      <c r="FB57">
        <v>15</v>
      </c>
      <c r="FC57">
        <v>1700157403</v>
      </c>
      <c r="FD57" t="s">
        <v>598</v>
      </c>
      <c r="FE57">
        <v>1700157401.5</v>
      </c>
      <c r="FF57">
        <v>1700157403</v>
      </c>
      <c r="FG57">
        <v>44</v>
      </c>
      <c r="FH57">
        <v>3.0000000000000001E-3</v>
      </c>
      <c r="FI57">
        <v>4.0000000000000001E-3</v>
      </c>
      <c r="FJ57">
        <v>-3.1619999999999999</v>
      </c>
      <c r="FK57">
        <v>0</v>
      </c>
      <c r="FL57">
        <v>30</v>
      </c>
      <c r="FM57">
        <v>21</v>
      </c>
      <c r="FN57">
        <v>0.16</v>
      </c>
      <c r="FO57">
        <v>0.01</v>
      </c>
      <c r="FP57">
        <v>5.1695847145711973</v>
      </c>
      <c r="FQ57">
        <v>-0.21595661179029871</v>
      </c>
      <c r="FR57">
        <v>2.638386613807327E-2</v>
      </c>
      <c r="FS57">
        <v>1</v>
      </c>
      <c r="FT57">
        <v>0.51977888411326945</v>
      </c>
      <c r="FU57">
        <v>4.4202086004612097E-2</v>
      </c>
      <c r="FV57">
        <v>3.8062971848156929E-3</v>
      </c>
      <c r="FW57">
        <v>1</v>
      </c>
      <c r="FX57">
        <v>2</v>
      </c>
      <c r="FY57">
        <v>2</v>
      </c>
      <c r="FZ57" t="s">
        <v>420</v>
      </c>
      <c r="GA57">
        <v>3.1187499999999999</v>
      </c>
      <c r="GB57">
        <v>2.8776199999999998</v>
      </c>
      <c r="GC57">
        <v>7.1947299999999999E-3</v>
      </c>
      <c r="GD57">
        <v>8.0672299999999999E-3</v>
      </c>
      <c r="GE57">
        <v>0.12831100000000001</v>
      </c>
      <c r="GF57">
        <v>0.104819</v>
      </c>
      <c r="GG57">
        <v>28789.1</v>
      </c>
      <c r="GH57">
        <v>29433.3</v>
      </c>
      <c r="GI57">
        <v>26713.8</v>
      </c>
      <c r="GJ57">
        <v>27409.8</v>
      </c>
      <c r="GK57">
        <v>33306</v>
      </c>
      <c r="GL57">
        <v>34285.4</v>
      </c>
      <c r="GM57">
        <v>39580.800000000003</v>
      </c>
      <c r="GN57">
        <v>39697.5</v>
      </c>
      <c r="GO57">
        <v>1.9523999999999999</v>
      </c>
      <c r="GP57">
        <v>2.4145799999999999</v>
      </c>
      <c r="GQ57">
        <v>-3.9339099999999997E-3</v>
      </c>
      <c r="GR57">
        <v>0</v>
      </c>
      <c r="GS57">
        <v>30.077000000000002</v>
      </c>
      <c r="GT57">
        <v>999.9</v>
      </c>
      <c r="GU57">
        <v>30.4</v>
      </c>
      <c r="GV57">
        <v>48.1</v>
      </c>
      <c r="GW57">
        <v>34.586199999999998</v>
      </c>
      <c r="GX57">
        <v>63.102499999999999</v>
      </c>
      <c r="GY57">
        <v>7.8525600000000004</v>
      </c>
      <c r="GZ57">
        <v>3</v>
      </c>
      <c r="HA57">
        <v>0.59961900000000001</v>
      </c>
      <c r="HB57">
        <v>3.29264</v>
      </c>
      <c r="HC57">
        <v>20.266100000000002</v>
      </c>
      <c r="HD57">
        <v>5.2141500000000001</v>
      </c>
      <c r="HE57">
        <v>11.908300000000001</v>
      </c>
      <c r="HF57">
        <v>4.9966999999999997</v>
      </c>
      <c r="HG57">
        <v>3.3029999999999999</v>
      </c>
      <c r="HH57">
        <v>9999</v>
      </c>
      <c r="HI57">
        <v>9999</v>
      </c>
      <c r="HJ57">
        <v>9999</v>
      </c>
      <c r="HK57">
        <v>999.9</v>
      </c>
      <c r="HL57">
        <v>1.88476</v>
      </c>
      <c r="HM57">
        <v>1.8853599999999999</v>
      </c>
      <c r="HN57">
        <v>1.8814299999999999</v>
      </c>
      <c r="HO57">
        <v>1.8830899999999999</v>
      </c>
      <c r="HP57">
        <v>1.8798999999999999</v>
      </c>
      <c r="HQ57">
        <v>1.8833899999999999</v>
      </c>
      <c r="HR57">
        <v>1.8794299999999999</v>
      </c>
      <c r="HS57">
        <v>1.88171</v>
      </c>
      <c r="HT57">
        <v>5</v>
      </c>
      <c r="HU57">
        <v>0</v>
      </c>
      <c r="HV57">
        <v>0</v>
      </c>
      <c r="HW57">
        <v>0</v>
      </c>
      <c r="HX57" t="s">
        <v>421</v>
      </c>
      <c r="HY57" t="s">
        <v>422</v>
      </c>
      <c r="HZ57" t="s">
        <v>423</v>
      </c>
      <c r="IA57" t="s">
        <v>423</v>
      </c>
      <c r="IB57" t="s">
        <v>423</v>
      </c>
      <c r="IC57" t="s">
        <v>423</v>
      </c>
      <c r="ID57">
        <v>0</v>
      </c>
      <c r="IE57">
        <v>100</v>
      </c>
      <c r="IF57">
        <v>100</v>
      </c>
      <c r="IG57">
        <v>-3.1389999999999998</v>
      </c>
      <c r="IH57">
        <v>2.1499999999999998E-2</v>
      </c>
      <c r="II57">
        <v>-3.0368728733784889</v>
      </c>
      <c r="IJ57">
        <v>-3.7794827560518689E-3</v>
      </c>
      <c r="IK57">
        <v>4.9551128961100493E-7</v>
      </c>
      <c r="IL57">
        <v>1.3680294268397379E-10</v>
      </c>
      <c r="IM57">
        <v>2.1579955527165851E-2</v>
      </c>
      <c r="IN57">
        <v>0</v>
      </c>
      <c r="IO57">
        <v>0</v>
      </c>
      <c r="IP57">
        <v>0</v>
      </c>
      <c r="IQ57">
        <v>4</v>
      </c>
      <c r="IR57">
        <v>2229</v>
      </c>
      <c r="IS57">
        <v>1</v>
      </c>
      <c r="IT57">
        <v>22</v>
      </c>
      <c r="IU57">
        <v>0.6</v>
      </c>
      <c r="IV57">
        <v>0.5</v>
      </c>
      <c r="IW57">
        <v>0.26977499999999999</v>
      </c>
      <c r="IX57">
        <v>2.6428199999999999</v>
      </c>
      <c r="IY57">
        <v>2.9956100000000001</v>
      </c>
      <c r="IZ57">
        <v>2.96265</v>
      </c>
      <c r="JA57">
        <v>3.1970200000000002</v>
      </c>
      <c r="JB57">
        <v>2.51831</v>
      </c>
      <c r="JC57">
        <v>50.51</v>
      </c>
      <c r="JD57">
        <v>23.745999999999999</v>
      </c>
      <c r="JE57">
        <v>18</v>
      </c>
      <c r="JF57">
        <v>510.971</v>
      </c>
      <c r="JG57">
        <v>1097.3499999999999</v>
      </c>
      <c r="JH57">
        <v>25.894600000000001</v>
      </c>
      <c r="JI57">
        <v>34.524700000000003</v>
      </c>
      <c r="JJ57">
        <v>30.0002</v>
      </c>
      <c r="JK57">
        <v>34.554200000000002</v>
      </c>
      <c r="JL57">
        <v>34.483600000000003</v>
      </c>
      <c r="JM57">
        <v>5.4087500000000004</v>
      </c>
      <c r="JN57">
        <v>32.907400000000003</v>
      </c>
      <c r="JO57">
        <v>0</v>
      </c>
      <c r="JP57">
        <v>25.8766</v>
      </c>
      <c r="JQ57">
        <v>30</v>
      </c>
      <c r="JR57">
        <v>21.4376</v>
      </c>
      <c r="JS57">
        <v>98.655000000000001</v>
      </c>
      <c r="JT57">
        <v>97.1173</v>
      </c>
    </row>
    <row r="58" spans="1:280" x14ac:dyDescent="0.25">
      <c r="A58">
        <v>42</v>
      </c>
      <c r="B58">
        <v>1700157555.5</v>
      </c>
      <c r="C58">
        <v>8574</v>
      </c>
      <c r="D58" t="s">
        <v>599</v>
      </c>
      <c r="E58" t="s">
        <v>600</v>
      </c>
      <c r="F58" t="s">
        <v>412</v>
      </c>
      <c r="G58" t="s">
        <v>544</v>
      </c>
      <c r="H58" t="s">
        <v>545</v>
      </c>
      <c r="I58">
        <v>1700157555.5</v>
      </c>
      <c r="J58">
        <f t="shared" si="46"/>
        <v>6.8814265837316988E-3</v>
      </c>
      <c r="K58">
        <f t="shared" si="47"/>
        <v>6.8814265837316988</v>
      </c>
      <c r="L58">
        <f t="shared" si="48"/>
        <v>1.978101299526376</v>
      </c>
      <c r="M58">
        <f t="shared" si="49"/>
        <v>7.76119</v>
      </c>
      <c r="N58">
        <f t="shared" si="50"/>
        <v>1.0526116757861512</v>
      </c>
      <c r="O58">
        <f t="shared" si="51"/>
        <v>0.10455039891282226</v>
      </c>
      <c r="P58">
        <f t="shared" si="52"/>
        <v>0.77087831078083002</v>
      </c>
      <c r="Q58">
        <f t="shared" si="53"/>
        <v>0.51799635694387491</v>
      </c>
      <c r="R58">
        <f t="shared" si="54"/>
        <v>3.0089928849969763</v>
      </c>
      <c r="S58">
        <f t="shared" si="55"/>
        <v>0.47307382022671457</v>
      </c>
      <c r="T58">
        <f t="shared" si="56"/>
        <v>0.29938192073496916</v>
      </c>
      <c r="U58">
        <f t="shared" si="57"/>
        <v>344.39599876274355</v>
      </c>
      <c r="V58">
        <f t="shared" si="58"/>
        <v>30.729741224344778</v>
      </c>
      <c r="W58">
        <f t="shared" si="59"/>
        <v>30.0168</v>
      </c>
      <c r="X58">
        <f t="shared" si="60"/>
        <v>4.2645627428492663</v>
      </c>
      <c r="Y58">
        <f t="shared" si="61"/>
        <v>65.517250580463454</v>
      </c>
      <c r="Z58">
        <f t="shared" si="62"/>
        <v>2.8716674419083001</v>
      </c>
      <c r="AA58">
        <f t="shared" si="63"/>
        <v>4.3830707431495917</v>
      </c>
      <c r="AB58">
        <f t="shared" si="64"/>
        <v>1.3928953009409661</v>
      </c>
      <c r="AC58">
        <f t="shared" si="65"/>
        <v>-303.47091234256794</v>
      </c>
      <c r="AD58">
        <f t="shared" si="66"/>
        <v>77.557776153269245</v>
      </c>
      <c r="AE58">
        <f t="shared" si="67"/>
        <v>5.7457037123405996</v>
      </c>
      <c r="AF58">
        <f t="shared" si="68"/>
        <v>124.22856628578542</v>
      </c>
      <c r="AG58">
        <v>8</v>
      </c>
      <c r="AH58">
        <v>2</v>
      </c>
      <c r="AI58">
        <f t="shared" si="69"/>
        <v>1</v>
      </c>
      <c r="AJ58">
        <f t="shared" si="70"/>
        <v>0</v>
      </c>
      <c r="AK58">
        <f t="shared" si="71"/>
        <v>51869.0490706368</v>
      </c>
      <c r="AL58" t="s">
        <v>431</v>
      </c>
      <c r="AM58" t="s">
        <v>431</v>
      </c>
      <c r="AN58">
        <v>0</v>
      </c>
      <c r="AO58">
        <v>0</v>
      </c>
      <c r="AP58" t="e">
        <f t="shared" si="72"/>
        <v>#DIV/0!</v>
      </c>
      <c r="AQ58">
        <v>0</v>
      </c>
      <c r="AR58" t="s">
        <v>431</v>
      </c>
      <c r="AS58" t="s">
        <v>431</v>
      </c>
      <c r="AT58">
        <v>0</v>
      </c>
      <c r="AU58">
        <v>0</v>
      </c>
      <c r="AV58" t="e">
        <f t="shared" si="73"/>
        <v>#DIV/0!</v>
      </c>
      <c r="AW58">
        <v>0.5</v>
      </c>
      <c r="AX58">
        <f t="shared" si="74"/>
        <v>1513.302299381372</v>
      </c>
      <c r="AY58">
        <f t="shared" si="75"/>
        <v>1.978101299526376</v>
      </c>
      <c r="AZ58" t="e">
        <f t="shared" si="76"/>
        <v>#DIV/0!</v>
      </c>
      <c r="BA58">
        <f t="shared" si="77"/>
        <v>1.3071422017497832E-3</v>
      </c>
      <c r="BB58" t="e">
        <f t="shared" si="78"/>
        <v>#DIV/0!</v>
      </c>
      <c r="BC58" t="e">
        <f t="shared" si="79"/>
        <v>#DIV/0!</v>
      </c>
      <c r="BD58" t="s">
        <v>431</v>
      </c>
      <c r="BE58">
        <v>0</v>
      </c>
      <c r="BF58" t="e">
        <f t="shared" si="80"/>
        <v>#DIV/0!</v>
      </c>
      <c r="BG58" t="e">
        <f t="shared" si="81"/>
        <v>#DIV/0!</v>
      </c>
      <c r="BH58" t="e">
        <f t="shared" si="82"/>
        <v>#DIV/0!</v>
      </c>
      <c r="BI58" t="e">
        <f t="shared" si="83"/>
        <v>#DIV/0!</v>
      </c>
      <c r="BJ58" t="e">
        <f t="shared" si="84"/>
        <v>#DIV/0!</v>
      </c>
      <c r="BK58" t="e">
        <f t="shared" si="85"/>
        <v>#DIV/0!</v>
      </c>
      <c r="BL58" t="e">
        <f t="shared" si="86"/>
        <v>#DIV/0!</v>
      </c>
      <c r="BM58" t="e">
        <f t="shared" si="87"/>
        <v>#DIV/0!</v>
      </c>
      <c r="BN58">
        <v>20758</v>
      </c>
      <c r="BO58">
        <v>290.00000000000011</v>
      </c>
      <c r="BP58">
        <v>650.19000000000005</v>
      </c>
      <c r="BQ58">
        <v>275</v>
      </c>
      <c r="BR58">
        <v>7151.08</v>
      </c>
      <c r="BS58">
        <v>650.84</v>
      </c>
      <c r="BT58">
        <v>-0.65</v>
      </c>
      <c r="BU58">
        <v>300.00000000000011</v>
      </c>
      <c r="BV58">
        <v>38.200000000000003</v>
      </c>
      <c r="BW58">
        <v>665.76158642344649</v>
      </c>
      <c r="BX58">
        <v>0.90818429372798393</v>
      </c>
      <c r="BY58">
        <v>-10.67374574996632</v>
      </c>
      <c r="BZ58">
        <v>0.54427309274406077</v>
      </c>
      <c r="CA58">
        <v>0.93213630872690545</v>
      </c>
      <c r="CB58">
        <v>-7.0590242491657537E-3</v>
      </c>
      <c r="CC58">
        <v>289.99999999999989</v>
      </c>
      <c r="CD58">
        <v>651.33000000000004</v>
      </c>
      <c r="CE58">
        <v>675</v>
      </c>
      <c r="CF58">
        <v>7146.88</v>
      </c>
      <c r="CG58">
        <v>650.83000000000004</v>
      </c>
      <c r="CH58">
        <v>0.5</v>
      </c>
      <c r="CV58">
        <f t="shared" si="88"/>
        <v>1800.14</v>
      </c>
      <c r="CW58">
        <f t="shared" si="89"/>
        <v>1513.302299381372</v>
      </c>
      <c r="CX58">
        <f t="shared" si="90"/>
        <v>0.84065811513625155</v>
      </c>
      <c r="CY58">
        <f t="shared" si="91"/>
        <v>0.191316230272503</v>
      </c>
      <c r="CZ58">
        <v>5.52</v>
      </c>
      <c r="DA58">
        <v>0.5</v>
      </c>
      <c r="DB58" t="s">
        <v>418</v>
      </c>
      <c r="DC58">
        <v>2</v>
      </c>
      <c r="DD58">
        <v>1700157555.5</v>
      </c>
      <c r="DE58">
        <v>7.76119</v>
      </c>
      <c r="DF58">
        <v>10.0046</v>
      </c>
      <c r="DG58">
        <v>28.911899999999999</v>
      </c>
      <c r="DH58">
        <v>21.532399999999999</v>
      </c>
      <c r="DI58">
        <v>10.908799999999999</v>
      </c>
      <c r="DJ58">
        <v>28.891300000000001</v>
      </c>
      <c r="DK58">
        <v>499.86099999999999</v>
      </c>
      <c r="DL58">
        <v>99.224800000000002</v>
      </c>
      <c r="DM58">
        <v>9.9957000000000004E-2</v>
      </c>
      <c r="DN58">
        <v>30.494900000000001</v>
      </c>
      <c r="DO58">
        <v>30.0168</v>
      </c>
      <c r="DP58">
        <v>999.9</v>
      </c>
      <c r="DQ58">
        <v>0</v>
      </c>
      <c r="DR58">
        <v>0</v>
      </c>
      <c r="DS58">
        <v>10001.200000000001</v>
      </c>
      <c r="DT58">
        <v>0</v>
      </c>
      <c r="DU58">
        <v>448.375</v>
      </c>
      <c r="DV58">
        <v>-2.2433900000000002</v>
      </c>
      <c r="DW58">
        <v>7.9922599999999999</v>
      </c>
      <c r="DX58">
        <v>10.2247</v>
      </c>
      <c r="DY58">
        <v>7.3795400000000004</v>
      </c>
      <c r="DZ58">
        <v>10.0046</v>
      </c>
      <c r="EA58">
        <v>21.532399999999999</v>
      </c>
      <c r="EB58">
        <v>2.8687800000000001</v>
      </c>
      <c r="EC58">
        <v>2.1365500000000002</v>
      </c>
      <c r="ED58">
        <v>23.285299999999999</v>
      </c>
      <c r="EE58">
        <v>18.494299999999999</v>
      </c>
      <c r="EF58">
        <v>1800.14</v>
      </c>
      <c r="EG58">
        <v>0.97800200000000004</v>
      </c>
      <c r="EH58">
        <v>2.19981E-2</v>
      </c>
      <c r="EI58">
        <v>0</v>
      </c>
      <c r="EJ58">
        <v>616.61199999999997</v>
      </c>
      <c r="EK58">
        <v>5.0009399999999999</v>
      </c>
      <c r="EL58">
        <v>11823.7</v>
      </c>
      <c r="EM58">
        <v>13861.3</v>
      </c>
      <c r="EN58">
        <v>48</v>
      </c>
      <c r="EO58">
        <v>49.875</v>
      </c>
      <c r="EP58">
        <v>49.186999999999998</v>
      </c>
      <c r="EQ58">
        <v>49.125</v>
      </c>
      <c r="ER58">
        <v>49.5</v>
      </c>
      <c r="ES58">
        <v>1755.65</v>
      </c>
      <c r="ET58">
        <v>39.49</v>
      </c>
      <c r="EU58">
        <v>0</v>
      </c>
      <c r="EV58">
        <v>118.4000000953674</v>
      </c>
      <c r="EW58">
        <v>0</v>
      </c>
      <c r="EX58">
        <v>616.78676923076921</v>
      </c>
      <c r="EY58">
        <v>-0.4342564067494093</v>
      </c>
      <c r="EZ58">
        <v>-379.40512842527812</v>
      </c>
      <c r="FA58">
        <v>11908.80769230769</v>
      </c>
      <c r="FB58">
        <v>15</v>
      </c>
      <c r="FC58">
        <v>1700157523.5</v>
      </c>
      <c r="FD58" t="s">
        <v>601</v>
      </c>
      <c r="FE58">
        <v>1700157517</v>
      </c>
      <c r="FF58">
        <v>1700157523.5</v>
      </c>
      <c r="FG58">
        <v>45</v>
      </c>
      <c r="FH58">
        <v>-7.0000000000000007E-2</v>
      </c>
      <c r="FI58">
        <v>-1E-3</v>
      </c>
      <c r="FJ58">
        <v>-3.1560000000000001</v>
      </c>
      <c r="FK58">
        <v>-2E-3</v>
      </c>
      <c r="FL58">
        <v>10</v>
      </c>
      <c r="FM58">
        <v>21</v>
      </c>
      <c r="FN58">
        <v>0.27</v>
      </c>
      <c r="FO58">
        <v>0.01</v>
      </c>
      <c r="FP58">
        <v>1.9743987442709681</v>
      </c>
      <c r="FQ58">
        <v>-0.27394580595129459</v>
      </c>
      <c r="FR58">
        <v>2.711599043200499E-2</v>
      </c>
      <c r="FS58">
        <v>1</v>
      </c>
      <c r="FT58">
        <v>0.51551011035573213</v>
      </c>
      <c r="FU58">
        <v>3.8893761770315248E-2</v>
      </c>
      <c r="FV58">
        <v>3.874247005412891E-3</v>
      </c>
      <c r="FW58">
        <v>1</v>
      </c>
      <c r="FX58">
        <v>2</v>
      </c>
      <c r="FY58">
        <v>2</v>
      </c>
      <c r="FZ58" t="s">
        <v>420</v>
      </c>
      <c r="GA58">
        <v>3.1185399999999999</v>
      </c>
      <c r="GB58">
        <v>2.8775900000000001</v>
      </c>
      <c r="GC58">
        <v>2.8913099999999998E-3</v>
      </c>
      <c r="GD58">
        <v>2.7033399999999998E-3</v>
      </c>
      <c r="GE58">
        <v>0.12829499999999999</v>
      </c>
      <c r="GF58">
        <v>0.10481799999999999</v>
      </c>
      <c r="GG58">
        <v>28917.3</v>
      </c>
      <c r="GH58">
        <v>29597.599999999999</v>
      </c>
      <c r="GI58">
        <v>26717</v>
      </c>
      <c r="GJ58">
        <v>27414.6</v>
      </c>
      <c r="GK58">
        <v>33310</v>
      </c>
      <c r="GL58">
        <v>34290.400000000001</v>
      </c>
      <c r="GM58">
        <v>39585.300000000003</v>
      </c>
      <c r="GN58">
        <v>39703.9</v>
      </c>
      <c r="GO58">
        <v>1.9520299999999999</v>
      </c>
      <c r="GP58">
        <v>2.4150499999999999</v>
      </c>
      <c r="GQ58">
        <v>-2.7380899999999999E-3</v>
      </c>
      <c r="GR58">
        <v>0</v>
      </c>
      <c r="GS58">
        <v>30.061399999999999</v>
      </c>
      <c r="GT58">
        <v>999.9</v>
      </c>
      <c r="GU58">
        <v>30.4</v>
      </c>
      <c r="GV58">
        <v>48</v>
      </c>
      <c r="GW58">
        <v>34.4161</v>
      </c>
      <c r="GX58">
        <v>62.982500000000002</v>
      </c>
      <c r="GY58">
        <v>7.8084899999999999</v>
      </c>
      <c r="GZ58">
        <v>3</v>
      </c>
      <c r="HA58">
        <v>0.59474800000000005</v>
      </c>
      <c r="HB58">
        <v>3.3856199999999999</v>
      </c>
      <c r="HC58">
        <v>20.2651</v>
      </c>
      <c r="HD58">
        <v>5.2151899999999998</v>
      </c>
      <c r="HE58">
        <v>11.908099999999999</v>
      </c>
      <c r="HF58">
        <v>4.9968000000000004</v>
      </c>
      <c r="HG58">
        <v>3.3029799999999998</v>
      </c>
      <c r="HH58">
        <v>9999</v>
      </c>
      <c r="HI58">
        <v>9999</v>
      </c>
      <c r="HJ58">
        <v>9999</v>
      </c>
      <c r="HK58">
        <v>999.9</v>
      </c>
      <c r="HL58">
        <v>1.8847700000000001</v>
      </c>
      <c r="HM58">
        <v>1.8853800000000001</v>
      </c>
      <c r="HN58">
        <v>1.8814599999999999</v>
      </c>
      <c r="HO58">
        <v>1.8831100000000001</v>
      </c>
      <c r="HP58">
        <v>1.87992</v>
      </c>
      <c r="HQ58">
        <v>1.8834</v>
      </c>
      <c r="HR58">
        <v>1.8794</v>
      </c>
      <c r="HS58">
        <v>1.88171</v>
      </c>
      <c r="HT58">
        <v>5</v>
      </c>
      <c r="HU58">
        <v>0</v>
      </c>
      <c r="HV58">
        <v>0</v>
      </c>
      <c r="HW58">
        <v>0</v>
      </c>
      <c r="HX58" t="s">
        <v>421</v>
      </c>
      <c r="HY58" t="s">
        <v>422</v>
      </c>
      <c r="HZ58" t="s">
        <v>423</v>
      </c>
      <c r="IA58" t="s">
        <v>423</v>
      </c>
      <c r="IB58" t="s">
        <v>423</v>
      </c>
      <c r="IC58" t="s">
        <v>423</v>
      </c>
      <c r="ID58">
        <v>0</v>
      </c>
      <c r="IE58">
        <v>100</v>
      </c>
      <c r="IF58">
        <v>100</v>
      </c>
      <c r="IG58">
        <v>-3.1480000000000001</v>
      </c>
      <c r="IH58">
        <v>2.06E-2</v>
      </c>
      <c r="II58">
        <v>-3.10646826126376</v>
      </c>
      <c r="IJ58">
        <v>-3.7794827560518689E-3</v>
      </c>
      <c r="IK58">
        <v>4.9551128961100493E-7</v>
      </c>
      <c r="IL58">
        <v>1.3680294268397379E-10</v>
      </c>
      <c r="IM58">
        <v>2.0673506482550511E-2</v>
      </c>
      <c r="IN58">
        <v>0</v>
      </c>
      <c r="IO58">
        <v>0</v>
      </c>
      <c r="IP58">
        <v>0</v>
      </c>
      <c r="IQ58">
        <v>4</v>
      </c>
      <c r="IR58">
        <v>2229</v>
      </c>
      <c r="IS58">
        <v>1</v>
      </c>
      <c r="IT58">
        <v>22</v>
      </c>
      <c r="IU58">
        <v>0.6</v>
      </c>
      <c r="IV58">
        <v>0.5</v>
      </c>
      <c r="IW58">
        <v>0.19897500000000001</v>
      </c>
      <c r="IX58">
        <v>2.65137</v>
      </c>
      <c r="IY58">
        <v>2.9956100000000001</v>
      </c>
      <c r="IZ58">
        <v>2.96265</v>
      </c>
      <c r="JA58">
        <v>3.1970200000000002</v>
      </c>
      <c r="JB58">
        <v>2.5</v>
      </c>
      <c r="JC58">
        <v>50.250900000000001</v>
      </c>
      <c r="JD58">
        <v>23.745999999999999</v>
      </c>
      <c r="JE58">
        <v>18</v>
      </c>
      <c r="JF58">
        <v>510.42399999999998</v>
      </c>
      <c r="JG58">
        <v>1097.24</v>
      </c>
      <c r="JH58">
        <v>25.809699999999999</v>
      </c>
      <c r="JI58">
        <v>34.489899999999999</v>
      </c>
      <c r="JJ58">
        <v>30.0001</v>
      </c>
      <c r="JK58">
        <v>34.514699999999998</v>
      </c>
      <c r="JL58">
        <v>34.441400000000002</v>
      </c>
      <c r="JM58">
        <v>3.98278</v>
      </c>
      <c r="JN58">
        <v>32.712400000000002</v>
      </c>
      <c r="JO58">
        <v>0</v>
      </c>
      <c r="JP58">
        <v>25.7957</v>
      </c>
      <c r="JQ58">
        <v>10</v>
      </c>
      <c r="JR58">
        <v>21.4361</v>
      </c>
      <c r="JS58">
        <v>98.666600000000003</v>
      </c>
      <c r="JT58">
        <v>97.133499999999998</v>
      </c>
    </row>
    <row r="59" spans="1:280" x14ac:dyDescent="0.25">
      <c r="A59">
        <v>43</v>
      </c>
      <c r="B59">
        <v>1700159279.5999999</v>
      </c>
      <c r="C59">
        <v>10298.099999904631</v>
      </c>
      <c r="D59" t="s">
        <v>602</v>
      </c>
      <c r="E59" t="s">
        <v>603</v>
      </c>
      <c r="F59" t="s">
        <v>412</v>
      </c>
      <c r="G59" t="s">
        <v>604</v>
      </c>
      <c r="H59" t="s">
        <v>545</v>
      </c>
      <c r="I59">
        <v>1700159279.5999999</v>
      </c>
      <c r="J59">
        <f t="shared" si="46"/>
        <v>4.4146539762750462E-3</v>
      </c>
      <c r="K59">
        <f t="shared" si="47"/>
        <v>4.4146539762750461</v>
      </c>
      <c r="L59">
        <f t="shared" si="48"/>
        <v>50.952723527939526</v>
      </c>
      <c r="M59">
        <f t="shared" si="49"/>
        <v>406.15199999999999</v>
      </c>
      <c r="N59">
        <f t="shared" si="50"/>
        <v>111.76050972947846</v>
      </c>
      <c r="O59">
        <f t="shared" si="51"/>
        <v>11.093825614293495</v>
      </c>
      <c r="P59">
        <f t="shared" si="52"/>
        <v>40.316382520113599</v>
      </c>
      <c r="Q59">
        <f t="shared" si="53"/>
        <v>0.29489194536836039</v>
      </c>
      <c r="R59">
        <f t="shared" si="54"/>
        <v>3.3683035369534062</v>
      </c>
      <c r="S59">
        <f t="shared" si="55"/>
        <v>0.28126300284242323</v>
      </c>
      <c r="T59">
        <f t="shared" si="56"/>
        <v>0.17696138478828849</v>
      </c>
      <c r="U59">
        <f t="shared" si="57"/>
        <v>344.37391191980134</v>
      </c>
      <c r="V59">
        <f t="shared" si="58"/>
        <v>30.753671822112597</v>
      </c>
      <c r="W59">
        <f t="shared" si="59"/>
        <v>30.0259</v>
      </c>
      <c r="X59">
        <f t="shared" si="60"/>
        <v>4.2667920463099209</v>
      </c>
      <c r="Y59">
        <f t="shared" si="61"/>
        <v>64.947318272153964</v>
      </c>
      <c r="Z59">
        <f t="shared" si="62"/>
        <v>2.7639342368535602</v>
      </c>
      <c r="AA59">
        <f t="shared" si="63"/>
        <v>4.2556556766079616</v>
      </c>
      <c r="AB59">
        <f t="shared" si="64"/>
        <v>1.5028578094563607</v>
      </c>
      <c r="AC59">
        <f t="shared" si="65"/>
        <v>-194.68624035372954</v>
      </c>
      <c r="AD59">
        <f t="shared" si="66"/>
        <v>-8.2624351029326544</v>
      </c>
      <c r="AE59">
        <f t="shared" si="67"/>
        <v>-0.54544313561772051</v>
      </c>
      <c r="AF59">
        <f t="shared" si="68"/>
        <v>140.87979332752141</v>
      </c>
      <c r="AG59">
        <v>19</v>
      </c>
      <c r="AH59">
        <v>4</v>
      </c>
      <c r="AI59">
        <f t="shared" si="69"/>
        <v>1</v>
      </c>
      <c r="AJ59">
        <f t="shared" si="70"/>
        <v>0</v>
      </c>
      <c r="AK59">
        <f t="shared" si="71"/>
        <v>51963.342686796575</v>
      </c>
      <c r="AL59" t="s">
        <v>415</v>
      </c>
      <c r="AM59">
        <v>7133.88</v>
      </c>
      <c r="AN59">
        <v>306.28384615384618</v>
      </c>
      <c r="AO59">
        <v>859.63916333292491</v>
      </c>
      <c r="AP59">
        <f t="shared" si="72"/>
        <v>0.64370650010133712</v>
      </c>
      <c r="AQ59">
        <v>-0.73746743666429193</v>
      </c>
      <c r="AR59" t="s">
        <v>605</v>
      </c>
      <c r="AS59">
        <v>7137.51</v>
      </c>
      <c r="AT59">
        <v>499.75519230769231</v>
      </c>
      <c r="AU59">
        <v>726.61562247431937</v>
      </c>
      <c r="AV59">
        <f t="shared" si="73"/>
        <v>0.31221518386035652</v>
      </c>
      <c r="AW59">
        <v>0.5</v>
      </c>
      <c r="AX59">
        <f t="shared" si="74"/>
        <v>1513.2093059599006</v>
      </c>
      <c r="AY59">
        <f t="shared" si="75"/>
        <v>50.952723527939526</v>
      </c>
      <c r="AZ59">
        <f t="shared" si="76"/>
        <v>236.22346083973642</v>
      </c>
      <c r="BA59">
        <f t="shared" si="77"/>
        <v>3.4159313428101259E-2</v>
      </c>
      <c r="BB59">
        <f t="shared" si="78"/>
        <v>0.18307277843218539</v>
      </c>
      <c r="BC59">
        <f t="shared" si="79"/>
        <v>287.52900729907145</v>
      </c>
      <c r="BD59" t="s">
        <v>606</v>
      </c>
      <c r="BE59">
        <v>353.51</v>
      </c>
      <c r="BF59">
        <f t="shared" si="80"/>
        <v>353.51</v>
      </c>
      <c r="BG59">
        <f t="shared" si="81"/>
        <v>0.51348417365951415</v>
      </c>
      <c r="BH59">
        <f t="shared" si="82"/>
        <v>0.60803272987997314</v>
      </c>
      <c r="BI59">
        <f t="shared" si="83"/>
        <v>0.26282528353558726</v>
      </c>
      <c r="BJ59">
        <f t="shared" si="84"/>
        <v>0.53971753492570129</v>
      </c>
      <c r="BK59">
        <f t="shared" si="85"/>
        <v>0.240394438670508</v>
      </c>
      <c r="BL59">
        <f t="shared" si="86"/>
        <v>0.43010188517967463</v>
      </c>
      <c r="BM59">
        <f t="shared" si="87"/>
        <v>0.56989811482032537</v>
      </c>
      <c r="BN59">
        <v>20760</v>
      </c>
      <c r="BO59">
        <v>290.00000000000011</v>
      </c>
      <c r="BP59">
        <v>662.61</v>
      </c>
      <c r="BQ59">
        <v>285</v>
      </c>
      <c r="BR59">
        <v>7137.51</v>
      </c>
      <c r="BS59">
        <v>664.25</v>
      </c>
      <c r="BT59">
        <v>-1.64</v>
      </c>
      <c r="BU59">
        <v>300.00000000000011</v>
      </c>
      <c r="BV59">
        <v>38.299999999999997</v>
      </c>
      <c r="BW59">
        <v>726.61562247431937</v>
      </c>
      <c r="BX59">
        <v>1.2874359646469711</v>
      </c>
      <c r="BY59">
        <v>-44.51384426411861</v>
      </c>
      <c r="BZ59">
        <v>0.77013605368075733</v>
      </c>
      <c r="CA59">
        <v>0.99168852646586025</v>
      </c>
      <c r="CB59">
        <v>-7.04588409343715E-3</v>
      </c>
      <c r="CC59">
        <v>289.99999999999989</v>
      </c>
      <c r="CD59">
        <v>672.59</v>
      </c>
      <c r="CE59">
        <v>895</v>
      </c>
      <c r="CF59">
        <v>7130.38</v>
      </c>
      <c r="CG59">
        <v>664.19</v>
      </c>
      <c r="CH59">
        <v>8.4</v>
      </c>
      <c r="CV59">
        <f t="shared" si="88"/>
        <v>1800.03</v>
      </c>
      <c r="CW59">
        <f t="shared" si="89"/>
        <v>1513.2093059599006</v>
      </c>
      <c r="CX59">
        <f t="shared" si="90"/>
        <v>0.84065782568062786</v>
      </c>
      <c r="CY59">
        <f t="shared" si="91"/>
        <v>0.19131565136125583</v>
      </c>
      <c r="CZ59">
        <v>4.16</v>
      </c>
      <c r="DA59">
        <v>0.5</v>
      </c>
      <c r="DB59" t="s">
        <v>418</v>
      </c>
      <c r="DC59">
        <v>2</v>
      </c>
      <c r="DD59">
        <v>1700159279.5999999</v>
      </c>
      <c r="DE59">
        <v>406.15199999999999</v>
      </c>
      <c r="DF59">
        <v>450.01900000000001</v>
      </c>
      <c r="DG59">
        <v>27.844200000000001</v>
      </c>
      <c r="DH59">
        <v>24.274899999999999</v>
      </c>
      <c r="DI59">
        <v>410.42200000000003</v>
      </c>
      <c r="DJ59">
        <v>27.812899999999999</v>
      </c>
      <c r="DK59">
        <v>500.19900000000001</v>
      </c>
      <c r="DL59">
        <v>99.164400000000001</v>
      </c>
      <c r="DM59">
        <v>9.9871799999999997E-2</v>
      </c>
      <c r="DN59">
        <v>29.980399999999999</v>
      </c>
      <c r="DO59">
        <v>30.0259</v>
      </c>
      <c r="DP59">
        <v>999.9</v>
      </c>
      <c r="DQ59">
        <v>0</v>
      </c>
      <c r="DR59">
        <v>0</v>
      </c>
      <c r="DS59">
        <v>10008.799999999999</v>
      </c>
      <c r="DT59">
        <v>0</v>
      </c>
      <c r="DU59">
        <v>200.738</v>
      </c>
      <c r="DV59">
        <v>-43.866599999999998</v>
      </c>
      <c r="DW59">
        <v>417.78500000000003</v>
      </c>
      <c r="DX59">
        <v>461.21499999999997</v>
      </c>
      <c r="DY59">
        <v>3.5692499999999998</v>
      </c>
      <c r="DZ59">
        <v>450.01900000000001</v>
      </c>
      <c r="EA59">
        <v>24.274899999999999</v>
      </c>
      <c r="EB59">
        <v>2.7611500000000002</v>
      </c>
      <c r="EC59">
        <v>2.4072100000000001</v>
      </c>
      <c r="ED59">
        <v>22.653600000000001</v>
      </c>
      <c r="EE59">
        <v>20.412299999999998</v>
      </c>
      <c r="EF59">
        <v>1800.03</v>
      </c>
      <c r="EG59">
        <v>0.97800900000000002</v>
      </c>
      <c r="EH59">
        <v>2.1990699999999998E-2</v>
      </c>
      <c r="EI59">
        <v>0</v>
      </c>
      <c r="EJ59">
        <v>499.83800000000002</v>
      </c>
      <c r="EK59">
        <v>5.0009399999999999</v>
      </c>
      <c r="EL59">
        <v>9935.7800000000007</v>
      </c>
      <c r="EM59">
        <v>13860.4</v>
      </c>
      <c r="EN59">
        <v>47.186999999999998</v>
      </c>
      <c r="EO59">
        <v>49</v>
      </c>
      <c r="EP59">
        <v>48.25</v>
      </c>
      <c r="EQ59">
        <v>48.25</v>
      </c>
      <c r="ER59">
        <v>48.686999999999998</v>
      </c>
      <c r="ES59">
        <v>1755.55</v>
      </c>
      <c r="ET59">
        <v>39.47</v>
      </c>
      <c r="EU59">
        <v>0</v>
      </c>
      <c r="EV59">
        <v>1842.7999999523161</v>
      </c>
      <c r="EW59">
        <v>0</v>
      </c>
      <c r="EX59">
        <v>499.75519230769231</v>
      </c>
      <c r="EY59">
        <v>0.34047862732255219</v>
      </c>
      <c r="EZ59">
        <v>-22.272820471965421</v>
      </c>
      <c r="FA59">
        <v>9947.4153846153858</v>
      </c>
      <c r="FB59">
        <v>15</v>
      </c>
      <c r="FC59">
        <v>1700159168.0999999</v>
      </c>
      <c r="FD59" t="s">
        <v>607</v>
      </c>
      <c r="FE59">
        <v>1700159166.0999999</v>
      </c>
      <c r="FF59">
        <v>1700159168.0999999</v>
      </c>
      <c r="FG59">
        <v>48</v>
      </c>
      <c r="FH59">
        <v>-7.8E-2</v>
      </c>
      <c r="FI59">
        <v>-8.9999999999999993E-3</v>
      </c>
      <c r="FJ59">
        <v>-4.4130000000000003</v>
      </c>
      <c r="FK59">
        <v>3.1E-2</v>
      </c>
      <c r="FL59">
        <v>450</v>
      </c>
      <c r="FM59">
        <v>24</v>
      </c>
      <c r="FN59">
        <v>0.02</v>
      </c>
      <c r="FO59">
        <v>0.02</v>
      </c>
      <c r="FP59">
        <v>51.042249447750649</v>
      </c>
      <c r="FQ59">
        <v>-0.57150316551664415</v>
      </c>
      <c r="FR59">
        <v>5.3354619279259649E-2</v>
      </c>
      <c r="FS59">
        <v>1</v>
      </c>
      <c r="FT59">
        <v>0.29700156548024792</v>
      </c>
      <c r="FU59">
        <v>5.1476648202405887E-3</v>
      </c>
      <c r="FV59">
        <v>5.9025296990712454E-4</v>
      </c>
      <c r="FW59">
        <v>1</v>
      </c>
      <c r="FX59">
        <v>2</v>
      </c>
      <c r="FY59">
        <v>2</v>
      </c>
      <c r="FZ59" t="s">
        <v>420</v>
      </c>
      <c r="GA59">
        <v>3.11964</v>
      </c>
      <c r="GB59">
        <v>2.87757</v>
      </c>
      <c r="GC59">
        <v>8.8511699999999999E-2</v>
      </c>
      <c r="GD59">
        <v>9.6176999999999999E-2</v>
      </c>
      <c r="GE59">
        <v>0.12500800000000001</v>
      </c>
      <c r="GF59">
        <v>0.114324</v>
      </c>
      <c r="GG59">
        <v>26460.5</v>
      </c>
      <c r="GH59">
        <v>26840.3</v>
      </c>
      <c r="GI59">
        <v>26738.9</v>
      </c>
      <c r="GJ59">
        <v>27426.1</v>
      </c>
      <c r="GK59">
        <v>33465.800000000003</v>
      </c>
      <c r="GL59">
        <v>33941.300000000003</v>
      </c>
      <c r="GM59">
        <v>39616.1</v>
      </c>
      <c r="GN59">
        <v>39714.300000000003</v>
      </c>
      <c r="GO59">
        <v>1.93902</v>
      </c>
      <c r="GP59">
        <v>2.4408500000000002</v>
      </c>
      <c r="GQ59">
        <v>2.0097899999999998E-2</v>
      </c>
      <c r="GR59">
        <v>0</v>
      </c>
      <c r="GS59">
        <v>29.698799999999999</v>
      </c>
      <c r="GT59">
        <v>999.9</v>
      </c>
      <c r="GU59">
        <v>30.9</v>
      </c>
      <c r="GV59">
        <v>45.7</v>
      </c>
      <c r="GW59">
        <v>31.133600000000001</v>
      </c>
      <c r="GX59">
        <v>62.804600000000001</v>
      </c>
      <c r="GY59">
        <v>7.9166600000000003</v>
      </c>
      <c r="GZ59">
        <v>3</v>
      </c>
      <c r="HA59">
        <v>0.54468000000000005</v>
      </c>
      <c r="HB59">
        <v>3.5247199999999999</v>
      </c>
      <c r="HC59">
        <v>20.263999999999999</v>
      </c>
      <c r="HD59">
        <v>5.2148899999999996</v>
      </c>
      <c r="HE59">
        <v>11.908099999999999</v>
      </c>
      <c r="HF59">
        <v>4.99695</v>
      </c>
      <c r="HG59">
        <v>3.3024499999999999</v>
      </c>
      <c r="HH59">
        <v>9999</v>
      </c>
      <c r="HI59">
        <v>9999</v>
      </c>
      <c r="HJ59">
        <v>9999</v>
      </c>
      <c r="HK59">
        <v>999.9</v>
      </c>
      <c r="HL59">
        <v>1.8847</v>
      </c>
      <c r="HM59">
        <v>1.88527</v>
      </c>
      <c r="HN59">
        <v>1.88141</v>
      </c>
      <c r="HO59">
        <v>1.88306</v>
      </c>
      <c r="HP59">
        <v>1.8798900000000001</v>
      </c>
      <c r="HQ59">
        <v>1.8833899999999999</v>
      </c>
      <c r="HR59">
        <v>1.8793599999999999</v>
      </c>
      <c r="HS59">
        <v>1.8816900000000001</v>
      </c>
      <c r="HT59">
        <v>5</v>
      </c>
      <c r="HU59">
        <v>0</v>
      </c>
      <c r="HV59">
        <v>0</v>
      </c>
      <c r="HW59">
        <v>0</v>
      </c>
      <c r="HX59" t="s">
        <v>421</v>
      </c>
      <c r="HY59" t="s">
        <v>422</v>
      </c>
      <c r="HZ59" t="s">
        <v>423</v>
      </c>
      <c r="IA59" t="s">
        <v>423</v>
      </c>
      <c r="IB59" t="s">
        <v>423</v>
      </c>
      <c r="IC59" t="s">
        <v>423</v>
      </c>
      <c r="ID59">
        <v>0</v>
      </c>
      <c r="IE59">
        <v>100</v>
      </c>
      <c r="IF59">
        <v>100</v>
      </c>
      <c r="IG59">
        <v>-4.2699999999999996</v>
      </c>
      <c r="IH59">
        <v>3.1300000000000001E-2</v>
      </c>
      <c r="II59">
        <v>-2.8109064571102711</v>
      </c>
      <c r="IJ59">
        <v>-3.7794827560518689E-3</v>
      </c>
      <c r="IK59">
        <v>4.9551128961100493E-7</v>
      </c>
      <c r="IL59">
        <v>1.3680294268397379E-10</v>
      </c>
      <c r="IM59">
        <v>3.1264999999994103E-2</v>
      </c>
      <c r="IN59">
        <v>0</v>
      </c>
      <c r="IO59">
        <v>0</v>
      </c>
      <c r="IP59">
        <v>0</v>
      </c>
      <c r="IQ59">
        <v>4</v>
      </c>
      <c r="IR59">
        <v>2229</v>
      </c>
      <c r="IS59">
        <v>1</v>
      </c>
      <c r="IT59">
        <v>22</v>
      </c>
      <c r="IU59">
        <v>1.9</v>
      </c>
      <c r="IV59">
        <v>1.9</v>
      </c>
      <c r="IW59">
        <v>1.6882299999999999</v>
      </c>
      <c r="IX59">
        <v>2.6000999999999999</v>
      </c>
      <c r="IY59">
        <v>2.9956100000000001</v>
      </c>
      <c r="IZ59">
        <v>2.96021</v>
      </c>
      <c r="JA59">
        <v>3.1970200000000002</v>
      </c>
      <c r="JB59">
        <v>2.5354000000000001</v>
      </c>
      <c r="JC59">
        <v>47.783099999999997</v>
      </c>
      <c r="JD59">
        <v>23.754799999999999</v>
      </c>
      <c r="JE59">
        <v>18</v>
      </c>
      <c r="JF59">
        <v>497.37200000000001</v>
      </c>
      <c r="JG59">
        <v>1120.27</v>
      </c>
      <c r="JH59">
        <v>25.089400000000001</v>
      </c>
      <c r="JI59">
        <v>33.863</v>
      </c>
      <c r="JJ59">
        <v>30.0001</v>
      </c>
      <c r="JK59">
        <v>33.884500000000003</v>
      </c>
      <c r="JL59">
        <v>33.809899999999999</v>
      </c>
      <c r="JM59">
        <v>33.822400000000002</v>
      </c>
      <c r="JN59">
        <v>17.146699999999999</v>
      </c>
      <c r="JO59">
        <v>0</v>
      </c>
      <c r="JP59">
        <v>25.079499999999999</v>
      </c>
      <c r="JQ59">
        <v>450</v>
      </c>
      <c r="JR59">
        <v>24.361999999999998</v>
      </c>
      <c r="JS59">
        <v>98.745000000000005</v>
      </c>
      <c r="JT59">
        <v>97.165199999999999</v>
      </c>
    </row>
    <row r="60" spans="1:280" x14ac:dyDescent="0.25">
      <c r="A60">
        <v>44</v>
      </c>
      <c r="B60">
        <v>1700159392.5999999</v>
      </c>
      <c r="C60">
        <v>10411.099999904631</v>
      </c>
      <c r="D60" t="s">
        <v>608</v>
      </c>
      <c r="E60" t="s">
        <v>609</v>
      </c>
      <c r="F60" t="s">
        <v>412</v>
      </c>
      <c r="G60" t="s">
        <v>604</v>
      </c>
      <c r="H60" t="s">
        <v>545</v>
      </c>
      <c r="I60">
        <v>1700159392.5999999</v>
      </c>
      <c r="J60">
        <f t="shared" si="46"/>
        <v>3.5728555167096176E-3</v>
      </c>
      <c r="K60">
        <f t="shared" si="47"/>
        <v>3.5728555167096174</v>
      </c>
      <c r="L60">
        <f t="shared" si="48"/>
        <v>58.342682445939495</v>
      </c>
      <c r="M60">
        <f t="shared" si="49"/>
        <v>1447.164</v>
      </c>
      <c r="N60">
        <f t="shared" si="50"/>
        <v>1002.388990849102</v>
      </c>
      <c r="O60">
        <f t="shared" si="51"/>
        <v>99.499347513740616</v>
      </c>
      <c r="P60">
        <f t="shared" si="52"/>
        <v>143.64869831960397</v>
      </c>
      <c r="Q60">
        <f t="shared" si="53"/>
        <v>0.23302911092873849</v>
      </c>
      <c r="R60">
        <f t="shared" si="54"/>
        <v>3.3665823985398728</v>
      </c>
      <c r="S60">
        <f t="shared" si="55"/>
        <v>0.22442470340175505</v>
      </c>
      <c r="T60">
        <f t="shared" si="56"/>
        <v>0.14101204117580024</v>
      </c>
      <c r="U60">
        <f t="shared" si="57"/>
        <v>344.37001192906001</v>
      </c>
      <c r="V60">
        <f t="shared" si="58"/>
        <v>30.866536872716054</v>
      </c>
      <c r="W60">
        <f t="shared" si="59"/>
        <v>30.053999999999998</v>
      </c>
      <c r="X60">
        <f t="shared" si="60"/>
        <v>4.2736823507521446</v>
      </c>
      <c r="Y60">
        <f t="shared" si="61"/>
        <v>64.899468924946845</v>
      </c>
      <c r="Z60">
        <f t="shared" si="62"/>
        <v>2.7493250153936</v>
      </c>
      <c r="AA60">
        <f t="shared" si="63"/>
        <v>4.2362827630732447</v>
      </c>
      <c r="AB60">
        <f t="shared" si="64"/>
        <v>1.5243573353585447</v>
      </c>
      <c r="AC60">
        <f t="shared" si="65"/>
        <v>-157.56292828689413</v>
      </c>
      <c r="AD60">
        <f t="shared" si="66"/>
        <v>-27.769376111322249</v>
      </c>
      <c r="AE60">
        <f t="shared" si="67"/>
        <v>-1.833661822120187</v>
      </c>
      <c r="AF60">
        <f t="shared" si="68"/>
        <v>157.20404570872344</v>
      </c>
      <c r="AG60">
        <v>19</v>
      </c>
      <c r="AH60">
        <v>4</v>
      </c>
      <c r="AI60">
        <f t="shared" si="69"/>
        <v>1</v>
      </c>
      <c r="AJ60">
        <f t="shared" si="70"/>
        <v>0</v>
      </c>
      <c r="AK60">
        <f t="shared" si="71"/>
        <v>51937.961198819059</v>
      </c>
      <c r="AL60" t="s">
        <v>431</v>
      </c>
      <c r="AM60" t="s">
        <v>431</v>
      </c>
      <c r="AN60">
        <v>0</v>
      </c>
      <c r="AO60">
        <v>0</v>
      </c>
      <c r="AP60" t="e">
        <f t="shared" si="72"/>
        <v>#DIV/0!</v>
      </c>
      <c r="AQ60">
        <v>0</v>
      </c>
      <c r="AR60" t="s">
        <v>431</v>
      </c>
      <c r="AS60" t="s">
        <v>431</v>
      </c>
      <c r="AT60">
        <v>0</v>
      </c>
      <c r="AU60">
        <v>0</v>
      </c>
      <c r="AV60" t="e">
        <f t="shared" si="73"/>
        <v>#DIV/0!</v>
      </c>
      <c r="AW60">
        <v>0.5</v>
      </c>
      <c r="AX60">
        <f t="shared" si="74"/>
        <v>1513.1850059645301</v>
      </c>
      <c r="AY60">
        <f t="shared" si="75"/>
        <v>58.342682445939495</v>
      </c>
      <c r="AZ60" t="e">
        <f t="shared" si="76"/>
        <v>#DIV/0!</v>
      </c>
      <c r="BA60">
        <f t="shared" si="77"/>
        <v>3.855621237057584E-2</v>
      </c>
      <c r="BB60" t="e">
        <f t="shared" si="78"/>
        <v>#DIV/0!</v>
      </c>
      <c r="BC60" t="e">
        <f t="shared" si="79"/>
        <v>#DIV/0!</v>
      </c>
      <c r="BD60" t="s">
        <v>431</v>
      </c>
      <c r="BE60">
        <v>0</v>
      </c>
      <c r="BF60" t="e">
        <f t="shared" si="80"/>
        <v>#DIV/0!</v>
      </c>
      <c r="BG60" t="e">
        <f t="shared" si="81"/>
        <v>#DIV/0!</v>
      </c>
      <c r="BH60" t="e">
        <f t="shared" si="82"/>
        <v>#DIV/0!</v>
      </c>
      <c r="BI60" t="e">
        <f t="shared" si="83"/>
        <v>#DIV/0!</v>
      </c>
      <c r="BJ60" t="e">
        <f t="shared" si="84"/>
        <v>#DIV/0!</v>
      </c>
      <c r="BK60" t="e">
        <f t="shared" si="85"/>
        <v>#DIV/0!</v>
      </c>
      <c r="BL60" t="e">
        <f t="shared" si="86"/>
        <v>#DIV/0!</v>
      </c>
      <c r="BM60" t="e">
        <f t="shared" si="87"/>
        <v>#DIV/0!</v>
      </c>
      <c r="BN60">
        <v>20760</v>
      </c>
      <c r="BO60">
        <v>290.00000000000011</v>
      </c>
      <c r="BP60">
        <v>662.61</v>
      </c>
      <c r="BQ60">
        <v>285</v>
      </c>
      <c r="BR60">
        <v>7137.51</v>
      </c>
      <c r="BS60">
        <v>664.25</v>
      </c>
      <c r="BT60">
        <v>-1.64</v>
      </c>
      <c r="BU60">
        <v>300.00000000000011</v>
      </c>
      <c r="BV60">
        <v>38.299999999999997</v>
      </c>
      <c r="BW60">
        <v>726.61562247431937</v>
      </c>
      <c r="BX60">
        <v>1.2874359646469711</v>
      </c>
      <c r="BY60">
        <v>-44.51384426411861</v>
      </c>
      <c r="BZ60">
        <v>0.77013605368075733</v>
      </c>
      <c r="CA60">
        <v>0.99168852646586025</v>
      </c>
      <c r="CB60">
        <v>-7.04588409343715E-3</v>
      </c>
      <c r="CC60">
        <v>289.99999999999989</v>
      </c>
      <c r="CD60">
        <v>672.59</v>
      </c>
      <c r="CE60">
        <v>895</v>
      </c>
      <c r="CF60">
        <v>7130.38</v>
      </c>
      <c r="CG60">
        <v>664.19</v>
      </c>
      <c r="CH60">
        <v>8.4</v>
      </c>
      <c r="CV60">
        <f t="shared" si="88"/>
        <v>1800</v>
      </c>
      <c r="CW60">
        <f t="shared" si="89"/>
        <v>1513.1850059645301</v>
      </c>
      <c r="CX60">
        <f t="shared" si="90"/>
        <v>0.8406583366469611</v>
      </c>
      <c r="CY60">
        <f t="shared" si="91"/>
        <v>0.19131667329392224</v>
      </c>
      <c r="CZ60">
        <v>4.16</v>
      </c>
      <c r="DA60">
        <v>0.5</v>
      </c>
      <c r="DB60" t="s">
        <v>418</v>
      </c>
      <c r="DC60">
        <v>2</v>
      </c>
      <c r="DD60">
        <v>1700159392.5999999</v>
      </c>
      <c r="DE60">
        <v>1447.164</v>
      </c>
      <c r="DF60">
        <v>1500</v>
      </c>
      <c r="DG60">
        <v>27.697600000000001</v>
      </c>
      <c r="DH60">
        <v>24.807700000000001</v>
      </c>
      <c r="DI60">
        <v>1454.39</v>
      </c>
      <c r="DJ60">
        <v>27.653600000000001</v>
      </c>
      <c r="DK60">
        <v>500.06599999999997</v>
      </c>
      <c r="DL60">
        <v>99.162199999999999</v>
      </c>
      <c r="DM60">
        <v>0.100011</v>
      </c>
      <c r="DN60">
        <v>29.901</v>
      </c>
      <c r="DO60">
        <v>30.053999999999998</v>
      </c>
      <c r="DP60">
        <v>999.9</v>
      </c>
      <c r="DQ60">
        <v>0</v>
      </c>
      <c r="DR60">
        <v>0</v>
      </c>
      <c r="DS60">
        <v>10001.200000000001</v>
      </c>
      <c r="DT60">
        <v>0</v>
      </c>
      <c r="DU60">
        <v>146.643</v>
      </c>
      <c r="DV60">
        <v>-52.445599999999999</v>
      </c>
      <c r="DW60">
        <v>1488.77</v>
      </c>
      <c r="DX60">
        <v>1538.15</v>
      </c>
      <c r="DY60">
        <v>2.87723</v>
      </c>
      <c r="DZ60">
        <v>1500</v>
      </c>
      <c r="EA60">
        <v>24.807700000000001</v>
      </c>
      <c r="EB60">
        <v>2.7452899999999998</v>
      </c>
      <c r="EC60">
        <v>2.4599799999999998</v>
      </c>
      <c r="ED60">
        <v>22.558800000000002</v>
      </c>
      <c r="EE60">
        <v>20.764099999999999</v>
      </c>
      <c r="EF60">
        <v>1800</v>
      </c>
      <c r="EG60">
        <v>0.97799199999999997</v>
      </c>
      <c r="EH60">
        <v>2.20079E-2</v>
      </c>
      <c r="EI60">
        <v>0</v>
      </c>
      <c r="EJ60">
        <v>491.60199999999998</v>
      </c>
      <c r="EK60">
        <v>5.0009399999999999</v>
      </c>
      <c r="EL60">
        <v>9676.5400000000009</v>
      </c>
      <c r="EM60">
        <v>13860.1</v>
      </c>
      <c r="EN60">
        <v>47.25</v>
      </c>
      <c r="EO60">
        <v>49</v>
      </c>
      <c r="EP60">
        <v>48.25</v>
      </c>
      <c r="EQ60">
        <v>48.311999999999998</v>
      </c>
      <c r="ER60">
        <v>48.75</v>
      </c>
      <c r="ES60">
        <v>1755.49</v>
      </c>
      <c r="ET60">
        <v>39.5</v>
      </c>
      <c r="EU60">
        <v>0</v>
      </c>
      <c r="EV60">
        <v>111</v>
      </c>
      <c r="EW60">
        <v>0</v>
      </c>
      <c r="EX60">
        <v>492.08626923076918</v>
      </c>
      <c r="EY60">
        <v>-3.5287179592532372</v>
      </c>
      <c r="EZ60">
        <v>3.332991513106113</v>
      </c>
      <c r="FA60">
        <v>9678.418846153847</v>
      </c>
      <c r="FB60">
        <v>15</v>
      </c>
      <c r="FC60">
        <v>1700159417.5999999</v>
      </c>
      <c r="FD60" t="s">
        <v>610</v>
      </c>
      <c r="FE60">
        <v>1700159417.5999999</v>
      </c>
      <c r="FF60">
        <v>1700159410.5999999</v>
      </c>
      <c r="FG60">
        <v>49</v>
      </c>
      <c r="FH60">
        <v>-0.313</v>
      </c>
      <c r="FI60">
        <v>1.2999999999999999E-2</v>
      </c>
      <c r="FJ60">
        <v>-7.226</v>
      </c>
      <c r="FK60">
        <v>4.3999999999999997E-2</v>
      </c>
      <c r="FL60">
        <v>1500</v>
      </c>
      <c r="FM60">
        <v>25</v>
      </c>
      <c r="FN60">
        <v>0.06</v>
      </c>
      <c r="FO60">
        <v>0.04</v>
      </c>
      <c r="FP60">
        <v>57.884413723168038</v>
      </c>
      <c r="FQ60">
        <v>5.091481703851577E-3</v>
      </c>
      <c r="FR60">
        <v>5.9305736247657607E-2</v>
      </c>
      <c r="FS60">
        <v>1</v>
      </c>
      <c r="FT60">
        <v>0.23739354033566201</v>
      </c>
      <c r="FU60">
        <v>-4.7074732822853203E-2</v>
      </c>
      <c r="FV60">
        <v>3.6027591135706812E-3</v>
      </c>
      <c r="FW60">
        <v>1</v>
      </c>
      <c r="FX60">
        <v>2</v>
      </c>
      <c r="FY60">
        <v>2</v>
      </c>
      <c r="FZ60" t="s">
        <v>420</v>
      </c>
      <c r="GA60">
        <v>3.1196199999999998</v>
      </c>
      <c r="GB60">
        <v>2.87764</v>
      </c>
      <c r="GC60">
        <v>0.208736</v>
      </c>
      <c r="GD60">
        <v>0.21503</v>
      </c>
      <c r="GE60">
        <v>0.124499</v>
      </c>
      <c r="GF60">
        <v>0.11609899999999999</v>
      </c>
      <c r="GG60">
        <v>22965.599999999999</v>
      </c>
      <c r="GH60">
        <v>23306.799999999999</v>
      </c>
      <c r="GI60">
        <v>26737.599999999999</v>
      </c>
      <c r="GJ60">
        <v>27425.9</v>
      </c>
      <c r="GK60">
        <v>33493.599999999999</v>
      </c>
      <c r="GL60">
        <v>33882</v>
      </c>
      <c r="GM60">
        <v>39614.400000000001</v>
      </c>
      <c r="GN60">
        <v>39713.4</v>
      </c>
      <c r="GO60">
        <v>1.9397800000000001</v>
      </c>
      <c r="GP60">
        <v>2.4411700000000001</v>
      </c>
      <c r="GQ60">
        <v>1.9483299999999999E-2</v>
      </c>
      <c r="GR60">
        <v>0</v>
      </c>
      <c r="GS60">
        <v>29.736899999999999</v>
      </c>
      <c r="GT60">
        <v>999.9</v>
      </c>
      <c r="GU60">
        <v>31</v>
      </c>
      <c r="GV60">
        <v>45.6</v>
      </c>
      <c r="GW60">
        <v>31.0762</v>
      </c>
      <c r="GX60">
        <v>63.354599999999998</v>
      </c>
      <c r="GY60">
        <v>7.69231</v>
      </c>
      <c r="GZ60">
        <v>3</v>
      </c>
      <c r="HA60">
        <v>0.54788099999999995</v>
      </c>
      <c r="HB60">
        <v>3.9470000000000001</v>
      </c>
      <c r="HC60">
        <v>20.2546</v>
      </c>
      <c r="HD60">
        <v>5.2114500000000001</v>
      </c>
      <c r="HE60">
        <v>11.908099999999999</v>
      </c>
      <c r="HF60">
        <v>4.9968000000000004</v>
      </c>
      <c r="HG60">
        <v>3.3026</v>
      </c>
      <c r="HH60">
        <v>9999</v>
      </c>
      <c r="HI60">
        <v>9999</v>
      </c>
      <c r="HJ60">
        <v>9999</v>
      </c>
      <c r="HK60">
        <v>999.9</v>
      </c>
      <c r="HL60">
        <v>1.8847</v>
      </c>
      <c r="HM60">
        <v>1.88527</v>
      </c>
      <c r="HN60">
        <v>1.88141</v>
      </c>
      <c r="HO60">
        <v>1.8830499999999999</v>
      </c>
      <c r="HP60">
        <v>1.87988</v>
      </c>
      <c r="HQ60">
        <v>1.8833899999999999</v>
      </c>
      <c r="HR60">
        <v>1.8793200000000001</v>
      </c>
      <c r="HS60">
        <v>1.8816600000000001</v>
      </c>
      <c r="HT60">
        <v>5</v>
      </c>
      <c r="HU60">
        <v>0</v>
      </c>
      <c r="HV60">
        <v>0</v>
      </c>
      <c r="HW60">
        <v>0</v>
      </c>
      <c r="HX60" t="s">
        <v>421</v>
      </c>
      <c r="HY60" t="s">
        <v>422</v>
      </c>
      <c r="HZ60" t="s">
        <v>423</v>
      </c>
      <c r="IA60" t="s">
        <v>423</v>
      </c>
      <c r="IB60" t="s">
        <v>423</v>
      </c>
      <c r="IC60" t="s">
        <v>423</v>
      </c>
      <c r="ID60">
        <v>0</v>
      </c>
      <c r="IE60">
        <v>100</v>
      </c>
      <c r="IF60">
        <v>100</v>
      </c>
      <c r="IG60">
        <v>-7.226</v>
      </c>
      <c r="IH60">
        <v>4.3999999999999997E-2</v>
      </c>
      <c r="II60">
        <v>-2.8109064571102711</v>
      </c>
      <c r="IJ60">
        <v>-3.7794827560518689E-3</v>
      </c>
      <c r="IK60">
        <v>4.9551128961100493E-7</v>
      </c>
      <c r="IL60">
        <v>1.3680294268397379E-10</v>
      </c>
      <c r="IM60">
        <v>3.1264999999994103E-2</v>
      </c>
      <c r="IN60">
        <v>0</v>
      </c>
      <c r="IO60">
        <v>0</v>
      </c>
      <c r="IP60">
        <v>0</v>
      </c>
      <c r="IQ60">
        <v>4</v>
      </c>
      <c r="IR60">
        <v>2229</v>
      </c>
      <c r="IS60">
        <v>1</v>
      </c>
      <c r="IT60">
        <v>22</v>
      </c>
      <c r="IU60">
        <v>3.8</v>
      </c>
      <c r="IV60">
        <v>3.7</v>
      </c>
      <c r="IW60">
        <v>4.4311499999999997</v>
      </c>
      <c r="IX60">
        <v>2.5524900000000001</v>
      </c>
      <c r="IY60">
        <v>2.9956100000000001</v>
      </c>
      <c r="IZ60">
        <v>2.96143</v>
      </c>
      <c r="JA60">
        <v>3.1970200000000002</v>
      </c>
      <c r="JB60">
        <v>2.5109900000000001</v>
      </c>
      <c r="JC60">
        <v>47.904299999999999</v>
      </c>
      <c r="JD60">
        <v>23.737300000000001</v>
      </c>
      <c r="JE60">
        <v>18</v>
      </c>
      <c r="JF60">
        <v>497.863</v>
      </c>
      <c r="JG60">
        <v>1120.71</v>
      </c>
      <c r="JH60">
        <v>24.6691</v>
      </c>
      <c r="JI60">
        <v>33.878300000000003</v>
      </c>
      <c r="JJ60">
        <v>30.000299999999999</v>
      </c>
      <c r="JK60">
        <v>33.887599999999999</v>
      </c>
      <c r="JL60">
        <v>33.809699999999999</v>
      </c>
      <c r="JM60">
        <v>88.754800000000003</v>
      </c>
      <c r="JN60">
        <v>15.1226</v>
      </c>
      <c r="JO60">
        <v>0</v>
      </c>
      <c r="JP60">
        <v>24.617699999999999</v>
      </c>
      <c r="JQ60">
        <v>1500</v>
      </c>
      <c r="JR60">
        <v>24.945499999999999</v>
      </c>
      <c r="JS60">
        <v>98.740399999999994</v>
      </c>
      <c r="JT60">
        <v>97.163600000000002</v>
      </c>
    </row>
    <row r="61" spans="1:280" x14ac:dyDescent="0.25">
      <c r="A61">
        <v>45</v>
      </c>
      <c r="B61">
        <v>1700159526.0999999</v>
      </c>
      <c r="C61">
        <v>10544.599999904631</v>
      </c>
      <c r="D61" t="s">
        <v>611</v>
      </c>
      <c r="E61" t="s">
        <v>612</v>
      </c>
      <c r="F61" t="s">
        <v>412</v>
      </c>
      <c r="G61" t="s">
        <v>604</v>
      </c>
      <c r="H61" t="s">
        <v>545</v>
      </c>
      <c r="I61">
        <v>1700159526.0999999</v>
      </c>
      <c r="J61">
        <f t="shared" si="46"/>
        <v>2.8746048564510045E-3</v>
      </c>
      <c r="K61">
        <f t="shared" si="47"/>
        <v>2.8746048564510045</v>
      </c>
      <c r="L61">
        <f t="shared" si="48"/>
        <v>57.037251582035296</v>
      </c>
      <c r="M61">
        <f t="shared" si="49"/>
        <v>1199.6500000000001</v>
      </c>
      <c r="N61">
        <f t="shared" si="50"/>
        <v>666.3879344320593</v>
      </c>
      <c r="O61">
        <f t="shared" si="51"/>
        <v>66.13999407762833</v>
      </c>
      <c r="P61">
        <f t="shared" si="52"/>
        <v>119.06704757920002</v>
      </c>
      <c r="Q61">
        <f t="shared" si="53"/>
        <v>0.18383058601149094</v>
      </c>
      <c r="R61">
        <f t="shared" si="54"/>
        <v>3.3637383824812597</v>
      </c>
      <c r="S61">
        <f t="shared" si="55"/>
        <v>0.1784261487167037</v>
      </c>
      <c r="T61">
        <f t="shared" si="56"/>
        <v>0.1119886755356439</v>
      </c>
      <c r="U61">
        <f t="shared" si="57"/>
        <v>344.35099876226525</v>
      </c>
      <c r="V61">
        <f t="shared" si="58"/>
        <v>30.853207116533913</v>
      </c>
      <c r="W61">
        <f t="shared" si="59"/>
        <v>30.025700000000001</v>
      </c>
      <c r="X61">
        <f t="shared" si="60"/>
        <v>4.266743039716399</v>
      </c>
      <c r="Y61">
        <f t="shared" si="61"/>
        <v>64.946819184835235</v>
      </c>
      <c r="Z61">
        <f t="shared" si="62"/>
        <v>2.7240265642016004</v>
      </c>
      <c r="AA61">
        <f t="shared" si="63"/>
        <v>4.1942416863390397</v>
      </c>
      <c r="AB61">
        <f t="shared" si="64"/>
        <v>1.5427164755147986</v>
      </c>
      <c r="AC61">
        <f t="shared" si="65"/>
        <v>-126.77007416948931</v>
      </c>
      <c r="AD61">
        <f t="shared" si="66"/>
        <v>-54.059201961914169</v>
      </c>
      <c r="AE61">
        <f t="shared" si="67"/>
        <v>-3.5690785944985701</v>
      </c>
      <c r="AF61">
        <f t="shared" si="68"/>
        <v>159.95264403636318</v>
      </c>
      <c r="AG61">
        <v>19</v>
      </c>
      <c r="AH61">
        <v>4</v>
      </c>
      <c r="AI61">
        <f t="shared" si="69"/>
        <v>1</v>
      </c>
      <c r="AJ61">
        <f t="shared" si="70"/>
        <v>0</v>
      </c>
      <c r="AK61">
        <f t="shared" si="71"/>
        <v>51903.088480141909</v>
      </c>
      <c r="AL61" t="s">
        <v>415</v>
      </c>
      <c r="AM61">
        <v>7133.88</v>
      </c>
      <c r="AN61">
        <v>306.28384615384618</v>
      </c>
      <c r="AO61">
        <v>859.63916333292491</v>
      </c>
      <c r="AP61">
        <f t="shared" si="72"/>
        <v>0.64370650010133712</v>
      </c>
      <c r="AQ61">
        <v>-0.73746743666429193</v>
      </c>
      <c r="AR61" t="s">
        <v>613</v>
      </c>
      <c r="AS61">
        <v>7137.21</v>
      </c>
      <c r="AT61">
        <v>491.1316799999999</v>
      </c>
      <c r="AU61">
        <v>748.90511433722281</v>
      </c>
      <c r="AV61">
        <f t="shared" si="73"/>
        <v>0.34420039254953028</v>
      </c>
      <c r="AW61">
        <v>0.5</v>
      </c>
      <c r="AX61">
        <f t="shared" si="74"/>
        <v>1513.1009993811326</v>
      </c>
      <c r="AY61">
        <f t="shared" si="75"/>
        <v>57.037251582035296</v>
      </c>
      <c r="AZ61">
        <f t="shared" si="76"/>
        <v>260.40497897703619</v>
      </c>
      <c r="BA61">
        <f t="shared" si="77"/>
        <v>3.818298913445288E-2</v>
      </c>
      <c r="BB61">
        <f t="shared" si="78"/>
        <v>0.14786125354972526</v>
      </c>
      <c r="BC61">
        <f t="shared" si="79"/>
        <v>290.95571609256308</v>
      </c>
      <c r="BD61" t="s">
        <v>614</v>
      </c>
      <c r="BE61">
        <v>351.89</v>
      </c>
      <c r="BF61">
        <f t="shared" si="80"/>
        <v>351.89</v>
      </c>
      <c r="BG61">
        <f t="shared" si="81"/>
        <v>0.53012739095603467</v>
      </c>
      <c r="BH61">
        <f t="shared" si="82"/>
        <v>0.6492786421180714</v>
      </c>
      <c r="BI61">
        <f t="shared" si="83"/>
        <v>0.21808809741572166</v>
      </c>
      <c r="BJ61">
        <f t="shared" si="84"/>
        <v>0.58237923223885435</v>
      </c>
      <c r="BK61">
        <f t="shared" si="85"/>
        <v>0.20011382480285442</v>
      </c>
      <c r="BL61">
        <f t="shared" si="86"/>
        <v>0.46520041503925824</v>
      </c>
      <c r="BM61">
        <f t="shared" si="87"/>
        <v>0.53479958496074176</v>
      </c>
      <c r="BN61">
        <v>20762</v>
      </c>
      <c r="BO61">
        <v>290.00000000000011</v>
      </c>
      <c r="BP61">
        <v>674.65</v>
      </c>
      <c r="BQ61">
        <v>295</v>
      </c>
      <c r="BR61">
        <v>7137.21</v>
      </c>
      <c r="BS61">
        <v>676.69</v>
      </c>
      <c r="BT61">
        <v>-2.04</v>
      </c>
      <c r="BU61">
        <v>300.00000000000011</v>
      </c>
      <c r="BV61">
        <v>38.299999999999997</v>
      </c>
      <c r="BW61">
        <v>748.90511433722281</v>
      </c>
      <c r="BX61">
        <v>1.2863728914544821</v>
      </c>
      <c r="BY61">
        <v>-51.541260887931287</v>
      </c>
      <c r="BZ61">
        <v>0.76946412683513443</v>
      </c>
      <c r="CA61">
        <v>0.99379812680333712</v>
      </c>
      <c r="CB61">
        <v>-7.045708565072307E-3</v>
      </c>
      <c r="CC61">
        <v>289.99999999999989</v>
      </c>
      <c r="CD61">
        <v>684</v>
      </c>
      <c r="CE61">
        <v>865</v>
      </c>
      <c r="CF61">
        <v>7130.29</v>
      </c>
      <c r="CG61">
        <v>676.62</v>
      </c>
      <c r="CH61">
        <v>7.38</v>
      </c>
      <c r="CV61">
        <f t="shared" si="88"/>
        <v>1799.9</v>
      </c>
      <c r="CW61">
        <f t="shared" si="89"/>
        <v>1513.1009993811326</v>
      </c>
      <c r="CX61">
        <f t="shared" si="90"/>
        <v>0.84065836956560502</v>
      </c>
      <c r="CY61">
        <f t="shared" si="91"/>
        <v>0.1913167391312102</v>
      </c>
      <c r="CZ61">
        <v>4.16</v>
      </c>
      <c r="DA61">
        <v>0.5</v>
      </c>
      <c r="DB61" t="s">
        <v>418</v>
      </c>
      <c r="DC61">
        <v>2</v>
      </c>
      <c r="DD61">
        <v>1700159526.0999999</v>
      </c>
      <c r="DE61">
        <v>1199.6500000000001</v>
      </c>
      <c r="DF61">
        <v>1249.98</v>
      </c>
      <c r="DG61">
        <v>27.445699999999999</v>
      </c>
      <c r="DH61">
        <v>25.119399999999999</v>
      </c>
      <c r="DI61">
        <v>1206.3499999999999</v>
      </c>
      <c r="DJ61">
        <v>27.398900000000001</v>
      </c>
      <c r="DK61">
        <v>499.94200000000001</v>
      </c>
      <c r="DL61">
        <v>99.151300000000006</v>
      </c>
      <c r="DM61">
        <v>0.100188</v>
      </c>
      <c r="DN61">
        <v>29.727599999999999</v>
      </c>
      <c r="DO61">
        <v>30.025700000000001</v>
      </c>
      <c r="DP61">
        <v>999.9</v>
      </c>
      <c r="DQ61">
        <v>0</v>
      </c>
      <c r="DR61">
        <v>0</v>
      </c>
      <c r="DS61">
        <v>9989.3799999999992</v>
      </c>
      <c r="DT61">
        <v>0</v>
      </c>
      <c r="DU61">
        <v>111.383</v>
      </c>
      <c r="DV61">
        <v>-50.324599999999997</v>
      </c>
      <c r="DW61">
        <v>1233.51</v>
      </c>
      <c r="DX61">
        <v>1282.18</v>
      </c>
      <c r="DY61">
        <v>2.3263699999999998</v>
      </c>
      <c r="DZ61">
        <v>1249.98</v>
      </c>
      <c r="EA61">
        <v>25.119399999999999</v>
      </c>
      <c r="EB61">
        <v>2.7212800000000001</v>
      </c>
      <c r="EC61">
        <v>2.4906199999999998</v>
      </c>
      <c r="ED61">
        <v>22.414200000000001</v>
      </c>
      <c r="EE61">
        <v>20.965299999999999</v>
      </c>
      <c r="EF61">
        <v>1799.9</v>
      </c>
      <c r="EG61">
        <v>0.97799199999999997</v>
      </c>
      <c r="EH61">
        <v>2.20079E-2</v>
      </c>
      <c r="EI61">
        <v>0</v>
      </c>
      <c r="EJ61">
        <v>491.47899999999998</v>
      </c>
      <c r="EK61">
        <v>5.0009399999999999</v>
      </c>
      <c r="EL61">
        <v>9523.2099999999991</v>
      </c>
      <c r="EM61">
        <v>13859.4</v>
      </c>
      <c r="EN61">
        <v>47.311999999999998</v>
      </c>
      <c r="EO61">
        <v>49.061999999999998</v>
      </c>
      <c r="EP61">
        <v>48.375</v>
      </c>
      <c r="EQ61">
        <v>48.375</v>
      </c>
      <c r="ER61">
        <v>48.75</v>
      </c>
      <c r="ES61">
        <v>1755.4</v>
      </c>
      <c r="ET61">
        <v>39.5</v>
      </c>
      <c r="EU61">
        <v>0</v>
      </c>
      <c r="EV61">
        <v>244.80000019073489</v>
      </c>
      <c r="EW61">
        <v>0</v>
      </c>
      <c r="EX61">
        <v>491.1316799999999</v>
      </c>
      <c r="EY61">
        <v>1.5410000053830639</v>
      </c>
      <c r="EZ61">
        <v>492.0846142104815</v>
      </c>
      <c r="FA61">
        <v>9518.4791999999998</v>
      </c>
      <c r="FB61">
        <v>15</v>
      </c>
      <c r="FC61">
        <v>1700159503.5999999</v>
      </c>
      <c r="FD61" t="s">
        <v>615</v>
      </c>
      <c r="FE61">
        <v>1700159503.5999999</v>
      </c>
      <c r="FF61">
        <v>1700159499.0999999</v>
      </c>
      <c r="FG61">
        <v>50</v>
      </c>
      <c r="FH61">
        <v>2.5999999999999999E-2</v>
      </c>
      <c r="FI61">
        <v>3.0000000000000001E-3</v>
      </c>
      <c r="FJ61">
        <v>-6.7939999999999996</v>
      </c>
      <c r="FK61">
        <v>4.7E-2</v>
      </c>
      <c r="FL61">
        <v>1250</v>
      </c>
      <c r="FM61">
        <v>25</v>
      </c>
      <c r="FN61">
        <v>0.05</v>
      </c>
      <c r="FO61">
        <v>0.05</v>
      </c>
      <c r="FP61">
        <v>57.220512318585143</v>
      </c>
      <c r="FQ61">
        <v>-0.68239386792035939</v>
      </c>
      <c r="FR61">
        <v>0.1298172341990218</v>
      </c>
      <c r="FS61">
        <v>1</v>
      </c>
      <c r="FT61">
        <v>0.18054809579520309</v>
      </c>
      <c r="FU61">
        <v>4.1563180760811183E-2</v>
      </c>
      <c r="FV61">
        <v>3.5261347787183782E-3</v>
      </c>
      <c r="FW61">
        <v>1</v>
      </c>
      <c r="FX61">
        <v>2</v>
      </c>
      <c r="FY61">
        <v>2</v>
      </c>
      <c r="FZ61" t="s">
        <v>420</v>
      </c>
      <c r="GA61">
        <v>3.1195499999999998</v>
      </c>
      <c r="GB61">
        <v>2.8777200000000001</v>
      </c>
      <c r="GC61">
        <v>0.186082</v>
      </c>
      <c r="GD61">
        <v>0.192472</v>
      </c>
      <c r="GE61">
        <v>0.123663</v>
      </c>
      <c r="GF61">
        <v>0.11711100000000001</v>
      </c>
      <c r="GG61">
        <v>23620.2</v>
      </c>
      <c r="GH61">
        <v>23972.7</v>
      </c>
      <c r="GI61">
        <v>26732.9</v>
      </c>
      <c r="GJ61">
        <v>27420.1</v>
      </c>
      <c r="GK61">
        <v>33518.300000000003</v>
      </c>
      <c r="GL61">
        <v>33835</v>
      </c>
      <c r="GM61">
        <v>39607.599999999999</v>
      </c>
      <c r="GN61">
        <v>39705.800000000003</v>
      </c>
      <c r="GO61">
        <v>1.9388000000000001</v>
      </c>
      <c r="GP61">
        <v>2.4409999999999998</v>
      </c>
      <c r="GQ61">
        <v>2.1345900000000001E-2</v>
      </c>
      <c r="GR61">
        <v>0</v>
      </c>
      <c r="GS61">
        <v>29.6783</v>
      </c>
      <c r="GT61">
        <v>999.9</v>
      </c>
      <c r="GU61">
        <v>31</v>
      </c>
      <c r="GV61">
        <v>45.6</v>
      </c>
      <c r="GW61">
        <v>31.077500000000001</v>
      </c>
      <c r="GX61">
        <v>63.244599999999998</v>
      </c>
      <c r="GY61">
        <v>7.6322099999999997</v>
      </c>
      <c r="GZ61">
        <v>3</v>
      </c>
      <c r="HA61">
        <v>0.55460900000000002</v>
      </c>
      <c r="HB61">
        <v>4.0758999999999999</v>
      </c>
      <c r="HC61">
        <v>20.2515</v>
      </c>
      <c r="HD61">
        <v>5.2151899999999998</v>
      </c>
      <c r="HE61">
        <v>11.908099999999999</v>
      </c>
      <c r="HF61">
        <v>4.9970499999999998</v>
      </c>
      <c r="HG61">
        <v>3.3026499999999999</v>
      </c>
      <c r="HH61">
        <v>9999</v>
      </c>
      <c r="HI61">
        <v>9999</v>
      </c>
      <c r="HJ61">
        <v>9999</v>
      </c>
      <c r="HK61">
        <v>999.9</v>
      </c>
      <c r="HL61">
        <v>1.88473</v>
      </c>
      <c r="HM61">
        <v>1.8853</v>
      </c>
      <c r="HN61">
        <v>1.88141</v>
      </c>
      <c r="HO61">
        <v>1.8830800000000001</v>
      </c>
      <c r="HP61">
        <v>1.8798999999999999</v>
      </c>
      <c r="HQ61">
        <v>1.8833899999999999</v>
      </c>
      <c r="HR61">
        <v>1.8793899999999999</v>
      </c>
      <c r="HS61">
        <v>1.88171</v>
      </c>
      <c r="HT61">
        <v>5</v>
      </c>
      <c r="HU61">
        <v>0</v>
      </c>
      <c r="HV61">
        <v>0</v>
      </c>
      <c r="HW61">
        <v>0</v>
      </c>
      <c r="HX61" t="s">
        <v>421</v>
      </c>
      <c r="HY61" t="s">
        <v>422</v>
      </c>
      <c r="HZ61" t="s">
        <v>423</v>
      </c>
      <c r="IA61" t="s">
        <v>423</v>
      </c>
      <c r="IB61" t="s">
        <v>423</v>
      </c>
      <c r="IC61" t="s">
        <v>423</v>
      </c>
      <c r="ID61">
        <v>0</v>
      </c>
      <c r="IE61">
        <v>100</v>
      </c>
      <c r="IF61">
        <v>100</v>
      </c>
      <c r="IG61">
        <v>-6.7</v>
      </c>
      <c r="IH61">
        <v>4.6800000000000001E-2</v>
      </c>
      <c r="II61">
        <v>-3.097996428819894</v>
      </c>
      <c r="IJ61">
        <v>-3.7794827560518689E-3</v>
      </c>
      <c r="IK61">
        <v>4.9551128961100493E-7</v>
      </c>
      <c r="IL61">
        <v>1.3680294268397379E-10</v>
      </c>
      <c r="IM61">
        <v>4.6809523809528741E-2</v>
      </c>
      <c r="IN61">
        <v>0</v>
      </c>
      <c r="IO61">
        <v>0</v>
      </c>
      <c r="IP61">
        <v>0</v>
      </c>
      <c r="IQ61">
        <v>4</v>
      </c>
      <c r="IR61">
        <v>2229</v>
      </c>
      <c r="IS61">
        <v>1</v>
      </c>
      <c r="IT61">
        <v>22</v>
      </c>
      <c r="IU61">
        <v>0.4</v>
      </c>
      <c r="IV61">
        <v>0.5</v>
      </c>
      <c r="IW61">
        <v>3.8427699999999998</v>
      </c>
      <c r="IX61">
        <v>2.5341800000000001</v>
      </c>
      <c r="IY61">
        <v>2.9956100000000001</v>
      </c>
      <c r="IZ61">
        <v>2.96265</v>
      </c>
      <c r="JA61">
        <v>3.1970200000000002</v>
      </c>
      <c r="JB61">
        <v>2.5293000000000001</v>
      </c>
      <c r="JC61">
        <v>48.1785</v>
      </c>
      <c r="JD61">
        <v>23.745999999999999</v>
      </c>
      <c r="JE61">
        <v>18</v>
      </c>
      <c r="JF61">
        <v>497.55599999999998</v>
      </c>
      <c r="JG61">
        <v>1121.04</v>
      </c>
      <c r="JH61">
        <v>24.349499999999999</v>
      </c>
      <c r="JI61">
        <v>33.927199999999999</v>
      </c>
      <c r="JJ61">
        <v>30.000699999999998</v>
      </c>
      <c r="JK61">
        <v>33.927100000000003</v>
      </c>
      <c r="JL61">
        <v>33.840699999999998</v>
      </c>
      <c r="JM61">
        <v>77.001300000000001</v>
      </c>
      <c r="JN61">
        <v>13.882899999999999</v>
      </c>
      <c r="JO61">
        <v>0</v>
      </c>
      <c r="JP61">
        <v>24.339700000000001</v>
      </c>
      <c r="JQ61">
        <v>1250</v>
      </c>
      <c r="JR61">
        <v>25.171900000000001</v>
      </c>
      <c r="JS61">
        <v>98.723399999999998</v>
      </c>
      <c r="JT61">
        <v>97.144099999999995</v>
      </c>
    </row>
    <row r="62" spans="1:280" x14ac:dyDescent="0.25">
      <c r="A62">
        <v>46</v>
      </c>
      <c r="B62">
        <v>1700159625.5999999</v>
      </c>
      <c r="C62">
        <v>10644.099999904631</v>
      </c>
      <c r="D62" t="s">
        <v>616</v>
      </c>
      <c r="E62" t="s">
        <v>617</v>
      </c>
      <c r="F62" t="s">
        <v>412</v>
      </c>
      <c r="G62" t="s">
        <v>604</v>
      </c>
      <c r="H62" t="s">
        <v>545</v>
      </c>
      <c r="I62">
        <v>1700159625.5999999</v>
      </c>
      <c r="J62">
        <f t="shared" si="46"/>
        <v>2.144857972893727E-3</v>
      </c>
      <c r="K62">
        <f t="shared" si="47"/>
        <v>2.1448579728937269</v>
      </c>
      <c r="L62">
        <f t="shared" si="48"/>
        <v>48.664746521236104</v>
      </c>
      <c r="M62">
        <f t="shared" si="49"/>
        <v>957.74299999999994</v>
      </c>
      <c r="N62">
        <f t="shared" si="50"/>
        <v>360.76440602154298</v>
      </c>
      <c r="O62">
        <f t="shared" si="51"/>
        <v>35.801274694596607</v>
      </c>
      <c r="P62">
        <f t="shared" si="52"/>
        <v>95.0438004900614</v>
      </c>
      <c r="Q62">
        <f t="shared" si="53"/>
        <v>0.13680835206581421</v>
      </c>
      <c r="R62">
        <f t="shared" si="54"/>
        <v>3.3685288787642684</v>
      </c>
      <c r="S62">
        <f t="shared" si="55"/>
        <v>0.13379487017737202</v>
      </c>
      <c r="T62">
        <f t="shared" si="56"/>
        <v>8.3887014689350253E-2</v>
      </c>
      <c r="U62">
        <f t="shared" si="57"/>
        <v>344.40039876244401</v>
      </c>
      <c r="V62">
        <f t="shared" si="58"/>
        <v>30.873738153305666</v>
      </c>
      <c r="W62">
        <f t="shared" si="59"/>
        <v>29.984200000000001</v>
      </c>
      <c r="X62">
        <f t="shared" si="60"/>
        <v>4.2565847765984781</v>
      </c>
      <c r="Y62">
        <f t="shared" si="61"/>
        <v>65.432783173959336</v>
      </c>
      <c r="Z62">
        <f t="shared" si="62"/>
        <v>2.7216515903538601</v>
      </c>
      <c r="AA62">
        <f t="shared" si="63"/>
        <v>4.1594617534731606</v>
      </c>
      <c r="AB62">
        <f t="shared" si="64"/>
        <v>1.5349331862446181</v>
      </c>
      <c r="AC62">
        <f t="shared" si="65"/>
        <v>-94.588236604613357</v>
      </c>
      <c r="AD62">
        <f t="shared" si="66"/>
        <v>-72.859576519470551</v>
      </c>
      <c r="AE62">
        <f t="shared" si="67"/>
        <v>-4.7990448758658397</v>
      </c>
      <c r="AF62">
        <f t="shared" si="68"/>
        <v>172.15354076249426</v>
      </c>
      <c r="AG62">
        <v>19</v>
      </c>
      <c r="AH62">
        <v>4</v>
      </c>
      <c r="AI62">
        <f t="shared" si="69"/>
        <v>1</v>
      </c>
      <c r="AJ62">
        <f t="shared" si="70"/>
        <v>0</v>
      </c>
      <c r="AK62">
        <f t="shared" si="71"/>
        <v>52036.123221140486</v>
      </c>
      <c r="AL62" t="s">
        <v>431</v>
      </c>
      <c r="AM62" t="s">
        <v>431</v>
      </c>
      <c r="AN62">
        <v>0</v>
      </c>
      <c r="AO62">
        <v>0</v>
      </c>
      <c r="AP62" t="e">
        <f t="shared" si="72"/>
        <v>#DIV/0!</v>
      </c>
      <c r="AQ62">
        <v>0</v>
      </c>
      <c r="AR62" t="s">
        <v>431</v>
      </c>
      <c r="AS62" t="s">
        <v>431</v>
      </c>
      <c r="AT62">
        <v>0</v>
      </c>
      <c r="AU62">
        <v>0</v>
      </c>
      <c r="AV62" t="e">
        <f t="shared" si="73"/>
        <v>#DIV/0!</v>
      </c>
      <c r="AW62">
        <v>0.5</v>
      </c>
      <c r="AX62">
        <f t="shared" si="74"/>
        <v>1513.319399381222</v>
      </c>
      <c r="AY62">
        <f t="shared" si="75"/>
        <v>48.664746521236104</v>
      </c>
      <c r="AZ62" t="e">
        <f t="shared" si="76"/>
        <v>#DIV/0!</v>
      </c>
      <c r="BA62">
        <f t="shared" si="77"/>
        <v>3.2157617579695687E-2</v>
      </c>
      <c r="BB62" t="e">
        <f t="shared" si="78"/>
        <v>#DIV/0!</v>
      </c>
      <c r="BC62" t="e">
        <f t="shared" si="79"/>
        <v>#DIV/0!</v>
      </c>
      <c r="BD62" t="s">
        <v>431</v>
      </c>
      <c r="BE62">
        <v>0</v>
      </c>
      <c r="BF62" t="e">
        <f t="shared" si="80"/>
        <v>#DIV/0!</v>
      </c>
      <c r="BG62" t="e">
        <f t="shared" si="81"/>
        <v>#DIV/0!</v>
      </c>
      <c r="BH62" t="e">
        <f t="shared" si="82"/>
        <v>#DIV/0!</v>
      </c>
      <c r="BI62" t="e">
        <f t="shared" si="83"/>
        <v>#DIV/0!</v>
      </c>
      <c r="BJ62" t="e">
        <f t="shared" si="84"/>
        <v>#DIV/0!</v>
      </c>
      <c r="BK62" t="e">
        <f t="shared" si="85"/>
        <v>#DIV/0!</v>
      </c>
      <c r="BL62" t="e">
        <f t="shared" si="86"/>
        <v>#DIV/0!</v>
      </c>
      <c r="BM62" t="e">
        <f t="shared" si="87"/>
        <v>#DIV/0!</v>
      </c>
      <c r="BN62">
        <v>20762</v>
      </c>
      <c r="BO62">
        <v>290.00000000000011</v>
      </c>
      <c r="BP62">
        <v>674.65</v>
      </c>
      <c r="BQ62">
        <v>295</v>
      </c>
      <c r="BR62">
        <v>7137.21</v>
      </c>
      <c r="BS62">
        <v>676.69</v>
      </c>
      <c r="BT62">
        <v>-2.04</v>
      </c>
      <c r="BU62">
        <v>300.00000000000011</v>
      </c>
      <c r="BV62">
        <v>38.299999999999997</v>
      </c>
      <c r="BW62">
        <v>748.90511433722281</v>
      </c>
      <c r="BX62">
        <v>1.2863728914544821</v>
      </c>
      <c r="BY62">
        <v>-51.541260887931287</v>
      </c>
      <c r="BZ62">
        <v>0.76946412683513443</v>
      </c>
      <c r="CA62">
        <v>0.99379812680333712</v>
      </c>
      <c r="CB62">
        <v>-7.045708565072307E-3</v>
      </c>
      <c r="CC62">
        <v>289.99999999999989</v>
      </c>
      <c r="CD62">
        <v>684</v>
      </c>
      <c r="CE62">
        <v>865</v>
      </c>
      <c r="CF62">
        <v>7130.29</v>
      </c>
      <c r="CG62">
        <v>676.62</v>
      </c>
      <c r="CH62">
        <v>7.38</v>
      </c>
      <c r="CV62">
        <f t="shared" si="88"/>
        <v>1800.16</v>
      </c>
      <c r="CW62">
        <f t="shared" si="89"/>
        <v>1513.319399381222</v>
      </c>
      <c r="CX62">
        <f t="shared" si="90"/>
        <v>0.84065827447628094</v>
      </c>
      <c r="CY62">
        <f t="shared" si="91"/>
        <v>0.191316548952562</v>
      </c>
      <c r="CZ62">
        <v>4.16</v>
      </c>
      <c r="DA62">
        <v>0.5</v>
      </c>
      <c r="DB62" t="s">
        <v>418</v>
      </c>
      <c r="DC62">
        <v>2</v>
      </c>
      <c r="DD62">
        <v>1700159625.5999999</v>
      </c>
      <c r="DE62">
        <v>957.74299999999994</v>
      </c>
      <c r="DF62">
        <v>999.98299999999995</v>
      </c>
      <c r="DG62">
        <v>27.425699999999999</v>
      </c>
      <c r="DH62">
        <v>25.688400000000001</v>
      </c>
      <c r="DI62">
        <v>964.03099999999995</v>
      </c>
      <c r="DJ62">
        <v>27.364699999999999</v>
      </c>
      <c r="DK62">
        <v>499.505</v>
      </c>
      <c r="DL62">
        <v>99.137900000000002</v>
      </c>
      <c r="DM62">
        <v>9.9369799999999994E-2</v>
      </c>
      <c r="DN62">
        <v>29.582999999999998</v>
      </c>
      <c r="DO62">
        <v>29.984200000000001</v>
      </c>
      <c r="DP62">
        <v>999.9</v>
      </c>
      <c r="DQ62">
        <v>0</v>
      </c>
      <c r="DR62">
        <v>0</v>
      </c>
      <c r="DS62">
        <v>10012.5</v>
      </c>
      <c r="DT62">
        <v>0</v>
      </c>
      <c r="DU62">
        <v>96.722200000000001</v>
      </c>
      <c r="DV62">
        <v>-42.110500000000002</v>
      </c>
      <c r="DW62">
        <v>984.87</v>
      </c>
      <c r="DX62">
        <v>1026.3499999999999</v>
      </c>
      <c r="DY62">
        <v>1.72319</v>
      </c>
      <c r="DZ62">
        <v>999.98299999999995</v>
      </c>
      <c r="EA62">
        <v>25.688400000000001</v>
      </c>
      <c r="EB62">
        <v>2.7175199999999999</v>
      </c>
      <c r="EC62">
        <v>2.5466899999999999</v>
      </c>
      <c r="ED62">
        <v>22.391500000000001</v>
      </c>
      <c r="EE62">
        <v>21.327999999999999</v>
      </c>
      <c r="EF62">
        <v>1800.16</v>
      </c>
      <c r="EG62">
        <v>0.97799599999999998</v>
      </c>
      <c r="EH62">
        <v>2.2004099999999999E-2</v>
      </c>
      <c r="EI62">
        <v>0</v>
      </c>
      <c r="EJ62">
        <v>500.82100000000003</v>
      </c>
      <c r="EK62">
        <v>5.0009399999999999</v>
      </c>
      <c r="EL62">
        <v>9642.74</v>
      </c>
      <c r="EM62">
        <v>13861.4</v>
      </c>
      <c r="EN62">
        <v>47.311999999999998</v>
      </c>
      <c r="EO62">
        <v>49.061999999999998</v>
      </c>
      <c r="EP62">
        <v>48.375</v>
      </c>
      <c r="EQ62">
        <v>48.375</v>
      </c>
      <c r="ER62">
        <v>48.75</v>
      </c>
      <c r="ES62">
        <v>1755.66</v>
      </c>
      <c r="ET62">
        <v>39.5</v>
      </c>
      <c r="EU62">
        <v>0</v>
      </c>
      <c r="EV62">
        <v>97.799999952316284</v>
      </c>
      <c r="EW62">
        <v>0</v>
      </c>
      <c r="EX62">
        <v>500.97104000000002</v>
      </c>
      <c r="EY62">
        <v>-2.1188461569120278</v>
      </c>
      <c r="EZ62">
        <v>-589.28846216751799</v>
      </c>
      <c r="FA62">
        <v>9651.2371999999996</v>
      </c>
      <c r="FB62">
        <v>15</v>
      </c>
      <c r="FC62">
        <v>1700159648.5999999</v>
      </c>
      <c r="FD62" t="s">
        <v>618</v>
      </c>
      <c r="FE62">
        <v>1700159648.5999999</v>
      </c>
      <c r="FF62">
        <v>1700159642.5999999</v>
      </c>
      <c r="FG62">
        <v>51</v>
      </c>
      <c r="FH62">
        <v>-2.7E-2</v>
      </c>
      <c r="FI62">
        <v>1.4E-2</v>
      </c>
      <c r="FJ62">
        <v>-6.2880000000000003</v>
      </c>
      <c r="FK62">
        <v>6.0999999999999999E-2</v>
      </c>
      <c r="FL62">
        <v>1000</v>
      </c>
      <c r="FM62">
        <v>26</v>
      </c>
      <c r="FN62">
        <v>0.06</v>
      </c>
      <c r="FO62">
        <v>0.06</v>
      </c>
      <c r="FP62">
        <v>48.536063990700349</v>
      </c>
      <c r="FQ62">
        <v>0.23859722327106439</v>
      </c>
      <c r="FR62">
        <v>5.6727781271509368E-2</v>
      </c>
      <c r="FS62">
        <v>1</v>
      </c>
      <c r="FT62">
        <v>0.12708543762357999</v>
      </c>
      <c r="FU62">
        <v>1.7465482236019441E-2</v>
      </c>
      <c r="FV62">
        <v>2.2868775063827778E-3</v>
      </c>
      <c r="FW62">
        <v>1</v>
      </c>
      <c r="FX62">
        <v>2</v>
      </c>
      <c r="FY62">
        <v>2</v>
      </c>
      <c r="FZ62" t="s">
        <v>420</v>
      </c>
      <c r="GA62">
        <v>3.1192000000000002</v>
      </c>
      <c r="GB62">
        <v>2.8771</v>
      </c>
      <c r="GC62">
        <v>0.161325</v>
      </c>
      <c r="GD62">
        <v>0.167215</v>
      </c>
      <c r="GE62">
        <v>0.123528</v>
      </c>
      <c r="GF62">
        <v>0.118959</v>
      </c>
      <c r="GG62">
        <v>24337.599999999999</v>
      </c>
      <c r="GH62">
        <v>24721.9</v>
      </c>
      <c r="GI62">
        <v>26730.6</v>
      </c>
      <c r="GJ62">
        <v>27418.2</v>
      </c>
      <c r="GK62">
        <v>33518.800000000003</v>
      </c>
      <c r="GL62">
        <v>33761</v>
      </c>
      <c r="GM62">
        <v>39604.300000000003</v>
      </c>
      <c r="GN62">
        <v>39704.300000000003</v>
      </c>
      <c r="GO62">
        <v>1.9368000000000001</v>
      </c>
      <c r="GP62">
        <v>2.4397700000000002</v>
      </c>
      <c r="GQ62">
        <v>2.38605E-2</v>
      </c>
      <c r="GR62">
        <v>0</v>
      </c>
      <c r="GS62">
        <v>29.595700000000001</v>
      </c>
      <c r="GT62">
        <v>999.9</v>
      </c>
      <c r="GU62">
        <v>31</v>
      </c>
      <c r="GV62">
        <v>45.5</v>
      </c>
      <c r="GW62">
        <v>30.927</v>
      </c>
      <c r="GX62">
        <v>62.704599999999999</v>
      </c>
      <c r="GY62">
        <v>7.8285299999999998</v>
      </c>
      <c r="GZ62">
        <v>3</v>
      </c>
      <c r="HA62">
        <v>0.55332300000000001</v>
      </c>
      <c r="HB62">
        <v>3.2915399999999999</v>
      </c>
      <c r="HC62">
        <v>20.2697</v>
      </c>
      <c r="HD62">
        <v>5.2072599999999998</v>
      </c>
      <c r="HE62">
        <v>11.908099999999999</v>
      </c>
      <c r="HF62">
        <v>4.9943499999999998</v>
      </c>
      <c r="HG62">
        <v>3.3018999999999998</v>
      </c>
      <c r="HH62">
        <v>9999</v>
      </c>
      <c r="HI62">
        <v>9999</v>
      </c>
      <c r="HJ62">
        <v>9999</v>
      </c>
      <c r="HK62">
        <v>999.9</v>
      </c>
      <c r="HL62">
        <v>1.8847100000000001</v>
      </c>
      <c r="HM62">
        <v>1.88524</v>
      </c>
      <c r="HN62">
        <v>1.88141</v>
      </c>
      <c r="HO62">
        <v>1.8830800000000001</v>
      </c>
      <c r="HP62">
        <v>1.8799399999999999</v>
      </c>
      <c r="HQ62">
        <v>1.8833899999999999</v>
      </c>
      <c r="HR62">
        <v>1.87934</v>
      </c>
      <c r="HS62">
        <v>1.88171</v>
      </c>
      <c r="HT62">
        <v>5</v>
      </c>
      <c r="HU62">
        <v>0</v>
      </c>
      <c r="HV62">
        <v>0</v>
      </c>
      <c r="HW62">
        <v>0</v>
      </c>
      <c r="HX62" t="s">
        <v>421</v>
      </c>
      <c r="HY62" t="s">
        <v>422</v>
      </c>
      <c r="HZ62" t="s">
        <v>423</v>
      </c>
      <c r="IA62" t="s">
        <v>423</v>
      </c>
      <c r="IB62" t="s">
        <v>423</v>
      </c>
      <c r="IC62" t="s">
        <v>423</v>
      </c>
      <c r="ID62">
        <v>0</v>
      </c>
      <c r="IE62">
        <v>100</v>
      </c>
      <c r="IF62">
        <v>100</v>
      </c>
      <c r="IG62">
        <v>-6.2880000000000003</v>
      </c>
      <c r="IH62">
        <v>6.0999999999999999E-2</v>
      </c>
      <c r="II62">
        <v>-3.097996428819894</v>
      </c>
      <c r="IJ62">
        <v>-3.7794827560518689E-3</v>
      </c>
      <c r="IK62">
        <v>4.9551128961100493E-7</v>
      </c>
      <c r="IL62">
        <v>1.3680294268397379E-10</v>
      </c>
      <c r="IM62">
        <v>4.6809523809528741E-2</v>
      </c>
      <c r="IN62">
        <v>0</v>
      </c>
      <c r="IO62">
        <v>0</v>
      </c>
      <c r="IP62">
        <v>0</v>
      </c>
      <c r="IQ62">
        <v>4</v>
      </c>
      <c r="IR62">
        <v>2229</v>
      </c>
      <c r="IS62">
        <v>1</v>
      </c>
      <c r="IT62">
        <v>22</v>
      </c>
      <c r="IU62">
        <v>2</v>
      </c>
      <c r="IV62">
        <v>2.1</v>
      </c>
      <c r="IW62">
        <v>3.2202099999999998</v>
      </c>
      <c r="IX62">
        <v>2.5463900000000002</v>
      </c>
      <c r="IY62">
        <v>2.9956100000000001</v>
      </c>
      <c r="IZ62">
        <v>2.96265</v>
      </c>
      <c r="JA62">
        <v>3.1970200000000002</v>
      </c>
      <c r="JB62">
        <v>2.5451700000000002</v>
      </c>
      <c r="JC62">
        <v>48.331600000000002</v>
      </c>
      <c r="JD62">
        <v>23.754799999999999</v>
      </c>
      <c r="JE62">
        <v>18</v>
      </c>
      <c r="JF62">
        <v>496.54199999999997</v>
      </c>
      <c r="JG62">
        <v>1119.9000000000001</v>
      </c>
      <c r="JH62">
        <v>24.280899999999999</v>
      </c>
      <c r="JI62">
        <v>33.976100000000002</v>
      </c>
      <c r="JJ62">
        <v>29.997199999999999</v>
      </c>
      <c r="JK62">
        <v>33.957599999999999</v>
      </c>
      <c r="JL62">
        <v>33.867899999999999</v>
      </c>
      <c r="JM62">
        <v>64.533900000000003</v>
      </c>
      <c r="JN62">
        <v>11.236700000000001</v>
      </c>
      <c r="JO62">
        <v>0</v>
      </c>
      <c r="JP62">
        <v>24.316600000000001</v>
      </c>
      <c r="JQ62">
        <v>1000</v>
      </c>
      <c r="JR62">
        <v>25.571999999999999</v>
      </c>
      <c r="JS62">
        <v>98.715000000000003</v>
      </c>
      <c r="JT62">
        <v>97.139399999999995</v>
      </c>
    </row>
    <row r="63" spans="1:280" x14ac:dyDescent="0.25">
      <c r="A63">
        <v>47</v>
      </c>
      <c r="B63">
        <v>1700159883</v>
      </c>
      <c r="C63">
        <v>10901.5</v>
      </c>
      <c r="D63" t="s">
        <v>619</v>
      </c>
      <c r="E63" t="s">
        <v>620</v>
      </c>
      <c r="F63" t="s">
        <v>412</v>
      </c>
      <c r="G63" t="s">
        <v>604</v>
      </c>
      <c r="H63" t="s">
        <v>545</v>
      </c>
      <c r="I63">
        <v>1700159883</v>
      </c>
      <c r="J63">
        <f t="shared" si="46"/>
        <v>3.4457030407278656E-3</v>
      </c>
      <c r="K63">
        <f t="shared" si="47"/>
        <v>3.4457030407278655</v>
      </c>
      <c r="L63">
        <f t="shared" si="48"/>
        <v>55.314846191000193</v>
      </c>
      <c r="M63">
        <f t="shared" si="49"/>
        <v>701.88400000000001</v>
      </c>
      <c r="N63">
        <f t="shared" si="50"/>
        <v>278.33839611516561</v>
      </c>
      <c r="O63">
        <f t="shared" si="51"/>
        <v>27.620477838780978</v>
      </c>
      <c r="P63">
        <f t="shared" si="52"/>
        <v>69.650367099814801</v>
      </c>
      <c r="Q63">
        <f t="shared" si="53"/>
        <v>0.2220773548840414</v>
      </c>
      <c r="R63">
        <f t="shared" si="54"/>
        <v>3.3676173620971137</v>
      </c>
      <c r="S63">
        <f t="shared" si="55"/>
        <v>0.21425040949065027</v>
      </c>
      <c r="T63">
        <f t="shared" si="56"/>
        <v>0.13458674417487698</v>
      </c>
      <c r="U63">
        <f t="shared" si="57"/>
        <v>344.33959876222394</v>
      </c>
      <c r="V63">
        <f t="shared" si="58"/>
        <v>30.798734414725192</v>
      </c>
      <c r="W63">
        <f t="shared" si="59"/>
        <v>30.012</v>
      </c>
      <c r="X63">
        <f t="shared" si="60"/>
        <v>4.2633872554958057</v>
      </c>
      <c r="Y63">
        <f t="shared" si="61"/>
        <v>64.650547528460507</v>
      </c>
      <c r="Z63">
        <f t="shared" si="62"/>
        <v>2.7236405099919598</v>
      </c>
      <c r="AA63">
        <f t="shared" si="63"/>
        <v>4.2128653416167241</v>
      </c>
      <c r="AB63">
        <f t="shared" si="64"/>
        <v>1.5397467455038458</v>
      </c>
      <c r="AC63">
        <f t="shared" si="65"/>
        <v>-151.95550409609888</v>
      </c>
      <c r="AD63">
        <f t="shared" si="66"/>
        <v>-37.654504350543689</v>
      </c>
      <c r="AE63">
        <f t="shared" si="67"/>
        <v>-2.4839278392220763</v>
      </c>
      <c r="AF63">
        <f t="shared" si="68"/>
        <v>152.24566247635931</v>
      </c>
      <c r="AG63">
        <v>19</v>
      </c>
      <c r="AH63">
        <v>4</v>
      </c>
      <c r="AI63">
        <f t="shared" si="69"/>
        <v>1</v>
      </c>
      <c r="AJ63">
        <f t="shared" si="70"/>
        <v>0</v>
      </c>
      <c r="AK63">
        <f t="shared" si="71"/>
        <v>51977.309796883193</v>
      </c>
      <c r="AL63" t="s">
        <v>415</v>
      </c>
      <c r="AM63">
        <v>7133.88</v>
      </c>
      <c r="AN63">
        <v>306.28384615384618</v>
      </c>
      <c r="AO63">
        <v>859.63916333292491</v>
      </c>
      <c r="AP63">
        <f t="shared" si="72"/>
        <v>0.64370650010133712</v>
      </c>
      <c r="AQ63">
        <v>-0.73746743666429193</v>
      </c>
      <c r="AR63" t="s">
        <v>621</v>
      </c>
      <c r="AS63">
        <v>7136.72</v>
      </c>
      <c r="AT63">
        <v>491.94807692307688</v>
      </c>
      <c r="AU63">
        <v>730.41635664568867</v>
      </c>
      <c r="AV63">
        <f t="shared" si="73"/>
        <v>0.32648266643115209</v>
      </c>
      <c r="AW63">
        <v>0.5</v>
      </c>
      <c r="AX63">
        <f t="shared" si="74"/>
        <v>1513.0505993811119</v>
      </c>
      <c r="AY63">
        <f t="shared" si="75"/>
        <v>55.314846191000193</v>
      </c>
      <c r="AZ63">
        <f t="shared" si="76"/>
        <v>246.99239706559914</v>
      </c>
      <c r="BA63">
        <f t="shared" si="77"/>
        <v>3.7045894995575E-2</v>
      </c>
      <c r="BB63">
        <f t="shared" si="78"/>
        <v>0.17691663872461691</v>
      </c>
      <c r="BC63">
        <f t="shared" si="79"/>
        <v>288.1222750954725</v>
      </c>
      <c r="BD63" t="s">
        <v>622</v>
      </c>
      <c r="BE63">
        <v>355.15</v>
      </c>
      <c r="BF63">
        <f t="shared" si="80"/>
        <v>355.15</v>
      </c>
      <c r="BG63">
        <f t="shared" si="81"/>
        <v>0.51377047245907081</v>
      </c>
      <c r="BH63">
        <f t="shared" si="82"/>
        <v>0.63546405239775838</v>
      </c>
      <c r="BI63">
        <f t="shared" si="83"/>
        <v>0.25614585223896852</v>
      </c>
      <c r="BJ63">
        <f t="shared" si="84"/>
        <v>0.56224947115247925</v>
      </c>
      <c r="BK63">
        <f t="shared" si="85"/>
        <v>0.23352591486062602</v>
      </c>
      <c r="BL63">
        <f t="shared" si="86"/>
        <v>0.45875788278435115</v>
      </c>
      <c r="BM63">
        <f t="shared" si="87"/>
        <v>0.54124211721564885</v>
      </c>
      <c r="BN63">
        <v>20764</v>
      </c>
      <c r="BO63">
        <v>290.00000000000011</v>
      </c>
      <c r="BP63">
        <v>661.44</v>
      </c>
      <c r="BQ63">
        <v>295</v>
      </c>
      <c r="BR63">
        <v>7136.72</v>
      </c>
      <c r="BS63">
        <v>663.3</v>
      </c>
      <c r="BT63">
        <v>-1.86</v>
      </c>
      <c r="BU63">
        <v>300.00000000000011</v>
      </c>
      <c r="BV63">
        <v>38.299999999999997</v>
      </c>
      <c r="BW63">
        <v>730.41635664568867</v>
      </c>
      <c r="BX63">
        <v>1.1242375565845619</v>
      </c>
      <c r="BY63">
        <v>-47.897642783765328</v>
      </c>
      <c r="BZ63">
        <v>0.6724351782090302</v>
      </c>
      <c r="CA63">
        <v>0.99451166663641077</v>
      </c>
      <c r="CB63">
        <v>-7.0451991101223629E-3</v>
      </c>
      <c r="CC63">
        <v>289.99999999999989</v>
      </c>
      <c r="CD63">
        <v>670.26</v>
      </c>
      <c r="CE63">
        <v>875</v>
      </c>
      <c r="CF63">
        <v>7129.67</v>
      </c>
      <c r="CG63">
        <v>663.24</v>
      </c>
      <c r="CH63">
        <v>7.02</v>
      </c>
      <c r="CV63">
        <f t="shared" si="88"/>
        <v>1799.84</v>
      </c>
      <c r="CW63">
        <f t="shared" si="89"/>
        <v>1513.0505993811119</v>
      </c>
      <c r="CX63">
        <f t="shared" si="90"/>
        <v>0.84065839151319666</v>
      </c>
      <c r="CY63">
        <f t="shared" si="91"/>
        <v>0.19131678302639343</v>
      </c>
      <c r="CZ63">
        <v>4.16</v>
      </c>
      <c r="DA63">
        <v>0.5</v>
      </c>
      <c r="DB63" t="s">
        <v>418</v>
      </c>
      <c r="DC63">
        <v>2</v>
      </c>
      <c r="DD63">
        <v>1700159883</v>
      </c>
      <c r="DE63">
        <v>701.88400000000001</v>
      </c>
      <c r="DF63">
        <v>749.91399999999999</v>
      </c>
      <c r="DG63">
        <v>27.4468</v>
      </c>
      <c r="DH63">
        <v>24.658899999999999</v>
      </c>
      <c r="DI63">
        <v>707.43100000000004</v>
      </c>
      <c r="DJ63">
        <v>27.3933</v>
      </c>
      <c r="DK63">
        <v>500.04300000000001</v>
      </c>
      <c r="DL63">
        <v>99.133499999999998</v>
      </c>
      <c r="DM63">
        <v>9.9944699999999997E-2</v>
      </c>
      <c r="DN63">
        <v>29.804600000000001</v>
      </c>
      <c r="DO63">
        <v>30.012</v>
      </c>
      <c r="DP63">
        <v>999.9</v>
      </c>
      <c r="DQ63">
        <v>0</v>
      </c>
      <c r="DR63">
        <v>0</v>
      </c>
      <c r="DS63">
        <v>10008.799999999999</v>
      </c>
      <c r="DT63">
        <v>0</v>
      </c>
      <c r="DU63">
        <v>157.17400000000001</v>
      </c>
      <c r="DV63">
        <v>-48.030500000000004</v>
      </c>
      <c r="DW63">
        <v>721.69200000000001</v>
      </c>
      <c r="DX63">
        <v>768.87400000000002</v>
      </c>
      <c r="DY63">
        <v>2.7878699999999998</v>
      </c>
      <c r="DZ63">
        <v>749.91399999999999</v>
      </c>
      <c r="EA63">
        <v>24.658899999999999</v>
      </c>
      <c r="EB63">
        <v>2.7208899999999998</v>
      </c>
      <c r="EC63">
        <v>2.4445199999999998</v>
      </c>
      <c r="ED63">
        <v>22.411799999999999</v>
      </c>
      <c r="EE63">
        <v>20.661799999999999</v>
      </c>
      <c r="EF63">
        <v>1799.84</v>
      </c>
      <c r="EG63">
        <v>0.97799199999999997</v>
      </c>
      <c r="EH63">
        <v>2.20079E-2</v>
      </c>
      <c r="EI63">
        <v>0</v>
      </c>
      <c r="EJ63">
        <v>491.589</v>
      </c>
      <c r="EK63">
        <v>5.0009399999999999</v>
      </c>
      <c r="EL63">
        <v>9739.26</v>
      </c>
      <c r="EM63">
        <v>13858.9</v>
      </c>
      <c r="EN63">
        <v>47.375</v>
      </c>
      <c r="EO63">
        <v>49.125</v>
      </c>
      <c r="EP63">
        <v>48.436999999999998</v>
      </c>
      <c r="EQ63">
        <v>48.436999999999998</v>
      </c>
      <c r="ER63">
        <v>48.811999999999998</v>
      </c>
      <c r="ES63">
        <v>1755.34</v>
      </c>
      <c r="ET63">
        <v>39.5</v>
      </c>
      <c r="EU63">
        <v>0</v>
      </c>
      <c r="EV63">
        <v>355.20000004768372</v>
      </c>
      <c r="EW63">
        <v>0</v>
      </c>
      <c r="EX63">
        <v>491.94807692307688</v>
      </c>
      <c r="EY63">
        <v>-1.5830427397691591</v>
      </c>
      <c r="EZ63">
        <v>-76.074188138425725</v>
      </c>
      <c r="FA63">
        <v>9760.9526923076919</v>
      </c>
      <c r="FB63">
        <v>15</v>
      </c>
      <c r="FC63">
        <v>1700159733.0999999</v>
      </c>
      <c r="FD63" t="s">
        <v>623</v>
      </c>
      <c r="FE63">
        <v>1700159733.0999999</v>
      </c>
      <c r="FF63">
        <v>1700159730.0999999</v>
      </c>
      <c r="FG63">
        <v>52</v>
      </c>
      <c r="FH63">
        <v>-4.3999999999999997E-2</v>
      </c>
      <c r="FI63">
        <v>-8.0000000000000002E-3</v>
      </c>
      <c r="FJ63">
        <v>-5.6829999999999998</v>
      </c>
      <c r="FK63">
        <v>5.2999999999999999E-2</v>
      </c>
      <c r="FL63">
        <v>750</v>
      </c>
      <c r="FM63">
        <v>25</v>
      </c>
      <c r="FN63">
        <v>0.08</v>
      </c>
      <c r="FO63">
        <v>0.04</v>
      </c>
      <c r="FP63">
        <v>55.379253443762487</v>
      </c>
      <c r="FQ63">
        <v>0.64523608087600004</v>
      </c>
      <c r="FR63">
        <v>6.4126600011128354E-2</v>
      </c>
      <c r="FS63">
        <v>1</v>
      </c>
      <c r="FT63">
        <v>0.21739486693949481</v>
      </c>
      <c r="FU63">
        <v>1.473101459650621E-2</v>
      </c>
      <c r="FV63">
        <v>1.931104231249298E-3</v>
      </c>
      <c r="FW63">
        <v>1</v>
      </c>
      <c r="FX63">
        <v>2</v>
      </c>
      <c r="FY63">
        <v>2</v>
      </c>
      <c r="FZ63" t="s">
        <v>420</v>
      </c>
      <c r="GA63">
        <v>3.11957</v>
      </c>
      <c r="GB63">
        <v>2.87765</v>
      </c>
      <c r="GC63">
        <v>0.13125000000000001</v>
      </c>
      <c r="GD63">
        <v>0.13829</v>
      </c>
      <c r="GE63">
        <v>0.123614</v>
      </c>
      <c r="GF63">
        <v>0.115553</v>
      </c>
      <c r="GG63">
        <v>25214.3</v>
      </c>
      <c r="GH63">
        <v>25583.4</v>
      </c>
      <c r="GI63">
        <v>26733.8</v>
      </c>
      <c r="GJ63">
        <v>27420.3</v>
      </c>
      <c r="GK63">
        <v>33516.9</v>
      </c>
      <c r="GL63">
        <v>33891.199999999997</v>
      </c>
      <c r="GM63">
        <v>39608.9</v>
      </c>
      <c r="GN63">
        <v>39706.699999999997</v>
      </c>
      <c r="GO63">
        <v>1.93943</v>
      </c>
      <c r="GP63">
        <v>2.4403700000000002</v>
      </c>
      <c r="GQ63">
        <v>2.13087E-2</v>
      </c>
      <c r="GR63">
        <v>0</v>
      </c>
      <c r="GS63">
        <v>29.665199999999999</v>
      </c>
      <c r="GT63">
        <v>999.9</v>
      </c>
      <c r="GU63">
        <v>31</v>
      </c>
      <c r="GV63">
        <v>45.6</v>
      </c>
      <c r="GW63">
        <v>31.088200000000001</v>
      </c>
      <c r="GX63">
        <v>63.094700000000003</v>
      </c>
      <c r="GY63">
        <v>7.7844499999999996</v>
      </c>
      <c r="GZ63">
        <v>3</v>
      </c>
      <c r="HA63">
        <v>0.55047500000000005</v>
      </c>
      <c r="HB63">
        <v>3.33799</v>
      </c>
      <c r="HC63">
        <v>20.268000000000001</v>
      </c>
      <c r="HD63">
        <v>5.21549</v>
      </c>
      <c r="HE63">
        <v>11.908099999999999</v>
      </c>
      <c r="HF63">
        <v>4.99735</v>
      </c>
      <c r="HG63">
        <v>3.3028300000000002</v>
      </c>
      <c r="HH63">
        <v>9999</v>
      </c>
      <c r="HI63">
        <v>9999</v>
      </c>
      <c r="HJ63">
        <v>9999</v>
      </c>
      <c r="HK63">
        <v>999.9</v>
      </c>
      <c r="HL63">
        <v>1.8847400000000001</v>
      </c>
      <c r="HM63">
        <v>1.8853</v>
      </c>
      <c r="HN63">
        <v>1.88141</v>
      </c>
      <c r="HO63">
        <v>1.8830899999999999</v>
      </c>
      <c r="HP63">
        <v>1.87992</v>
      </c>
      <c r="HQ63">
        <v>1.8833899999999999</v>
      </c>
      <c r="HR63">
        <v>1.87941</v>
      </c>
      <c r="HS63">
        <v>1.88171</v>
      </c>
      <c r="HT63">
        <v>5</v>
      </c>
      <c r="HU63">
        <v>0</v>
      </c>
      <c r="HV63">
        <v>0</v>
      </c>
      <c r="HW63">
        <v>0</v>
      </c>
      <c r="HX63" t="s">
        <v>421</v>
      </c>
      <c r="HY63" t="s">
        <v>422</v>
      </c>
      <c r="HZ63" t="s">
        <v>423</v>
      </c>
      <c r="IA63" t="s">
        <v>423</v>
      </c>
      <c r="IB63" t="s">
        <v>423</v>
      </c>
      <c r="IC63" t="s">
        <v>423</v>
      </c>
      <c r="ID63">
        <v>0</v>
      </c>
      <c r="IE63">
        <v>100</v>
      </c>
      <c r="IF63">
        <v>100</v>
      </c>
      <c r="IG63">
        <v>-5.5469999999999997</v>
      </c>
      <c r="IH63">
        <v>5.3499999999999999E-2</v>
      </c>
      <c r="II63">
        <v>-3.1693569950117491</v>
      </c>
      <c r="IJ63">
        <v>-3.7794827560518689E-3</v>
      </c>
      <c r="IK63">
        <v>4.9551128961100493E-7</v>
      </c>
      <c r="IL63">
        <v>1.3680294268397379E-10</v>
      </c>
      <c r="IM63">
        <v>5.3429999999998763E-2</v>
      </c>
      <c r="IN63">
        <v>0</v>
      </c>
      <c r="IO63">
        <v>0</v>
      </c>
      <c r="IP63">
        <v>0</v>
      </c>
      <c r="IQ63">
        <v>4</v>
      </c>
      <c r="IR63">
        <v>2229</v>
      </c>
      <c r="IS63">
        <v>1</v>
      </c>
      <c r="IT63">
        <v>22</v>
      </c>
      <c r="IU63">
        <v>2.5</v>
      </c>
      <c r="IV63">
        <v>2.5</v>
      </c>
      <c r="IW63">
        <v>2.5524900000000001</v>
      </c>
      <c r="IX63">
        <v>2.5524900000000001</v>
      </c>
      <c r="IY63">
        <v>2.9956100000000001</v>
      </c>
      <c r="IZ63">
        <v>2.96265</v>
      </c>
      <c r="JA63">
        <v>3.1970200000000002</v>
      </c>
      <c r="JB63">
        <v>2.51831</v>
      </c>
      <c r="JC63">
        <v>48.701599999999999</v>
      </c>
      <c r="JD63">
        <v>23.745999999999999</v>
      </c>
      <c r="JE63">
        <v>18</v>
      </c>
      <c r="JF63">
        <v>498.17899999999997</v>
      </c>
      <c r="JG63">
        <v>1120.8499999999999</v>
      </c>
      <c r="JH63">
        <v>24.941600000000001</v>
      </c>
      <c r="JI63">
        <v>33.951599999999999</v>
      </c>
      <c r="JJ63">
        <v>29.999400000000001</v>
      </c>
      <c r="JK63">
        <v>33.957599999999999</v>
      </c>
      <c r="JL63">
        <v>33.876800000000003</v>
      </c>
      <c r="JM63">
        <v>51.148800000000001</v>
      </c>
      <c r="JN63">
        <v>15.766999999999999</v>
      </c>
      <c r="JO63">
        <v>0</v>
      </c>
      <c r="JP63">
        <v>24.945399999999999</v>
      </c>
      <c r="JQ63">
        <v>750</v>
      </c>
      <c r="JR63">
        <v>24.720199999999998</v>
      </c>
      <c r="JS63">
        <v>98.726500000000001</v>
      </c>
      <c r="JT63">
        <v>97.145799999999994</v>
      </c>
    </row>
    <row r="64" spans="1:280" x14ac:dyDescent="0.25">
      <c r="A64">
        <v>48</v>
      </c>
      <c r="B64">
        <v>1700160067.5</v>
      </c>
      <c r="C64">
        <v>11086</v>
      </c>
      <c r="D64" t="s">
        <v>624</v>
      </c>
      <c r="E64" t="s">
        <v>625</v>
      </c>
      <c r="F64" t="s">
        <v>412</v>
      </c>
      <c r="G64" t="s">
        <v>604</v>
      </c>
      <c r="H64" t="s">
        <v>545</v>
      </c>
      <c r="I64">
        <v>1700160067.5</v>
      </c>
      <c r="J64">
        <f t="shared" si="46"/>
        <v>3.5960645996050856E-3</v>
      </c>
      <c r="K64">
        <f t="shared" si="47"/>
        <v>3.5960645996050857</v>
      </c>
      <c r="L64">
        <f t="shared" si="48"/>
        <v>52.175414891412338</v>
      </c>
      <c r="M64">
        <f t="shared" si="49"/>
        <v>554.90800000000002</v>
      </c>
      <c r="N64">
        <f t="shared" si="50"/>
        <v>179.0084728247912</v>
      </c>
      <c r="O64">
        <f t="shared" si="51"/>
        <v>17.760086475991969</v>
      </c>
      <c r="P64">
        <f t="shared" si="52"/>
        <v>55.054455862912008</v>
      </c>
      <c r="Q64">
        <f t="shared" si="53"/>
        <v>0.23524898633390307</v>
      </c>
      <c r="R64">
        <f t="shared" si="54"/>
        <v>3.3663395277081358</v>
      </c>
      <c r="S64">
        <f t="shared" si="55"/>
        <v>0.22648257359964882</v>
      </c>
      <c r="T64">
        <f t="shared" si="56"/>
        <v>0.14231201836541324</v>
      </c>
      <c r="U64">
        <f t="shared" si="57"/>
        <v>344.36999876233398</v>
      </c>
      <c r="V64">
        <f t="shared" si="58"/>
        <v>30.71599716681192</v>
      </c>
      <c r="W64">
        <f t="shared" si="59"/>
        <v>29.977</v>
      </c>
      <c r="X64">
        <f t="shared" si="60"/>
        <v>4.2548245264347511</v>
      </c>
      <c r="Y64">
        <f t="shared" si="61"/>
        <v>65.103773035035928</v>
      </c>
      <c r="Z64">
        <f t="shared" si="62"/>
        <v>2.7350131541216003</v>
      </c>
      <c r="AA64">
        <f t="shared" si="63"/>
        <v>4.2010056047746094</v>
      </c>
      <c r="AB64">
        <f t="shared" si="64"/>
        <v>1.5198113723131508</v>
      </c>
      <c r="AC64">
        <f t="shared" si="65"/>
        <v>-158.58644884258428</v>
      </c>
      <c r="AD64">
        <f t="shared" si="66"/>
        <v>-40.181021791181003</v>
      </c>
      <c r="AE64">
        <f t="shared" si="67"/>
        <v>-2.6504961740858874</v>
      </c>
      <c r="AF64">
        <f t="shared" si="68"/>
        <v>142.95203195448281</v>
      </c>
      <c r="AG64">
        <v>18</v>
      </c>
      <c r="AH64">
        <v>4</v>
      </c>
      <c r="AI64">
        <f t="shared" si="69"/>
        <v>1</v>
      </c>
      <c r="AJ64">
        <f t="shared" si="70"/>
        <v>0</v>
      </c>
      <c r="AK64">
        <f t="shared" si="71"/>
        <v>51956.363008002634</v>
      </c>
      <c r="AL64" t="s">
        <v>415</v>
      </c>
      <c r="AM64">
        <v>7133.88</v>
      </c>
      <c r="AN64">
        <v>306.28384615384618</v>
      </c>
      <c r="AO64">
        <v>859.63916333292491</v>
      </c>
      <c r="AP64">
        <f t="shared" si="72"/>
        <v>0.64370650010133712</v>
      </c>
      <c r="AQ64">
        <v>-0.73746743666429193</v>
      </c>
      <c r="AR64" t="s">
        <v>626</v>
      </c>
      <c r="AS64">
        <v>7136.11</v>
      </c>
      <c r="AT64">
        <v>493.71826923076929</v>
      </c>
      <c r="AU64">
        <v>716.26860390758702</v>
      </c>
      <c r="AV64">
        <f t="shared" si="73"/>
        <v>0.31070792920798074</v>
      </c>
      <c r="AW64">
        <v>0.5</v>
      </c>
      <c r="AX64">
        <f t="shared" si="74"/>
        <v>1513.184999381167</v>
      </c>
      <c r="AY64">
        <f t="shared" si="75"/>
        <v>52.175414891412338</v>
      </c>
      <c r="AZ64">
        <f t="shared" si="76"/>
        <v>235.079288833151</v>
      </c>
      <c r="BA64">
        <f t="shared" si="77"/>
        <v>3.4967887171572481E-2</v>
      </c>
      <c r="BB64">
        <f t="shared" si="78"/>
        <v>0.2001631212692879</v>
      </c>
      <c r="BC64">
        <f t="shared" si="79"/>
        <v>285.89474253921333</v>
      </c>
      <c r="BD64" t="s">
        <v>627</v>
      </c>
      <c r="BE64">
        <v>350.03</v>
      </c>
      <c r="BF64">
        <f t="shared" si="80"/>
        <v>350.03</v>
      </c>
      <c r="BG64">
        <f t="shared" si="81"/>
        <v>0.51131461285554147</v>
      </c>
      <c r="BH64">
        <f t="shared" si="82"/>
        <v>0.60766487285150816</v>
      </c>
      <c r="BI64">
        <f t="shared" si="83"/>
        <v>0.28133434353431097</v>
      </c>
      <c r="BJ64">
        <f t="shared" si="84"/>
        <v>0.54282587454261788</v>
      </c>
      <c r="BK64">
        <f t="shared" si="85"/>
        <v>0.25909312691928071</v>
      </c>
      <c r="BL64">
        <f t="shared" si="86"/>
        <v>0.43081439091895274</v>
      </c>
      <c r="BM64">
        <f t="shared" si="87"/>
        <v>0.56918560908104721</v>
      </c>
      <c r="BN64">
        <v>20766</v>
      </c>
      <c r="BO64">
        <v>290.00000000000011</v>
      </c>
      <c r="BP64">
        <v>654.22</v>
      </c>
      <c r="BQ64">
        <v>295</v>
      </c>
      <c r="BR64">
        <v>7136.11</v>
      </c>
      <c r="BS64">
        <v>655.8</v>
      </c>
      <c r="BT64">
        <v>-1.58</v>
      </c>
      <c r="BU64">
        <v>300.00000000000011</v>
      </c>
      <c r="BV64">
        <v>38.299999999999997</v>
      </c>
      <c r="BW64">
        <v>716.26860390758702</v>
      </c>
      <c r="BX64">
        <v>1.0631682595628911</v>
      </c>
      <c r="BY64">
        <v>-43.14820416888616</v>
      </c>
      <c r="BZ64">
        <v>0.63585308569787857</v>
      </c>
      <c r="CA64">
        <v>0.9939561542105515</v>
      </c>
      <c r="CB64">
        <v>-7.0445632925472809E-3</v>
      </c>
      <c r="CC64">
        <v>289.99999999999989</v>
      </c>
      <c r="CD64">
        <v>663.94</v>
      </c>
      <c r="CE64">
        <v>875</v>
      </c>
      <c r="CF64">
        <v>7129.03</v>
      </c>
      <c r="CG64">
        <v>655.74</v>
      </c>
      <c r="CH64">
        <v>8.1999999999999993</v>
      </c>
      <c r="CV64">
        <f t="shared" si="88"/>
        <v>1800</v>
      </c>
      <c r="CW64">
        <f t="shared" si="89"/>
        <v>1513.184999381167</v>
      </c>
      <c r="CX64">
        <f t="shared" si="90"/>
        <v>0.84065833298953718</v>
      </c>
      <c r="CY64">
        <f t="shared" si="91"/>
        <v>0.19131666597907443</v>
      </c>
      <c r="CZ64">
        <v>4.16</v>
      </c>
      <c r="DA64">
        <v>0.5</v>
      </c>
      <c r="DB64" t="s">
        <v>418</v>
      </c>
      <c r="DC64">
        <v>2</v>
      </c>
      <c r="DD64">
        <v>1700160067.5</v>
      </c>
      <c r="DE64">
        <v>554.90800000000002</v>
      </c>
      <c r="DF64">
        <v>599.97900000000004</v>
      </c>
      <c r="DG64">
        <v>27.5669</v>
      </c>
      <c r="DH64">
        <v>24.657399999999999</v>
      </c>
      <c r="DI64">
        <v>559.89499999999998</v>
      </c>
      <c r="DJ64">
        <v>27.509799999999998</v>
      </c>
      <c r="DK64">
        <v>499.99099999999999</v>
      </c>
      <c r="DL64">
        <v>99.113600000000005</v>
      </c>
      <c r="DM64">
        <v>0.100064</v>
      </c>
      <c r="DN64">
        <v>29.755600000000001</v>
      </c>
      <c r="DO64">
        <v>29.977</v>
      </c>
      <c r="DP64">
        <v>999.9</v>
      </c>
      <c r="DQ64">
        <v>0</v>
      </c>
      <c r="DR64">
        <v>0</v>
      </c>
      <c r="DS64">
        <v>10005</v>
      </c>
      <c r="DT64">
        <v>0</v>
      </c>
      <c r="DU64">
        <v>131.779</v>
      </c>
      <c r="DV64">
        <v>-45.070999999999998</v>
      </c>
      <c r="DW64">
        <v>570.63900000000001</v>
      </c>
      <c r="DX64">
        <v>615.14700000000005</v>
      </c>
      <c r="DY64">
        <v>2.9095599999999999</v>
      </c>
      <c r="DZ64">
        <v>599.97900000000004</v>
      </c>
      <c r="EA64">
        <v>24.657399999999999</v>
      </c>
      <c r="EB64">
        <v>2.7322600000000001</v>
      </c>
      <c r="EC64">
        <v>2.4438800000000001</v>
      </c>
      <c r="ED64">
        <v>22.480399999999999</v>
      </c>
      <c r="EE64">
        <v>20.657499999999999</v>
      </c>
      <c r="EF64">
        <v>1800</v>
      </c>
      <c r="EG64">
        <v>0.97799599999999998</v>
      </c>
      <c r="EH64">
        <v>2.2004099999999999E-2</v>
      </c>
      <c r="EI64">
        <v>0</v>
      </c>
      <c r="EJ64">
        <v>493.96199999999999</v>
      </c>
      <c r="EK64">
        <v>5.0009399999999999</v>
      </c>
      <c r="EL64">
        <v>9703.3700000000008</v>
      </c>
      <c r="EM64">
        <v>13860.1</v>
      </c>
      <c r="EN64">
        <v>47.5</v>
      </c>
      <c r="EO64">
        <v>49.25</v>
      </c>
      <c r="EP64">
        <v>48.5</v>
      </c>
      <c r="EQ64">
        <v>48.625</v>
      </c>
      <c r="ER64">
        <v>48.936999999999998</v>
      </c>
      <c r="ES64">
        <v>1755.5</v>
      </c>
      <c r="ET64">
        <v>39.5</v>
      </c>
      <c r="EU64">
        <v>0</v>
      </c>
      <c r="EV64">
        <v>182.60000014305109</v>
      </c>
      <c r="EW64">
        <v>0</v>
      </c>
      <c r="EX64">
        <v>493.71826923076929</v>
      </c>
      <c r="EY64">
        <v>0.95791453728949383</v>
      </c>
      <c r="EZ64">
        <v>16.0577777989098</v>
      </c>
      <c r="FA64">
        <v>9699.1588461538468</v>
      </c>
      <c r="FB64">
        <v>15</v>
      </c>
      <c r="FC64">
        <v>1700160005.5</v>
      </c>
      <c r="FD64" t="s">
        <v>628</v>
      </c>
      <c r="FE64">
        <v>1700160005.5</v>
      </c>
      <c r="FF64">
        <v>1700159996.5</v>
      </c>
      <c r="FG64">
        <v>53</v>
      </c>
      <c r="FH64">
        <v>0.11899999999999999</v>
      </c>
      <c r="FI64">
        <v>4.0000000000000001E-3</v>
      </c>
      <c r="FJ64">
        <v>-5.1260000000000003</v>
      </c>
      <c r="FK64">
        <v>5.7000000000000002E-2</v>
      </c>
      <c r="FL64">
        <v>600</v>
      </c>
      <c r="FM64">
        <v>25</v>
      </c>
      <c r="FN64">
        <v>0.05</v>
      </c>
      <c r="FO64">
        <v>0.02</v>
      </c>
      <c r="FP64">
        <v>52.19295746308309</v>
      </c>
      <c r="FQ64">
        <v>0.4776080220621246</v>
      </c>
      <c r="FR64">
        <v>4.4711204516798733E-2</v>
      </c>
      <c r="FS64">
        <v>1</v>
      </c>
      <c r="FT64">
        <v>0.23785380477649151</v>
      </c>
      <c r="FU64">
        <v>-1.957874542985168E-2</v>
      </c>
      <c r="FV64">
        <v>1.434304707706212E-3</v>
      </c>
      <c r="FW64">
        <v>1</v>
      </c>
      <c r="FX64">
        <v>2</v>
      </c>
      <c r="FY64">
        <v>2</v>
      </c>
      <c r="FZ64" t="s">
        <v>420</v>
      </c>
      <c r="GA64">
        <v>3.11951</v>
      </c>
      <c r="GB64">
        <v>2.8777300000000001</v>
      </c>
      <c r="GC64">
        <v>0.111357</v>
      </c>
      <c r="GD64">
        <v>0.118494</v>
      </c>
      <c r="GE64">
        <v>0.12395100000000001</v>
      </c>
      <c r="GF64">
        <v>0.115518</v>
      </c>
      <c r="GG64">
        <v>25788.3</v>
      </c>
      <c r="GH64">
        <v>26169.1</v>
      </c>
      <c r="GI64">
        <v>26730.2</v>
      </c>
      <c r="GJ64">
        <v>27418</v>
      </c>
      <c r="GK64">
        <v>33498.1</v>
      </c>
      <c r="GL64">
        <v>33888.199999999997</v>
      </c>
      <c r="GM64">
        <v>39603.5</v>
      </c>
      <c r="GN64">
        <v>39703.300000000003</v>
      </c>
      <c r="GO64">
        <v>1.93895</v>
      </c>
      <c r="GP64">
        <v>2.4384999999999999</v>
      </c>
      <c r="GQ64">
        <v>1.40704E-2</v>
      </c>
      <c r="GR64">
        <v>0</v>
      </c>
      <c r="GS64">
        <v>29.748000000000001</v>
      </c>
      <c r="GT64">
        <v>999.9</v>
      </c>
      <c r="GU64">
        <v>31</v>
      </c>
      <c r="GV64">
        <v>45.6</v>
      </c>
      <c r="GW64">
        <v>31.0915</v>
      </c>
      <c r="GX64">
        <v>63.234699999999997</v>
      </c>
      <c r="GY64">
        <v>7.7604100000000003</v>
      </c>
      <c r="GZ64">
        <v>3</v>
      </c>
      <c r="HA64">
        <v>0.55489299999999997</v>
      </c>
      <c r="HB64">
        <v>3.4393400000000001</v>
      </c>
      <c r="HC64">
        <v>20.266100000000002</v>
      </c>
      <c r="HD64">
        <v>5.2120499999999996</v>
      </c>
      <c r="HE64">
        <v>11.9086</v>
      </c>
      <c r="HF64">
        <v>4.9972000000000003</v>
      </c>
      <c r="HG64">
        <v>3.3028300000000002</v>
      </c>
      <c r="HH64">
        <v>9999</v>
      </c>
      <c r="HI64">
        <v>9999</v>
      </c>
      <c r="HJ64">
        <v>9999</v>
      </c>
      <c r="HK64">
        <v>999.9</v>
      </c>
      <c r="HL64">
        <v>1.88476</v>
      </c>
      <c r="HM64">
        <v>1.88533</v>
      </c>
      <c r="HN64">
        <v>1.8814200000000001</v>
      </c>
      <c r="HO64">
        <v>1.8830899999999999</v>
      </c>
      <c r="HP64">
        <v>1.8798900000000001</v>
      </c>
      <c r="HQ64">
        <v>1.8834</v>
      </c>
      <c r="HR64">
        <v>1.87941</v>
      </c>
      <c r="HS64">
        <v>1.88171</v>
      </c>
      <c r="HT64">
        <v>5</v>
      </c>
      <c r="HU64">
        <v>0</v>
      </c>
      <c r="HV64">
        <v>0</v>
      </c>
      <c r="HW64">
        <v>0</v>
      </c>
      <c r="HX64" t="s">
        <v>421</v>
      </c>
      <c r="HY64" t="s">
        <v>422</v>
      </c>
      <c r="HZ64" t="s">
        <v>423</v>
      </c>
      <c r="IA64" t="s">
        <v>423</v>
      </c>
      <c r="IB64" t="s">
        <v>423</v>
      </c>
      <c r="IC64" t="s">
        <v>423</v>
      </c>
      <c r="ID64">
        <v>0</v>
      </c>
      <c r="IE64">
        <v>100</v>
      </c>
      <c r="IF64">
        <v>100</v>
      </c>
      <c r="IG64">
        <v>-4.9870000000000001</v>
      </c>
      <c r="IH64">
        <v>5.7099999999999998E-2</v>
      </c>
      <c r="II64">
        <v>-3.0506739866065731</v>
      </c>
      <c r="IJ64">
        <v>-3.7794827560518689E-3</v>
      </c>
      <c r="IK64">
        <v>4.9551128961100493E-7</v>
      </c>
      <c r="IL64">
        <v>1.3680294268397379E-10</v>
      </c>
      <c r="IM64">
        <v>5.7109999999998003E-2</v>
      </c>
      <c r="IN64">
        <v>0</v>
      </c>
      <c r="IO64">
        <v>0</v>
      </c>
      <c r="IP64">
        <v>0</v>
      </c>
      <c r="IQ64">
        <v>4</v>
      </c>
      <c r="IR64">
        <v>2229</v>
      </c>
      <c r="IS64">
        <v>1</v>
      </c>
      <c r="IT64">
        <v>22</v>
      </c>
      <c r="IU64">
        <v>1</v>
      </c>
      <c r="IV64">
        <v>1.2</v>
      </c>
      <c r="IW64">
        <v>2.1301299999999999</v>
      </c>
      <c r="IX64">
        <v>2.5708000000000002</v>
      </c>
      <c r="IY64">
        <v>2.9956100000000001</v>
      </c>
      <c r="IZ64">
        <v>2.96387</v>
      </c>
      <c r="JA64">
        <v>3.1970200000000002</v>
      </c>
      <c r="JB64">
        <v>2.4865699999999999</v>
      </c>
      <c r="JC64">
        <v>48.887999999999998</v>
      </c>
      <c r="JD64">
        <v>23.737300000000001</v>
      </c>
      <c r="JE64">
        <v>18</v>
      </c>
      <c r="JF64">
        <v>498.16199999999998</v>
      </c>
      <c r="JG64">
        <v>1118.8399999999999</v>
      </c>
      <c r="JH64">
        <v>24.7761</v>
      </c>
      <c r="JI64">
        <v>34.015999999999998</v>
      </c>
      <c r="JJ64">
        <v>29.9999</v>
      </c>
      <c r="JK64">
        <v>33.994199999999999</v>
      </c>
      <c r="JL64">
        <v>33.904299999999999</v>
      </c>
      <c r="JM64">
        <v>42.670999999999999</v>
      </c>
      <c r="JN64">
        <v>15.983700000000001</v>
      </c>
      <c r="JO64">
        <v>0</v>
      </c>
      <c r="JP64">
        <v>24.7928</v>
      </c>
      <c r="JQ64">
        <v>600</v>
      </c>
      <c r="JR64">
        <v>24.586300000000001</v>
      </c>
      <c r="JS64">
        <v>98.713200000000001</v>
      </c>
      <c r="JT64">
        <v>97.137600000000006</v>
      </c>
    </row>
    <row r="65" spans="1:280" x14ac:dyDescent="0.25">
      <c r="A65">
        <v>49</v>
      </c>
      <c r="B65">
        <v>1700160280.5</v>
      </c>
      <c r="C65">
        <v>11299</v>
      </c>
      <c r="D65" t="s">
        <v>629</v>
      </c>
      <c r="E65" t="s">
        <v>630</v>
      </c>
      <c r="F65" t="s">
        <v>412</v>
      </c>
      <c r="G65" t="s">
        <v>604</v>
      </c>
      <c r="H65" t="s">
        <v>545</v>
      </c>
      <c r="I65">
        <v>1700160280.5</v>
      </c>
      <c r="J65">
        <f t="shared" si="46"/>
        <v>4.2145160790791527E-3</v>
      </c>
      <c r="K65">
        <f t="shared" si="47"/>
        <v>4.2145160790791527</v>
      </c>
      <c r="L65">
        <f t="shared" si="48"/>
        <v>49.551762190082613</v>
      </c>
      <c r="M65">
        <f t="shared" si="49"/>
        <v>457.16800000000001</v>
      </c>
      <c r="N65">
        <f t="shared" si="50"/>
        <v>151.74882514181016</v>
      </c>
      <c r="O65">
        <f t="shared" si="51"/>
        <v>15.05547597684121</v>
      </c>
      <c r="P65">
        <f t="shared" si="52"/>
        <v>45.357068398707199</v>
      </c>
      <c r="Q65">
        <f t="shared" si="53"/>
        <v>0.27668837317809519</v>
      </c>
      <c r="R65">
        <f t="shared" si="54"/>
        <v>3.3667530413783542</v>
      </c>
      <c r="S65">
        <f t="shared" si="55"/>
        <v>0.26464792781816554</v>
      </c>
      <c r="T65">
        <f t="shared" si="56"/>
        <v>0.16644307643381237</v>
      </c>
      <c r="U65">
        <f t="shared" si="57"/>
        <v>344.35859876229273</v>
      </c>
      <c r="V65">
        <f t="shared" si="58"/>
        <v>30.622230187722916</v>
      </c>
      <c r="W65">
        <f t="shared" si="59"/>
        <v>29.968399999999999</v>
      </c>
      <c r="X65">
        <f t="shared" si="60"/>
        <v>4.252722836855197</v>
      </c>
      <c r="Y65">
        <f t="shared" si="61"/>
        <v>64.768088677627063</v>
      </c>
      <c r="Z65">
        <f t="shared" si="62"/>
        <v>2.72834124337392</v>
      </c>
      <c r="AA65">
        <f t="shared" si="63"/>
        <v>4.2124776245193951</v>
      </c>
      <c r="AB65">
        <f t="shared" si="64"/>
        <v>1.524381593481277</v>
      </c>
      <c r="AC65">
        <f t="shared" si="65"/>
        <v>-185.86015908739063</v>
      </c>
      <c r="AD65">
        <f t="shared" si="66"/>
        <v>-30.021487700506718</v>
      </c>
      <c r="AE65">
        <f t="shared" si="67"/>
        <v>-1.9804710473080405</v>
      </c>
      <c r="AF65">
        <f t="shared" si="68"/>
        <v>126.49648092708736</v>
      </c>
      <c r="AG65">
        <v>19</v>
      </c>
      <c r="AH65">
        <v>4</v>
      </c>
      <c r="AI65">
        <f t="shared" si="69"/>
        <v>1</v>
      </c>
      <c r="AJ65">
        <f t="shared" si="70"/>
        <v>0</v>
      </c>
      <c r="AK65">
        <f t="shared" si="71"/>
        <v>51957.58561093187</v>
      </c>
      <c r="AL65" t="s">
        <v>415</v>
      </c>
      <c r="AM65">
        <v>7133.88</v>
      </c>
      <c r="AN65">
        <v>306.28384615384618</v>
      </c>
      <c r="AO65">
        <v>859.63916333292491</v>
      </c>
      <c r="AP65">
        <f t="shared" si="72"/>
        <v>0.64370650010133712</v>
      </c>
      <c r="AQ65">
        <v>-0.73746743666429193</v>
      </c>
      <c r="AR65" t="s">
        <v>631</v>
      </c>
      <c r="AS65">
        <v>7135.8</v>
      </c>
      <c r="AT65">
        <v>497.83363999999989</v>
      </c>
      <c r="AU65">
        <v>706.53422212506598</v>
      </c>
      <c r="AV65">
        <f t="shared" si="73"/>
        <v>0.2953863742047067</v>
      </c>
      <c r="AW65">
        <v>0.5</v>
      </c>
      <c r="AX65">
        <f t="shared" si="74"/>
        <v>1513.1345993811462</v>
      </c>
      <c r="AY65">
        <f t="shared" si="75"/>
        <v>49.551762190082613</v>
      </c>
      <c r="AZ65">
        <f t="shared" si="76"/>
        <v>223.47967149744412</v>
      </c>
      <c r="BA65">
        <f t="shared" si="77"/>
        <v>3.3235132979785531E-2</v>
      </c>
      <c r="BB65">
        <f t="shared" si="78"/>
        <v>0.21669854964329996</v>
      </c>
      <c r="BC65">
        <f t="shared" si="79"/>
        <v>284.33112751833971</v>
      </c>
      <c r="BD65" t="s">
        <v>632</v>
      </c>
      <c r="BE65">
        <v>353.29</v>
      </c>
      <c r="BF65">
        <f t="shared" si="80"/>
        <v>353.29</v>
      </c>
      <c r="BG65">
        <f t="shared" si="81"/>
        <v>0.49996760392242834</v>
      </c>
      <c r="BH65">
        <f t="shared" si="82"/>
        <v>0.59081102832922128</v>
      </c>
      <c r="BI65">
        <f t="shared" si="83"/>
        <v>0.30237028575317765</v>
      </c>
      <c r="BJ65">
        <f t="shared" si="84"/>
        <v>0.52142507453902509</v>
      </c>
      <c r="BK65">
        <f t="shared" si="85"/>
        <v>0.27668468424296461</v>
      </c>
      <c r="BL65">
        <f t="shared" si="86"/>
        <v>0.41927184390036532</v>
      </c>
      <c r="BM65">
        <f t="shared" si="87"/>
        <v>0.58072815609963468</v>
      </c>
      <c r="BN65">
        <v>20768</v>
      </c>
      <c r="BO65">
        <v>290.00000000000011</v>
      </c>
      <c r="BP65">
        <v>646.94000000000005</v>
      </c>
      <c r="BQ65">
        <v>285</v>
      </c>
      <c r="BR65">
        <v>7135.8</v>
      </c>
      <c r="BS65">
        <v>648.83000000000004</v>
      </c>
      <c r="BT65">
        <v>-1.89</v>
      </c>
      <c r="BU65">
        <v>300.00000000000011</v>
      </c>
      <c r="BV65">
        <v>38.299999999999997</v>
      </c>
      <c r="BW65">
        <v>706.53422212506598</v>
      </c>
      <c r="BX65">
        <v>1.00919266817459</v>
      </c>
      <c r="BY65">
        <v>-41.177373789031343</v>
      </c>
      <c r="BZ65">
        <v>0.60354558152323046</v>
      </c>
      <c r="CA65">
        <v>0.99402061821199428</v>
      </c>
      <c r="CB65">
        <v>-7.0442062291434966E-3</v>
      </c>
      <c r="CC65">
        <v>289.99999999999989</v>
      </c>
      <c r="CD65">
        <v>655.37</v>
      </c>
      <c r="CE65">
        <v>865</v>
      </c>
      <c r="CF65">
        <v>7128.83</v>
      </c>
      <c r="CG65">
        <v>648.77</v>
      </c>
      <c r="CH65">
        <v>6.6</v>
      </c>
      <c r="CV65">
        <f t="shared" si="88"/>
        <v>1799.94</v>
      </c>
      <c r="CW65">
        <f t="shared" si="89"/>
        <v>1513.1345993811462</v>
      </c>
      <c r="CX65">
        <f t="shared" si="90"/>
        <v>0.84065835493469021</v>
      </c>
      <c r="CY65">
        <f t="shared" si="91"/>
        <v>0.19131670986938049</v>
      </c>
      <c r="CZ65">
        <v>4.16</v>
      </c>
      <c r="DA65">
        <v>0.5</v>
      </c>
      <c r="DB65" t="s">
        <v>418</v>
      </c>
      <c r="DC65">
        <v>2</v>
      </c>
      <c r="DD65">
        <v>1700160280.5</v>
      </c>
      <c r="DE65">
        <v>457.16800000000001</v>
      </c>
      <c r="DF65">
        <v>500</v>
      </c>
      <c r="DG65">
        <v>27.4998</v>
      </c>
      <c r="DH65">
        <v>24.089600000000001</v>
      </c>
      <c r="DI65">
        <v>461.72199999999998</v>
      </c>
      <c r="DJ65">
        <v>27.444299999999998</v>
      </c>
      <c r="DK65">
        <v>499.97800000000001</v>
      </c>
      <c r="DL65">
        <v>99.113399999999999</v>
      </c>
      <c r="DM65">
        <v>9.9730399999999997E-2</v>
      </c>
      <c r="DN65">
        <v>29.803000000000001</v>
      </c>
      <c r="DO65">
        <v>29.968399999999999</v>
      </c>
      <c r="DP65">
        <v>999.9</v>
      </c>
      <c r="DQ65">
        <v>0</v>
      </c>
      <c r="DR65">
        <v>0</v>
      </c>
      <c r="DS65">
        <v>10006.9</v>
      </c>
      <c r="DT65">
        <v>0</v>
      </c>
      <c r="DU65">
        <v>98.114900000000006</v>
      </c>
      <c r="DV65">
        <v>-42.831600000000002</v>
      </c>
      <c r="DW65">
        <v>470.096</v>
      </c>
      <c r="DX65">
        <v>512.34199999999998</v>
      </c>
      <c r="DY65">
        <v>3.4102999999999999</v>
      </c>
      <c r="DZ65">
        <v>500</v>
      </c>
      <c r="EA65">
        <v>24.089600000000001</v>
      </c>
      <c r="EB65">
        <v>2.7256</v>
      </c>
      <c r="EC65">
        <v>2.3875999999999999</v>
      </c>
      <c r="ED65">
        <v>22.440300000000001</v>
      </c>
      <c r="EE65">
        <v>20.279900000000001</v>
      </c>
      <c r="EF65">
        <v>1799.94</v>
      </c>
      <c r="EG65">
        <v>0.97799599999999998</v>
      </c>
      <c r="EH65">
        <v>2.2004099999999999E-2</v>
      </c>
      <c r="EI65">
        <v>0</v>
      </c>
      <c r="EJ65">
        <v>497.75599999999997</v>
      </c>
      <c r="EK65">
        <v>5.0009399999999999</v>
      </c>
      <c r="EL65">
        <v>9673.2800000000007</v>
      </c>
      <c r="EM65">
        <v>13859.6</v>
      </c>
      <c r="EN65">
        <v>47.5</v>
      </c>
      <c r="EO65">
        <v>49.25</v>
      </c>
      <c r="EP65">
        <v>48.561999999999998</v>
      </c>
      <c r="EQ65">
        <v>48.561999999999998</v>
      </c>
      <c r="ER65">
        <v>48.936999999999998</v>
      </c>
      <c r="ES65">
        <v>1755.44</v>
      </c>
      <c r="ET65">
        <v>39.5</v>
      </c>
      <c r="EU65">
        <v>0</v>
      </c>
      <c r="EV65">
        <v>211.20000004768369</v>
      </c>
      <c r="EW65">
        <v>0</v>
      </c>
      <c r="EX65">
        <v>497.83363999999989</v>
      </c>
      <c r="EY65">
        <v>-0.63253846867513452</v>
      </c>
      <c r="EZ65">
        <v>372.80153888904749</v>
      </c>
      <c r="FA65">
        <v>9576.9236000000001</v>
      </c>
      <c r="FB65">
        <v>15</v>
      </c>
      <c r="FC65">
        <v>1700160189.5</v>
      </c>
      <c r="FD65" t="s">
        <v>633</v>
      </c>
      <c r="FE65">
        <v>1700160189.5</v>
      </c>
      <c r="FF65">
        <v>1700160185</v>
      </c>
      <c r="FG65">
        <v>54</v>
      </c>
      <c r="FH65">
        <v>0.123</v>
      </c>
      <c r="FI65">
        <v>-2E-3</v>
      </c>
      <c r="FJ65">
        <v>-4.6909999999999998</v>
      </c>
      <c r="FK65">
        <v>5.6000000000000001E-2</v>
      </c>
      <c r="FL65">
        <v>500</v>
      </c>
      <c r="FM65">
        <v>25</v>
      </c>
      <c r="FN65">
        <v>0.04</v>
      </c>
      <c r="FO65">
        <v>0.04</v>
      </c>
      <c r="FP65">
        <v>49.571507432117507</v>
      </c>
      <c r="FQ65">
        <v>0.62850764057164532</v>
      </c>
      <c r="FR65">
        <v>5.2335770064452579E-2</v>
      </c>
      <c r="FS65">
        <v>1</v>
      </c>
      <c r="FT65">
        <v>0.28299492029873602</v>
      </c>
      <c r="FU65">
        <v>-4.1201203493090047E-2</v>
      </c>
      <c r="FV65">
        <v>2.9756965711349782E-3</v>
      </c>
      <c r="FW65">
        <v>1</v>
      </c>
      <c r="FX65">
        <v>2</v>
      </c>
      <c r="FY65">
        <v>2</v>
      </c>
      <c r="FZ65" t="s">
        <v>420</v>
      </c>
      <c r="GA65">
        <v>3.1193599999999999</v>
      </c>
      <c r="GB65">
        <v>2.8774099999999998</v>
      </c>
      <c r="GC65">
        <v>9.6684599999999996E-2</v>
      </c>
      <c r="GD65">
        <v>0.10391</v>
      </c>
      <c r="GE65">
        <v>0.123738</v>
      </c>
      <c r="GF65">
        <v>0.11361599999999999</v>
      </c>
      <c r="GG65">
        <v>26212.7</v>
      </c>
      <c r="GH65">
        <v>26600.5</v>
      </c>
      <c r="GI65">
        <v>26728.799999999999</v>
      </c>
      <c r="GJ65">
        <v>27416.400000000001</v>
      </c>
      <c r="GK65">
        <v>33503.4</v>
      </c>
      <c r="GL65">
        <v>33958.5</v>
      </c>
      <c r="GM65">
        <v>39601.4</v>
      </c>
      <c r="GN65">
        <v>39701.5</v>
      </c>
      <c r="GO65">
        <v>1.93858</v>
      </c>
      <c r="GP65">
        <v>2.4373800000000001</v>
      </c>
      <c r="GQ65">
        <v>1.9971300000000001E-2</v>
      </c>
      <c r="GR65">
        <v>0</v>
      </c>
      <c r="GS65">
        <v>29.6433</v>
      </c>
      <c r="GT65">
        <v>999.9</v>
      </c>
      <c r="GU65">
        <v>30.9</v>
      </c>
      <c r="GV65">
        <v>45.7</v>
      </c>
      <c r="GW65">
        <v>31.152999999999999</v>
      </c>
      <c r="GX65">
        <v>63.084800000000001</v>
      </c>
      <c r="GY65">
        <v>7.8605799999999997</v>
      </c>
      <c r="GZ65">
        <v>3</v>
      </c>
      <c r="HA65">
        <v>0.55393499999999996</v>
      </c>
      <c r="HB65">
        <v>2.80274</v>
      </c>
      <c r="HC65">
        <v>20.277699999999999</v>
      </c>
      <c r="HD65">
        <v>5.2115999999999998</v>
      </c>
      <c r="HE65">
        <v>11.908099999999999</v>
      </c>
      <c r="HF65">
        <v>4.9972500000000002</v>
      </c>
      <c r="HG65">
        <v>3.3029500000000001</v>
      </c>
      <c r="HH65">
        <v>9999</v>
      </c>
      <c r="HI65">
        <v>9999</v>
      </c>
      <c r="HJ65">
        <v>9999</v>
      </c>
      <c r="HK65">
        <v>999.9</v>
      </c>
      <c r="HL65">
        <v>1.8847499999999999</v>
      </c>
      <c r="HM65">
        <v>1.8853200000000001</v>
      </c>
      <c r="HN65">
        <v>1.88141</v>
      </c>
      <c r="HO65">
        <v>1.8830899999999999</v>
      </c>
      <c r="HP65">
        <v>1.8798999999999999</v>
      </c>
      <c r="HQ65">
        <v>1.8833899999999999</v>
      </c>
      <c r="HR65">
        <v>1.8793599999999999</v>
      </c>
      <c r="HS65">
        <v>1.88171</v>
      </c>
      <c r="HT65">
        <v>5</v>
      </c>
      <c r="HU65">
        <v>0</v>
      </c>
      <c r="HV65">
        <v>0</v>
      </c>
      <c r="HW65">
        <v>0</v>
      </c>
      <c r="HX65" t="s">
        <v>421</v>
      </c>
      <c r="HY65" t="s">
        <v>422</v>
      </c>
      <c r="HZ65" t="s">
        <v>423</v>
      </c>
      <c r="IA65" t="s">
        <v>423</v>
      </c>
      <c r="IB65" t="s">
        <v>423</v>
      </c>
      <c r="IC65" t="s">
        <v>423</v>
      </c>
      <c r="ID65">
        <v>0</v>
      </c>
      <c r="IE65">
        <v>100</v>
      </c>
      <c r="IF65">
        <v>100</v>
      </c>
      <c r="IG65">
        <v>-4.5540000000000003</v>
      </c>
      <c r="IH65">
        <v>5.5500000000000001E-2</v>
      </c>
      <c r="II65">
        <v>-2.9277824189445312</v>
      </c>
      <c r="IJ65">
        <v>-3.7794827560518689E-3</v>
      </c>
      <c r="IK65">
        <v>4.9551128961100493E-7</v>
      </c>
      <c r="IL65">
        <v>1.3680294268397379E-10</v>
      </c>
      <c r="IM65">
        <v>5.555000000000021E-2</v>
      </c>
      <c r="IN65">
        <v>0</v>
      </c>
      <c r="IO65">
        <v>0</v>
      </c>
      <c r="IP65">
        <v>0</v>
      </c>
      <c r="IQ65">
        <v>4</v>
      </c>
      <c r="IR65">
        <v>2229</v>
      </c>
      <c r="IS65">
        <v>1</v>
      </c>
      <c r="IT65">
        <v>22</v>
      </c>
      <c r="IU65">
        <v>1.5</v>
      </c>
      <c r="IV65">
        <v>1.6</v>
      </c>
      <c r="IW65">
        <v>1.8334999999999999</v>
      </c>
      <c r="IX65">
        <v>2.5683600000000002</v>
      </c>
      <c r="IY65">
        <v>2.9956100000000001</v>
      </c>
      <c r="IZ65">
        <v>2.96387</v>
      </c>
      <c r="JA65">
        <v>3.1970200000000002</v>
      </c>
      <c r="JB65">
        <v>2.5280800000000001</v>
      </c>
      <c r="JC65">
        <v>48.981499999999997</v>
      </c>
      <c r="JD65">
        <v>23.745999999999999</v>
      </c>
      <c r="JE65">
        <v>18</v>
      </c>
      <c r="JF65">
        <v>498.02100000000002</v>
      </c>
      <c r="JG65">
        <v>1117.55</v>
      </c>
      <c r="JH65">
        <v>25.5289</v>
      </c>
      <c r="JI65">
        <v>34.025199999999998</v>
      </c>
      <c r="JJ65">
        <v>30.000299999999999</v>
      </c>
      <c r="JK65">
        <v>34.006500000000003</v>
      </c>
      <c r="JL65">
        <v>33.916400000000003</v>
      </c>
      <c r="JM65">
        <v>36.745199999999997</v>
      </c>
      <c r="JN65">
        <v>17.945699999999999</v>
      </c>
      <c r="JO65">
        <v>0</v>
      </c>
      <c r="JP65">
        <v>25.5519</v>
      </c>
      <c r="JQ65">
        <v>500</v>
      </c>
      <c r="JR65">
        <v>24.0947</v>
      </c>
      <c r="JS65">
        <v>98.707999999999998</v>
      </c>
      <c r="JT65">
        <v>97.1327</v>
      </c>
    </row>
    <row r="66" spans="1:280" x14ac:dyDescent="0.25">
      <c r="A66">
        <v>50</v>
      </c>
      <c r="B66">
        <v>1700160531</v>
      </c>
      <c r="C66">
        <v>11549.5</v>
      </c>
      <c r="D66" t="s">
        <v>634</v>
      </c>
      <c r="E66" t="s">
        <v>635</v>
      </c>
      <c r="F66" t="s">
        <v>412</v>
      </c>
      <c r="G66" t="s">
        <v>604</v>
      </c>
      <c r="H66" t="s">
        <v>545</v>
      </c>
      <c r="I66">
        <v>1700160531</v>
      </c>
      <c r="J66">
        <f t="shared" si="46"/>
        <v>5.8721531212375805E-3</v>
      </c>
      <c r="K66">
        <f t="shared" si="47"/>
        <v>5.8721531212375808</v>
      </c>
      <c r="L66">
        <f t="shared" si="48"/>
        <v>52.678129756145786</v>
      </c>
      <c r="M66">
        <f t="shared" si="49"/>
        <v>354.43299999999999</v>
      </c>
      <c r="N66">
        <f t="shared" si="50"/>
        <v>128.67939378541215</v>
      </c>
      <c r="O66">
        <f t="shared" si="51"/>
        <v>12.766234145319283</v>
      </c>
      <c r="P66">
        <f t="shared" si="52"/>
        <v>35.163164308759008</v>
      </c>
      <c r="Q66">
        <f t="shared" si="53"/>
        <v>0.40524101355060904</v>
      </c>
      <c r="R66">
        <f t="shared" si="54"/>
        <v>3.3695513553724337</v>
      </c>
      <c r="S66">
        <f t="shared" si="55"/>
        <v>0.37998165871240147</v>
      </c>
      <c r="T66">
        <f t="shared" si="56"/>
        <v>0.23962666926464332</v>
      </c>
      <c r="U66">
        <f t="shared" si="57"/>
        <v>344.37189876234083</v>
      </c>
      <c r="V66">
        <f t="shared" si="58"/>
        <v>30.630609541198016</v>
      </c>
      <c r="W66">
        <f t="shared" si="59"/>
        <v>30.043500000000002</v>
      </c>
      <c r="X66">
        <f t="shared" si="60"/>
        <v>4.2711065479600006</v>
      </c>
      <c r="Y66">
        <f t="shared" si="61"/>
        <v>64.83580388534341</v>
      </c>
      <c r="Z66">
        <f t="shared" si="62"/>
        <v>2.7925227053171002</v>
      </c>
      <c r="AA66">
        <f t="shared" si="63"/>
        <v>4.3070688384699265</v>
      </c>
      <c r="AB66">
        <f t="shared" si="64"/>
        <v>1.4785838426429003</v>
      </c>
      <c r="AC66">
        <f t="shared" si="65"/>
        <v>-258.96195264657729</v>
      </c>
      <c r="AD66">
        <f t="shared" si="66"/>
        <v>26.540416815208985</v>
      </c>
      <c r="AE66">
        <f t="shared" si="67"/>
        <v>1.7533791588687675</v>
      </c>
      <c r="AF66">
        <f t="shared" si="68"/>
        <v>113.7037420898413</v>
      </c>
      <c r="AG66">
        <v>16</v>
      </c>
      <c r="AH66">
        <v>3</v>
      </c>
      <c r="AI66">
        <f t="shared" si="69"/>
        <v>1</v>
      </c>
      <c r="AJ66">
        <f t="shared" si="70"/>
        <v>0</v>
      </c>
      <c r="AK66">
        <f t="shared" si="71"/>
        <v>51954.524930819935</v>
      </c>
      <c r="AL66" t="s">
        <v>415</v>
      </c>
      <c r="AM66">
        <v>7133.88</v>
      </c>
      <c r="AN66">
        <v>306.28384615384618</v>
      </c>
      <c r="AO66">
        <v>859.63916333292491</v>
      </c>
      <c r="AP66">
        <f t="shared" si="72"/>
        <v>0.64370650010133712</v>
      </c>
      <c r="AQ66">
        <v>-0.73746743666429193</v>
      </c>
      <c r="AR66" t="s">
        <v>636</v>
      </c>
      <c r="AS66">
        <v>7136.09</v>
      </c>
      <c r="AT66">
        <v>493.4153846153846</v>
      </c>
      <c r="AU66">
        <v>715.61171110052396</v>
      </c>
      <c r="AV66">
        <f t="shared" si="73"/>
        <v>0.31049844914280178</v>
      </c>
      <c r="AW66">
        <v>0.5</v>
      </c>
      <c r="AX66">
        <f t="shared" si="74"/>
        <v>1513.1933993811704</v>
      </c>
      <c r="AY66">
        <f t="shared" si="75"/>
        <v>52.678129756145786</v>
      </c>
      <c r="AZ66">
        <f t="shared" si="76"/>
        <v>234.92210188048884</v>
      </c>
      <c r="BA66">
        <f t="shared" si="77"/>
        <v>3.5299914217610723E-2</v>
      </c>
      <c r="BB66">
        <f t="shared" si="78"/>
        <v>0.20126480603692776</v>
      </c>
      <c r="BC66">
        <f t="shared" si="79"/>
        <v>285.79003103545892</v>
      </c>
      <c r="BD66" t="s">
        <v>637</v>
      </c>
      <c r="BE66">
        <v>354.93</v>
      </c>
      <c r="BF66">
        <f t="shared" si="80"/>
        <v>354.93</v>
      </c>
      <c r="BG66">
        <f t="shared" si="81"/>
        <v>0.50401873740417025</v>
      </c>
      <c r="BH66">
        <f t="shared" si="82"/>
        <v>0.61604544851239229</v>
      </c>
      <c r="BI66">
        <f t="shared" si="83"/>
        <v>0.285367222741298</v>
      </c>
      <c r="BJ66">
        <f t="shared" si="84"/>
        <v>0.5428321536675359</v>
      </c>
      <c r="BK66">
        <f t="shared" si="85"/>
        <v>0.26028023543106266</v>
      </c>
      <c r="BL66">
        <f t="shared" si="86"/>
        <v>0.44314185949216517</v>
      </c>
      <c r="BM66">
        <f t="shared" si="87"/>
        <v>0.55685814050783478</v>
      </c>
      <c r="BN66">
        <v>20770</v>
      </c>
      <c r="BO66">
        <v>290.00000000000011</v>
      </c>
      <c r="BP66">
        <v>652.53</v>
      </c>
      <c r="BQ66">
        <v>295</v>
      </c>
      <c r="BR66">
        <v>7136.09</v>
      </c>
      <c r="BS66">
        <v>654.05999999999995</v>
      </c>
      <c r="BT66">
        <v>-1.53</v>
      </c>
      <c r="BU66">
        <v>300.00000000000011</v>
      </c>
      <c r="BV66">
        <v>38.299999999999997</v>
      </c>
      <c r="BW66">
        <v>715.61171110052396</v>
      </c>
      <c r="BX66">
        <v>1.312074636181799</v>
      </c>
      <c r="BY66">
        <v>-43.922888459344151</v>
      </c>
      <c r="BZ66">
        <v>0.78471765814333438</v>
      </c>
      <c r="CA66">
        <v>0.99114193326292577</v>
      </c>
      <c r="CB66">
        <v>-7.0445606229143512E-3</v>
      </c>
      <c r="CC66">
        <v>289.99999999999989</v>
      </c>
      <c r="CD66">
        <v>660.79</v>
      </c>
      <c r="CE66">
        <v>825</v>
      </c>
      <c r="CF66">
        <v>7129.67</v>
      </c>
      <c r="CG66">
        <v>654.01</v>
      </c>
      <c r="CH66">
        <v>6.78</v>
      </c>
      <c r="CV66">
        <f t="shared" si="88"/>
        <v>1800.01</v>
      </c>
      <c r="CW66">
        <f t="shared" si="89"/>
        <v>1513.1933993811704</v>
      </c>
      <c r="CX66">
        <f t="shared" si="90"/>
        <v>0.8406583293321539</v>
      </c>
      <c r="CY66">
        <f t="shared" si="91"/>
        <v>0.19131665866430789</v>
      </c>
      <c r="CZ66">
        <v>4.16</v>
      </c>
      <c r="DA66">
        <v>0.5</v>
      </c>
      <c r="DB66" t="s">
        <v>418</v>
      </c>
      <c r="DC66">
        <v>2</v>
      </c>
      <c r="DD66">
        <v>1700160531</v>
      </c>
      <c r="DE66">
        <v>354.43299999999999</v>
      </c>
      <c r="DF66">
        <v>399.98599999999999</v>
      </c>
      <c r="DG66">
        <v>28.1477</v>
      </c>
      <c r="DH66">
        <v>23.400300000000001</v>
      </c>
      <c r="DI66">
        <v>358.839</v>
      </c>
      <c r="DJ66">
        <v>28.093599999999999</v>
      </c>
      <c r="DK66">
        <v>500.07499999999999</v>
      </c>
      <c r="DL66">
        <v>99.109700000000004</v>
      </c>
      <c r="DM66">
        <v>9.9922999999999998E-2</v>
      </c>
      <c r="DN66">
        <v>30.189599999999999</v>
      </c>
      <c r="DO66">
        <v>30.043500000000002</v>
      </c>
      <c r="DP66">
        <v>999.9</v>
      </c>
      <c r="DQ66">
        <v>0</v>
      </c>
      <c r="DR66">
        <v>0</v>
      </c>
      <c r="DS66">
        <v>10020</v>
      </c>
      <c r="DT66">
        <v>0</v>
      </c>
      <c r="DU66">
        <v>321.25400000000002</v>
      </c>
      <c r="DV66">
        <v>-45.552300000000002</v>
      </c>
      <c r="DW66">
        <v>364.69900000000001</v>
      </c>
      <c r="DX66">
        <v>409.57</v>
      </c>
      <c r="DY66">
        <v>4.7473599999999996</v>
      </c>
      <c r="DZ66">
        <v>399.98599999999999</v>
      </c>
      <c r="EA66">
        <v>23.400300000000001</v>
      </c>
      <c r="EB66">
        <v>2.7897099999999999</v>
      </c>
      <c r="EC66">
        <v>2.3191999999999999</v>
      </c>
      <c r="ED66">
        <v>22.8233</v>
      </c>
      <c r="EE66">
        <v>19.810400000000001</v>
      </c>
      <c r="EF66">
        <v>1800.01</v>
      </c>
      <c r="EG66">
        <v>0.97799599999999998</v>
      </c>
      <c r="EH66">
        <v>2.2004099999999999E-2</v>
      </c>
      <c r="EI66">
        <v>0</v>
      </c>
      <c r="EJ66">
        <v>493.10599999999999</v>
      </c>
      <c r="EK66">
        <v>5.0009399999999999</v>
      </c>
      <c r="EL66">
        <v>9801.69</v>
      </c>
      <c r="EM66">
        <v>13860.2</v>
      </c>
      <c r="EN66">
        <v>47.561999999999998</v>
      </c>
      <c r="EO66">
        <v>49.375</v>
      </c>
      <c r="EP66">
        <v>48.625</v>
      </c>
      <c r="EQ66">
        <v>48.686999999999998</v>
      </c>
      <c r="ER66">
        <v>49.061999999999998</v>
      </c>
      <c r="ES66">
        <v>1755.51</v>
      </c>
      <c r="ET66">
        <v>39.5</v>
      </c>
      <c r="EU66">
        <v>0</v>
      </c>
      <c r="EV66">
        <v>248.4000000953674</v>
      </c>
      <c r="EW66">
        <v>0</v>
      </c>
      <c r="EX66">
        <v>493.4153846153846</v>
      </c>
      <c r="EY66">
        <v>-2.3141880278338629</v>
      </c>
      <c r="EZ66">
        <v>-6.1244444895441328</v>
      </c>
      <c r="FA66">
        <v>9805.5261538461546</v>
      </c>
      <c r="FB66">
        <v>15</v>
      </c>
      <c r="FC66">
        <v>1700160394</v>
      </c>
      <c r="FD66" t="s">
        <v>638</v>
      </c>
      <c r="FE66">
        <v>1700160391.5</v>
      </c>
      <c r="FF66">
        <v>1700160394</v>
      </c>
      <c r="FG66">
        <v>55</v>
      </c>
      <c r="FH66">
        <v>-0.192</v>
      </c>
      <c r="FI66">
        <v>-1E-3</v>
      </c>
      <c r="FJ66">
        <v>-4.5579999999999998</v>
      </c>
      <c r="FK66">
        <v>5.3999999999999999E-2</v>
      </c>
      <c r="FL66">
        <v>400</v>
      </c>
      <c r="FM66">
        <v>25</v>
      </c>
      <c r="FN66">
        <v>0.05</v>
      </c>
      <c r="FO66">
        <v>0.04</v>
      </c>
      <c r="FP66">
        <v>52.640888831279199</v>
      </c>
      <c r="FQ66">
        <v>0.37211993843330538</v>
      </c>
      <c r="FR66">
        <v>3.5544215432193507E-2</v>
      </c>
      <c r="FS66">
        <v>1</v>
      </c>
      <c r="FT66">
        <v>0.40121918157125641</v>
      </c>
      <c r="FU66">
        <v>4.3418024635150758E-2</v>
      </c>
      <c r="FV66">
        <v>3.454293021432651E-3</v>
      </c>
      <c r="FW66">
        <v>1</v>
      </c>
      <c r="FX66">
        <v>2</v>
      </c>
      <c r="FY66">
        <v>2</v>
      </c>
      <c r="FZ66" t="s">
        <v>420</v>
      </c>
      <c r="GA66">
        <v>3.11931</v>
      </c>
      <c r="GB66">
        <v>2.8777200000000001</v>
      </c>
      <c r="GC66">
        <v>7.9666500000000001E-2</v>
      </c>
      <c r="GD66">
        <v>8.7862399999999993E-2</v>
      </c>
      <c r="GE66">
        <v>0.12579099999999999</v>
      </c>
      <c r="GF66">
        <v>0.11128</v>
      </c>
      <c r="GG66">
        <v>26706.799999999999</v>
      </c>
      <c r="GH66">
        <v>27078.9</v>
      </c>
      <c r="GI66">
        <v>26729.1</v>
      </c>
      <c r="GJ66">
        <v>27418.6</v>
      </c>
      <c r="GK66">
        <v>33423.5</v>
      </c>
      <c r="GL66">
        <v>34049.5</v>
      </c>
      <c r="GM66">
        <v>39601.4</v>
      </c>
      <c r="GN66">
        <v>39704.699999999997</v>
      </c>
      <c r="GO66">
        <v>1.9432499999999999</v>
      </c>
      <c r="GP66">
        <v>2.4371999999999998</v>
      </c>
      <c r="GQ66">
        <v>-2.2351700000000001E-5</v>
      </c>
      <c r="GR66">
        <v>0</v>
      </c>
      <c r="GS66">
        <v>30.043900000000001</v>
      </c>
      <c r="GT66">
        <v>999.9</v>
      </c>
      <c r="GU66">
        <v>30.8</v>
      </c>
      <c r="GV66">
        <v>45.7</v>
      </c>
      <c r="GW66">
        <v>31.052</v>
      </c>
      <c r="GX66">
        <v>62.944800000000001</v>
      </c>
      <c r="GY66">
        <v>7.8926299999999996</v>
      </c>
      <c r="GZ66">
        <v>3</v>
      </c>
      <c r="HA66">
        <v>0.55715999999999999</v>
      </c>
      <c r="HB66">
        <v>3.5219</v>
      </c>
      <c r="HC66">
        <v>20.2639</v>
      </c>
      <c r="HD66">
        <v>5.2115999999999998</v>
      </c>
      <c r="HE66">
        <v>11.908099999999999</v>
      </c>
      <c r="HF66">
        <v>4.9974999999999996</v>
      </c>
      <c r="HG66">
        <v>3.30288</v>
      </c>
      <c r="HH66">
        <v>9999</v>
      </c>
      <c r="HI66">
        <v>9999</v>
      </c>
      <c r="HJ66">
        <v>9999</v>
      </c>
      <c r="HK66">
        <v>999.9</v>
      </c>
      <c r="HL66">
        <v>1.8847499999999999</v>
      </c>
      <c r="HM66">
        <v>1.8853500000000001</v>
      </c>
      <c r="HN66">
        <v>1.88141</v>
      </c>
      <c r="HO66">
        <v>1.8830899999999999</v>
      </c>
      <c r="HP66">
        <v>1.87992</v>
      </c>
      <c r="HQ66">
        <v>1.8834</v>
      </c>
      <c r="HR66">
        <v>1.87941</v>
      </c>
      <c r="HS66">
        <v>1.88171</v>
      </c>
      <c r="HT66">
        <v>5</v>
      </c>
      <c r="HU66">
        <v>0</v>
      </c>
      <c r="HV66">
        <v>0</v>
      </c>
      <c r="HW66">
        <v>0</v>
      </c>
      <c r="HX66" t="s">
        <v>421</v>
      </c>
      <c r="HY66" t="s">
        <v>422</v>
      </c>
      <c r="HZ66" t="s">
        <v>423</v>
      </c>
      <c r="IA66" t="s">
        <v>423</v>
      </c>
      <c r="IB66" t="s">
        <v>423</v>
      </c>
      <c r="IC66" t="s">
        <v>423</v>
      </c>
      <c r="ID66">
        <v>0</v>
      </c>
      <c r="IE66">
        <v>100</v>
      </c>
      <c r="IF66">
        <v>100</v>
      </c>
      <c r="IG66">
        <v>-4.4059999999999997</v>
      </c>
      <c r="IH66">
        <v>5.4100000000000002E-2</v>
      </c>
      <c r="II66">
        <v>-3.1192381452275089</v>
      </c>
      <c r="IJ66">
        <v>-3.7794827560518689E-3</v>
      </c>
      <c r="IK66">
        <v>4.9551128961100493E-7</v>
      </c>
      <c r="IL66">
        <v>1.3680294268397379E-10</v>
      </c>
      <c r="IM66">
        <v>5.4110000000001428E-2</v>
      </c>
      <c r="IN66">
        <v>0</v>
      </c>
      <c r="IO66">
        <v>0</v>
      </c>
      <c r="IP66">
        <v>0</v>
      </c>
      <c r="IQ66">
        <v>4</v>
      </c>
      <c r="IR66">
        <v>2229</v>
      </c>
      <c r="IS66">
        <v>1</v>
      </c>
      <c r="IT66">
        <v>22</v>
      </c>
      <c r="IU66">
        <v>2.2999999999999998</v>
      </c>
      <c r="IV66">
        <v>2.2999999999999998</v>
      </c>
      <c r="IW66">
        <v>1.5295399999999999</v>
      </c>
      <c r="IX66">
        <v>2.5756800000000002</v>
      </c>
      <c r="IY66">
        <v>2.9956100000000001</v>
      </c>
      <c r="IZ66">
        <v>2.96509</v>
      </c>
      <c r="JA66">
        <v>3.1970200000000002</v>
      </c>
      <c r="JB66">
        <v>2.5317400000000001</v>
      </c>
      <c r="JC66">
        <v>48.981499999999997</v>
      </c>
      <c r="JD66">
        <v>23.737300000000001</v>
      </c>
      <c r="JE66">
        <v>18</v>
      </c>
      <c r="JF66">
        <v>501.041</v>
      </c>
      <c r="JG66">
        <v>1117.55</v>
      </c>
      <c r="JH66">
        <v>25.4069</v>
      </c>
      <c r="JI66">
        <v>34.046799999999998</v>
      </c>
      <c r="JJ66">
        <v>30.000299999999999</v>
      </c>
      <c r="JK66">
        <v>34.018700000000003</v>
      </c>
      <c r="JL66">
        <v>33.929299999999998</v>
      </c>
      <c r="JM66">
        <v>30.6325</v>
      </c>
      <c r="JN66">
        <v>20.253</v>
      </c>
      <c r="JO66">
        <v>0</v>
      </c>
      <c r="JP66">
        <v>25.385000000000002</v>
      </c>
      <c r="JQ66">
        <v>400</v>
      </c>
      <c r="JR66">
        <v>23.395099999999999</v>
      </c>
      <c r="JS66">
        <v>98.708500000000001</v>
      </c>
      <c r="JT66">
        <v>97.140500000000003</v>
      </c>
    </row>
    <row r="67" spans="1:280" x14ac:dyDescent="0.25">
      <c r="A67">
        <v>51</v>
      </c>
      <c r="B67">
        <v>1700160671.5</v>
      </c>
      <c r="C67">
        <v>11690</v>
      </c>
      <c r="D67" t="s">
        <v>639</v>
      </c>
      <c r="E67" t="s">
        <v>640</v>
      </c>
      <c r="F67" t="s">
        <v>412</v>
      </c>
      <c r="G67" t="s">
        <v>604</v>
      </c>
      <c r="H67" t="s">
        <v>545</v>
      </c>
      <c r="I67">
        <v>1700160671.5</v>
      </c>
      <c r="J67">
        <f t="shared" si="46"/>
        <v>6.2789038527112468E-3</v>
      </c>
      <c r="K67">
        <f t="shared" si="47"/>
        <v>6.2789038527112471</v>
      </c>
      <c r="L67">
        <f t="shared" si="48"/>
        <v>44.921926543421101</v>
      </c>
      <c r="M67">
        <f t="shared" si="49"/>
        <v>261.30099999999999</v>
      </c>
      <c r="N67">
        <f t="shared" si="50"/>
        <v>85.545518102212483</v>
      </c>
      <c r="O67">
        <f t="shared" si="51"/>
        <v>8.4870735055422237</v>
      </c>
      <c r="P67">
        <f t="shared" si="52"/>
        <v>25.923985771199998</v>
      </c>
      <c r="Q67">
        <f t="shared" si="53"/>
        <v>0.44508035661284789</v>
      </c>
      <c r="R67">
        <f t="shared" si="54"/>
        <v>3.3662840108205594</v>
      </c>
      <c r="S67">
        <f t="shared" si="55"/>
        <v>0.41478207320960769</v>
      </c>
      <c r="T67">
        <f t="shared" si="56"/>
        <v>0.26178890135321597</v>
      </c>
      <c r="U67">
        <f t="shared" si="57"/>
        <v>344.40169876276417</v>
      </c>
      <c r="V67">
        <f t="shared" si="58"/>
        <v>30.493569970784453</v>
      </c>
      <c r="W67">
        <f t="shared" si="59"/>
        <v>30.0228</v>
      </c>
      <c r="X67">
        <f t="shared" si="60"/>
        <v>4.2660324992320993</v>
      </c>
      <c r="Y67">
        <f t="shared" si="61"/>
        <v>65.591568305197285</v>
      </c>
      <c r="Z67">
        <f t="shared" si="62"/>
        <v>2.81780642352</v>
      </c>
      <c r="AA67">
        <f t="shared" si="63"/>
        <v>4.2959887929630813</v>
      </c>
      <c r="AB67">
        <f t="shared" si="64"/>
        <v>1.4482260757120993</v>
      </c>
      <c r="AC67">
        <f t="shared" si="65"/>
        <v>-276.89965990456597</v>
      </c>
      <c r="AD67">
        <f t="shared" si="66"/>
        <v>22.122790327786561</v>
      </c>
      <c r="AE67">
        <f t="shared" si="67"/>
        <v>1.4624745948027293</v>
      </c>
      <c r="AF67">
        <f t="shared" si="68"/>
        <v>91.087303780787522</v>
      </c>
      <c r="AG67">
        <v>16</v>
      </c>
      <c r="AH67">
        <v>3</v>
      </c>
      <c r="AI67">
        <f t="shared" si="69"/>
        <v>1</v>
      </c>
      <c r="AJ67">
        <f t="shared" si="70"/>
        <v>0</v>
      </c>
      <c r="AK67">
        <f t="shared" si="71"/>
        <v>51888.365811274954</v>
      </c>
      <c r="AL67" t="s">
        <v>431</v>
      </c>
      <c r="AM67" t="s">
        <v>431</v>
      </c>
      <c r="AN67">
        <v>0</v>
      </c>
      <c r="AO67">
        <v>0</v>
      </c>
      <c r="AP67" t="e">
        <f t="shared" si="72"/>
        <v>#DIV/0!</v>
      </c>
      <c r="AQ67">
        <v>0</v>
      </c>
      <c r="AR67" t="s">
        <v>431</v>
      </c>
      <c r="AS67" t="s">
        <v>431</v>
      </c>
      <c r="AT67">
        <v>0</v>
      </c>
      <c r="AU67">
        <v>0</v>
      </c>
      <c r="AV67" t="e">
        <f t="shared" si="73"/>
        <v>#DIV/0!</v>
      </c>
      <c r="AW67">
        <v>0.5</v>
      </c>
      <c r="AX67">
        <f t="shared" si="74"/>
        <v>1513.3274993813823</v>
      </c>
      <c r="AY67">
        <f t="shared" si="75"/>
        <v>44.921926543421101</v>
      </c>
      <c r="AZ67" t="e">
        <f t="shared" si="76"/>
        <v>#DIV/0!</v>
      </c>
      <c r="BA67">
        <f t="shared" si="77"/>
        <v>2.9684206863209897E-2</v>
      </c>
      <c r="BB67" t="e">
        <f t="shared" si="78"/>
        <v>#DIV/0!</v>
      </c>
      <c r="BC67" t="e">
        <f t="shared" si="79"/>
        <v>#DIV/0!</v>
      </c>
      <c r="BD67" t="s">
        <v>431</v>
      </c>
      <c r="BE67">
        <v>0</v>
      </c>
      <c r="BF67" t="e">
        <f t="shared" si="80"/>
        <v>#DIV/0!</v>
      </c>
      <c r="BG67" t="e">
        <f t="shared" si="81"/>
        <v>#DIV/0!</v>
      </c>
      <c r="BH67" t="e">
        <f t="shared" si="82"/>
        <v>#DIV/0!</v>
      </c>
      <c r="BI67" t="e">
        <f t="shared" si="83"/>
        <v>#DIV/0!</v>
      </c>
      <c r="BJ67" t="e">
        <f t="shared" si="84"/>
        <v>#DIV/0!</v>
      </c>
      <c r="BK67" t="e">
        <f t="shared" si="85"/>
        <v>#DIV/0!</v>
      </c>
      <c r="BL67" t="e">
        <f t="shared" si="86"/>
        <v>#DIV/0!</v>
      </c>
      <c r="BM67" t="e">
        <f t="shared" si="87"/>
        <v>#DIV/0!</v>
      </c>
      <c r="BN67">
        <v>20770</v>
      </c>
      <c r="BO67">
        <v>290.00000000000011</v>
      </c>
      <c r="BP67">
        <v>652.53</v>
      </c>
      <c r="BQ67">
        <v>295</v>
      </c>
      <c r="BR67">
        <v>7136.09</v>
      </c>
      <c r="BS67">
        <v>654.05999999999995</v>
      </c>
      <c r="BT67">
        <v>-1.53</v>
      </c>
      <c r="BU67">
        <v>300.00000000000011</v>
      </c>
      <c r="BV67">
        <v>38.299999999999997</v>
      </c>
      <c r="BW67">
        <v>715.61171110052396</v>
      </c>
      <c r="BX67">
        <v>1.312074636181799</v>
      </c>
      <c r="BY67">
        <v>-43.922888459344151</v>
      </c>
      <c r="BZ67">
        <v>0.78471765814333438</v>
      </c>
      <c r="CA67">
        <v>0.99114193326292577</v>
      </c>
      <c r="CB67">
        <v>-7.0445606229143512E-3</v>
      </c>
      <c r="CC67">
        <v>289.99999999999989</v>
      </c>
      <c r="CD67">
        <v>660.79</v>
      </c>
      <c r="CE67">
        <v>825</v>
      </c>
      <c r="CF67">
        <v>7129.67</v>
      </c>
      <c r="CG67">
        <v>654.01</v>
      </c>
      <c r="CH67">
        <v>6.78</v>
      </c>
      <c r="CV67">
        <f t="shared" si="88"/>
        <v>1800.17</v>
      </c>
      <c r="CW67">
        <f t="shared" si="89"/>
        <v>1513.3274993813823</v>
      </c>
      <c r="CX67">
        <f t="shared" si="90"/>
        <v>0.84065810416870745</v>
      </c>
      <c r="CY67">
        <f t="shared" si="91"/>
        <v>0.19131620833741489</v>
      </c>
      <c r="CZ67">
        <v>4.16</v>
      </c>
      <c r="DA67">
        <v>0.5</v>
      </c>
      <c r="DB67" t="s">
        <v>418</v>
      </c>
      <c r="DC67">
        <v>2</v>
      </c>
      <c r="DD67">
        <v>1700160671.5</v>
      </c>
      <c r="DE67">
        <v>261.30099999999999</v>
      </c>
      <c r="DF67">
        <v>300.03899999999999</v>
      </c>
      <c r="DG67">
        <v>28.402100000000001</v>
      </c>
      <c r="DH67">
        <v>23.326699999999999</v>
      </c>
      <c r="DI67">
        <v>265.23099999999999</v>
      </c>
      <c r="DJ67">
        <v>28.365400000000001</v>
      </c>
      <c r="DK67">
        <v>500.02699999999999</v>
      </c>
      <c r="DL67">
        <v>99.111099999999993</v>
      </c>
      <c r="DM67">
        <v>0.10009999999999999</v>
      </c>
      <c r="DN67">
        <v>30.1447</v>
      </c>
      <c r="DO67">
        <v>30.0228</v>
      </c>
      <c r="DP67">
        <v>999.9</v>
      </c>
      <c r="DQ67">
        <v>0</v>
      </c>
      <c r="DR67">
        <v>0</v>
      </c>
      <c r="DS67">
        <v>10005</v>
      </c>
      <c r="DT67">
        <v>0</v>
      </c>
      <c r="DU67">
        <v>368.17599999999999</v>
      </c>
      <c r="DV67">
        <v>-38.738100000000003</v>
      </c>
      <c r="DW67">
        <v>268.94</v>
      </c>
      <c r="DX67">
        <v>307.20499999999998</v>
      </c>
      <c r="DY67">
        <v>5.0753500000000003</v>
      </c>
      <c r="DZ67">
        <v>300.03899999999999</v>
      </c>
      <c r="EA67">
        <v>23.326699999999999</v>
      </c>
      <c r="EB67">
        <v>2.8149600000000001</v>
      </c>
      <c r="EC67">
        <v>2.3119399999999999</v>
      </c>
      <c r="ED67">
        <v>22.972100000000001</v>
      </c>
      <c r="EE67">
        <v>19.759799999999998</v>
      </c>
      <c r="EF67">
        <v>1800.17</v>
      </c>
      <c r="EG67">
        <v>0.97799999999999998</v>
      </c>
      <c r="EH67">
        <v>2.20003E-2</v>
      </c>
      <c r="EI67">
        <v>0</v>
      </c>
      <c r="EJ67">
        <v>499.08600000000001</v>
      </c>
      <c r="EK67">
        <v>5.0009399999999999</v>
      </c>
      <c r="EL67">
        <v>9891.43</v>
      </c>
      <c r="EM67">
        <v>13861.4</v>
      </c>
      <c r="EN67">
        <v>47.686999999999998</v>
      </c>
      <c r="EO67">
        <v>49.5</v>
      </c>
      <c r="EP67">
        <v>48.75</v>
      </c>
      <c r="EQ67">
        <v>48.811999999999998</v>
      </c>
      <c r="ER67">
        <v>49.125</v>
      </c>
      <c r="ES67">
        <v>1755.68</v>
      </c>
      <c r="ET67">
        <v>39.49</v>
      </c>
      <c r="EU67">
        <v>0</v>
      </c>
      <c r="EV67">
        <v>138.80000019073489</v>
      </c>
      <c r="EW67">
        <v>0</v>
      </c>
      <c r="EX67">
        <v>499.12865384615378</v>
      </c>
      <c r="EY67">
        <v>-1.059844201385984E-3</v>
      </c>
      <c r="EZ67">
        <v>12.51145296757425</v>
      </c>
      <c r="FA67">
        <v>9892.122307692307</v>
      </c>
      <c r="FB67">
        <v>15</v>
      </c>
      <c r="FC67">
        <v>1700160643.5</v>
      </c>
      <c r="FD67" t="s">
        <v>641</v>
      </c>
      <c r="FE67">
        <v>1700160639</v>
      </c>
      <c r="FF67">
        <v>1700160643.5</v>
      </c>
      <c r="FG67">
        <v>56</v>
      </c>
      <c r="FH67">
        <v>0.155</v>
      </c>
      <c r="FI67">
        <v>-1.7000000000000001E-2</v>
      </c>
      <c r="FJ67">
        <v>-4.0640000000000001</v>
      </c>
      <c r="FK67">
        <v>3.6999999999999998E-2</v>
      </c>
      <c r="FL67">
        <v>300</v>
      </c>
      <c r="FM67">
        <v>24</v>
      </c>
      <c r="FN67">
        <v>0.05</v>
      </c>
      <c r="FO67">
        <v>0.01</v>
      </c>
      <c r="FP67">
        <v>44.934063947916037</v>
      </c>
      <c r="FQ67">
        <v>-0.21959458023543321</v>
      </c>
      <c r="FR67">
        <v>3.3752141589996523E-2</v>
      </c>
      <c r="FS67">
        <v>1</v>
      </c>
      <c r="FT67">
        <v>0.44687469677988317</v>
      </c>
      <c r="FU67">
        <v>3.3788062181539062E-2</v>
      </c>
      <c r="FV67">
        <v>3.899939567733518E-3</v>
      </c>
      <c r="FW67">
        <v>1</v>
      </c>
      <c r="FX67">
        <v>2</v>
      </c>
      <c r="FY67">
        <v>2</v>
      </c>
      <c r="FZ67" t="s">
        <v>420</v>
      </c>
      <c r="GA67">
        <v>3.1192299999999999</v>
      </c>
      <c r="GB67">
        <v>2.8777699999999999</v>
      </c>
      <c r="GC67">
        <v>6.2284899999999997E-2</v>
      </c>
      <c r="GD67">
        <v>6.9948899999999994E-2</v>
      </c>
      <c r="GE67">
        <v>0.12662899999999999</v>
      </c>
      <c r="GF67">
        <v>0.111015</v>
      </c>
      <c r="GG67">
        <v>27206.6</v>
      </c>
      <c r="GH67">
        <v>27606.3</v>
      </c>
      <c r="GI67">
        <v>26725.1</v>
      </c>
      <c r="GJ67">
        <v>27414.9</v>
      </c>
      <c r="GK67">
        <v>33385.800000000003</v>
      </c>
      <c r="GL67">
        <v>34055.4</v>
      </c>
      <c r="GM67">
        <v>39595.9</v>
      </c>
      <c r="GN67">
        <v>39701.199999999997</v>
      </c>
      <c r="GO67">
        <v>1.9429000000000001</v>
      </c>
      <c r="GP67">
        <v>2.4350200000000002</v>
      </c>
      <c r="GQ67">
        <v>-8.6948300000000006E-3</v>
      </c>
      <c r="GR67">
        <v>0</v>
      </c>
      <c r="GS67">
        <v>30.164300000000001</v>
      </c>
      <c r="GT67">
        <v>999.9</v>
      </c>
      <c r="GU67">
        <v>30.7</v>
      </c>
      <c r="GV67">
        <v>45.8</v>
      </c>
      <c r="GW67">
        <v>31.114699999999999</v>
      </c>
      <c r="GX67">
        <v>62.9848</v>
      </c>
      <c r="GY67">
        <v>7.9567300000000003</v>
      </c>
      <c r="GZ67">
        <v>3</v>
      </c>
      <c r="HA67">
        <v>0.56795499999999999</v>
      </c>
      <c r="HB67">
        <v>4.0956200000000003</v>
      </c>
      <c r="HC67">
        <v>20.250399999999999</v>
      </c>
      <c r="HD67">
        <v>5.2150400000000001</v>
      </c>
      <c r="HE67">
        <v>11.9087</v>
      </c>
      <c r="HF67">
        <v>4.9969000000000001</v>
      </c>
      <c r="HG67">
        <v>3.30288</v>
      </c>
      <c r="HH67">
        <v>9999</v>
      </c>
      <c r="HI67">
        <v>9999</v>
      </c>
      <c r="HJ67">
        <v>9999</v>
      </c>
      <c r="HK67">
        <v>999.9</v>
      </c>
      <c r="HL67">
        <v>1.8847700000000001</v>
      </c>
      <c r="HM67">
        <v>1.8853599999999999</v>
      </c>
      <c r="HN67">
        <v>1.8814200000000001</v>
      </c>
      <c r="HO67">
        <v>1.8830899999999999</v>
      </c>
      <c r="HP67">
        <v>1.8799399999999999</v>
      </c>
      <c r="HQ67">
        <v>1.8834200000000001</v>
      </c>
      <c r="HR67">
        <v>1.8794200000000001</v>
      </c>
      <c r="HS67">
        <v>1.8817200000000001</v>
      </c>
      <c r="HT67">
        <v>5</v>
      </c>
      <c r="HU67">
        <v>0</v>
      </c>
      <c r="HV67">
        <v>0</v>
      </c>
      <c r="HW67">
        <v>0</v>
      </c>
      <c r="HX67" t="s">
        <v>421</v>
      </c>
      <c r="HY67" t="s">
        <v>422</v>
      </c>
      <c r="HZ67" t="s">
        <v>423</v>
      </c>
      <c r="IA67" t="s">
        <v>423</v>
      </c>
      <c r="IB67" t="s">
        <v>423</v>
      </c>
      <c r="IC67" t="s">
        <v>423</v>
      </c>
      <c r="ID67">
        <v>0</v>
      </c>
      <c r="IE67">
        <v>100</v>
      </c>
      <c r="IF67">
        <v>100</v>
      </c>
      <c r="IG67">
        <v>-3.93</v>
      </c>
      <c r="IH67">
        <v>3.6700000000000003E-2</v>
      </c>
      <c r="II67">
        <v>-2.9643872321186562</v>
      </c>
      <c r="IJ67">
        <v>-3.7794827560518689E-3</v>
      </c>
      <c r="IK67">
        <v>4.9551128961100493E-7</v>
      </c>
      <c r="IL67">
        <v>1.3680294268397379E-10</v>
      </c>
      <c r="IM67">
        <v>3.668500000000563E-2</v>
      </c>
      <c r="IN67">
        <v>0</v>
      </c>
      <c r="IO67">
        <v>0</v>
      </c>
      <c r="IP67">
        <v>0</v>
      </c>
      <c r="IQ67">
        <v>4</v>
      </c>
      <c r="IR67">
        <v>2229</v>
      </c>
      <c r="IS67">
        <v>1</v>
      </c>
      <c r="IT67">
        <v>22</v>
      </c>
      <c r="IU67">
        <v>0.5</v>
      </c>
      <c r="IV67">
        <v>0.5</v>
      </c>
      <c r="IW67">
        <v>1.2097199999999999</v>
      </c>
      <c r="IX67">
        <v>2.5866699999999998</v>
      </c>
      <c r="IY67">
        <v>2.9956100000000001</v>
      </c>
      <c r="IZ67">
        <v>2.96509</v>
      </c>
      <c r="JA67">
        <v>3.1970200000000002</v>
      </c>
      <c r="JB67">
        <v>2.5061</v>
      </c>
      <c r="JC67">
        <v>49.200600000000001</v>
      </c>
      <c r="JD67">
        <v>23.737300000000001</v>
      </c>
      <c r="JE67">
        <v>18</v>
      </c>
      <c r="JF67">
        <v>501.34699999999998</v>
      </c>
      <c r="JG67">
        <v>1115.74</v>
      </c>
      <c r="JH67">
        <v>24.924499999999998</v>
      </c>
      <c r="JI67">
        <v>34.140300000000003</v>
      </c>
      <c r="JJ67">
        <v>30.001300000000001</v>
      </c>
      <c r="JK67">
        <v>34.087200000000003</v>
      </c>
      <c r="JL67">
        <v>33.990400000000001</v>
      </c>
      <c r="JM67">
        <v>24.2423</v>
      </c>
      <c r="JN67">
        <v>20.755299999999998</v>
      </c>
      <c r="JO67">
        <v>0</v>
      </c>
      <c r="JP67">
        <v>24.898900000000001</v>
      </c>
      <c r="JQ67">
        <v>300</v>
      </c>
      <c r="JR67">
        <v>23.196100000000001</v>
      </c>
      <c r="JS67">
        <v>98.694400000000002</v>
      </c>
      <c r="JT67">
        <v>97.13</v>
      </c>
    </row>
    <row r="68" spans="1:280" x14ac:dyDescent="0.25">
      <c r="A68">
        <v>52</v>
      </c>
      <c r="B68">
        <v>1700160806.5</v>
      </c>
      <c r="C68">
        <v>11825</v>
      </c>
      <c r="D68" t="s">
        <v>642</v>
      </c>
      <c r="E68" t="s">
        <v>643</v>
      </c>
      <c r="F68" t="s">
        <v>412</v>
      </c>
      <c r="G68" t="s">
        <v>604</v>
      </c>
      <c r="H68" t="s">
        <v>545</v>
      </c>
      <c r="I68">
        <v>1700160806.5</v>
      </c>
      <c r="J68">
        <f t="shared" si="46"/>
        <v>6.5974383602761168E-3</v>
      </c>
      <c r="K68">
        <f t="shared" si="47"/>
        <v>6.5974383602761169</v>
      </c>
      <c r="L68">
        <f t="shared" si="48"/>
        <v>32.608613397101337</v>
      </c>
      <c r="M68">
        <f t="shared" si="49"/>
        <v>171.92</v>
      </c>
      <c r="N68">
        <f t="shared" si="50"/>
        <v>51.145308457984143</v>
      </c>
      <c r="O68">
        <f t="shared" si="51"/>
        <v>5.074295598814146</v>
      </c>
      <c r="P68">
        <f t="shared" si="52"/>
        <v>17.056753114800003</v>
      </c>
      <c r="Q68">
        <f t="shared" si="53"/>
        <v>0.47102302884546104</v>
      </c>
      <c r="R68">
        <f t="shared" si="54"/>
        <v>3.363027296897156</v>
      </c>
      <c r="S68">
        <f t="shared" si="55"/>
        <v>0.43720329497868271</v>
      </c>
      <c r="T68">
        <f t="shared" si="56"/>
        <v>0.27608800140826717</v>
      </c>
      <c r="U68">
        <f t="shared" si="57"/>
        <v>344.38269876269544</v>
      </c>
      <c r="V68">
        <f t="shared" si="58"/>
        <v>30.431419994490039</v>
      </c>
      <c r="W68">
        <f t="shared" si="59"/>
        <v>29.99</v>
      </c>
      <c r="X68">
        <f t="shared" si="60"/>
        <v>4.2580032174094304</v>
      </c>
      <c r="Y68">
        <f t="shared" si="61"/>
        <v>65.469508188176263</v>
      </c>
      <c r="Z68">
        <f t="shared" si="62"/>
        <v>2.8142253653010001</v>
      </c>
      <c r="AA68">
        <f t="shared" si="63"/>
        <v>4.2985283427090826</v>
      </c>
      <c r="AB68">
        <f t="shared" si="64"/>
        <v>1.4437778521084303</v>
      </c>
      <c r="AC68">
        <f t="shared" si="65"/>
        <v>-290.94703168817676</v>
      </c>
      <c r="AD68">
        <f t="shared" si="66"/>
        <v>29.915742059003207</v>
      </c>
      <c r="AE68">
        <f t="shared" si="67"/>
        <v>1.9793391820141366</v>
      </c>
      <c r="AF68">
        <f t="shared" si="68"/>
        <v>85.330748315536027</v>
      </c>
      <c r="AG68">
        <v>16</v>
      </c>
      <c r="AH68">
        <v>3</v>
      </c>
      <c r="AI68">
        <f t="shared" si="69"/>
        <v>1</v>
      </c>
      <c r="AJ68">
        <f t="shared" si="70"/>
        <v>0</v>
      </c>
      <c r="AK68">
        <f t="shared" si="71"/>
        <v>51813.029932881051</v>
      </c>
      <c r="AL68" t="s">
        <v>415</v>
      </c>
      <c r="AM68">
        <v>7133.88</v>
      </c>
      <c r="AN68">
        <v>306.28384615384618</v>
      </c>
      <c r="AO68">
        <v>859.63916333292491</v>
      </c>
      <c r="AP68">
        <f t="shared" si="72"/>
        <v>0.64370650010133712</v>
      </c>
      <c r="AQ68">
        <v>-0.73746743666429193</v>
      </c>
      <c r="AR68" t="s">
        <v>644</v>
      </c>
      <c r="AS68">
        <v>7134.84</v>
      </c>
      <c r="AT68">
        <v>518.42840000000001</v>
      </c>
      <c r="AU68">
        <v>664.53761687521637</v>
      </c>
      <c r="AV68">
        <f t="shared" si="73"/>
        <v>0.2198659837531094</v>
      </c>
      <c r="AW68">
        <v>0.5</v>
      </c>
      <c r="AX68">
        <f t="shared" si="74"/>
        <v>1513.2434993813476</v>
      </c>
      <c r="AY68">
        <f t="shared" si="75"/>
        <v>32.608613397101337</v>
      </c>
      <c r="AZ68">
        <f t="shared" si="76"/>
        <v>166.3553853247389</v>
      </c>
      <c r="BA68">
        <f t="shared" si="77"/>
        <v>2.2036163279338949E-2</v>
      </c>
      <c r="BB68">
        <f t="shared" si="78"/>
        <v>0.29358992102676373</v>
      </c>
      <c r="BC68">
        <f t="shared" si="79"/>
        <v>277.27927484021706</v>
      </c>
      <c r="BD68" t="s">
        <v>645</v>
      </c>
      <c r="BE68">
        <v>354.93</v>
      </c>
      <c r="BF68">
        <f t="shared" si="80"/>
        <v>354.93</v>
      </c>
      <c r="BG68">
        <f t="shared" si="81"/>
        <v>0.46589930955459058</v>
      </c>
      <c r="BH68">
        <f t="shared" si="82"/>
        <v>0.47191738481713108</v>
      </c>
      <c r="BI68">
        <f t="shared" si="83"/>
        <v>0.38656232268367258</v>
      </c>
      <c r="BJ68">
        <f t="shared" si="84"/>
        <v>0.40783720595882289</v>
      </c>
      <c r="BK68">
        <f t="shared" si="85"/>
        <v>0.35257914833511778</v>
      </c>
      <c r="BL68">
        <f t="shared" si="86"/>
        <v>0.32308731040418376</v>
      </c>
      <c r="BM68">
        <f t="shared" si="87"/>
        <v>0.67691268959581619</v>
      </c>
      <c r="BN68">
        <v>20772</v>
      </c>
      <c r="BO68">
        <v>290.00000000000011</v>
      </c>
      <c r="BP68">
        <v>623.07000000000005</v>
      </c>
      <c r="BQ68">
        <v>285</v>
      </c>
      <c r="BR68">
        <v>7134.84</v>
      </c>
      <c r="BS68">
        <v>624.62</v>
      </c>
      <c r="BT68">
        <v>-1.55</v>
      </c>
      <c r="BU68">
        <v>300.00000000000011</v>
      </c>
      <c r="BV68">
        <v>38.299999999999997</v>
      </c>
      <c r="BW68">
        <v>664.53761687521637</v>
      </c>
      <c r="BX68">
        <v>1.175104857782588</v>
      </c>
      <c r="BY68">
        <v>-28.48248227603894</v>
      </c>
      <c r="BZ68">
        <v>0.70267277147516649</v>
      </c>
      <c r="CA68">
        <v>0.98324401658053173</v>
      </c>
      <c r="CB68">
        <v>-7.0432901001112403E-3</v>
      </c>
      <c r="CC68">
        <v>289.99999999999989</v>
      </c>
      <c r="CD68">
        <v>629.45000000000005</v>
      </c>
      <c r="CE68">
        <v>885</v>
      </c>
      <c r="CF68">
        <v>7127.55</v>
      </c>
      <c r="CG68">
        <v>624.58000000000004</v>
      </c>
      <c r="CH68">
        <v>4.87</v>
      </c>
      <c r="CV68">
        <f t="shared" si="88"/>
        <v>1800.07</v>
      </c>
      <c r="CW68">
        <f t="shared" si="89"/>
        <v>1513.2434993813476</v>
      </c>
      <c r="CX68">
        <f t="shared" si="90"/>
        <v>0.84065814072860934</v>
      </c>
      <c r="CY68">
        <f t="shared" si="91"/>
        <v>0.19131628145721857</v>
      </c>
      <c r="CZ68">
        <v>4.16</v>
      </c>
      <c r="DA68">
        <v>0.5</v>
      </c>
      <c r="DB68" t="s">
        <v>418</v>
      </c>
      <c r="DC68">
        <v>2</v>
      </c>
      <c r="DD68">
        <v>1700160806.5</v>
      </c>
      <c r="DE68">
        <v>171.92</v>
      </c>
      <c r="DF68">
        <v>200</v>
      </c>
      <c r="DG68">
        <v>28.365400000000001</v>
      </c>
      <c r="DH68">
        <v>23.030899999999999</v>
      </c>
      <c r="DI68">
        <v>175.541</v>
      </c>
      <c r="DJ68">
        <v>28.3383</v>
      </c>
      <c r="DK68">
        <v>499.89400000000001</v>
      </c>
      <c r="DL68">
        <v>99.113100000000003</v>
      </c>
      <c r="DM68">
        <v>0.100215</v>
      </c>
      <c r="DN68">
        <v>30.155000000000001</v>
      </c>
      <c r="DO68">
        <v>29.99</v>
      </c>
      <c r="DP68">
        <v>999.9</v>
      </c>
      <c r="DQ68">
        <v>0</v>
      </c>
      <c r="DR68">
        <v>0</v>
      </c>
      <c r="DS68">
        <v>9990</v>
      </c>
      <c r="DT68">
        <v>0</v>
      </c>
      <c r="DU68">
        <v>286.92</v>
      </c>
      <c r="DV68">
        <v>-28.079799999999999</v>
      </c>
      <c r="DW68">
        <v>176.93899999999999</v>
      </c>
      <c r="DX68">
        <v>204.715</v>
      </c>
      <c r="DY68">
        <v>5.3344699999999996</v>
      </c>
      <c r="DZ68">
        <v>200</v>
      </c>
      <c r="EA68">
        <v>23.030899999999999</v>
      </c>
      <c r="EB68">
        <v>2.8113800000000002</v>
      </c>
      <c r="EC68">
        <v>2.28267</v>
      </c>
      <c r="ED68">
        <v>22.9511</v>
      </c>
      <c r="EE68">
        <v>19.554600000000001</v>
      </c>
      <c r="EF68">
        <v>1800.07</v>
      </c>
      <c r="EG68">
        <v>0.97799999999999998</v>
      </c>
      <c r="EH68">
        <v>2.20003E-2</v>
      </c>
      <c r="EI68">
        <v>0</v>
      </c>
      <c r="EJ68">
        <v>518.65200000000004</v>
      </c>
      <c r="EK68">
        <v>5.0009399999999999</v>
      </c>
      <c r="EL68">
        <v>10219.6</v>
      </c>
      <c r="EM68">
        <v>13860.7</v>
      </c>
      <c r="EN68">
        <v>47.811999999999998</v>
      </c>
      <c r="EO68">
        <v>49.625</v>
      </c>
      <c r="EP68">
        <v>48.875</v>
      </c>
      <c r="EQ68">
        <v>49</v>
      </c>
      <c r="ER68">
        <v>49.25</v>
      </c>
      <c r="ES68">
        <v>1755.58</v>
      </c>
      <c r="ET68">
        <v>39.49</v>
      </c>
      <c r="EU68">
        <v>0</v>
      </c>
      <c r="EV68">
        <v>273.80000019073492</v>
      </c>
      <c r="EW68">
        <v>0</v>
      </c>
      <c r="EX68">
        <v>518.42840000000001</v>
      </c>
      <c r="EY68">
        <v>1.5855384421195999</v>
      </c>
      <c r="EZ68">
        <v>50.353846162529742</v>
      </c>
      <c r="FA68">
        <v>10219.932000000001</v>
      </c>
      <c r="FB68">
        <v>15</v>
      </c>
      <c r="FC68">
        <v>1700160771</v>
      </c>
      <c r="FD68" t="s">
        <v>646</v>
      </c>
      <c r="FE68">
        <v>1700160767</v>
      </c>
      <c r="FF68">
        <v>1700160771</v>
      </c>
      <c r="FG68">
        <v>57</v>
      </c>
      <c r="FH68">
        <v>-8.9999999999999993E-3</v>
      </c>
      <c r="FI68">
        <v>-0.01</v>
      </c>
      <c r="FJ68">
        <v>-3.7210000000000001</v>
      </c>
      <c r="FK68">
        <v>2.7E-2</v>
      </c>
      <c r="FL68">
        <v>200</v>
      </c>
      <c r="FM68">
        <v>23</v>
      </c>
      <c r="FN68">
        <v>7.0000000000000007E-2</v>
      </c>
      <c r="FO68">
        <v>0.02</v>
      </c>
      <c r="FP68">
        <v>32.52042717563922</v>
      </c>
      <c r="FQ68">
        <v>0.34397436504784912</v>
      </c>
      <c r="FR68">
        <v>3.3081180987179867E-2</v>
      </c>
      <c r="FS68">
        <v>1</v>
      </c>
      <c r="FT68">
        <v>0.46448470683727899</v>
      </c>
      <c r="FU68">
        <v>4.8651349014679712E-2</v>
      </c>
      <c r="FV68">
        <v>3.9729379174330923E-3</v>
      </c>
      <c r="FW68">
        <v>1</v>
      </c>
      <c r="FX68">
        <v>2</v>
      </c>
      <c r="FY68">
        <v>2</v>
      </c>
      <c r="FZ68" t="s">
        <v>420</v>
      </c>
      <c r="GA68">
        <v>3.1190000000000002</v>
      </c>
      <c r="GB68">
        <v>2.8777499999999998</v>
      </c>
      <c r="GC68">
        <v>4.3483899999999999E-2</v>
      </c>
      <c r="GD68">
        <v>4.9572699999999997E-2</v>
      </c>
      <c r="GE68">
        <v>0.12651499999999999</v>
      </c>
      <c r="GF68">
        <v>0.109983</v>
      </c>
      <c r="GG68">
        <v>27744.7</v>
      </c>
      <c r="GH68">
        <v>28204.799999999999</v>
      </c>
      <c r="GI68">
        <v>26718.9</v>
      </c>
      <c r="GJ68">
        <v>27409.8</v>
      </c>
      <c r="GK68">
        <v>33381.9</v>
      </c>
      <c r="GL68">
        <v>34088.800000000003</v>
      </c>
      <c r="GM68">
        <v>39587.300000000003</v>
      </c>
      <c r="GN68">
        <v>39695.699999999997</v>
      </c>
      <c r="GO68">
        <v>1.9415500000000001</v>
      </c>
      <c r="GP68">
        <v>2.43222</v>
      </c>
      <c r="GQ68">
        <v>-1.6465799999999999E-2</v>
      </c>
      <c r="GR68">
        <v>0</v>
      </c>
      <c r="GS68">
        <v>30.257899999999999</v>
      </c>
      <c r="GT68">
        <v>999.9</v>
      </c>
      <c r="GU68">
        <v>30.6</v>
      </c>
      <c r="GV68">
        <v>45.8</v>
      </c>
      <c r="GW68">
        <v>31.007899999999999</v>
      </c>
      <c r="GX68">
        <v>63.314799999999998</v>
      </c>
      <c r="GY68">
        <v>8.0408600000000003</v>
      </c>
      <c r="GZ68">
        <v>3</v>
      </c>
      <c r="HA68">
        <v>0.57747000000000004</v>
      </c>
      <c r="HB68">
        <v>3.80349</v>
      </c>
      <c r="HC68">
        <v>20.256900000000002</v>
      </c>
      <c r="HD68">
        <v>5.2098000000000004</v>
      </c>
      <c r="HE68">
        <v>11.9084</v>
      </c>
      <c r="HF68">
        <v>4.9949500000000002</v>
      </c>
      <c r="HG68">
        <v>3.3022999999999998</v>
      </c>
      <c r="HH68">
        <v>9999</v>
      </c>
      <c r="HI68">
        <v>9999</v>
      </c>
      <c r="HJ68">
        <v>9999</v>
      </c>
      <c r="HK68">
        <v>999.9</v>
      </c>
      <c r="HL68">
        <v>1.8847700000000001</v>
      </c>
      <c r="HM68">
        <v>1.8853800000000001</v>
      </c>
      <c r="HN68">
        <v>1.8814200000000001</v>
      </c>
      <c r="HO68">
        <v>1.8830899999999999</v>
      </c>
      <c r="HP68">
        <v>1.87999</v>
      </c>
      <c r="HQ68">
        <v>1.88341</v>
      </c>
      <c r="HR68">
        <v>1.8794299999999999</v>
      </c>
      <c r="HS68">
        <v>1.88171</v>
      </c>
      <c r="HT68">
        <v>5</v>
      </c>
      <c r="HU68">
        <v>0</v>
      </c>
      <c r="HV68">
        <v>0</v>
      </c>
      <c r="HW68">
        <v>0</v>
      </c>
      <c r="HX68" t="s">
        <v>421</v>
      </c>
      <c r="HY68" t="s">
        <v>422</v>
      </c>
      <c r="HZ68" t="s">
        <v>423</v>
      </c>
      <c r="IA68" t="s">
        <v>423</v>
      </c>
      <c r="IB68" t="s">
        <v>423</v>
      </c>
      <c r="IC68" t="s">
        <v>423</v>
      </c>
      <c r="ID68">
        <v>0</v>
      </c>
      <c r="IE68">
        <v>100</v>
      </c>
      <c r="IF68">
        <v>100</v>
      </c>
      <c r="IG68">
        <v>-3.621</v>
      </c>
      <c r="IH68">
        <v>2.7099999999999999E-2</v>
      </c>
      <c r="II68">
        <v>-2.972938435404318</v>
      </c>
      <c r="IJ68">
        <v>-3.7794827560518689E-3</v>
      </c>
      <c r="IK68">
        <v>4.9551128961100493E-7</v>
      </c>
      <c r="IL68">
        <v>1.3680294268397379E-10</v>
      </c>
      <c r="IM68">
        <v>2.715000000000245E-2</v>
      </c>
      <c r="IN68">
        <v>0</v>
      </c>
      <c r="IO68">
        <v>0</v>
      </c>
      <c r="IP68">
        <v>0</v>
      </c>
      <c r="IQ68">
        <v>4</v>
      </c>
      <c r="IR68">
        <v>2229</v>
      </c>
      <c r="IS68">
        <v>1</v>
      </c>
      <c r="IT68">
        <v>22</v>
      </c>
      <c r="IU68">
        <v>0.7</v>
      </c>
      <c r="IV68">
        <v>0.6</v>
      </c>
      <c r="IW68">
        <v>0.87402299999999999</v>
      </c>
      <c r="IX68">
        <v>2.6013199999999999</v>
      </c>
      <c r="IY68">
        <v>2.9956100000000001</v>
      </c>
      <c r="IZ68">
        <v>2.96509</v>
      </c>
      <c r="JA68">
        <v>3.1970200000000002</v>
      </c>
      <c r="JB68">
        <v>2.4865699999999999</v>
      </c>
      <c r="JC68">
        <v>49.420999999999999</v>
      </c>
      <c r="JD68">
        <v>23.737300000000001</v>
      </c>
      <c r="JE68">
        <v>18</v>
      </c>
      <c r="JF68">
        <v>501.322</v>
      </c>
      <c r="JG68">
        <v>1113.77</v>
      </c>
      <c r="JH68">
        <v>24.992999999999999</v>
      </c>
      <c r="JI68">
        <v>34.265999999999998</v>
      </c>
      <c r="JJ68">
        <v>30.000399999999999</v>
      </c>
      <c r="JK68">
        <v>34.194699999999997</v>
      </c>
      <c r="JL68">
        <v>34.088799999999999</v>
      </c>
      <c r="JM68">
        <v>17.514299999999999</v>
      </c>
      <c r="JN68">
        <v>21.538699999999999</v>
      </c>
      <c r="JO68">
        <v>0</v>
      </c>
      <c r="JP68">
        <v>24.995200000000001</v>
      </c>
      <c r="JQ68">
        <v>200</v>
      </c>
      <c r="JR68">
        <v>22.922000000000001</v>
      </c>
      <c r="JS68">
        <v>98.672399999999996</v>
      </c>
      <c r="JT68">
        <v>97.114599999999996</v>
      </c>
    </row>
    <row r="69" spans="1:280" x14ac:dyDescent="0.25">
      <c r="A69">
        <v>53</v>
      </c>
      <c r="B69">
        <v>1700160965.5</v>
      </c>
      <c r="C69">
        <v>11984</v>
      </c>
      <c r="D69" t="s">
        <v>647</v>
      </c>
      <c r="E69" t="s">
        <v>648</v>
      </c>
      <c r="F69" t="s">
        <v>412</v>
      </c>
      <c r="G69" t="s">
        <v>604</v>
      </c>
      <c r="H69" t="s">
        <v>545</v>
      </c>
      <c r="I69">
        <v>1700160965.5</v>
      </c>
      <c r="J69">
        <f t="shared" si="46"/>
        <v>7.1487080325104589E-3</v>
      </c>
      <c r="K69">
        <f t="shared" si="47"/>
        <v>7.1487080325104593</v>
      </c>
      <c r="L69">
        <f t="shared" si="48"/>
        <v>21.367817876216829</v>
      </c>
      <c r="M69">
        <f t="shared" si="49"/>
        <v>101.598</v>
      </c>
      <c r="N69">
        <f t="shared" si="50"/>
        <v>29.201638269670603</v>
      </c>
      <c r="O69">
        <f t="shared" si="51"/>
        <v>2.8973503566062457</v>
      </c>
      <c r="P69">
        <f t="shared" si="52"/>
        <v>10.080427639438799</v>
      </c>
      <c r="Q69">
        <f t="shared" si="53"/>
        <v>0.51770596213319886</v>
      </c>
      <c r="R69">
        <f t="shared" si="54"/>
        <v>3.3639793359184083</v>
      </c>
      <c r="S69">
        <f t="shared" si="55"/>
        <v>0.47716993915295935</v>
      </c>
      <c r="T69">
        <f t="shared" si="56"/>
        <v>0.30160827929344908</v>
      </c>
      <c r="U69">
        <f t="shared" si="57"/>
        <v>344.40739876278479</v>
      </c>
      <c r="V69">
        <f t="shared" si="58"/>
        <v>30.33144582989631</v>
      </c>
      <c r="W69">
        <f t="shared" si="59"/>
        <v>29.9511</v>
      </c>
      <c r="X69">
        <f t="shared" si="60"/>
        <v>4.2484977599096938</v>
      </c>
      <c r="Y69">
        <f t="shared" si="61"/>
        <v>65.390240214769875</v>
      </c>
      <c r="Z69">
        <f t="shared" si="62"/>
        <v>2.81496522261078</v>
      </c>
      <c r="AA69">
        <f t="shared" si="63"/>
        <v>4.3048705943963732</v>
      </c>
      <c r="AB69">
        <f t="shared" si="64"/>
        <v>1.4335325372989138</v>
      </c>
      <c r="AC69">
        <f t="shared" si="65"/>
        <v>-315.25802423371124</v>
      </c>
      <c r="AD69">
        <f t="shared" si="66"/>
        <v>41.639992868764679</v>
      </c>
      <c r="AE69">
        <f t="shared" si="67"/>
        <v>2.7541007171483511</v>
      </c>
      <c r="AF69">
        <f t="shared" si="68"/>
        <v>73.543468114986567</v>
      </c>
      <c r="AG69">
        <v>15</v>
      </c>
      <c r="AH69">
        <v>3</v>
      </c>
      <c r="AI69">
        <f t="shared" si="69"/>
        <v>1</v>
      </c>
      <c r="AJ69">
        <f t="shared" si="70"/>
        <v>0</v>
      </c>
      <c r="AK69">
        <f t="shared" si="71"/>
        <v>51830.274911489199</v>
      </c>
      <c r="AL69" t="s">
        <v>431</v>
      </c>
      <c r="AM69" t="s">
        <v>431</v>
      </c>
      <c r="AN69">
        <v>0</v>
      </c>
      <c r="AO69">
        <v>0</v>
      </c>
      <c r="AP69" t="e">
        <f t="shared" si="72"/>
        <v>#DIV/0!</v>
      </c>
      <c r="AQ69">
        <v>0</v>
      </c>
      <c r="AR69" t="s">
        <v>431</v>
      </c>
      <c r="AS69" t="s">
        <v>431</v>
      </c>
      <c r="AT69">
        <v>0</v>
      </c>
      <c r="AU69">
        <v>0</v>
      </c>
      <c r="AV69" t="e">
        <f t="shared" si="73"/>
        <v>#DIV/0!</v>
      </c>
      <c r="AW69">
        <v>0.5</v>
      </c>
      <c r="AX69">
        <f t="shared" si="74"/>
        <v>1513.3526993813925</v>
      </c>
      <c r="AY69">
        <f t="shared" si="75"/>
        <v>21.367817876216829</v>
      </c>
      <c r="AZ69" t="e">
        <f t="shared" si="76"/>
        <v>#DIV/0!</v>
      </c>
      <c r="BA69">
        <f t="shared" si="77"/>
        <v>1.4119522755634738E-2</v>
      </c>
      <c r="BB69" t="e">
        <f t="shared" si="78"/>
        <v>#DIV/0!</v>
      </c>
      <c r="BC69" t="e">
        <f t="shared" si="79"/>
        <v>#DIV/0!</v>
      </c>
      <c r="BD69" t="s">
        <v>431</v>
      </c>
      <c r="BE69">
        <v>0</v>
      </c>
      <c r="BF69" t="e">
        <f t="shared" si="80"/>
        <v>#DIV/0!</v>
      </c>
      <c r="BG69" t="e">
        <f t="shared" si="81"/>
        <v>#DIV/0!</v>
      </c>
      <c r="BH69" t="e">
        <f t="shared" si="82"/>
        <v>#DIV/0!</v>
      </c>
      <c r="BI69" t="e">
        <f t="shared" si="83"/>
        <v>#DIV/0!</v>
      </c>
      <c r="BJ69" t="e">
        <f t="shared" si="84"/>
        <v>#DIV/0!</v>
      </c>
      <c r="BK69" t="e">
        <f t="shared" si="85"/>
        <v>#DIV/0!</v>
      </c>
      <c r="BL69" t="e">
        <f t="shared" si="86"/>
        <v>#DIV/0!</v>
      </c>
      <c r="BM69" t="e">
        <f t="shared" si="87"/>
        <v>#DIV/0!</v>
      </c>
      <c r="BN69">
        <v>20772</v>
      </c>
      <c r="BO69">
        <v>290.00000000000011</v>
      </c>
      <c r="BP69">
        <v>623.07000000000005</v>
      </c>
      <c r="BQ69">
        <v>285</v>
      </c>
      <c r="BR69">
        <v>7134.84</v>
      </c>
      <c r="BS69">
        <v>624.62</v>
      </c>
      <c r="BT69">
        <v>-1.55</v>
      </c>
      <c r="BU69">
        <v>300.00000000000011</v>
      </c>
      <c r="BV69">
        <v>38.299999999999997</v>
      </c>
      <c r="BW69">
        <v>664.53761687521637</v>
      </c>
      <c r="BX69">
        <v>1.175104857782588</v>
      </c>
      <c r="BY69">
        <v>-28.48248227603894</v>
      </c>
      <c r="BZ69">
        <v>0.70267277147516649</v>
      </c>
      <c r="CA69">
        <v>0.98324401658053173</v>
      </c>
      <c r="CB69">
        <v>-7.0432901001112403E-3</v>
      </c>
      <c r="CC69">
        <v>289.99999999999989</v>
      </c>
      <c r="CD69">
        <v>629.45000000000005</v>
      </c>
      <c r="CE69">
        <v>885</v>
      </c>
      <c r="CF69">
        <v>7127.55</v>
      </c>
      <c r="CG69">
        <v>624.58000000000004</v>
      </c>
      <c r="CH69">
        <v>4.87</v>
      </c>
      <c r="CV69">
        <f t="shared" si="88"/>
        <v>1800.2</v>
      </c>
      <c r="CW69">
        <f t="shared" si="89"/>
        <v>1513.3526993813925</v>
      </c>
      <c r="CX69">
        <f t="shared" si="90"/>
        <v>0.84065809320152896</v>
      </c>
      <c r="CY69">
        <f t="shared" si="91"/>
        <v>0.19131618640305786</v>
      </c>
      <c r="CZ69">
        <v>4.16</v>
      </c>
      <c r="DA69">
        <v>0.5</v>
      </c>
      <c r="DB69" t="s">
        <v>418</v>
      </c>
      <c r="DC69">
        <v>2</v>
      </c>
      <c r="DD69">
        <v>1700160965.5</v>
      </c>
      <c r="DE69">
        <v>101.598</v>
      </c>
      <c r="DF69">
        <v>119.98099999999999</v>
      </c>
      <c r="DG69">
        <v>28.371300000000002</v>
      </c>
      <c r="DH69">
        <v>22.592099999999999</v>
      </c>
      <c r="DI69">
        <v>104.947</v>
      </c>
      <c r="DJ69">
        <v>28.357900000000001</v>
      </c>
      <c r="DK69">
        <v>499.98099999999999</v>
      </c>
      <c r="DL69">
        <v>99.118799999999993</v>
      </c>
      <c r="DM69">
        <v>9.9960599999999997E-2</v>
      </c>
      <c r="DN69">
        <v>30.180700000000002</v>
      </c>
      <c r="DO69">
        <v>29.9511</v>
      </c>
      <c r="DP69">
        <v>999.9</v>
      </c>
      <c r="DQ69">
        <v>0</v>
      </c>
      <c r="DR69">
        <v>0</v>
      </c>
      <c r="DS69">
        <v>9993.75</v>
      </c>
      <c r="DT69">
        <v>0</v>
      </c>
      <c r="DU69">
        <v>243.60499999999999</v>
      </c>
      <c r="DV69">
        <v>-18.3828</v>
      </c>
      <c r="DW69">
        <v>104.565</v>
      </c>
      <c r="DX69">
        <v>122.754</v>
      </c>
      <c r="DY69">
        <v>5.7791300000000003</v>
      </c>
      <c r="DZ69">
        <v>119.98099999999999</v>
      </c>
      <c r="EA69">
        <v>22.592099999999999</v>
      </c>
      <c r="EB69">
        <v>2.8121200000000002</v>
      </c>
      <c r="EC69">
        <v>2.2393000000000001</v>
      </c>
      <c r="ED69">
        <v>22.955400000000001</v>
      </c>
      <c r="EE69">
        <v>19.246300000000002</v>
      </c>
      <c r="EF69">
        <v>1800.2</v>
      </c>
      <c r="EG69">
        <v>0.97800399999999998</v>
      </c>
      <c r="EH69">
        <v>2.1996499999999999E-2</v>
      </c>
      <c r="EI69">
        <v>0</v>
      </c>
      <c r="EJ69">
        <v>539.14400000000001</v>
      </c>
      <c r="EK69">
        <v>5.0009399999999999</v>
      </c>
      <c r="EL69">
        <v>10314.700000000001</v>
      </c>
      <c r="EM69">
        <v>13861.7</v>
      </c>
      <c r="EN69">
        <v>47.936999999999998</v>
      </c>
      <c r="EO69">
        <v>49.686999999999998</v>
      </c>
      <c r="EP69">
        <v>49</v>
      </c>
      <c r="EQ69">
        <v>49.061999999999998</v>
      </c>
      <c r="ER69">
        <v>49.375</v>
      </c>
      <c r="ES69">
        <v>1755.71</v>
      </c>
      <c r="ET69">
        <v>39.49</v>
      </c>
      <c r="EU69">
        <v>0</v>
      </c>
      <c r="EV69">
        <v>157.20000004768369</v>
      </c>
      <c r="EW69">
        <v>0</v>
      </c>
      <c r="EX69">
        <v>539.24275999999998</v>
      </c>
      <c r="EY69">
        <v>-0.6506153932189972</v>
      </c>
      <c r="EZ69">
        <v>11.538461563943949</v>
      </c>
      <c r="FA69">
        <v>10310.272000000001</v>
      </c>
      <c r="FB69">
        <v>15</v>
      </c>
      <c r="FC69">
        <v>1700160902</v>
      </c>
      <c r="FD69" t="s">
        <v>649</v>
      </c>
      <c r="FE69">
        <v>1700160902</v>
      </c>
      <c r="FF69">
        <v>1700160901</v>
      </c>
      <c r="FG69">
        <v>58</v>
      </c>
      <c r="FH69">
        <v>1.4999999999999999E-2</v>
      </c>
      <c r="FI69">
        <v>-1.4E-2</v>
      </c>
      <c r="FJ69">
        <v>-3.4159999999999999</v>
      </c>
      <c r="FK69">
        <v>1.2999999999999999E-2</v>
      </c>
      <c r="FL69">
        <v>120</v>
      </c>
      <c r="FM69">
        <v>23</v>
      </c>
      <c r="FN69">
        <v>0.09</v>
      </c>
      <c r="FO69">
        <v>0.01</v>
      </c>
      <c r="FP69">
        <v>21.269597723571842</v>
      </c>
      <c r="FQ69">
        <v>0.69619098321633732</v>
      </c>
      <c r="FR69">
        <v>5.7729838517544901E-2</v>
      </c>
      <c r="FS69">
        <v>1</v>
      </c>
      <c r="FT69">
        <v>0.51756607777141961</v>
      </c>
      <c r="FU69">
        <v>-2.4543768453745367E-4</v>
      </c>
      <c r="FV69">
        <v>1.182284521549368E-3</v>
      </c>
      <c r="FW69">
        <v>1</v>
      </c>
      <c r="FX69">
        <v>2</v>
      </c>
      <c r="FY69">
        <v>2</v>
      </c>
      <c r="FZ69" t="s">
        <v>420</v>
      </c>
      <c r="GA69">
        <v>3.1189800000000001</v>
      </c>
      <c r="GB69">
        <v>2.8775300000000001</v>
      </c>
      <c r="GC69">
        <v>2.6979599999999999E-2</v>
      </c>
      <c r="GD69">
        <v>3.11233E-2</v>
      </c>
      <c r="GE69">
        <v>0.126551</v>
      </c>
      <c r="GF69">
        <v>0.108455</v>
      </c>
      <c r="GG69">
        <v>28214.7</v>
      </c>
      <c r="GH69">
        <v>28746.6</v>
      </c>
      <c r="GI69">
        <v>26711.8</v>
      </c>
      <c r="GJ69">
        <v>27405.5</v>
      </c>
      <c r="GK69">
        <v>33371.300000000003</v>
      </c>
      <c r="GL69">
        <v>34141.300000000003</v>
      </c>
      <c r="GM69">
        <v>39577.199999999997</v>
      </c>
      <c r="GN69">
        <v>39690.1</v>
      </c>
      <c r="GO69">
        <v>1.9408300000000001</v>
      </c>
      <c r="GP69">
        <v>2.42875</v>
      </c>
      <c r="GQ69">
        <v>-1.7903700000000002E-2</v>
      </c>
      <c r="GR69">
        <v>0</v>
      </c>
      <c r="GS69">
        <v>30.2424</v>
      </c>
      <c r="GT69">
        <v>999.9</v>
      </c>
      <c r="GU69">
        <v>30.5</v>
      </c>
      <c r="GV69">
        <v>45.9</v>
      </c>
      <c r="GW69">
        <v>31.064900000000002</v>
      </c>
      <c r="GX69">
        <v>63.194800000000001</v>
      </c>
      <c r="GY69">
        <v>8.0248399999999993</v>
      </c>
      <c r="GZ69">
        <v>3</v>
      </c>
      <c r="HA69">
        <v>0.58695900000000001</v>
      </c>
      <c r="HB69">
        <v>3.4856799999999999</v>
      </c>
      <c r="HC69">
        <v>20.264099999999999</v>
      </c>
      <c r="HD69">
        <v>5.21624</v>
      </c>
      <c r="HE69">
        <v>11.908300000000001</v>
      </c>
      <c r="HF69">
        <v>4.9973999999999998</v>
      </c>
      <c r="HG69">
        <v>3.3029999999999999</v>
      </c>
      <c r="HH69">
        <v>9999</v>
      </c>
      <c r="HI69">
        <v>9999</v>
      </c>
      <c r="HJ69">
        <v>9999</v>
      </c>
      <c r="HK69">
        <v>999.9</v>
      </c>
      <c r="HL69">
        <v>1.8847499999999999</v>
      </c>
      <c r="HM69">
        <v>1.88534</v>
      </c>
      <c r="HN69">
        <v>1.88141</v>
      </c>
      <c r="HO69">
        <v>1.8830899999999999</v>
      </c>
      <c r="HP69">
        <v>1.8798999999999999</v>
      </c>
      <c r="HQ69">
        <v>1.88341</v>
      </c>
      <c r="HR69">
        <v>1.8794200000000001</v>
      </c>
      <c r="HS69">
        <v>1.88171</v>
      </c>
      <c r="HT69">
        <v>5</v>
      </c>
      <c r="HU69">
        <v>0</v>
      </c>
      <c r="HV69">
        <v>0</v>
      </c>
      <c r="HW69">
        <v>0</v>
      </c>
      <c r="HX69" t="s">
        <v>421</v>
      </c>
      <c r="HY69" t="s">
        <v>422</v>
      </c>
      <c r="HZ69" t="s">
        <v>423</v>
      </c>
      <c r="IA69" t="s">
        <v>423</v>
      </c>
      <c r="IB69" t="s">
        <v>423</v>
      </c>
      <c r="IC69" t="s">
        <v>423</v>
      </c>
      <c r="ID69">
        <v>0</v>
      </c>
      <c r="IE69">
        <v>100</v>
      </c>
      <c r="IF69">
        <v>100</v>
      </c>
      <c r="IG69">
        <v>-3.3490000000000002</v>
      </c>
      <c r="IH69">
        <v>1.34E-2</v>
      </c>
      <c r="II69">
        <v>-2.957668282825674</v>
      </c>
      <c r="IJ69">
        <v>-3.7794827560518689E-3</v>
      </c>
      <c r="IK69">
        <v>4.9551128961100493E-7</v>
      </c>
      <c r="IL69">
        <v>1.3680294268397379E-10</v>
      </c>
      <c r="IM69">
        <v>1.3404999999998781E-2</v>
      </c>
      <c r="IN69">
        <v>0</v>
      </c>
      <c r="IO69">
        <v>0</v>
      </c>
      <c r="IP69">
        <v>0</v>
      </c>
      <c r="IQ69">
        <v>4</v>
      </c>
      <c r="IR69">
        <v>2229</v>
      </c>
      <c r="IS69">
        <v>1</v>
      </c>
      <c r="IT69">
        <v>22</v>
      </c>
      <c r="IU69">
        <v>1.1000000000000001</v>
      </c>
      <c r="IV69">
        <v>1.1000000000000001</v>
      </c>
      <c r="IW69">
        <v>0.59204100000000004</v>
      </c>
      <c r="IX69">
        <v>2.6074199999999998</v>
      </c>
      <c r="IY69">
        <v>2.9956100000000001</v>
      </c>
      <c r="IZ69">
        <v>2.96509</v>
      </c>
      <c r="JA69">
        <v>3.1970200000000002</v>
      </c>
      <c r="JB69">
        <v>2.5354000000000001</v>
      </c>
      <c r="JC69">
        <v>49.515799999999999</v>
      </c>
      <c r="JD69">
        <v>23.737300000000001</v>
      </c>
      <c r="JE69">
        <v>18</v>
      </c>
      <c r="JF69">
        <v>501.72199999999998</v>
      </c>
      <c r="JG69">
        <v>1111.0899999999999</v>
      </c>
      <c r="JH69">
        <v>25.255099999999999</v>
      </c>
      <c r="JI69">
        <v>34.380899999999997</v>
      </c>
      <c r="JJ69">
        <v>30.0002</v>
      </c>
      <c r="JK69">
        <v>34.306600000000003</v>
      </c>
      <c r="JL69">
        <v>34.197400000000002</v>
      </c>
      <c r="JM69">
        <v>11.8721</v>
      </c>
      <c r="JN69">
        <v>23.218299999999999</v>
      </c>
      <c r="JO69">
        <v>0</v>
      </c>
      <c r="JP69">
        <v>25.281600000000001</v>
      </c>
      <c r="JQ69">
        <v>120</v>
      </c>
      <c r="JR69">
        <v>22.483699999999999</v>
      </c>
      <c r="JS69">
        <v>98.646699999999996</v>
      </c>
      <c r="JT69">
        <v>97.100399999999993</v>
      </c>
    </row>
    <row r="70" spans="1:280" x14ac:dyDescent="0.25">
      <c r="A70">
        <v>54</v>
      </c>
      <c r="B70">
        <v>1700161092</v>
      </c>
      <c r="C70">
        <v>12110.5</v>
      </c>
      <c r="D70" t="s">
        <v>650</v>
      </c>
      <c r="E70" t="s">
        <v>651</v>
      </c>
      <c r="F70" t="s">
        <v>412</v>
      </c>
      <c r="G70" t="s">
        <v>604</v>
      </c>
      <c r="H70" t="s">
        <v>545</v>
      </c>
      <c r="I70">
        <v>1700161092</v>
      </c>
      <c r="J70">
        <f t="shared" si="46"/>
        <v>7.3921024578333114E-3</v>
      </c>
      <c r="K70">
        <f t="shared" si="47"/>
        <v>7.3921024578333112</v>
      </c>
      <c r="L70">
        <f t="shared" si="48"/>
        <v>13.222302795226236</v>
      </c>
      <c r="M70">
        <f t="shared" si="49"/>
        <v>58.637599999999999</v>
      </c>
      <c r="N70">
        <f t="shared" si="50"/>
        <v>15.297399325563683</v>
      </c>
      <c r="O70">
        <f t="shared" si="51"/>
        <v>1.5177021107277953</v>
      </c>
      <c r="P70">
        <f t="shared" si="52"/>
        <v>5.8176169291267996</v>
      </c>
      <c r="Q70">
        <f t="shared" si="53"/>
        <v>0.535729970389483</v>
      </c>
      <c r="R70">
        <f t="shared" si="54"/>
        <v>3.3654923884881272</v>
      </c>
      <c r="S70">
        <f t="shared" si="55"/>
        <v>0.49246639875290288</v>
      </c>
      <c r="T70">
        <f t="shared" si="56"/>
        <v>0.31138689093111727</v>
      </c>
      <c r="U70">
        <f t="shared" si="57"/>
        <v>344.36559876263357</v>
      </c>
      <c r="V70">
        <f t="shared" si="58"/>
        <v>30.374674576481109</v>
      </c>
      <c r="W70">
        <f t="shared" si="59"/>
        <v>30.011099999999999</v>
      </c>
      <c r="X70">
        <f t="shared" si="60"/>
        <v>4.2631668830561553</v>
      </c>
      <c r="Y70">
        <f t="shared" si="61"/>
        <v>65.30166755994918</v>
      </c>
      <c r="Z70">
        <f t="shared" si="62"/>
        <v>2.8271560993119</v>
      </c>
      <c r="AA70">
        <f t="shared" si="63"/>
        <v>4.3293781077129054</v>
      </c>
      <c r="AB70">
        <f t="shared" si="64"/>
        <v>1.4360107837442553</v>
      </c>
      <c r="AC70">
        <f t="shared" si="65"/>
        <v>-325.99171839044902</v>
      </c>
      <c r="AD70">
        <f t="shared" si="66"/>
        <v>48.734898329098847</v>
      </c>
      <c r="AE70">
        <f t="shared" si="67"/>
        <v>3.224450337199412</v>
      </c>
      <c r="AF70">
        <f t="shared" si="68"/>
        <v>70.333229038482813</v>
      </c>
      <c r="AG70">
        <v>16</v>
      </c>
      <c r="AH70">
        <v>3</v>
      </c>
      <c r="AI70">
        <f t="shared" si="69"/>
        <v>1</v>
      </c>
      <c r="AJ70">
        <f t="shared" si="70"/>
        <v>0</v>
      </c>
      <c r="AK70">
        <f t="shared" si="71"/>
        <v>51847.422301248946</v>
      </c>
      <c r="AL70" t="s">
        <v>415</v>
      </c>
      <c r="AM70">
        <v>7133.88</v>
      </c>
      <c r="AN70">
        <v>306.28384615384618</v>
      </c>
      <c r="AO70">
        <v>859.63916333292491</v>
      </c>
      <c r="AP70">
        <f t="shared" si="72"/>
        <v>0.64370650010133712</v>
      </c>
      <c r="AQ70">
        <v>-0.73746743666429193</v>
      </c>
      <c r="AR70" t="s">
        <v>652</v>
      </c>
      <c r="AS70">
        <v>7134.15</v>
      </c>
      <c r="AT70">
        <v>554.54776923076918</v>
      </c>
      <c r="AU70">
        <v>633.87457417038183</v>
      </c>
      <c r="AV70">
        <f t="shared" si="73"/>
        <v>0.12514590136926684</v>
      </c>
      <c r="AW70">
        <v>0.5</v>
      </c>
      <c r="AX70">
        <f t="shared" si="74"/>
        <v>1513.1678993813168</v>
      </c>
      <c r="AY70">
        <f t="shared" si="75"/>
        <v>13.222302795226236</v>
      </c>
      <c r="AZ70">
        <f t="shared" si="76"/>
        <v>94.683380345557481</v>
      </c>
      <c r="BA70">
        <f t="shared" si="77"/>
        <v>9.2255262866719583E-3</v>
      </c>
      <c r="BB70">
        <f t="shared" si="78"/>
        <v>0.35616602773194506</v>
      </c>
      <c r="BC70">
        <f t="shared" si="79"/>
        <v>271.79336573407255</v>
      </c>
      <c r="BD70" t="s">
        <v>653</v>
      </c>
      <c r="BE70">
        <v>378.25</v>
      </c>
      <c r="BF70">
        <f t="shared" si="80"/>
        <v>378.25</v>
      </c>
      <c r="BG70">
        <f t="shared" si="81"/>
        <v>0.4032731151978205</v>
      </c>
      <c r="BH70">
        <f t="shared" si="82"/>
        <v>0.31032542625083787</v>
      </c>
      <c r="BI70">
        <f t="shared" si="83"/>
        <v>0.46898560740222994</v>
      </c>
      <c r="BJ70">
        <f t="shared" si="84"/>
        <v>0.24215216779764448</v>
      </c>
      <c r="BK70">
        <f t="shared" si="85"/>
        <v>0.40799208420632266</v>
      </c>
      <c r="BL70">
        <f t="shared" si="86"/>
        <v>0.2116690373530882</v>
      </c>
      <c r="BM70">
        <f t="shared" si="87"/>
        <v>0.78833096264691183</v>
      </c>
      <c r="BN70">
        <v>20774</v>
      </c>
      <c r="BO70">
        <v>290.00000000000011</v>
      </c>
      <c r="BP70">
        <v>611.49</v>
      </c>
      <c r="BQ70">
        <v>295</v>
      </c>
      <c r="BR70">
        <v>7134.15</v>
      </c>
      <c r="BS70">
        <v>611.98</v>
      </c>
      <c r="BT70">
        <v>-0.49</v>
      </c>
      <c r="BU70">
        <v>300.00000000000011</v>
      </c>
      <c r="BV70">
        <v>38.299999999999997</v>
      </c>
      <c r="BW70">
        <v>633.87457417038183</v>
      </c>
      <c r="BX70">
        <v>0.9135770034349725</v>
      </c>
      <c r="BY70">
        <v>-15.617240268344631</v>
      </c>
      <c r="BZ70">
        <v>0.54623544787357692</v>
      </c>
      <c r="CA70">
        <v>0.96688062993819213</v>
      </c>
      <c r="CB70">
        <v>-7.0424607341490536E-3</v>
      </c>
      <c r="CC70">
        <v>289.99999999999989</v>
      </c>
      <c r="CD70">
        <v>612.46</v>
      </c>
      <c r="CE70">
        <v>685</v>
      </c>
      <c r="CF70">
        <v>7130.07</v>
      </c>
      <c r="CG70">
        <v>611.97</v>
      </c>
      <c r="CH70">
        <v>0.49</v>
      </c>
      <c r="CV70">
        <f t="shared" si="88"/>
        <v>1799.98</v>
      </c>
      <c r="CW70">
        <f t="shared" si="89"/>
        <v>1513.1678993813168</v>
      </c>
      <c r="CX70">
        <f t="shared" si="90"/>
        <v>0.84065817363599415</v>
      </c>
      <c r="CY70">
        <f t="shared" si="91"/>
        <v>0.19131634727198835</v>
      </c>
      <c r="CZ70">
        <v>4.16</v>
      </c>
      <c r="DA70">
        <v>0.5</v>
      </c>
      <c r="DB70" t="s">
        <v>418</v>
      </c>
      <c r="DC70">
        <v>2</v>
      </c>
      <c r="DD70">
        <v>1700161092</v>
      </c>
      <c r="DE70">
        <v>58.637599999999999</v>
      </c>
      <c r="DF70">
        <v>69.998099999999994</v>
      </c>
      <c r="DG70">
        <v>28.495799999999999</v>
      </c>
      <c r="DH70">
        <v>22.5214</v>
      </c>
      <c r="DI70">
        <v>61.953499999999998</v>
      </c>
      <c r="DJ70">
        <v>28.4938</v>
      </c>
      <c r="DK70">
        <v>500.048</v>
      </c>
      <c r="DL70">
        <v>99.113100000000003</v>
      </c>
      <c r="DM70">
        <v>9.99805E-2</v>
      </c>
      <c r="DN70">
        <v>30.279699999999998</v>
      </c>
      <c r="DO70">
        <v>30.011099999999999</v>
      </c>
      <c r="DP70">
        <v>999.9</v>
      </c>
      <c r="DQ70">
        <v>0</v>
      </c>
      <c r="DR70">
        <v>0</v>
      </c>
      <c r="DS70">
        <v>10001.200000000001</v>
      </c>
      <c r="DT70">
        <v>0</v>
      </c>
      <c r="DU70">
        <v>327.93</v>
      </c>
      <c r="DV70">
        <v>-11.3605</v>
      </c>
      <c r="DW70">
        <v>60.357500000000002</v>
      </c>
      <c r="DX70">
        <v>71.610799999999998</v>
      </c>
      <c r="DY70">
        <v>5.9744799999999998</v>
      </c>
      <c r="DZ70">
        <v>69.998099999999994</v>
      </c>
      <c r="EA70">
        <v>22.5214</v>
      </c>
      <c r="EB70">
        <v>2.8243100000000001</v>
      </c>
      <c r="EC70">
        <v>2.2321599999999999</v>
      </c>
      <c r="ED70">
        <v>23.026900000000001</v>
      </c>
      <c r="EE70">
        <v>19.195</v>
      </c>
      <c r="EF70">
        <v>1799.98</v>
      </c>
      <c r="EG70">
        <v>0.97799999999999998</v>
      </c>
      <c r="EH70">
        <v>2.20003E-2</v>
      </c>
      <c r="EI70">
        <v>0</v>
      </c>
      <c r="EJ70">
        <v>554.45399999999995</v>
      </c>
      <c r="EK70">
        <v>5.0009399999999999</v>
      </c>
      <c r="EL70">
        <v>11300.6</v>
      </c>
      <c r="EM70">
        <v>13860</v>
      </c>
      <c r="EN70">
        <v>47.936999999999998</v>
      </c>
      <c r="EO70">
        <v>49.811999999999998</v>
      </c>
      <c r="EP70">
        <v>49</v>
      </c>
      <c r="EQ70">
        <v>49.061999999999998</v>
      </c>
      <c r="ER70">
        <v>49.436999999999998</v>
      </c>
      <c r="ES70">
        <v>1755.49</v>
      </c>
      <c r="ET70">
        <v>39.49</v>
      </c>
      <c r="EU70">
        <v>0</v>
      </c>
      <c r="EV70">
        <v>283.80000019073492</v>
      </c>
      <c r="EW70">
        <v>0</v>
      </c>
      <c r="EX70">
        <v>554.54776923076918</v>
      </c>
      <c r="EY70">
        <v>-1.2136068249913841</v>
      </c>
      <c r="EZ70">
        <v>19.709401516886761</v>
      </c>
      <c r="FA70">
        <v>11317.41153846154</v>
      </c>
      <c r="FB70">
        <v>15</v>
      </c>
      <c r="FC70">
        <v>1700161051</v>
      </c>
      <c r="FD70" t="s">
        <v>654</v>
      </c>
      <c r="FE70">
        <v>1700161051</v>
      </c>
      <c r="FF70">
        <v>1700161046</v>
      </c>
      <c r="FG70">
        <v>59</v>
      </c>
      <c r="FH70">
        <v>-0.126</v>
      </c>
      <c r="FI70">
        <v>-1.0999999999999999E-2</v>
      </c>
      <c r="FJ70">
        <v>-3.3580000000000001</v>
      </c>
      <c r="FK70">
        <v>2E-3</v>
      </c>
      <c r="FL70">
        <v>70</v>
      </c>
      <c r="FM70">
        <v>22</v>
      </c>
      <c r="FN70">
        <v>0.08</v>
      </c>
      <c r="FO70">
        <v>0.01</v>
      </c>
      <c r="FP70">
        <v>13.1586295921316</v>
      </c>
      <c r="FQ70">
        <v>-2.080674318007928E-2</v>
      </c>
      <c r="FR70">
        <v>1.8034374939779871E-2</v>
      </c>
      <c r="FS70">
        <v>1</v>
      </c>
      <c r="FT70">
        <v>0.53447910272820209</v>
      </c>
      <c r="FU70">
        <v>4.187529701132521E-2</v>
      </c>
      <c r="FV70">
        <v>3.645668749250543E-3</v>
      </c>
      <c r="FW70">
        <v>1</v>
      </c>
      <c r="FX70">
        <v>2</v>
      </c>
      <c r="FY70">
        <v>2</v>
      </c>
      <c r="FZ70" t="s">
        <v>420</v>
      </c>
      <c r="GA70">
        <v>3.11904</v>
      </c>
      <c r="GB70">
        <v>2.8776199999999998</v>
      </c>
      <c r="GC70">
        <v>1.6208199999999999E-2</v>
      </c>
      <c r="GD70">
        <v>1.8581799999999999E-2</v>
      </c>
      <c r="GE70">
        <v>0.12696399999999999</v>
      </c>
      <c r="GF70">
        <v>0.108197</v>
      </c>
      <c r="GG70">
        <v>28525.7</v>
      </c>
      <c r="GH70">
        <v>29120</v>
      </c>
      <c r="GI70">
        <v>26710.9</v>
      </c>
      <c r="GJ70">
        <v>27407.3</v>
      </c>
      <c r="GK70">
        <v>33354.400000000001</v>
      </c>
      <c r="GL70">
        <v>34152.199999999997</v>
      </c>
      <c r="GM70">
        <v>39576.9</v>
      </c>
      <c r="GN70">
        <v>39692.400000000001</v>
      </c>
      <c r="GO70">
        <v>1.9387300000000001</v>
      </c>
      <c r="GP70">
        <v>2.42855</v>
      </c>
      <c r="GQ70">
        <v>-1.35675E-2</v>
      </c>
      <c r="GR70">
        <v>0</v>
      </c>
      <c r="GS70">
        <v>30.2319</v>
      </c>
      <c r="GT70">
        <v>999.9</v>
      </c>
      <c r="GU70">
        <v>30.4</v>
      </c>
      <c r="GV70">
        <v>45.9</v>
      </c>
      <c r="GW70">
        <v>30.962599999999998</v>
      </c>
      <c r="GX70">
        <v>62.824800000000003</v>
      </c>
      <c r="GY70">
        <v>8.0448699999999995</v>
      </c>
      <c r="GZ70">
        <v>3</v>
      </c>
      <c r="HA70">
        <v>0.58804599999999996</v>
      </c>
      <c r="HB70">
        <v>3.64011</v>
      </c>
      <c r="HC70">
        <v>20.2608</v>
      </c>
      <c r="HD70">
        <v>5.2159399999999998</v>
      </c>
      <c r="HE70">
        <v>11.9084</v>
      </c>
      <c r="HF70">
        <v>4.9970499999999998</v>
      </c>
      <c r="HG70">
        <v>3.3029299999999999</v>
      </c>
      <c r="HH70">
        <v>9999</v>
      </c>
      <c r="HI70">
        <v>9999</v>
      </c>
      <c r="HJ70">
        <v>9999</v>
      </c>
      <c r="HK70">
        <v>999.9</v>
      </c>
      <c r="HL70">
        <v>1.8847700000000001</v>
      </c>
      <c r="HM70">
        <v>1.88537</v>
      </c>
      <c r="HN70">
        <v>1.8814200000000001</v>
      </c>
      <c r="HO70">
        <v>1.8830899999999999</v>
      </c>
      <c r="HP70">
        <v>1.8799600000000001</v>
      </c>
      <c r="HQ70">
        <v>1.8834299999999999</v>
      </c>
      <c r="HR70">
        <v>1.87941</v>
      </c>
      <c r="HS70">
        <v>1.88171</v>
      </c>
      <c r="HT70">
        <v>5</v>
      </c>
      <c r="HU70">
        <v>0</v>
      </c>
      <c r="HV70">
        <v>0</v>
      </c>
      <c r="HW70">
        <v>0</v>
      </c>
      <c r="HX70" t="s">
        <v>421</v>
      </c>
      <c r="HY70" t="s">
        <v>422</v>
      </c>
      <c r="HZ70" t="s">
        <v>423</v>
      </c>
      <c r="IA70" t="s">
        <v>423</v>
      </c>
      <c r="IB70" t="s">
        <v>423</v>
      </c>
      <c r="IC70" t="s">
        <v>423</v>
      </c>
      <c r="ID70">
        <v>0</v>
      </c>
      <c r="IE70">
        <v>100</v>
      </c>
      <c r="IF70">
        <v>100</v>
      </c>
      <c r="IG70">
        <v>-3.3159999999999998</v>
      </c>
      <c r="IH70">
        <v>2E-3</v>
      </c>
      <c r="II70">
        <v>-3.0837190192473649</v>
      </c>
      <c r="IJ70">
        <v>-3.7794827560518689E-3</v>
      </c>
      <c r="IK70">
        <v>4.9551128961100493E-7</v>
      </c>
      <c r="IL70">
        <v>1.3680294268397379E-10</v>
      </c>
      <c r="IM70">
        <v>2.0850000000010032E-3</v>
      </c>
      <c r="IN70">
        <v>0</v>
      </c>
      <c r="IO70">
        <v>0</v>
      </c>
      <c r="IP70">
        <v>0</v>
      </c>
      <c r="IQ70">
        <v>4</v>
      </c>
      <c r="IR70">
        <v>2229</v>
      </c>
      <c r="IS70">
        <v>1</v>
      </c>
      <c r="IT70">
        <v>22</v>
      </c>
      <c r="IU70">
        <v>0.7</v>
      </c>
      <c r="IV70">
        <v>0.8</v>
      </c>
      <c r="IW70">
        <v>0.41381800000000002</v>
      </c>
      <c r="IX70">
        <v>2.6159699999999999</v>
      </c>
      <c r="IY70">
        <v>2.9956100000000001</v>
      </c>
      <c r="IZ70">
        <v>2.96509</v>
      </c>
      <c r="JA70">
        <v>3.1970200000000002</v>
      </c>
      <c r="JB70">
        <v>2.52441</v>
      </c>
      <c r="JC70">
        <v>49.389400000000002</v>
      </c>
      <c r="JD70">
        <v>23.745999999999999</v>
      </c>
      <c r="JE70">
        <v>18</v>
      </c>
      <c r="JF70">
        <v>500.59899999999999</v>
      </c>
      <c r="JG70">
        <v>1111.3800000000001</v>
      </c>
      <c r="JH70">
        <v>25.284300000000002</v>
      </c>
      <c r="JI70">
        <v>34.390300000000003</v>
      </c>
      <c r="JJ70">
        <v>29.9998</v>
      </c>
      <c r="JK70">
        <v>34.332500000000003</v>
      </c>
      <c r="JL70">
        <v>34.227800000000002</v>
      </c>
      <c r="JM70">
        <v>8.2801399999999994</v>
      </c>
      <c r="JN70">
        <v>23.113900000000001</v>
      </c>
      <c r="JO70">
        <v>0</v>
      </c>
      <c r="JP70">
        <v>25.284700000000001</v>
      </c>
      <c r="JQ70">
        <v>70</v>
      </c>
      <c r="JR70">
        <v>22.407599999999999</v>
      </c>
      <c r="JS70">
        <v>98.644999999999996</v>
      </c>
      <c r="JT70">
        <v>97.106399999999994</v>
      </c>
    </row>
    <row r="71" spans="1:280" x14ac:dyDescent="0.25">
      <c r="A71">
        <v>55</v>
      </c>
      <c r="B71">
        <v>1700161220.5</v>
      </c>
      <c r="C71">
        <v>12239</v>
      </c>
      <c r="D71" t="s">
        <v>655</v>
      </c>
      <c r="E71" t="s">
        <v>656</v>
      </c>
      <c r="F71" t="s">
        <v>412</v>
      </c>
      <c r="G71" t="s">
        <v>604</v>
      </c>
      <c r="H71" t="s">
        <v>545</v>
      </c>
      <c r="I71">
        <v>1700161220.5</v>
      </c>
      <c r="J71">
        <f t="shared" si="46"/>
        <v>7.8567115075715323E-3</v>
      </c>
      <c r="K71">
        <f t="shared" si="47"/>
        <v>7.8567115075715321</v>
      </c>
      <c r="L71">
        <f t="shared" si="48"/>
        <v>6.1496395227597942</v>
      </c>
      <c r="M71">
        <f t="shared" si="49"/>
        <v>24.721299999999999</v>
      </c>
      <c r="N71">
        <f t="shared" si="50"/>
        <v>5.9431747900434981</v>
      </c>
      <c r="O71">
        <f t="shared" si="51"/>
        <v>0.58957722715882777</v>
      </c>
      <c r="P71">
        <f t="shared" si="52"/>
        <v>2.45241239247733</v>
      </c>
      <c r="Q71">
        <f t="shared" si="53"/>
        <v>0.57758744703735965</v>
      </c>
      <c r="R71">
        <f t="shared" si="54"/>
        <v>3.3660952478122868</v>
      </c>
      <c r="S71">
        <f t="shared" si="55"/>
        <v>0.527644731296393</v>
      </c>
      <c r="T71">
        <f t="shared" si="56"/>
        <v>0.33390449891204038</v>
      </c>
      <c r="U71">
        <f t="shared" si="57"/>
        <v>344.36939876264734</v>
      </c>
      <c r="V71">
        <f t="shared" si="58"/>
        <v>30.335987534977111</v>
      </c>
      <c r="W71">
        <f t="shared" si="59"/>
        <v>30.014299999999999</v>
      </c>
      <c r="X71">
        <f t="shared" si="60"/>
        <v>4.2639504746123054</v>
      </c>
      <c r="Y71">
        <f t="shared" si="61"/>
        <v>65.339266994769574</v>
      </c>
      <c r="Z71">
        <f t="shared" si="62"/>
        <v>2.8396985780837301</v>
      </c>
      <c r="AA71">
        <f t="shared" si="63"/>
        <v>4.3460826983428644</v>
      </c>
      <c r="AB71">
        <f t="shared" si="64"/>
        <v>1.4242518965285753</v>
      </c>
      <c r="AC71">
        <f t="shared" si="65"/>
        <v>-346.48097748390455</v>
      </c>
      <c r="AD71">
        <f t="shared" si="66"/>
        <v>60.357895520219159</v>
      </c>
      <c r="AE71">
        <f t="shared" si="67"/>
        <v>3.9941397021444121</v>
      </c>
      <c r="AF71">
        <f t="shared" si="68"/>
        <v>62.240456501106365</v>
      </c>
      <c r="AG71">
        <v>16</v>
      </c>
      <c r="AH71">
        <v>3</v>
      </c>
      <c r="AI71">
        <f t="shared" si="69"/>
        <v>1</v>
      </c>
      <c r="AJ71">
        <f t="shared" si="70"/>
        <v>0</v>
      </c>
      <c r="AK71">
        <f t="shared" si="71"/>
        <v>51849.331814161669</v>
      </c>
      <c r="AL71" t="s">
        <v>431</v>
      </c>
      <c r="AM71" t="s">
        <v>431</v>
      </c>
      <c r="AN71">
        <v>0</v>
      </c>
      <c r="AO71">
        <v>0</v>
      </c>
      <c r="AP71" t="e">
        <f t="shared" si="72"/>
        <v>#DIV/0!</v>
      </c>
      <c r="AQ71">
        <v>0</v>
      </c>
      <c r="AR71" t="s">
        <v>431</v>
      </c>
      <c r="AS71" t="s">
        <v>431</v>
      </c>
      <c r="AT71">
        <v>0</v>
      </c>
      <c r="AU71">
        <v>0</v>
      </c>
      <c r="AV71" t="e">
        <f t="shared" si="73"/>
        <v>#DIV/0!</v>
      </c>
      <c r="AW71">
        <v>0.5</v>
      </c>
      <c r="AX71">
        <f t="shared" si="74"/>
        <v>1513.1846993813235</v>
      </c>
      <c r="AY71">
        <f t="shared" si="75"/>
        <v>6.1496395227597942</v>
      </c>
      <c r="AZ71" t="e">
        <f t="shared" si="76"/>
        <v>#DIV/0!</v>
      </c>
      <c r="BA71">
        <f t="shared" si="77"/>
        <v>4.064037605768892E-3</v>
      </c>
      <c r="BB71" t="e">
        <f t="shared" si="78"/>
        <v>#DIV/0!</v>
      </c>
      <c r="BC71" t="e">
        <f t="shared" si="79"/>
        <v>#DIV/0!</v>
      </c>
      <c r="BD71" t="s">
        <v>431</v>
      </c>
      <c r="BE71">
        <v>0</v>
      </c>
      <c r="BF71" t="e">
        <f t="shared" si="80"/>
        <v>#DIV/0!</v>
      </c>
      <c r="BG71" t="e">
        <f t="shared" si="81"/>
        <v>#DIV/0!</v>
      </c>
      <c r="BH71" t="e">
        <f t="shared" si="82"/>
        <v>#DIV/0!</v>
      </c>
      <c r="BI71" t="e">
        <f t="shared" si="83"/>
        <v>#DIV/0!</v>
      </c>
      <c r="BJ71" t="e">
        <f t="shared" si="84"/>
        <v>#DIV/0!</v>
      </c>
      <c r="BK71" t="e">
        <f t="shared" si="85"/>
        <v>#DIV/0!</v>
      </c>
      <c r="BL71" t="e">
        <f t="shared" si="86"/>
        <v>#DIV/0!</v>
      </c>
      <c r="BM71" t="e">
        <f t="shared" si="87"/>
        <v>#DIV/0!</v>
      </c>
      <c r="BN71">
        <v>20774</v>
      </c>
      <c r="BO71">
        <v>290.00000000000011</v>
      </c>
      <c r="BP71">
        <v>611.49</v>
      </c>
      <c r="BQ71">
        <v>295</v>
      </c>
      <c r="BR71">
        <v>7134.15</v>
      </c>
      <c r="BS71">
        <v>611.98</v>
      </c>
      <c r="BT71">
        <v>-0.49</v>
      </c>
      <c r="BU71">
        <v>300.00000000000011</v>
      </c>
      <c r="BV71">
        <v>38.299999999999997</v>
      </c>
      <c r="BW71">
        <v>633.87457417038183</v>
      </c>
      <c r="BX71">
        <v>0.9135770034349725</v>
      </c>
      <c r="BY71">
        <v>-15.617240268344631</v>
      </c>
      <c r="BZ71">
        <v>0.54623544787357692</v>
      </c>
      <c r="CA71">
        <v>0.96688062993819213</v>
      </c>
      <c r="CB71">
        <v>-7.0424607341490536E-3</v>
      </c>
      <c r="CC71">
        <v>289.99999999999989</v>
      </c>
      <c r="CD71">
        <v>612.46</v>
      </c>
      <c r="CE71">
        <v>685</v>
      </c>
      <c r="CF71">
        <v>7130.07</v>
      </c>
      <c r="CG71">
        <v>611.97</v>
      </c>
      <c r="CH71">
        <v>0.49</v>
      </c>
      <c r="CV71">
        <f t="shared" si="88"/>
        <v>1800</v>
      </c>
      <c r="CW71">
        <f t="shared" si="89"/>
        <v>1513.1846993813235</v>
      </c>
      <c r="CX71">
        <f t="shared" si="90"/>
        <v>0.84065816632295753</v>
      </c>
      <c r="CY71">
        <f t="shared" si="91"/>
        <v>0.19131633264591519</v>
      </c>
      <c r="CZ71">
        <v>4.16</v>
      </c>
      <c r="DA71">
        <v>0.5</v>
      </c>
      <c r="DB71" t="s">
        <v>418</v>
      </c>
      <c r="DC71">
        <v>2</v>
      </c>
      <c r="DD71">
        <v>1700161220.5</v>
      </c>
      <c r="DE71">
        <v>24.721299999999999</v>
      </c>
      <c r="DF71">
        <v>30.003</v>
      </c>
      <c r="DG71">
        <v>28.625299999999999</v>
      </c>
      <c r="DH71">
        <v>22.2713</v>
      </c>
      <c r="DI71">
        <v>27.900500000000001</v>
      </c>
      <c r="DJ71">
        <v>28.619399999999999</v>
      </c>
      <c r="DK71">
        <v>499.65899999999999</v>
      </c>
      <c r="DL71">
        <v>99.102599999999995</v>
      </c>
      <c r="DM71">
        <v>9.9804100000000007E-2</v>
      </c>
      <c r="DN71">
        <v>30.346900000000002</v>
      </c>
      <c r="DO71">
        <v>30.014299999999999</v>
      </c>
      <c r="DP71">
        <v>999.9</v>
      </c>
      <c r="DQ71">
        <v>0</v>
      </c>
      <c r="DR71">
        <v>0</v>
      </c>
      <c r="DS71">
        <v>10005</v>
      </c>
      <c r="DT71">
        <v>0</v>
      </c>
      <c r="DU71">
        <v>267.589</v>
      </c>
      <c r="DV71">
        <v>-5.2816900000000002</v>
      </c>
      <c r="DW71">
        <v>25.4498</v>
      </c>
      <c r="DX71">
        <v>30.686399999999999</v>
      </c>
      <c r="DY71">
        <v>6.3539700000000003</v>
      </c>
      <c r="DZ71">
        <v>30.003</v>
      </c>
      <c r="EA71">
        <v>22.2713</v>
      </c>
      <c r="EB71">
        <v>2.83684</v>
      </c>
      <c r="EC71">
        <v>2.2071499999999999</v>
      </c>
      <c r="ED71">
        <v>23.1</v>
      </c>
      <c r="EE71">
        <v>19.014299999999999</v>
      </c>
      <c r="EF71">
        <v>1800</v>
      </c>
      <c r="EG71">
        <v>0.97799999999999998</v>
      </c>
      <c r="EH71">
        <v>2.20003E-2</v>
      </c>
      <c r="EI71">
        <v>0</v>
      </c>
      <c r="EJ71">
        <v>568.74900000000002</v>
      </c>
      <c r="EK71">
        <v>5.0009399999999999</v>
      </c>
      <c r="EL71">
        <v>11349.5</v>
      </c>
      <c r="EM71">
        <v>13860.1</v>
      </c>
      <c r="EN71">
        <v>48</v>
      </c>
      <c r="EO71">
        <v>49.811999999999998</v>
      </c>
      <c r="EP71">
        <v>49.061999999999998</v>
      </c>
      <c r="EQ71">
        <v>49.125</v>
      </c>
      <c r="ER71">
        <v>49.436999999999998</v>
      </c>
      <c r="ES71">
        <v>1755.51</v>
      </c>
      <c r="ET71">
        <v>39.49</v>
      </c>
      <c r="EU71">
        <v>0</v>
      </c>
      <c r="EV71">
        <v>126.5999999046326</v>
      </c>
      <c r="EW71">
        <v>0</v>
      </c>
      <c r="EX71">
        <v>568.92959999999994</v>
      </c>
      <c r="EY71">
        <v>-1.3444615513977589</v>
      </c>
      <c r="EZ71">
        <v>-291.43846129343598</v>
      </c>
      <c r="FA71">
        <v>11253.528</v>
      </c>
      <c r="FB71">
        <v>15</v>
      </c>
      <c r="FC71">
        <v>1700161184.5</v>
      </c>
      <c r="FD71" t="s">
        <v>657</v>
      </c>
      <c r="FE71">
        <v>1700161182</v>
      </c>
      <c r="FF71">
        <v>1700161184.5</v>
      </c>
      <c r="FG71">
        <v>60</v>
      </c>
      <c r="FH71">
        <v>0.01</v>
      </c>
      <c r="FI71">
        <v>4.0000000000000001E-3</v>
      </c>
      <c r="FJ71">
        <v>-3.1989999999999998</v>
      </c>
      <c r="FK71">
        <v>6.0000000000000001E-3</v>
      </c>
      <c r="FL71">
        <v>30</v>
      </c>
      <c r="FM71">
        <v>22</v>
      </c>
      <c r="FN71">
        <v>0.27</v>
      </c>
      <c r="FO71">
        <v>0.01</v>
      </c>
      <c r="FP71">
        <v>6.1250263504856868</v>
      </c>
      <c r="FQ71">
        <v>-6.6009698046921611E-2</v>
      </c>
      <c r="FR71">
        <v>2.4074502649121352E-2</v>
      </c>
      <c r="FS71">
        <v>1</v>
      </c>
      <c r="FT71">
        <v>0.57508249493656571</v>
      </c>
      <c r="FU71">
        <v>4.2762780505704083E-2</v>
      </c>
      <c r="FV71">
        <v>3.4663305430281729E-3</v>
      </c>
      <c r="FW71">
        <v>1</v>
      </c>
      <c r="FX71">
        <v>2</v>
      </c>
      <c r="FY71">
        <v>2</v>
      </c>
      <c r="FZ71" t="s">
        <v>420</v>
      </c>
      <c r="GA71">
        <v>3.1185399999999999</v>
      </c>
      <c r="GB71">
        <v>2.8774700000000002</v>
      </c>
      <c r="GC71">
        <v>7.3682299999999999E-3</v>
      </c>
      <c r="GD71">
        <v>8.0688800000000005E-3</v>
      </c>
      <c r="GE71">
        <v>0.12733900000000001</v>
      </c>
      <c r="GF71">
        <v>0.10731599999999999</v>
      </c>
      <c r="GG71">
        <v>28780.9</v>
      </c>
      <c r="GH71">
        <v>29431.7</v>
      </c>
      <c r="GI71">
        <v>26710.3</v>
      </c>
      <c r="GJ71">
        <v>27407.599999999999</v>
      </c>
      <c r="GK71">
        <v>33338.6</v>
      </c>
      <c r="GL71">
        <v>34185.4</v>
      </c>
      <c r="GM71">
        <v>39576</v>
      </c>
      <c r="GN71">
        <v>39692.699999999997</v>
      </c>
      <c r="GO71">
        <v>1.93865</v>
      </c>
      <c r="GP71">
        <v>2.4276</v>
      </c>
      <c r="GQ71">
        <v>-2.4497499999999998E-2</v>
      </c>
      <c r="GR71">
        <v>0</v>
      </c>
      <c r="GS71">
        <v>30.4129</v>
      </c>
      <c r="GT71">
        <v>999.9</v>
      </c>
      <c r="GU71">
        <v>30.3</v>
      </c>
      <c r="GV71">
        <v>45.9</v>
      </c>
      <c r="GW71">
        <v>30.866800000000001</v>
      </c>
      <c r="GX71">
        <v>63.044800000000002</v>
      </c>
      <c r="GY71">
        <v>8.1770899999999997</v>
      </c>
      <c r="GZ71">
        <v>3</v>
      </c>
      <c r="HA71">
        <v>0.58897100000000002</v>
      </c>
      <c r="HB71">
        <v>3.6659600000000001</v>
      </c>
      <c r="HC71">
        <v>20.259</v>
      </c>
      <c r="HD71">
        <v>5.2125000000000004</v>
      </c>
      <c r="HE71">
        <v>11.9086</v>
      </c>
      <c r="HF71">
        <v>4.9962499999999999</v>
      </c>
      <c r="HG71">
        <v>3.30233</v>
      </c>
      <c r="HH71">
        <v>9999</v>
      </c>
      <c r="HI71">
        <v>9999</v>
      </c>
      <c r="HJ71">
        <v>9999</v>
      </c>
      <c r="HK71">
        <v>999.9</v>
      </c>
      <c r="HL71">
        <v>1.8847700000000001</v>
      </c>
      <c r="HM71">
        <v>1.8853599999999999</v>
      </c>
      <c r="HN71">
        <v>1.8814299999999999</v>
      </c>
      <c r="HO71">
        <v>1.8830899999999999</v>
      </c>
      <c r="HP71">
        <v>1.87995</v>
      </c>
      <c r="HQ71">
        <v>1.8834200000000001</v>
      </c>
      <c r="HR71">
        <v>1.8794299999999999</v>
      </c>
      <c r="HS71">
        <v>1.88171</v>
      </c>
      <c r="HT71">
        <v>5</v>
      </c>
      <c r="HU71">
        <v>0</v>
      </c>
      <c r="HV71">
        <v>0</v>
      </c>
      <c r="HW71">
        <v>0</v>
      </c>
      <c r="HX71" t="s">
        <v>421</v>
      </c>
      <c r="HY71" t="s">
        <v>422</v>
      </c>
      <c r="HZ71" t="s">
        <v>423</v>
      </c>
      <c r="IA71" t="s">
        <v>423</v>
      </c>
      <c r="IB71" t="s">
        <v>423</v>
      </c>
      <c r="IC71" t="s">
        <v>423</v>
      </c>
      <c r="ID71">
        <v>0</v>
      </c>
      <c r="IE71">
        <v>100</v>
      </c>
      <c r="IF71">
        <v>100</v>
      </c>
      <c r="IG71">
        <v>-3.1789999999999998</v>
      </c>
      <c r="IH71">
        <v>5.8999999999999999E-3</v>
      </c>
      <c r="II71">
        <v>-3.0741408709145528</v>
      </c>
      <c r="IJ71">
        <v>-3.7794827560518689E-3</v>
      </c>
      <c r="IK71">
        <v>4.9551128961100493E-7</v>
      </c>
      <c r="IL71">
        <v>1.3680294268397379E-10</v>
      </c>
      <c r="IM71">
        <v>5.9202416968085758E-3</v>
      </c>
      <c r="IN71">
        <v>0</v>
      </c>
      <c r="IO71">
        <v>0</v>
      </c>
      <c r="IP71">
        <v>0</v>
      </c>
      <c r="IQ71">
        <v>4</v>
      </c>
      <c r="IR71">
        <v>2229</v>
      </c>
      <c r="IS71">
        <v>1</v>
      </c>
      <c r="IT71">
        <v>22</v>
      </c>
      <c r="IU71">
        <v>0.6</v>
      </c>
      <c r="IV71">
        <v>0.6</v>
      </c>
      <c r="IW71">
        <v>0.26977499999999999</v>
      </c>
      <c r="IX71">
        <v>2.6403799999999999</v>
      </c>
      <c r="IY71">
        <v>2.9956100000000001</v>
      </c>
      <c r="IZ71">
        <v>2.96387</v>
      </c>
      <c r="JA71">
        <v>3.1970200000000002</v>
      </c>
      <c r="JB71">
        <v>2.4841299999999999</v>
      </c>
      <c r="JC71">
        <v>49.389400000000002</v>
      </c>
      <c r="JD71">
        <v>23.7285</v>
      </c>
      <c r="JE71">
        <v>18</v>
      </c>
      <c r="JF71">
        <v>500.69299999999998</v>
      </c>
      <c r="JG71">
        <v>1110.5</v>
      </c>
      <c r="JH71">
        <v>25.398399999999999</v>
      </c>
      <c r="JI71">
        <v>34.396500000000003</v>
      </c>
      <c r="JJ71">
        <v>30.000299999999999</v>
      </c>
      <c r="JK71">
        <v>34.351100000000002</v>
      </c>
      <c r="JL71">
        <v>34.249400000000001</v>
      </c>
      <c r="JM71">
        <v>5.4110899999999997</v>
      </c>
      <c r="JN71">
        <v>23.546600000000002</v>
      </c>
      <c r="JO71">
        <v>0</v>
      </c>
      <c r="JP71">
        <v>25.386500000000002</v>
      </c>
      <c r="JQ71">
        <v>30</v>
      </c>
      <c r="JR71">
        <v>22.198399999999999</v>
      </c>
      <c r="JS71">
        <v>98.642700000000005</v>
      </c>
      <c r="JT71">
        <v>97.107299999999995</v>
      </c>
    </row>
    <row r="72" spans="1:280" x14ac:dyDescent="0.25">
      <c r="A72">
        <v>56</v>
      </c>
      <c r="B72">
        <v>1700161330</v>
      </c>
      <c r="C72">
        <v>12348.5</v>
      </c>
      <c r="D72" t="s">
        <v>658</v>
      </c>
      <c r="E72" t="s">
        <v>659</v>
      </c>
      <c r="F72" t="s">
        <v>412</v>
      </c>
      <c r="G72" t="s">
        <v>604</v>
      </c>
      <c r="H72" t="s">
        <v>545</v>
      </c>
      <c r="I72">
        <v>1700161330</v>
      </c>
      <c r="J72">
        <f t="shared" si="46"/>
        <v>8.0033859632458824E-3</v>
      </c>
      <c r="K72">
        <f t="shared" si="47"/>
        <v>8.0033859632458828</v>
      </c>
      <c r="L72">
        <f t="shared" si="48"/>
        <v>2.3668811793660254</v>
      </c>
      <c r="M72">
        <f t="shared" si="49"/>
        <v>7.9925300000000004</v>
      </c>
      <c r="N72">
        <f t="shared" si="50"/>
        <v>0.95406415585140902</v>
      </c>
      <c r="O72">
        <f t="shared" si="51"/>
        <v>9.4640990139061423E-2</v>
      </c>
      <c r="P72">
        <f t="shared" si="52"/>
        <v>0.79284076262263603</v>
      </c>
      <c r="Q72">
        <f t="shared" si="53"/>
        <v>0.59159462523328998</v>
      </c>
      <c r="R72">
        <f t="shared" si="54"/>
        <v>3.3635132287346474</v>
      </c>
      <c r="S72">
        <f t="shared" si="55"/>
        <v>0.53928115295264623</v>
      </c>
      <c r="T72">
        <f t="shared" si="56"/>
        <v>0.34136454670819893</v>
      </c>
      <c r="U72">
        <f t="shared" si="57"/>
        <v>344.37129876265419</v>
      </c>
      <c r="V72">
        <f t="shared" si="58"/>
        <v>30.349738862023141</v>
      </c>
      <c r="W72">
        <f t="shared" si="59"/>
        <v>30.027799999999999</v>
      </c>
      <c r="X72">
        <f t="shared" si="60"/>
        <v>4.2672576334145944</v>
      </c>
      <c r="Y72">
        <f t="shared" si="61"/>
        <v>65.350523716863222</v>
      </c>
      <c r="Z72">
        <f t="shared" si="62"/>
        <v>2.8478772977029201</v>
      </c>
      <c r="AA72">
        <f t="shared" si="63"/>
        <v>4.3578492347537932</v>
      </c>
      <c r="AB72">
        <f t="shared" si="64"/>
        <v>1.4193803357116743</v>
      </c>
      <c r="AC72">
        <f t="shared" si="65"/>
        <v>-352.94932097914341</v>
      </c>
      <c r="AD72">
        <f t="shared" si="66"/>
        <v>66.42254353619721</v>
      </c>
      <c r="AE72">
        <f t="shared" si="67"/>
        <v>4.4001590166357829</v>
      </c>
      <c r="AF72">
        <f t="shared" si="68"/>
        <v>62.244680336343762</v>
      </c>
      <c r="AG72">
        <v>16</v>
      </c>
      <c r="AH72">
        <v>3</v>
      </c>
      <c r="AI72">
        <f t="shared" si="69"/>
        <v>1</v>
      </c>
      <c r="AJ72">
        <f t="shared" si="70"/>
        <v>0</v>
      </c>
      <c r="AK72">
        <f t="shared" si="71"/>
        <v>51782.84536245546</v>
      </c>
      <c r="AL72" t="s">
        <v>415</v>
      </c>
      <c r="AM72">
        <v>7133.88</v>
      </c>
      <c r="AN72">
        <v>306.28384615384618</v>
      </c>
      <c r="AO72">
        <v>859.63916333292491</v>
      </c>
      <c r="AP72">
        <f t="shared" si="72"/>
        <v>0.64370650010133712</v>
      </c>
      <c r="AQ72">
        <v>-0.73746743666429193</v>
      </c>
      <c r="AR72" t="s">
        <v>660</v>
      </c>
      <c r="AS72">
        <v>7139.83</v>
      </c>
      <c r="AT72">
        <v>577.51244000000008</v>
      </c>
      <c r="AU72">
        <v>617.84237584674372</v>
      </c>
      <c r="AV72">
        <f t="shared" si="73"/>
        <v>6.5275444714312569E-2</v>
      </c>
      <c r="AW72">
        <v>0.5</v>
      </c>
      <c r="AX72">
        <f t="shared" si="74"/>
        <v>1513.1930993813269</v>
      </c>
      <c r="AY72">
        <f t="shared" si="75"/>
        <v>2.3668811793660254</v>
      </c>
      <c r="AZ72">
        <f t="shared" si="76"/>
        <v>49.387176250372541</v>
      </c>
      <c r="BA72">
        <f t="shared" si="77"/>
        <v>2.0515217901135941E-3</v>
      </c>
      <c r="BB72">
        <f t="shared" si="78"/>
        <v>0.39135675528050712</v>
      </c>
      <c r="BC72">
        <f t="shared" si="79"/>
        <v>268.80258655838958</v>
      </c>
      <c r="BD72" t="s">
        <v>661</v>
      </c>
      <c r="BE72">
        <v>402.71</v>
      </c>
      <c r="BF72">
        <f t="shared" si="80"/>
        <v>402.71</v>
      </c>
      <c r="BG72">
        <f t="shared" si="81"/>
        <v>0.34819945063157576</v>
      </c>
      <c r="BH72">
        <f t="shared" si="82"/>
        <v>0.18746567404375214</v>
      </c>
      <c r="BI72">
        <f t="shared" si="83"/>
        <v>0.52917783956373277</v>
      </c>
      <c r="BJ72">
        <f t="shared" si="84"/>
        <v>0.12944577664587376</v>
      </c>
      <c r="BK72">
        <f t="shared" si="85"/>
        <v>0.43696478551760276</v>
      </c>
      <c r="BL72">
        <f t="shared" si="86"/>
        <v>0.13072324744062555</v>
      </c>
      <c r="BM72">
        <f t="shared" si="87"/>
        <v>0.86927675255937442</v>
      </c>
      <c r="BN72">
        <v>20776</v>
      </c>
      <c r="BO72">
        <v>290.00000000000011</v>
      </c>
      <c r="BP72">
        <v>606.19000000000005</v>
      </c>
      <c r="BQ72">
        <v>145</v>
      </c>
      <c r="BR72">
        <v>7139.83</v>
      </c>
      <c r="BS72">
        <v>605.5</v>
      </c>
      <c r="BT72">
        <v>0.69</v>
      </c>
      <c r="BU72">
        <v>300.00000000000011</v>
      </c>
      <c r="BV72">
        <v>38.299999999999997</v>
      </c>
      <c r="BW72">
        <v>617.84237584674372</v>
      </c>
      <c r="BX72">
        <v>0.90769962428996753</v>
      </c>
      <c r="BY72">
        <v>-8.8142260405566439</v>
      </c>
      <c r="BZ72">
        <v>0.54270980064901575</v>
      </c>
      <c r="CA72">
        <v>0.90403552542957299</v>
      </c>
      <c r="CB72">
        <v>-7.042254949944384E-3</v>
      </c>
      <c r="CC72">
        <v>289.99999999999989</v>
      </c>
      <c r="CD72">
        <v>605.45000000000005</v>
      </c>
      <c r="CE72">
        <v>685</v>
      </c>
      <c r="CF72">
        <v>7129.89</v>
      </c>
      <c r="CG72">
        <v>605.48</v>
      </c>
      <c r="CH72">
        <v>-0.03</v>
      </c>
      <c r="CV72">
        <f t="shared" si="88"/>
        <v>1800.01</v>
      </c>
      <c r="CW72">
        <f t="shared" si="89"/>
        <v>1513.1930993813269</v>
      </c>
      <c r="CX72">
        <f t="shared" si="90"/>
        <v>0.84065816266650017</v>
      </c>
      <c r="CY72">
        <f t="shared" si="91"/>
        <v>0.19131632533300047</v>
      </c>
      <c r="CZ72">
        <v>4.16</v>
      </c>
      <c r="DA72">
        <v>0.5</v>
      </c>
      <c r="DB72" t="s">
        <v>418</v>
      </c>
      <c r="DC72">
        <v>2</v>
      </c>
      <c r="DD72">
        <v>1700161330</v>
      </c>
      <c r="DE72">
        <v>7.9925300000000004</v>
      </c>
      <c r="DF72">
        <v>10.015700000000001</v>
      </c>
      <c r="DG72">
        <v>28.709099999999999</v>
      </c>
      <c r="DH72">
        <v>22.2392</v>
      </c>
      <c r="DI72">
        <v>11.1525</v>
      </c>
      <c r="DJ72">
        <v>28.701000000000001</v>
      </c>
      <c r="DK72">
        <v>499.82600000000002</v>
      </c>
      <c r="DL72">
        <v>99.097800000000007</v>
      </c>
      <c r="DM72">
        <v>9.9921200000000002E-2</v>
      </c>
      <c r="DN72">
        <v>30.394100000000002</v>
      </c>
      <c r="DO72">
        <v>30.027799999999999</v>
      </c>
      <c r="DP72">
        <v>999.9</v>
      </c>
      <c r="DQ72">
        <v>0</v>
      </c>
      <c r="DR72">
        <v>0</v>
      </c>
      <c r="DS72">
        <v>9993.75</v>
      </c>
      <c r="DT72">
        <v>0</v>
      </c>
      <c r="DU72">
        <v>304.34699999999998</v>
      </c>
      <c r="DV72">
        <v>-2.02319</v>
      </c>
      <c r="DW72">
        <v>8.2287700000000008</v>
      </c>
      <c r="DX72">
        <v>10.243499999999999</v>
      </c>
      <c r="DY72">
        <v>6.4698700000000002</v>
      </c>
      <c r="DZ72">
        <v>10.015700000000001</v>
      </c>
      <c r="EA72">
        <v>22.2392</v>
      </c>
      <c r="EB72">
        <v>2.8450000000000002</v>
      </c>
      <c r="EC72">
        <v>2.2038500000000001</v>
      </c>
      <c r="ED72">
        <v>23.147600000000001</v>
      </c>
      <c r="EE72">
        <v>18.990400000000001</v>
      </c>
      <c r="EF72">
        <v>1800.01</v>
      </c>
      <c r="EG72">
        <v>0.97799999999999998</v>
      </c>
      <c r="EH72">
        <v>2.20003E-2</v>
      </c>
      <c r="EI72">
        <v>0</v>
      </c>
      <c r="EJ72">
        <v>577.20899999999995</v>
      </c>
      <c r="EK72">
        <v>5.0009399999999999</v>
      </c>
      <c r="EL72">
        <v>11837.4</v>
      </c>
      <c r="EM72">
        <v>13860.2</v>
      </c>
      <c r="EN72">
        <v>48.061999999999998</v>
      </c>
      <c r="EO72">
        <v>49.875</v>
      </c>
      <c r="EP72">
        <v>49.125</v>
      </c>
      <c r="EQ72">
        <v>49.186999999999998</v>
      </c>
      <c r="ER72">
        <v>49.5</v>
      </c>
      <c r="ES72">
        <v>1755.52</v>
      </c>
      <c r="ET72">
        <v>39.49</v>
      </c>
      <c r="EU72">
        <v>0</v>
      </c>
      <c r="EV72">
        <v>235.79999995231631</v>
      </c>
      <c r="EW72">
        <v>0</v>
      </c>
      <c r="EX72">
        <v>577.51244000000008</v>
      </c>
      <c r="EY72">
        <v>-0.35776923189526372</v>
      </c>
      <c r="EZ72">
        <v>145.31538491285031</v>
      </c>
      <c r="FA72">
        <v>11845.876</v>
      </c>
      <c r="FB72">
        <v>15</v>
      </c>
      <c r="FC72">
        <v>1700161297</v>
      </c>
      <c r="FD72" t="s">
        <v>662</v>
      </c>
      <c r="FE72">
        <v>1700161293.5</v>
      </c>
      <c r="FF72">
        <v>1700161297</v>
      </c>
      <c r="FG72">
        <v>61</v>
      </c>
      <c r="FH72">
        <v>-4.3999999999999997E-2</v>
      </c>
      <c r="FI72">
        <v>2E-3</v>
      </c>
      <c r="FJ72">
        <v>-3.1680000000000001</v>
      </c>
      <c r="FK72">
        <v>6.0000000000000001E-3</v>
      </c>
      <c r="FL72">
        <v>10</v>
      </c>
      <c r="FM72">
        <v>22</v>
      </c>
      <c r="FN72">
        <v>0.32</v>
      </c>
      <c r="FO72">
        <v>0.02</v>
      </c>
      <c r="FP72">
        <v>2.351756250366444</v>
      </c>
      <c r="FQ72">
        <v>-0.13205989596502421</v>
      </c>
      <c r="FR72">
        <v>2.1180752929805501E-2</v>
      </c>
      <c r="FS72">
        <v>1</v>
      </c>
      <c r="FT72">
        <v>0.58523769024950023</v>
      </c>
      <c r="FU72">
        <v>4.8992100757390231E-2</v>
      </c>
      <c r="FV72">
        <v>4.1803717381946031E-3</v>
      </c>
      <c r="FW72">
        <v>1</v>
      </c>
      <c r="FX72">
        <v>2</v>
      </c>
      <c r="FY72">
        <v>2</v>
      </c>
      <c r="FZ72" t="s">
        <v>420</v>
      </c>
      <c r="GA72">
        <v>3.1187200000000002</v>
      </c>
      <c r="GB72">
        <v>2.8774899999999999</v>
      </c>
      <c r="GC72">
        <v>2.95357E-3</v>
      </c>
      <c r="GD72">
        <v>2.70455E-3</v>
      </c>
      <c r="GE72">
        <v>0.127584</v>
      </c>
      <c r="GF72">
        <v>0.107196</v>
      </c>
      <c r="GG72">
        <v>28908.1</v>
      </c>
      <c r="GH72">
        <v>29591</v>
      </c>
      <c r="GI72">
        <v>26709.8</v>
      </c>
      <c r="GJ72">
        <v>27408.1</v>
      </c>
      <c r="GK72">
        <v>33328.5</v>
      </c>
      <c r="GL72">
        <v>34190.400000000001</v>
      </c>
      <c r="GM72">
        <v>39575.5</v>
      </c>
      <c r="GN72">
        <v>39693.800000000003</v>
      </c>
      <c r="GO72">
        <v>1.9393199999999999</v>
      </c>
      <c r="GP72">
        <v>2.4283000000000001</v>
      </c>
      <c r="GQ72">
        <v>-4.1350699999999997E-2</v>
      </c>
      <c r="GR72">
        <v>0</v>
      </c>
      <c r="GS72">
        <v>30.700299999999999</v>
      </c>
      <c r="GT72">
        <v>999.9</v>
      </c>
      <c r="GU72">
        <v>30.2</v>
      </c>
      <c r="GV72">
        <v>46</v>
      </c>
      <c r="GW72">
        <v>30.924499999999998</v>
      </c>
      <c r="GX72">
        <v>63.1449</v>
      </c>
      <c r="GY72">
        <v>8.1450300000000002</v>
      </c>
      <c r="GZ72">
        <v>3</v>
      </c>
      <c r="HA72">
        <v>0.59115300000000004</v>
      </c>
      <c r="HB72">
        <v>3.87087</v>
      </c>
      <c r="HC72">
        <v>20.255400000000002</v>
      </c>
      <c r="HD72">
        <v>5.2112999999999996</v>
      </c>
      <c r="HE72">
        <v>11.908300000000001</v>
      </c>
      <c r="HF72">
        <v>4.9969999999999999</v>
      </c>
      <c r="HG72">
        <v>3.30288</v>
      </c>
      <c r="HH72">
        <v>9999</v>
      </c>
      <c r="HI72">
        <v>9999</v>
      </c>
      <c r="HJ72">
        <v>9999</v>
      </c>
      <c r="HK72">
        <v>999.9</v>
      </c>
      <c r="HL72">
        <v>1.8847700000000001</v>
      </c>
      <c r="HM72">
        <v>1.8853800000000001</v>
      </c>
      <c r="HN72">
        <v>1.8814200000000001</v>
      </c>
      <c r="HO72">
        <v>1.8830899999999999</v>
      </c>
      <c r="HP72">
        <v>1.8799399999999999</v>
      </c>
      <c r="HQ72">
        <v>1.8834599999999999</v>
      </c>
      <c r="HR72">
        <v>1.8794299999999999</v>
      </c>
      <c r="HS72">
        <v>1.88171</v>
      </c>
      <c r="HT72">
        <v>5</v>
      </c>
      <c r="HU72">
        <v>0</v>
      </c>
      <c r="HV72">
        <v>0</v>
      </c>
      <c r="HW72">
        <v>0</v>
      </c>
      <c r="HX72" t="s">
        <v>421</v>
      </c>
      <c r="HY72" t="s">
        <v>422</v>
      </c>
      <c r="HZ72" t="s">
        <v>423</v>
      </c>
      <c r="IA72" t="s">
        <v>423</v>
      </c>
      <c r="IB72" t="s">
        <v>423</v>
      </c>
      <c r="IC72" t="s">
        <v>423</v>
      </c>
      <c r="ID72">
        <v>0</v>
      </c>
      <c r="IE72">
        <v>100</v>
      </c>
      <c r="IF72">
        <v>100</v>
      </c>
      <c r="IG72">
        <v>-3.16</v>
      </c>
      <c r="IH72">
        <v>8.0999999999999996E-3</v>
      </c>
      <c r="II72">
        <v>-3.1179064491342738</v>
      </c>
      <c r="IJ72">
        <v>-3.7794827560518689E-3</v>
      </c>
      <c r="IK72">
        <v>4.9551128961100493E-7</v>
      </c>
      <c r="IL72">
        <v>1.3680294268397379E-10</v>
      </c>
      <c r="IM72">
        <v>8.0124504944651398E-3</v>
      </c>
      <c r="IN72">
        <v>0</v>
      </c>
      <c r="IO72">
        <v>0</v>
      </c>
      <c r="IP72">
        <v>0</v>
      </c>
      <c r="IQ72">
        <v>4</v>
      </c>
      <c r="IR72">
        <v>2229</v>
      </c>
      <c r="IS72">
        <v>1</v>
      </c>
      <c r="IT72">
        <v>22</v>
      </c>
      <c r="IU72">
        <v>0.6</v>
      </c>
      <c r="IV72">
        <v>0.6</v>
      </c>
      <c r="IW72">
        <v>0.20019500000000001</v>
      </c>
      <c r="IX72">
        <v>2.6452599999999999</v>
      </c>
      <c r="IY72">
        <v>2.9956100000000001</v>
      </c>
      <c r="IZ72">
        <v>2.96509</v>
      </c>
      <c r="JA72">
        <v>3.1970200000000002</v>
      </c>
      <c r="JB72">
        <v>2.51831</v>
      </c>
      <c r="JC72">
        <v>49.389400000000002</v>
      </c>
      <c r="JD72">
        <v>23.737300000000001</v>
      </c>
      <c r="JE72">
        <v>18</v>
      </c>
      <c r="JF72">
        <v>501.23500000000001</v>
      </c>
      <c r="JG72">
        <v>1111.71</v>
      </c>
      <c r="JH72">
        <v>25.1935</v>
      </c>
      <c r="JI72">
        <v>34.407400000000003</v>
      </c>
      <c r="JJ72">
        <v>30.000399999999999</v>
      </c>
      <c r="JK72">
        <v>34.366599999999998</v>
      </c>
      <c r="JL72">
        <v>34.264800000000001</v>
      </c>
      <c r="JM72">
        <v>3.98793</v>
      </c>
      <c r="JN72">
        <v>23.5427</v>
      </c>
      <c r="JO72">
        <v>0</v>
      </c>
      <c r="JP72">
        <v>25.167899999999999</v>
      </c>
      <c r="JQ72">
        <v>10</v>
      </c>
      <c r="JR72">
        <v>22.198699999999999</v>
      </c>
      <c r="JS72">
        <v>98.641199999999998</v>
      </c>
      <c r="JT72">
        <v>97.109499999999997</v>
      </c>
    </row>
    <row r="73" spans="1:280" x14ac:dyDescent="0.25">
      <c r="A73">
        <v>57</v>
      </c>
      <c r="B73">
        <v>1700162505.5999999</v>
      </c>
      <c r="C73">
        <v>13524.099999904631</v>
      </c>
      <c r="D73" t="s">
        <v>663</v>
      </c>
      <c r="E73" t="s">
        <v>664</v>
      </c>
      <c r="F73" t="s">
        <v>412</v>
      </c>
      <c r="G73" t="s">
        <v>482</v>
      </c>
      <c r="H73" t="s">
        <v>665</v>
      </c>
      <c r="I73">
        <v>1700162505.5999999</v>
      </c>
      <c r="J73">
        <f t="shared" si="46"/>
        <v>5.661428247834251E-3</v>
      </c>
      <c r="K73">
        <f t="shared" si="47"/>
        <v>5.6614282478342508</v>
      </c>
      <c r="L73">
        <f t="shared" si="48"/>
        <v>57.660337431036844</v>
      </c>
      <c r="M73">
        <f t="shared" si="49"/>
        <v>383.95600000000002</v>
      </c>
      <c r="N73">
        <f t="shared" si="50"/>
        <v>131.51071406299454</v>
      </c>
      <c r="O73">
        <f t="shared" si="51"/>
        <v>13.042000049751314</v>
      </c>
      <c r="P73">
        <f t="shared" si="52"/>
        <v>38.077157490785602</v>
      </c>
      <c r="Q73">
        <f t="shared" si="53"/>
        <v>0.39817945702325175</v>
      </c>
      <c r="R73">
        <f t="shared" si="54"/>
        <v>3.0082097364590239</v>
      </c>
      <c r="S73">
        <f t="shared" si="55"/>
        <v>0.37104593092595256</v>
      </c>
      <c r="T73">
        <f t="shared" si="56"/>
        <v>0.23418728584892901</v>
      </c>
      <c r="U73">
        <f t="shared" si="57"/>
        <v>344.31559876276816</v>
      </c>
      <c r="V73">
        <f t="shared" si="58"/>
        <v>30.544927083328879</v>
      </c>
      <c r="W73">
        <f t="shared" si="59"/>
        <v>29.913799999999998</v>
      </c>
      <c r="X73">
        <f t="shared" si="60"/>
        <v>4.2394006459258504</v>
      </c>
      <c r="Y73">
        <f t="shared" si="61"/>
        <v>65.241064505215718</v>
      </c>
      <c r="Z73">
        <f t="shared" si="62"/>
        <v>2.7798022769418003</v>
      </c>
      <c r="AA73">
        <f t="shared" si="63"/>
        <v>4.2608168613183315</v>
      </c>
      <c r="AB73">
        <f t="shared" si="64"/>
        <v>1.4595983689840502</v>
      </c>
      <c r="AC73">
        <f t="shared" si="65"/>
        <v>-249.66898572949046</v>
      </c>
      <c r="AD73">
        <f t="shared" si="66"/>
        <v>14.223063510460822</v>
      </c>
      <c r="AE73">
        <f t="shared" si="67"/>
        <v>1.0508531338769671</v>
      </c>
      <c r="AF73">
        <f t="shared" si="68"/>
        <v>109.92052967761548</v>
      </c>
      <c r="AG73">
        <v>0</v>
      </c>
      <c r="AH73">
        <v>0</v>
      </c>
      <c r="AI73">
        <f t="shared" si="69"/>
        <v>1</v>
      </c>
      <c r="AJ73">
        <f t="shared" si="70"/>
        <v>0</v>
      </c>
      <c r="AK73">
        <f t="shared" si="71"/>
        <v>51929.028261516149</v>
      </c>
      <c r="AL73" t="s">
        <v>415</v>
      </c>
      <c r="AM73">
        <v>7133.88</v>
      </c>
      <c r="AN73">
        <v>306.28384615384618</v>
      </c>
      <c r="AO73">
        <v>859.63916333292491</v>
      </c>
      <c r="AP73">
        <f t="shared" si="72"/>
        <v>0.64370650010133712</v>
      </c>
      <c r="AQ73">
        <v>-0.73746743666429193</v>
      </c>
      <c r="AR73" t="s">
        <v>666</v>
      </c>
      <c r="AS73">
        <v>7144.2</v>
      </c>
      <c r="AT73">
        <v>649.93088</v>
      </c>
      <c r="AU73">
        <v>1001.475252942122</v>
      </c>
      <c r="AV73">
        <f t="shared" si="73"/>
        <v>0.35102652003567647</v>
      </c>
      <c r="AW73">
        <v>0.5</v>
      </c>
      <c r="AX73">
        <f t="shared" si="74"/>
        <v>1512.9491993813842</v>
      </c>
      <c r="AY73">
        <f t="shared" si="75"/>
        <v>57.660337431036844</v>
      </c>
      <c r="AZ73">
        <f t="shared" si="76"/>
        <v>265.54264622480508</v>
      </c>
      <c r="BA73">
        <f t="shared" si="77"/>
        <v>3.8598655454908114E-2</v>
      </c>
      <c r="BB73">
        <f t="shared" si="78"/>
        <v>-0.14162715373396667</v>
      </c>
      <c r="BC73">
        <f t="shared" si="79"/>
        <v>322.56051905249615</v>
      </c>
      <c r="BD73" t="s">
        <v>667</v>
      </c>
      <c r="BE73">
        <v>469.59</v>
      </c>
      <c r="BF73">
        <f t="shared" si="80"/>
        <v>469.59</v>
      </c>
      <c r="BG73">
        <f t="shared" si="81"/>
        <v>0.53110174353240969</v>
      </c>
      <c r="BH73">
        <f t="shared" si="82"/>
        <v>0.66094025167562953</v>
      </c>
      <c r="BI73">
        <f t="shared" si="83"/>
        <v>-0.36363644110199883</v>
      </c>
      <c r="BJ73">
        <f t="shared" si="84"/>
        <v>0.50567997462199166</v>
      </c>
      <c r="BK73">
        <f t="shared" si="85"/>
        <v>-0.25632009886930496</v>
      </c>
      <c r="BL73">
        <f t="shared" si="86"/>
        <v>0.47754452409517584</v>
      </c>
      <c r="BM73">
        <f t="shared" si="87"/>
        <v>0.52245547590482411</v>
      </c>
      <c r="BN73">
        <v>20778</v>
      </c>
      <c r="BO73">
        <v>290.00000000000011</v>
      </c>
      <c r="BP73">
        <v>900.61</v>
      </c>
      <c r="BQ73">
        <v>285</v>
      </c>
      <c r="BR73">
        <v>7144.2</v>
      </c>
      <c r="BS73">
        <v>902.82</v>
      </c>
      <c r="BT73">
        <v>-2.21</v>
      </c>
      <c r="BU73">
        <v>300.00000000000011</v>
      </c>
      <c r="BV73">
        <v>38.200000000000003</v>
      </c>
      <c r="BW73">
        <v>1001.475252942122</v>
      </c>
      <c r="BX73">
        <v>1.4491171931662561</v>
      </c>
      <c r="BY73">
        <v>-70.482059753602783</v>
      </c>
      <c r="BZ73">
        <v>0.86764745281876843</v>
      </c>
      <c r="CA73">
        <v>0.99577478731585856</v>
      </c>
      <c r="CB73">
        <v>-7.0529379310344826E-3</v>
      </c>
      <c r="CC73">
        <v>289.99999999999989</v>
      </c>
      <c r="CD73">
        <v>912.12</v>
      </c>
      <c r="CE73">
        <v>825</v>
      </c>
      <c r="CF73">
        <v>7137.64</v>
      </c>
      <c r="CG73">
        <v>902.73</v>
      </c>
      <c r="CH73">
        <v>9.39</v>
      </c>
      <c r="CV73">
        <f t="shared" si="88"/>
        <v>1799.72</v>
      </c>
      <c r="CW73">
        <f t="shared" si="89"/>
        <v>1512.9491993813842</v>
      </c>
      <c r="CX73">
        <f t="shared" si="90"/>
        <v>0.84065810202775104</v>
      </c>
      <c r="CY73">
        <f t="shared" si="91"/>
        <v>0.19131620405550206</v>
      </c>
      <c r="CZ73">
        <v>5.52</v>
      </c>
      <c r="DA73">
        <v>0.5</v>
      </c>
      <c r="DB73" t="s">
        <v>418</v>
      </c>
      <c r="DC73">
        <v>2</v>
      </c>
      <c r="DD73">
        <v>1700162505.5999999</v>
      </c>
      <c r="DE73">
        <v>383.95600000000002</v>
      </c>
      <c r="DF73">
        <v>450.03</v>
      </c>
      <c r="DG73">
        <v>28.0305</v>
      </c>
      <c r="DH73">
        <v>21.953900000000001</v>
      </c>
      <c r="DI73">
        <v>388.03699999999998</v>
      </c>
      <c r="DJ73">
        <v>28.025600000000001</v>
      </c>
      <c r="DK73">
        <v>499.87</v>
      </c>
      <c r="DL73">
        <v>99.070700000000002</v>
      </c>
      <c r="DM73">
        <v>9.9927600000000005E-2</v>
      </c>
      <c r="DN73">
        <v>30.0015</v>
      </c>
      <c r="DO73">
        <v>29.913799999999998</v>
      </c>
      <c r="DP73">
        <v>999.9</v>
      </c>
      <c r="DQ73">
        <v>0</v>
      </c>
      <c r="DR73">
        <v>0</v>
      </c>
      <c r="DS73">
        <v>10012.5</v>
      </c>
      <c r="DT73">
        <v>0</v>
      </c>
      <c r="DU73">
        <v>186.767</v>
      </c>
      <c r="DV73">
        <v>-66.073999999999998</v>
      </c>
      <c r="DW73">
        <v>395.02800000000002</v>
      </c>
      <c r="DX73">
        <v>460.13099999999997</v>
      </c>
      <c r="DY73">
        <v>6.0766200000000001</v>
      </c>
      <c r="DZ73">
        <v>450.03</v>
      </c>
      <c r="EA73">
        <v>21.953900000000001</v>
      </c>
      <c r="EB73">
        <v>2.7770000000000001</v>
      </c>
      <c r="EC73">
        <v>2.1749900000000002</v>
      </c>
      <c r="ED73">
        <v>22.748000000000001</v>
      </c>
      <c r="EE73">
        <v>18.779299999999999</v>
      </c>
      <c r="EF73">
        <v>1799.72</v>
      </c>
      <c r="EG73">
        <v>0.97800399999999998</v>
      </c>
      <c r="EH73">
        <v>2.1996100000000001E-2</v>
      </c>
      <c r="EI73">
        <v>0</v>
      </c>
      <c r="EJ73">
        <v>650.00400000000002</v>
      </c>
      <c r="EK73">
        <v>5.0009399999999999</v>
      </c>
      <c r="EL73">
        <v>12508.6</v>
      </c>
      <c r="EM73">
        <v>13858</v>
      </c>
      <c r="EN73">
        <v>48</v>
      </c>
      <c r="EO73">
        <v>49.811999999999998</v>
      </c>
      <c r="EP73">
        <v>49.061999999999998</v>
      </c>
      <c r="EQ73">
        <v>49.125</v>
      </c>
      <c r="ER73">
        <v>49.436999999999998</v>
      </c>
      <c r="ES73">
        <v>1755.24</v>
      </c>
      <c r="ET73">
        <v>39.479999999999997</v>
      </c>
      <c r="EU73">
        <v>0</v>
      </c>
      <c r="EV73">
        <v>1173.6000001430509</v>
      </c>
      <c r="EW73">
        <v>0</v>
      </c>
      <c r="EX73">
        <v>649.93088</v>
      </c>
      <c r="EY73">
        <v>-0.14684614945843061</v>
      </c>
      <c r="EZ73">
        <v>-208.97692309585361</v>
      </c>
      <c r="FA73">
        <v>12529.892</v>
      </c>
      <c r="FB73">
        <v>15</v>
      </c>
      <c r="FC73">
        <v>1700162467.5999999</v>
      </c>
      <c r="FD73" t="s">
        <v>668</v>
      </c>
      <c r="FE73">
        <v>1700162467.5999999</v>
      </c>
      <c r="FF73">
        <v>1700162467.5999999</v>
      </c>
      <c r="FG73">
        <v>63</v>
      </c>
      <c r="FH73">
        <v>3.0000000000000001E-3</v>
      </c>
      <c r="FI73">
        <v>-5.5E-2</v>
      </c>
      <c r="FJ73">
        <v>-4.2990000000000004</v>
      </c>
      <c r="FK73">
        <v>-2E-3</v>
      </c>
      <c r="FL73">
        <v>450</v>
      </c>
      <c r="FM73">
        <v>22</v>
      </c>
      <c r="FN73">
        <v>0.02</v>
      </c>
      <c r="FO73">
        <v>0.02</v>
      </c>
      <c r="FP73">
        <v>57.659207378606169</v>
      </c>
      <c r="FQ73">
        <v>-0.42097938050227268</v>
      </c>
      <c r="FR73">
        <v>4.8359852542750097E-2</v>
      </c>
      <c r="FS73">
        <v>1</v>
      </c>
      <c r="FT73">
        <v>0.3999956450725366</v>
      </c>
      <c r="FU73">
        <v>3.0752718371715719E-2</v>
      </c>
      <c r="FV73">
        <v>2.8219612210026511E-3</v>
      </c>
      <c r="FW73">
        <v>1</v>
      </c>
      <c r="FX73">
        <v>2</v>
      </c>
      <c r="FY73">
        <v>2</v>
      </c>
      <c r="FZ73" t="s">
        <v>420</v>
      </c>
      <c r="GA73">
        <v>3.1187100000000001</v>
      </c>
      <c r="GB73">
        <v>2.8776600000000001</v>
      </c>
      <c r="GC73">
        <v>8.4596199999999996E-2</v>
      </c>
      <c r="GD73">
        <v>9.5965800000000004E-2</v>
      </c>
      <c r="GE73">
        <v>0.12544</v>
      </c>
      <c r="GF73">
        <v>0.106182</v>
      </c>
      <c r="GG73">
        <v>26547.599999999999</v>
      </c>
      <c r="GH73">
        <v>26834.799999999999</v>
      </c>
      <c r="GI73">
        <v>26713.8</v>
      </c>
      <c r="GJ73">
        <v>27416.3</v>
      </c>
      <c r="GK73">
        <v>33420.5</v>
      </c>
      <c r="GL73">
        <v>34246</v>
      </c>
      <c r="GM73">
        <v>39580.1</v>
      </c>
      <c r="GN73">
        <v>39704.6</v>
      </c>
      <c r="GO73">
        <v>1.9861500000000001</v>
      </c>
      <c r="GP73">
        <v>2.4287800000000002</v>
      </c>
      <c r="GQ73">
        <v>1.27032E-2</v>
      </c>
      <c r="GR73">
        <v>0</v>
      </c>
      <c r="GS73">
        <v>29.707000000000001</v>
      </c>
      <c r="GT73">
        <v>999.9</v>
      </c>
      <c r="GU73">
        <v>29.1</v>
      </c>
      <c r="GV73">
        <v>46.1</v>
      </c>
      <c r="GW73">
        <v>29.956700000000001</v>
      </c>
      <c r="GX73">
        <v>63.054099999999998</v>
      </c>
      <c r="GY73">
        <v>8.0448699999999995</v>
      </c>
      <c r="GZ73">
        <v>3</v>
      </c>
      <c r="HA73">
        <v>0.57564000000000004</v>
      </c>
      <c r="HB73">
        <v>2.8174800000000002</v>
      </c>
      <c r="HC73">
        <v>20.2775</v>
      </c>
      <c r="HD73">
        <v>5.2093499999999997</v>
      </c>
      <c r="HE73">
        <v>11.908099999999999</v>
      </c>
      <c r="HF73">
        <v>4.9954999999999998</v>
      </c>
      <c r="HG73">
        <v>3.30213</v>
      </c>
      <c r="HH73">
        <v>9999</v>
      </c>
      <c r="HI73">
        <v>9999</v>
      </c>
      <c r="HJ73">
        <v>9999</v>
      </c>
      <c r="HK73">
        <v>999.9</v>
      </c>
      <c r="HL73">
        <v>1.8847700000000001</v>
      </c>
      <c r="HM73">
        <v>1.8853599999999999</v>
      </c>
      <c r="HN73">
        <v>1.88141</v>
      </c>
      <c r="HO73">
        <v>1.8830899999999999</v>
      </c>
      <c r="HP73">
        <v>1.87992</v>
      </c>
      <c r="HQ73">
        <v>1.88344</v>
      </c>
      <c r="HR73">
        <v>1.8794299999999999</v>
      </c>
      <c r="HS73">
        <v>1.88171</v>
      </c>
      <c r="HT73">
        <v>5</v>
      </c>
      <c r="HU73">
        <v>0</v>
      </c>
      <c r="HV73">
        <v>0</v>
      </c>
      <c r="HW73">
        <v>0</v>
      </c>
      <c r="HX73" t="s">
        <v>421</v>
      </c>
      <c r="HY73" t="s">
        <v>422</v>
      </c>
      <c r="HZ73" t="s">
        <v>423</v>
      </c>
      <c r="IA73" t="s">
        <v>423</v>
      </c>
      <c r="IB73" t="s">
        <v>423</v>
      </c>
      <c r="IC73" t="s">
        <v>423</v>
      </c>
      <c r="ID73">
        <v>0</v>
      </c>
      <c r="IE73">
        <v>100</v>
      </c>
      <c r="IF73">
        <v>100</v>
      </c>
      <c r="IG73">
        <v>-4.0810000000000004</v>
      </c>
      <c r="IH73">
        <v>4.8999999999999998E-3</v>
      </c>
      <c r="II73">
        <v>-2.697073754348692</v>
      </c>
      <c r="IJ73">
        <v>-3.7794827560518689E-3</v>
      </c>
      <c r="IK73">
        <v>4.9551128961100493E-7</v>
      </c>
      <c r="IL73">
        <v>1.3680294268397379E-10</v>
      </c>
      <c r="IM73">
        <v>4.9443738053071276E-3</v>
      </c>
      <c r="IN73">
        <v>0</v>
      </c>
      <c r="IO73">
        <v>0</v>
      </c>
      <c r="IP73">
        <v>0</v>
      </c>
      <c r="IQ73">
        <v>4</v>
      </c>
      <c r="IR73">
        <v>2229</v>
      </c>
      <c r="IS73">
        <v>1</v>
      </c>
      <c r="IT73">
        <v>22</v>
      </c>
      <c r="IU73">
        <v>0.6</v>
      </c>
      <c r="IV73">
        <v>0.6</v>
      </c>
      <c r="IW73">
        <v>1.6857899999999999</v>
      </c>
      <c r="IX73">
        <v>2.6049799999999999</v>
      </c>
      <c r="IY73">
        <v>2.9956100000000001</v>
      </c>
      <c r="IZ73">
        <v>2.96387</v>
      </c>
      <c r="JA73">
        <v>3.1970200000000002</v>
      </c>
      <c r="JB73">
        <v>2.5122100000000001</v>
      </c>
      <c r="JC73">
        <v>48.950299999999999</v>
      </c>
      <c r="JD73">
        <v>23.745999999999999</v>
      </c>
      <c r="JE73">
        <v>18</v>
      </c>
      <c r="JF73">
        <v>530.97500000000002</v>
      </c>
      <c r="JG73">
        <v>1111.97</v>
      </c>
      <c r="JH73">
        <v>25.4572</v>
      </c>
      <c r="JI73">
        <v>34.317500000000003</v>
      </c>
      <c r="JJ73">
        <v>29.9999</v>
      </c>
      <c r="JK73">
        <v>34.320500000000003</v>
      </c>
      <c r="JL73">
        <v>34.243200000000002</v>
      </c>
      <c r="JM73">
        <v>33.756999999999998</v>
      </c>
      <c r="JN73">
        <v>21.958100000000002</v>
      </c>
      <c r="JO73">
        <v>0</v>
      </c>
      <c r="JP73">
        <v>25.491900000000001</v>
      </c>
      <c r="JQ73">
        <v>450</v>
      </c>
      <c r="JR73">
        <v>21.849499999999999</v>
      </c>
      <c r="JS73">
        <v>98.653999999999996</v>
      </c>
      <c r="JT73">
        <v>97.136899999999997</v>
      </c>
    </row>
    <row r="74" spans="1:280" x14ac:dyDescent="0.25">
      <c r="A74">
        <v>58</v>
      </c>
      <c r="B74">
        <v>1700162637.5999999</v>
      </c>
      <c r="C74">
        <v>13656.099999904631</v>
      </c>
      <c r="D74" t="s">
        <v>669</v>
      </c>
      <c r="E74" t="s">
        <v>670</v>
      </c>
      <c r="F74" t="s">
        <v>412</v>
      </c>
      <c r="G74" t="s">
        <v>482</v>
      </c>
      <c r="H74" t="s">
        <v>665</v>
      </c>
      <c r="I74">
        <v>1700162637.5999999</v>
      </c>
      <c r="J74">
        <f t="shared" si="46"/>
        <v>3.4585032303651414E-3</v>
      </c>
      <c r="K74">
        <f t="shared" si="47"/>
        <v>3.4585032303651415</v>
      </c>
      <c r="L74">
        <f t="shared" si="48"/>
        <v>62.466430738351399</v>
      </c>
      <c r="M74">
        <f t="shared" si="49"/>
        <v>1425.559</v>
      </c>
      <c r="N74">
        <f t="shared" si="50"/>
        <v>940.72310011501759</v>
      </c>
      <c r="O74">
        <f t="shared" si="51"/>
        <v>93.284461564650996</v>
      </c>
      <c r="P74">
        <f t="shared" si="52"/>
        <v>141.36200517174839</v>
      </c>
      <c r="Q74">
        <f t="shared" si="53"/>
        <v>0.22753497208567844</v>
      </c>
      <c r="R74">
        <f t="shared" si="54"/>
        <v>3.0059790077094886</v>
      </c>
      <c r="S74">
        <f t="shared" si="55"/>
        <v>0.21838142125341936</v>
      </c>
      <c r="T74">
        <f t="shared" si="56"/>
        <v>0.13728011456606762</v>
      </c>
      <c r="U74">
        <f t="shared" si="57"/>
        <v>344.32129876278884</v>
      </c>
      <c r="V74">
        <f t="shared" si="58"/>
        <v>31.057550183623437</v>
      </c>
      <c r="W74">
        <f t="shared" si="59"/>
        <v>30.0336</v>
      </c>
      <c r="X74">
        <f t="shared" si="60"/>
        <v>4.2686791731933935</v>
      </c>
      <c r="Y74">
        <f t="shared" si="61"/>
        <v>64.803041706777208</v>
      </c>
      <c r="Z74">
        <f t="shared" si="62"/>
        <v>2.75385191481036</v>
      </c>
      <c r="AA74">
        <f t="shared" si="63"/>
        <v>4.2495719989056591</v>
      </c>
      <c r="AB74">
        <f t="shared" si="64"/>
        <v>1.5148272583830336</v>
      </c>
      <c r="AC74">
        <f t="shared" si="65"/>
        <v>-152.51999245910272</v>
      </c>
      <c r="AD74">
        <f t="shared" si="66"/>
        <v>-12.656756374589676</v>
      </c>
      <c r="AE74">
        <f t="shared" si="67"/>
        <v>-0.93616444503068164</v>
      </c>
      <c r="AF74">
        <f t="shared" si="68"/>
        <v>178.20838548406579</v>
      </c>
      <c r="AG74">
        <v>0</v>
      </c>
      <c r="AH74">
        <v>0</v>
      </c>
      <c r="AI74">
        <f t="shared" si="69"/>
        <v>1</v>
      </c>
      <c r="AJ74">
        <f t="shared" si="70"/>
        <v>0</v>
      </c>
      <c r="AK74">
        <f t="shared" si="71"/>
        <v>51876.459967976771</v>
      </c>
      <c r="AL74" t="s">
        <v>431</v>
      </c>
      <c r="AM74" t="s">
        <v>431</v>
      </c>
      <c r="AN74">
        <v>0</v>
      </c>
      <c r="AO74">
        <v>0</v>
      </c>
      <c r="AP74" t="e">
        <f t="shared" si="72"/>
        <v>#DIV/0!</v>
      </c>
      <c r="AQ74">
        <v>0</v>
      </c>
      <c r="AR74" t="s">
        <v>431</v>
      </c>
      <c r="AS74" t="s">
        <v>431</v>
      </c>
      <c r="AT74">
        <v>0</v>
      </c>
      <c r="AU74">
        <v>0</v>
      </c>
      <c r="AV74" t="e">
        <f t="shared" si="73"/>
        <v>#DIV/0!</v>
      </c>
      <c r="AW74">
        <v>0.5</v>
      </c>
      <c r="AX74">
        <f t="shared" si="74"/>
        <v>1512.9743993813945</v>
      </c>
      <c r="AY74">
        <f t="shared" si="75"/>
        <v>62.466430738351399</v>
      </c>
      <c r="AZ74" t="e">
        <f t="shared" si="76"/>
        <v>#DIV/0!</v>
      </c>
      <c r="BA74">
        <f t="shared" si="77"/>
        <v>4.1287169673123264E-2</v>
      </c>
      <c r="BB74" t="e">
        <f t="shared" si="78"/>
        <v>#DIV/0!</v>
      </c>
      <c r="BC74" t="e">
        <f t="shared" si="79"/>
        <v>#DIV/0!</v>
      </c>
      <c r="BD74" t="s">
        <v>431</v>
      </c>
      <c r="BE74">
        <v>0</v>
      </c>
      <c r="BF74" t="e">
        <f t="shared" si="80"/>
        <v>#DIV/0!</v>
      </c>
      <c r="BG74" t="e">
        <f t="shared" si="81"/>
        <v>#DIV/0!</v>
      </c>
      <c r="BH74" t="e">
        <f t="shared" si="82"/>
        <v>#DIV/0!</v>
      </c>
      <c r="BI74" t="e">
        <f t="shared" si="83"/>
        <v>#DIV/0!</v>
      </c>
      <c r="BJ74" t="e">
        <f t="shared" si="84"/>
        <v>#DIV/0!</v>
      </c>
      <c r="BK74" t="e">
        <f t="shared" si="85"/>
        <v>#DIV/0!</v>
      </c>
      <c r="BL74" t="e">
        <f t="shared" si="86"/>
        <v>#DIV/0!</v>
      </c>
      <c r="BM74" t="e">
        <f t="shared" si="87"/>
        <v>#DIV/0!</v>
      </c>
      <c r="BN74">
        <v>20778</v>
      </c>
      <c r="BO74">
        <v>290.00000000000011</v>
      </c>
      <c r="BP74">
        <v>900.61</v>
      </c>
      <c r="BQ74">
        <v>285</v>
      </c>
      <c r="BR74">
        <v>7144.2</v>
      </c>
      <c r="BS74">
        <v>902.82</v>
      </c>
      <c r="BT74">
        <v>-2.21</v>
      </c>
      <c r="BU74">
        <v>300.00000000000011</v>
      </c>
      <c r="BV74">
        <v>38.200000000000003</v>
      </c>
      <c r="BW74">
        <v>1001.475252942122</v>
      </c>
      <c r="BX74">
        <v>1.4491171931662561</v>
      </c>
      <c r="BY74">
        <v>-70.482059753602783</v>
      </c>
      <c r="BZ74">
        <v>0.86764745281876843</v>
      </c>
      <c r="CA74">
        <v>0.99577478731585856</v>
      </c>
      <c r="CB74">
        <v>-7.0529379310344826E-3</v>
      </c>
      <c r="CC74">
        <v>289.99999999999989</v>
      </c>
      <c r="CD74">
        <v>912.12</v>
      </c>
      <c r="CE74">
        <v>825</v>
      </c>
      <c r="CF74">
        <v>7137.64</v>
      </c>
      <c r="CG74">
        <v>902.73</v>
      </c>
      <c r="CH74">
        <v>9.39</v>
      </c>
      <c r="CV74">
        <f t="shared" si="88"/>
        <v>1799.75</v>
      </c>
      <c r="CW74">
        <f t="shared" si="89"/>
        <v>1512.9743993813945</v>
      </c>
      <c r="CX74">
        <f t="shared" si="90"/>
        <v>0.84065809105786604</v>
      </c>
      <c r="CY74">
        <f t="shared" si="91"/>
        <v>0.19131618211573209</v>
      </c>
      <c r="CZ74">
        <v>5.52</v>
      </c>
      <c r="DA74">
        <v>0.5</v>
      </c>
      <c r="DB74" t="s">
        <v>418</v>
      </c>
      <c r="DC74">
        <v>2</v>
      </c>
      <c r="DD74">
        <v>1700162637.5999999</v>
      </c>
      <c r="DE74">
        <v>1425.559</v>
      </c>
      <c r="DF74">
        <v>1499.99</v>
      </c>
      <c r="DG74">
        <v>27.771100000000001</v>
      </c>
      <c r="DH74">
        <v>24.057700000000001</v>
      </c>
      <c r="DI74">
        <v>1432.57</v>
      </c>
      <c r="DJ74">
        <v>27.746099999999998</v>
      </c>
      <c r="DK74">
        <v>499.83199999999999</v>
      </c>
      <c r="DL74">
        <v>99.062600000000003</v>
      </c>
      <c r="DM74">
        <v>9.9907599999999999E-2</v>
      </c>
      <c r="DN74">
        <v>29.955500000000001</v>
      </c>
      <c r="DO74">
        <v>30.0336</v>
      </c>
      <c r="DP74">
        <v>999.9</v>
      </c>
      <c r="DQ74">
        <v>0</v>
      </c>
      <c r="DR74">
        <v>0</v>
      </c>
      <c r="DS74">
        <v>10001.200000000001</v>
      </c>
      <c r="DT74">
        <v>0</v>
      </c>
      <c r="DU74">
        <v>189.048</v>
      </c>
      <c r="DV74">
        <v>-74.1173</v>
      </c>
      <c r="DW74">
        <v>1466.57</v>
      </c>
      <c r="DX74">
        <v>1536.97</v>
      </c>
      <c r="DY74">
        <v>3.69333</v>
      </c>
      <c r="DZ74">
        <v>1499.99</v>
      </c>
      <c r="EA74">
        <v>24.057700000000001</v>
      </c>
      <c r="EB74">
        <v>2.7490899999999998</v>
      </c>
      <c r="EC74">
        <v>2.3832200000000001</v>
      </c>
      <c r="ED74">
        <v>22.581499999999998</v>
      </c>
      <c r="EE74">
        <v>20.2502</v>
      </c>
      <c r="EF74">
        <v>1799.75</v>
      </c>
      <c r="EG74">
        <v>0.97800399999999998</v>
      </c>
      <c r="EH74">
        <v>2.19963E-2</v>
      </c>
      <c r="EI74">
        <v>0</v>
      </c>
      <c r="EJ74">
        <v>642.04100000000005</v>
      </c>
      <c r="EK74">
        <v>5.0009399999999999</v>
      </c>
      <c r="EL74">
        <v>12425.6</v>
      </c>
      <c r="EM74">
        <v>13858.3</v>
      </c>
      <c r="EN74">
        <v>47.875</v>
      </c>
      <c r="EO74">
        <v>49.625</v>
      </c>
      <c r="EP74">
        <v>48.936999999999998</v>
      </c>
      <c r="EQ74">
        <v>48.936999999999998</v>
      </c>
      <c r="ER74">
        <v>49.311999999999998</v>
      </c>
      <c r="ES74">
        <v>1755.27</v>
      </c>
      <c r="ET74">
        <v>39.479999999999997</v>
      </c>
      <c r="EU74">
        <v>0</v>
      </c>
      <c r="EV74">
        <v>129.79999995231631</v>
      </c>
      <c r="EW74">
        <v>0</v>
      </c>
      <c r="EX74">
        <v>642.31028000000003</v>
      </c>
      <c r="EY74">
        <v>-1.5486922957523219</v>
      </c>
      <c r="EZ74">
        <v>-75.246153849122862</v>
      </c>
      <c r="FA74">
        <v>12426.62</v>
      </c>
      <c r="FB74">
        <v>15</v>
      </c>
      <c r="FC74">
        <v>1700162657.5999999</v>
      </c>
      <c r="FD74" t="s">
        <v>671</v>
      </c>
      <c r="FE74">
        <v>1700162657.5999999</v>
      </c>
      <c r="FF74">
        <v>1700162655.5999999</v>
      </c>
      <c r="FG74">
        <v>64</v>
      </c>
      <c r="FH74">
        <v>-0.21199999999999999</v>
      </c>
      <c r="FI74">
        <v>0.02</v>
      </c>
      <c r="FJ74">
        <v>-7.0110000000000001</v>
      </c>
      <c r="FK74">
        <v>2.5000000000000001E-2</v>
      </c>
      <c r="FL74">
        <v>1500</v>
      </c>
      <c r="FM74">
        <v>24</v>
      </c>
      <c r="FN74">
        <v>0.03</v>
      </c>
      <c r="FO74">
        <v>0.03</v>
      </c>
      <c r="FP74">
        <v>62.221761025694022</v>
      </c>
      <c r="FQ74">
        <v>-0.14638480232108639</v>
      </c>
      <c r="FR74">
        <v>3.4997524132919913E-2</v>
      </c>
      <c r="FS74">
        <v>1</v>
      </c>
      <c r="FT74">
        <v>0.22947658950153729</v>
      </c>
      <c r="FU74">
        <v>-4.4264640173314197E-2</v>
      </c>
      <c r="FV74">
        <v>3.2596022753594001E-3</v>
      </c>
      <c r="FW74">
        <v>1</v>
      </c>
      <c r="FX74">
        <v>2</v>
      </c>
      <c r="FY74">
        <v>2</v>
      </c>
      <c r="FZ74" t="s">
        <v>420</v>
      </c>
      <c r="GA74">
        <v>3.1191800000000001</v>
      </c>
      <c r="GB74">
        <v>2.8775400000000002</v>
      </c>
      <c r="GC74">
        <v>0.20649400000000001</v>
      </c>
      <c r="GD74">
        <v>0.21464</v>
      </c>
      <c r="GE74">
        <v>0.124568</v>
      </c>
      <c r="GF74">
        <v>0.113385</v>
      </c>
      <c r="GG74">
        <v>23011.1</v>
      </c>
      <c r="GH74">
        <v>23309.5</v>
      </c>
      <c r="GI74">
        <v>26716.2</v>
      </c>
      <c r="GJ74">
        <v>27417.4</v>
      </c>
      <c r="GK74">
        <v>33465.4</v>
      </c>
      <c r="GL74">
        <v>33979.800000000003</v>
      </c>
      <c r="GM74">
        <v>39582.6</v>
      </c>
      <c r="GN74">
        <v>39705.1</v>
      </c>
      <c r="GO74">
        <v>1.9858499999999999</v>
      </c>
      <c r="GP74">
        <v>2.4359999999999999</v>
      </c>
      <c r="GQ74">
        <v>2.7567100000000001E-2</v>
      </c>
      <c r="GR74">
        <v>0</v>
      </c>
      <c r="GS74">
        <v>29.584900000000001</v>
      </c>
      <c r="GT74">
        <v>999.9</v>
      </c>
      <c r="GU74">
        <v>29</v>
      </c>
      <c r="GV74">
        <v>46</v>
      </c>
      <c r="GW74">
        <v>29.704999999999998</v>
      </c>
      <c r="GX74">
        <v>63.114199999999997</v>
      </c>
      <c r="GY74">
        <v>7.7684300000000004</v>
      </c>
      <c r="GZ74">
        <v>3</v>
      </c>
      <c r="HA74">
        <v>0.57765500000000003</v>
      </c>
      <c r="HB74">
        <v>4.2219699999999998</v>
      </c>
      <c r="HC74">
        <v>20.247499999999999</v>
      </c>
      <c r="HD74">
        <v>5.2108499999999998</v>
      </c>
      <c r="HE74">
        <v>11.9087</v>
      </c>
      <c r="HF74">
        <v>4.9955999999999996</v>
      </c>
      <c r="HG74">
        <v>3.3022499999999999</v>
      </c>
      <c r="HH74">
        <v>9999</v>
      </c>
      <c r="HI74">
        <v>9999</v>
      </c>
      <c r="HJ74">
        <v>9999</v>
      </c>
      <c r="HK74">
        <v>999.9</v>
      </c>
      <c r="HL74">
        <v>1.8847700000000001</v>
      </c>
      <c r="HM74">
        <v>1.88533</v>
      </c>
      <c r="HN74">
        <v>1.88141</v>
      </c>
      <c r="HO74">
        <v>1.8830800000000001</v>
      </c>
      <c r="HP74">
        <v>1.87992</v>
      </c>
      <c r="HQ74">
        <v>1.8834</v>
      </c>
      <c r="HR74">
        <v>1.87941</v>
      </c>
      <c r="HS74">
        <v>1.8816999999999999</v>
      </c>
      <c r="HT74">
        <v>5</v>
      </c>
      <c r="HU74">
        <v>0</v>
      </c>
      <c r="HV74">
        <v>0</v>
      </c>
      <c r="HW74">
        <v>0</v>
      </c>
      <c r="HX74" t="s">
        <v>421</v>
      </c>
      <c r="HY74" t="s">
        <v>422</v>
      </c>
      <c r="HZ74" t="s">
        <v>423</v>
      </c>
      <c r="IA74" t="s">
        <v>423</v>
      </c>
      <c r="IB74" t="s">
        <v>423</v>
      </c>
      <c r="IC74" t="s">
        <v>423</v>
      </c>
      <c r="ID74">
        <v>0</v>
      </c>
      <c r="IE74">
        <v>100</v>
      </c>
      <c r="IF74">
        <v>100</v>
      </c>
      <c r="IG74">
        <v>-7.0110000000000001</v>
      </c>
      <c r="IH74">
        <v>2.5000000000000001E-2</v>
      </c>
      <c r="II74">
        <v>-2.697073754348692</v>
      </c>
      <c r="IJ74">
        <v>-3.7794827560518689E-3</v>
      </c>
      <c r="IK74">
        <v>4.9551128961100493E-7</v>
      </c>
      <c r="IL74">
        <v>1.3680294268397379E-10</v>
      </c>
      <c r="IM74">
        <v>4.9443738053071276E-3</v>
      </c>
      <c r="IN74">
        <v>0</v>
      </c>
      <c r="IO74">
        <v>0</v>
      </c>
      <c r="IP74">
        <v>0</v>
      </c>
      <c r="IQ74">
        <v>4</v>
      </c>
      <c r="IR74">
        <v>2229</v>
      </c>
      <c r="IS74">
        <v>1</v>
      </c>
      <c r="IT74">
        <v>22</v>
      </c>
      <c r="IU74">
        <v>2.8</v>
      </c>
      <c r="IV74">
        <v>2.8</v>
      </c>
      <c r="IW74">
        <v>4.4287099999999997</v>
      </c>
      <c r="IX74">
        <v>2.5549300000000001</v>
      </c>
      <c r="IY74">
        <v>2.9956100000000001</v>
      </c>
      <c r="IZ74">
        <v>2.96875</v>
      </c>
      <c r="JA74">
        <v>3.1970200000000002</v>
      </c>
      <c r="JB74">
        <v>2.49512</v>
      </c>
      <c r="JC74">
        <v>48.701599999999999</v>
      </c>
      <c r="JD74">
        <v>23.710999999999999</v>
      </c>
      <c r="JE74">
        <v>18</v>
      </c>
      <c r="JF74">
        <v>530.16899999999998</v>
      </c>
      <c r="JG74">
        <v>1120.3699999999999</v>
      </c>
      <c r="JH74">
        <v>24.470099999999999</v>
      </c>
      <c r="JI74">
        <v>34.238</v>
      </c>
      <c r="JJ74">
        <v>30.0001</v>
      </c>
      <c r="JK74">
        <v>34.245899999999999</v>
      </c>
      <c r="JL74">
        <v>34.172600000000003</v>
      </c>
      <c r="JM74">
        <v>88.728200000000001</v>
      </c>
      <c r="JN74">
        <v>12.274699999999999</v>
      </c>
      <c r="JO74">
        <v>0</v>
      </c>
      <c r="JP74">
        <v>24.465699999999998</v>
      </c>
      <c r="JQ74">
        <v>1500</v>
      </c>
      <c r="JR74">
        <v>24.110499999999998</v>
      </c>
      <c r="JS74">
        <v>98.661299999999997</v>
      </c>
      <c r="JT74">
        <v>97.139300000000006</v>
      </c>
    </row>
    <row r="75" spans="1:280" x14ac:dyDescent="0.25">
      <c r="A75">
        <v>59</v>
      </c>
      <c r="B75">
        <v>1700162748.5999999</v>
      </c>
      <c r="C75">
        <v>13767.099999904631</v>
      </c>
      <c r="D75" t="s">
        <v>672</v>
      </c>
      <c r="E75" t="s">
        <v>673</v>
      </c>
      <c r="F75" t="s">
        <v>412</v>
      </c>
      <c r="G75" t="s">
        <v>482</v>
      </c>
      <c r="H75" t="s">
        <v>665</v>
      </c>
      <c r="I75">
        <v>1700162748.5999999</v>
      </c>
      <c r="J75">
        <f t="shared" si="46"/>
        <v>3.1183553298582325E-3</v>
      </c>
      <c r="K75">
        <f t="shared" si="47"/>
        <v>3.1183553298582325</v>
      </c>
      <c r="L75">
        <f t="shared" si="48"/>
        <v>62.061466016916683</v>
      </c>
      <c r="M75">
        <f t="shared" si="49"/>
        <v>1177.4770000000001</v>
      </c>
      <c r="N75">
        <f t="shared" si="50"/>
        <v>650.1165444741423</v>
      </c>
      <c r="O75">
        <f t="shared" si="51"/>
        <v>64.467479659806159</v>
      </c>
      <c r="P75">
        <f t="shared" si="52"/>
        <v>116.76210241471371</v>
      </c>
      <c r="Q75">
        <f t="shared" si="53"/>
        <v>0.20325423453640346</v>
      </c>
      <c r="R75">
        <f t="shared" si="54"/>
        <v>3.0073856058015731</v>
      </c>
      <c r="S75">
        <f t="shared" si="55"/>
        <v>0.19591945260203489</v>
      </c>
      <c r="T75">
        <f t="shared" si="56"/>
        <v>0.12308660683953515</v>
      </c>
      <c r="U75">
        <f t="shared" si="57"/>
        <v>344.40869876310501</v>
      </c>
      <c r="V75">
        <f t="shared" si="58"/>
        <v>31.080175988663683</v>
      </c>
      <c r="W75">
        <f t="shared" si="59"/>
        <v>30.0319</v>
      </c>
      <c r="X75">
        <f t="shared" si="60"/>
        <v>4.2682624722347935</v>
      </c>
      <c r="Y75">
        <f t="shared" si="61"/>
        <v>64.849060324076973</v>
      </c>
      <c r="Z75">
        <f t="shared" si="62"/>
        <v>2.7457528957183297</v>
      </c>
      <c r="AA75">
        <f t="shared" si="63"/>
        <v>4.2340673588741184</v>
      </c>
      <c r="AB75">
        <f t="shared" si="64"/>
        <v>1.5225095765164638</v>
      </c>
      <c r="AC75">
        <f t="shared" si="65"/>
        <v>-137.51947004674804</v>
      </c>
      <c r="AD75">
        <f t="shared" si="66"/>
        <v>-22.698784189196513</v>
      </c>
      <c r="AE75">
        <f t="shared" si="67"/>
        <v>-1.6776013128446177</v>
      </c>
      <c r="AF75">
        <f t="shared" si="68"/>
        <v>182.51284321431584</v>
      </c>
      <c r="AG75">
        <v>0</v>
      </c>
      <c r="AH75">
        <v>0</v>
      </c>
      <c r="AI75">
        <f t="shared" si="69"/>
        <v>1</v>
      </c>
      <c r="AJ75">
        <f t="shared" si="70"/>
        <v>0</v>
      </c>
      <c r="AK75">
        <f t="shared" si="71"/>
        <v>51925.375166291058</v>
      </c>
      <c r="AL75" t="s">
        <v>415</v>
      </c>
      <c r="AM75">
        <v>7133.88</v>
      </c>
      <c r="AN75">
        <v>306.28384615384618</v>
      </c>
      <c r="AO75">
        <v>859.63916333292491</v>
      </c>
      <c r="AP75">
        <f t="shared" si="72"/>
        <v>0.64370650010133712</v>
      </c>
      <c r="AQ75">
        <v>-0.73746743666429193</v>
      </c>
      <c r="AR75" t="s">
        <v>674</v>
      </c>
      <c r="AS75">
        <v>7145.22</v>
      </c>
      <c r="AT75">
        <v>641.46711538461545</v>
      </c>
      <c r="AU75">
        <v>1032.7077228612461</v>
      </c>
      <c r="AV75">
        <f t="shared" si="73"/>
        <v>0.37884930926307936</v>
      </c>
      <c r="AW75">
        <v>0.5</v>
      </c>
      <c r="AX75">
        <f t="shared" si="74"/>
        <v>1513.3607993815524</v>
      </c>
      <c r="AY75">
        <f t="shared" si="75"/>
        <v>62.061466016916683</v>
      </c>
      <c r="AZ75">
        <f t="shared" si="76"/>
        <v>286.66784675576139</v>
      </c>
      <c r="BA75">
        <f t="shared" si="77"/>
        <v>4.1496339458009145E-2</v>
      </c>
      <c r="BB75">
        <f t="shared" si="78"/>
        <v>-0.16758716498102008</v>
      </c>
      <c r="BC75">
        <f t="shared" si="79"/>
        <v>325.73346203500455</v>
      </c>
      <c r="BD75" t="s">
        <v>675</v>
      </c>
      <c r="BE75">
        <v>476.54</v>
      </c>
      <c r="BF75">
        <f t="shared" si="80"/>
        <v>476.54</v>
      </c>
      <c r="BG75">
        <f t="shared" si="81"/>
        <v>0.53855288437304771</v>
      </c>
      <c r="BH75">
        <f t="shared" si="82"/>
        <v>0.70345795233111386</v>
      </c>
      <c r="BI75">
        <f t="shared" si="83"/>
        <v>-0.4517591686252766</v>
      </c>
      <c r="BJ75">
        <f t="shared" si="84"/>
        <v>0.53858445464371829</v>
      </c>
      <c r="BK75">
        <f t="shared" si="85"/>
        <v>-0.31276207918376642</v>
      </c>
      <c r="BL75">
        <f t="shared" si="86"/>
        <v>0.52259242066192568</v>
      </c>
      <c r="BM75">
        <f t="shared" si="87"/>
        <v>0.47740757933807432</v>
      </c>
      <c r="BN75">
        <v>20780</v>
      </c>
      <c r="BO75">
        <v>290.00000000000011</v>
      </c>
      <c r="BP75">
        <v>916.03</v>
      </c>
      <c r="BQ75">
        <v>275</v>
      </c>
      <c r="BR75">
        <v>7145.22</v>
      </c>
      <c r="BS75">
        <v>919.03</v>
      </c>
      <c r="BT75">
        <v>-3</v>
      </c>
      <c r="BU75">
        <v>300.00000000000011</v>
      </c>
      <c r="BV75">
        <v>38.200000000000003</v>
      </c>
      <c r="BW75">
        <v>1032.7077228612461</v>
      </c>
      <c r="BX75">
        <v>1.427063485019247</v>
      </c>
      <c r="BY75">
        <v>-81.22464204382662</v>
      </c>
      <c r="BZ75">
        <v>0.85452554856914209</v>
      </c>
      <c r="CA75">
        <v>0.99691049650090136</v>
      </c>
      <c r="CB75">
        <v>-7.0536133481646276E-3</v>
      </c>
      <c r="CC75">
        <v>289.99999999999989</v>
      </c>
      <c r="CD75">
        <v>926.28</v>
      </c>
      <c r="CE75">
        <v>745</v>
      </c>
      <c r="CF75">
        <v>7139.61</v>
      </c>
      <c r="CG75">
        <v>918.94</v>
      </c>
      <c r="CH75">
        <v>7.34</v>
      </c>
      <c r="CV75">
        <f t="shared" si="88"/>
        <v>1800.21</v>
      </c>
      <c r="CW75">
        <f t="shared" si="89"/>
        <v>1513.3607993815524</v>
      </c>
      <c r="CX75">
        <f t="shared" si="90"/>
        <v>0.84065792289874641</v>
      </c>
      <c r="CY75">
        <f t="shared" si="91"/>
        <v>0.19131584579749306</v>
      </c>
      <c r="CZ75">
        <v>5.52</v>
      </c>
      <c r="DA75">
        <v>0.5</v>
      </c>
      <c r="DB75" t="s">
        <v>418</v>
      </c>
      <c r="DC75">
        <v>2</v>
      </c>
      <c r="DD75">
        <v>1700162748.5999999</v>
      </c>
      <c r="DE75">
        <v>1177.4770000000001</v>
      </c>
      <c r="DF75">
        <v>1250.05</v>
      </c>
      <c r="DG75">
        <v>27.689299999999999</v>
      </c>
      <c r="DH75">
        <v>24.341799999999999</v>
      </c>
      <c r="DI75">
        <v>1184.04</v>
      </c>
      <c r="DJ75">
        <v>27.653300000000002</v>
      </c>
      <c r="DK75">
        <v>499.976</v>
      </c>
      <c r="DL75">
        <v>99.063000000000002</v>
      </c>
      <c r="DM75">
        <v>9.9958099999999994E-2</v>
      </c>
      <c r="DN75">
        <v>29.8919</v>
      </c>
      <c r="DO75">
        <v>30.0319</v>
      </c>
      <c r="DP75">
        <v>999.9</v>
      </c>
      <c r="DQ75">
        <v>0</v>
      </c>
      <c r="DR75">
        <v>0</v>
      </c>
      <c r="DS75">
        <v>10008.799999999999</v>
      </c>
      <c r="DT75">
        <v>0</v>
      </c>
      <c r="DU75">
        <v>223.92400000000001</v>
      </c>
      <c r="DV75">
        <v>-72.470799999999997</v>
      </c>
      <c r="DW75">
        <v>1211.0999999999999</v>
      </c>
      <c r="DX75">
        <v>1281.23</v>
      </c>
      <c r="DY75">
        <v>3.3365999999999998</v>
      </c>
      <c r="DZ75">
        <v>1250.05</v>
      </c>
      <c r="EA75">
        <v>24.341799999999999</v>
      </c>
      <c r="EB75">
        <v>2.7419099999999998</v>
      </c>
      <c r="EC75">
        <v>2.4113699999999998</v>
      </c>
      <c r="ED75">
        <v>22.538499999999999</v>
      </c>
      <c r="EE75">
        <v>20.4404</v>
      </c>
      <c r="EF75">
        <v>1800.21</v>
      </c>
      <c r="EG75">
        <v>0.97800799999999999</v>
      </c>
      <c r="EH75">
        <v>2.1992500000000002E-2</v>
      </c>
      <c r="EI75">
        <v>0</v>
      </c>
      <c r="EJ75">
        <v>641.22199999999998</v>
      </c>
      <c r="EK75">
        <v>5.0009399999999999</v>
      </c>
      <c r="EL75">
        <v>13278.9</v>
      </c>
      <c r="EM75">
        <v>13861.8</v>
      </c>
      <c r="EN75">
        <v>47.75</v>
      </c>
      <c r="EO75">
        <v>49.5</v>
      </c>
      <c r="EP75">
        <v>48.811999999999998</v>
      </c>
      <c r="EQ75">
        <v>48.875</v>
      </c>
      <c r="ER75">
        <v>49.186999999999998</v>
      </c>
      <c r="ES75">
        <v>1755.73</v>
      </c>
      <c r="ET75">
        <v>39.479999999999997</v>
      </c>
      <c r="EU75">
        <v>0</v>
      </c>
      <c r="EV75">
        <v>240.79999995231631</v>
      </c>
      <c r="EW75">
        <v>0</v>
      </c>
      <c r="EX75">
        <v>641.46711538461545</v>
      </c>
      <c r="EY75">
        <v>-0.51285469135855344</v>
      </c>
      <c r="EZ75">
        <v>368.29743531682772</v>
      </c>
      <c r="FA75">
        <v>13239.67307692308</v>
      </c>
      <c r="FB75">
        <v>15</v>
      </c>
      <c r="FC75">
        <v>1700162770.5999999</v>
      </c>
      <c r="FD75" t="s">
        <v>676</v>
      </c>
      <c r="FE75">
        <v>1700162770.5999999</v>
      </c>
      <c r="FF75">
        <v>1700162768.0999999</v>
      </c>
      <c r="FG75">
        <v>65</v>
      </c>
      <c r="FH75">
        <v>0.04</v>
      </c>
      <c r="FI75">
        <v>1.0999999999999999E-2</v>
      </c>
      <c r="FJ75">
        <v>-6.5629999999999997</v>
      </c>
      <c r="FK75">
        <v>3.5999999999999997E-2</v>
      </c>
      <c r="FL75">
        <v>1250</v>
      </c>
      <c r="FM75">
        <v>24</v>
      </c>
      <c r="FN75">
        <v>0.03</v>
      </c>
      <c r="FO75">
        <v>0.03</v>
      </c>
      <c r="FP75">
        <v>61.856025678338412</v>
      </c>
      <c r="FQ75">
        <v>0.382641967750672</v>
      </c>
      <c r="FR75">
        <v>4.4951370254845489E-2</v>
      </c>
      <c r="FS75">
        <v>1</v>
      </c>
      <c r="FT75">
        <v>0.20218939836996719</v>
      </c>
      <c r="FU75">
        <v>5.0814542782910256E-3</v>
      </c>
      <c r="FV75">
        <v>5.8150964717086499E-4</v>
      </c>
      <c r="FW75">
        <v>1</v>
      </c>
      <c r="FX75">
        <v>2</v>
      </c>
      <c r="FY75">
        <v>2</v>
      </c>
      <c r="FZ75" t="s">
        <v>420</v>
      </c>
      <c r="GA75">
        <v>3.1194199999999999</v>
      </c>
      <c r="GB75">
        <v>2.8776600000000001</v>
      </c>
      <c r="GC75">
        <v>0.183675</v>
      </c>
      <c r="GD75">
        <v>0.19218299999999999</v>
      </c>
      <c r="GE75">
        <v>0.124291</v>
      </c>
      <c r="GF75">
        <v>0.114354</v>
      </c>
      <c r="GG75">
        <v>23675.1</v>
      </c>
      <c r="GH75">
        <v>23977.4</v>
      </c>
      <c r="GI75">
        <v>26716.9</v>
      </c>
      <c r="GJ75">
        <v>27416.9</v>
      </c>
      <c r="GK75">
        <v>33474.9</v>
      </c>
      <c r="GL75">
        <v>33939.1</v>
      </c>
      <c r="GM75">
        <v>39583.699999999997</v>
      </c>
      <c r="GN75">
        <v>39703.199999999997</v>
      </c>
      <c r="GO75">
        <v>1.98627</v>
      </c>
      <c r="GP75">
        <v>2.43512</v>
      </c>
      <c r="GQ75">
        <v>2.9709200000000002E-2</v>
      </c>
      <c r="GR75">
        <v>0</v>
      </c>
      <c r="GS75">
        <v>29.548200000000001</v>
      </c>
      <c r="GT75">
        <v>999.9</v>
      </c>
      <c r="GU75">
        <v>29</v>
      </c>
      <c r="GV75">
        <v>45.9</v>
      </c>
      <c r="GW75">
        <v>29.552399999999999</v>
      </c>
      <c r="GX75">
        <v>62.934199999999997</v>
      </c>
      <c r="GY75">
        <v>7.6482400000000004</v>
      </c>
      <c r="GZ75">
        <v>3</v>
      </c>
      <c r="HA75">
        <v>0.57328000000000001</v>
      </c>
      <c r="HB75">
        <v>4.2100799999999996</v>
      </c>
      <c r="HC75">
        <v>20.248799999999999</v>
      </c>
      <c r="HD75">
        <v>5.2156399999999996</v>
      </c>
      <c r="HE75">
        <v>11.9087</v>
      </c>
      <c r="HF75">
        <v>4.9972000000000003</v>
      </c>
      <c r="HG75">
        <v>3.3027799999999998</v>
      </c>
      <c r="HH75">
        <v>9999</v>
      </c>
      <c r="HI75">
        <v>9999</v>
      </c>
      <c r="HJ75">
        <v>9999</v>
      </c>
      <c r="HK75">
        <v>999.9</v>
      </c>
      <c r="HL75">
        <v>1.8847499999999999</v>
      </c>
      <c r="HM75">
        <v>1.88534</v>
      </c>
      <c r="HN75">
        <v>1.88141</v>
      </c>
      <c r="HO75">
        <v>1.8830800000000001</v>
      </c>
      <c r="HP75">
        <v>1.8798999999999999</v>
      </c>
      <c r="HQ75">
        <v>1.8833899999999999</v>
      </c>
      <c r="HR75">
        <v>1.8794</v>
      </c>
      <c r="HS75">
        <v>1.88171</v>
      </c>
      <c r="HT75">
        <v>5</v>
      </c>
      <c r="HU75">
        <v>0</v>
      </c>
      <c r="HV75">
        <v>0</v>
      </c>
      <c r="HW75">
        <v>0</v>
      </c>
      <c r="HX75" t="s">
        <v>421</v>
      </c>
      <c r="HY75" t="s">
        <v>422</v>
      </c>
      <c r="HZ75" t="s">
        <v>423</v>
      </c>
      <c r="IA75" t="s">
        <v>423</v>
      </c>
      <c r="IB75" t="s">
        <v>423</v>
      </c>
      <c r="IC75" t="s">
        <v>423</v>
      </c>
      <c r="ID75">
        <v>0</v>
      </c>
      <c r="IE75">
        <v>100</v>
      </c>
      <c r="IF75">
        <v>100</v>
      </c>
      <c r="IG75">
        <v>-6.5629999999999997</v>
      </c>
      <c r="IH75">
        <v>3.5999999999999997E-2</v>
      </c>
      <c r="II75">
        <v>-2.9095726804539979</v>
      </c>
      <c r="IJ75">
        <v>-3.7794827560518689E-3</v>
      </c>
      <c r="IK75">
        <v>4.9551128961100493E-7</v>
      </c>
      <c r="IL75">
        <v>1.3680294268397379E-10</v>
      </c>
      <c r="IM75">
        <v>2.5114999999996002E-2</v>
      </c>
      <c r="IN75">
        <v>0</v>
      </c>
      <c r="IO75">
        <v>0</v>
      </c>
      <c r="IP75">
        <v>0</v>
      </c>
      <c r="IQ75">
        <v>4</v>
      </c>
      <c r="IR75">
        <v>2229</v>
      </c>
      <c r="IS75">
        <v>1</v>
      </c>
      <c r="IT75">
        <v>22</v>
      </c>
      <c r="IU75">
        <v>1.5</v>
      </c>
      <c r="IV75">
        <v>1.6</v>
      </c>
      <c r="IW75">
        <v>3.8452099999999998</v>
      </c>
      <c r="IX75">
        <v>2.5427200000000001</v>
      </c>
      <c r="IY75">
        <v>2.9956100000000001</v>
      </c>
      <c r="IZ75">
        <v>2.96387</v>
      </c>
      <c r="JA75">
        <v>3.1970200000000002</v>
      </c>
      <c r="JB75">
        <v>2.5354000000000001</v>
      </c>
      <c r="JC75">
        <v>48.516199999999998</v>
      </c>
      <c r="JD75">
        <v>23.737300000000001</v>
      </c>
      <c r="JE75">
        <v>18</v>
      </c>
      <c r="JF75">
        <v>529.96299999999997</v>
      </c>
      <c r="JG75">
        <v>1118.05</v>
      </c>
      <c r="JH75">
        <v>24.3124</v>
      </c>
      <c r="JI75">
        <v>34.182699999999997</v>
      </c>
      <c r="JJ75">
        <v>30</v>
      </c>
      <c r="JK75">
        <v>34.186199999999999</v>
      </c>
      <c r="JL75">
        <v>34.1096</v>
      </c>
      <c r="JM75">
        <v>77.041799999999995</v>
      </c>
      <c r="JN75">
        <v>9.9531200000000002</v>
      </c>
      <c r="JO75">
        <v>0</v>
      </c>
      <c r="JP75">
        <v>24.283999999999999</v>
      </c>
      <c r="JQ75">
        <v>1250</v>
      </c>
      <c r="JR75">
        <v>24.450099999999999</v>
      </c>
      <c r="JS75">
        <v>98.664000000000001</v>
      </c>
      <c r="JT75">
        <v>97.135999999999996</v>
      </c>
    </row>
    <row r="76" spans="1:280" x14ac:dyDescent="0.25">
      <c r="A76">
        <v>60</v>
      </c>
      <c r="B76">
        <v>1700162951.5999999</v>
      </c>
      <c r="C76">
        <v>13970.099999904631</v>
      </c>
      <c r="D76" t="s">
        <v>677</v>
      </c>
      <c r="E76" t="s">
        <v>678</v>
      </c>
      <c r="F76" t="s">
        <v>412</v>
      </c>
      <c r="G76" t="s">
        <v>482</v>
      </c>
      <c r="H76" t="s">
        <v>665</v>
      </c>
      <c r="I76">
        <v>1700162951.5999999</v>
      </c>
      <c r="J76">
        <f t="shared" si="46"/>
        <v>3.6272247445327701E-3</v>
      </c>
      <c r="K76">
        <f t="shared" si="47"/>
        <v>3.6272247445327701</v>
      </c>
      <c r="L76">
        <f t="shared" si="48"/>
        <v>62.670105414075344</v>
      </c>
      <c r="M76">
        <f t="shared" si="49"/>
        <v>927.03399999999999</v>
      </c>
      <c r="N76">
        <f t="shared" si="50"/>
        <v>465.74127292608154</v>
      </c>
      <c r="O76">
        <f t="shared" si="51"/>
        <v>46.179736651211805</v>
      </c>
      <c r="P76">
        <f t="shared" si="52"/>
        <v>91.918385754732014</v>
      </c>
      <c r="Q76">
        <f t="shared" si="53"/>
        <v>0.23449546595005735</v>
      </c>
      <c r="R76">
        <f t="shared" si="54"/>
        <v>3.0078824005479468</v>
      </c>
      <c r="S76">
        <f t="shared" si="55"/>
        <v>0.22479203808958992</v>
      </c>
      <c r="T76">
        <f t="shared" si="56"/>
        <v>0.14133337912000862</v>
      </c>
      <c r="U76">
        <f t="shared" si="57"/>
        <v>344.37259876297441</v>
      </c>
      <c r="V76">
        <f t="shared" si="58"/>
        <v>30.89055776728684</v>
      </c>
      <c r="W76">
        <f t="shared" si="59"/>
        <v>29.9619</v>
      </c>
      <c r="X76">
        <f t="shared" si="60"/>
        <v>4.2511349509365335</v>
      </c>
      <c r="Y76">
        <f t="shared" si="61"/>
        <v>64.164471442856808</v>
      </c>
      <c r="Z76">
        <f t="shared" si="62"/>
        <v>2.7073483254306003</v>
      </c>
      <c r="AA76">
        <f t="shared" si="63"/>
        <v>4.2193884942100608</v>
      </c>
      <c r="AB76">
        <f t="shared" si="64"/>
        <v>1.5437866255059332</v>
      </c>
      <c r="AC76">
        <f t="shared" si="65"/>
        <v>-159.96061123389515</v>
      </c>
      <c r="AD76">
        <f t="shared" si="66"/>
        <v>-21.145788659575921</v>
      </c>
      <c r="AE76">
        <f t="shared" si="67"/>
        <v>-1.561557167641165</v>
      </c>
      <c r="AF76">
        <f t="shared" si="68"/>
        <v>161.70464170186216</v>
      </c>
      <c r="AG76">
        <v>0</v>
      </c>
      <c r="AH76">
        <v>0</v>
      </c>
      <c r="AI76">
        <f t="shared" si="69"/>
        <v>1</v>
      </c>
      <c r="AJ76">
        <f t="shared" si="70"/>
        <v>0</v>
      </c>
      <c r="AK76">
        <f t="shared" si="71"/>
        <v>51948.949153209658</v>
      </c>
      <c r="AL76" t="s">
        <v>415</v>
      </c>
      <c r="AM76">
        <v>7133.88</v>
      </c>
      <c r="AN76">
        <v>306.28384615384618</v>
      </c>
      <c r="AO76">
        <v>859.63916333292491</v>
      </c>
      <c r="AP76">
        <f t="shared" si="72"/>
        <v>0.64370650010133712</v>
      </c>
      <c r="AQ76">
        <v>-0.73746743666429193</v>
      </c>
      <c r="AR76" t="s">
        <v>679</v>
      </c>
      <c r="AS76">
        <v>7145.27</v>
      </c>
      <c r="AT76">
        <v>639.97880769230767</v>
      </c>
      <c r="AU76">
        <v>1025.8897844684641</v>
      </c>
      <c r="AV76">
        <f t="shared" si="73"/>
        <v>0.37617196566208655</v>
      </c>
      <c r="AW76">
        <v>0.5</v>
      </c>
      <c r="AX76">
        <f t="shared" si="74"/>
        <v>1513.201199381487</v>
      </c>
      <c r="AY76">
        <f t="shared" si="75"/>
        <v>62.670105414075344</v>
      </c>
      <c r="AZ76">
        <f t="shared" si="76"/>
        <v>284.61193480678043</v>
      </c>
      <c r="BA76">
        <f t="shared" si="77"/>
        <v>4.1902935892898542E-2</v>
      </c>
      <c r="BB76">
        <f t="shared" si="78"/>
        <v>-0.16205505079834406</v>
      </c>
      <c r="BC76">
        <f t="shared" si="79"/>
        <v>325.05208064478114</v>
      </c>
      <c r="BD76" t="s">
        <v>680</v>
      </c>
      <c r="BE76">
        <v>477.36</v>
      </c>
      <c r="BF76">
        <f t="shared" si="80"/>
        <v>477.36</v>
      </c>
      <c r="BG76">
        <f t="shared" si="81"/>
        <v>0.53468685698305229</v>
      </c>
      <c r="BH76">
        <f t="shared" si="82"/>
        <v>0.70353695952921058</v>
      </c>
      <c r="BI76">
        <f t="shared" si="83"/>
        <v>-0.43489323269956098</v>
      </c>
      <c r="BJ76">
        <f t="shared" si="84"/>
        <v>0.53628097855889678</v>
      </c>
      <c r="BK76">
        <f t="shared" si="85"/>
        <v>-0.30044099328991647</v>
      </c>
      <c r="BL76">
        <f t="shared" si="86"/>
        <v>0.52476800632175169</v>
      </c>
      <c r="BM76">
        <f t="shared" si="87"/>
        <v>0.47523199367824831</v>
      </c>
      <c r="BN76">
        <v>20782</v>
      </c>
      <c r="BO76">
        <v>290.00000000000011</v>
      </c>
      <c r="BP76">
        <v>914.78</v>
      </c>
      <c r="BQ76">
        <v>295</v>
      </c>
      <c r="BR76">
        <v>7145.27</v>
      </c>
      <c r="BS76">
        <v>917.09</v>
      </c>
      <c r="BT76">
        <v>-2.31</v>
      </c>
      <c r="BU76">
        <v>300.00000000000011</v>
      </c>
      <c r="BV76">
        <v>38.200000000000003</v>
      </c>
      <c r="BW76">
        <v>1025.8897844684641</v>
      </c>
      <c r="BX76">
        <v>2.0174777689093828</v>
      </c>
      <c r="BY76">
        <v>-77.738104757513867</v>
      </c>
      <c r="BZ76">
        <v>1.208136880631979</v>
      </c>
      <c r="CA76">
        <v>0.99328269161672</v>
      </c>
      <c r="CB76">
        <v>-7.0539236929922167E-3</v>
      </c>
      <c r="CC76">
        <v>289.99999999999989</v>
      </c>
      <c r="CD76">
        <v>925.24</v>
      </c>
      <c r="CE76">
        <v>885</v>
      </c>
      <c r="CF76">
        <v>7138.01</v>
      </c>
      <c r="CG76">
        <v>916.98</v>
      </c>
      <c r="CH76">
        <v>8.26</v>
      </c>
      <c r="CV76">
        <f t="shared" si="88"/>
        <v>1800.02</v>
      </c>
      <c r="CW76">
        <f t="shared" si="89"/>
        <v>1513.201199381487</v>
      </c>
      <c r="CX76">
        <f t="shared" si="90"/>
        <v>0.84065799234535565</v>
      </c>
      <c r="CY76">
        <f t="shared" si="91"/>
        <v>0.19131598469071143</v>
      </c>
      <c r="CZ76">
        <v>5.52</v>
      </c>
      <c r="DA76">
        <v>0.5</v>
      </c>
      <c r="DB76" t="s">
        <v>418</v>
      </c>
      <c r="DC76">
        <v>2</v>
      </c>
      <c r="DD76">
        <v>1700162951.5999999</v>
      </c>
      <c r="DE76">
        <v>927.03399999999999</v>
      </c>
      <c r="DF76">
        <v>999.94500000000005</v>
      </c>
      <c r="DG76">
        <v>27.3047</v>
      </c>
      <c r="DH76">
        <v>23.408999999999999</v>
      </c>
      <c r="DI76">
        <v>932.96299999999997</v>
      </c>
      <c r="DJ76">
        <v>27.266100000000002</v>
      </c>
      <c r="DK76">
        <v>499.92500000000001</v>
      </c>
      <c r="DL76">
        <v>99.053100000000001</v>
      </c>
      <c r="DM76">
        <v>0.10009800000000001</v>
      </c>
      <c r="DN76">
        <v>29.831499999999998</v>
      </c>
      <c r="DO76">
        <v>29.9619</v>
      </c>
      <c r="DP76">
        <v>999.9</v>
      </c>
      <c r="DQ76">
        <v>0</v>
      </c>
      <c r="DR76">
        <v>0</v>
      </c>
      <c r="DS76">
        <v>10012.5</v>
      </c>
      <c r="DT76">
        <v>0</v>
      </c>
      <c r="DU76">
        <v>236.666</v>
      </c>
      <c r="DV76">
        <v>-72.911199999999994</v>
      </c>
      <c r="DW76">
        <v>953.05600000000004</v>
      </c>
      <c r="DX76">
        <v>1023.91</v>
      </c>
      <c r="DY76">
        <v>3.8956400000000002</v>
      </c>
      <c r="DZ76">
        <v>999.94500000000005</v>
      </c>
      <c r="EA76">
        <v>23.408999999999999</v>
      </c>
      <c r="EB76">
        <v>2.7046100000000002</v>
      </c>
      <c r="EC76">
        <v>2.31874</v>
      </c>
      <c r="ED76">
        <v>22.313199999999998</v>
      </c>
      <c r="EE76">
        <v>19.807099999999998</v>
      </c>
      <c r="EF76">
        <v>1800.02</v>
      </c>
      <c r="EG76">
        <v>0.97800399999999998</v>
      </c>
      <c r="EH76">
        <v>2.19963E-2</v>
      </c>
      <c r="EI76">
        <v>0</v>
      </c>
      <c r="EJ76">
        <v>639.94799999999998</v>
      </c>
      <c r="EK76">
        <v>5.0009399999999999</v>
      </c>
      <c r="EL76">
        <v>13577.9</v>
      </c>
      <c r="EM76">
        <v>13860.4</v>
      </c>
      <c r="EN76">
        <v>47.75</v>
      </c>
      <c r="EO76">
        <v>49.561999999999998</v>
      </c>
      <c r="EP76">
        <v>48.811999999999998</v>
      </c>
      <c r="EQ76">
        <v>48.875</v>
      </c>
      <c r="ER76">
        <v>49.186999999999998</v>
      </c>
      <c r="ES76">
        <v>1755.54</v>
      </c>
      <c r="ET76">
        <v>39.479999999999997</v>
      </c>
      <c r="EU76">
        <v>0</v>
      </c>
      <c r="EV76">
        <v>201</v>
      </c>
      <c r="EW76">
        <v>0</v>
      </c>
      <c r="EX76">
        <v>639.97880769230767</v>
      </c>
      <c r="EY76">
        <v>-1.249196586210326</v>
      </c>
      <c r="EZ76">
        <v>-15.31965805435841</v>
      </c>
      <c r="FA76">
        <v>13592.45</v>
      </c>
      <c r="FB76">
        <v>15</v>
      </c>
      <c r="FC76">
        <v>1700162853.0999999</v>
      </c>
      <c r="FD76" t="s">
        <v>681</v>
      </c>
      <c r="FE76">
        <v>1700162853.0999999</v>
      </c>
      <c r="FF76">
        <v>1700162846.0999999</v>
      </c>
      <c r="FG76">
        <v>66</v>
      </c>
      <c r="FH76">
        <v>-7.6999999999999999E-2</v>
      </c>
      <c r="FI76">
        <v>2E-3</v>
      </c>
      <c r="FJ76">
        <v>-6.1070000000000002</v>
      </c>
      <c r="FK76">
        <v>3.9E-2</v>
      </c>
      <c r="FL76">
        <v>1000</v>
      </c>
      <c r="FM76">
        <v>25</v>
      </c>
      <c r="FN76">
        <v>0.03</v>
      </c>
      <c r="FO76">
        <v>0.04</v>
      </c>
      <c r="FP76">
        <v>62.649817833369838</v>
      </c>
      <c r="FQ76">
        <v>0.1155128136358704</v>
      </c>
      <c r="FR76">
        <v>2.5611067197487649E-2</v>
      </c>
      <c r="FS76">
        <v>1</v>
      </c>
      <c r="FT76">
        <v>0.2405409585173951</v>
      </c>
      <c r="FU76">
        <v>-4.9359367110661273E-2</v>
      </c>
      <c r="FV76">
        <v>3.601595372535528E-3</v>
      </c>
      <c r="FW76">
        <v>1</v>
      </c>
      <c r="FX76">
        <v>2</v>
      </c>
      <c r="FY76">
        <v>2</v>
      </c>
      <c r="FZ76" t="s">
        <v>420</v>
      </c>
      <c r="GA76">
        <v>3.1191399999999998</v>
      </c>
      <c r="GB76">
        <v>2.8778299999999999</v>
      </c>
      <c r="GC76">
        <v>0.157747</v>
      </c>
      <c r="GD76">
        <v>0.166966</v>
      </c>
      <c r="GE76">
        <v>0.123073</v>
      </c>
      <c r="GF76">
        <v>0.11122700000000001</v>
      </c>
      <c r="GG76">
        <v>24434.9</v>
      </c>
      <c r="GH76">
        <v>24732</v>
      </c>
      <c r="GI76">
        <v>26723.9</v>
      </c>
      <c r="GJ76">
        <v>27421.9</v>
      </c>
      <c r="GK76">
        <v>33527.199999999997</v>
      </c>
      <c r="GL76">
        <v>34062</v>
      </c>
      <c r="GM76">
        <v>39593.300000000003</v>
      </c>
      <c r="GN76">
        <v>39709.300000000003</v>
      </c>
      <c r="GO76">
        <v>1.9876199999999999</v>
      </c>
      <c r="GP76">
        <v>2.4367999999999999</v>
      </c>
      <c r="GQ76">
        <v>7.6517499999999997E-3</v>
      </c>
      <c r="GR76">
        <v>0</v>
      </c>
      <c r="GS76">
        <v>29.837299999999999</v>
      </c>
      <c r="GT76">
        <v>999.9</v>
      </c>
      <c r="GU76">
        <v>28.9</v>
      </c>
      <c r="GV76">
        <v>45.8</v>
      </c>
      <c r="GW76">
        <v>29.3034</v>
      </c>
      <c r="GX76">
        <v>63.094200000000001</v>
      </c>
      <c r="GY76">
        <v>7.8325300000000002</v>
      </c>
      <c r="GZ76">
        <v>3</v>
      </c>
      <c r="HA76">
        <v>0.55821399999999999</v>
      </c>
      <c r="HB76">
        <v>3.2795100000000001</v>
      </c>
      <c r="HC76">
        <v>20.270299999999999</v>
      </c>
      <c r="HD76">
        <v>5.2165400000000002</v>
      </c>
      <c r="HE76">
        <v>11.908099999999999</v>
      </c>
      <c r="HF76">
        <v>4.9974499999999997</v>
      </c>
      <c r="HG76">
        <v>3.3028</v>
      </c>
      <c r="HH76">
        <v>9999</v>
      </c>
      <c r="HI76">
        <v>9999</v>
      </c>
      <c r="HJ76">
        <v>9999</v>
      </c>
      <c r="HK76">
        <v>999.9</v>
      </c>
      <c r="HL76">
        <v>1.8847700000000001</v>
      </c>
      <c r="HM76">
        <v>1.88537</v>
      </c>
      <c r="HN76">
        <v>1.88141</v>
      </c>
      <c r="HO76">
        <v>1.8830899999999999</v>
      </c>
      <c r="HP76">
        <v>1.8798999999999999</v>
      </c>
      <c r="HQ76">
        <v>1.8834</v>
      </c>
      <c r="HR76">
        <v>1.87941</v>
      </c>
      <c r="HS76">
        <v>1.8816999999999999</v>
      </c>
      <c r="HT76">
        <v>5</v>
      </c>
      <c r="HU76">
        <v>0</v>
      </c>
      <c r="HV76">
        <v>0</v>
      </c>
      <c r="HW76">
        <v>0</v>
      </c>
      <c r="HX76" t="s">
        <v>421</v>
      </c>
      <c r="HY76" t="s">
        <v>422</v>
      </c>
      <c r="HZ76" t="s">
        <v>423</v>
      </c>
      <c r="IA76" t="s">
        <v>423</v>
      </c>
      <c r="IB76" t="s">
        <v>423</v>
      </c>
      <c r="IC76" t="s">
        <v>423</v>
      </c>
      <c r="ID76">
        <v>0</v>
      </c>
      <c r="IE76">
        <v>100</v>
      </c>
      <c r="IF76">
        <v>100</v>
      </c>
      <c r="IG76">
        <v>-5.9290000000000003</v>
      </c>
      <c r="IH76">
        <v>3.8600000000000002E-2</v>
      </c>
      <c r="II76">
        <v>-2.9455827914410202</v>
      </c>
      <c r="IJ76">
        <v>-3.7794827560518689E-3</v>
      </c>
      <c r="IK76">
        <v>4.9551128961100493E-7</v>
      </c>
      <c r="IL76">
        <v>1.3680294268397379E-10</v>
      </c>
      <c r="IM76">
        <v>3.8524999999996368E-2</v>
      </c>
      <c r="IN76">
        <v>0</v>
      </c>
      <c r="IO76">
        <v>0</v>
      </c>
      <c r="IP76">
        <v>0</v>
      </c>
      <c r="IQ76">
        <v>4</v>
      </c>
      <c r="IR76">
        <v>2229</v>
      </c>
      <c r="IS76">
        <v>1</v>
      </c>
      <c r="IT76">
        <v>22</v>
      </c>
      <c r="IU76">
        <v>1.6</v>
      </c>
      <c r="IV76">
        <v>1.8</v>
      </c>
      <c r="IW76">
        <v>3.2202099999999998</v>
      </c>
      <c r="IX76">
        <v>2.5500500000000001</v>
      </c>
      <c r="IY76">
        <v>2.9956100000000001</v>
      </c>
      <c r="IZ76">
        <v>2.96875</v>
      </c>
      <c r="JA76">
        <v>3.1970200000000002</v>
      </c>
      <c r="JB76">
        <v>2.5134300000000001</v>
      </c>
      <c r="JC76">
        <v>48.362299999999998</v>
      </c>
      <c r="JD76">
        <v>23.745999999999999</v>
      </c>
      <c r="JE76">
        <v>18</v>
      </c>
      <c r="JF76">
        <v>530.05399999999997</v>
      </c>
      <c r="JG76">
        <v>1118.45</v>
      </c>
      <c r="JH76">
        <v>24.7773</v>
      </c>
      <c r="JI76">
        <v>34.1113</v>
      </c>
      <c r="JJ76">
        <v>30.0002</v>
      </c>
      <c r="JK76">
        <v>34.089100000000002</v>
      </c>
      <c r="JL76">
        <v>34.007599999999996</v>
      </c>
      <c r="JM76">
        <v>64.537499999999994</v>
      </c>
      <c r="JN76">
        <v>13.3735</v>
      </c>
      <c r="JO76">
        <v>0</v>
      </c>
      <c r="JP76">
        <v>24.796900000000001</v>
      </c>
      <c r="JQ76">
        <v>1000</v>
      </c>
      <c r="JR76">
        <v>23.5562</v>
      </c>
      <c r="JS76">
        <v>98.688599999999994</v>
      </c>
      <c r="JT76">
        <v>97.151899999999998</v>
      </c>
    </row>
    <row r="77" spans="1:280" x14ac:dyDescent="0.25">
      <c r="A77">
        <v>61</v>
      </c>
      <c r="B77">
        <v>1700163143.5999999</v>
      </c>
      <c r="C77">
        <v>14162.099999904631</v>
      </c>
      <c r="D77" t="s">
        <v>682</v>
      </c>
      <c r="E77" t="s">
        <v>683</v>
      </c>
      <c r="F77" t="s">
        <v>412</v>
      </c>
      <c r="G77" t="s">
        <v>482</v>
      </c>
      <c r="H77" t="s">
        <v>665</v>
      </c>
      <c r="I77">
        <v>1700163143.5999999</v>
      </c>
      <c r="J77">
        <f t="shared" si="46"/>
        <v>5.682534341603698E-3</v>
      </c>
      <c r="K77">
        <f t="shared" si="47"/>
        <v>5.6825343416036977</v>
      </c>
      <c r="L77">
        <f t="shared" si="48"/>
        <v>60.136524983284133</v>
      </c>
      <c r="M77">
        <f t="shared" si="49"/>
        <v>679.49900000000002</v>
      </c>
      <c r="N77">
        <f t="shared" si="50"/>
        <v>404.13127203853907</v>
      </c>
      <c r="O77">
        <f t="shared" si="51"/>
        <v>40.073038493255929</v>
      </c>
      <c r="P77">
        <f t="shared" si="52"/>
        <v>67.37808100268029</v>
      </c>
      <c r="Q77">
        <f t="shared" si="53"/>
        <v>0.38987361554122968</v>
      </c>
      <c r="R77">
        <f t="shared" si="54"/>
        <v>3.0045398958005967</v>
      </c>
      <c r="S77">
        <f t="shared" si="55"/>
        <v>0.36379102162120658</v>
      </c>
      <c r="T77">
        <f t="shared" si="56"/>
        <v>0.22956723566881307</v>
      </c>
      <c r="U77">
        <f t="shared" si="57"/>
        <v>344.39349876304999</v>
      </c>
      <c r="V77">
        <f t="shared" si="58"/>
        <v>30.335717974171072</v>
      </c>
      <c r="W77">
        <f t="shared" si="59"/>
        <v>29.927900000000001</v>
      </c>
      <c r="X77">
        <f t="shared" si="60"/>
        <v>4.2428375035431687</v>
      </c>
      <c r="Y77">
        <f t="shared" si="61"/>
        <v>65.272315510537609</v>
      </c>
      <c r="Z77">
        <f t="shared" si="62"/>
        <v>2.74855378992036</v>
      </c>
      <c r="AA77">
        <f t="shared" si="63"/>
        <v>4.2109028436054663</v>
      </c>
      <c r="AB77">
        <f t="shared" si="64"/>
        <v>1.4942837136228087</v>
      </c>
      <c r="AC77">
        <f t="shared" si="65"/>
        <v>-250.59976446472308</v>
      </c>
      <c r="AD77">
        <f t="shared" si="66"/>
        <v>-21.28427118891948</v>
      </c>
      <c r="AE77">
        <f t="shared" si="67"/>
        <v>-1.5729946846605736</v>
      </c>
      <c r="AF77">
        <f t="shared" si="68"/>
        <v>70.936468424746877</v>
      </c>
      <c r="AG77">
        <v>0</v>
      </c>
      <c r="AH77">
        <v>0</v>
      </c>
      <c r="AI77">
        <f t="shared" si="69"/>
        <v>1</v>
      </c>
      <c r="AJ77">
        <f t="shared" si="70"/>
        <v>0</v>
      </c>
      <c r="AK77">
        <f t="shared" si="71"/>
        <v>51864.729451465551</v>
      </c>
      <c r="AL77" t="s">
        <v>415</v>
      </c>
      <c r="AM77">
        <v>7133.88</v>
      </c>
      <c r="AN77">
        <v>306.28384615384618</v>
      </c>
      <c r="AO77">
        <v>859.63916333292491</v>
      </c>
      <c r="AP77">
        <f t="shared" si="72"/>
        <v>0.64370650010133712</v>
      </c>
      <c r="AQ77">
        <v>-0.73746743666429193</v>
      </c>
      <c r="AR77" t="s">
        <v>684</v>
      </c>
      <c r="AS77">
        <v>7144.49</v>
      </c>
      <c r="AT77">
        <v>639.85364000000004</v>
      </c>
      <c r="AU77">
        <v>1005.005191583718</v>
      </c>
      <c r="AV77">
        <f t="shared" si="73"/>
        <v>0.36333300030848692</v>
      </c>
      <c r="AW77">
        <v>0.5</v>
      </c>
      <c r="AX77">
        <f t="shared" si="74"/>
        <v>1513.2935993815252</v>
      </c>
      <c r="AY77">
        <f t="shared" si="75"/>
        <v>60.136524983284133</v>
      </c>
      <c r="AZ77">
        <f t="shared" si="76"/>
        <v>274.91475190545947</v>
      </c>
      <c r="BA77">
        <f t="shared" si="77"/>
        <v>4.0226161297997491E-2</v>
      </c>
      <c r="BB77">
        <f t="shared" si="78"/>
        <v>-0.14464206699442103</v>
      </c>
      <c r="BC77">
        <f t="shared" si="79"/>
        <v>322.92583836708883</v>
      </c>
      <c r="BD77" t="s">
        <v>685</v>
      </c>
      <c r="BE77">
        <v>474.97</v>
      </c>
      <c r="BF77">
        <f t="shared" si="80"/>
        <v>474.97</v>
      </c>
      <c r="BG77">
        <f t="shared" si="81"/>
        <v>0.52739547618502569</v>
      </c>
      <c r="BH77">
        <f t="shared" si="82"/>
        <v>0.68891944795715143</v>
      </c>
      <c r="BI77">
        <f t="shared" si="83"/>
        <v>-0.37789883387398315</v>
      </c>
      <c r="BJ77">
        <f t="shared" si="84"/>
        <v>0.52259968007570612</v>
      </c>
      <c r="BK77">
        <f t="shared" si="85"/>
        <v>-0.26269925261014387</v>
      </c>
      <c r="BL77">
        <f t="shared" si="86"/>
        <v>0.51139205865298853</v>
      </c>
      <c r="BM77">
        <f t="shared" si="87"/>
        <v>0.48860794134701147</v>
      </c>
      <c r="BN77">
        <v>20784</v>
      </c>
      <c r="BO77">
        <v>290.00000000000011</v>
      </c>
      <c r="BP77">
        <v>900.4</v>
      </c>
      <c r="BQ77">
        <v>295</v>
      </c>
      <c r="BR77">
        <v>7144.49</v>
      </c>
      <c r="BS77">
        <v>902.83</v>
      </c>
      <c r="BT77">
        <v>-2.4300000000000002</v>
      </c>
      <c r="BU77">
        <v>300.00000000000011</v>
      </c>
      <c r="BV77">
        <v>38.200000000000003</v>
      </c>
      <c r="BW77">
        <v>1005.005191583718</v>
      </c>
      <c r="BX77">
        <v>1.5803061726310661</v>
      </c>
      <c r="BY77">
        <v>-73.000176406199628</v>
      </c>
      <c r="BZ77">
        <v>0.94623801736962332</v>
      </c>
      <c r="CA77">
        <v>0.99531755524588017</v>
      </c>
      <c r="CB77">
        <v>-7.053094771968858E-3</v>
      </c>
      <c r="CC77">
        <v>289.99999999999989</v>
      </c>
      <c r="CD77">
        <v>911.9</v>
      </c>
      <c r="CE77">
        <v>855</v>
      </c>
      <c r="CF77">
        <v>7137.56</v>
      </c>
      <c r="CG77">
        <v>902.73</v>
      </c>
      <c r="CH77">
        <v>9.17</v>
      </c>
      <c r="CV77">
        <f t="shared" si="88"/>
        <v>1800.13</v>
      </c>
      <c r="CW77">
        <f t="shared" si="89"/>
        <v>1513.2935993815252</v>
      </c>
      <c r="CX77">
        <f t="shared" si="90"/>
        <v>0.84065795213763728</v>
      </c>
      <c r="CY77">
        <f t="shared" si="91"/>
        <v>0.19131590427527456</v>
      </c>
      <c r="CZ77">
        <v>5.52</v>
      </c>
      <c r="DA77">
        <v>0.5</v>
      </c>
      <c r="DB77" t="s">
        <v>418</v>
      </c>
      <c r="DC77">
        <v>2</v>
      </c>
      <c r="DD77">
        <v>1700163143.5999999</v>
      </c>
      <c r="DE77">
        <v>679.49900000000002</v>
      </c>
      <c r="DF77">
        <v>750.19399999999996</v>
      </c>
      <c r="DG77">
        <v>27.718800000000002</v>
      </c>
      <c r="DH77">
        <v>21.615600000000001</v>
      </c>
      <c r="DI77">
        <v>684.84799999999996</v>
      </c>
      <c r="DJ77">
        <v>27.677499999999998</v>
      </c>
      <c r="DK77">
        <v>499.70699999999999</v>
      </c>
      <c r="DL77">
        <v>99.058999999999997</v>
      </c>
      <c r="DM77">
        <v>9.9469699999999994E-2</v>
      </c>
      <c r="DN77">
        <v>29.796500000000002</v>
      </c>
      <c r="DO77">
        <v>29.927900000000001</v>
      </c>
      <c r="DP77">
        <v>999.9</v>
      </c>
      <c r="DQ77">
        <v>0</v>
      </c>
      <c r="DR77">
        <v>0</v>
      </c>
      <c r="DS77">
        <v>9993.75</v>
      </c>
      <c r="DT77">
        <v>0</v>
      </c>
      <c r="DU77">
        <v>227.99799999999999</v>
      </c>
      <c r="DV77">
        <v>-70.694800000000001</v>
      </c>
      <c r="DW77">
        <v>698.87099999999998</v>
      </c>
      <c r="DX77">
        <v>766.76800000000003</v>
      </c>
      <c r="DY77">
        <v>6.1031899999999997</v>
      </c>
      <c r="DZ77">
        <v>750.19399999999996</v>
      </c>
      <c r="EA77">
        <v>21.615600000000001</v>
      </c>
      <c r="EB77">
        <v>2.7458</v>
      </c>
      <c r="EC77">
        <v>2.1412200000000001</v>
      </c>
      <c r="ED77">
        <v>22.561800000000002</v>
      </c>
      <c r="EE77">
        <v>18.529199999999999</v>
      </c>
      <c r="EF77">
        <v>1800.13</v>
      </c>
      <c r="EG77">
        <v>0.97800799999999999</v>
      </c>
      <c r="EH77">
        <v>2.1992500000000002E-2</v>
      </c>
      <c r="EI77">
        <v>0</v>
      </c>
      <c r="EJ77">
        <v>639.63499999999999</v>
      </c>
      <c r="EK77">
        <v>5.0009399999999999</v>
      </c>
      <c r="EL77">
        <v>13389.8</v>
      </c>
      <c r="EM77">
        <v>13861.2</v>
      </c>
      <c r="EN77">
        <v>47.811999999999998</v>
      </c>
      <c r="EO77">
        <v>49.625</v>
      </c>
      <c r="EP77">
        <v>48.875</v>
      </c>
      <c r="EQ77">
        <v>49</v>
      </c>
      <c r="ER77">
        <v>49.311999999999998</v>
      </c>
      <c r="ES77">
        <v>1755.65</v>
      </c>
      <c r="ET77">
        <v>39.479999999999997</v>
      </c>
      <c r="EU77">
        <v>0</v>
      </c>
      <c r="EV77">
        <v>189.79999995231631</v>
      </c>
      <c r="EW77">
        <v>0</v>
      </c>
      <c r="EX77">
        <v>639.85364000000004</v>
      </c>
      <c r="EY77">
        <v>-1.9839230819507341</v>
      </c>
      <c r="EZ77">
        <v>-333.06153796618111</v>
      </c>
      <c r="FA77">
        <v>13423.564</v>
      </c>
      <c r="FB77">
        <v>15</v>
      </c>
      <c r="FC77">
        <v>1700163078.0999999</v>
      </c>
      <c r="FD77" t="s">
        <v>686</v>
      </c>
      <c r="FE77">
        <v>1700163076.5999999</v>
      </c>
      <c r="FF77">
        <v>1700163078.0999999</v>
      </c>
      <c r="FG77">
        <v>67</v>
      </c>
      <c r="FH77">
        <v>-9.1999999999999998E-2</v>
      </c>
      <c r="FI77">
        <v>3.0000000000000001E-3</v>
      </c>
      <c r="FJ77">
        <v>-5.5510000000000002</v>
      </c>
      <c r="FK77">
        <v>4.1000000000000002E-2</v>
      </c>
      <c r="FL77">
        <v>750</v>
      </c>
      <c r="FM77">
        <v>25</v>
      </c>
      <c r="FN77">
        <v>0.04</v>
      </c>
      <c r="FO77">
        <v>0.04</v>
      </c>
      <c r="FP77">
        <v>60.013527847540807</v>
      </c>
      <c r="FQ77">
        <v>0.50316696959713536</v>
      </c>
      <c r="FR77">
        <v>5.403755663869176E-2</v>
      </c>
      <c r="FS77">
        <v>1</v>
      </c>
      <c r="FT77">
        <v>0.42823240725944178</v>
      </c>
      <c r="FU77">
        <v>-4.0705360082975511E-2</v>
      </c>
      <c r="FV77">
        <v>1.202404034906117E-2</v>
      </c>
      <c r="FW77">
        <v>1</v>
      </c>
      <c r="FX77">
        <v>2</v>
      </c>
      <c r="FY77">
        <v>2</v>
      </c>
      <c r="FZ77" t="s">
        <v>420</v>
      </c>
      <c r="GA77">
        <v>3.1184599999999998</v>
      </c>
      <c r="GB77">
        <v>2.87704</v>
      </c>
      <c r="GC77">
        <v>0.12822800000000001</v>
      </c>
      <c r="GD77">
        <v>0.13813300000000001</v>
      </c>
      <c r="GE77">
        <v>0.124391</v>
      </c>
      <c r="GF77">
        <v>0.10505</v>
      </c>
      <c r="GG77">
        <v>25290.1</v>
      </c>
      <c r="GH77">
        <v>25587.9</v>
      </c>
      <c r="GI77">
        <v>26721.8</v>
      </c>
      <c r="GJ77">
        <v>27421.1</v>
      </c>
      <c r="GK77">
        <v>33472.199999999997</v>
      </c>
      <c r="GL77">
        <v>34295.199999999997</v>
      </c>
      <c r="GM77">
        <v>39590.6</v>
      </c>
      <c r="GN77">
        <v>39707.699999999997</v>
      </c>
      <c r="GO77">
        <v>1.9877499999999999</v>
      </c>
      <c r="GP77">
        <v>2.4350499999999999</v>
      </c>
      <c r="GQ77">
        <v>-7.2643200000000003E-3</v>
      </c>
      <c r="GR77">
        <v>0</v>
      </c>
      <c r="GS77">
        <v>30.046099999999999</v>
      </c>
      <c r="GT77">
        <v>999.9</v>
      </c>
      <c r="GU77">
        <v>28.8</v>
      </c>
      <c r="GV77">
        <v>45.7</v>
      </c>
      <c r="GW77">
        <v>29.053000000000001</v>
      </c>
      <c r="GX77">
        <v>62.794199999999996</v>
      </c>
      <c r="GY77">
        <v>8.0849399999999996</v>
      </c>
      <c r="GZ77">
        <v>3</v>
      </c>
      <c r="HA77">
        <v>0.56058699999999995</v>
      </c>
      <c r="HB77">
        <v>3.4872800000000002</v>
      </c>
      <c r="HC77">
        <v>20.2654</v>
      </c>
      <c r="HD77">
        <v>5.2119</v>
      </c>
      <c r="HE77">
        <v>11.9087</v>
      </c>
      <c r="HF77">
        <v>4.9960500000000003</v>
      </c>
      <c r="HG77">
        <v>3.3022</v>
      </c>
      <c r="HH77">
        <v>9999</v>
      </c>
      <c r="HI77">
        <v>9999</v>
      </c>
      <c r="HJ77">
        <v>9999</v>
      </c>
      <c r="HK77">
        <v>999.9</v>
      </c>
      <c r="HL77">
        <v>1.8847700000000001</v>
      </c>
      <c r="HM77">
        <v>1.88531</v>
      </c>
      <c r="HN77">
        <v>1.88141</v>
      </c>
      <c r="HO77">
        <v>1.8830800000000001</v>
      </c>
      <c r="HP77">
        <v>1.8798999999999999</v>
      </c>
      <c r="HQ77">
        <v>1.8833899999999999</v>
      </c>
      <c r="HR77">
        <v>1.8794200000000001</v>
      </c>
      <c r="HS77">
        <v>1.88171</v>
      </c>
      <c r="HT77">
        <v>5</v>
      </c>
      <c r="HU77">
        <v>0</v>
      </c>
      <c r="HV77">
        <v>0</v>
      </c>
      <c r="HW77">
        <v>0</v>
      </c>
      <c r="HX77" t="s">
        <v>421</v>
      </c>
      <c r="HY77" t="s">
        <v>422</v>
      </c>
      <c r="HZ77" t="s">
        <v>423</v>
      </c>
      <c r="IA77" t="s">
        <v>423</v>
      </c>
      <c r="IB77" t="s">
        <v>423</v>
      </c>
      <c r="IC77" t="s">
        <v>423</v>
      </c>
      <c r="ID77">
        <v>0</v>
      </c>
      <c r="IE77">
        <v>100</v>
      </c>
      <c r="IF77">
        <v>100</v>
      </c>
      <c r="IG77">
        <v>-5.3490000000000002</v>
      </c>
      <c r="IH77">
        <v>4.1300000000000003E-2</v>
      </c>
      <c r="II77">
        <v>-3.0372294609079109</v>
      </c>
      <c r="IJ77">
        <v>-3.7794827560518689E-3</v>
      </c>
      <c r="IK77">
        <v>4.9551128961100493E-7</v>
      </c>
      <c r="IL77">
        <v>1.3680294268397379E-10</v>
      </c>
      <c r="IM77">
        <v>4.1270000000004359E-2</v>
      </c>
      <c r="IN77">
        <v>0</v>
      </c>
      <c r="IO77">
        <v>0</v>
      </c>
      <c r="IP77">
        <v>0</v>
      </c>
      <c r="IQ77">
        <v>4</v>
      </c>
      <c r="IR77">
        <v>2229</v>
      </c>
      <c r="IS77">
        <v>1</v>
      </c>
      <c r="IT77">
        <v>22</v>
      </c>
      <c r="IU77">
        <v>1.1000000000000001</v>
      </c>
      <c r="IV77">
        <v>1.1000000000000001</v>
      </c>
      <c r="IW77">
        <v>2.5537100000000001</v>
      </c>
      <c r="IX77">
        <v>2.5598100000000001</v>
      </c>
      <c r="IY77">
        <v>2.9956100000000001</v>
      </c>
      <c r="IZ77">
        <v>2.96875</v>
      </c>
      <c r="JA77">
        <v>3.1970200000000002</v>
      </c>
      <c r="JB77">
        <v>2.51709</v>
      </c>
      <c r="JC77">
        <v>48.300899999999999</v>
      </c>
      <c r="JD77">
        <v>23.745999999999999</v>
      </c>
      <c r="JE77">
        <v>18</v>
      </c>
      <c r="JF77">
        <v>530.08600000000001</v>
      </c>
      <c r="JG77">
        <v>1115.76</v>
      </c>
      <c r="JH77">
        <v>24.554600000000001</v>
      </c>
      <c r="JI77">
        <v>34.145499999999998</v>
      </c>
      <c r="JJ77">
        <v>30.001899999999999</v>
      </c>
      <c r="JK77">
        <v>34.082900000000002</v>
      </c>
      <c r="JL77">
        <v>33.9893</v>
      </c>
      <c r="JM77">
        <v>51.175400000000003</v>
      </c>
      <c r="JN77">
        <v>20.803999999999998</v>
      </c>
      <c r="JO77">
        <v>0</v>
      </c>
      <c r="JP77">
        <v>24.503499999999999</v>
      </c>
      <c r="JQ77">
        <v>750</v>
      </c>
      <c r="JR77">
        <v>21.761700000000001</v>
      </c>
      <c r="JS77">
        <v>98.681399999999996</v>
      </c>
      <c r="JT77">
        <v>97.148499999999999</v>
      </c>
    </row>
    <row r="78" spans="1:280" x14ac:dyDescent="0.25">
      <c r="A78">
        <v>62</v>
      </c>
      <c r="B78">
        <v>1700163355.5</v>
      </c>
      <c r="C78">
        <v>14374</v>
      </c>
      <c r="D78" t="s">
        <v>687</v>
      </c>
      <c r="E78" t="s">
        <v>688</v>
      </c>
      <c r="F78" t="s">
        <v>412</v>
      </c>
      <c r="G78" t="s">
        <v>482</v>
      </c>
      <c r="H78" t="s">
        <v>665</v>
      </c>
      <c r="I78">
        <v>1700163355.5</v>
      </c>
      <c r="J78">
        <f t="shared" si="46"/>
        <v>4.1435066578287003E-3</v>
      </c>
      <c r="K78">
        <f t="shared" si="47"/>
        <v>4.1435066578287003</v>
      </c>
      <c r="L78">
        <f t="shared" si="48"/>
        <v>59.292042640439227</v>
      </c>
      <c r="M78">
        <f t="shared" si="49"/>
        <v>532.07100000000003</v>
      </c>
      <c r="N78">
        <f t="shared" si="50"/>
        <v>157.34810750793343</v>
      </c>
      <c r="O78">
        <f t="shared" si="51"/>
        <v>15.603080173972561</v>
      </c>
      <c r="P78">
        <f t="shared" si="52"/>
        <v>52.761654415368</v>
      </c>
      <c r="Q78">
        <f t="shared" si="53"/>
        <v>0.27033234595064981</v>
      </c>
      <c r="R78">
        <f t="shared" si="54"/>
        <v>3.0025371712960918</v>
      </c>
      <c r="S78">
        <f t="shared" si="55"/>
        <v>0.25750185504622508</v>
      </c>
      <c r="T78">
        <f t="shared" si="56"/>
        <v>0.16204067108795997</v>
      </c>
      <c r="U78">
        <f t="shared" si="57"/>
        <v>344.37639876298812</v>
      </c>
      <c r="V78">
        <f t="shared" si="58"/>
        <v>30.722189009255032</v>
      </c>
      <c r="W78">
        <f t="shared" si="59"/>
        <v>29.999099999999999</v>
      </c>
      <c r="X78">
        <f t="shared" si="60"/>
        <v>4.2602295323143267</v>
      </c>
      <c r="Y78">
        <f t="shared" si="61"/>
        <v>64.627642560518524</v>
      </c>
      <c r="Z78">
        <f t="shared" si="62"/>
        <v>2.7207497956575999</v>
      </c>
      <c r="AA78">
        <f t="shared" si="63"/>
        <v>4.2098855657775838</v>
      </c>
      <c r="AB78">
        <f t="shared" si="64"/>
        <v>1.5394797366567268</v>
      </c>
      <c r="AC78">
        <f t="shared" si="65"/>
        <v>-182.72864361024568</v>
      </c>
      <c r="AD78">
        <f t="shared" si="66"/>
        <v>-33.475291726839224</v>
      </c>
      <c r="AE78">
        <f t="shared" si="67"/>
        <v>-2.476432872168798</v>
      </c>
      <c r="AF78">
        <f t="shared" si="68"/>
        <v>125.6960305537344</v>
      </c>
      <c r="AG78">
        <v>0</v>
      </c>
      <c r="AH78">
        <v>0</v>
      </c>
      <c r="AI78">
        <f t="shared" si="69"/>
        <v>1</v>
      </c>
      <c r="AJ78">
        <f t="shared" si="70"/>
        <v>0</v>
      </c>
      <c r="AK78">
        <f t="shared" si="71"/>
        <v>51811.419571651531</v>
      </c>
      <c r="AL78" t="s">
        <v>415</v>
      </c>
      <c r="AM78">
        <v>7133.88</v>
      </c>
      <c r="AN78">
        <v>306.28384615384618</v>
      </c>
      <c r="AO78">
        <v>859.63916333292491</v>
      </c>
      <c r="AP78">
        <f t="shared" si="72"/>
        <v>0.64370650010133712</v>
      </c>
      <c r="AQ78">
        <v>-0.73746743666429193</v>
      </c>
      <c r="AR78" t="s">
        <v>689</v>
      </c>
      <c r="AS78">
        <v>7144.06</v>
      </c>
      <c r="AT78">
        <v>642.47447999999997</v>
      </c>
      <c r="AU78">
        <v>994.3604574805164</v>
      </c>
      <c r="AV78">
        <f t="shared" si="73"/>
        <v>0.35388170842202993</v>
      </c>
      <c r="AW78">
        <v>0.5</v>
      </c>
      <c r="AX78">
        <f t="shared" si="74"/>
        <v>1513.2179993814941</v>
      </c>
      <c r="AY78">
        <f t="shared" si="75"/>
        <v>59.292042640439227</v>
      </c>
      <c r="AZ78">
        <f t="shared" si="76"/>
        <v>267.7500854180447</v>
      </c>
      <c r="BA78">
        <f t="shared" si="77"/>
        <v>3.9670100475701256E-2</v>
      </c>
      <c r="BB78">
        <f t="shared" si="78"/>
        <v>-0.13548536965050345</v>
      </c>
      <c r="BC78">
        <f t="shared" si="79"/>
        <v>321.81886553534525</v>
      </c>
      <c r="BD78" t="s">
        <v>690</v>
      </c>
      <c r="BE78">
        <v>471.98</v>
      </c>
      <c r="BF78">
        <f t="shared" si="80"/>
        <v>471.98</v>
      </c>
      <c r="BG78">
        <f t="shared" si="81"/>
        <v>0.52534315252650921</v>
      </c>
      <c r="BH78">
        <f t="shared" si="82"/>
        <v>0.67362010282255058</v>
      </c>
      <c r="BI78">
        <f t="shared" si="83"/>
        <v>-0.34752511198062852</v>
      </c>
      <c r="BJ78">
        <f t="shared" si="84"/>
        <v>0.51140522972006031</v>
      </c>
      <c r="BK78">
        <f t="shared" si="85"/>
        <v>-0.24346254561062169</v>
      </c>
      <c r="BL78">
        <f t="shared" si="86"/>
        <v>0.49486045909588106</v>
      </c>
      <c r="BM78">
        <f t="shared" si="87"/>
        <v>0.50513954090411894</v>
      </c>
      <c r="BN78">
        <v>20786</v>
      </c>
      <c r="BO78">
        <v>290.00000000000011</v>
      </c>
      <c r="BP78">
        <v>893.88</v>
      </c>
      <c r="BQ78">
        <v>295</v>
      </c>
      <c r="BR78">
        <v>7144.06</v>
      </c>
      <c r="BS78">
        <v>896.17</v>
      </c>
      <c r="BT78">
        <v>-2.29</v>
      </c>
      <c r="BU78">
        <v>300.00000000000011</v>
      </c>
      <c r="BV78">
        <v>38.200000000000003</v>
      </c>
      <c r="BW78">
        <v>994.3604574805164</v>
      </c>
      <c r="BX78">
        <v>1.9114891959769591</v>
      </c>
      <c r="BY78">
        <v>-70.146099776043727</v>
      </c>
      <c r="BZ78">
        <v>1.1444697825106851</v>
      </c>
      <c r="CA78">
        <v>0.99260165414646462</v>
      </c>
      <c r="CB78">
        <v>-7.0526780867630739E-3</v>
      </c>
      <c r="CC78">
        <v>289.99999999999989</v>
      </c>
      <c r="CD78">
        <v>905.57</v>
      </c>
      <c r="CE78">
        <v>785</v>
      </c>
      <c r="CF78">
        <v>7138.11</v>
      </c>
      <c r="CG78">
        <v>896.09</v>
      </c>
      <c r="CH78">
        <v>9.48</v>
      </c>
      <c r="CV78">
        <f t="shared" si="88"/>
        <v>1800.04</v>
      </c>
      <c r="CW78">
        <f t="shared" si="89"/>
        <v>1513.2179993814941</v>
      </c>
      <c r="CX78">
        <f t="shared" si="90"/>
        <v>0.84065798503449596</v>
      </c>
      <c r="CY78">
        <f t="shared" si="91"/>
        <v>0.19131597006899187</v>
      </c>
      <c r="CZ78">
        <v>5.52</v>
      </c>
      <c r="DA78">
        <v>0.5</v>
      </c>
      <c r="DB78" t="s">
        <v>418</v>
      </c>
      <c r="DC78">
        <v>2</v>
      </c>
      <c r="DD78">
        <v>1700163355.5</v>
      </c>
      <c r="DE78">
        <v>532.07100000000003</v>
      </c>
      <c r="DF78">
        <v>599.99199999999996</v>
      </c>
      <c r="DG78">
        <v>27.437200000000001</v>
      </c>
      <c r="DH78">
        <v>22.9864</v>
      </c>
      <c r="DI78">
        <v>536.85400000000004</v>
      </c>
      <c r="DJ78">
        <v>27.405999999999999</v>
      </c>
      <c r="DK78">
        <v>499.78899999999999</v>
      </c>
      <c r="DL78">
        <v>99.062799999999996</v>
      </c>
      <c r="DM78">
        <v>0.100008</v>
      </c>
      <c r="DN78">
        <v>29.792300000000001</v>
      </c>
      <c r="DO78">
        <v>29.999099999999999</v>
      </c>
      <c r="DP78">
        <v>999.9</v>
      </c>
      <c r="DQ78">
        <v>0</v>
      </c>
      <c r="DR78">
        <v>0</v>
      </c>
      <c r="DS78">
        <v>9982.5</v>
      </c>
      <c r="DT78">
        <v>0</v>
      </c>
      <c r="DU78">
        <v>224.04300000000001</v>
      </c>
      <c r="DV78">
        <v>-67.920500000000004</v>
      </c>
      <c r="DW78">
        <v>547.08199999999999</v>
      </c>
      <c r="DX78">
        <v>614.10799999999995</v>
      </c>
      <c r="DY78">
        <v>4.4507899999999996</v>
      </c>
      <c r="DZ78">
        <v>599.99199999999996</v>
      </c>
      <c r="EA78">
        <v>22.9864</v>
      </c>
      <c r="EB78">
        <v>2.71801</v>
      </c>
      <c r="EC78">
        <v>2.2770999999999999</v>
      </c>
      <c r="ED78">
        <v>22.394400000000001</v>
      </c>
      <c r="EE78">
        <v>19.5153</v>
      </c>
      <c r="EF78">
        <v>1800.04</v>
      </c>
      <c r="EG78">
        <v>0.97800799999999999</v>
      </c>
      <c r="EH78">
        <v>2.1992500000000002E-2</v>
      </c>
      <c r="EI78">
        <v>0</v>
      </c>
      <c r="EJ78">
        <v>642.55999999999995</v>
      </c>
      <c r="EK78">
        <v>5.0009399999999999</v>
      </c>
      <c r="EL78">
        <v>13206.6</v>
      </c>
      <c r="EM78">
        <v>13860.5</v>
      </c>
      <c r="EN78">
        <v>47.936999999999998</v>
      </c>
      <c r="EO78">
        <v>49.686999999999998</v>
      </c>
      <c r="EP78">
        <v>49</v>
      </c>
      <c r="EQ78">
        <v>49.061999999999998</v>
      </c>
      <c r="ER78">
        <v>49.375</v>
      </c>
      <c r="ES78">
        <v>1755.56</v>
      </c>
      <c r="ET78">
        <v>39.479999999999997</v>
      </c>
      <c r="EU78">
        <v>0</v>
      </c>
      <c r="EV78">
        <v>210</v>
      </c>
      <c r="EW78">
        <v>0</v>
      </c>
      <c r="EX78">
        <v>642.47447999999997</v>
      </c>
      <c r="EY78">
        <v>-0.43992306913979368</v>
      </c>
      <c r="EZ78">
        <v>67.853846140378877</v>
      </c>
      <c r="FA78">
        <v>13205.508</v>
      </c>
      <c r="FB78">
        <v>15</v>
      </c>
      <c r="FC78">
        <v>1700163269.0999999</v>
      </c>
      <c r="FD78" t="s">
        <v>691</v>
      </c>
      <c r="FE78">
        <v>1700163269.0999999</v>
      </c>
      <c r="FF78">
        <v>1700163265.0999999</v>
      </c>
      <c r="FG78">
        <v>68</v>
      </c>
      <c r="FH78">
        <v>0.12</v>
      </c>
      <c r="FI78">
        <v>-0.01</v>
      </c>
      <c r="FJ78">
        <v>-4.992</v>
      </c>
      <c r="FK78">
        <v>3.1E-2</v>
      </c>
      <c r="FL78">
        <v>600</v>
      </c>
      <c r="FM78">
        <v>24</v>
      </c>
      <c r="FN78">
        <v>0.04</v>
      </c>
      <c r="FO78">
        <v>0.03</v>
      </c>
      <c r="FP78">
        <v>59.452369852131078</v>
      </c>
      <c r="FQ78">
        <v>-0.62047312686773159</v>
      </c>
      <c r="FR78">
        <v>5.1968989046927407E-2</v>
      </c>
      <c r="FS78">
        <v>1</v>
      </c>
      <c r="FT78">
        <v>0.26729379453366148</v>
      </c>
      <c r="FU78">
        <v>1.655348766478679E-2</v>
      </c>
      <c r="FV78">
        <v>1.4244986402589259E-3</v>
      </c>
      <c r="FW78">
        <v>1</v>
      </c>
      <c r="FX78">
        <v>2</v>
      </c>
      <c r="FY78">
        <v>2</v>
      </c>
      <c r="FZ78" t="s">
        <v>420</v>
      </c>
      <c r="GA78">
        <v>3.1188799999999999</v>
      </c>
      <c r="GB78">
        <v>2.8774799999999998</v>
      </c>
      <c r="GC78">
        <v>0.107944</v>
      </c>
      <c r="GD78">
        <v>0.11838</v>
      </c>
      <c r="GE78">
        <v>0.12352</v>
      </c>
      <c r="GF78">
        <v>0.109792</v>
      </c>
      <c r="GG78">
        <v>25873.8</v>
      </c>
      <c r="GH78">
        <v>26171.200000000001</v>
      </c>
      <c r="GI78">
        <v>26716.799999999999</v>
      </c>
      <c r="GJ78">
        <v>27417.599999999999</v>
      </c>
      <c r="GK78">
        <v>33497.9</v>
      </c>
      <c r="GL78">
        <v>34108.5</v>
      </c>
      <c r="GM78">
        <v>39583.199999999997</v>
      </c>
      <c r="GN78">
        <v>39703.800000000003</v>
      </c>
      <c r="GO78">
        <v>1.9863999999999999</v>
      </c>
      <c r="GP78">
        <v>2.4335499999999999</v>
      </c>
      <c r="GQ78">
        <v>7.1637300000000001E-3</v>
      </c>
      <c r="GR78">
        <v>0</v>
      </c>
      <c r="GS78">
        <v>29.8825</v>
      </c>
      <c r="GT78">
        <v>999.9</v>
      </c>
      <c r="GU78">
        <v>28.8</v>
      </c>
      <c r="GV78">
        <v>45.6</v>
      </c>
      <c r="GW78">
        <v>28.9</v>
      </c>
      <c r="GX78">
        <v>63.164200000000001</v>
      </c>
      <c r="GY78">
        <v>7.8685900000000002</v>
      </c>
      <c r="GZ78">
        <v>3</v>
      </c>
      <c r="HA78">
        <v>0.57157800000000003</v>
      </c>
      <c r="HB78">
        <v>4.0099799999999997</v>
      </c>
      <c r="HC78">
        <v>20.254100000000001</v>
      </c>
      <c r="HD78">
        <v>5.2120499999999996</v>
      </c>
      <c r="HE78">
        <v>11.9107</v>
      </c>
      <c r="HF78">
        <v>4.9959499999999997</v>
      </c>
      <c r="HG78">
        <v>3.3022</v>
      </c>
      <c r="HH78">
        <v>9999</v>
      </c>
      <c r="HI78">
        <v>9999</v>
      </c>
      <c r="HJ78">
        <v>9999</v>
      </c>
      <c r="HK78">
        <v>999.9</v>
      </c>
      <c r="HL78">
        <v>1.8847700000000001</v>
      </c>
      <c r="HM78">
        <v>1.8853500000000001</v>
      </c>
      <c r="HN78">
        <v>1.8814200000000001</v>
      </c>
      <c r="HO78">
        <v>1.88307</v>
      </c>
      <c r="HP78">
        <v>1.87992</v>
      </c>
      <c r="HQ78">
        <v>1.8834</v>
      </c>
      <c r="HR78">
        <v>1.8794299999999999</v>
      </c>
      <c r="HS78">
        <v>1.8816999999999999</v>
      </c>
      <c r="HT78">
        <v>5</v>
      </c>
      <c r="HU78">
        <v>0</v>
      </c>
      <c r="HV78">
        <v>0</v>
      </c>
      <c r="HW78">
        <v>0</v>
      </c>
      <c r="HX78" t="s">
        <v>421</v>
      </c>
      <c r="HY78" t="s">
        <v>422</v>
      </c>
      <c r="HZ78" t="s">
        <v>423</v>
      </c>
      <c r="IA78" t="s">
        <v>423</v>
      </c>
      <c r="IB78" t="s">
        <v>423</v>
      </c>
      <c r="IC78" t="s">
        <v>423</v>
      </c>
      <c r="ID78">
        <v>0</v>
      </c>
      <c r="IE78">
        <v>100</v>
      </c>
      <c r="IF78">
        <v>100</v>
      </c>
      <c r="IG78">
        <v>-4.7830000000000004</v>
      </c>
      <c r="IH78">
        <v>3.1199999999999999E-2</v>
      </c>
      <c r="II78">
        <v>-2.9174052666904791</v>
      </c>
      <c r="IJ78">
        <v>-3.7794827560518689E-3</v>
      </c>
      <c r="IK78">
        <v>4.9551128961100493E-7</v>
      </c>
      <c r="IL78">
        <v>1.3680294268397379E-10</v>
      </c>
      <c r="IM78">
        <v>3.1189999999998719E-2</v>
      </c>
      <c r="IN78">
        <v>0</v>
      </c>
      <c r="IO78">
        <v>0</v>
      </c>
      <c r="IP78">
        <v>0</v>
      </c>
      <c r="IQ78">
        <v>4</v>
      </c>
      <c r="IR78">
        <v>2229</v>
      </c>
      <c r="IS78">
        <v>1</v>
      </c>
      <c r="IT78">
        <v>22</v>
      </c>
      <c r="IU78">
        <v>1.4</v>
      </c>
      <c r="IV78">
        <v>1.5</v>
      </c>
      <c r="IW78">
        <v>2.1337899999999999</v>
      </c>
      <c r="IX78">
        <v>2.5695800000000002</v>
      </c>
      <c r="IY78">
        <v>2.9956100000000001</v>
      </c>
      <c r="IZ78">
        <v>2.96753</v>
      </c>
      <c r="JA78">
        <v>3.1970200000000002</v>
      </c>
      <c r="JB78">
        <v>2.49878</v>
      </c>
      <c r="JC78">
        <v>48.1785</v>
      </c>
      <c r="JD78">
        <v>23.737300000000001</v>
      </c>
      <c r="JE78">
        <v>18</v>
      </c>
      <c r="JF78">
        <v>529.55499999999995</v>
      </c>
      <c r="JG78">
        <v>1114.43</v>
      </c>
      <c r="JH78">
        <v>24.261600000000001</v>
      </c>
      <c r="JI78">
        <v>34.204000000000001</v>
      </c>
      <c r="JJ78">
        <v>29.999600000000001</v>
      </c>
      <c r="JK78">
        <v>34.126199999999997</v>
      </c>
      <c r="JL78">
        <v>34.0259</v>
      </c>
      <c r="JM78">
        <v>42.7517</v>
      </c>
      <c r="JN78">
        <v>13.878500000000001</v>
      </c>
      <c r="JO78">
        <v>0</v>
      </c>
      <c r="JP78">
        <v>24.270199999999999</v>
      </c>
      <c r="JQ78">
        <v>600</v>
      </c>
      <c r="JR78">
        <v>23.076799999999999</v>
      </c>
      <c r="JS78">
        <v>98.662999999999997</v>
      </c>
      <c r="JT78">
        <v>97.137699999999995</v>
      </c>
    </row>
    <row r="79" spans="1:280" x14ac:dyDescent="0.25">
      <c r="A79">
        <v>63</v>
      </c>
      <c r="B79">
        <v>1700163494.5</v>
      </c>
      <c r="C79">
        <v>14513</v>
      </c>
      <c r="D79" t="s">
        <v>692</v>
      </c>
      <c r="E79" t="s">
        <v>693</v>
      </c>
      <c r="F79" t="s">
        <v>412</v>
      </c>
      <c r="G79" t="s">
        <v>482</v>
      </c>
      <c r="H79" t="s">
        <v>665</v>
      </c>
      <c r="I79">
        <v>1700163494.5</v>
      </c>
      <c r="J79">
        <f t="shared" si="46"/>
        <v>4.4811902908036688E-3</v>
      </c>
      <c r="K79">
        <f t="shared" si="47"/>
        <v>4.4811902908036689</v>
      </c>
      <c r="L79">
        <f t="shared" si="48"/>
        <v>56.022225717103453</v>
      </c>
      <c r="M79">
        <f t="shared" si="49"/>
        <v>436.06400000000002</v>
      </c>
      <c r="N79">
        <f t="shared" si="50"/>
        <v>119.53508519765121</v>
      </c>
      <c r="O79">
        <f t="shared" si="51"/>
        <v>11.853582926223973</v>
      </c>
      <c r="P79">
        <f t="shared" si="52"/>
        <v>43.241871427071999</v>
      </c>
      <c r="Q79">
        <f t="shared" si="53"/>
        <v>0.30332207712664344</v>
      </c>
      <c r="R79">
        <f t="shared" si="54"/>
        <v>3.0053236164744894</v>
      </c>
      <c r="S79">
        <f t="shared" si="55"/>
        <v>0.28728291849980286</v>
      </c>
      <c r="T79">
        <f t="shared" si="56"/>
        <v>0.18092217062048341</v>
      </c>
      <c r="U79">
        <f t="shared" si="57"/>
        <v>344.36299876199314</v>
      </c>
      <c r="V79">
        <f t="shared" si="58"/>
        <v>30.66410044817351</v>
      </c>
      <c r="W79">
        <f t="shared" si="59"/>
        <v>30.0245</v>
      </c>
      <c r="X79">
        <f t="shared" si="60"/>
        <v>4.2664490104563555</v>
      </c>
      <c r="Y79">
        <f t="shared" si="61"/>
        <v>65.798029466008174</v>
      </c>
      <c r="Z79">
        <f t="shared" si="62"/>
        <v>2.7745505646111996</v>
      </c>
      <c r="AA79">
        <f t="shared" si="63"/>
        <v>4.2167684763942006</v>
      </c>
      <c r="AB79">
        <f t="shared" si="64"/>
        <v>1.4918984458451559</v>
      </c>
      <c r="AC79">
        <f t="shared" si="65"/>
        <v>-197.62049182444179</v>
      </c>
      <c r="AD79">
        <f t="shared" si="66"/>
        <v>-33.020288788157927</v>
      </c>
      <c r="AE79">
        <f t="shared" si="67"/>
        <v>-2.4411581004691807</v>
      </c>
      <c r="AF79">
        <f t="shared" si="68"/>
        <v>111.28106004892425</v>
      </c>
      <c r="AG79">
        <v>0</v>
      </c>
      <c r="AH79">
        <v>0</v>
      </c>
      <c r="AI79">
        <f t="shared" si="69"/>
        <v>1</v>
      </c>
      <c r="AJ79">
        <f t="shared" si="70"/>
        <v>0</v>
      </c>
      <c r="AK79">
        <f t="shared" si="71"/>
        <v>51881.869682085751</v>
      </c>
      <c r="AL79" t="s">
        <v>431</v>
      </c>
      <c r="AM79" t="s">
        <v>431</v>
      </c>
      <c r="AN79">
        <v>0</v>
      </c>
      <c r="AO79">
        <v>0</v>
      </c>
      <c r="AP79" t="e">
        <f t="shared" si="72"/>
        <v>#DIV/0!</v>
      </c>
      <c r="AQ79">
        <v>0</v>
      </c>
      <c r="AR79" t="s">
        <v>431</v>
      </c>
      <c r="AS79" t="s">
        <v>431</v>
      </c>
      <c r="AT79">
        <v>0</v>
      </c>
      <c r="AU79">
        <v>0</v>
      </c>
      <c r="AV79" t="e">
        <f t="shared" si="73"/>
        <v>#DIV/0!</v>
      </c>
      <c r="AW79">
        <v>0.5</v>
      </c>
      <c r="AX79">
        <f t="shared" si="74"/>
        <v>1513.1516993809964</v>
      </c>
      <c r="AY79">
        <f t="shared" si="75"/>
        <v>56.022225717103453</v>
      </c>
      <c r="AZ79" t="e">
        <f t="shared" si="76"/>
        <v>#DIV/0!</v>
      </c>
      <c r="BA79">
        <f t="shared" si="77"/>
        <v>3.7023535538453382E-2</v>
      </c>
      <c r="BB79" t="e">
        <f t="shared" si="78"/>
        <v>#DIV/0!</v>
      </c>
      <c r="BC79" t="e">
        <f t="shared" si="79"/>
        <v>#DIV/0!</v>
      </c>
      <c r="BD79" t="s">
        <v>431</v>
      </c>
      <c r="BE79">
        <v>0</v>
      </c>
      <c r="BF79" t="e">
        <f t="shared" si="80"/>
        <v>#DIV/0!</v>
      </c>
      <c r="BG79" t="e">
        <f t="shared" si="81"/>
        <v>#DIV/0!</v>
      </c>
      <c r="BH79" t="e">
        <f t="shared" si="82"/>
        <v>#DIV/0!</v>
      </c>
      <c r="BI79" t="e">
        <f t="shared" si="83"/>
        <v>#DIV/0!</v>
      </c>
      <c r="BJ79" t="e">
        <f t="shared" si="84"/>
        <v>#DIV/0!</v>
      </c>
      <c r="BK79" t="e">
        <f t="shared" si="85"/>
        <v>#DIV/0!</v>
      </c>
      <c r="BL79" t="e">
        <f t="shared" si="86"/>
        <v>#DIV/0!</v>
      </c>
      <c r="BM79" t="e">
        <f t="shared" si="87"/>
        <v>#DIV/0!</v>
      </c>
      <c r="BN79">
        <v>20786</v>
      </c>
      <c r="BO79">
        <v>290.00000000000011</v>
      </c>
      <c r="BP79">
        <v>893.88</v>
      </c>
      <c r="BQ79">
        <v>295</v>
      </c>
      <c r="BR79">
        <v>7144.06</v>
      </c>
      <c r="BS79">
        <v>896.17</v>
      </c>
      <c r="BT79">
        <v>-2.29</v>
      </c>
      <c r="BU79">
        <v>300.00000000000011</v>
      </c>
      <c r="BV79">
        <v>38.200000000000003</v>
      </c>
      <c r="BW79">
        <v>994.3604574805164</v>
      </c>
      <c r="BX79">
        <v>1.9114891959769591</v>
      </c>
      <c r="BY79">
        <v>-70.146099776043727</v>
      </c>
      <c r="BZ79">
        <v>1.1444697825106851</v>
      </c>
      <c r="CA79">
        <v>0.99260165414646462</v>
      </c>
      <c r="CB79">
        <v>-7.0526780867630739E-3</v>
      </c>
      <c r="CC79">
        <v>289.99999999999989</v>
      </c>
      <c r="CD79">
        <v>905.57</v>
      </c>
      <c r="CE79">
        <v>785</v>
      </c>
      <c r="CF79">
        <v>7138.11</v>
      </c>
      <c r="CG79">
        <v>896.09</v>
      </c>
      <c r="CH79">
        <v>9.48</v>
      </c>
      <c r="CV79">
        <f t="shared" si="88"/>
        <v>1799.96</v>
      </c>
      <c r="CW79">
        <f t="shared" si="89"/>
        <v>1513.1516993809964</v>
      </c>
      <c r="CX79">
        <f t="shared" si="90"/>
        <v>0.84065851428976002</v>
      </c>
      <c r="CY79">
        <f t="shared" si="91"/>
        <v>0.19131702857952018</v>
      </c>
      <c r="CZ79">
        <v>5.52</v>
      </c>
      <c r="DA79">
        <v>0.5</v>
      </c>
      <c r="DB79" t="s">
        <v>418</v>
      </c>
      <c r="DC79">
        <v>2</v>
      </c>
      <c r="DD79">
        <v>1700163494.5</v>
      </c>
      <c r="DE79">
        <v>436.06400000000002</v>
      </c>
      <c r="DF79">
        <v>500.07100000000003</v>
      </c>
      <c r="DG79">
        <v>27.979399999999998</v>
      </c>
      <c r="DH79">
        <v>23.170500000000001</v>
      </c>
      <c r="DI79">
        <v>440.46</v>
      </c>
      <c r="DJ79">
        <v>27.962599999999998</v>
      </c>
      <c r="DK79">
        <v>499.99099999999999</v>
      </c>
      <c r="DL79">
        <v>99.063999999999993</v>
      </c>
      <c r="DM79">
        <v>0.100048</v>
      </c>
      <c r="DN79">
        <v>29.820699999999999</v>
      </c>
      <c r="DO79">
        <v>30.0245</v>
      </c>
      <c r="DP79">
        <v>999.9</v>
      </c>
      <c r="DQ79">
        <v>0</v>
      </c>
      <c r="DR79">
        <v>0</v>
      </c>
      <c r="DS79">
        <v>9997.5</v>
      </c>
      <c r="DT79">
        <v>0</v>
      </c>
      <c r="DU79">
        <v>212.815</v>
      </c>
      <c r="DV79">
        <v>-64.006600000000006</v>
      </c>
      <c r="DW79">
        <v>448.61599999999999</v>
      </c>
      <c r="DX79">
        <v>511.93299999999999</v>
      </c>
      <c r="DY79">
        <v>4.8088300000000004</v>
      </c>
      <c r="DZ79">
        <v>500.07100000000003</v>
      </c>
      <c r="EA79">
        <v>23.170500000000001</v>
      </c>
      <c r="EB79">
        <v>2.7717499999999999</v>
      </c>
      <c r="EC79">
        <v>2.2953700000000001</v>
      </c>
      <c r="ED79">
        <v>22.716799999999999</v>
      </c>
      <c r="EE79">
        <v>19.643899999999999</v>
      </c>
      <c r="EF79">
        <v>1799.96</v>
      </c>
      <c r="EG79">
        <v>0.97799000000000003</v>
      </c>
      <c r="EH79">
        <v>2.2009600000000001E-2</v>
      </c>
      <c r="EI79">
        <v>0</v>
      </c>
      <c r="EJ79">
        <v>642.55999999999995</v>
      </c>
      <c r="EK79">
        <v>5.0009399999999999</v>
      </c>
      <c r="EL79">
        <v>12774.9</v>
      </c>
      <c r="EM79">
        <v>13859.8</v>
      </c>
      <c r="EN79">
        <v>47.936999999999998</v>
      </c>
      <c r="EO79">
        <v>49.75</v>
      </c>
      <c r="EP79">
        <v>49</v>
      </c>
      <c r="EQ79">
        <v>49.061999999999998</v>
      </c>
      <c r="ER79">
        <v>49.375</v>
      </c>
      <c r="ES79">
        <v>1755.45</v>
      </c>
      <c r="ET79">
        <v>39.51</v>
      </c>
      <c r="EU79">
        <v>0</v>
      </c>
      <c r="EV79">
        <v>137</v>
      </c>
      <c r="EW79">
        <v>0</v>
      </c>
      <c r="EX79">
        <v>642.15531999999996</v>
      </c>
      <c r="EY79">
        <v>1.1702307803795471</v>
      </c>
      <c r="EZ79">
        <v>-1027.100000088029</v>
      </c>
      <c r="FA79">
        <v>12912.384</v>
      </c>
      <c r="FB79">
        <v>15</v>
      </c>
      <c r="FC79">
        <v>1700163467</v>
      </c>
      <c r="FD79" t="s">
        <v>694</v>
      </c>
      <c r="FE79">
        <v>1700163465</v>
      </c>
      <c r="FF79">
        <v>1700163467</v>
      </c>
      <c r="FG79">
        <v>69</v>
      </c>
      <c r="FH79">
        <v>7.8E-2</v>
      </c>
      <c r="FI79">
        <v>-1.4E-2</v>
      </c>
      <c r="FJ79">
        <v>-4.6020000000000003</v>
      </c>
      <c r="FK79">
        <v>1.7000000000000001E-2</v>
      </c>
      <c r="FL79">
        <v>500</v>
      </c>
      <c r="FM79">
        <v>23</v>
      </c>
      <c r="FN79">
        <v>0.03</v>
      </c>
      <c r="FO79">
        <v>0.02</v>
      </c>
      <c r="FP79">
        <v>55.917912873399118</v>
      </c>
      <c r="FQ79">
        <v>0.63217237724928566</v>
      </c>
      <c r="FR79">
        <v>5.3086154898875373E-2</v>
      </c>
      <c r="FS79">
        <v>1</v>
      </c>
      <c r="FT79">
        <v>0.29735440331194879</v>
      </c>
      <c r="FU79">
        <v>4.7230989618192151E-2</v>
      </c>
      <c r="FV79">
        <v>3.5969819610466658E-3</v>
      </c>
      <c r="FW79">
        <v>1</v>
      </c>
      <c r="FX79">
        <v>2</v>
      </c>
      <c r="FY79">
        <v>2</v>
      </c>
      <c r="FZ79" t="s">
        <v>420</v>
      </c>
      <c r="GA79">
        <v>3.1191599999999999</v>
      </c>
      <c r="GB79">
        <v>2.87765</v>
      </c>
      <c r="GC79">
        <v>9.3239500000000003E-2</v>
      </c>
      <c r="GD79">
        <v>0.103821</v>
      </c>
      <c r="GE79">
        <v>0.125273</v>
      </c>
      <c r="GF79">
        <v>0.11040999999999999</v>
      </c>
      <c r="GG79">
        <v>26293.8</v>
      </c>
      <c r="GH79">
        <v>26597.3</v>
      </c>
      <c r="GI79">
        <v>26710.400000000001</v>
      </c>
      <c r="GJ79">
        <v>27411.4</v>
      </c>
      <c r="GK79">
        <v>33422.300000000003</v>
      </c>
      <c r="GL79">
        <v>34076.699999999997</v>
      </c>
      <c r="GM79">
        <v>39574.1</v>
      </c>
      <c r="GN79">
        <v>39695.5</v>
      </c>
      <c r="GO79">
        <v>1.9856</v>
      </c>
      <c r="GP79">
        <v>2.4331999999999998</v>
      </c>
      <c r="GQ79">
        <v>1.2852300000000001E-2</v>
      </c>
      <c r="GR79">
        <v>0</v>
      </c>
      <c r="GS79">
        <v>29.815300000000001</v>
      </c>
      <c r="GT79">
        <v>999.9</v>
      </c>
      <c r="GU79">
        <v>28.7</v>
      </c>
      <c r="GV79">
        <v>45.5</v>
      </c>
      <c r="GW79">
        <v>28.650200000000002</v>
      </c>
      <c r="GX79">
        <v>62.944200000000002</v>
      </c>
      <c r="GY79">
        <v>7.7083399999999997</v>
      </c>
      <c r="GZ79">
        <v>3</v>
      </c>
      <c r="HA79">
        <v>0.58196400000000004</v>
      </c>
      <c r="HB79">
        <v>4.3967900000000002</v>
      </c>
      <c r="HC79">
        <v>20.2439</v>
      </c>
      <c r="HD79">
        <v>5.2144399999999997</v>
      </c>
      <c r="HE79">
        <v>11.9107</v>
      </c>
      <c r="HF79">
        <v>4.99655</v>
      </c>
      <c r="HG79">
        <v>3.30288</v>
      </c>
      <c r="HH79">
        <v>9999</v>
      </c>
      <c r="HI79">
        <v>9999</v>
      </c>
      <c r="HJ79">
        <v>9999</v>
      </c>
      <c r="HK79">
        <v>999.9</v>
      </c>
      <c r="HL79">
        <v>1.88476</v>
      </c>
      <c r="HM79">
        <v>1.8852899999999999</v>
      </c>
      <c r="HN79">
        <v>1.88141</v>
      </c>
      <c r="HO79">
        <v>1.8830800000000001</v>
      </c>
      <c r="HP79">
        <v>1.87991</v>
      </c>
      <c r="HQ79">
        <v>1.8833899999999999</v>
      </c>
      <c r="HR79">
        <v>1.8793899999999999</v>
      </c>
      <c r="HS79">
        <v>1.8816999999999999</v>
      </c>
      <c r="HT79">
        <v>5</v>
      </c>
      <c r="HU79">
        <v>0</v>
      </c>
      <c r="HV79">
        <v>0</v>
      </c>
      <c r="HW79">
        <v>0</v>
      </c>
      <c r="HX79" t="s">
        <v>421</v>
      </c>
      <c r="HY79" t="s">
        <v>422</v>
      </c>
      <c r="HZ79" t="s">
        <v>423</v>
      </c>
      <c r="IA79" t="s">
        <v>423</v>
      </c>
      <c r="IB79" t="s">
        <v>423</v>
      </c>
      <c r="IC79" t="s">
        <v>423</v>
      </c>
      <c r="ID79">
        <v>0</v>
      </c>
      <c r="IE79">
        <v>100</v>
      </c>
      <c r="IF79">
        <v>100</v>
      </c>
      <c r="IG79">
        <v>-4.3959999999999999</v>
      </c>
      <c r="IH79">
        <v>1.6799999999999999E-2</v>
      </c>
      <c r="II79">
        <v>-2.83885798808884</v>
      </c>
      <c r="IJ79">
        <v>-3.7794827560518689E-3</v>
      </c>
      <c r="IK79">
        <v>4.9551128961100493E-7</v>
      </c>
      <c r="IL79">
        <v>1.3680294268397379E-10</v>
      </c>
      <c r="IM79">
        <v>1.6794999999998339E-2</v>
      </c>
      <c r="IN79">
        <v>0</v>
      </c>
      <c r="IO79">
        <v>0</v>
      </c>
      <c r="IP79">
        <v>0</v>
      </c>
      <c r="IQ79">
        <v>4</v>
      </c>
      <c r="IR79">
        <v>2229</v>
      </c>
      <c r="IS79">
        <v>1</v>
      </c>
      <c r="IT79">
        <v>22</v>
      </c>
      <c r="IU79">
        <v>0.5</v>
      </c>
      <c r="IV79">
        <v>0.5</v>
      </c>
      <c r="IW79">
        <v>1.8395999999999999</v>
      </c>
      <c r="IX79">
        <v>2.5708000000000002</v>
      </c>
      <c r="IY79">
        <v>2.9956100000000001</v>
      </c>
      <c r="IZ79">
        <v>2.96143</v>
      </c>
      <c r="JA79">
        <v>3.1970200000000002</v>
      </c>
      <c r="JB79">
        <v>2.5354000000000001</v>
      </c>
      <c r="JC79">
        <v>48.0869</v>
      </c>
      <c r="JD79">
        <v>23.7285</v>
      </c>
      <c r="JE79">
        <v>18</v>
      </c>
      <c r="JF79">
        <v>529.47900000000004</v>
      </c>
      <c r="JG79">
        <v>1114.83</v>
      </c>
      <c r="JH79">
        <v>24.227599999999999</v>
      </c>
      <c r="JI79">
        <v>34.253500000000003</v>
      </c>
      <c r="JJ79">
        <v>30.0001</v>
      </c>
      <c r="JK79">
        <v>34.181199999999997</v>
      </c>
      <c r="JL79">
        <v>34.0747</v>
      </c>
      <c r="JM79">
        <v>36.857799999999997</v>
      </c>
      <c r="JN79">
        <v>12.8812</v>
      </c>
      <c r="JO79">
        <v>0</v>
      </c>
      <c r="JP79">
        <v>24.209</v>
      </c>
      <c r="JQ79">
        <v>500</v>
      </c>
      <c r="JR79">
        <v>22.975100000000001</v>
      </c>
      <c r="JS79">
        <v>98.640100000000004</v>
      </c>
      <c r="JT79">
        <v>97.116900000000001</v>
      </c>
    </row>
    <row r="80" spans="1:280" x14ac:dyDescent="0.25">
      <c r="A80">
        <v>64</v>
      </c>
      <c r="B80">
        <v>1700163767.5</v>
      </c>
      <c r="C80">
        <v>14786</v>
      </c>
      <c r="D80" t="s">
        <v>695</v>
      </c>
      <c r="E80" t="s">
        <v>696</v>
      </c>
      <c r="F80" t="s">
        <v>412</v>
      </c>
      <c r="G80" t="s">
        <v>482</v>
      </c>
      <c r="H80" t="s">
        <v>665</v>
      </c>
      <c r="I80">
        <v>1700163767.5</v>
      </c>
      <c r="J80">
        <f t="shared" si="46"/>
        <v>6.1060612597732397E-3</v>
      </c>
      <c r="K80">
        <f t="shared" si="47"/>
        <v>6.1060612597732398</v>
      </c>
      <c r="L80">
        <f t="shared" si="48"/>
        <v>54.947538506880029</v>
      </c>
      <c r="M80">
        <f t="shared" si="49"/>
        <v>337.14</v>
      </c>
      <c r="N80">
        <f t="shared" si="50"/>
        <v>115.67681604516557</v>
      </c>
      <c r="O80">
        <f t="shared" si="51"/>
        <v>11.468319152545506</v>
      </c>
      <c r="P80">
        <f t="shared" si="52"/>
        <v>33.424408202759999</v>
      </c>
      <c r="Q80">
        <f t="shared" si="53"/>
        <v>0.43482067350448755</v>
      </c>
      <c r="R80">
        <f t="shared" si="54"/>
        <v>3.0062695863365283</v>
      </c>
      <c r="S80">
        <f t="shared" si="55"/>
        <v>0.40266054967151932</v>
      </c>
      <c r="T80">
        <f t="shared" si="56"/>
        <v>0.2543537987220561</v>
      </c>
      <c r="U80">
        <f t="shared" si="57"/>
        <v>344.33839876285066</v>
      </c>
      <c r="V80">
        <f t="shared" si="58"/>
        <v>30.645370442361269</v>
      </c>
      <c r="W80">
        <f t="shared" si="59"/>
        <v>29.971</v>
      </c>
      <c r="X80">
        <f t="shared" si="60"/>
        <v>4.2533581359405916</v>
      </c>
      <c r="Y80">
        <f t="shared" si="61"/>
        <v>64.997985379863536</v>
      </c>
      <c r="Z80">
        <f t="shared" si="62"/>
        <v>2.8034605889350002</v>
      </c>
      <c r="AA80">
        <f t="shared" si="63"/>
        <v>4.3131499731121146</v>
      </c>
      <c r="AB80">
        <f t="shared" si="64"/>
        <v>1.4498975470055915</v>
      </c>
      <c r="AC80">
        <f t="shared" si="65"/>
        <v>-269.27730155599988</v>
      </c>
      <c r="AD80">
        <f t="shared" si="66"/>
        <v>39.416398244261686</v>
      </c>
      <c r="AE80">
        <f t="shared" si="67"/>
        <v>2.9180067440642645</v>
      </c>
      <c r="AF80">
        <f t="shared" si="68"/>
        <v>117.39550219517672</v>
      </c>
      <c r="AG80">
        <v>0</v>
      </c>
      <c r="AH80">
        <v>0</v>
      </c>
      <c r="AI80">
        <f t="shared" si="69"/>
        <v>1</v>
      </c>
      <c r="AJ80">
        <f t="shared" si="70"/>
        <v>0</v>
      </c>
      <c r="AK80">
        <f t="shared" si="71"/>
        <v>51839.57150680168</v>
      </c>
      <c r="AL80" t="s">
        <v>415</v>
      </c>
      <c r="AM80">
        <v>7133.88</v>
      </c>
      <c r="AN80">
        <v>306.28384615384618</v>
      </c>
      <c r="AO80">
        <v>859.63916333292491</v>
      </c>
      <c r="AP80">
        <f t="shared" si="72"/>
        <v>0.64370650010133712</v>
      </c>
      <c r="AQ80">
        <v>-0.73746743666429193</v>
      </c>
      <c r="AR80" t="s">
        <v>697</v>
      </c>
      <c r="AS80">
        <v>7145.14</v>
      </c>
      <c r="AT80">
        <v>644.56188461538466</v>
      </c>
      <c r="AU80">
        <v>967.50033365054378</v>
      </c>
      <c r="AV80">
        <f t="shared" si="73"/>
        <v>0.33378639552159872</v>
      </c>
      <c r="AW80">
        <v>0.5</v>
      </c>
      <c r="AX80">
        <f t="shared" si="74"/>
        <v>1513.0499993814251</v>
      </c>
      <c r="AY80">
        <f t="shared" si="75"/>
        <v>54.947538506880029</v>
      </c>
      <c r="AZ80">
        <f t="shared" si="76"/>
        <v>252.51775276874153</v>
      </c>
      <c r="BA80">
        <f t="shared" si="77"/>
        <v>3.6803149906685054E-2</v>
      </c>
      <c r="BB80">
        <f t="shared" si="78"/>
        <v>-0.11148437531865263</v>
      </c>
      <c r="BC80">
        <f t="shared" si="79"/>
        <v>318.95302993542685</v>
      </c>
      <c r="BD80" t="s">
        <v>698</v>
      </c>
      <c r="BE80">
        <v>470.33</v>
      </c>
      <c r="BF80">
        <f t="shared" si="80"/>
        <v>470.33</v>
      </c>
      <c r="BG80">
        <f t="shared" si="81"/>
        <v>0.51387096867929261</v>
      </c>
      <c r="BH80">
        <f t="shared" si="82"/>
        <v>0.6495529342306845</v>
      </c>
      <c r="BI80">
        <f t="shared" si="83"/>
        <v>-0.27705787707180013</v>
      </c>
      <c r="BJ80">
        <f t="shared" si="84"/>
        <v>0.48840047872637482</v>
      </c>
      <c r="BK80">
        <f t="shared" si="85"/>
        <v>-0.19492208165176531</v>
      </c>
      <c r="BL80">
        <f t="shared" si="86"/>
        <v>0.47397191619391943</v>
      </c>
      <c r="BM80">
        <f t="shared" si="87"/>
        <v>0.52602808380608057</v>
      </c>
      <c r="BN80">
        <v>20788</v>
      </c>
      <c r="BO80">
        <v>290.00000000000011</v>
      </c>
      <c r="BP80">
        <v>873.65</v>
      </c>
      <c r="BQ80">
        <v>265</v>
      </c>
      <c r="BR80">
        <v>7145.14</v>
      </c>
      <c r="BS80">
        <v>876.84</v>
      </c>
      <c r="BT80">
        <v>-3.19</v>
      </c>
      <c r="BU80">
        <v>300.00000000000011</v>
      </c>
      <c r="BV80">
        <v>38.200000000000003</v>
      </c>
      <c r="BW80">
        <v>967.50033365054378</v>
      </c>
      <c r="BX80">
        <v>1.391625621369373</v>
      </c>
      <c r="BY80">
        <v>-64.779734810213284</v>
      </c>
      <c r="BZ80">
        <v>0.8332635635399338</v>
      </c>
      <c r="CA80">
        <v>0.99538855401975945</v>
      </c>
      <c r="CB80">
        <v>-7.0530565072302563E-3</v>
      </c>
      <c r="CC80">
        <v>289.99999999999989</v>
      </c>
      <c r="CD80">
        <v>885.04</v>
      </c>
      <c r="CE80">
        <v>785</v>
      </c>
      <c r="CF80">
        <v>7138.56</v>
      </c>
      <c r="CG80">
        <v>876.75</v>
      </c>
      <c r="CH80">
        <v>8.2899999999999991</v>
      </c>
      <c r="CV80">
        <f t="shared" si="88"/>
        <v>1799.84</v>
      </c>
      <c r="CW80">
        <f t="shared" si="89"/>
        <v>1513.0499993814251</v>
      </c>
      <c r="CX80">
        <f t="shared" si="90"/>
        <v>0.84065805815040517</v>
      </c>
      <c r="CY80">
        <f t="shared" si="91"/>
        <v>0.19131611630081044</v>
      </c>
      <c r="CZ80">
        <v>5.52</v>
      </c>
      <c r="DA80">
        <v>0.5</v>
      </c>
      <c r="DB80" t="s">
        <v>418</v>
      </c>
      <c r="DC80">
        <v>2</v>
      </c>
      <c r="DD80">
        <v>1700163767.5</v>
      </c>
      <c r="DE80">
        <v>337.14</v>
      </c>
      <c r="DF80">
        <v>400.05200000000002</v>
      </c>
      <c r="DG80">
        <v>28.2775</v>
      </c>
      <c r="DH80">
        <v>21.729399999999998</v>
      </c>
      <c r="DI80">
        <v>341.25099999999998</v>
      </c>
      <c r="DJ80">
        <v>28.271000000000001</v>
      </c>
      <c r="DK80">
        <v>500.18099999999998</v>
      </c>
      <c r="DL80">
        <v>99.040599999999998</v>
      </c>
      <c r="DM80">
        <v>0.100434</v>
      </c>
      <c r="DN80">
        <v>30.214200000000002</v>
      </c>
      <c r="DO80">
        <v>29.971</v>
      </c>
      <c r="DP80">
        <v>999.9</v>
      </c>
      <c r="DQ80">
        <v>0</v>
      </c>
      <c r="DR80">
        <v>0</v>
      </c>
      <c r="DS80">
        <v>10005</v>
      </c>
      <c r="DT80">
        <v>0</v>
      </c>
      <c r="DU80">
        <v>220.691</v>
      </c>
      <c r="DV80">
        <v>-62.9114</v>
      </c>
      <c r="DW80">
        <v>346.95100000000002</v>
      </c>
      <c r="DX80">
        <v>408.93799999999999</v>
      </c>
      <c r="DY80">
        <v>6.5480400000000003</v>
      </c>
      <c r="DZ80">
        <v>400.05200000000002</v>
      </c>
      <c r="EA80">
        <v>21.729399999999998</v>
      </c>
      <c r="EB80">
        <v>2.8006199999999999</v>
      </c>
      <c r="EC80">
        <v>2.1520899999999998</v>
      </c>
      <c r="ED80">
        <v>22.887699999999999</v>
      </c>
      <c r="EE80">
        <v>18.610099999999999</v>
      </c>
      <c r="EF80">
        <v>1799.84</v>
      </c>
      <c r="EG80">
        <v>0.97800399999999998</v>
      </c>
      <c r="EH80">
        <v>2.19963E-2</v>
      </c>
      <c r="EI80">
        <v>0</v>
      </c>
      <c r="EJ80">
        <v>644.53800000000001</v>
      </c>
      <c r="EK80">
        <v>5.0009399999999999</v>
      </c>
      <c r="EL80">
        <v>12834.7</v>
      </c>
      <c r="EM80">
        <v>13858.9</v>
      </c>
      <c r="EN80">
        <v>47.75</v>
      </c>
      <c r="EO80">
        <v>49.5</v>
      </c>
      <c r="EP80">
        <v>48.811999999999998</v>
      </c>
      <c r="EQ80">
        <v>48.875</v>
      </c>
      <c r="ER80">
        <v>49.186999999999998</v>
      </c>
      <c r="ES80">
        <v>1755.36</v>
      </c>
      <c r="ET80">
        <v>39.479999999999997</v>
      </c>
      <c r="EU80">
        <v>0</v>
      </c>
      <c r="EV80">
        <v>410</v>
      </c>
      <c r="EW80">
        <v>0</v>
      </c>
      <c r="EX80">
        <v>644.56188461538466</v>
      </c>
      <c r="EY80">
        <v>-0.16844444965163821</v>
      </c>
      <c r="EZ80">
        <v>-243.34017117112009</v>
      </c>
      <c r="FA80">
        <v>12885.065384615389</v>
      </c>
      <c r="FB80">
        <v>15</v>
      </c>
      <c r="FC80">
        <v>1700163644</v>
      </c>
      <c r="FD80" t="s">
        <v>699</v>
      </c>
      <c r="FE80">
        <v>1700163639.5</v>
      </c>
      <c r="FF80">
        <v>1700163644</v>
      </c>
      <c r="FG80">
        <v>70</v>
      </c>
      <c r="FH80">
        <v>-4.4999999999999998E-2</v>
      </c>
      <c r="FI80">
        <v>-0.01</v>
      </c>
      <c r="FJ80">
        <v>-4.3220000000000001</v>
      </c>
      <c r="FK80">
        <v>1E-3</v>
      </c>
      <c r="FL80">
        <v>400</v>
      </c>
      <c r="FM80">
        <v>22</v>
      </c>
      <c r="FN80">
        <v>0.02</v>
      </c>
      <c r="FO80">
        <v>0.02</v>
      </c>
      <c r="FP80">
        <v>54.816600053130472</v>
      </c>
      <c r="FQ80">
        <v>0.64588665644625931</v>
      </c>
      <c r="FR80">
        <v>5.7325693668879872E-2</v>
      </c>
      <c r="FS80">
        <v>1</v>
      </c>
      <c r="FT80">
        <v>0.42896495592245371</v>
      </c>
      <c r="FU80">
        <v>1.7732050371651049E-2</v>
      </c>
      <c r="FV80">
        <v>1.399545462540017E-3</v>
      </c>
      <c r="FW80">
        <v>1</v>
      </c>
      <c r="FX80">
        <v>2</v>
      </c>
      <c r="FY80">
        <v>2</v>
      </c>
      <c r="FZ80" t="s">
        <v>420</v>
      </c>
      <c r="GA80">
        <v>3.11904</v>
      </c>
      <c r="GB80">
        <v>2.8780999999999999</v>
      </c>
      <c r="GC80">
        <v>7.6493400000000003E-2</v>
      </c>
      <c r="GD80">
        <v>8.7787100000000007E-2</v>
      </c>
      <c r="GE80">
        <v>0.126249</v>
      </c>
      <c r="GF80">
        <v>0.10543</v>
      </c>
      <c r="GG80">
        <v>26792.7</v>
      </c>
      <c r="GH80">
        <v>27086.7</v>
      </c>
      <c r="GI80">
        <v>26723.1</v>
      </c>
      <c r="GJ80">
        <v>27424.5</v>
      </c>
      <c r="GK80">
        <v>33397.9</v>
      </c>
      <c r="GL80">
        <v>34282</v>
      </c>
      <c r="GM80">
        <v>39592</v>
      </c>
      <c r="GN80">
        <v>39714.199999999997</v>
      </c>
      <c r="GO80">
        <v>1.98967</v>
      </c>
      <c r="GP80">
        <v>2.4373300000000002</v>
      </c>
      <c r="GQ80">
        <v>1.5661100000000001E-2</v>
      </c>
      <c r="GR80">
        <v>0</v>
      </c>
      <c r="GS80">
        <v>29.716000000000001</v>
      </c>
      <c r="GT80">
        <v>999.9</v>
      </c>
      <c r="GU80">
        <v>28.7</v>
      </c>
      <c r="GV80">
        <v>45.4</v>
      </c>
      <c r="GW80">
        <v>28.514500000000002</v>
      </c>
      <c r="GX80">
        <v>62.734299999999998</v>
      </c>
      <c r="GY80">
        <v>7.8886200000000004</v>
      </c>
      <c r="GZ80">
        <v>3</v>
      </c>
      <c r="HA80">
        <v>0.55477399999999999</v>
      </c>
      <c r="HB80">
        <v>2.8654099999999998</v>
      </c>
      <c r="HC80">
        <v>20.2775</v>
      </c>
      <c r="HD80">
        <v>5.2145900000000003</v>
      </c>
      <c r="HE80">
        <v>11.908099999999999</v>
      </c>
      <c r="HF80">
        <v>4.9967499999999996</v>
      </c>
      <c r="HG80">
        <v>3.3027799999999998</v>
      </c>
      <c r="HH80">
        <v>9999</v>
      </c>
      <c r="HI80">
        <v>9999</v>
      </c>
      <c r="HJ80">
        <v>9999</v>
      </c>
      <c r="HK80">
        <v>999.9</v>
      </c>
      <c r="HL80">
        <v>1.8847499999999999</v>
      </c>
      <c r="HM80">
        <v>1.8853200000000001</v>
      </c>
      <c r="HN80">
        <v>1.88141</v>
      </c>
      <c r="HO80">
        <v>1.88307</v>
      </c>
      <c r="HP80">
        <v>1.8798900000000001</v>
      </c>
      <c r="HQ80">
        <v>1.8833899999999999</v>
      </c>
      <c r="HR80">
        <v>1.8793599999999999</v>
      </c>
      <c r="HS80">
        <v>1.88165</v>
      </c>
      <c r="HT80">
        <v>5</v>
      </c>
      <c r="HU80">
        <v>0</v>
      </c>
      <c r="HV80">
        <v>0</v>
      </c>
      <c r="HW80">
        <v>0</v>
      </c>
      <c r="HX80" t="s">
        <v>421</v>
      </c>
      <c r="HY80" t="s">
        <v>422</v>
      </c>
      <c r="HZ80" t="s">
        <v>423</v>
      </c>
      <c r="IA80" t="s">
        <v>423</v>
      </c>
      <c r="IB80" t="s">
        <v>423</v>
      </c>
      <c r="IC80" t="s">
        <v>423</v>
      </c>
      <c r="ID80">
        <v>0</v>
      </c>
      <c r="IE80">
        <v>100</v>
      </c>
      <c r="IF80">
        <v>100</v>
      </c>
      <c r="IG80">
        <v>-4.1109999999999998</v>
      </c>
      <c r="IH80">
        <v>6.4999999999999997E-3</v>
      </c>
      <c r="II80">
        <v>-2.8840356357529742</v>
      </c>
      <c r="IJ80">
        <v>-3.7794827560518689E-3</v>
      </c>
      <c r="IK80">
        <v>4.9551128961100493E-7</v>
      </c>
      <c r="IL80">
        <v>1.3680294268397379E-10</v>
      </c>
      <c r="IM80">
        <v>6.4975800923779969E-3</v>
      </c>
      <c r="IN80">
        <v>0</v>
      </c>
      <c r="IO80">
        <v>0</v>
      </c>
      <c r="IP80">
        <v>0</v>
      </c>
      <c r="IQ80">
        <v>4</v>
      </c>
      <c r="IR80">
        <v>2229</v>
      </c>
      <c r="IS80">
        <v>1</v>
      </c>
      <c r="IT80">
        <v>22</v>
      </c>
      <c r="IU80">
        <v>2.1</v>
      </c>
      <c r="IV80">
        <v>2.1</v>
      </c>
      <c r="IW80">
        <v>1.5319799999999999</v>
      </c>
      <c r="IX80">
        <v>2.5769000000000002</v>
      </c>
      <c r="IY80">
        <v>2.9956100000000001</v>
      </c>
      <c r="IZ80">
        <v>2.96143</v>
      </c>
      <c r="JA80">
        <v>3.1970200000000002</v>
      </c>
      <c r="JB80">
        <v>2.50854</v>
      </c>
      <c r="JC80">
        <v>47.813400000000001</v>
      </c>
      <c r="JD80">
        <v>23.737300000000001</v>
      </c>
      <c r="JE80">
        <v>18</v>
      </c>
      <c r="JF80">
        <v>531.25199999999995</v>
      </c>
      <c r="JG80">
        <v>1118.8</v>
      </c>
      <c r="JH80">
        <v>25.720700000000001</v>
      </c>
      <c r="JI80">
        <v>34.087899999999998</v>
      </c>
      <c r="JJ80">
        <v>29.9998</v>
      </c>
      <c r="JK80">
        <v>34.071100000000001</v>
      </c>
      <c r="JL80">
        <v>33.988399999999999</v>
      </c>
      <c r="JM80">
        <v>30.699000000000002</v>
      </c>
      <c r="JN80">
        <v>18.0044</v>
      </c>
      <c r="JO80">
        <v>0</v>
      </c>
      <c r="JP80">
        <v>25.721</v>
      </c>
      <c r="JQ80">
        <v>400</v>
      </c>
      <c r="JR80">
        <v>21.6706</v>
      </c>
      <c r="JS80">
        <v>98.685599999999994</v>
      </c>
      <c r="JT80">
        <v>97.162800000000004</v>
      </c>
    </row>
    <row r="81" spans="1:280" x14ac:dyDescent="0.25">
      <c r="A81">
        <v>65</v>
      </c>
      <c r="B81">
        <v>1700163946</v>
      </c>
      <c r="C81">
        <v>14964.5</v>
      </c>
      <c r="D81" t="s">
        <v>700</v>
      </c>
      <c r="E81" t="s">
        <v>701</v>
      </c>
      <c r="F81" t="s">
        <v>412</v>
      </c>
      <c r="G81" t="s">
        <v>482</v>
      </c>
      <c r="H81" t="s">
        <v>665</v>
      </c>
      <c r="I81">
        <v>1700163946</v>
      </c>
      <c r="J81">
        <f t="shared" ref="J81:J112" si="92">(K81)/1000</f>
        <v>6.58519215896746E-3</v>
      </c>
      <c r="K81">
        <f t="shared" ref="K81:K100" si="93">1000*DK81*AI81*(DG81-DH81)/(100*CZ81*(1000-AI81*DG81))</f>
        <v>6.5851921589674598</v>
      </c>
      <c r="L81">
        <f t="shared" ref="L81:L100" si="94">DK81*AI81*(DF81-DE81*(1000-AI81*DH81)/(1000-AI81*DG81))/(100*CZ81)</f>
        <v>46.432630623280133</v>
      </c>
      <c r="M81">
        <f t="shared" ref="M81:M112" si="95">DE81 - IF(AI81&gt;1, L81*CZ81*100/(AK81*DS81), 0)</f>
        <v>246.93199999999999</v>
      </c>
      <c r="N81">
        <f t="shared" ref="N81:N112" si="96">((T81-J81/2)*M81-L81)/(T81+J81/2)</f>
        <v>75.665786152790773</v>
      </c>
      <c r="O81">
        <f t="shared" ref="O81:O112" si="97">N81*(DL81+DM81)/1000</f>
        <v>7.5008537017455179</v>
      </c>
      <c r="P81">
        <f t="shared" ref="P81:P100" si="98">(DE81 - IF(AI81&gt;1, L81*CZ81*100/(AK81*DS81), 0))*(DL81+DM81)/1000</f>
        <v>24.478709605148396</v>
      </c>
      <c r="Q81">
        <f t="shared" ref="Q81:Q112" si="99">2/((1/S81-1/R81)+SIGN(S81)*SQRT((1/S81-1/R81)*(1/S81-1/R81) + 4*DA81/((DA81+1)*(DA81+1))*(2*1/S81*1/R81-1/R81*1/R81)))</f>
        <v>0.4770230023244828</v>
      </c>
      <c r="R81">
        <f t="shared" ref="R81:R100" si="100">IF(LEFT(DB81,1)&lt;&gt;"0",IF(LEFT(DB81,1)="1",3,DC81),$D$5+$E$5*(DS81*DL81/($K$5*1000))+$F$5*(DS81*DL81/($K$5*1000))*MAX(MIN(CZ81,$J$5),$I$5)*MAX(MIN(CZ81,$J$5),$I$5)+$G$5*MAX(MIN(CZ81,$J$5),$I$5)*(DS81*DL81/($K$5*1000))+$H$5*(DS81*DL81/($K$5*1000))*(DS81*DL81/($K$5*1000)))</f>
        <v>3.0047175756044568</v>
      </c>
      <c r="S81">
        <f t="shared" ref="S81:S100" si="101">J81*(1000-(1000*0.61365*EXP(17.502*W81/(240.97+W81))/(DL81+DM81)+DG81)/2)/(1000*0.61365*EXP(17.502*W81/(240.97+W81))/(DL81+DM81)-DG81)</f>
        <v>0.43859441619418427</v>
      </c>
      <c r="T81">
        <f t="shared" ref="T81:T100" si="102">1/((DA81+1)/(Q81/1.6)+1/(R81/1.37)) + DA81/((DA81+1)/(Q81/1.6) + DA81/(R81/1.37))</f>
        <v>0.27731572831748491</v>
      </c>
      <c r="U81">
        <f t="shared" ref="U81:U100" si="103">(CV81*CY81)</f>
        <v>344.34029876285751</v>
      </c>
      <c r="V81">
        <f t="shared" ref="V81:V112" si="104">(DN81+(U81+2*0.95*0.0000000567*(((DN81+$B$7)+273)^4-(DN81+273)^4)-44100*J81)/(1.84*29.3*R81+8*0.95*0.0000000567*(DN81+273)^3))</f>
        <v>30.586942704651339</v>
      </c>
      <c r="W81">
        <f t="shared" ref="W81:W112" si="105">($C$7*DO81+$D$7*DP81+$E$7*V81)</f>
        <v>29.9786</v>
      </c>
      <c r="X81">
        <f t="shared" ref="X81:X112" si="106">0.61365*EXP(17.502*W81/(240.97+W81))</f>
        <v>4.2552156383037314</v>
      </c>
      <c r="Y81">
        <f t="shared" ref="Y81:Y112" si="107">(Z81/AA81*100)</f>
        <v>65.145089281253178</v>
      </c>
      <c r="Z81">
        <f t="shared" ref="Z81:Z100" si="108">DG81*(DL81+DM81)/1000</f>
        <v>2.8199407641895502</v>
      </c>
      <c r="AA81">
        <f t="shared" ref="AA81:AA100" si="109">0.61365*EXP(17.502*DN81/(240.97+DN81))</f>
        <v>4.3287081118500295</v>
      </c>
      <c r="AB81">
        <f t="shared" ref="AB81:AB100" si="110">(X81-DG81*(DL81+DM81)/1000)</f>
        <v>1.4352748741141812</v>
      </c>
      <c r="AC81">
        <f t="shared" ref="AC81:AC100" si="111">(-J81*44100)</f>
        <v>-290.40697421046497</v>
      </c>
      <c r="AD81">
        <f t="shared" ref="AD81:AD100" si="112">2*29.3*R81*0.92*(DN81-W81)</f>
        <v>48.337915646498807</v>
      </c>
      <c r="AE81">
        <f t="shared" ref="AE81:AE100" si="113">2*0.95*0.0000000567*(((DN81+$B$7)+273)^4-(W81+273)^4)</f>
        <v>3.5815653339763878</v>
      </c>
      <c r="AF81">
        <f t="shared" ref="AF81:AF112" si="114">U81+AE81+AC81+AD81</f>
        <v>105.85280553286776</v>
      </c>
      <c r="AG81">
        <v>0</v>
      </c>
      <c r="AH81">
        <v>0</v>
      </c>
      <c r="AI81">
        <f t="shared" ref="AI81:AI100" si="115">IF(AG81*$H$13&gt;=AK81,1,(AK81/(AK81-AG81*$H$13)))</f>
        <v>1</v>
      </c>
      <c r="AJ81">
        <f t="shared" ref="AJ81:AJ112" si="116">(AI81-1)*100</f>
        <v>0</v>
      </c>
      <c r="AK81">
        <f t="shared" ref="AK81:AK100" si="117">MAX(0,($B$13+$C$13*DS81)/(1+$D$13*DS81)*DL81/(DN81+273)*$E$13)</f>
        <v>51786.762422222397</v>
      </c>
      <c r="AL81" t="s">
        <v>431</v>
      </c>
      <c r="AM81" t="s">
        <v>431</v>
      </c>
      <c r="AN81">
        <v>0</v>
      </c>
      <c r="AO81">
        <v>0</v>
      </c>
      <c r="AP81" t="e">
        <f t="shared" ref="AP81:AP112" si="118">1-AN81/AO81</f>
        <v>#DIV/0!</v>
      </c>
      <c r="AQ81">
        <v>0</v>
      </c>
      <c r="AR81" t="s">
        <v>431</v>
      </c>
      <c r="AS81" t="s">
        <v>431</v>
      </c>
      <c r="AT81">
        <v>0</v>
      </c>
      <c r="AU81">
        <v>0</v>
      </c>
      <c r="AV81" t="e">
        <f t="shared" ref="AV81:AV112" si="119">1-AT81/AU81</f>
        <v>#DIV/0!</v>
      </c>
      <c r="AW81">
        <v>0.5</v>
      </c>
      <c r="AX81">
        <f t="shared" ref="AX81:AX100" si="120">CW81</f>
        <v>1513.0583993814289</v>
      </c>
      <c r="AY81">
        <f t="shared" ref="AY81:AY100" si="121">L81</f>
        <v>46.432630623280133</v>
      </c>
      <c r="AZ81" t="e">
        <f t="shared" ref="AZ81:AZ100" si="122">AV81*AW81*AX81</f>
        <v>#DIV/0!</v>
      </c>
      <c r="BA81">
        <f t="shared" ref="BA81:BA100" si="123">(AY81-AQ81)/AX81</f>
        <v>3.0687930249263876E-2</v>
      </c>
      <c r="BB81" t="e">
        <f t="shared" ref="BB81:BB100" si="124">(AO81-AU81)/AU81</f>
        <v>#DIV/0!</v>
      </c>
      <c r="BC81" t="e">
        <f t="shared" ref="BC81:BC100" si="125">AN81/(AP81+AN81/AU81)</f>
        <v>#DIV/0!</v>
      </c>
      <c r="BD81" t="s">
        <v>431</v>
      </c>
      <c r="BE81">
        <v>0</v>
      </c>
      <c r="BF81" t="e">
        <f t="shared" ref="BF81:BF112" si="126">IF(BE81&lt;&gt;0, BE81, BC81)</f>
        <v>#DIV/0!</v>
      </c>
      <c r="BG81" t="e">
        <f t="shared" ref="BG81:BG112" si="127">1-BF81/AU81</f>
        <v>#DIV/0!</v>
      </c>
      <c r="BH81" t="e">
        <f t="shared" ref="BH81:BH100" si="128">(AU81-AT81)/(AU81-BF81)</f>
        <v>#DIV/0!</v>
      </c>
      <c r="BI81" t="e">
        <f t="shared" ref="BI81:BI100" si="129">(AO81-AU81)/(AO81-BF81)</f>
        <v>#DIV/0!</v>
      </c>
      <c r="BJ81" t="e">
        <f t="shared" ref="BJ81:BJ100" si="130">(AU81-AT81)/(AU81-AN81)</f>
        <v>#DIV/0!</v>
      </c>
      <c r="BK81" t="e">
        <f t="shared" ref="BK81:BK100" si="131">(AO81-AU81)/(AO81-AN81)</f>
        <v>#DIV/0!</v>
      </c>
      <c r="BL81" t="e">
        <f t="shared" ref="BL81:BL100" si="132">(BH81*BF81/AT81)</f>
        <v>#DIV/0!</v>
      </c>
      <c r="BM81" t="e">
        <f t="shared" ref="BM81:BM112" si="133">(1-BL81)</f>
        <v>#DIV/0!</v>
      </c>
      <c r="BN81">
        <v>20788</v>
      </c>
      <c r="BO81">
        <v>290.00000000000011</v>
      </c>
      <c r="BP81">
        <v>873.65</v>
      </c>
      <c r="BQ81">
        <v>265</v>
      </c>
      <c r="BR81">
        <v>7145.14</v>
      </c>
      <c r="BS81">
        <v>876.84</v>
      </c>
      <c r="BT81">
        <v>-3.19</v>
      </c>
      <c r="BU81">
        <v>300.00000000000011</v>
      </c>
      <c r="BV81">
        <v>38.200000000000003</v>
      </c>
      <c r="BW81">
        <v>967.50033365054378</v>
      </c>
      <c r="BX81">
        <v>1.391625621369373</v>
      </c>
      <c r="BY81">
        <v>-64.779734810213284</v>
      </c>
      <c r="BZ81">
        <v>0.8332635635399338</v>
      </c>
      <c r="CA81">
        <v>0.99538855401975945</v>
      </c>
      <c r="CB81">
        <v>-7.0530565072302563E-3</v>
      </c>
      <c r="CC81">
        <v>289.99999999999989</v>
      </c>
      <c r="CD81">
        <v>885.04</v>
      </c>
      <c r="CE81">
        <v>785</v>
      </c>
      <c r="CF81">
        <v>7138.56</v>
      </c>
      <c r="CG81">
        <v>876.75</v>
      </c>
      <c r="CH81">
        <v>8.2899999999999991</v>
      </c>
      <c r="CV81">
        <f t="shared" ref="CV81:CV100" si="134">$B$11*DT81+$C$11*DU81+$F$11*EF81*(1-EI81)</f>
        <v>1799.85</v>
      </c>
      <c r="CW81">
        <f t="shared" ref="CW81:CW112" si="135">CV81*CX81</f>
        <v>1513.0583993814289</v>
      </c>
      <c r="CX81">
        <f t="shared" ref="CX81:CX100" si="136">($B$11*$D$9+$C$11*$D$9+$F$11*((ES81+EK81)/MAX(ES81+EK81+ET81, 0.1)*$I$9+ET81/MAX(ES81+EK81+ET81, 0.1)*$J$9))/($B$11+$C$11+$F$11)</f>
        <v>0.84065805449422393</v>
      </c>
      <c r="CY81">
        <f t="shared" ref="CY81:CY100" si="137">($B$11*$K$9+$C$11*$K$9+$F$11*((ES81+EK81)/MAX(ES81+EK81+ET81, 0.1)*$P$9+ET81/MAX(ES81+EK81+ET81, 0.1)*$Q$9))/($B$11+$C$11+$F$11)</f>
        <v>0.19131610898844767</v>
      </c>
      <c r="CZ81">
        <v>5.52</v>
      </c>
      <c r="DA81">
        <v>0.5</v>
      </c>
      <c r="DB81" t="s">
        <v>418</v>
      </c>
      <c r="DC81">
        <v>2</v>
      </c>
      <c r="DD81">
        <v>1700163946</v>
      </c>
      <c r="DE81">
        <v>246.93199999999999</v>
      </c>
      <c r="DF81">
        <v>299.99</v>
      </c>
      <c r="DG81">
        <v>28.4465</v>
      </c>
      <c r="DH81">
        <v>21.383099999999999</v>
      </c>
      <c r="DI81">
        <v>250.625</v>
      </c>
      <c r="DJ81">
        <v>28.4331</v>
      </c>
      <c r="DK81">
        <v>499.98899999999998</v>
      </c>
      <c r="DL81">
        <v>99.031400000000005</v>
      </c>
      <c r="DM81">
        <v>9.9978700000000004E-2</v>
      </c>
      <c r="DN81">
        <v>30.277000000000001</v>
      </c>
      <c r="DO81">
        <v>29.9786</v>
      </c>
      <c r="DP81">
        <v>999.9</v>
      </c>
      <c r="DQ81">
        <v>0</v>
      </c>
      <c r="DR81">
        <v>0</v>
      </c>
      <c r="DS81">
        <v>9997.5</v>
      </c>
      <c r="DT81">
        <v>0</v>
      </c>
      <c r="DU81">
        <v>216.26400000000001</v>
      </c>
      <c r="DV81">
        <v>-53.057899999999997</v>
      </c>
      <c r="DW81">
        <v>254.16200000000001</v>
      </c>
      <c r="DX81">
        <v>306.54500000000002</v>
      </c>
      <c r="DY81">
        <v>7.0633499999999998</v>
      </c>
      <c r="DZ81">
        <v>299.99</v>
      </c>
      <c r="EA81">
        <v>21.383099999999999</v>
      </c>
      <c r="EB81">
        <v>2.8170899999999999</v>
      </c>
      <c r="EC81">
        <v>2.1175999999999999</v>
      </c>
      <c r="ED81">
        <v>22.9846</v>
      </c>
      <c r="EE81">
        <v>18.3522</v>
      </c>
      <c r="EF81">
        <v>1799.85</v>
      </c>
      <c r="EG81">
        <v>0.97800399999999998</v>
      </c>
      <c r="EH81">
        <v>2.19963E-2</v>
      </c>
      <c r="EI81">
        <v>0</v>
      </c>
      <c r="EJ81">
        <v>651.12400000000002</v>
      </c>
      <c r="EK81">
        <v>5.0009399999999999</v>
      </c>
      <c r="EL81">
        <v>12876</v>
      </c>
      <c r="EM81">
        <v>13859</v>
      </c>
      <c r="EN81">
        <v>47.75</v>
      </c>
      <c r="EO81">
        <v>49.5</v>
      </c>
      <c r="EP81">
        <v>48.811999999999998</v>
      </c>
      <c r="EQ81">
        <v>48.811999999999998</v>
      </c>
      <c r="ER81">
        <v>49.186999999999998</v>
      </c>
      <c r="ES81">
        <v>1755.37</v>
      </c>
      <c r="ET81">
        <v>39.479999999999997</v>
      </c>
      <c r="EU81">
        <v>0</v>
      </c>
      <c r="EV81">
        <v>176.5999999046326</v>
      </c>
      <c r="EW81">
        <v>0</v>
      </c>
      <c r="EX81">
        <v>651.40423999999996</v>
      </c>
      <c r="EY81">
        <v>-0.58323076880087799</v>
      </c>
      <c r="EZ81">
        <v>3.6769230594589879</v>
      </c>
      <c r="FA81">
        <v>12875.072</v>
      </c>
      <c r="FB81">
        <v>15</v>
      </c>
      <c r="FC81">
        <v>1700163870</v>
      </c>
      <c r="FD81" t="s">
        <v>702</v>
      </c>
      <c r="FE81">
        <v>1700163866</v>
      </c>
      <c r="FF81">
        <v>1700163870</v>
      </c>
      <c r="FG81">
        <v>71</v>
      </c>
      <c r="FH81">
        <v>0.105</v>
      </c>
      <c r="FI81">
        <v>7.0000000000000001E-3</v>
      </c>
      <c r="FJ81">
        <v>-3.8780000000000001</v>
      </c>
      <c r="FK81">
        <v>5.0000000000000001E-3</v>
      </c>
      <c r="FL81">
        <v>300</v>
      </c>
      <c r="FM81">
        <v>22</v>
      </c>
      <c r="FN81">
        <v>0.02</v>
      </c>
      <c r="FO81">
        <v>0.01</v>
      </c>
      <c r="FP81">
        <v>46.350972832835247</v>
      </c>
      <c r="FQ81">
        <v>0.6894404846074117</v>
      </c>
      <c r="FR81">
        <v>5.60360704296353E-2</v>
      </c>
      <c r="FS81">
        <v>1</v>
      </c>
      <c r="FT81">
        <v>0.47612007193287581</v>
      </c>
      <c r="FU81">
        <v>2.0065696678524939E-2</v>
      </c>
      <c r="FV81">
        <v>1.778738537451287E-3</v>
      </c>
      <c r="FW81">
        <v>1</v>
      </c>
      <c r="FX81">
        <v>2</v>
      </c>
      <c r="FY81">
        <v>2</v>
      </c>
      <c r="FZ81" t="s">
        <v>420</v>
      </c>
      <c r="GA81">
        <v>3.1187399999999998</v>
      </c>
      <c r="GB81">
        <v>2.8775900000000001</v>
      </c>
      <c r="GC81">
        <v>5.93401E-2</v>
      </c>
      <c r="GD81">
        <v>6.9878700000000002E-2</v>
      </c>
      <c r="GE81">
        <v>0.126752</v>
      </c>
      <c r="GF81">
        <v>0.10421</v>
      </c>
      <c r="GG81">
        <v>27286.9</v>
      </c>
      <c r="GH81">
        <v>27617.4</v>
      </c>
      <c r="GI81">
        <v>26719.9</v>
      </c>
      <c r="GJ81">
        <v>27423.599999999999</v>
      </c>
      <c r="GK81">
        <v>33373.1</v>
      </c>
      <c r="GL81">
        <v>34326.6</v>
      </c>
      <c r="GM81">
        <v>39587.1</v>
      </c>
      <c r="GN81">
        <v>39713.300000000003</v>
      </c>
      <c r="GO81">
        <v>1.9899</v>
      </c>
      <c r="GP81">
        <v>2.4375499999999999</v>
      </c>
      <c r="GQ81">
        <v>1.08518E-2</v>
      </c>
      <c r="GR81">
        <v>0</v>
      </c>
      <c r="GS81">
        <v>29.802</v>
      </c>
      <c r="GT81">
        <v>999.9</v>
      </c>
      <c r="GU81">
        <v>28.6</v>
      </c>
      <c r="GV81">
        <v>45.2</v>
      </c>
      <c r="GW81">
        <v>28.123799999999999</v>
      </c>
      <c r="GX81">
        <v>62.894300000000001</v>
      </c>
      <c r="GY81">
        <v>7.9166600000000003</v>
      </c>
      <c r="GZ81">
        <v>3</v>
      </c>
      <c r="HA81">
        <v>0.55665399999999998</v>
      </c>
      <c r="HB81">
        <v>3.0234299999999998</v>
      </c>
      <c r="HC81">
        <v>20.274899999999999</v>
      </c>
      <c r="HD81">
        <v>5.2141500000000001</v>
      </c>
      <c r="HE81">
        <v>11.908099999999999</v>
      </c>
      <c r="HF81">
        <v>4.9968000000000004</v>
      </c>
      <c r="HG81">
        <v>3.3028</v>
      </c>
      <c r="HH81">
        <v>9999</v>
      </c>
      <c r="HI81">
        <v>9999</v>
      </c>
      <c r="HJ81">
        <v>9999</v>
      </c>
      <c r="HK81">
        <v>999.9</v>
      </c>
      <c r="HL81">
        <v>1.8847499999999999</v>
      </c>
      <c r="HM81">
        <v>1.88534</v>
      </c>
      <c r="HN81">
        <v>1.88141</v>
      </c>
      <c r="HO81">
        <v>1.8830800000000001</v>
      </c>
      <c r="HP81">
        <v>1.8799399999999999</v>
      </c>
      <c r="HQ81">
        <v>1.8834</v>
      </c>
      <c r="HR81">
        <v>1.8793800000000001</v>
      </c>
      <c r="HS81">
        <v>1.88167</v>
      </c>
      <c r="HT81">
        <v>5</v>
      </c>
      <c r="HU81">
        <v>0</v>
      </c>
      <c r="HV81">
        <v>0</v>
      </c>
      <c r="HW81">
        <v>0</v>
      </c>
      <c r="HX81" t="s">
        <v>421</v>
      </c>
      <c r="HY81" t="s">
        <v>422</v>
      </c>
      <c r="HZ81" t="s">
        <v>423</v>
      </c>
      <c r="IA81" t="s">
        <v>423</v>
      </c>
      <c r="IB81" t="s">
        <v>423</v>
      </c>
      <c r="IC81" t="s">
        <v>423</v>
      </c>
      <c r="ID81">
        <v>0</v>
      </c>
      <c r="IE81">
        <v>100</v>
      </c>
      <c r="IF81">
        <v>100</v>
      </c>
      <c r="IG81">
        <v>-3.6930000000000001</v>
      </c>
      <c r="IH81">
        <v>1.34E-2</v>
      </c>
      <c r="II81">
        <v>-2.7789774896547081</v>
      </c>
      <c r="IJ81">
        <v>-3.7794827560518689E-3</v>
      </c>
      <c r="IK81">
        <v>4.9551128961100493E-7</v>
      </c>
      <c r="IL81">
        <v>1.3680294268397379E-10</v>
      </c>
      <c r="IM81">
        <v>1.342357872147326E-2</v>
      </c>
      <c r="IN81">
        <v>0</v>
      </c>
      <c r="IO81">
        <v>0</v>
      </c>
      <c r="IP81">
        <v>0</v>
      </c>
      <c r="IQ81">
        <v>4</v>
      </c>
      <c r="IR81">
        <v>2229</v>
      </c>
      <c r="IS81">
        <v>1</v>
      </c>
      <c r="IT81">
        <v>22</v>
      </c>
      <c r="IU81">
        <v>1.3</v>
      </c>
      <c r="IV81">
        <v>1.3</v>
      </c>
      <c r="IW81">
        <v>1.2109399999999999</v>
      </c>
      <c r="IX81">
        <v>2.5866699999999998</v>
      </c>
      <c r="IY81">
        <v>2.9956100000000001</v>
      </c>
      <c r="IZ81">
        <v>2.96387</v>
      </c>
      <c r="JA81">
        <v>3.1970200000000002</v>
      </c>
      <c r="JB81">
        <v>2.4853499999999999</v>
      </c>
      <c r="JC81">
        <v>47.662199999999999</v>
      </c>
      <c r="JD81">
        <v>23.7285</v>
      </c>
      <c r="JE81">
        <v>18</v>
      </c>
      <c r="JF81">
        <v>531.245</v>
      </c>
      <c r="JG81">
        <v>1118.75</v>
      </c>
      <c r="JH81">
        <v>25.717500000000001</v>
      </c>
      <c r="JI81">
        <v>34.074399999999997</v>
      </c>
      <c r="JJ81">
        <v>30</v>
      </c>
      <c r="JK81">
        <v>34.052300000000002</v>
      </c>
      <c r="JL81">
        <v>33.968299999999999</v>
      </c>
      <c r="JM81">
        <v>24.2836</v>
      </c>
      <c r="JN81">
        <v>18.7164</v>
      </c>
      <c r="JO81">
        <v>0</v>
      </c>
      <c r="JP81">
        <v>25.7315</v>
      </c>
      <c r="JQ81">
        <v>300</v>
      </c>
      <c r="JR81">
        <v>21.363399999999999</v>
      </c>
      <c r="JS81">
        <v>98.673500000000004</v>
      </c>
      <c r="JT81">
        <v>97.160200000000003</v>
      </c>
    </row>
    <row r="82" spans="1:280" x14ac:dyDescent="0.25">
      <c r="A82">
        <v>66</v>
      </c>
      <c r="B82">
        <v>1700164103.5</v>
      </c>
      <c r="C82">
        <v>15122</v>
      </c>
      <c r="D82" t="s">
        <v>703</v>
      </c>
      <c r="E82" t="s">
        <v>704</v>
      </c>
      <c r="F82" t="s">
        <v>412</v>
      </c>
      <c r="G82" t="s">
        <v>482</v>
      </c>
      <c r="H82" t="s">
        <v>665</v>
      </c>
      <c r="I82">
        <v>1700164103.5</v>
      </c>
      <c r="J82">
        <f t="shared" si="92"/>
        <v>7.4872482439087892E-3</v>
      </c>
      <c r="K82">
        <f t="shared" si="93"/>
        <v>7.4872482439087893</v>
      </c>
      <c r="L82">
        <f t="shared" si="94"/>
        <v>34.548101035029518</v>
      </c>
      <c r="M82">
        <f t="shared" si="95"/>
        <v>160.54499999999999</v>
      </c>
      <c r="N82">
        <f t="shared" si="96"/>
        <v>51.13757180658201</v>
      </c>
      <c r="O82">
        <f t="shared" si="97"/>
        <v>5.0691489204987272</v>
      </c>
      <c r="P82">
        <f t="shared" si="98"/>
        <v>15.914453594308499</v>
      </c>
      <c r="Q82">
        <f t="shared" si="99"/>
        <v>0.56255664733139177</v>
      </c>
      <c r="R82">
        <f t="shared" si="100"/>
        <v>3.0044204284897518</v>
      </c>
      <c r="S82">
        <f t="shared" si="101"/>
        <v>0.50992027525556749</v>
      </c>
      <c r="T82">
        <f t="shared" si="102"/>
        <v>0.32301793032338266</v>
      </c>
      <c r="U82">
        <f t="shared" si="103"/>
        <v>344.36499876294693</v>
      </c>
      <c r="V82">
        <f t="shared" si="104"/>
        <v>30.404678982160021</v>
      </c>
      <c r="W82">
        <f t="shared" si="105"/>
        <v>29.892499999999998</v>
      </c>
      <c r="X82">
        <f t="shared" si="106"/>
        <v>4.2342133983806729</v>
      </c>
      <c r="Y82">
        <f t="shared" si="107"/>
        <v>65.217753344047068</v>
      </c>
      <c r="Z82">
        <f t="shared" si="108"/>
        <v>2.8305711139852403</v>
      </c>
      <c r="AA82">
        <f t="shared" si="109"/>
        <v>4.340184947882153</v>
      </c>
      <c r="AB82">
        <f t="shared" si="110"/>
        <v>1.4036422843954326</v>
      </c>
      <c r="AC82">
        <f t="shared" si="111"/>
        <v>-330.18764755637761</v>
      </c>
      <c r="AD82">
        <f t="shared" si="112"/>
        <v>69.762337100416772</v>
      </c>
      <c r="AE82">
        <f t="shared" si="113"/>
        <v>5.1684854053030209</v>
      </c>
      <c r="AF82">
        <f t="shared" si="114"/>
        <v>89.10817371228913</v>
      </c>
      <c r="AG82">
        <v>0</v>
      </c>
      <c r="AH82">
        <v>0</v>
      </c>
      <c r="AI82">
        <f t="shared" si="115"/>
        <v>1</v>
      </c>
      <c r="AJ82">
        <f t="shared" si="116"/>
        <v>0</v>
      </c>
      <c r="AK82">
        <f t="shared" si="117"/>
        <v>51770.782719209194</v>
      </c>
      <c r="AL82" t="s">
        <v>415</v>
      </c>
      <c r="AM82">
        <v>7133.88</v>
      </c>
      <c r="AN82">
        <v>306.28384615384618</v>
      </c>
      <c r="AO82">
        <v>859.63916333292491</v>
      </c>
      <c r="AP82">
        <f t="shared" si="118"/>
        <v>0.64370650010133712</v>
      </c>
      <c r="AQ82">
        <v>-0.73746743666429193</v>
      </c>
      <c r="AR82" t="s">
        <v>705</v>
      </c>
      <c r="AS82">
        <v>7144.48</v>
      </c>
      <c r="AT82">
        <v>670.32836000000009</v>
      </c>
      <c r="AU82">
        <v>874.30532802277355</v>
      </c>
      <c r="AV82">
        <f t="shared" si="119"/>
        <v>0.23330175567391753</v>
      </c>
      <c r="AW82">
        <v>0.5</v>
      </c>
      <c r="AX82">
        <f t="shared" si="120"/>
        <v>1513.1675993814733</v>
      </c>
      <c r="AY82">
        <f t="shared" si="121"/>
        <v>34.548101035029518</v>
      </c>
      <c r="AZ82">
        <f t="shared" si="122"/>
        <v>176.5123287822924</v>
      </c>
      <c r="BA82">
        <f t="shared" si="123"/>
        <v>2.3319008737774479E-2</v>
      </c>
      <c r="BB82">
        <f t="shared" si="124"/>
        <v>-1.6774648649363628E-2</v>
      </c>
      <c r="BC82">
        <f t="shared" si="125"/>
        <v>308.12541881352331</v>
      </c>
      <c r="BD82" t="s">
        <v>706</v>
      </c>
      <c r="BE82">
        <v>470.24</v>
      </c>
      <c r="BF82">
        <f t="shared" si="126"/>
        <v>470.24</v>
      </c>
      <c r="BG82">
        <f t="shared" si="127"/>
        <v>0.46215585685215976</v>
      </c>
      <c r="BH82">
        <f t="shared" si="128"/>
        <v>0.5048118555999368</v>
      </c>
      <c r="BI82">
        <f t="shared" si="129"/>
        <v>-3.7663575248387218E-2</v>
      </c>
      <c r="BJ82">
        <f t="shared" si="130"/>
        <v>0.35910079906069775</v>
      </c>
      <c r="BK82">
        <f t="shared" si="131"/>
        <v>-2.6504063907101354E-2</v>
      </c>
      <c r="BL82">
        <f t="shared" si="132"/>
        <v>0.35412902264393864</v>
      </c>
      <c r="BM82">
        <f t="shared" si="133"/>
        <v>0.64587097735606136</v>
      </c>
      <c r="BN82">
        <v>20790</v>
      </c>
      <c r="BO82">
        <v>290.00000000000011</v>
      </c>
      <c r="BP82">
        <v>817.11</v>
      </c>
      <c r="BQ82">
        <v>285</v>
      </c>
      <c r="BR82">
        <v>7144.48</v>
      </c>
      <c r="BS82">
        <v>818.44</v>
      </c>
      <c r="BT82">
        <v>-1.33</v>
      </c>
      <c r="BU82">
        <v>300.00000000000011</v>
      </c>
      <c r="BV82">
        <v>38.200000000000003</v>
      </c>
      <c r="BW82">
        <v>874.30532802277355</v>
      </c>
      <c r="BX82">
        <v>1.426377747886409</v>
      </c>
      <c r="BY82">
        <v>-39.912511399679843</v>
      </c>
      <c r="BZ82">
        <v>0.85407501931896479</v>
      </c>
      <c r="CA82">
        <v>0.98734100774258804</v>
      </c>
      <c r="CB82">
        <v>-7.0528309232480609E-3</v>
      </c>
      <c r="CC82">
        <v>289.99999999999989</v>
      </c>
      <c r="CD82">
        <v>823.88</v>
      </c>
      <c r="CE82">
        <v>875</v>
      </c>
      <c r="CF82">
        <v>7137.27</v>
      </c>
      <c r="CG82">
        <v>818.38</v>
      </c>
      <c r="CH82">
        <v>5.5</v>
      </c>
      <c r="CV82">
        <f t="shared" si="134"/>
        <v>1799.98</v>
      </c>
      <c r="CW82">
        <f t="shared" si="135"/>
        <v>1513.1675993814733</v>
      </c>
      <c r="CX82">
        <f t="shared" si="136"/>
        <v>0.84065800696756254</v>
      </c>
      <c r="CY82">
        <f t="shared" si="137"/>
        <v>0.19131601393512535</v>
      </c>
      <c r="CZ82">
        <v>5.52</v>
      </c>
      <c r="DA82">
        <v>0.5</v>
      </c>
      <c r="DB82" t="s">
        <v>418</v>
      </c>
      <c r="DC82">
        <v>2</v>
      </c>
      <c r="DD82">
        <v>1700164103.5</v>
      </c>
      <c r="DE82">
        <v>160.54499999999999</v>
      </c>
      <c r="DF82">
        <v>200.02500000000001</v>
      </c>
      <c r="DG82">
        <v>28.5548</v>
      </c>
      <c r="DH82">
        <v>20.522500000000001</v>
      </c>
      <c r="DI82">
        <v>164.017</v>
      </c>
      <c r="DJ82">
        <v>28.538699999999999</v>
      </c>
      <c r="DK82">
        <v>499.85</v>
      </c>
      <c r="DL82">
        <v>99.027799999999999</v>
      </c>
      <c r="DM82">
        <v>9.9881300000000006E-2</v>
      </c>
      <c r="DN82">
        <v>30.3232</v>
      </c>
      <c r="DO82">
        <v>29.892499999999998</v>
      </c>
      <c r="DP82">
        <v>999.9</v>
      </c>
      <c r="DQ82">
        <v>0</v>
      </c>
      <c r="DR82">
        <v>0</v>
      </c>
      <c r="DS82">
        <v>9996.25</v>
      </c>
      <c r="DT82">
        <v>0</v>
      </c>
      <c r="DU82">
        <v>217.55500000000001</v>
      </c>
      <c r="DV82">
        <v>-39.479999999999997</v>
      </c>
      <c r="DW82">
        <v>165.26400000000001</v>
      </c>
      <c r="DX82">
        <v>204.21600000000001</v>
      </c>
      <c r="DY82">
        <v>8.0323100000000007</v>
      </c>
      <c r="DZ82">
        <v>200.02500000000001</v>
      </c>
      <c r="EA82">
        <v>20.522500000000001</v>
      </c>
      <c r="EB82">
        <v>2.8277199999999998</v>
      </c>
      <c r="EC82">
        <v>2.0323000000000002</v>
      </c>
      <c r="ED82">
        <v>23.046800000000001</v>
      </c>
      <c r="EE82">
        <v>17.6982</v>
      </c>
      <c r="EF82">
        <v>1799.98</v>
      </c>
      <c r="EG82">
        <v>0.97800399999999998</v>
      </c>
      <c r="EH82">
        <v>2.19963E-2</v>
      </c>
      <c r="EI82">
        <v>0</v>
      </c>
      <c r="EJ82">
        <v>670.04399999999998</v>
      </c>
      <c r="EK82">
        <v>5.0009399999999999</v>
      </c>
      <c r="EL82">
        <v>13193.8</v>
      </c>
      <c r="EM82">
        <v>13860</v>
      </c>
      <c r="EN82">
        <v>47.686999999999998</v>
      </c>
      <c r="EO82">
        <v>49.436999999999998</v>
      </c>
      <c r="EP82">
        <v>48.75</v>
      </c>
      <c r="EQ82">
        <v>48.811999999999998</v>
      </c>
      <c r="ER82">
        <v>49.186999999999998</v>
      </c>
      <c r="ES82">
        <v>1755.5</v>
      </c>
      <c r="ET82">
        <v>39.479999999999997</v>
      </c>
      <c r="EU82">
        <v>0</v>
      </c>
      <c r="EV82">
        <v>333.79999995231628</v>
      </c>
      <c r="EW82">
        <v>0</v>
      </c>
      <c r="EX82">
        <v>670.32836000000009</v>
      </c>
      <c r="EY82">
        <v>-0.32776923195378349</v>
      </c>
      <c r="EZ82">
        <v>-80.553846080082977</v>
      </c>
      <c r="FA82">
        <v>13204.864</v>
      </c>
      <c r="FB82">
        <v>15</v>
      </c>
      <c r="FC82">
        <v>1700164038.5</v>
      </c>
      <c r="FD82" t="s">
        <v>707</v>
      </c>
      <c r="FE82">
        <v>1700164031</v>
      </c>
      <c r="FF82">
        <v>1700164038.5</v>
      </c>
      <c r="FG82">
        <v>72</v>
      </c>
      <c r="FH82">
        <v>-8.5999999999999993E-2</v>
      </c>
      <c r="FI82">
        <v>3.0000000000000001E-3</v>
      </c>
      <c r="FJ82">
        <v>-3.613</v>
      </c>
      <c r="FK82">
        <v>-6.0000000000000001E-3</v>
      </c>
      <c r="FL82">
        <v>200</v>
      </c>
      <c r="FM82">
        <v>21</v>
      </c>
      <c r="FN82">
        <v>0.04</v>
      </c>
      <c r="FO82">
        <v>0.02</v>
      </c>
      <c r="FP82">
        <v>34.404692073033317</v>
      </c>
      <c r="FQ82">
        <v>0.61263568686825332</v>
      </c>
      <c r="FR82">
        <v>4.8628827707999027E-2</v>
      </c>
      <c r="FS82">
        <v>1</v>
      </c>
      <c r="FT82">
        <v>0.56017768525814327</v>
      </c>
      <c r="FU82">
        <v>2.8936341682755041E-2</v>
      </c>
      <c r="FV82">
        <v>2.2955776057694889E-3</v>
      </c>
      <c r="FW82">
        <v>1</v>
      </c>
      <c r="FX82">
        <v>2</v>
      </c>
      <c r="FY82">
        <v>2</v>
      </c>
      <c r="FZ82" t="s">
        <v>420</v>
      </c>
      <c r="GA82">
        <v>3.1183800000000002</v>
      </c>
      <c r="GB82">
        <v>2.8774700000000002</v>
      </c>
      <c r="GC82">
        <v>4.0883700000000002E-2</v>
      </c>
      <c r="GD82">
        <v>4.9552100000000002E-2</v>
      </c>
      <c r="GE82">
        <v>0.12708700000000001</v>
      </c>
      <c r="GF82">
        <v>0.101159</v>
      </c>
      <c r="GG82">
        <v>27824</v>
      </c>
      <c r="GH82">
        <v>28224.5</v>
      </c>
      <c r="GI82">
        <v>26722</v>
      </c>
      <c r="GJ82">
        <v>27427.4</v>
      </c>
      <c r="GK82">
        <v>33360.800000000003</v>
      </c>
      <c r="GL82">
        <v>34446.400000000001</v>
      </c>
      <c r="GM82">
        <v>39589.599999999999</v>
      </c>
      <c r="GN82">
        <v>39718.5</v>
      </c>
      <c r="GO82">
        <v>1.99075</v>
      </c>
      <c r="GP82">
        <v>2.4380799999999998</v>
      </c>
      <c r="GQ82">
        <v>7.1376599999999997E-3</v>
      </c>
      <c r="GR82">
        <v>0</v>
      </c>
      <c r="GS82">
        <v>29.776299999999999</v>
      </c>
      <c r="GT82">
        <v>999.9</v>
      </c>
      <c r="GU82">
        <v>28.6</v>
      </c>
      <c r="GV82">
        <v>45.1</v>
      </c>
      <c r="GW82">
        <v>27.979600000000001</v>
      </c>
      <c r="GX82">
        <v>62.7943</v>
      </c>
      <c r="GY82">
        <v>7.9887800000000002</v>
      </c>
      <c r="GZ82">
        <v>3</v>
      </c>
      <c r="HA82">
        <v>0.55036099999999999</v>
      </c>
      <c r="HB82">
        <v>2.3700299999999999</v>
      </c>
      <c r="HC82">
        <v>20.2835</v>
      </c>
      <c r="HD82">
        <v>5.2145900000000003</v>
      </c>
      <c r="HE82">
        <v>11.908099999999999</v>
      </c>
      <c r="HF82">
        <v>4.9969000000000001</v>
      </c>
      <c r="HG82">
        <v>3.3029000000000002</v>
      </c>
      <c r="HH82">
        <v>9999</v>
      </c>
      <c r="HI82">
        <v>9999</v>
      </c>
      <c r="HJ82">
        <v>9999</v>
      </c>
      <c r="HK82">
        <v>999.9</v>
      </c>
      <c r="HL82">
        <v>1.8847499999999999</v>
      </c>
      <c r="HM82">
        <v>1.8852800000000001</v>
      </c>
      <c r="HN82">
        <v>1.88141</v>
      </c>
      <c r="HO82">
        <v>1.88307</v>
      </c>
      <c r="HP82">
        <v>1.87991</v>
      </c>
      <c r="HQ82">
        <v>1.8833899999999999</v>
      </c>
      <c r="HR82">
        <v>1.8794200000000001</v>
      </c>
      <c r="HS82">
        <v>1.88168</v>
      </c>
      <c r="HT82">
        <v>5</v>
      </c>
      <c r="HU82">
        <v>0</v>
      </c>
      <c r="HV82">
        <v>0</v>
      </c>
      <c r="HW82">
        <v>0</v>
      </c>
      <c r="HX82" t="s">
        <v>421</v>
      </c>
      <c r="HY82" t="s">
        <v>422</v>
      </c>
      <c r="HZ82" t="s">
        <v>423</v>
      </c>
      <c r="IA82" t="s">
        <v>423</v>
      </c>
      <c r="IB82" t="s">
        <v>423</v>
      </c>
      <c r="IC82" t="s">
        <v>423</v>
      </c>
      <c r="ID82">
        <v>0</v>
      </c>
      <c r="IE82">
        <v>100</v>
      </c>
      <c r="IF82">
        <v>100</v>
      </c>
      <c r="IG82">
        <v>-3.472</v>
      </c>
      <c r="IH82">
        <v>1.61E-2</v>
      </c>
      <c r="II82">
        <v>-2.8654165940797109</v>
      </c>
      <c r="IJ82">
        <v>-3.7794827560518689E-3</v>
      </c>
      <c r="IK82">
        <v>4.9551128961100493E-7</v>
      </c>
      <c r="IL82">
        <v>1.3680294268397379E-10</v>
      </c>
      <c r="IM82">
        <v>1.607294413986923E-2</v>
      </c>
      <c r="IN82">
        <v>0</v>
      </c>
      <c r="IO82">
        <v>0</v>
      </c>
      <c r="IP82">
        <v>0</v>
      </c>
      <c r="IQ82">
        <v>4</v>
      </c>
      <c r="IR82">
        <v>2229</v>
      </c>
      <c r="IS82">
        <v>1</v>
      </c>
      <c r="IT82">
        <v>22</v>
      </c>
      <c r="IU82">
        <v>1.2</v>
      </c>
      <c r="IV82">
        <v>1.1000000000000001</v>
      </c>
      <c r="IW82">
        <v>0.87402299999999999</v>
      </c>
      <c r="IX82">
        <v>2.6013199999999999</v>
      </c>
      <c r="IY82">
        <v>2.9956100000000001</v>
      </c>
      <c r="IZ82">
        <v>2.96509</v>
      </c>
      <c r="JA82">
        <v>3.1970200000000002</v>
      </c>
      <c r="JB82">
        <v>2.47925</v>
      </c>
      <c r="JC82">
        <v>47.511699999999998</v>
      </c>
      <c r="JD82">
        <v>23.745999999999999</v>
      </c>
      <c r="JE82">
        <v>18</v>
      </c>
      <c r="JF82">
        <v>531.577</v>
      </c>
      <c r="JG82">
        <v>1118.8800000000001</v>
      </c>
      <c r="JH82">
        <v>26.119800000000001</v>
      </c>
      <c r="JI82">
        <v>34.049700000000001</v>
      </c>
      <c r="JJ82">
        <v>29.999600000000001</v>
      </c>
      <c r="JK82">
        <v>34.024799999999999</v>
      </c>
      <c r="JL82">
        <v>33.9375</v>
      </c>
      <c r="JM82">
        <v>17.532299999999999</v>
      </c>
      <c r="JN82">
        <v>21.857600000000001</v>
      </c>
      <c r="JO82">
        <v>0</v>
      </c>
      <c r="JP82">
        <v>26.148900000000001</v>
      </c>
      <c r="JQ82">
        <v>200</v>
      </c>
      <c r="JR82">
        <v>20.4102</v>
      </c>
      <c r="JS82">
        <v>98.680400000000006</v>
      </c>
      <c r="JT82">
        <v>97.173299999999998</v>
      </c>
    </row>
    <row r="83" spans="1:280" x14ac:dyDescent="0.25">
      <c r="A83">
        <v>67</v>
      </c>
      <c r="B83">
        <v>1700164247.5</v>
      </c>
      <c r="C83">
        <v>15266</v>
      </c>
      <c r="D83" t="s">
        <v>708</v>
      </c>
      <c r="E83" t="s">
        <v>709</v>
      </c>
      <c r="F83" t="s">
        <v>412</v>
      </c>
      <c r="G83" t="s">
        <v>482</v>
      </c>
      <c r="H83" t="s">
        <v>665</v>
      </c>
      <c r="I83">
        <v>1700164247.5</v>
      </c>
      <c r="J83">
        <f t="shared" si="92"/>
        <v>7.9530735040169564E-3</v>
      </c>
      <c r="K83">
        <f t="shared" si="93"/>
        <v>7.9530735040169569</v>
      </c>
      <c r="L83">
        <f t="shared" si="94"/>
        <v>22.473739199488946</v>
      </c>
      <c r="M83">
        <f t="shared" si="95"/>
        <v>94.374899999999997</v>
      </c>
      <c r="N83">
        <f t="shared" si="96"/>
        <v>28.155778342635895</v>
      </c>
      <c r="O83">
        <f t="shared" si="97"/>
        <v>2.7908782340240692</v>
      </c>
      <c r="P83">
        <f t="shared" si="98"/>
        <v>9.3546998077248009</v>
      </c>
      <c r="Q83">
        <f t="shared" si="99"/>
        <v>0.60784607443057748</v>
      </c>
      <c r="R83">
        <f t="shared" si="100"/>
        <v>3.0017846549963876</v>
      </c>
      <c r="S83">
        <f t="shared" si="101"/>
        <v>0.54683645488473809</v>
      </c>
      <c r="T83">
        <f t="shared" si="102"/>
        <v>0.34674254762806145</v>
      </c>
      <c r="U83">
        <f t="shared" si="103"/>
        <v>344.33519876252359</v>
      </c>
      <c r="V83">
        <f t="shared" si="104"/>
        <v>30.413618339256026</v>
      </c>
      <c r="W83">
        <f t="shared" si="105"/>
        <v>29.995200000000001</v>
      </c>
      <c r="X83">
        <f t="shared" si="106"/>
        <v>4.2592752731664429</v>
      </c>
      <c r="Y83">
        <f t="shared" si="107"/>
        <v>65.63464642343807</v>
      </c>
      <c r="Z83">
        <f t="shared" si="108"/>
        <v>2.8694946353728001</v>
      </c>
      <c r="AA83">
        <f t="shared" si="109"/>
        <v>4.3719206116544358</v>
      </c>
      <c r="AB83">
        <f t="shared" si="110"/>
        <v>1.3897806377936428</v>
      </c>
      <c r="AC83">
        <f t="shared" si="111"/>
        <v>-350.73054152714775</v>
      </c>
      <c r="AD83">
        <f t="shared" si="112"/>
        <v>73.666023958538872</v>
      </c>
      <c r="AE83">
        <f t="shared" si="113"/>
        <v>5.4687076921705229</v>
      </c>
      <c r="AF83">
        <f t="shared" si="114"/>
        <v>72.739388886085251</v>
      </c>
      <c r="AG83">
        <v>0</v>
      </c>
      <c r="AH83">
        <v>0</v>
      </c>
      <c r="AI83">
        <f t="shared" si="115"/>
        <v>1</v>
      </c>
      <c r="AJ83">
        <f t="shared" si="116"/>
        <v>0</v>
      </c>
      <c r="AK83">
        <f t="shared" si="117"/>
        <v>51677.918725006726</v>
      </c>
      <c r="AL83" t="s">
        <v>431</v>
      </c>
      <c r="AM83" t="s">
        <v>431</v>
      </c>
      <c r="AN83">
        <v>0</v>
      </c>
      <c r="AO83">
        <v>0</v>
      </c>
      <c r="AP83" t="e">
        <f t="shared" si="118"/>
        <v>#DIV/0!</v>
      </c>
      <c r="AQ83">
        <v>0</v>
      </c>
      <c r="AR83" t="s">
        <v>431</v>
      </c>
      <c r="AS83" t="s">
        <v>431</v>
      </c>
      <c r="AT83">
        <v>0</v>
      </c>
      <c r="AU83">
        <v>0</v>
      </c>
      <c r="AV83" t="e">
        <f t="shared" si="119"/>
        <v>#DIV/0!</v>
      </c>
      <c r="AW83">
        <v>0.5</v>
      </c>
      <c r="AX83">
        <f t="shared" si="120"/>
        <v>1513.0334993812617</v>
      </c>
      <c r="AY83">
        <f t="shared" si="121"/>
        <v>22.473739199488946</v>
      </c>
      <c r="AZ83" t="e">
        <f t="shared" si="122"/>
        <v>#DIV/0!</v>
      </c>
      <c r="BA83">
        <f t="shared" si="123"/>
        <v>1.4853431340865442E-2</v>
      </c>
      <c r="BB83" t="e">
        <f t="shared" si="124"/>
        <v>#DIV/0!</v>
      </c>
      <c r="BC83" t="e">
        <f t="shared" si="125"/>
        <v>#DIV/0!</v>
      </c>
      <c r="BD83" t="s">
        <v>431</v>
      </c>
      <c r="BE83">
        <v>0</v>
      </c>
      <c r="BF83" t="e">
        <f t="shared" si="126"/>
        <v>#DIV/0!</v>
      </c>
      <c r="BG83" t="e">
        <f t="shared" si="127"/>
        <v>#DIV/0!</v>
      </c>
      <c r="BH83" t="e">
        <f t="shared" si="128"/>
        <v>#DIV/0!</v>
      </c>
      <c r="BI83" t="e">
        <f t="shared" si="129"/>
        <v>#DIV/0!</v>
      </c>
      <c r="BJ83" t="e">
        <f t="shared" si="130"/>
        <v>#DIV/0!</v>
      </c>
      <c r="BK83" t="e">
        <f t="shared" si="131"/>
        <v>#DIV/0!</v>
      </c>
      <c r="BL83" t="e">
        <f t="shared" si="132"/>
        <v>#DIV/0!</v>
      </c>
      <c r="BM83" t="e">
        <f t="shared" si="133"/>
        <v>#DIV/0!</v>
      </c>
      <c r="BN83">
        <v>20790</v>
      </c>
      <c r="BO83">
        <v>290.00000000000011</v>
      </c>
      <c r="BP83">
        <v>817.11</v>
      </c>
      <c r="BQ83">
        <v>285</v>
      </c>
      <c r="BR83">
        <v>7144.48</v>
      </c>
      <c r="BS83">
        <v>818.44</v>
      </c>
      <c r="BT83">
        <v>-1.33</v>
      </c>
      <c r="BU83">
        <v>300.00000000000011</v>
      </c>
      <c r="BV83">
        <v>38.200000000000003</v>
      </c>
      <c r="BW83">
        <v>874.30532802277355</v>
      </c>
      <c r="BX83">
        <v>1.426377747886409</v>
      </c>
      <c r="BY83">
        <v>-39.912511399679843</v>
      </c>
      <c r="BZ83">
        <v>0.85407501931896479</v>
      </c>
      <c r="CA83">
        <v>0.98734100774258804</v>
      </c>
      <c r="CB83">
        <v>-7.0528309232480609E-3</v>
      </c>
      <c r="CC83">
        <v>289.99999999999989</v>
      </c>
      <c r="CD83">
        <v>823.88</v>
      </c>
      <c r="CE83">
        <v>875</v>
      </c>
      <c r="CF83">
        <v>7137.27</v>
      </c>
      <c r="CG83">
        <v>818.38</v>
      </c>
      <c r="CH83">
        <v>5.5</v>
      </c>
      <c r="CV83">
        <f t="shared" si="134"/>
        <v>1799.82</v>
      </c>
      <c r="CW83">
        <f t="shared" si="135"/>
        <v>1513.0334993812617</v>
      </c>
      <c r="CX83">
        <f t="shared" si="136"/>
        <v>0.84065823214613777</v>
      </c>
      <c r="CY83">
        <f t="shared" si="137"/>
        <v>0.19131646429227567</v>
      </c>
      <c r="CZ83">
        <v>5.52</v>
      </c>
      <c r="DA83">
        <v>0.5</v>
      </c>
      <c r="DB83" t="s">
        <v>418</v>
      </c>
      <c r="DC83">
        <v>2</v>
      </c>
      <c r="DD83">
        <v>1700164247.5</v>
      </c>
      <c r="DE83">
        <v>94.374899999999997</v>
      </c>
      <c r="DF83">
        <v>120.01900000000001</v>
      </c>
      <c r="DG83">
        <v>28.948899999999998</v>
      </c>
      <c r="DH83">
        <v>20.421399999999998</v>
      </c>
      <c r="DI83">
        <v>97.590500000000006</v>
      </c>
      <c r="DJ83">
        <v>28.926100000000002</v>
      </c>
      <c r="DK83">
        <v>499.91300000000001</v>
      </c>
      <c r="DL83">
        <v>99.022300000000001</v>
      </c>
      <c r="DM83">
        <v>0.100452</v>
      </c>
      <c r="DN83">
        <v>30.450399999999998</v>
      </c>
      <c r="DO83">
        <v>29.995200000000001</v>
      </c>
      <c r="DP83">
        <v>999.9</v>
      </c>
      <c r="DQ83">
        <v>0</v>
      </c>
      <c r="DR83">
        <v>0</v>
      </c>
      <c r="DS83">
        <v>9982.5</v>
      </c>
      <c r="DT83">
        <v>0</v>
      </c>
      <c r="DU83">
        <v>215.661</v>
      </c>
      <c r="DV83">
        <v>-25.643999999999998</v>
      </c>
      <c r="DW83">
        <v>97.188400000000001</v>
      </c>
      <c r="DX83">
        <v>122.521</v>
      </c>
      <c r="DY83">
        <v>8.5275300000000005</v>
      </c>
      <c r="DZ83">
        <v>120.01900000000001</v>
      </c>
      <c r="EA83">
        <v>20.421399999999998</v>
      </c>
      <c r="EB83">
        <v>2.86659</v>
      </c>
      <c r="EC83">
        <v>2.02217</v>
      </c>
      <c r="ED83">
        <v>23.272600000000001</v>
      </c>
      <c r="EE83">
        <v>17.619</v>
      </c>
      <c r="EF83">
        <v>1799.82</v>
      </c>
      <c r="EG83">
        <v>0.97799999999999998</v>
      </c>
      <c r="EH83">
        <v>2.2000100000000002E-2</v>
      </c>
      <c r="EI83">
        <v>0</v>
      </c>
      <c r="EJ83">
        <v>694.11900000000003</v>
      </c>
      <c r="EK83">
        <v>5.0009399999999999</v>
      </c>
      <c r="EL83">
        <v>13585.7</v>
      </c>
      <c r="EM83">
        <v>13858.7</v>
      </c>
      <c r="EN83">
        <v>47.561999999999998</v>
      </c>
      <c r="EO83">
        <v>49.375</v>
      </c>
      <c r="EP83">
        <v>48.686999999999998</v>
      </c>
      <c r="EQ83">
        <v>48.686999999999998</v>
      </c>
      <c r="ER83">
        <v>49.061999999999998</v>
      </c>
      <c r="ES83">
        <v>1755.33</v>
      </c>
      <c r="ET83">
        <v>39.49</v>
      </c>
      <c r="EU83">
        <v>0</v>
      </c>
      <c r="EV83">
        <v>141.79999995231631</v>
      </c>
      <c r="EW83">
        <v>0</v>
      </c>
      <c r="EX83">
        <v>694.32852000000003</v>
      </c>
      <c r="EY83">
        <v>-1.053692304913957</v>
      </c>
      <c r="EZ83">
        <v>-90.846153693880396</v>
      </c>
      <c r="FA83">
        <v>13596.8</v>
      </c>
      <c r="FB83">
        <v>15</v>
      </c>
      <c r="FC83">
        <v>1700164208</v>
      </c>
      <c r="FD83" t="s">
        <v>710</v>
      </c>
      <c r="FE83">
        <v>1700164199</v>
      </c>
      <c r="FF83">
        <v>1700164208</v>
      </c>
      <c r="FG83">
        <v>73</v>
      </c>
      <c r="FH83">
        <v>1.4E-2</v>
      </c>
      <c r="FI83">
        <v>7.0000000000000001E-3</v>
      </c>
      <c r="FJ83">
        <v>-3.31</v>
      </c>
      <c r="FK83">
        <v>-1.9E-2</v>
      </c>
      <c r="FL83">
        <v>120</v>
      </c>
      <c r="FM83">
        <v>20</v>
      </c>
      <c r="FN83">
        <v>0.05</v>
      </c>
      <c r="FO83">
        <v>0.01</v>
      </c>
      <c r="FP83">
        <v>22.34246363096759</v>
      </c>
      <c r="FQ83">
        <v>0.64254864354376062</v>
      </c>
      <c r="FR83">
        <v>4.8472868806668373E-2</v>
      </c>
      <c r="FS83">
        <v>1</v>
      </c>
      <c r="FT83">
        <v>0.60529061886695712</v>
      </c>
      <c r="FU83">
        <v>2.8191906862935271E-2</v>
      </c>
      <c r="FV83">
        <v>2.5354235800023649E-3</v>
      </c>
      <c r="FW83">
        <v>1</v>
      </c>
      <c r="FX83">
        <v>2</v>
      </c>
      <c r="FY83">
        <v>2</v>
      </c>
      <c r="FZ83" t="s">
        <v>420</v>
      </c>
      <c r="GA83">
        <v>3.11843</v>
      </c>
      <c r="GB83">
        <v>2.8779300000000001</v>
      </c>
      <c r="GC83">
        <v>2.5175900000000001E-2</v>
      </c>
      <c r="GD83">
        <v>3.1130499999999998E-2</v>
      </c>
      <c r="GE83">
        <v>0.128306</v>
      </c>
      <c r="GF83">
        <v>0.100802</v>
      </c>
      <c r="GG83">
        <v>28281</v>
      </c>
      <c r="GH83">
        <v>28773.5</v>
      </c>
      <c r="GI83">
        <v>26723.4</v>
      </c>
      <c r="GJ83">
        <v>27429.599999999999</v>
      </c>
      <c r="GK83">
        <v>33314.199999999997</v>
      </c>
      <c r="GL83">
        <v>34460.300000000003</v>
      </c>
      <c r="GM83">
        <v>39591.599999999999</v>
      </c>
      <c r="GN83">
        <v>39720.6</v>
      </c>
      <c r="GO83">
        <v>1.99163</v>
      </c>
      <c r="GP83">
        <v>2.4388000000000001</v>
      </c>
      <c r="GQ83">
        <v>9.0151999999999993E-3</v>
      </c>
      <c r="GR83">
        <v>0</v>
      </c>
      <c r="GS83">
        <v>29.848400000000002</v>
      </c>
      <c r="GT83">
        <v>999.9</v>
      </c>
      <c r="GU83">
        <v>28.6</v>
      </c>
      <c r="GV83">
        <v>45</v>
      </c>
      <c r="GW83">
        <v>27.840399999999999</v>
      </c>
      <c r="GX83">
        <v>62.404299999999999</v>
      </c>
      <c r="GY83">
        <v>8.2732399999999995</v>
      </c>
      <c r="GZ83">
        <v>3</v>
      </c>
      <c r="HA83">
        <v>0.54889500000000002</v>
      </c>
      <c r="HB83">
        <v>3.0673699999999999</v>
      </c>
      <c r="HC83">
        <v>20.273599999999998</v>
      </c>
      <c r="HD83">
        <v>5.2127999999999997</v>
      </c>
      <c r="HE83">
        <v>11.908099999999999</v>
      </c>
      <c r="HF83">
        <v>4.9935</v>
      </c>
      <c r="HG83">
        <v>3.3028300000000002</v>
      </c>
      <c r="HH83">
        <v>9999</v>
      </c>
      <c r="HI83">
        <v>9999</v>
      </c>
      <c r="HJ83">
        <v>9999</v>
      </c>
      <c r="HK83">
        <v>999.9</v>
      </c>
      <c r="HL83">
        <v>1.88476</v>
      </c>
      <c r="HM83">
        <v>1.8852899999999999</v>
      </c>
      <c r="HN83">
        <v>1.88141</v>
      </c>
      <c r="HO83">
        <v>1.8830499999999999</v>
      </c>
      <c r="HP83">
        <v>1.87991</v>
      </c>
      <c r="HQ83">
        <v>1.8833899999999999</v>
      </c>
      <c r="HR83">
        <v>1.87937</v>
      </c>
      <c r="HS83">
        <v>1.8816900000000001</v>
      </c>
      <c r="HT83">
        <v>5</v>
      </c>
      <c r="HU83">
        <v>0</v>
      </c>
      <c r="HV83">
        <v>0</v>
      </c>
      <c r="HW83">
        <v>0</v>
      </c>
      <c r="HX83" t="s">
        <v>421</v>
      </c>
      <c r="HY83" t="s">
        <v>422</v>
      </c>
      <c r="HZ83" t="s">
        <v>423</v>
      </c>
      <c r="IA83" t="s">
        <v>423</v>
      </c>
      <c r="IB83" t="s">
        <v>423</v>
      </c>
      <c r="IC83" t="s">
        <v>423</v>
      </c>
      <c r="ID83">
        <v>0</v>
      </c>
      <c r="IE83">
        <v>100</v>
      </c>
      <c r="IF83">
        <v>100</v>
      </c>
      <c r="IG83">
        <v>-3.2160000000000002</v>
      </c>
      <c r="IH83">
        <v>2.2800000000000001E-2</v>
      </c>
      <c r="II83">
        <v>-2.8516231552083058</v>
      </c>
      <c r="IJ83">
        <v>-3.7794827560518689E-3</v>
      </c>
      <c r="IK83">
        <v>4.9551128961100493E-7</v>
      </c>
      <c r="IL83">
        <v>1.3680294268397379E-10</v>
      </c>
      <c r="IM83">
        <v>2.2788288523708289E-2</v>
      </c>
      <c r="IN83">
        <v>0</v>
      </c>
      <c r="IO83">
        <v>0</v>
      </c>
      <c r="IP83">
        <v>0</v>
      </c>
      <c r="IQ83">
        <v>4</v>
      </c>
      <c r="IR83">
        <v>2229</v>
      </c>
      <c r="IS83">
        <v>1</v>
      </c>
      <c r="IT83">
        <v>22</v>
      </c>
      <c r="IU83">
        <v>0.8</v>
      </c>
      <c r="IV83">
        <v>0.7</v>
      </c>
      <c r="IW83">
        <v>0.59326199999999996</v>
      </c>
      <c r="IX83">
        <v>2.6025399999999999</v>
      </c>
      <c r="IY83">
        <v>2.9956100000000001</v>
      </c>
      <c r="IZ83">
        <v>2.96631</v>
      </c>
      <c r="JA83">
        <v>3.1970200000000002</v>
      </c>
      <c r="JB83">
        <v>2.51831</v>
      </c>
      <c r="JC83">
        <v>47.3917</v>
      </c>
      <c r="JD83">
        <v>23.745999999999999</v>
      </c>
      <c r="JE83">
        <v>18</v>
      </c>
      <c r="JF83">
        <v>531.73</v>
      </c>
      <c r="JG83">
        <v>1119.02</v>
      </c>
      <c r="JH83">
        <v>25.9053</v>
      </c>
      <c r="JI83">
        <v>33.978900000000003</v>
      </c>
      <c r="JJ83">
        <v>30</v>
      </c>
      <c r="JK83">
        <v>33.973300000000002</v>
      </c>
      <c r="JL83">
        <v>33.892200000000003</v>
      </c>
      <c r="JM83">
        <v>11.889200000000001</v>
      </c>
      <c r="JN83">
        <v>21.6204</v>
      </c>
      <c r="JO83">
        <v>0</v>
      </c>
      <c r="JP83">
        <v>25.906400000000001</v>
      </c>
      <c r="JQ83">
        <v>120</v>
      </c>
      <c r="JR83">
        <v>20.275400000000001</v>
      </c>
      <c r="JS83">
        <v>98.685500000000005</v>
      </c>
      <c r="JT83">
        <v>97.179400000000001</v>
      </c>
    </row>
    <row r="84" spans="1:280" x14ac:dyDescent="0.25">
      <c r="A84">
        <v>68</v>
      </c>
      <c r="B84">
        <v>1700164369.5</v>
      </c>
      <c r="C84">
        <v>15388</v>
      </c>
      <c r="D84" t="s">
        <v>711</v>
      </c>
      <c r="E84" t="s">
        <v>712</v>
      </c>
      <c r="F84" t="s">
        <v>412</v>
      </c>
      <c r="G84" t="s">
        <v>482</v>
      </c>
      <c r="H84" t="s">
        <v>665</v>
      </c>
      <c r="I84">
        <v>1700164369.5</v>
      </c>
      <c r="J84">
        <f t="shared" si="92"/>
        <v>8.3980921457931911E-3</v>
      </c>
      <c r="K84">
        <f t="shared" si="93"/>
        <v>8.398092145793191</v>
      </c>
      <c r="L84">
        <f t="shared" si="94"/>
        <v>13.783306634752478</v>
      </c>
      <c r="M84">
        <f t="shared" si="95"/>
        <v>54.283900000000003</v>
      </c>
      <c r="N84">
        <f t="shared" si="96"/>
        <v>15.783686809587513</v>
      </c>
      <c r="O84">
        <f t="shared" si="97"/>
        <v>1.5645250823158436</v>
      </c>
      <c r="P84">
        <f t="shared" si="98"/>
        <v>5.3807785304214706</v>
      </c>
      <c r="Q84">
        <f t="shared" si="99"/>
        <v>0.64420201099494967</v>
      </c>
      <c r="R84">
        <f t="shared" si="100"/>
        <v>3.0073243560981813</v>
      </c>
      <c r="S84">
        <f t="shared" si="101"/>
        <v>0.57622394221699957</v>
      </c>
      <c r="T84">
        <f t="shared" si="102"/>
        <v>0.36564794045058102</v>
      </c>
      <c r="U84">
        <f t="shared" si="103"/>
        <v>344.3389987625373</v>
      </c>
      <c r="V84">
        <f t="shared" si="104"/>
        <v>30.380133346303705</v>
      </c>
      <c r="W84">
        <f t="shared" si="105"/>
        <v>30.032800000000002</v>
      </c>
      <c r="X84">
        <f t="shared" si="106"/>
        <v>4.268483074208512</v>
      </c>
      <c r="Y84">
        <f t="shared" si="107"/>
        <v>65.483873282861055</v>
      </c>
      <c r="Z84">
        <f t="shared" si="108"/>
        <v>2.8758928487918203</v>
      </c>
      <c r="AA84">
        <f t="shared" si="109"/>
        <v>4.3917573970758408</v>
      </c>
      <c r="AB84">
        <f t="shared" si="110"/>
        <v>1.3925902254166918</v>
      </c>
      <c r="AC84">
        <f t="shared" si="111"/>
        <v>-370.35586362947976</v>
      </c>
      <c r="AD84">
        <f t="shared" si="112"/>
        <v>80.530403469718422</v>
      </c>
      <c r="AE84">
        <f t="shared" si="113"/>
        <v>5.970728961172445</v>
      </c>
      <c r="AF84">
        <f t="shared" si="114"/>
        <v>60.484267563948393</v>
      </c>
      <c r="AG84">
        <v>0</v>
      </c>
      <c r="AH84">
        <v>0</v>
      </c>
      <c r="AI84">
        <f t="shared" si="115"/>
        <v>1</v>
      </c>
      <c r="AJ84">
        <f t="shared" si="116"/>
        <v>0</v>
      </c>
      <c r="AK84">
        <f t="shared" si="117"/>
        <v>51813.789254623975</v>
      </c>
      <c r="AL84" t="s">
        <v>415</v>
      </c>
      <c r="AM84">
        <v>7133.88</v>
      </c>
      <c r="AN84">
        <v>306.28384615384618</v>
      </c>
      <c r="AO84">
        <v>859.63916333292491</v>
      </c>
      <c r="AP84">
        <f t="shared" si="118"/>
        <v>0.64370650010133712</v>
      </c>
      <c r="AQ84">
        <v>-0.73746743666429193</v>
      </c>
      <c r="AR84" t="s">
        <v>713</v>
      </c>
      <c r="AS84">
        <v>7145.2</v>
      </c>
      <c r="AT84">
        <v>714.3345599999999</v>
      </c>
      <c r="AU84">
        <v>816.02694066506035</v>
      </c>
      <c r="AV84">
        <f t="shared" si="119"/>
        <v>0.12461890116297059</v>
      </c>
      <c r="AW84">
        <v>0.5</v>
      </c>
      <c r="AX84">
        <f t="shared" si="120"/>
        <v>1513.0502993812686</v>
      </c>
      <c r="AY84">
        <f t="shared" si="121"/>
        <v>13.783306634752478</v>
      </c>
      <c r="AZ84">
        <f t="shared" si="122"/>
        <v>94.277332856598676</v>
      </c>
      <c r="BA84">
        <f t="shared" si="123"/>
        <v>9.5970200576641421E-3</v>
      </c>
      <c r="BB84">
        <f t="shared" si="124"/>
        <v>5.3444586807784411E-2</v>
      </c>
      <c r="BC84">
        <f t="shared" si="125"/>
        <v>300.56058387346144</v>
      </c>
      <c r="BD84" t="s">
        <v>714</v>
      </c>
      <c r="BE84">
        <v>499.98</v>
      </c>
      <c r="BF84">
        <f t="shared" si="126"/>
        <v>499.98</v>
      </c>
      <c r="BG84">
        <f t="shared" si="127"/>
        <v>0.38729964038623854</v>
      </c>
      <c r="BH84">
        <f t="shared" si="128"/>
        <v>0.3217635344011503</v>
      </c>
      <c r="BI84">
        <f t="shared" si="129"/>
        <v>0.12125986799200256</v>
      </c>
      <c r="BJ84">
        <f t="shared" si="130"/>
        <v>0.19949731886524508</v>
      </c>
      <c r="BK84">
        <f t="shared" si="131"/>
        <v>7.881413860843163E-2</v>
      </c>
      <c r="BL84">
        <f t="shared" si="132"/>
        <v>0.22521006393682974</v>
      </c>
      <c r="BM84">
        <f t="shared" si="133"/>
        <v>0.77478993606317026</v>
      </c>
      <c r="BN84">
        <v>20792</v>
      </c>
      <c r="BO84">
        <v>290.00000000000011</v>
      </c>
      <c r="BP84">
        <v>789.5</v>
      </c>
      <c r="BQ84">
        <v>275</v>
      </c>
      <c r="BR84">
        <v>7145.2</v>
      </c>
      <c r="BS84">
        <v>789.49</v>
      </c>
      <c r="BT84">
        <v>0.01</v>
      </c>
      <c r="BU84">
        <v>300.00000000000011</v>
      </c>
      <c r="BV84">
        <v>38.200000000000003</v>
      </c>
      <c r="BW84">
        <v>816.02694066506035</v>
      </c>
      <c r="BX84">
        <v>0.95458752412235137</v>
      </c>
      <c r="BY84">
        <v>-18.962193102421558</v>
      </c>
      <c r="BZ84">
        <v>0.57161565638797451</v>
      </c>
      <c r="CA84">
        <v>0.97518712479957304</v>
      </c>
      <c r="CB84">
        <v>-7.05302469410456E-3</v>
      </c>
      <c r="CC84">
        <v>289.99999999999989</v>
      </c>
      <c r="CD84">
        <v>790.59</v>
      </c>
      <c r="CE84">
        <v>715</v>
      </c>
      <c r="CF84">
        <v>7140.22</v>
      </c>
      <c r="CG84">
        <v>789.47</v>
      </c>
      <c r="CH84">
        <v>1.1200000000000001</v>
      </c>
      <c r="CV84">
        <f t="shared" si="134"/>
        <v>1799.84</v>
      </c>
      <c r="CW84">
        <f t="shared" si="135"/>
        <v>1513.0502993812686</v>
      </c>
      <c r="CX84">
        <f t="shared" si="136"/>
        <v>0.84065822483180097</v>
      </c>
      <c r="CY84">
        <f t="shared" si="137"/>
        <v>0.19131644966360195</v>
      </c>
      <c r="CZ84">
        <v>5.52</v>
      </c>
      <c r="DA84">
        <v>0.5</v>
      </c>
      <c r="DB84" t="s">
        <v>418</v>
      </c>
      <c r="DC84">
        <v>2</v>
      </c>
      <c r="DD84">
        <v>1700164369.5</v>
      </c>
      <c r="DE84">
        <v>54.283900000000003</v>
      </c>
      <c r="DF84">
        <v>70.0017</v>
      </c>
      <c r="DG84">
        <v>29.013400000000001</v>
      </c>
      <c r="DH84">
        <v>20.0122</v>
      </c>
      <c r="DI84">
        <v>57.406999999999996</v>
      </c>
      <c r="DJ84">
        <v>28.982800000000001</v>
      </c>
      <c r="DK84">
        <v>500.072</v>
      </c>
      <c r="DL84">
        <v>99.023099999999999</v>
      </c>
      <c r="DM84">
        <v>9.9817299999999998E-2</v>
      </c>
      <c r="DN84">
        <v>30.529499999999999</v>
      </c>
      <c r="DO84">
        <v>30.032800000000002</v>
      </c>
      <c r="DP84">
        <v>999.9</v>
      </c>
      <c r="DQ84">
        <v>0</v>
      </c>
      <c r="DR84">
        <v>0</v>
      </c>
      <c r="DS84">
        <v>10012.5</v>
      </c>
      <c r="DT84">
        <v>0</v>
      </c>
      <c r="DU84">
        <v>191.727</v>
      </c>
      <c r="DV84">
        <v>-15.7178</v>
      </c>
      <c r="DW84">
        <v>55.905900000000003</v>
      </c>
      <c r="DX84">
        <v>71.431200000000004</v>
      </c>
      <c r="DY84">
        <v>9.0011500000000009</v>
      </c>
      <c r="DZ84">
        <v>70.0017</v>
      </c>
      <c r="EA84">
        <v>20.0122</v>
      </c>
      <c r="EB84">
        <v>2.8730000000000002</v>
      </c>
      <c r="EC84">
        <v>1.98167</v>
      </c>
      <c r="ED84">
        <v>23.3096</v>
      </c>
      <c r="EE84">
        <v>17.2987</v>
      </c>
      <c r="EF84">
        <v>1799.84</v>
      </c>
      <c r="EG84">
        <v>0.97799999999999998</v>
      </c>
      <c r="EH84">
        <v>2.2000100000000002E-2</v>
      </c>
      <c r="EI84">
        <v>0</v>
      </c>
      <c r="EJ84">
        <v>714.29700000000003</v>
      </c>
      <c r="EK84">
        <v>5.0009399999999999</v>
      </c>
      <c r="EL84">
        <v>13740.8</v>
      </c>
      <c r="EM84">
        <v>13859</v>
      </c>
      <c r="EN84">
        <v>47.561999999999998</v>
      </c>
      <c r="EO84">
        <v>49.375</v>
      </c>
      <c r="EP84">
        <v>48.686999999999998</v>
      </c>
      <c r="EQ84">
        <v>48.686999999999998</v>
      </c>
      <c r="ER84">
        <v>49.061999999999998</v>
      </c>
      <c r="ES84">
        <v>1755.35</v>
      </c>
      <c r="ET84">
        <v>39.49</v>
      </c>
      <c r="EU84">
        <v>0</v>
      </c>
      <c r="EV84">
        <v>264.20000004768372</v>
      </c>
      <c r="EW84">
        <v>0</v>
      </c>
      <c r="EX84">
        <v>714.3345599999999</v>
      </c>
      <c r="EY84">
        <v>-0.70976923738303777</v>
      </c>
      <c r="EZ84">
        <v>-44.223076804388029</v>
      </c>
      <c r="FA84">
        <v>13741.56</v>
      </c>
      <c r="FB84">
        <v>15</v>
      </c>
      <c r="FC84">
        <v>1700164336</v>
      </c>
      <c r="FD84" t="s">
        <v>715</v>
      </c>
      <c r="FE84">
        <v>1700164329.5</v>
      </c>
      <c r="FF84">
        <v>1700164336</v>
      </c>
      <c r="FG84">
        <v>74</v>
      </c>
      <c r="FH84">
        <v>-5.6000000000000001E-2</v>
      </c>
      <c r="FI84">
        <v>8.0000000000000002E-3</v>
      </c>
      <c r="FJ84">
        <v>-3.1819999999999999</v>
      </c>
      <c r="FK84">
        <v>-2.5000000000000001E-2</v>
      </c>
      <c r="FL84">
        <v>70</v>
      </c>
      <c r="FM84">
        <v>20</v>
      </c>
      <c r="FN84">
        <v>0.19</v>
      </c>
      <c r="FO84">
        <v>0.01</v>
      </c>
      <c r="FP84">
        <v>13.78059232493621</v>
      </c>
      <c r="FQ84">
        <v>-0.12589985121399599</v>
      </c>
      <c r="FR84">
        <v>2.165139005406138E-2</v>
      </c>
      <c r="FS84">
        <v>1</v>
      </c>
      <c r="FT84">
        <v>0.64564979991964344</v>
      </c>
      <c r="FU84">
        <v>1.8675074837309819E-2</v>
      </c>
      <c r="FV84">
        <v>2.527833156497454E-3</v>
      </c>
      <c r="FW84">
        <v>1</v>
      </c>
      <c r="FX84">
        <v>2</v>
      </c>
      <c r="FY84">
        <v>2</v>
      </c>
      <c r="FZ84" t="s">
        <v>420</v>
      </c>
      <c r="GA84">
        <v>3.1185200000000002</v>
      </c>
      <c r="GB84">
        <v>2.8775599999999999</v>
      </c>
      <c r="GC84">
        <v>1.50463E-2</v>
      </c>
      <c r="GD84">
        <v>1.8586499999999999E-2</v>
      </c>
      <c r="GE84">
        <v>0.12848699999999999</v>
      </c>
      <c r="GF84">
        <v>9.93343E-2</v>
      </c>
      <c r="GG84">
        <v>28571.7</v>
      </c>
      <c r="GH84">
        <v>29145.4</v>
      </c>
      <c r="GI84">
        <v>26720.9</v>
      </c>
      <c r="GJ84">
        <v>27429.5</v>
      </c>
      <c r="GK84">
        <v>33303.599999999999</v>
      </c>
      <c r="GL84">
        <v>34515.699999999997</v>
      </c>
      <c r="GM84">
        <v>39588.199999999997</v>
      </c>
      <c r="GN84">
        <v>39720.6</v>
      </c>
      <c r="GO84">
        <v>1.9923299999999999</v>
      </c>
      <c r="GP84">
        <v>2.4381699999999999</v>
      </c>
      <c r="GQ84">
        <v>6.1616300000000004E-3</v>
      </c>
      <c r="GR84">
        <v>0</v>
      </c>
      <c r="GS84">
        <v>29.932600000000001</v>
      </c>
      <c r="GT84">
        <v>999.9</v>
      </c>
      <c r="GU84">
        <v>28.6</v>
      </c>
      <c r="GV84">
        <v>44.9</v>
      </c>
      <c r="GW84">
        <v>27.696400000000001</v>
      </c>
      <c r="GX84">
        <v>62.354300000000002</v>
      </c>
      <c r="GY84">
        <v>7.8926299999999996</v>
      </c>
      <c r="GZ84">
        <v>3</v>
      </c>
      <c r="HA84">
        <v>0.55008100000000004</v>
      </c>
      <c r="HB84">
        <v>3.1492800000000001</v>
      </c>
      <c r="HC84">
        <v>20.271999999999998</v>
      </c>
      <c r="HD84">
        <v>5.2160900000000003</v>
      </c>
      <c r="HE84">
        <v>11.908099999999999</v>
      </c>
      <c r="HF84">
        <v>4.9968500000000002</v>
      </c>
      <c r="HG84">
        <v>3.30288</v>
      </c>
      <c r="HH84">
        <v>9999</v>
      </c>
      <c r="HI84">
        <v>9999</v>
      </c>
      <c r="HJ84">
        <v>9999</v>
      </c>
      <c r="HK84">
        <v>999.9</v>
      </c>
      <c r="HL84">
        <v>1.8847100000000001</v>
      </c>
      <c r="HM84">
        <v>1.88527</v>
      </c>
      <c r="HN84">
        <v>1.88141</v>
      </c>
      <c r="HO84">
        <v>1.8829899999999999</v>
      </c>
      <c r="HP84">
        <v>1.8798999999999999</v>
      </c>
      <c r="HQ84">
        <v>1.8833899999999999</v>
      </c>
      <c r="HR84">
        <v>1.87934</v>
      </c>
      <c r="HS84">
        <v>1.88167</v>
      </c>
      <c r="HT84">
        <v>5</v>
      </c>
      <c r="HU84">
        <v>0</v>
      </c>
      <c r="HV84">
        <v>0</v>
      </c>
      <c r="HW84">
        <v>0</v>
      </c>
      <c r="HX84" t="s">
        <v>421</v>
      </c>
      <c r="HY84" t="s">
        <v>422</v>
      </c>
      <c r="HZ84" t="s">
        <v>423</v>
      </c>
      <c r="IA84" t="s">
        <v>423</v>
      </c>
      <c r="IB84" t="s">
        <v>423</v>
      </c>
      <c r="IC84" t="s">
        <v>423</v>
      </c>
      <c r="ID84">
        <v>0</v>
      </c>
      <c r="IE84">
        <v>100</v>
      </c>
      <c r="IF84">
        <v>100</v>
      </c>
      <c r="IG84">
        <v>-3.1230000000000002</v>
      </c>
      <c r="IH84">
        <v>3.0599999999999999E-2</v>
      </c>
      <c r="II84">
        <v>-2.9078160489180611</v>
      </c>
      <c r="IJ84">
        <v>-3.7794827560518689E-3</v>
      </c>
      <c r="IK84">
        <v>4.9551128961100493E-7</v>
      </c>
      <c r="IL84">
        <v>1.3680294268397379E-10</v>
      </c>
      <c r="IM84">
        <v>3.0594971797082319E-2</v>
      </c>
      <c r="IN84">
        <v>0</v>
      </c>
      <c r="IO84">
        <v>0</v>
      </c>
      <c r="IP84">
        <v>0</v>
      </c>
      <c r="IQ84">
        <v>4</v>
      </c>
      <c r="IR84">
        <v>2229</v>
      </c>
      <c r="IS84">
        <v>1</v>
      </c>
      <c r="IT84">
        <v>22</v>
      </c>
      <c r="IU84">
        <v>0.7</v>
      </c>
      <c r="IV84">
        <v>0.6</v>
      </c>
      <c r="IW84">
        <v>0.41381800000000002</v>
      </c>
      <c r="IX84">
        <v>2.6147499999999999</v>
      </c>
      <c r="IY84">
        <v>2.9956100000000001</v>
      </c>
      <c r="IZ84">
        <v>2.96143</v>
      </c>
      <c r="JA84">
        <v>3.1970200000000002</v>
      </c>
      <c r="JB84">
        <v>2.52075</v>
      </c>
      <c r="JC84">
        <v>47.271999999999998</v>
      </c>
      <c r="JD84">
        <v>23.745999999999999</v>
      </c>
      <c r="JE84">
        <v>18</v>
      </c>
      <c r="JF84">
        <v>532.11400000000003</v>
      </c>
      <c r="JG84">
        <v>1117.9100000000001</v>
      </c>
      <c r="JH84">
        <v>26.099699999999999</v>
      </c>
      <c r="JI84">
        <v>33.976100000000002</v>
      </c>
      <c r="JJ84">
        <v>30.000399999999999</v>
      </c>
      <c r="JK84">
        <v>33.964100000000002</v>
      </c>
      <c r="JL84">
        <v>33.877000000000002</v>
      </c>
      <c r="JM84">
        <v>8.2883999999999993</v>
      </c>
      <c r="JN84">
        <v>22.7742</v>
      </c>
      <c r="JO84">
        <v>0</v>
      </c>
      <c r="JP84">
        <v>26.085699999999999</v>
      </c>
      <c r="JQ84">
        <v>70</v>
      </c>
      <c r="JR84">
        <v>19.8931</v>
      </c>
      <c r="JS84">
        <v>98.676599999999993</v>
      </c>
      <c r="JT84">
        <v>97.179199999999994</v>
      </c>
    </row>
    <row r="85" spans="1:280" x14ac:dyDescent="0.25">
      <c r="A85">
        <v>69</v>
      </c>
      <c r="B85">
        <v>1700164503.5</v>
      </c>
      <c r="C85">
        <v>15522</v>
      </c>
      <c r="D85" t="s">
        <v>716</v>
      </c>
      <c r="E85" t="s">
        <v>717</v>
      </c>
      <c r="F85" t="s">
        <v>412</v>
      </c>
      <c r="G85" t="s">
        <v>482</v>
      </c>
      <c r="H85" t="s">
        <v>665</v>
      </c>
      <c r="I85">
        <v>1700164503.5</v>
      </c>
      <c r="J85">
        <f t="shared" si="92"/>
        <v>8.630893320295794E-3</v>
      </c>
      <c r="K85">
        <f t="shared" si="93"/>
        <v>8.6308933202957938</v>
      </c>
      <c r="L85">
        <f t="shared" si="94"/>
        <v>6.3604561184991093</v>
      </c>
      <c r="M85">
        <f t="shared" si="95"/>
        <v>22.773199999999999</v>
      </c>
      <c r="N85">
        <f t="shared" si="96"/>
        <v>5.6524509516077064</v>
      </c>
      <c r="O85">
        <f t="shared" si="97"/>
        <v>0.56025857867410511</v>
      </c>
      <c r="P85">
        <f t="shared" si="98"/>
        <v>2.2572297881208803</v>
      </c>
      <c r="Q85">
        <f t="shared" si="99"/>
        <v>0.66962011092612439</v>
      </c>
      <c r="R85">
        <f t="shared" si="100"/>
        <v>3.0037833335977715</v>
      </c>
      <c r="S85">
        <f t="shared" si="101"/>
        <v>0.59642073953492414</v>
      </c>
      <c r="T85">
        <f t="shared" si="102"/>
        <v>0.37867066917668218</v>
      </c>
      <c r="U85">
        <f t="shared" si="103"/>
        <v>344.42259876283975</v>
      </c>
      <c r="V85">
        <f t="shared" si="104"/>
        <v>30.307541624250945</v>
      </c>
      <c r="W85">
        <f t="shared" si="105"/>
        <v>30.003499999999999</v>
      </c>
      <c r="X85">
        <f t="shared" si="106"/>
        <v>4.2613063560585509</v>
      </c>
      <c r="Y85">
        <f t="shared" si="107"/>
        <v>65.59810340620156</v>
      </c>
      <c r="Z85">
        <f t="shared" si="108"/>
        <v>2.8786191838881598</v>
      </c>
      <c r="AA85">
        <f t="shared" si="109"/>
        <v>4.3882658711380049</v>
      </c>
      <c r="AB85">
        <f t="shared" si="110"/>
        <v>1.3826871721703911</v>
      </c>
      <c r="AC85">
        <f t="shared" si="111"/>
        <v>-380.62239542504449</v>
      </c>
      <c r="AD85">
        <f t="shared" si="112"/>
        <v>82.929457142140748</v>
      </c>
      <c r="AE85">
        <f t="shared" si="113"/>
        <v>6.1545342829609204</v>
      </c>
      <c r="AF85">
        <f t="shared" si="114"/>
        <v>52.884194762896939</v>
      </c>
      <c r="AG85">
        <v>0</v>
      </c>
      <c r="AH85">
        <v>0</v>
      </c>
      <c r="AI85">
        <f t="shared" si="115"/>
        <v>1</v>
      </c>
      <c r="AJ85">
        <f t="shared" si="116"/>
        <v>0</v>
      </c>
      <c r="AK85">
        <f t="shared" si="117"/>
        <v>51720.590702207781</v>
      </c>
      <c r="AL85" t="s">
        <v>431</v>
      </c>
      <c r="AM85" t="s">
        <v>431</v>
      </c>
      <c r="AN85">
        <v>0</v>
      </c>
      <c r="AO85">
        <v>0</v>
      </c>
      <c r="AP85" t="e">
        <f t="shared" si="118"/>
        <v>#DIV/0!</v>
      </c>
      <c r="AQ85">
        <v>0</v>
      </c>
      <c r="AR85" t="s">
        <v>431</v>
      </c>
      <c r="AS85" t="s">
        <v>431</v>
      </c>
      <c r="AT85">
        <v>0</v>
      </c>
      <c r="AU85">
        <v>0</v>
      </c>
      <c r="AV85" t="e">
        <f t="shared" si="119"/>
        <v>#DIV/0!</v>
      </c>
      <c r="AW85">
        <v>0.5</v>
      </c>
      <c r="AX85">
        <f t="shared" si="120"/>
        <v>1513.4198993814198</v>
      </c>
      <c r="AY85">
        <f t="shared" si="121"/>
        <v>6.3604561184991093</v>
      </c>
      <c r="AZ85" t="e">
        <f t="shared" si="122"/>
        <v>#DIV/0!</v>
      </c>
      <c r="BA85">
        <f t="shared" si="123"/>
        <v>4.2027041676264594E-3</v>
      </c>
      <c r="BB85" t="e">
        <f t="shared" si="124"/>
        <v>#DIV/0!</v>
      </c>
      <c r="BC85" t="e">
        <f t="shared" si="125"/>
        <v>#DIV/0!</v>
      </c>
      <c r="BD85" t="s">
        <v>431</v>
      </c>
      <c r="BE85">
        <v>0</v>
      </c>
      <c r="BF85" t="e">
        <f t="shared" si="126"/>
        <v>#DIV/0!</v>
      </c>
      <c r="BG85" t="e">
        <f t="shared" si="127"/>
        <v>#DIV/0!</v>
      </c>
      <c r="BH85" t="e">
        <f t="shared" si="128"/>
        <v>#DIV/0!</v>
      </c>
      <c r="BI85" t="e">
        <f t="shared" si="129"/>
        <v>#DIV/0!</v>
      </c>
      <c r="BJ85" t="e">
        <f t="shared" si="130"/>
        <v>#DIV/0!</v>
      </c>
      <c r="BK85" t="e">
        <f t="shared" si="131"/>
        <v>#DIV/0!</v>
      </c>
      <c r="BL85" t="e">
        <f t="shared" si="132"/>
        <v>#DIV/0!</v>
      </c>
      <c r="BM85" t="e">
        <f t="shared" si="133"/>
        <v>#DIV/0!</v>
      </c>
      <c r="BN85">
        <v>20792</v>
      </c>
      <c r="BO85">
        <v>290.00000000000011</v>
      </c>
      <c r="BP85">
        <v>789.5</v>
      </c>
      <c r="BQ85">
        <v>275</v>
      </c>
      <c r="BR85">
        <v>7145.2</v>
      </c>
      <c r="BS85">
        <v>789.49</v>
      </c>
      <c r="BT85">
        <v>0.01</v>
      </c>
      <c r="BU85">
        <v>300.00000000000011</v>
      </c>
      <c r="BV85">
        <v>38.200000000000003</v>
      </c>
      <c r="BW85">
        <v>816.02694066506035</v>
      </c>
      <c r="BX85">
        <v>0.95458752412235137</v>
      </c>
      <c r="BY85">
        <v>-18.962193102421558</v>
      </c>
      <c r="BZ85">
        <v>0.57161565638797451</v>
      </c>
      <c r="CA85">
        <v>0.97518712479957304</v>
      </c>
      <c r="CB85">
        <v>-7.05302469410456E-3</v>
      </c>
      <c r="CC85">
        <v>289.99999999999989</v>
      </c>
      <c r="CD85">
        <v>790.59</v>
      </c>
      <c r="CE85">
        <v>715</v>
      </c>
      <c r="CF85">
        <v>7140.22</v>
      </c>
      <c r="CG85">
        <v>789.47</v>
      </c>
      <c r="CH85">
        <v>1.1200000000000001</v>
      </c>
      <c r="CV85">
        <f t="shared" si="134"/>
        <v>1800.28</v>
      </c>
      <c r="CW85">
        <f t="shared" si="135"/>
        <v>1513.4198993814198</v>
      </c>
      <c r="CX85">
        <f t="shared" si="136"/>
        <v>0.84065806395750653</v>
      </c>
      <c r="CY85">
        <f t="shared" si="137"/>
        <v>0.1913161279150131</v>
      </c>
      <c r="CZ85">
        <v>5.52</v>
      </c>
      <c r="DA85">
        <v>0.5</v>
      </c>
      <c r="DB85" t="s">
        <v>418</v>
      </c>
      <c r="DC85">
        <v>2</v>
      </c>
      <c r="DD85">
        <v>1700164503.5</v>
      </c>
      <c r="DE85">
        <v>22.773199999999999</v>
      </c>
      <c r="DF85">
        <v>30.015599999999999</v>
      </c>
      <c r="DG85">
        <v>29.042400000000001</v>
      </c>
      <c r="DH85">
        <v>19.786200000000001</v>
      </c>
      <c r="DI85">
        <v>25.832999999999998</v>
      </c>
      <c r="DJ85">
        <v>29.009399999999999</v>
      </c>
      <c r="DK85">
        <v>499.76100000000002</v>
      </c>
      <c r="DL85">
        <v>99.018299999999996</v>
      </c>
      <c r="DM85">
        <v>9.9513400000000002E-2</v>
      </c>
      <c r="DN85">
        <v>30.515599999999999</v>
      </c>
      <c r="DO85">
        <v>30.003499999999999</v>
      </c>
      <c r="DP85">
        <v>999.9</v>
      </c>
      <c r="DQ85">
        <v>0</v>
      </c>
      <c r="DR85">
        <v>0</v>
      </c>
      <c r="DS85">
        <v>9993.75</v>
      </c>
      <c r="DT85">
        <v>0</v>
      </c>
      <c r="DU85">
        <v>194.02699999999999</v>
      </c>
      <c r="DV85">
        <v>-7.2424400000000002</v>
      </c>
      <c r="DW85">
        <v>23.4543</v>
      </c>
      <c r="DX85">
        <v>30.621500000000001</v>
      </c>
      <c r="DY85">
        <v>9.2561400000000003</v>
      </c>
      <c r="DZ85">
        <v>30.015599999999999</v>
      </c>
      <c r="EA85">
        <v>19.786200000000001</v>
      </c>
      <c r="EB85">
        <v>2.8757199999999998</v>
      </c>
      <c r="EC85">
        <v>1.9592000000000001</v>
      </c>
      <c r="ED85">
        <v>23.325299999999999</v>
      </c>
      <c r="EE85">
        <v>17.118400000000001</v>
      </c>
      <c r="EF85">
        <v>1800.28</v>
      </c>
      <c r="EG85">
        <v>0.97800399999999998</v>
      </c>
      <c r="EH85">
        <v>2.19963E-2</v>
      </c>
      <c r="EI85">
        <v>0</v>
      </c>
      <c r="EJ85">
        <v>733.35199999999998</v>
      </c>
      <c r="EK85">
        <v>5.0009399999999999</v>
      </c>
      <c r="EL85">
        <v>14234.1</v>
      </c>
      <c r="EM85">
        <v>13862.3</v>
      </c>
      <c r="EN85">
        <v>47.561999999999998</v>
      </c>
      <c r="EO85">
        <v>49.25</v>
      </c>
      <c r="EP85">
        <v>48.561999999999998</v>
      </c>
      <c r="EQ85">
        <v>48.625</v>
      </c>
      <c r="ER85">
        <v>49.061999999999998</v>
      </c>
      <c r="ES85">
        <v>1755.79</v>
      </c>
      <c r="ET85">
        <v>39.49</v>
      </c>
      <c r="EU85">
        <v>0</v>
      </c>
      <c r="EV85">
        <v>132</v>
      </c>
      <c r="EW85">
        <v>0</v>
      </c>
      <c r="EX85">
        <v>733.35565384615381</v>
      </c>
      <c r="EY85">
        <v>-0.88830771621534244</v>
      </c>
      <c r="EZ85">
        <v>42.112820575306273</v>
      </c>
      <c r="FA85">
        <v>14229.75384615385</v>
      </c>
      <c r="FB85">
        <v>15</v>
      </c>
      <c r="FC85">
        <v>1700164469</v>
      </c>
      <c r="FD85" t="s">
        <v>718</v>
      </c>
      <c r="FE85">
        <v>1700164458</v>
      </c>
      <c r="FF85">
        <v>1700164469</v>
      </c>
      <c r="FG85">
        <v>75</v>
      </c>
      <c r="FH85">
        <v>-5.5E-2</v>
      </c>
      <c r="FI85">
        <v>2E-3</v>
      </c>
      <c r="FJ85">
        <v>-3.0870000000000002</v>
      </c>
      <c r="FK85">
        <v>-2.7E-2</v>
      </c>
      <c r="FL85">
        <v>30</v>
      </c>
      <c r="FM85">
        <v>20</v>
      </c>
      <c r="FN85">
        <v>0.11</v>
      </c>
      <c r="FO85">
        <v>0.01</v>
      </c>
      <c r="FP85">
        <v>6.3464434976087851</v>
      </c>
      <c r="FQ85">
        <v>-4.3538083220423567E-2</v>
      </c>
      <c r="FR85">
        <v>1.008311573772922E-2</v>
      </c>
      <c r="FS85">
        <v>1</v>
      </c>
      <c r="FT85">
        <v>0.67148817958566864</v>
      </c>
      <c r="FU85">
        <v>2.0401600028139649E-2</v>
      </c>
      <c r="FV85">
        <v>2.878998902456748E-3</v>
      </c>
      <c r="FW85">
        <v>1</v>
      </c>
      <c r="FX85">
        <v>2</v>
      </c>
      <c r="FY85">
        <v>2</v>
      </c>
      <c r="FZ85" t="s">
        <v>420</v>
      </c>
      <c r="GA85">
        <v>3.1181100000000002</v>
      </c>
      <c r="GB85">
        <v>2.8770799999999999</v>
      </c>
      <c r="GC85">
        <v>6.8288400000000001E-3</v>
      </c>
      <c r="GD85">
        <v>8.0762000000000004E-3</v>
      </c>
      <c r="GE85">
        <v>0.12857399999999999</v>
      </c>
      <c r="GF85">
        <v>9.8519499999999996E-2</v>
      </c>
      <c r="GG85">
        <v>28813</v>
      </c>
      <c r="GH85">
        <v>29463</v>
      </c>
      <c r="GI85">
        <v>26723.8</v>
      </c>
      <c r="GJ85">
        <v>27434.9</v>
      </c>
      <c r="GK85">
        <v>33302.800000000003</v>
      </c>
      <c r="GL85">
        <v>34552.5</v>
      </c>
      <c r="GM85">
        <v>39592.1</v>
      </c>
      <c r="GN85">
        <v>39728</v>
      </c>
      <c r="GO85">
        <v>1.9921199999999999</v>
      </c>
      <c r="GP85">
        <v>2.44007</v>
      </c>
      <c r="GQ85">
        <v>5.7667500000000002E-3</v>
      </c>
      <c r="GR85">
        <v>0</v>
      </c>
      <c r="GS85">
        <v>29.909700000000001</v>
      </c>
      <c r="GT85">
        <v>999.9</v>
      </c>
      <c r="GU85">
        <v>28.6</v>
      </c>
      <c r="GV85">
        <v>44.8</v>
      </c>
      <c r="GW85">
        <v>27.5519</v>
      </c>
      <c r="GX85">
        <v>62.724299999999999</v>
      </c>
      <c r="GY85">
        <v>8.0048100000000009</v>
      </c>
      <c r="GZ85">
        <v>3</v>
      </c>
      <c r="HA85">
        <v>0.54437800000000003</v>
      </c>
      <c r="HB85">
        <v>2.9714900000000002</v>
      </c>
      <c r="HC85">
        <v>20.275400000000001</v>
      </c>
      <c r="HD85">
        <v>5.2090500000000004</v>
      </c>
      <c r="HE85">
        <v>11.908099999999999</v>
      </c>
      <c r="HF85">
        <v>4.9957500000000001</v>
      </c>
      <c r="HG85">
        <v>3.3020999999999998</v>
      </c>
      <c r="HH85">
        <v>9999</v>
      </c>
      <c r="HI85">
        <v>9999</v>
      </c>
      <c r="HJ85">
        <v>9999</v>
      </c>
      <c r="HK85">
        <v>999.9</v>
      </c>
      <c r="HL85">
        <v>1.8847700000000001</v>
      </c>
      <c r="HM85">
        <v>1.8852800000000001</v>
      </c>
      <c r="HN85">
        <v>1.88141</v>
      </c>
      <c r="HO85">
        <v>1.88304</v>
      </c>
      <c r="HP85">
        <v>1.87991</v>
      </c>
      <c r="HQ85">
        <v>1.8833899999999999</v>
      </c>
      <c r="HR85">
        <v>1.8793500000000001</v>
      </c>
      <c r="HS85">
        <v>1.88164</v>
      </c>
      <c r="HT85">
        <v>5</v>
      </c>
      <c r="HU85">
        <v>0</v>
      </c>
      <c r="HV85">
        <v>0</v>
      </c>
      <c r="HW85">
        <v>0</v>
      </c>
      <c r="HX85" t="s">
        <v>421</v>
      </c>
      <c r="HY85" t="s">
        <v>422</v>
      </c>
      <c r="HZ85" t="s">
        <v>423</v>
      </c>
      <c r="IA85" t="s">
        <v>423</v>
      </c>
      <c r="IB85" t="s">
        <v>423</v>
      </c>
      <c r="IC85" t="s">
        <v>423</v>
      </c>
      <c r="ID85">
        <v>0</v>
      </c>
      <c r="IE85">
        <v>100</v>
      </c>
      <c r="IF85">
        <v>100</v>
      </c>
      <c r="IG85">
        <v>-3.06</v>
      </c>
      <c r="IH85">
        <v>3.3000000000000002E-2</v>
      </c>
      <c r="II85">
        <v>-2.9625169874802602</v>
      </c>
      <c r="IJ85">
        <v>-3.7794827560518689E-3</v>
      </c>
      <c r="IK85">
        <v>4.9551128961100493E-7</v>
      </c>
      <c r="IL85">
        <v>1.3680294268397379E-10</v>
      </c>
      <c r="IM85">
        <v>3.295359728322933E-2</v>
      </c>
      <c r="IN85">
        <v>0</v>
      </c>
      <c r="IO85">
        <v>0</v>
      </c>
      <c r="IP85">
        <v>0</v>
      </c>
      <c r="IQ85">
        <v>4</v>
      </c>
      <c r="IR85">
        <v>2229</v>
      </c>
      <c r="IS85">
        <v>1</v>
      </c>
      <c r="IT85">
        <v>22</v>
      </c>
      <c r="IU85">
        <v>0.8</v>
      </c>
      <c r="IV85">
        <v>0.6</v>
      </c>
      <c r="IW85">
        <v>0.26977499999999999</v>
      </c>
      <c r="IX85">
        <v>2.6269499999999999</v>
      </c>
      <c r="IY85">
        <v>2.9956100000000001</v>
      </c>
      <c r="IZ85">
        <v>2.96631</v>
      </c>
      <c r="JA85">
        <v>3.1970200000000002</v>
      </c>
      <c r="JB85">
        <v>2.5158700000000001</v>
      </c>
      <c r="JC85">
        <v>47.182499999999997</v>
      </c>
      <c r="JD85">
        <v>23.745999999999999</v>
      </c>
      <c r="JE85">
        <v>18</v>
      </c>
      <c r="JF85">
        <v>531.70299999999997</v>
      </c>
      <c r="JG85">
        <v>1119.8</v>
      </c>
      <c r="JH85">
        <v>26.152200000000001</v>
      </c>
      <c r="JI85">
        <v>33.945500000000003</v>
      </c>
      <c r="JJ85">
        <v>30.0002</v>
      </c>
      <c r="JK85">
        <v>33.930199999999999</v>
      </c>
      <c r="JL85">
        <v>33.840699999999998</v>
      </c>
      <c r="JM85">
        <v>5.4204299999999996</v>
      </c>
      <c r="JN85">
        <v>23.116399999999999</v>
      </c>
      <c r="JO85">
        <v>0</v>
      </c>
      <c r="JP85">
        <v>26.1417</v>
      </c>
      <c r="JQ85">
        <v>30</v>
      </c>
      <c r="JR85">
        <v>19.661799999999999</v>
      </c>
      <c r="JS85">
        <v>98.686700000000002</v>
      </c>
      <c r="JT85">
        <v>97.197900000000004</v>
      </c>
    </row>
    <row r="86" spans="1:280" x14ac:dyDescent="0.25">
      <c r="A86">
        <v>70</v>
      </c>
      <c r="B86">
        <v>1700164612.5</v>
      </c>
      <c r="C86">
        <v>15631</v>
      </c>
      <c r="D86" t="s">
        <v>719</v>
      </c>
      <c r="E86" t="s">
        <v>720</v>
      </c>
      <c r="F86" t="s">
        <v>412</v>
      </c>
      <c r="G86" t="s">
        <v>482</v>
      </c>
      <c r="H86" t="s">
        <v>665</v>
      </c>
      <c r="I86">
        <v>1700164612.5</v>
      </c>
      <c r="J86">
        <f t="shared" si="92"/>
        <v>8.8835013274740533E-3</v>
      </c>
      <c r="K86">
        <f t="shared" si="93"/>
        <v>8.883501327474054</v>
      </c>
      <c r="L86">
        <f t="shared" si="94"/>
        <v>2.4748262603364481</v>
      </c>
      <c r="M86">
        <f t="shared" si="95"/>
        <v>7.1907300000000003</v>
      </c>
      <c r="N86">
        <f t="shared" si="96"/>
        <v>0.76086054393932512</v>
      </c>
      <c r="O86">
        <f t="shared" si="97"/>
        <v>7.5404233108502347E-2</v>
      </c>
      <c r="P86">
        <f t="shared" si="98"/>
        <v>0.71262925309942193</v>
      </c>
      <c r="Q86">
        <f t="shared" si="99"/>
        <v>0.69249502494793358</v>
      </c>
      <c r="R86">
        <f t="shared" si="100"/>
        <v>3.0070812536752607</v>
      </c>
      <c r="S86">
        <f t="shared" si="101"/>
        <v>0.61459511598854366</v>
      </c>
      <c r="T86">
        <f t="shared" si="102"/>
        <v>0.39038821239935745</v>
      </c>
      <c r="U86">
        <f t="shared" si="103"/>
        <v>344.37699876267482</v>
      </c>
      <c r="V86">
        <f t="shared" si="104"/>
        <v>30.312743200704446</v>
      </c>
      <c r="W86">
        <f t="shared" si="105"/>
        <v>29.992100000000001</v>
      </c>
      <c r="X86">
        <f t="shared" si="106"/>
        <v>4.2585168923730068</v>
      </c>
      <c r="Y86">
        <f t="shared" si="107"/>
        <v>65.316252786076703</v>
      </c>
      <c r="Z86">
        <f t="shared" si="108"/>
        <v>2.8776199418829598</v>
      </c>
      <c r="AA86">
        <f t="shared" si="109"/>
        <v>4.4056721246819208</v>
      </c>
      <c r="AB86">
        <f t="shared" si="110"/>
        <v>1.380896950490047</v>
      </c>
      <c r="AC86">
        <f t="shared" si="111"/>
        <v>-391.76240854160574</v>
      </c>
      <c r="AD86">
        <f t="shared" si="112"/>
        <v>96.087199047683086</v>
      </c>
      <c r="AE86">
        <f t="shared" si="113"/>
        <v>7.1252418129909207</v>
      </c>
      <c r="AF86">
        <f t="shared" si="114"/>
        <v>55.827031081743073</v>
      </c>
      <c r="AG86">
        <v>0</v>
      </c>
      <c r="AH86">
        <v>0</v>
      </c>
      <c r="AI86">
        <f t="shared" si="115"/>
        <v>1</v>
      </c>
      <c r="AJ86">
        <f t="shared" si="116"/>
        <v>0</v>
      </c>
      <c r="AK86">
        <f t="shared" si="117"/>
        <v>51797.3870621022</v>
      </c>
      <c r="AL86" t="s">
        <v>415</v>
      </c>
      <c r="AM86">
        <v>7133.88</v>
      </c>
      <c r="AN86">
        <v>306.28384615384618</v>
      </c>
      <c r="AO86">
        <v>859.63916333292491</v>
      </c>
      <c r="AP86">
        <f t="shared" si="118"/>
        <v>0.64370650010133712</v>
      </c>
      <c r="AQ86">
        <v>-0.73746743666429193</v>
      </c>
      <c r="AR86" t="s">
        <v>721</v>
      </c>
      <c r="AS86">
        <v>7148.4</v>
      </c>
      <c r="AT86">
        <v>745.14492307692308</v>
      </c>
      <c r="AU86">
        <v>798.06492925400653</v>
      </c>
      <c r="AV86">
        <f t="shared" si="119"/>
        <v>6.6310401869871138E-2</v>
      </c>
      <c r="AW86">
        <v>0.5</v>
      </c>
      <c r="AX86">
        <f t="shared" si="120"/>
        <v>1513.2182993813374</v>
      </c>
      <c r="AY86">
        <f t="shared" si="121"/>
        <v>2.4748262603364481</v>
      </c>
      <c r="AZ86">
        <f t="shared" si="122"/>
        <v>50.171056774409728</v>
      </c>
      <c r="BA86">
        <f t="shared" si="123"/>
        <v>2.1228223966852969E-3</v>
      </c>
      <c r="BB86">
        <f t="shared" si="124"/>
        <v>7.7154416666918413E-2</v>
      </c>
      <c r="BC86">
        <f t="shared" si="125"/>
        <v>298.08948046047067</v>
      </c>
      <c r="BD86" t="s">
        <v>722</v>
      </c>
      <c r="BE86">
        <v>533.57000000000005</v>
      </c>
      <c r="BF86">
        <f t="shared" si="126"/>
        <v>533.57000000000005</v>
      </c>
      <c r="BG86">
        <f t="shared" si="127"/>
        <v>0.33142031375973868</v>
      </c>
      <c r="BH86">
        <f t="shared" si="128"/>
        <v>0.2000794734566044</v>
      </c>
      <c r="BI86">
        <f t="shared" si="129"/>
        <v>0.18883795526548927</v>
      </c>
      <c r="BJ86">
        <f t="shared" si="130"/>
        <v>0.10760886905913238</v>
      </c>
      <c r="BK86">
        <f t="shared" si="131"/>
        <v>0.11127431537626577</v>
      </c>
      <c r="BL86">
        <f t="shared" si="132"/>
        <v>0.14326931761329292</v>
      </c>
      <c r="BM86">
        <f t="shared" si="133"/>
        <v>0.85673068238670713</v>
      </c>
      <c r="BN86">
        <v>20794</v>
      </c>
      <c r="BO86">
        <v>290.00000000000011</v>
      </c>
      <c r="BP86">
        <v>781.28</v>
      </c>
      <c r="BQ86">
        <v>205</v>
      </c>
      <c r="BR86">
        <v>7148.4</v>
      </c>
      <c r="BS86">
        <v>781.21</v>
      </c>
      <c r="BT86">
        <v>7.0000000000000007E-2</v>
      </c>
      <c r="BU86">
        <v>300.00000000000011</v>
      </c>
      <c r="BV86">
        <v>38.200000000000003</v>
      </c>
      <c r="BW86">
        <v>798.06492925400653</v>
      </c>
      <c r="BX86">
        <v>1.074939184254915</v>
      </c>
      <c r="BY86">
        <v>-12.047934046222259</v>
      </c>
      <c r="BZ86">
        <v>0.64373685653941992</v>
      </c>
      <c r="CA86">
        <v>0.92597966159307743</v>
      </c>
      <c r="CB86">
        <v>-7.05351412680757E-3</v>
      </c>
      <c r="CC86">
        <v>289.99999999999989</v>
      </c>
      <c r="CD86">
        <v>781.05</v>
      </c>
      <c r="CE86">
        <v>615</v>
      </c>
      <c r="CF86">
        <v>7143.14</v>
      </c>
      <c r="CG86">
        <v>781.2</v>
      </c>
      <c r="CH86">
        <v>-0.15</v>
      </c>
      <c r="CV86">
        <f t="shared" si="134"/>
        <v>1800.04</v>
      </c>
      <c r="CW86">
        <f t="shared" si="135"/>
        <v>1513.2182993813374</v>
      </c>
      <c r="CX86">
        <f t="shared" si="136"/>
        <v>0.8406581516973719</v>
      </c>
      <c r="CY86">
        <f t="shared" si="137"/>
        <v>0.1913163033947439</v>
      </c>
      <c r="CZ86">
        <v>5.52</v>
      </c>
      <c r="DA86">
        <v>0.5</v>
      </c>
      <c r="DB86" t="s">
        <v>418</v>
      </c>
      <c r="DC86">
        <v>2</v>
      </c>
      <c r="DD86">
        <v>1700164612.5</v>
      </c>
      <c r="DE86">
        <v>7.1907300000000003</v>
      </c>
      <c r="DF86">
        <v>9.9937799999999992</v>
      </c>
      <c r="DG86">
        <v>29.0364</v>
      </c>
      <c r="DH86">
        <v>19.512699999999999</v>
      </c>
      <c r="DI86">
        <v>10.2462</v>
      </c>
      <c r="DJ86">
        <v>29.004300000000001</v>
      </c>
      <c r="DK86">
        <v>499.94299999999998</v>
      </c>
      <c r="DL86">
        <v>99.004099999999994</v>
      </c>
      <c r="DM86">
        <v>9.9781400000000006E-2</v>
      </c>
      <c r="DN86">
        <v>30.584800000000001</v>
      </c>
      <c r="DO86">
        <v>29.992100000000001</v>
      </c>
      <c r="DP86">
        <v>999.9</v>
      </c>
      <c r="DQ86">
        <v>0</v>
      </c>
      <c r="DR86">
        <v>0</v>
      </c>
      <c r="DS86">
        <v>10013.1</v>
      </c>
      <c r="DT86">
        <v>0</v>
      </c>
      <c r="DU86">
        <v>196.14099999999999</v>
      </c>
      <c r="DV86">
        <v>-2.8030499999999998</v>
      </c>
      <c r="DW86">
        <v>7.4057599999999999</v>
      </c>
      <c r="DX86">
        <v>10.1927</v>
      </c>
      <c r="DY86">
        <v>9.5236400000000003</v>
      </c>
      <c r="DZ86">
        <v>9.9937799999999992</v>
      </c>
      <c r="EA86">
        <v>19.512699999999999</v>
      </c>
      <c r="EB86">
        <v>2.8747199999999999</v>
      </c>
      <c r="EC86">
        <v>1.93184</v>
      </c>
      <c r="ED86">
        <v>23.319500000000001</v>
      </c>
      <c r="EE86">
        <v>16.8965</v>
      </c>
      <c r="EF86">
        <v>1800.04</v>
      </c>
      <c r="EG86">
        <v>0.97799999999999998</v>
      </c>
      <c r="EH86">
        <v>2.2000100000000002E-2</v>
      </c>
      <c r="EI86">
        <v>0</v>
      </c>
      <c r="EJ86">
        <v>745.04200000000003</v>
      </c>
      <c r="EK86">
        <v>5.0009399999999999</v>
      </c>
      <c r="EL86">
        <v>14448.1</v>
      </c>
      <c r="EM86">
        <v>13860.5</v>
      </c>
      <c r="EN86">
        <v>47.5</v>
      </c>
      <c r="EO86">
        <v>49.25</v>
      </c>
      <c r="EP86">
        <v>48.561999999999998</v>
      </c>
      <c r="EQ86">
        <v>48.5</v>
      </c>
      <c r="ER86">
        <v>49</v>
      </c>
      <c r="ES86">
        <v>1755.55</v>
      </c>
      <c r="ET86">
        <v>39.49</v>
      </c>
      <c r="EU86">
        <v>0</v>
      </c>
      <c r="EV86">
        <v>241.20000004768369</v>
      </c>
      <c r="EW86">
        <v>0</v>
      </c>
      <c r="EX86">
        <v>745.14492307692308</v>
      </c>
      <c r="EY86">
        <v>-0.26837607147830839</v>
      </c>
      <c r="EZ86">
        <v>47.552136817777523</v>
      </c>
      <c r="FA86">
        <v>14442.196153846149</v>
      </c>
      <c r="FB86">
        <v>15</v>
      </c>
      <c r="FC86">
        <v>1700164580</v>
      </c>
      <c r="FD86" t="s">
        <v>723</v>
      </c>
      <c r="FE86">
        <v>1700164576</v>
      </c>
      <c r="FF86">
        <v>1700164580</v>
      </c>
      <c r="FG86">
        <v>76</v>
      </c>
      <c r="FH86">
        <v>-5.3999999999999999E-2</v>
      </c>
      <c r="FI86">
        <v>-1E-3</v>
      </c>
      <c r="FJ86">
        <v>-3.0659999999999998</v>
      </c>
      <c r="FK86">
        <v>-3.2000000000000001E-2</v>
      </c>
      <c r="FL86">
        <v>10</v>
      </c>
      <c r="FM86">
        <v>19</v>
      </c>
      <c r="FN86">
        <v>0.37</v>
      </c>
      <c r="FO86">
        <v>0.01</v>
      </c>
      <c r="FP86">
        <v>2.5053454600027898</v>
      </c>
      <c r="FQ86">
        <v>-0.1313242988786357</v>
      </c>
      <c r="FR86">
        <v>1.33625219533235E-2</v>
      </c>
      <c r="FS86">
        <v>1</v>
      </c>
      <c r="FT86">
        <v>0.69739948590820044</v>
      </c>
      <c r="FU86">
        <v>1.6974248154443049E-2</v>
      </c>
      <c r="FV86">
        <v>3.1376252115623759E-3</v>
      </c>
      <c r="FW86">
        <v>1</v>
      </c>
      <c r="FX86">
        <v>2</v>
      </c>
      <c r="FY86">
        <v>2</v>
      </c>
      <c r="FZ86" t="s">
        <v>420</v>
      </c>
      <c r="GA86">
        <v>3.1182599999999998</v>
      </c>
      <c r="GB86">
        <v>2.8775200000000001</v>
      </c>
      <c r="GC86">
        <v>2.7155999999999999E-3</v>
      </c>
      <c r="GD86">
        <v>2.7002100000000002E-3</v>
      </c>
      <c r="GE86">
        <v>0.128552</v>
      </c>
      <c r="GF86">
        <v>9.7518900000000006E-2</v>
      </c>
      <c r="GG86">
        <v>28935.7</v>
      </c>
      <c r="GH86">
        <v>29625.4</v>
      </c>
      <c r="GI86">
        <v>26726.9</v>
      </c>
      <c r="GJ86">
        <v>27437.4</v>
      </c>
      <c r="GK86">
        <v>33307</v>
      </c>
      <c r="GL86">
        <v>34593.300000000003</v>
      </c>
      <c r="GM86">
        <v>39596.800000000003</v>
      </c>
      <c r="GN86">
        <v>39731.4</v>
      </c>
      <c r="GO86">
        <v>1.9929300000000001</v>
      </c>
      <c r="GP86">
        <v>2.4402699999999999</v>
      </c>
      <c r="GQ86">
        <v>7.6293899999999998E-3</v>
      </c>
      <c r="GR86">
        <v>0</v>
      </c>
      <c r="GS86">
        <v>29.867899999999999</v>
      </c>
      <c r="GT86">
        <v>999.9</v>
      </c>
      <c r="GU86">
        <v>28.6</v>
      </c>
      <c r="GV86">
        <v>44.7</v>
      </c>
      <c r="GW86">
        <v>27.415199999999999</v>
      </c>
      <c r="GX86">
        <v>62.534300000000002</v>
      </c>
      <c r="GY86">
        <v>7.8765999999999998</v>
      </c>
      <c r="GZ86">
        <v>3</v>
      </c>
      <c r="HA86">
        <v>0.54072900000000002</v>
      </c>
      <c r="HB86">
        <v>2.9487299999999999</v>
      </c>
      <c r="HC86">
        <v>20.276199999999999</v>
      </c>
      <c r="HD86">
        <v>5.21549</v>
      </c>
      <c r="HE86">
        <v>11.908099999999999</v>
      </c>
      <c r="HF86">
        <v>4.9972000000000003</v>
      </c>
      <c r="HG86">
        <v>3.30288</v>
      </c>
      <c r="HH86">
        <v>9999</v>
      </c>
      <c r="HI86">
        <v>9999</v>
      </c>
      <c r="HJ86">
        <v>9999</v>
      </c>
      <c r="HK86">
        <v>999.9</v>
      </c>
      <c r="HL86">
        <v>1.8847499999999999</v>
      </c>
      <c r="HM86">
        <v>1.8852500000000001</v>
      </c>
      <c r="HN86">
        <v>1.88141</v>
      </c>
      <c r="HO86">
        <v>1.88304</v>
      </c>
      <c r="HP86">
        <v>1.87988</v>
      </c>
      <c r="HQ86">
        <v>1.8833899999999999</v>
      </c>
      <c r="HR86">
        <v>1.8792899999999999</v>
      </c>
      <c r="HS86">
        <v>1.8816600000000001</v>
      </c>
      <c r="HT86">
        <v>5</v>
      </c>
      <c r="HU86">
        <v>0</v>
      </c>
      <c r="HV86">
        <v>0</v>
      </c>
      <c r="HW86">
        <v>0</v>
      </c>
      <c r="HX86" t="s">
        <v>421</v>
      </c>
      <c r="HY86" t="s">
        <v>422</v>
      </c>
      <c r="HZ86" t="s">
        <v>423</v>
      </c>
      <c r="IA86" t="s">
        <v>423</v>
      </c>
      <c r="IB86" t="s">
        <v>423</v>
      </c>
      <c r="IC86" t="s">
        <v>423</v>
      </c>
      <c r="ID86">
        <v>0</v>
      </c>
      <c r="IE86">
        <v>100</v>
      </c>
      <c r="IF86">
        <v>100</v>
      </c>
      <c r="IG86">
        <v>-3.0550000000000002</v>
      </c>
      <c r="IH86">
        <v>3.2099999999999997E-2</v>
      </c>
      <c r="II86">
        <v>-3.0168210673256821</v>
      </c>
      <c r="IJ86">
        <v>-3.7794827560518689E-3</v>
      </c>
      <c r="IK86">
        <v>4.9551128961100493E-7</v>
      </c>
      <c r="IL86">
        <v>1.3680294268397379E-10</v>
      </c>
      <c r="IM86">
        <v>3.2043707207674382E-2</v>
      </c>
      <c r="IN86">
        <v>0</v>
      </c>
      <c r="IO86">
        <v>0</v>
      </c>
      <c r="IP86">
        <v>0</v>
      </c>
      <c r="IQ86">
        <v>4</v>
      </c>
      <c r="IR86">
        <v>2229</v>
      </c>
      <c r="IS86">
        <v>1</v>
      </c>
      <c r="IT86">
        <v>22</v>
      </c>
      <c r="IU86">
        <v>0.6</v>
      </c>
      <c r="IV86">
        <v>0.5</v>
      </c>
      <c r="IW86">
        <v>0.20019500000000001</v>
      </c>
      <c r="IX86">
        <v>2.63916</v>
      </c>
      <c r="IY86">
        <v>2.9956100000000001</v>
      </c>
      <c r="IZ86">
        <v>2.96509</v>
      </c>
      <c r="JA86">
        <v>3.1970200000000002</v>
      </c>
      <c r="JB86">
        <v>2.49878</v>
      </c>
      <c r="JC86">
        <v>47.063400000000001</v>
      </c>
      <c r="JD86">
        <v>23.745999999999999</v>
      </c>
      <c r="JE86">
        <v>18</v>
      </c>
      <c r="JF86">
        <v>531.90099999999995</v>
      </c>
      <c r="JG86">
        <v>1119.4000000000001</v>
      </c>
      <c r="JH86">
        <v>26.372499999999999</v>
      </c>
      <c r="JI86">
        <v>33.897100000000002</v>
      </c>
      <c r="JJ86">
        <v>30.000499999999999</v>
      </c>
      <c r="JK86">
        <v>33.890300000000003</v>
      </c>
      <c r="JL86">
        <v>33.804400000000001</v>
      </c>
      <c r="JM86">
        <v>3.9985499999999998</v>
      </c>
      <c r="JN86">
        <v>23.8504</v>
      </c>
      <c r="JO86">
        <v>0</v>
      </c>
      <c r="JP86">
        <v>26.376799999999999</v>
      </c>
      <c r="JQ86">
        <v>10</v>
      </c>
      <c r="JR86">
        <v>19.397600000000001</v>
      </c>
      <c r="JS86">
        <v>98.698300000000003</v>
      </c>
      <c r="JT86">
        <v>97.206400000000002</v>
      </c>
    </row>
    <row r="87" spans="1:280" x14ac:dyDescent="0.25">
      <c r="A87">
        <v>71</v>
      </c>
      <c r="B87">
        <v>1700165176.5999999</v>
      </c>
      <c r="C87">
        <v>16195.099999904631</v>
      </c>
      <c r="D87" t="s">
        <v>724</v>
      </c>
      <c r="E87" t="s">
        <v>725</v>
      </c>
      <c r="F87" t="s">
        <v>412</v>
      </c>
      <c r="G87" t="s">
        <v>544</v>
      </c>
      <c r="H87" t="s">
        <v>726</v>
      </c>
      <c r="I87">
        <v>1700165176.5999999</v>
      </c>
      <c r="J87">
        <f t="shared" si="92"/>
        <v>3.5037026986137147E-3</v>
      </c>
      <c r="K87">
        <f t="shared" si="93"/>
        <v>3.5037026986137145</v>
      </c>
      <c r="L87">
        <f t="shared" si="94"/>
        <v>40.175413288069372</v>
      </c>
      <c r="M87">
        <f t="shared" si="95"/>
        <v>406.91899999999998</v>
      </c>
      <c r="N87">
        <f t="shared" si="96"/>
        <v>111.88544866446195</v>
      </c>
      <c r="O87">
        <f t="shared" si="97"/>
        <v>11.086811679622649</v>
      </c>
      <c r="P87">
        <f t="shared" si="98"/>
        <v>40.321904016222</v>
      </c>
      <c r="Q87">
        <f t="shared" si="99"/>
        <v>0.23072221040629601</v>
      </c>
      <c r="R87">
        <f t="shared" si="100"/>
        <v>3.0799634737914454</v>
      </c>
      <c r="S87">
        <f t="shared" si="101"/>
        <v>0.22153239108782849</v>
      </c>
      <c r="T87">
        <f t="shared" si="102"/>
        <v>0.13925291335684042</v>
      </c>
      <c r="U87">
        <f t="shared" si="103"/>
        <v>344.40799876247149</v>
      </c>
      <c r="V87">
        <f t="shared" si="104"/>
        <v>30.892442091900083</v>
      </c>
      <c r="W87">
        <f t="shared" si="105"/>
        <v>29.989100000000001</v>
      </c>
      <c r="X87">
        <f t="shared" si="106"/>
        <v>4.257783087527419</v>
      </c>
      <c r="Y87">
        <f t="shared" si="107"/>
        <v>65.10158835776322</v>
      </c>
      <c r="Z87">
        <f t="shared" si="108"/>
        <v>2.7459728042345999</v>
      </c>
      <c r="AA87">
        <f t="shared" si="109"/>
        <v>4.21798127127746</v>
      </c>
      <c r="AB87">
        <f t="shared" si="110"/>
        <v>1.5118102832928191</v>
      </c>
      <c r="AC87">
        <f t="shared" si="111"/>
        <v>-154.5132890088648</v>
      </c>
      <c r="AD87">
        <f t="shared" si="112"/>
        <v>-27.132078296563744</v>
      </c>
      <c r="AE87">
        <f t="shared" si="113"/>
        <v>-1.9569439397545045</v>
      </c>
      <c r="AF87">
        <f t="shared" si="114"/>
        <v>160.80568751728842</v>
      </c>
      <c r="AG87">
        <v>5</v>
      </c>
      <c r="AH87">
        <v>1</v>
      </c>
      <c r="AI87">
        <f t="shared" si="115"/>
        <v>1</v>
      </c>
      <c r="AJ87">
        <f t="shared" si="116"/>
        <v>0</v>
      </c>
      <c r="AK87">
        <f t="shared" si="117"/>
        <v>51836.145615653368</v>
      </c>
      <c r="AL87" t="s">
        <v>415</v>
      </c>
      <c r="AM87">
        <v>7133.88</v>
      </c>
      <c r="AN87">
        <v>306.28384615384618</v>
      </c>
      <c r="AO87">
        <v>859.63916333292491</v>
      </c>
      <c r="AP87">
        <f t="shared" si="118"/>
        <v>0.64370650010133712</v>
      </c>
      <c r="AQ87">
        <v>-0.73746743666429193</v>
      </c>
      <c r="AR87" t="s">
        <v>727</v>
      </c>
      <c r="AS87">
        <v>7148.02</v>
      </c>
      <c r="AT87">
        <v>619.65375999999992</v>
      </c>
      <c r="AU87">
        <v>832.58448792933655</v>
      </c>
      <c r="AV87">
        <f t="shared" si="119"/>
        <v>0.25574669119635163</v>
      </c>
      <c r="AW87">
        <v>0.5</v>
      </c>
      <c r="AX87">
        <f t="shared" si="120"/>
        <v>1513.3529993812358</v>
      </c>
      <c r="AY87">
        <f t="shared" si="121"/>
        <v>40.175413288069372</v>
      </c>
      <c r="AZ87">
        <f t="shared" si="122"/>
        <v>193.5175111019127</v>
      </c>
      <c r="BA87">
        <f t="shared" si="123"/>
        <v>2.7034591890630736E-2</v>
      </c>
      <c r="BB87">
        <f t="shared" si="124"/>
        <v>3.2494810791964403E-2</v>
      </c>
      <c r="BC87">
        <f t="shared" si="125"/>
        <v>302.77837206407287</v>
      </c>
      <c r="BD87" t="s">
        <v>728</v>
      </c>
      <c r="BE87">
        <v>422.49</v>
      </c>
      <c r="BF87">
        <f t="shared" si="126"/>
        <v>422.49</v>
      </c>
      <c r="BG87">
        <f t="shared" si="127"/>
        <v>0.49255600347449935</v>
      </c>
      <c r="BH87">
        <f t="shared" si="128"/>
        <v>0.51922357943525144</v>
      </c>
      <c r="BI87">
        <f t="shared" si="129"/>
        <v>6.1888887530556727E-2</v>
      </c>
      <c r="BJ87">
        <f t="shared" si="130"/>
        <v>0.40458002713241747</v>
      </c>
      <c r="BK87">
        <f t="shared" si="131"/>
        <v>4.8892049219855668E-2</v>
      </c>
      <c r="BL87">
        <f t="shared" si="132"/>
        <v>0.35401507137727917</v>
      </c>
      <c r="BM87">
        <f t="shared" si="133"/>
        <v>0.64598492862272083</v>
      </c>
      <c r="BN87">
        <v>20796</v>
      </c>
      <c r="BO87">
        <v>290.00000000000011</v>
      </c>
      <c r="BP87">
        <v>773.11</v>
      </c>
      <c r="BQ87">
        <v>285</v>
      </c>
      <c r="BR87">
        <v>7148.02</v>
      </c>
      <c r="BS87">
        <v>774.26</v>
      </c>
      <c r="BT87">
        <v>-1.1499999999999999</v>
      </c>
      <c r="BU87">
        <v>300.00000000000011</v>
      </c>
      <c r="BV87">
        <v>38.200000000000003</v>
      </c>
      <c r="BW87">
        <v>832.58448792933655</v>
      </c>
      <c r="BX87">
        <v>1.285104437287836</v>
      </c>
      <c r="BY87">
        <v>-41.690693386939436</v>
      </c>
      <c r="BZ87">
        <v>0.76986987386727979</v>
      </c>
      <c r="CA87">
        <v>0.99054225819573494</v>
      </c>
      <c r="CB87">
        <v>-7.0563417130144607E-3</v>
      </c>
      <c r="CC87">
        <v>289.99999999999989</v>
      </c>
      <c r="CD87">
        <v>780.94</v>
      </c>
      <c r="CE87">
        <v>885</v>
      </c>
      <c r="CF87">
        <v>7140.84</v>
      </c>
      <c r="CG87">
        <v>774.2</v>
      </c>
      <c r="CH87">
        <v>6.74</v>
      </c>
      <c r="CV87">
        <f t="shared" si="134"/>
        <v>1800.2</v>
      </c>
      <c r="CW87">
        <f t="shared" si="135"/>
        <v>1513.3529993812358</v>
      </c>
      <c r="CX87">
        <f t="shared" si="136"/>
        <v>0.84065825984959208</v>
      </c>
      <c r="CY87">
        <f t="shared" si="137"/>
        <v>0.19131651969918426</v>
      </c>
      <c r="CZ87">
        <v>5.18</v>
      </c>
      <c r="DA87">
        <v>0.5</v>
      </c>
      <c r="DB87" t="s">
        <v>418</v>
      </c>
      <c r="DC87">
        <v>2</v>
      </c>
      <c r="DD87">
        <v>1700165176.5999999</v>
      </c>
      <c r="DE87">
        <v>406.91899999999998</v>
      </c>
      <c r="DF87">
        <v>449.99400000000003</v>
      </c>
      <c r="DG87">
        <v>27.7117</v>
      </c>
      <c r="DH87">
        <v>24.1844</v>
      </c>
      <c r="DI87">
        <v>411.05200000000002</v>
      </c>
      <c r="DJ87">
        <v>27.6767</v>
      </c>
      <c r="DK87">
        <v>500.27600000000001</v>
      </c>
      <c r="DL87">
        <v>98.990200000000002</v>
      </c>
      <c r="DM87">
        <v>0.100538</v>
      </c>
      <c r="DN87">
        <v>29.825700000000001</v>
      </c>
      <c r="DO87">
        <v>29.989100000000001</v>
      </c>
      <c r="DP87">
        <v>999.9</v>
      </c>
      <c r="DQ87">
        <v>0</v>
      </c>
      <c r="DR87">
        <v>0</v>
      </c>
      <c r="DS87">
        <v>9996.25</v>
      </c>
      <c r="DT87">
        <v>0</v>
      </c>
      <c r="DU87">
        <v>344.43799999999999</v>
      </c>
      <c r="DV87">
        <v>-43.074199999999998</v>
      </c>
      <c r="DW87">
        <v>418.517</v>
      </c>
      <c r="DX87">
        <v>461.14600000000002</v>
      </c>
      <c r="DY87">
        <v>3.5272199999999998</v>
      </c>
      <c r="DZ87">
        <v>449.99400000000003</v>
      </c>
      <c r="EA87">
        <v>24.1844</v>
      </c>
      <c r="EB87">
        <v>2.7431800000000002</v>
      </c>
      <c r="EC87">
        <v>2.3940199999999998</v>
      </c>
      <c r="ED87">
        <v>22.546099999999999</v>
      </c>
      <c r="EE87">
        <v>20.323399999999999</v>
      </c>
      <c r="EF87">
        <v>1800.2</v>
      </c>
      <c r="EG87">
        <v>0.97799599999999998</v>
      </c>
      <c r="EH87">
        <v>2.20038E-2</v>
      </c>
      <c r="EI87">
        <v>0</v>
      </c>
      <c r="EJ87">
        <v>619.65200000000004</v>
      </c>
      <c r="EK87">
        <v>5.0009399999999999</v>
      </c>
      <c r="EL87">
        <v>11984.8</v>
      </c>
      <c r="EM87">
        <v>13861.7</v>
      </c>
      <c r="EN87">
        <v>47.311999999999998</v>
      </c>
      <c r="EO87">
        <v>49.25</v>
      </c>
      <c r="EP87">
        <v>48.436999999999998</v>
      </c>
      <c r="EQ87">
        <v>48.436999999999998</v>
      </c>
      <c r="ER87">
        <v>48.75</v>
      </c>
      <c r="ES87">
        <v>1755.7</v>
      </c>
      <c r="ET87">
        <v>39.5</v>
      </c>
      <c r="EU87">
        <v>0</v>
      </c>
      <c r="EV87">
        <v>562.20000004768372</v>
      </c>
      <c r="EW87">
        <v>0</v>
      </c>
      <c r="EX87">
        <v>619.65375999999992</v>
      </c>
      <c r="EY87">
        <v>-2.7880769260856022</v>
      </c>
      <c r="EZ87">
        <v>-65.276923200649208</v>
      </c>
      <c r="FA87">
        <v>11985.016</v>
      </c>
      <c r="FB87">
        <v>15</v>
      </c>
      <c r="FC87">
        <v>1700165140.0999999</v>
      </c>
      <c r="FD87" t="s">
        <v>729</v>
      </c>
      <c r="FE87">
        <v>1700165133.0999999</v>
      </c>
      <c r="FF87">
        <v>1700165140.0999999</v>
      </c>
      <c r="FG87">
        <v>78</v>
      </c>
      <c r="FH87">
        <v>-0.104</v>
      </c>
      <c r="FI87">
        <v>5.0000000000000001E-3</v>
      </c>
      <c r="FJ87">
        <v>-4.274</v>
      </c>
      <c r="FK87">
        <v>3.5000000000000003E-2</v>
      </c>
      <c r="FL87">
        <v>450</v>
      </c>
      <c r="FM87">
        <v>24</v>
      </c>
      <c r="FN87">
        <v>0.06</v>
      </c>
      <c r="FO87">
        <v>0.03</v>
      </c>
      <c r="FP87">
        <v>40.182072408710283</v>
      </c>
      <c r="FQ87">
        <v>-0.61168172179003444</v>
      </c>
      <c r="FR87">
        <v>5.7581669455248972E-2</v>
      </c>
      <c r="FS87">
        <v>1</v>
      </c>
      <c r="FT87">
        <v>0.2328056271312603</v>
      </c>
      <c r="FU87">
        <v>-2.1971007619632339E-2</v>
      </c>
      <c r="FV87">
        <v>1.5957047273236461E-3</v>
      </c>
      <c r="FW87">
        <v>1</v>
      </c>
      <c r="FX87">
        <v>2</v>
      </c>
      <c r="FY87">
        <v>2</v>
      </c>
      <c r="FZ87" t="s">
        <v>420</v>
      </c>
      <c r="GA87">
        <v>3.11978</v>
      </c>
      <c r="GB87">
        <v>2.8781300000000001</v>
      </c>
      <c r="GC87">
        <v>8.8488600000000001E-2</v>
      </c>
      <c r="GD87">
        <v>9.6036700000000003E-2</v>
      </c>
      <c r="GE87">
        <v>0.124394</v>
      </c>
      <c r="GF87">
        <v>0.113857</v>
      </c>
      <c r="GG87">
        <v>26454.6</v>
      </c>
      <c r="GH87">
        <v>26851.9</v>
      </c>
      <c r="GI87">
        <v>26731.9</v>
      </c>
      <c r="GJ87">
        <v>27433.3</v>
      </c>
      <c r="GK87">
        <v>33477.199999999997</v>
      </c>
      <c r="GL87">
        <v>33966.5</v>
      </c>
      <c r="GM87">
        <v>39602.300000000003</v>
      </c>
      <c r="GN87">
        <v>39723.1</v>
      </c>
      <c r="GO87">
        <v>1.96695</v>
      </c>
      <c r="GP87">
        <v>2.4492500000000001</v>
      </c>
      <c r="GQ87">
        <v>3.9212400000000001E-2</v>
      </c>
      <c r="GR87">
        <v>0</v>
      </c>
      <c r="GS87">
        <v>29.3506</v>
      </c>
      <c r="GT87">
        <v>999.9</v>
      </c>
      <c r="GU87">
        <v>30.9</v>
      </c>
      <c r="GV87">
        <v>44.2</v>
      </c>
      <c r="GW87">
        <v>28.867899999999999</v>
      </c>
      <c r="GX87">
        <v>62.760800000000003</v>
      </c>
      <c r="GY87">
        <v>7.2716399999999997</v>
      </c>
      <c r="GZ87">
        <v>3</v>
      </c>
      <c r="HA87">
        <v>0.53106500000000001</v>
      </c>
      <c r="HB87">
        <v>3.0523099999999999</v>
      </c>
      <c r="HC87">
        <v>20.2759</v>
      </c>
      <c r="HD87">
        <v>5.2117500000000003</v>
      </c>
      <c r="HE87">
        <v>11.908099999999999</v>
      </c>
      <c r="HF87">
        <v>4.99735</v>
      </c>
      <c r="HG87">
        <v>3.3029999999999999</v>
      </c>
      <c r="HH87">
        <v>9999</v>
      </c>
      <c r="HI87">
        <v>9999</v>
      </c>
      <c r="HJ87">
        <v>9999</v>
      </c>
      <c r="HK87">
        <v>999.9</v>
      </c>
      <c r="HL87">
        <v>1.8847100000000001</v>
      </c>
      <c r="HM87">
        <v>1.8852199999999999</v>
      </c>
      <c r="HN87">
        <v>1.8813599999999999</v>
      </c>
      <c r="HO87">
        <v>1.8829400000000001</v>
      </c>
      <c r="HP87">
        <v>1.87988</v>
      </c>
      <c r="HQ87">
        <v>1.8833899999999999</v>
      </c>
      <c r="HR87">
        <v>1.8792899999999999</v>
      </c>
      <c r="HS87">
        <v>1.88157</v>
      </c>
      <c r="HT87">
        <v>5</v>
      </c>
      <c r="HU87">
        <v>0</v>
      </c>
      <c r="HV87">
        <v>0</v>
      </c>
      <c r="HW87">
        <v>0</v>
      </c>
      <c r="HX87" t="s">
        <v>421</v>
      </c>
      <c r="HY87" t="s">
        <v>422</v>
      </c>
      <c r="HZ87" t="s">
        <v>423</v>
      </c>
      <c r="IA87" t="s">
        <v>423</v>
      </c>
      <c r="IB87" t="s">
        <v>423</v>
      </c>
      <c r="IC87" t="s">
        <v>423</v>
      </c>
      <c r="ID87">
        <v>0</v>
      </c>
      <c r="IE87">
        <v>100</v>
      </c>
      <c r="IF87">
        <v>100</v>
      </c>
      <c r="IG87">
        <v>-4.133</v>
      </c>
      <c r="IH87">
        <v>3.5000000000000003E-2</v>
      </c>
      <c r="II87">
        <v>-2.672381412451168</v>
      </c>
      <c r="IJ87">
        <v>-3.7794827560518689E-3</v>
      </c>
      <c r="IK87">
        <v>4.9551128961100493E-7</v>
      </c>
      <c r="IL87">
        <v>1.3680294268397379E-10</v>
      </c>
      <c r="IM87">
        <v>3.4955000000003622E-2</v>
      </c>
      <c r="IN87">
        <v>0</v>
      </c>
      <c r="IO87">
        <v>0</v>
      </c>
      <c r="IP87">
        <v>0</v>
      </c>
      <c r="IQ87">
        <v>4</v>
      </c>
      <c r="IR87">
        <v>2229</v>
      </c>
      <c r="IS87">
        <v>1</v>
      </c>
      <c r="IT87">
        <v>22</v>
      </c>
      <c r="IU87">
        <v>0.7</v>
      </c>
      <c r="IV87">
        <v>0.6</v>
      </c>
      <c r="IW87">
        <v>1.6882299999999999</v>
      </c>
      <c r="IX87">
        <v>2.5927699999999998</v>
      </c>
      <c r="IY87">
        <v>2.9956100000000001</v>
      </c>
      <c r="IZ87">
        <v>2.96143</v>
      </c>
      <c r="JA87">
        <v>3.1970200000000002</v>
      </c>
      <c r="JB87">
        <v>2.5293000000000001</v>
      </c>
      <c r="JC87">
        <v>46.561500000000002</v>
      </c>
      <c r="JD87">
        <v>23.754799999999999</v>
      </c>
      <c r="JE87">
        <v>18</v>
      </c>
      <c r="JF87">
        <v>514.11699999999996</v>
      </c>
      <c r="JG87">
        <v>1129.3399999999999</v>
      </c>
      <c r="JH87">
        <v>25.2044</v>
      </c>
      <c r="JI87">
        <v>33.767600000000002</v>
      </c>
      <c r="JJ87">
        <v>29.9999</v>
      </c>
      <c r="JK87">
        <v>33.770499999999998</v>
      </c>
      <c r="JL87">
        <v>33.686999999999998</v>
      </c>
      <c r="JM87">
        <v>33.821300000000001</v>
      </c>
      <c r="JN87">
        <v>10.6282</v>
      </c>
      <c r="JO87">
        <v>16.250399999999999</v>
      </c>
      <c r="JP87">
        <v>25.206600000000002</v>
      </c>
      <c r="JQ87">
        <v>450</v>
      </c>
      <c r="JR87">
        <v>24.1572</v>
      </c>
      <c r="JS87">
        <v>98.713899999999995</v>
      </c>
      <c r="JT87">
        <v>97.188400000000001</v>
      </c>
    </row>
    <row r="88" spans="1:280" x14ac:dyDescent="0.25">
      <c r="A88">
        <v>72</v>
      </c>
      <c r="B88">
        <v>1700165294.5999999</v>
      </c>
      <c r="C88">
        <v>16313.099999904631</v>
      </c>
      <c r="D88" t="s">
        <v>730</v>
      </c>
      <c r="E88" t="s">
        <v>731</v>
      </c>
      <c r="F88" t="s">
        <v>412</v>
      </c>
      <c r="G88" t="s">
        <v>544</v>
      </c>
      <c r="H88" t="s">
        <v>726</v>
      </c>
      <c r="I88">
        <v>1700165294.5999999</v>
      </c>
      <c r="J88">
        <f t="shared" si="92"/>
        <v>2.182081092409539E-3</v>
      </c>
      <c r="K88">
        <f t="shared" si="93"/>
        <v>2.1820810924095388</v>
      </c>
      <c r="L88">
        <f t="shared" si="94"/>
        <v>49.979638634792494</v>
      </c>
      <c r="M88">
        <f t="shared" si="95"/>
        <v>1444.65</v>
      </c>
      <c r="N88">
        <f t="shared" si="96"/>
        <v>810.60105471402346</v>
      </c>
      <c r="O88">
        <f t="shared" si="97"/>
        <v>80.317492931671609</v>
      </c>
      <c r="P88">
        <f t="shared" si="98"/>
        <v>143.14151886303</v>
      </c>
      <c r="Q88">
        <f t="shared" si="99"/>
        <v>0.13508011826527877</v>
      </c>
      <c r="R88">
        <f t="shared" si="100"/>
        <v>3.0879967479445116</v>
      </c>
      <c r="S88">
        <f t="shared" si="101"/>
        <v>0.131881251686289</v>
      </c>
      <c r="T88">
        <f t="shared" si="102"/>
        <v>8.2706878336820389E-2</v>
      </c>
      <c r="U88">
        <f t="shared" si="103"/>
        <v>344.35859876229273</v>
      </c>
      <c r="V88">
        <f t="shared" si="104"/>
        <v>31.234574917165531</v>
      </c>
      <c r="W88">
        <f t="shared" si="105"/>
        <v>30.1295</v>
      </c>
      <c r="X88">
        <f t="shared" si="106"/>
        <v>4.2922434963155078</v>
      </c>
      <c r="Y88">
        <f t="shared" si="107"/>
        <v>64.198709025732569</v>
      </c>
      <c r="Z88">
        <f t="shared" si="108"/>
        <v>2.71075644713844</v>
      </c>
      <c r="AA88">
        <f t="shared" si="109"/>
        <v>4.222446974832307</v>
      </c>
      <c r="AB88">
        <f t="shared" si="110"/>
        <v>1.5814870491770678</v>
      </c>
      <c r="AC88">
        <f t="shared" si="111"/>
        <v>-96.229776175260668</v>
      </c>
      <c r="AD88">
        <f t="shared" si="112"/>
        <v>-47.51341502469753</v>
      </c>
      <c r="AE88">
        <f t="shared" si="113"/>
        <v>-3.4207539827615481</v>
      </c>
      <c r="AF88">
        <f t="shared" si="114"/>
        <v>197.19465357957299</v>
      </c>
      <c r="AG88">
        <v>5</v>
      </c>
      <c r="AH88">
        <v>1</v>
      </c>
      <c r="AI88">
        <f t="shared" si="115"/>
        <v>1</v>
      </c>
      <c r="AJ88">
        <f t="shared" si="116"/>
        <v>0</v>
      </c>
      <c r="AK88">
        <f t="shared" si="117"/>
        <v>52041.344532241063</v>
      </c>
      <c r="AL88" t="s">
        <v>431</v>
      </c>
      <c r="AM88" t="s">
        <v>431</v>
      </c>
      <c r="AN88">
        <v>0</v>
      </c>
      <c r="AO88">
        <v>0</v>
      </c>
      <c r="AP88" t="e">
        <f t="shared" si="118"/>
        <v>#DIV/0!</v>
      </c>
      <c r="AQ88">
        <v>0</v>
      </c>
      <c r="AR88" t="s">
        <v>431</v>
      </c>
      <c r="AS88" t="s">
        <v>431</v>
      </c>
      <c r="AT88">
        <v>0</v>
      </c>
      <c r="AU88">
        <v>0</v>
      </c>
      <c r="AV88" t="e">
        <f t="shared" si="119"/>
        <v>#DIV/0!</v>
      </c>
      <c r="AW88">
        <v>0.5</v>
      </c>
      <c r="AX88">
        <f t="shared" si="120"/>
        <v>1513.1345993811462</v>
      </c>
      <c r="AY88">
        <f t="shared" si="121"/>
        <v>49.979638634792494</v>
      </c>
      <c r="AZ88" t="e">
        <f t="shared" si="122"/>
        <v>#DIV/0!</v>
      </c>
      <c r="BA88">
        <f t="shared" si="123"/>
        <v>3.3030530565644034E-2</v>
      </c>
      <c r="BB88" t="e">
        <f t="shared" si="124"/>
        <v>#DIV/0!</v>
      </c>
      <c r="BC88" t="e">
        <f t="shared" si="125"/>
        <v>#DIV/0!</v>
      </c>
      <c r="BD88" t="s">
        <v>431</v>
      </c>
      <c r="BE88">
        <v>0</v>
      </c>
      <c r="BF88" t="e">
        <f t="shared" si="126"/>
        <v>#DIV/0!</v>
      </c>
      <c r="BG88" t="e">
        <f t="shared" si="127"/>
        <v>#DIV/0!</v>
      </c>
      <c r="BH88" t="e">
        <f t="shared" si="128"/>
        <v>#DIV/0!</v>
      </c>
      <c r="BI88" t="e">
        <f t="shared" si="129"/>
        <v>#DIV/0!</v>
      </c>
      <c r="BJ88" t="e">
        <f t="shared" si="130"/>
        <v>#DIV/0!</v>
      </c>
      <c r="BK88" t="e">
        <f t="shared" si="131"/>
        <v>#DIV/0!</v>
      </c>
      <c r="BL88" t="e">
        <f t="shared" si="132"/>
        <v>#DIV/0!</v>
      </c>
      <c r="BM88" t="e">
        <f t="shared" si="133"/>
        <v>#DIV/0!</v>
      </c>
      <c r="BN88">
        <v>20796</v>
      </c>
      <c r="BO88">
        <v>290.00000000000011</v>
      </c>
      <c r="BP88">
        <v>773.11</v>
      </c>
      <c r="BQ88">
        <v>285</v>
      </c>
      <c r="BR88">
        <v>7148.02</v>
      </c>
      <c r="BS88">
        <v>774.26</v>
      </c>
      <c r="BT88">
        <v>-1.1499999999999999</v>
      </c>
      <c r="BU88">
        <v>300.00000000000011</v>
      </c>
      <c r="BV88">
        <v>38.200000000000003</v>
      </c>
      <c r="BW88">
        <v>832.58448792933655</v>
      </c>
      <c r="BX88">
        <v>1.285104437287836</v>
      </c>
      <c r="BY88">
        <v>-41.690693386939436</v>
      </c>
      <c r="BZ88">
        <v>0.76986987386727979</v>
      </c>
      <c r="CA88">
        <v>0.99054225819573494</v>
      </c>
      <c r="CB88">
        <v>-7.0563417130144607E-3</v>
      </c>
      <c r="CC88">
        <v>289.99999999999989</v>
      </c>
      <c r="CD88">
        <v>780.94</v>
      </c>
      <c r="CE88">
        <v>885</v>
      </c>
      <c r="CF88">
        <v>7140.84</v>
      </c>
      <c r="CG88">
        <v>774.2</v>
      </c>
      <c r="CH88">
        <v>6.74</v>
      </c>
      <c r="CV88">
        <f t="shared" si="134"/>
        <v>1799.94</v>
      </c>
      <c r="CW88">
        <f t="shared" si="135"/>
        <v>1513.1345993811462</v>
      </c>
      <c r="CX88">
        <f t="shared" si="136"/>
        <v>0.84065835493469021</v>
      </c>
      <c r="CY88">
        <f t="shared" si="137"/>
        <v>0.19131670986938049</v>
      </c>
      <c r="CZ88">
        <v>5.18</v>
      </c>
      <c r="DA88">
        <v>0.5</v>
      </c>
      <c r="DB88" t="s">
        <v>418</v>
      </c>
      <c r="DC88">
        <v>2</v>
      </c>
      <c r="DD88">
        <v>1700165294.5999999</v>
      </c>
      <c r="DE88">
        <v>1444.65</v>
      </c>
      <c r="DF88">
        <v>1499.69</v>
      </c>
      <c r="DG88">
        <v>27.3582</v>
      </c>
      <c r="DH88">
        <v>25.159600000000001</v>
      </c>
      <c r="DI88">
        <v>1451.6</v>
      </c>
      <c r="DJ88">
        <v>27.324999999999999</v>
      </c>
      <c r="DK88">
        <v>500.04300000000001</v>
      </c>
      <c r="DL88">
        <v>98.984200000000001</v>
      </c>
      <c r="DM88">
        <v>9.9674200000000004E-2</v>
      </c>
      <c r="DN88">
        <v>29.844100000000001</v>
      </c>
      <c r="DO88">
        <v>30.1295</v>
      </c>
      <c r="DP88">
        <v>999.9</v>
      </c>
      <c r="DQ88">
        <v>0</v>
      </c>
      <c r="DR88">
        <v>0</v>
      </c>
      <c r="DS88">
        <v>10038.799999999999</v>
      </c>
      <c r="DT88">
        <v>0</v>
      </c>
      <c r="DU88">
        <v>346.30399999999997</v>
      </c>
      <c r="DV88">
        <v>-55.038899999999998</v>
      </c>
      <c r="DW88">
        <v>1485.29</v>
      </c>
      <c r="DX88">
        <v>1538.4</v>
      </c>
      <c r="DY88">
        <v>2.19861</v>
      </c>
      <c r="DZ88">
        <v>1499.69</v>
      </c>
      <c r="EA88">
        <v>25.159600000000001</v>
      </c>
      <c r="EB88">
        <v>2.7080299999999999</v>
      </c>
      <c r="EC88">
        <v>2.4904000000000002</v>
      </c>
      <c r="ED88">
        <v>22.3339</v>
      </c>
      <c r="EE88">
        <v>20.963899999999999</v>
      </c>
      <c r="EF88">
        <v>1799.94</v>
      </c>
      <c r="EG88">
        <v>0.97799199999999997</v>
      </c>
      <c r="EH88">
        <v>2.2007599999999999E-2</v>
      </c>
      <c r="EI88">
        <v>0</v>
      </c>
      <c r="EJ88">
        <v>602.80700000000002</v>
      </c>
      <c r="EK88">
        <v>5.0009399999999999</v>
      </c>
      <c r="EL88">
        <v>11855.3</v>
      </c>
      <c r="EM88">
        <v>13859.6</v>
      </c>
      <c r="EN88">
        <v>47.25</v>
      </c>
      <c r="EO88">
        <v>49.186999999999998</v>
      </c>
      <c r="EP88">
        <v>48.311999999999998</v>
      </c>
      <c r="EQ88">
        <v>48.375</v>
      </c>
      <c r="ER88">
        <v>48.686999999999998</v>
      </c>
      <c r="ES88">
        <v>1755.44</v>
      </c>
      <c r="ET88">
        <v>39.5</v>
      </c>
      <c r="EU88">
        <v>0</v>
      </c>
      <c r="EV88">
        <v>116</v>
      </c>
      <c r="EW88">
        <v>0</v>
      </c>
      <c r="EX88">
        <v>602.80557692307696</v>
      </c>
      <c r="EY88">
        <v>-0.91900855292395289</v>
      </c>
      <c r="EZ88">
        <v>25.193162425923671</v>
      </c>
      <c r="FA88">
        <v>11846.234615384619</v>
      </c>
      <c r="FB88">
        <v>15</v>
      </c>
      <c r="FC88">
        <v>1700165272.0999999</v>
      </c>
      <c r="FD88" t="s">
        <v>732</v>
      </c>
      <c r="FE88">
        <v>1700165272.0999999</v>
      </c>
      <c r="FF88">
        <v>1700165265.0999999</v>
      </c>
      <c r="FG88">
        <v>79</v>
      </c>
      <c r="FH88">
        <v>-0.252</v>
      </c>
      <c r="FI88">
        <v>-2E-3</v>
      </c>
      <c r="FJ88">
        <v>-7.0259999999999998</v>
      </c>
      <c r="FK88">
        <v>3.3000000000000002E-2</v>
      </c>
      <c r="FL88">
        <v>1500</v>
      </c>
      <c r="FM88">
        <v>24</v>
      </c>
      <c r="FN88">
        <v>0.06</v>
      </c>
      <c r="FO88">
        <v>0.04</v>
      </c>
      <c r="FP88">
        <v>50.241061997403591</v>
      </c>
      <c r="FQ88">
        <v>9.845086151321418E-2</v>
      </c>
      <c r="FR88">
        <v>0.1184360521695732</v>
      </c>
      <c r="FS88">
        <v>1</v>
      </c>
      <c r="FT88">
        <v>0.13790578448275939</v>
      </c>
      <c r="FU88">
        <v>4.4247982693843661E-2</v>
      </c>
      <c r="FV88">
        <v>5.2155268942306252E-3</v>
      </c>
      <c r="FW88">
        <v>1</v>
      </c>
      <c r="FX88">
        <v>2</v>
      </c>
      <c r="FY88">
        <v>2</v>
      </c>
      <c r="FZ88" t="s">
        <v>420</v>
      </c>
      <c r="GA88">
        <v>3.1197499999999998</v>
      </c>
      <c r="GB88">
        <v>2.87764</v>
      </c>
      <c r="GC88">
        <v>0.20818400000000001</v>
      </c>
      <c r="GD88">
        <v>0.21470700000000001</v>
      </c>
      <c r="GE88">
        <v>0.123281</v>
      </c>
      <c r="GF88">
        <v>0.117103</v>
      </c>
      <c r="GG88">
        <v>22980.5</v>
      </c>
      <c r="GH88">
        <v>23326.1</v>
      </c>
      <c r="GI88">
        <v>26735.4</v>
      </c>
      <c r="GJ88">
        <v>27436.400000000001</v>
      </c>
      <c r="GK88">
        <v>33533.4</v>
      </c>
      <c r="GL88">
        <v>33854.199999999997</v>
      </c>
      <c r="GM88">
        <v>39607.199999999997</v>
      </c>
      <c r="GN88">
        <v>39726.5</v>
      </c>
      <c r="GO88">
        <v>1.9671000000000001</v>
      </c>
      <c r="GP88">
        <v>2.4514999999999998</v>
      </c>
      <c r="GQ88">
        <v>4.8354300000000003E-2</v>
      </c>
      <c r="GR88">
        <v>0</v>
      </c>
      <c r="GS88">
        <v>29.342300000000002</v>
      </c>
      <c r="GT88">
        <v>999.9</v>
      </c>
      <c r="GU88">
        <v>31.3</v>
      </c>
      <c r="GV88">
        <v>44.1</v>
      </c>
      <c r="GW88">
        <v>29.091100000000001</v>
      </c>
      <c r="GX88">
        <v>62.150799999999997</v>
      </c>
      <c r="GY88">
        <v>6.8790100000000001</v>
      </c>
      <c r="GZ88">
        <v>3</v>
      </c>
      <c r="HA88">
        <v>0.53000199999999997</v>
      </c>
      <c r="HB88">
        <v>3.99057</v>
      </c>
      <c r="HC88">
        <v>20.254999999999999</v>
      </c>
      <c r="HD88">
        <v>5.2117500000000003</v>
      </c>
      <c r="HE88">
        <v>11.908099999999999</v>
      </c>
      <c r="HF88">
        <v>4.9962999999999997</v>
      </c>
      <c r="HG88">
        <v>3.3029000000000002</v>
      </c>
      <c r="HH88">
        <v>9999</v>
      </c>
      <c r="HI88">
        <v>9999</v>
      </c>
      <c r="HJ88">
        <v>9999</v>
      </c>
      <c r="HK88">
        <v>999.9</v>
      </c>
      <c r="HL88">
        <v>1.8847100000000001</v>
      </c>
      <c r="HM88">
        <v>1.88524</v>
      </c>
      <c r="HN88">
        <v>1.8813899999999999</v>
      </c>
      <c r="HO88">
        <v>1.88296</v>
      </c>
      <c r="HP88">
        <v>1.87988</v>
      </c>
      <c r="HQ88">
        <v>1.8833899999999999</v>
      </c>
      <c r="HR88">
        <v>1.8792800000000001</v>
      </c>
      <c r="HS88">
        <v>1.8815599999999999</v>
      </c>
      <c r="HT88">
        <v>5</v>
      </c>
      <c r="HU88">
        <v>0</v>
      </c>
      <c r="HV88">
        <v>0</v>
      </c>
      <c r="HW88">
        <v>0</v>
      </c>
      <c r="HX88" t="s">
        <v>421</v>
      </c>
      <c r="HY88" t="s">
        <v>422</v>
      </c>
      <c r="HZ88" t="s">
        <v>423</v>
      </c>
      <c r="IA88" t="s">
        <v>423</v>
      </c>
      <c r="IB88" t="s">
        <v>423</v>
      </c>
      <c r="IC88" t="s">
        <v>423</v>
      </c>
      <c r="ID88">
        <v>0</v>
      </c>
      <c r="IE88">
        <v>100</v>
      </c>
      <c r="IF88">
        <v>100</v>
      </c>
      <c r="IG88">
        <v>-6.95</v>
      </c>
      <c r="IH88">
        <v>3.32E-2</v>
      </c>
      <c r="II88">
        <v>-2.9240257669167899</v>
      </c>
      <c r="IJ88">
        <v>-3.7794827560518689E-3</v>
      </c>
      <c r="IK88">
        <v>4.9551128961100493E-7</v>
      </c>
      <c r="IL88">
        <v>1.3680294268397379E-10</v>
      </c>
      <c r="IM88">
        <v>3.318571428570749E-2</v>
      </c>
      <c r="IN88">
        <v>0</v>
      </c>
      <c r="IO88">
        <v>0</v>
      </c>
      <c r="IP88">
        <v>0</v>
      </c>
      <c r="IQ88">
        <v>4</v>
      </c>
      <c r="IR88">
        <v>2229</v>
      </c>
      <c r="IS88">
        <v>1</v>
      </c>
      <c r="IT88">
        <v>22</v>
      </c>
      <c r="IU88">
        <v>0.4</v>
      </c>
      <c r="IV88">
        <v>0.5</v>
      </c>
      <c r="IW88">
        <v>4.4299299999999997</v>
      </c>
      <c r="IX88">
        <v>2.5524900000000001</v>
      </c>
      <c r="IY88">
        <v>2.9956100000000001</v>
      </c>
      <c r="IZ88">
        <v>2.96143</v>
      </c>
      <c r="JA88">
        <v>3.1970200000000002</v>
      </c>
      <c r="JB88">
        <v>2.5122100000000001</v>
      </c>
      <c r="JC88">
        <v>46.473500000000001</v>
      </c>
      <c r="JD88">
        <v>23.719799999999999</v>
      </c>
      <c r="JE88">
        <v>18</v>
      </c>
      <c r="JF88">
        <v>513.82899999999995</v>
      </c>
      <c r="JG88">
        <v>1131.5999999999999</v>
      </c>
      <c r="JH88">
        <v>24.7775</v>
      </c>
      <c r="JI88">
        <v>33.704999999999998</v>
      </c>
      <c r="JJ88">
        <v>30.000800000000002</v>
      </c>
      <c r="JK88">
        <v>33.722200000000001</v>
      </c>
      <c r="JL88">
        <v>33.644100000000002</v>
      </c>
      <c r="JM88">
        <v>88.743399999999994</v>
      </c>
      <c r="JN88">
        <v>7.0252699999999999</v>
      </c>
      <c r="JO88">
        <v>18.156500000000001</v>
      </c>
      <c r="JP88">
        <v>24.648199999999999</v>
      </c>
      <c r="JQ88">
        <v>1500</v>
      </c>
      <c r="JR88">
        <v>25.3536</v>
      </c>
      <c r="JS88">
        <v>98.726500000000001</v>
      </c>
      <c r="JT88">
        <v>97.197800000000001</v>
      </c>
    </row>
    <row r="89" spans="1:280" x14ac:dyDescent="0.25">
      <c r="A89">
        <v>73</v>
      </c>
      <c r="B89">
        <v>1700165417.0999999</v>
      </c>
      <c r="C89">
        <v>16435.599999904629</v>
      </c>
      <c r="D89" t="s">
        <v>733</v>
      </c>
      <c r="E89" t="s">
        <v>734</v>
      </c>
      <c r="F89" t="s">
        <v>412</v>
      </c>
      <c r="G89" t="s">
        <v>544</v>
      </c>
      <c r="H89" t="s">
        <v>726</v>
      </c>
      <c r="I89">
        <v>1700165417.0999999</v>
      </c>
      <c r="J89">
        <f t="shared" si="92"/>
        <v>2.178543349528102E-3</v>
      </c>
      <c r="K89">
        <f t="shared" si="93"/>
        <v>2.1785433495281019</v>
      </c>
      <c r="L89">
        <f t="shared" si="94"/>
        <v>48.975379092503367</v>
      </c>
      <c r="M89">
        <f t="shared" si="95"/>
        <v>1196.6300000000001</v>
      </c>
      <c r="N89">
        <f t="shared" si="96"/>
        <v>601.70158664298344</v>
      </c>
      <c r="O89">
        <f t="shared" si="97"/>
        <v>59.613132578081384</v>
      </c>
      <c r="P89">
        <f t="shared" si="98"/>
        <v>118.55521810221802</v>
      </c>
      <c r="Q89">
        <f t="shared" si="99"/>
        <v>0.13992432063125823</v>
      </c>
      <c r="R89">
        <f t="shared" si="100"/>
        <v>3.0941390505097317</v>
      </c>
      <c r="S89">
        <f t="shared" si="101"/>
        <v>0.13650167198442642</v>
      </c>
      <c r="T89">
        <f t="shared" si="102"/>
        <v>8.5614083321822132E-2</v>
      </c>
      <c r="U89">
        <f t="shared" si="103"/>
        <v>344.35479876227896</v>
      </c>
      <c r="V89">
        <f t="shared" si="104"/>
        <v>31.263322736004174</v>
      </c>
      <c r="W89">
        <f t="shared" si="105"/>
        <v>30.0168</v>
      </c>
      <c r="X89">
        <f t="shared" si="106"/>
        <v>4.2645627428492663</v>
      </c>
      <c r="Y89">
        <f t="shared" si="107"/>
        <v>64.759719346241695</v>
      </c>
      <c r="Z89">
        <f t="shared" si="108"/>
        <v>2.7392444549922401</v>
      </c>
      <c r="AA89">
        <f t="shared" si="109"/>
        <v>4.2298584407796866</v>
      </c>
      <c r="AB89">
        <f t="shared" si="110"/>
        <v>1.5253182878570262</v>
      </c>
      <c r="AC89">
        <f t="shared" si="111"/>
        <v>-96.073761714189303</v>
      </c>
      <c r="AD89">
        <f t="shared" si="112"/>
        <v>-23.720556122631503</v>
      </c>
      <c r="AE89">
        <f t="shared" si="113"/>
        <v>-1.7036902933096276</v>
      </c>
      <c r="AF89">
        <f t="shared" si="114"/>
        <v>222.85679063214852</v>
      </c>
      <c r="AG89">
        <v>5</v>
      </c>
      <c r="AH89">
        <v>1</v>
      </c>
      <c r="AI89">
        <f t="shared" si="115"/>
        <v>1</v>
      </c>
      <c r="AJ89">
        <f t="shared" si="116"/>
        <v>0</v>
      </c>
      <c r="AK89">
        <f t="shared" si="117"/>
        <v>52195.468540573871</v>
      </c>
      <c r="AL89" t="s">
        <v>415</v>
      </c>
      <c r="AM89">
        <v>7133.88</v>
      </c>
      <c r="AN89">
        <v>306.28384615384618</v>
      </c>
      <c r="AO89">
        <v>859.63916333292491</v>
      </c>
      <c r="AP89">
        <f t="shared" si="118"/>
        <v>0.64370650010133712</v>
      </c>
      <c r="AQ89">
        <v>-0.73746743666429193</v>
      </c>
      <c r="AR89" t="s">
        <v>735</v>
      </c>
      <c r="AS89">
        <v>7148.36</v>
      </c>
      <c r="AT89">
        <v>600.21992307692312</v>
      </c>
      <c r="AU89">
        <v>868.48269035418809</v>
      </c>
      <c r="AV89">
        <f t="shared" si="119"/>
        <v>0.3088867173252019</v>
      </c>
      <c r="AW89">
        <v>0.5</v>
      </c>
      <c r="AX89">
        <f t="shared" si="120"/>
        <v>1513.1177993811393</v>
      </c>
      <c r="AY89">
        <f t="shared" si="121"/>
        <v>48.975379092503367</v>
      </c>
      <c r="AZ89">
        <f t="shared" si="122"/>
        <v>233.69099498858677</v>
      </c>
      <c r="BA89">
        <f t="shared" si="123"/>
        <v>3.2854577845492311E-2</v>
      </c>
      <c r="BB89">
        <f t="shared" si="124"/>
        <v>-1.0182732620331883E-2</v>
      </c>
      <c r="BC89">
        <f t="shared" si="125"/>
        <v>307.39910283874138</v>
      </c>
      <c r="BD89" t="s">
        <v>736</v>
      </c>
      <c r="BE89">
        <v>424.09</v>
      </c>
      <c r="BF89">
        <f t="shared" si="126"/>
        <v>424.09</v>
      </c>
      <c r="BG89">
        <f t="shared" si="127"/>
        <v>0.51168859816072332</v>
      </c>
      <c r="BH89">
        <f t="shared" si="128"/>
        <v>0.60366152076771384</v>
      </c>
      <c r="BI89">
        <f t="shared" si="129"/>
        <v>-2.0304314106794352E-2</v>
      </c>
      <c r="BJ89">
        <f t="shared" si="130"/>
        <v>0.47716705582850399</v>
      </c>
      <c r="BK89">
        <f t="shared" si="131"/>
        <v>-1.5981642801132085E-2</v>
      </c>
      <c r="BL89">
        <f t="shared" si="132"/>
        <v>0.42652168730089018</v>
      </c>
      <c r="BM89">
        <f t="shared" si="133"/>
        <v>0.57347831269910987</v>
      </c>
      <c r="BN89">
        <v>20798</v>
      </c>
      <c r="BO89">
        <v>290.00000000000011</v>
      </c>
      <c r="BP89">
        <v>790.19</v>
      </c>
      <c r="BQ89">
        <v>295</v>
      </c>
      <c r="BR89">
        <v>7148.36</v>
      </c>
      <c r="BS89">
        <v>791.35</v>
      </c>
      <c r="BT89">
        <v>-1.1599999999999999</v>
      </c>
      <c r="BU89">
        <v>300.00000000000011</v>
      </c>
      <c r="BV89">
        <v>38.200000000000003</v>
      </c>
      <c r="BW89">
        <v>868.48269035418809</v>
      </c>
      <c r="BX89">
        <v>1.232166679584346</v>
      </c>
      <c r="BY89">
        <v>-55.135068646559517</v>
      </c>
      <c r="BZ89">
        <v>0.73819077954581358</v>
      </c>
      <c r="CA89">
        <v>0.99500581022191792</v>
      </c>
      <c r="CB89">
        <v>-7.0567790878754188E-3</v>
      </c>
      <c r="CC89">
        <v>289.99999999999989</v>
      </c>
      <c r="CD89">
        <v>796.23</v>
      </c>
      <c r="CE89">
        <v>785</v>
      </c>
      <c r="CF89">
        <v>7142.53</v>
      </c>
      <c r="CG89">
        <v>791.29</v>
      </c>
      <c r="CH89">
        <v>4.9400000000000004</v>
      </c>
      <c r="CV89">
        <f t="shared" si="134"/>
        <v>1799.92</v>
      </c>
      <c r="CW89">
        <f t="shared" si="135"/>
        <v>1513.1177993811393</v>
      </c>
      <c r="CX89">
        <f t="shared" si="136"/>
        <v>0.84065836225006629</v>
      </c>
      <c r="CY89">
        <f t="shared" si="137"/>
        <v>0.19131672450013276</v>
      </c>
      <c r="CZ89">
        <v>5.18</v>
      </c>
      <c r="DA89">
        <v>0.5</v>
      </c>
      <c r="DB89" t="s">
        <v>418</v>
      </c>
      <c r="DC89">
        <v>2</v>
      </c>
      <c r="DD89">
        <v>1700165417.0999999</v>
      </c>
      <c r="DE89">
        <v>1196.6300000000001</v>
      </c>
      <c r="DF89">
        <v>1250.07</v>
      </c>
      <c r="DG89">
        <v>27.648399999999999</v>
      </c>
      <c r="DH89">
        <v>25.453800000000001</v>
      </c>
      <c r="DI89">
        <v>1202.99</v>
      </c>
      <c r="DJ89">
        <v>27.593299999999999</v>
      </c>
      <c r="DK89">
        <v>499.99299999999999</v>
      </c>
      <c r="DL89">
        <v>98.974800000000002</v>
      </c>
      <c r="DM89">
        <v>9.9448599999999998E-2</v>
      </c>
      <c r="DN89">
        <v>29.874600000000001</v>
      </c>
      <c r="DO89">
        <v>30.0168</v>
      </c>
      <c r="DP89">
        <v>999.9</v>
      </c>
      <c r="DQ89">
        <v>0</v>
      </c>
      <c r="DR89">
        <v>0</v>
      </c>
      <c r="DS89">
        <v>10071.9</v>
      </c>
      <c r="DT89">
        <v>0</v>
      </c>
      <c r="DU89">
        <v>330.024</v>
      </c>
      <c r="DV89">
        <v>-53.440800000000003</v>
      </c>
      <c r="DW89">
        <v>1230.6600000000001</v>
      </c>
      <c r="DX89">
        <v>1282.72</v>
      </c>
      <c r="DY89">
        <v>2.1945100000000002</v>
      </c>
      <c r="DZ89">
        <v>1250.07</v>
      </c>
      <c r="EA89">
        <v>25.453800000000001</v>
      </c>
      <c r="EB89">
        <v>2.7364899999999999</v>
      </c>
      <c r="EC89">
        <v>2.5192899999999998</v>
      </c>
      <c r="ED89">
        <v>22.5059</v>
      </c>
      <c r="EE89">
        <v>21.151700000000002</v>
      </c>
      <c r="EF89">
        <v>1799.92</v>
      </c>
      <c r="EG89">
        <v>0.97799199999999997</v>
      </c>
      <c r="EH89">
        <v>2.2007599999999999E-2</v>
      </c>
      <c r="EI89">
        <v>0</v>
      </c>
      <c r="EJ89">
        <v>600.12</v>
      </c>
      <c r="EK89">
        <v>5.0009399999999999</v>
      </c>
      <c r="EL89">
        <v>11722.7</v>
      </c>
      <c r="EM89">
        <v>13859.5</v>
      </c>
      <c r="EN89">
        <v>47.186999999999998</v>
      </c>
      <c r="EO89">
        <v>49.125</v>
      </c>
      <c r="EP89">
        <v>48.311999999999998</v>
      </c>
      <c r="EQ89">
        <v>48.311999999999998</v>
      </c>
      <c r="ER89">
        <v>48.625</v>
      </c>
      <c r="ES89">
        <v>1755.42</v>
      </c>
      <c r="ET89">
        <v>39.5</v>
      </c>
      <c r="EU89">
        <v>0</v>
      </c>
      <c r="EV89">
        <v>238.4000000953674</v>
      </c>
      <c r="EW89">
        <v>0</v>
      </c>
      <c r="EX89">
        <v>600.21992307692312</v>
      </c>
      <c r="EY89">
        <v>-0.60088889862183315</v>
      </c>
      <c r="EZ89">
        <v>-45.223931460122323</v>
      </c>
      <c r="FA89">
        <v>11732.14615384615</v>
      </c>
      <c r="FB89">
        <v>15</v>
      </c>
      <c r="FC89">
        <v>1700165390.0999999</v>
      </c>
      <c r="FD89" t="s">
        <v>737</v>
      </c>
      <c r="FE89">
        <v>1700165389.5999999</v>
      </c>
      <c r="FF89">
        <v>1700165390.0999999</v>
      </c>
      <c r="FG89">
        <v>80</v>
      </c>
      <c r="FH89">
        <v>0.16</v>
      </c>
      <c r="FI89">
        <v>2.1999999999999999E-2</v>
      </c>
      <c r="FJ89">
        <v>-6.46</v>
      </c>
      <c r="FK89">
        <v>5.5E-2</v>
      </c>
      <c r="FL89">
        <v>1250</v>
      </c>
      <c r="FM89">
        <v>25</v>
      </c>
      <c r="FN89">
        <v>7.0000000000000007E-2</v>
      </c>
      <c r="FO89">
        <v>0.04</v>
      </c>
      <c r="FP89">
        <v>48.970413042997329</v>
      </c>
      <c r="FQ89">
        <v>0.32376513499859172</v>
      </c>
      <c r="FR89">
        <v>4.6141583834418243E-2</v>
      </c>
      <c r="FS89">
        <v>1</v>
      </c>
      <c r="FT89">
        <v>0.14208231159125151</v>
      </c>
      <c r="FU89">
        <v>1.7174032285927621E-2</v>
      </c>
      <c r="FV89">
        <v>1.7019120768091739E-3</v>
      </c>
      <c r="FW89">
        <v>1</v>
      </c>
      <c r="FX89">
        <v>2</v>
      </c>
      <c r="FY89">
        <v>2</v>
      </c>
      <c r="FZ89" t="s">
        <v>420</v>
      </c>
      <c r="GA89">
        <v>3.1197699999999999</v>
      </c>
      <c r="GB89">
        <v>2.8776999999999999</v>
      </c>
      <c r="GC89">
        <v>0.18553700000000001</v>
      </c>
      <c r="GD89">
        <v>0.192249</v>
      </c>
      <c r="GE89">
        <v>0.124138</v>
      </c>
      <c r="GF89">
        <v>0.118073</v>
      </c>
      <c r="GG89">
        <v>23639.9</v>
      </c>
      <c r="GH89">
        <v>23994</v>
      </c>
      <c r="GI89">
        <v>26736</v>
      </c>
      <c r="GJ89">
        <v>27435.4</v>
      </c>
      <c r="GK89">
        <v>33498.400000000001</v>
      </c>
      <c r="GL89">
        <v>33813.800000000003</v>
      </c>
      <c r="GM89">
        <v>39607.1</v>
      </c>
      <c r="GN89">
        <v>39725.1</v>
      </c>
      <c r="GO89">
        <v>1.9676499999999999</v>
      </c>
      <c r="GP89">
        <v>2.4534500000000001</v>
      </c>
      <c r="GQ89">
        <v>4.0166100000000003E-2</v>
      </c>
      <c r="GR89">
        <v>0</v>
      </c>
      <c r="GS89">
        <v>29.3628</v>
      </c>
      <c r="GT89">
        <v>999.9</v>
      </c>
      <c r="GU89">
        <v>32.1</v>
      </c>
      <c r="GV89">
        <v>44</v>
      </c>
      <c r="GW89">
        <v>29.683299999999999</v>
      </c>
      <c r="GX89">
        <v>62.300800000000002</v>
      </c>
      <c r="GY89">
        <v>6.9351000000000003</v>
      </c>
      <c r="GZ89">
        <v>3</v>
      </c>
      <c r="HA89">
        <v>0.52695099999999995</v>
      </c>
      <c r="HB89">
        <v>3.8937200000000001</v>
      </c>
      <c r="HC89">
        <v>20.256499999999999</v>
      </c>
      <c r="HD89">
        <v>5.2151899999999998</v>
      </c>
      <c r="HE89">
        <v>11.908099999999999</v>
      </c>
      <c r="HF89">
        <v>4.9973000000000001</v>
      </c>
      <c r="HG89">
        <v>3.3029299999999999</v>
      </c>
      <c r="HH89">
        <v>9999</v>
      </c>
      <c r="HI89">
        <v>9999</v>
      </c>
      <c r="HJ89">
        <v>9999</v>
      </c>
      <c r="HK89">
        <v>999.9</v>
      </c>
      <c r="HL89">
        <v>1.8847400000000001</v>
      </c>
      <c r="HM89">
        <v>1.8852199999999999</v>
      </c>
      <c r="HN89">
        <v>1.8813500000000001</v>
      </c>
      <c r="HO89">
        <v>1.8829400000000001</v>
      </c>
      <c r="HP89">
        <v>1.87988</v>
      </c>
      <c r="HQ89">
        <v>1.8833800000000001</v>
      </c>
      <c r="HR89">
        <v>1.8792899999999999</v>
      </c>
      <c r="HS89">
        <v>1.8815599999999999</v>
      </c>
      <c r="HT89">
        <v>5</v>
      </c>
      <c r="HU89">
        <v>0</v>
      </c>
      <c r="HV89">
        <v>0</v>
      </c>
      <c r="HW89">
        <v>0</v>
      </c>
      <c r="HX89" t="s">
        <v>421</v>
      </c>
      <c r="HY89" t="s">
        <v>422</v>
      </c>
      <c r="HZ89" t="s">
        <v>423</v>
      </c>
      <c r="IA89" t="s">
        <v>423</v>
      </c>
      <c r="IB89" t="s">
        <v>423</v>
      </c>
      <c r="IC89" t="s">
        <v>423</v>
      </c>
      <c r="ID89">
        <v>0</v>
      </c>
      <c r="IE89">
        <v>100</v>
      </c>
      <c r="IF89">
        <v>100</v>
      </c>
      <c r="IG89">
        <v>-6.36</v>
      </c>
      <c r="IH89">
        <v>5.5100000000000003E-2</v>
      </c>
      <c r="II89">
        <v>-2.764803599654833</v>
      </c>
      <c r="IJ89">
        <v>-3.7794827560518689E-3</v>
      </c>
      <c r="IK89">
        <v>4.9551128961100493E-7</v>
      </c>
      <c r="IL89">
        <v>1.3680294268397379E-10</v>
      </c>
      <c r="IM89">
        <v>5.5052380952382407E-2</v>
      </c>
      <c r="IN89">
        <v>0</v>
      </c>
      <c r="IO89">
        <v>0</v>
      </c>
      <c r="IP89">
        <v>0</v>
      </c>
      <c r="IQ89">
        <v>4</v>
      </c>
      <c r="IR89">
        <v>2229</v>
      </c>
      <c r="IS89">
        <v>1</v>
      </c>
      <c r="IT89">
        <v>22</v>
      </c>
      <c r="IU89">
        <v>0.5</v>
      </c>
      <c r="IV89">
        <v>0.5</v>
      </c>
      <c r="IW89">
        <v>3.8439899999999998</v>
      </c>
      <c r="IX89">
        <v>2.5329600000000001</v>
      </c>
      <c r="IY89">
        <v>2.9956100000000001</v>
      </c>
      <c r="IZ89">
        <v>2.96265</v>
      </c>
      <c r="JA89">
        <v>3.1970200000000002</v>
      </c>
      <c r="JB89">
        <v>2.50488</v>
      </c>
      <c r="JC89">
        <v>46.385800000000003</v>
      </c>
      <c r="JD89">
        <v>23.737300000000001</v>
      </c>
      <c r="JE89">
        <v>18</v>
      </c>
      <c r="JF89">
        <v>513.78700000000003</v>
      </c>
      <c r="JG89">
        <v>1133.3900000000001</v>
      </c>
      <c r="JH89">
        <v>25.2623</v>
      </c>
      <c r="JI89">
        <v>33.644599999999997</v>
      </c>
      <c r="JJ89">
        <v>30.003399999999999</v>
      </c>
      <c r="JK89">
        <v>33.672699999999999</v>
      </c>
      <c r="JL89">
        <v>33.598799999999997</v>
      </c>
      <c r="JM89">
        <v>77.034099999999995</v>
      </c>
      <c r="JN89">
        <v>9.3361800000000006</v>
      </c>
      <c r="JO89">
        <v>21.597300000000001</v>
      </c>
      <c r="JP89">
        <v>25.228400000000001</v>
      </c>
      <c r="JQ89">
        <v>1250</v>
      </c>
      <c r="JR89">
        <v>25.408899999999999</v>
      </c>
      <c r="JS89">
        <v>98.7273</v>
      </c>
      <c r="JT89">
        <v>97.194299999999998</v>
      </c>
    </row>
    <row r="90" spans="1:280" x14ac:dyDescent="0.25">
      <c r="A90">
        <v>74</v>
      </c>
      <c r="B90">
        <v>1700165551.5999999</v>
      </c>
      <c r="C90">
        <v>16570.099999904629</v>
      </c>
      <c r="D90" t="s">
        <v>738</v>
      </c>
      <c r="E90" t="s">
        <v>739</v>
      </c>
      <c r="F90" t="s">
        <v>412</v>
      </c>
      <c r="G90" t="s">
        <v>544</v>
      </c>
      <c r="H90" t="s">
        <v>726</v>
      </c>
      <c r="I90">
        <v>1700165551.5999999</v>
      </c>
      <c r="J90">
        <f t="shared" si="92"/>
        <v>2.134671047430575E-3</v>
      </c>
      <c r="K90">
        <f t="shared" si="93"/>
        <v>2.134671047430575</v>
      </c>
      <c r="L90">
        <f t="shared" si="94"/>
        <v>46.338455324215332</v>
      </c>
      <c r="M90">
        <f t="shared" si="95"/>
        <v>949.96</v>
      </c>
      <c r="N90">
        <f t="shared" si="96"/>
        <v>386.37247433945623</v>
      </c>
      <c r="O90">
        <f t="shared" si="97"/>
        <v>38.281744188443518</v>
      </c>
      <c r="P90">
        <f t="shared" si="98"/>
        <v>94.121937054199989</v>
      </c>
      <c r="Q90">
        <f t="shared" si="99"/>
        <v>0.138497774805319</v>
      </c>
      <c r="R90">
        <f t="shared" si="100"/>
        <v>3.0800017632412411</v>
      </c>
      <c r="S90">
        <f t="shared" si="101"/>
        <v>0.13512866598545425</v>
      </c>
      <c r="T90">
        <f t="shared" si="102"/>
        <v>8.4751291096427706E-2</v>
      </c>
      <c r="U90">
        <f t="shared" si="103"/>
        <v>344.3528987622721</v>
      </c>
      <c r="V90">
        <f t="shared" si="104"/>
        <v>31.246557272180674</v>
      </c>
      <c r="W90">
        <f t="shared" si="105"/>
        <v>30.005600000000001</v>
      </c>
      <c r="X90">
        <f t="shared" si="106"/>
        <v>4.2618203782803237</v>
      </c>
      <c r="Y90">
        <f t="shared" si="107"/>
        <v>65.187650832386211</v>
      </c>
      <c r="Z90">
        <f t="shared" si="108"/>
        <v>2.7520233475409999</v>
      </c>
      <c r="AA90">
        <f t="shared" si="109"/>
        <v>4.2216943123432102</v>
      </c>
      <c r="AB90">
        <f t="shared" si="110"/>
        <v>1.5097970307393238</v>
      </c>
      <c r="AC90">
        <f t="shared" si="111"/>
        <v>-94.138993191688357</v>
      </c>
      <c r="AD90">
        <f t="shared" si="112"/>
        <v>-27.331674462853265</v>
      </c>
      <c r="AE90">
        <f t="shared" si="113"/>
        <v>-1.9716260701654835</v>
      </c>
      <c r="AF90">
        <f t="shared" si="114"/>
        <v>220.91060503756498</v>
      </c>
      <c r="AG90">
        <v>5</v>
      </c>
      <c r="AH90">
        <v>1</v>
      </c>
      <c r="AI90">
        <f t="shared" si="115"/>
        <v>1</v>
      </c>
      <c r="AJ90">
        <f t="shared" si="116"/>
        <v>0</v>
      </c>
      <c r="AK90">
        <f t="shared" si="117"/>
        <v>51834.297614157287</v>
      </c>
      <c r="AL90" t="s">
        <v>431</v>
      </c>
      <c r="AM90" t="s">
        <v>431</v>
      </c>
      <c r="AN90">
        <v>0</v>
      </c>
      <c r="AO90">
        <v>0</v>
      </c>
      <c r="AP90" t="e">
        <f t="shared" si="118"/>
        <v>#DIV/0!</v>
      </c>
      <c r="AQ90">
        <v>0</v>
      </c>
      <c r="AR90" t="s">
        <v>431</v>
      </c>
      <c r="AS90" t="s">
        <v>431</v>
      </c>
      <c r="AT90">
        <v>0</v>
      </c>
      <c r="AU90">
        <v>0</v>
      </c>
      <c r="AV90" t="e">
        <f t="shared" si="119"/>
        <v>#DIV/0!</v>
      </c>
      <c r="AW90">
        <v>0.5</v>
      </c>
      <c r="AX90">
        <f t="shared" si="120"/>
        <v>1513.109399381136</v>
      </c>
      <c r="AY90">
        <f t="shared" si="121"/>
        <v>46.338455324215332</v>
      </c>
      <c r="AZ90" t="e">
        <f t="shared" si="122"/>
        <v>#DIV/0!</v>
      </c>
      <c r="BA90">
        <f t="shared" si="123"/>
        <v>3.0624656315774542E-2</v>
      </c>
      <c r="BB90" t="e">
        <f t="shared" si="124"/>
        <v>#DIV/0!</v>
      </c>
      <c r="BC90" t="e">
        <f t="shared" si="125"/>
        <v>#DIV/0!</v>
      </c>
      <c r="BD90" t="s">
        <v>431</v>
      </c>
      <c r="BE90">
        <v>0</v>
      </c>
      <c r="BF90" t="e">
        <f t="shared" si="126"/>
        <v>#DIV/0!</v>
      </c>
      <c r="BG90" t="e">
        <f t="shared" si="127"/>
        <v>#DIV/0!</v>
      </c>
      <c r="BH90" t="e">
        <f t="shared" si="128"/>
        <v>#DIV/0!</v>
      </c>
      <c r="BI90" t="e">
        <f t="shared" si="129"/>
        <v>#DIV/0!</v>
      </c>
      <c r="BJ90" t="e">
        <f t="shared" si="130"/>
        <v>#DIV/0!</v>
      </c>
      <c r="BK90" t="e">
        <f t="shared" si="131"/>
        <v>#DIV/0!</v>
      </c>
      <c r="BL90" t="e">
        <f t="shared" si="132"/>
        <v>#DIV/0!</v>
      </c>
      <c r="BM90" t="e">
        <f t="shared" si="133"/>
        <v>#DIV/0!</v>
      </c>
      <c r="BN90">
        <v>20798</v>
      </c>
      <c r="BO90">
        <v>290.00000000000011</v>
      </c>
      <c r="BP90">
        <v>790.19</v>
      </c>
      <c r="BQ90">
        <v>295</v>
      </c>
      <c r="BR90">
        <v>7148.36</v>
      </c>
      <c r="BS90">
        <v>791.35</v>
      </c>
      <c r="BT90">
        <v>-1.1599999999999999</v>
      </c>
      <c r="BU90">
        <v>300.00000000000011</v>
      </c>
      <c r="BV90">
        <v>38.200000000000003</v>
      </c>
      <c r="BW90">
        <v>868.48269035418809</v>
      </c>
      <c r="BX90">
        <v>1.232166679584346</v>
      </c>
      <c r="BY90">
        <v>-55.135068646559517</v>
      </c>
      <c r="BZ90">
        <v>0.73819077954581358</v>
      </c>
      <c r="CA90">
        <v>0.99500581022191792</v>
      </c>
      <c r="CB90">
        <v>-7.0567790878754188E-3</v>
      </c>
      <c r="CC90">
        <v>289.99999999999989</v>
      </c>
      <c r="CD90">
        <v>796.23</v>
      </c>
      <c r="CE90">
        <v>785</v>
      </c>
      <c r="CF90">
        <v>7142.53</v>
      </c>
      <c r="CG90">
        <v>791.29</v>
      </c>
      <c r="CH90">
        <v>4.9400000000000004</v>
      </c>
      <c r="CV90">
        <f t="shared" si="134"/>
        <v>1799.91</v>
      </c>
      <c r="CW90">
        <f t="shared" si="135"/>
        <v>1513.109399381136</v>
      </c>
      <c r="CX90">
        <f t="shared" si="136"/>
        <v>0.8406583659078154</v>
      </c>
      <c r="CY90">
        <f t="shared" si="137"/>
        <v>0.19131673181563083</v>
      </c>
      <c r="CZ90">
        <v>5.18</v>
      </c>
      <c r="DA90">
        <v>0.5</v>
      </c>
      <c r="DB90" t="s">
        <v>418</v>
      </c>
      <c r="DC90">
        <v>2</v>
      </c>
      <c r="DD90">
        <v>1700165551.5999999</v>
      </c>
      <c r="DE90">
        <v>949.96</v>
      </c>
      <c r="DF90">
        <v>1000.07</v>
      </c>
      <c r="DG90">
        <v>27.7758</v>
      </c>
      <c r="DH90">
        <v>25.625599999999999</v>
      </c>
      <c r="DI90">
        <v>955.995</v>
      </c>
      <c r="DJ90">
        <v>27.707699999999999</v>
      </c>
      <c r="DK90">
        <v>499.97500000000002</v>
      </c>
      <c r="DL90">
        <v>98.979799999999997</v>
      </c>
      <c r="DM90">
        <v>0.100095</v>
      </c>
      <c r="DN90">
        <v>29.841000000000001</v>
      </c>
      <c r="DO90">
        <v>30.005600000000001</v>
      </c>
      <c r="DP90">
        <v>999.9</v>
      </c>
      <c r="DQ90">
        <v>0</v>
      </c>
      <c r="DR90">
        <v>0</v>
      </c>
      <c r="DS90">
        <v>9997.5</v>
      </c>
      <c r="DT90">
        <v>0</v>
      </c>
      <c r="DU90">
        <v>316.35399999999998</v>
      </c>
      <c r="DV90">
        <v>-50.114899999999999</v>
      </c>
      <c r="DW90">
        <v>977.1</v>
      </c>
      <c r="DX90">
        <v>1026.3800000000001</v>
      </c>
      <c r="DY90">
        <v>2.1502300000000001</v>
      </c>
      <c r="DZ90">
        <v>1000.07</v>
      </c>
      <c r="EA90">
        <v>25.625599999999999</v>
      </c>
      <c r="EB90">
        <v>2.7492399999999999</v>
      </c>
      <c r="EC90">
        <v>2.5364100000000001</v>
      </c>
      <c r="ED90">
        <v>22.5824</v>
      </c>
      <c r="EE90">
        <v>21.2621</v>
      </c>
      <c r="EF90">
        <v>1799.91</v>
      </c>
      <c r="EG90">
        <v>0.97799199999999997</v>
      </c>
      <c r="EH90">
        <v>2.2007499999999999E-2</v>
      </c>
      <c r="EI90">
        <v>0</v>
      </c>
      <c r="EJ90">
        <v>600.43399999999997</v>
      </c>
      <c r="EK90">
        <v>5.0009399999999999</v>
      </c>
      <c r="EL90">
        <v>11612.2</v>
      </c>
      <c r="EM90">
        <v>13859.4</v>
      </c>
      <c r="EN90">
        <v>47.186999999999998</v>
      </c>
      <c r="EO90">
        <v>49.061999999999998</v>
      </c>
      <c r="EP90">
        <v>48.25</v>
      </c>
      <c r="EQ90">
        <v>48.25</v>
      </c>
      <c r="ER90">
        <v>48.625</v>
      </c>
      <c r="ES90">
        <v>1755.41</v>
      </c>
      <c r="ET90">
        <v>39.5</v>
      </c>
      <c r="EU90">
        <v>0</v>
      </c>
      <c r="EV90">
        <v>132.20000004768369</v>
      </c>
      <c r="EW90">
        <v>0</v>
      </c>
      <c r="EX90">
        <v>600.49107692307689</v>
      </c>
      <c r="EY90">
        <v>-2.3111117861713631E-2</v>
      </c>
      <c r="EZ90">
        <v>525.47350314683865</v>
      </c>
      <c r="FA90">
        <v>11565.126923076919</v>
      </c>
      <c r="FB90">
        <v>15</v>
      </c>
      <c r="FC90">
        <v>1700165526.5999999</v>
      </c>
      <c r="FD90" t="s">
        <v>740</v>
      </c>
      <c r="FE90">
        <v>1700165526.5999999</v>
      </c>
      <c r="FF90">
        <v>1700165521.0999999</v>
      </c>
      <c r="FG90">
        <v>81</v>
      </c>
      <c r="FH90">
        <v>-0.22800000000000001</v>
      </c>
      <c r="FI90">
        <v>1.2999999999999999E-2</v>
      </c>
      <c r="FJ90">
        <v>-6.1559999999999997</v>
      </c>
      <c r="FK90">
        <v>6.8000000000000005E-2</v>
      </c>
      <c r="FL90">
        <v>1000</v>
      </c>
      <c r="FM90">
        <v>26</v>
      </c>
      <c r="FN90">
        <v>0.03</v>
      </c>
      <c r="FO90">
        <v>0.06</v>
      </c>
      <c r="FP90">
        <v>46.404315265701847</v>
      </c>
      <c r="FQ90">
        <v>-1.7269341831294551E-2</v>
      </c>
      <c r="FR90">
        <v>3.9883428105091108E-2</v>
      </c>
      <c r="FS90">
        <v>1</v>
      </c>
      <c r="FT90">
        <v>0.13721979587820751</v>
      </c>
      <c r="FU90">
        <v>2.9922442157624969E-2</v>
      </c>
      <c r="FV90">
        <v>2.5478431582749762E-3</v>
      </c>
      <c r="FW90">
        <v>1</v>
      </c>
      <c r="FX90">
        <v>2</v>
      </c>
      <c r="FY90">
        <v>2</v>
      </c>
      <c r="FZ90" t="s">
        <v>420</v>
      </c>
      <c r="GA90">
        <v>3.1197900000000001</v>
      </c>
      <c r="GB90">
        <v>2.8776999999999999</v>
      </c>
      <c r="GC90">
        <v>0.16031500000000001</v>
      </c>
      <c r="GD90">
        <v>0.16706699999999999</v>
      </c>
      <c r="GE90">
        <v>0.124517</v>
      </c>
      <c r="GF90">
        <v>0.11865000000000001</v>
      </c>
      <c r="GG90">
        <v>24373.1</v>
      </c>
      <c r="GH90">
        <v>24740.9</v>
      </c>
      <c r="GI90">
        <v>26736</v>
      </c>
      <c r="GJ90">
        <v>27432.7</v>
      </c>
      <c r="GK90">
        <v>33482.1</v>
      </c>
      <c r="GL90">
        <v>33786</v>
      </c>
      <c r="GM90">
        <v>39607.599999999999</v>
      </c>
      <c r="GN90">
        <v>39720.9</v>
      </c>
      <c r="GO90">
        <v>1.9678199999999999</v>
      </c>
      <c r="GP90">
        <v>2.4533</v>
      </c>
      <c r="GQ90">
        <v>3.8445E-2</v>
      </c>
      <c r="GR90">
        <v>0</v>
      </c>
      <c r="GS90">
        <v>29.3796</v>
      </c>
      <c r="GT90">
        <v>999.9</v>
      </c>
      <c r="GU90">
        <v>32.9</v>
      </c>
      <c r="GV90">
        <v>43.8</v>
      </c>
      <c r="GW90">
        <v>30.109200000000001</v>
      </c>
      <c r="GX90">
        <v>62.970799999999997</v>
      </c>
      <c r="GY90">
        <v>6.9310900000000002</v>
      </c>
      <c r="GZ90">
        <v>3</v>
      </c>
      <c r="HA90">
        <v>0.51913100000000001</v>
      </c>
      <c r="HB90">
        <v>3.0498400000000001</v>
      </c>
      <c r="HC90">
        <v>20.276</v>
      </c>
      <c r="HD90">
        <v>5.2153400000000003</v>
      </c>
      <c r="HE90">
        <v>11.908099999999999</v>
      </c>
      <c r="HF90">
        <v>4.99695</v>
      </c>
      <c r="HG90">
        <v>3.3027799999999998</v>
      </c>
      <c r="HH90">
        <v>9999</v>
      </c>
      <c r="HI90">
        <v>9999</v>
      </c>
      <c r="HJ90">
        <v>9999</v>
      </c>
      <c r="HK90">
        <v>999.9</v>
      </c>
      <c r="HL90">
        <v>1.88473</v>
      </c>
      <c r="HM90">
        <v>1.88523</v>
      </c>
      <c r="HN90">
        <v>1.8813899999999999</v>
      </c>
      <c r="HO90">
        <v>1.88293</v>
      </c>
      <c r="HP90">
        <v>1.87988</v>
      </c>
      <c r="HQ90">
        <v>1.8833899999999999</v>
      </c>
      <c r="HR90">
        <v>1.8793</v>
      </c>
      <c r="HS90">
        <v>1.88157</v>
      </c>
      <c r="HT90">
        <v>5</v>
      </c>
      <c r="HU90">
        <v>0</v>
      </c>
      <c r="HV90">
        <v>0</v>
      </c>
      <c r="HW90">
        <v>0</v>
      </c>
      <c r="HX90" t="s">
        <v>421</v>
      </c>
      <c r="HY90" t="s">
        <v>422</v>
      </c>
      <c r="HZ90" t="s">
        <v>423</v>
      </c>
      <c r="IA90" t="s">
        <v>423</v>
      </c>
      <c r="IB90" t="s">
        <v>423</v>
      </c>
      <c r="IC90" t="s">
        <v>423</v>
      </c>
      <c r="ID90">
        <v>0</v>
      </c>
      <c r="IE90">
        <v>100</v>
      </c>
      <c r="IF90">
        <v>100</v>
      </c>
      <c r="IG90">
        <v>-6.0350000000000001</v>
      </c>
      <c r="IH90">
        <v>6.8099999999999994E-2</v>
      </c>
      <c r="II90">
        <v>-2.993952600634513</v>
      </c>
      <c r="IJ90">
        <v>-3.7794827560518689E-3</v>
      </c>
      <c r="IK90">
        <v>4.9551128961100493E-7</v>
      </c>
      <c r="IL90">
        <v>1.3680294268397379E-10</v>
      </c>
      <c r="IM90">
        <v>6.8095238095242649E-2</v>
      </c>
      <c r="IN90">
        <v>0</v>
      </c>
      <c r="IO90">
        <v>0</v>
      </c>
      <c r="IP90">
        <v>0</v>
      </c>
      <c r="IQ90">
        <v>4</v>
      </c>
      <c r="IR90">
        <v>2229</v>
      </c>
      <c r="IS90">
        <v>1</v>
      </c>
      <c r="IT90">
        <v>22</v>
      </c>
      <c r="IU90">
        <v>0.4</v>
      </c>
      <c r="IV90">
        <v>0.5</v>
      </c>
      <c r="IW90">
        <v>3.2214399999999999</v>
      </c>
      <c r="IX90">
        <v>2.5427200000000001</v>
      </c>
      <c r="IY90">
        <v>2.9956100000000001</v>
      </c>
      <c r="IZ90">
        <v>2.9565399999999999</v>
      </c>
      <c r="JA90">
        <v>3.1970200000000002</v>
      </c>
      <c r="JB90">
        <v>2.50244</v>
      </c>
      <c r="JC90">
        <v>46.269100000000002</v>
      </c>
      <c r="JD90">
        <v>23.737300000000001</v>
      </c>
      <c r="JE90">
        <v>18</v>
      </c>
      <c r="JF90">
        <v>513.66</v>
      </c>
      <c r="JG90">
        <v>1132.5999999999999</v>
      </c>
      <c r="JH90">
        <v>25.241099999999999</v>
      </c>
      <c r="JI90">
        <v>33.6143</v>
      </c>
      <c r="JJ90">
        <v>30.0001</v>
      </c>
      <c r="JK90">
        <v>33.642600000000002</v>
      </c>
      <c r="JL90">
        <v>33.567100000000003</v>
      </c>
      <c r="JM90">
        <v>64.561000000000007</v>
      </c>
      <c r="JN90">
        <v>11.432600000000001</v>
      </c>
      <c r="JO90">
        <v>24.2241</v>
      </c>
      <c r="JP90">
        <v>25.2409</v>
      </c>
      <c r="JQ90">
        <v>1000</v>
      </c>
      <c r="JR90">
        <v>25.597300000000001</v>
      </c>
      <c r="JS90">
        <v>98.727999999999994</v>
      </c>
      <c r="JT90">
        <v>97.184200000000004</v>
      </c>
    </row>
    <row r="91" spans="1:280" x14ac:dyDescent="0.25">
      <c r="A91">
        <v>75</v>
      </c>
      <c r="B91">
        <v>1700165775.5999999</v>
      </c>
      <c r="C91">
        <v>16794.099999904629</v>
      </c>
      <c r="D91" t="s">
        <v>741</v>
      </c>
      <c r="E91" t="s">
        <v>742</v>
      </c>
      <c r="F91" t="s">
        <v>412</v>
      </c>
      <c r="G91" t="s">
        <v>544</v>
      </c>
      <c r="H91" t="s">
        <v>726</v>
      </c>
      <c r="I91">
        <v>1700165775.5999999</v>
      </c>
      <c r="J91">
        <f t="shared" si="92"/>
        <v>2.8287349253600228E-3</v>
      </c>
      <c r="K91">
        <f t="shared" si="93"/>
        <v>2.8287349253600227</v>
      </c>
      <c r="L91">
        <f t="shared" si="94"/>
        <v>49.710159037586543</v>
      </c>
      <c r="M91">
        <f t="shared" si="95"/>
        <v>696.48599999999999</v>
      </c>
      <c r="N91">
        <f t="shared" si="96"/>
        <v>238.30406545425936</v>
      </c>
      <c r="O91">
        <f t="shared" si="97"/>
        <v>23.608777806951839</v>
      </c>
      <c r="P91">
        <f t="shared" si="98"/>
        <v>69.000850607849998</v>
      </c>
      <c r="Q91">
        <f t="shared" si="99"/>
        <v>0.18324215421766357</v>
      </c>
      <c r="R91">
        <f t="shared" si="100"/>
        <v>3.0788511087721351</v>
      </c>
      <c r="S91">
        <f t="shared" si="101"/>
        <v>0.1773918658488283</v>
      </c>
      <c r="T91">
        <f t="shared" si="102"/>
        <v>0.1113799821487876</v>
      </c>
      <c r="U91">
        <f t="shared" si="103"/>
        <v>344.36629876326714</v>
      </c>
      <c r="V91">
        <f t="shared" si="104"/>
        <v>31.210511857485283</v>
      </c>
      <c r="W91">
        <f t="shared" si="105"/>
        <v>30.008800000000001</v>
      </c>
      <c r="X91">
        <f t="shared" si="106"/>
        <v>4.2626037541442869</v>
      </c>
      <c r="Y91">
        <f t="shared" si="107"/>
        <v>64.367157726176458</v>
      </c>
      <c r="Z91">
        <f t="shared" si="108"/>
        <v>2.7386309469150003</v>
      </c>
      <c r="AA91">
        <f t="shared" si="109"/>
        <v>4.2547023104008677</v>
      </c>
      <c r="AB91">
        <f t="shared" si="110"/>
        <v>1.5239728072292866</v>
      </c>
      <c r="AC91">
        <f t="shared" si="111"/>
        <v>-124.74721020837701</v>
      </c>
      <c r="AD91">
        <f t="shared" si="112"/>
        <v>-5.3613807775286739</v>
      </c>
      <c r="AE91">
        <f t="shared" si="113"/>
        <v>-0.38716443426062708</v>
      </c>
      <c r="AF91">
        <f t="shared" si="114"/>
        <v>213.87054334310085</v>
      </c>
      <c r="AG91">
        <v>5</v>
      </c>
      <c r="AH91">
        <v>1</v>
      </c>
      <c r="AI91">
        <f t="shared" si="115"/>
        <v>1</v>
      </c>
      <c r="AJ91">
        <f t="shared" si="116"/>
        <v>0</v>
      </c>
      <c r="AK91">
        <f t="shared" si="117"/>
        <v>51781.079794644327</v>
      </c>
      <c r="AL91" t="s">
        <v>415</v>
      </c>
      <c r="AM91">
        <v>7133.88</v>
      </c>
      <c r="AN91">
        <v>306.28384615384618</v>
      </c>
      <c r="AO91">
        <v>859.63916333292491</v>
      </c>
      <c r="AP91">
        <f t="shared" si="118"/>
        <v>0.64370650010133712</v>
      </c>
      <c r="AQ91">
        <v>-0.73746743666429193</v>
      </c>
      <c r="AR91" t="s">
        <v>743</v>
      </c>
      <c r="AS91">
        <v>7148.71</v>
      </c>
      <c r="AT91">
        <v>596.19142307692312</v>
      </c>
      <c r="AU91">
        <v>854.81249166435236</v>
      </c>
      <c r="AV91">
        <f t="shared" si="119"/>
        <v>0.30254713297870062</v>
      </c>
      <c r="AW91">
        <v>0.5</v>
      </c>
      <c r="AX91">
        <f t="shared" si="120"/>
        <v>1513.1756993816334</v>
      </c>
      <c r="AY91">
        <f t="shared" si="121"/>
        <v>49.710159037586543</v>
      </c>
      <c r="AZ91">
        <f t="shared" si="122"/>
        <v>228.90348477047667</v>
      </c>
      <c r="BA91">
        <f t="shared" si="123"/>
        <v>3.3338908690422733E-2</v>
      </c>
      <c r="BB91">
        <f t="shared" si="124"/>
        <v>5.6464683373716627E-3</v>
      </c>
      <c r="BC91">
        <f t="shared" si="125"/>
        <v>305.66890146826836</v>
      </c>
      <c r="BD91" t="s">
        <v>744</v>
      </c>
      <c r="BE91">
        <v>424.07</v>
      </c>
      <c r="BF91">
        <f t="shared" si="126"/>
        <v>424.07</v>
      </c>
      <c r="BG91">
        <f t="shared" si="127"/>
        <v>0.50390289784567888</v>
      </c>
      <c r="BH91">
        <f t="shared" si="128"/>
        <v>0.60040760684681793</v>
      </c>
      <c r="BI91">
        <f t="shared" si="129"/>
        <v>1.108129793128469E-2</v>
      </c>
      <c r="BJ91">
        <f t="shared" si="130"/>
        <v>0.47148142709435908</v>
      </c>
      <c r="BK91">
        <f t="shared" si="131"/>
        <v>8.7225540601618915E-3</v>
      </c>
      <c r="BL91">
        <f t="shared" si="132"/>
        <v>0.42706896473195088</v>
      </c>
      <c r="BM91">
        <f t="shared" si="133"/>
        <v>0.57293103526804912</v>
      </c>
      <c r="BN91">
        <v>20800</v>
      </c>
      <c r="BO91">
        <v>290.00000000000011</v>
      </c>
      <c r="BP91">
        <v>781.63</v>
      </c>
      <c r="BQ91">
        <v>295</v>
      </c>
      <c r="BR91">
        <v>7148.71</v>
      </c>
      <c r="BS91">
        <v>782.97</v>
      </c>
      <c r="BT91">
        <v>-1.34</v>
      </c>
      <c r="BU91">
        <v>300.00000000000011</v>
      </c>
      <c r="BV91">
        <v>38.200000000000003</v>
      </c>
      <c r="BW91">
        <v>854.81249166435236</v>
      </c>
      <c r="BX91">
        <v>1.786984317079084</v>
      </c>
      <c r="BY91">
        <v>-51.357865380340257</v>
      </c>
      <c r="BZ91">
        <v>1.070638159713567</v>
      </c>
      <c r="CA91">
        <v>0.9879779975542744</v>
      </c>
      <c r="CB91">
        <v>-7.056995328142383E-3</v>
      </c>
      <c r="CC91">
        <v>289.99999999999989</v>
      </c>
      <c r="CD91">
        <v>788.52</v>
      </c>
      <c r="CE91">
        <v>855</v>
      </c>
      <c r="CF91">
        <v>7141.93</v>
      </c>
      <c r="CG91">
        <v>782.9</v>
      </c>
      <c r="CH91">
        <v>5.62</v>
      </c>
      <c r="CV91">
        <f t="shared" si="134"/>
        <v>1799.99</v>
      </c>
      <c r="CW91">
        <f t="shared" si="135"/>
        <v>1513.1756993816334</v>
      </c>
      <c r="CX91">
        <f t="shared" si="136"/>
        <v>0.84065783664444438</v>
      </c>
      <c r="CY91">
        <f t="shared" si="137"/>
        <v>0.1913156732888889</v>
      </c>
      <c r="CZ91">
        <v>5.18</v>
      </c>
      <c r="DA91">
        <v>0.5</v>
      </c>
      <c r="DB91" t="s">
        <v>418</v>
      </c>
      <c r="DC91">
        <v>2</v>
      </c>
      <c r="DD91">
        <v>1700165775.5999999</v>
      </c>
      <c r="DE91">
        <v>696.48599999999999</v>
      </c>
      <c r="DF91">
        <v>750.03700000000003</v>
      </c>
      <c r="DG91">
        <v>27.6434</v>
      </c>
      <c r="DH91">
        <v>24.793299999999999</v>
      </c>
      <c r="DI91">
        <v>701.83799999999997</v>
      </c>
      <c r="DJ91">
        <v>27.5794</v>
      </c>
      <c r="DK91">
        <v>499.90499999999997</v>
      </c>
      <c r="DL91">
        <v>98.969899999999996</v>
      </c>
      <c r="DM91">
        <v>0.100075</v>
      </c>
      <c r="DN91">
        <v>29.976500000000001</v>
      </c>
      <c r="DO91">
        <v>30.008800000000001</v>
      </c>
      <c r="DP91">
        <v>999.9</v>
      </c>
      <c r="DQ91">
        <v>0</v>
      </c>
      <c r="DR91">
        <v>0</v>
      </c>
      <c r="DS91">
        <v>9992.5</v>
      </c>
      <c r="DT91">
        <v>0</v>
      </c>
      <c r="DU91">
        <v>302.71499999999997</v>
      </c>
      <c r="DV91">
        <v>-53.550899999999999</v>
      </c>
      <c r="DW91">
        <v>716.28700000000003</v>
      </c>
      <c r="DX91">
        <v>769.10599999999999</v>
      </c>
      <c r="DY91">
        <v>2.8501500000000002</v>
      </c>
      <c r="DZ91">
        <v>750.03700000000003</v>
      </c>
      <c r="EA91">
        <v>24.793299999999999</v>
      </c>
      <c r="EB91">
        <v>2.7358600000000002</v>
      </c>
      <c r="EC91">
        <v>2.4537900000000001</v>
      </c>
      <c r="ED91">
        <v>22.502099999999999</v>
      </c>
      <c r="EE91">
        <v>20.723199999999999</v>
      </c>
      <c r="EF91">
        <v>1799.99</v>
      </c>
      <c r="EG91">
        <v>0.97801000000000005</v>
      </c>
      <c r="EH91">
        <v>2.19905E-2</v>
      </c>
      <c r="EI91">
        <v>0</v>
      </c>
      <c r="EJ91">
        <v>596.14300000000003</v>
      </c>
      <c r="EK91">
        <v>5.0009399999999999</v>
      </c>
      <c r="EL91">
        <v>11371.2</v>
      </c>
      <c r="EM91">
        <v>13860.1</v>
      </c>
      <c r="EN91">
        <v>47.061999999999998</v>
      </c>
      <c r="EO91">
        <v>48.875</v>
      </c>
      <c r="EP91">
        <v>48.125</v>
      </c>
      <c r="EQ91">
        <v>48.061999999999998</v>
      </c>
      <c r="ER91">
        <v>48.5</v>
      </c>
      <c r="ES91">
        <v>1755.52</v>
      </c>
      <c r="ET91">
        <v>39.47</v>
      </c>
      <c r="EU91">
        <v>0</v>
      </c>
      <c r="EV91">
        <v>356.60000014305109</v>
      </c>
      <c r="EW91">
        <v>0</v>
      </c>
      <c r="EX91">
        <v>596.19142307692312</v>
      </c>
      <c r="EY91">
        <v>-2.2179487147895789</v>
      </c>
      <c r="EZ91">
        <v>-42.861538440152557</v>
      </c>
      <c r="FA91">
        <v>11375.83461538462</v>
      </c>
      <c r="FB91">
        <v>15</v>
      </c>
      <c r="FC91">
        <v>1700165630.0999999</v>
      </c>
      <c r="FD91" t="s">
        <v>745</v>
      </c>
      <c r="FE91">
        <v>1700165630.0999999</v>
      </c>
      <c r="FF91">
        <v>1700165629.0999999</v>
      </c>
      <c r="FG91">
        <v>82</v>
      </c>
      <c r="FH91">
        <v>4.0000000000000001E-3</v>
      </c>
      <c r="FI91">
        <v>-4.0000000000000001E-3</v>
      </c>
      <c r="FJ91">
        <v>-5.5039999999999996</v>
      </c>
      <c r="FK91">
        <v>6.4000000000000001E-2</v>
      </c>
      <c r="FL91">
        <v>750</v>
      </c>
      <c r="FM91">
        <v>26</v>
      </c>
      <c r="FN91">
        <v>0.04</v>
      </c>
      <c r="FO91">
        <v>0.03</v>
      </c>
      <c r="FP91">
        <v>49.597294476273191</v>
      </c>
      <c r="FQ91">
        <v>0.64901362444436905</v>
      </c>
      <c r="FR91">
        <v>5.7483739135515757E-2</v>
      </c>
      <c r="FS91">
        <v>1</v>
      </c>
      <c r="FT91">
        <v>0.19408425255202211</v>
      </c>
      <c r="FU91">
        <v>-3.847445942382513E-2</v>
      </c>
      <c r="FV91">
        <v>3.2463147853753851E-3</v>
      </c>
      <c r="FW91">
        <v>1</v>
      </c>
      <c r="FX91">
        <v>2</v>
      </c>
      <c r="FY91">
        <v>2</v>
      </c>
      <c r="FZ91" t="s">
        <v>420</v>
      </c>
      <c r="GA91">
        <v>3.1195200000000001</v>
      </c>
      <c r="GB91">
        <v>2.8776299999999999</v>
      </c>
      <c r="GC91">
        <v>0.13046099999999999</v>
      </c>
      <c r="GD91">
        <v>0.13821700000000001</v>
      </c>
      <c r="GE91">
        <v>0.124135</v>
      </c>
      <c r="GF91">
        <v>0.115929</v>
      </c>
      <c r="GG91">
        <v>25246.6</v>
      </c>
      <c r="GH91">
        <v>25605.200000000001</v>
      </c>
      <c r="GI91">
        <v>26741.8</v>
      </c>
      <c r="GJ91">
        <v>27438.9</v>
      </c>
      <c r="GK91">
        <v>33500.6</v>
      </c>
      <c r="GL91">
        <v>33894.300000000003</v>
      </c>
      <c r="GM91">
        <v>39615.699999999997</v>
      </c>
      <c r="GN91">
        <v>39728.5</v>
      </c>
      <c r="GO91">
        <v>1.9695499999999999</v>
      </c>
      <c r="GP91">
        <v>2.4569700000000001</v>
      </c>
      <c r="GQ91">
        <v>4.4141E-2</v>
      </c>
      <c r="GR91">
        <v>0</v>
      </c>
      <c r="GS91">
        <v>29.29</v>
      </c>
      <c r="GT91">
        <v>999.9</v>
      </c>
      <c r="GU91">
        <v>33.299999999999997</v>
      </c>
      <c r="GV91">
        <v>43.6</v>
      </c>
      <c r="GW91">
        <v>30.159500000000001</v>
      </c>
      <c r="GX91">
        <v>62.9208</v>
      </c>
      <c r="GY91">
        <v>7.0432699999999997</v>
      </c>
      <c r="GZ91">
        <v>3</v>
      </c>
      <c r="HA91">
        <v>0.507934</v>
      </c>
      <c r="HB91">
        <v>3.2725499999999998</v>
      </c>
      <c r="HC91">
        <v>20.269600000000001</v>
      </c>
      <c r="HD91">
        <v>5.2147399999999999</v>
      </c>
      <c r="HE91">
        <v>11.908099999999999</v>
      </c>
      <c r="HF91">
        <v>4.9972500000000002</v>
      </c>
      <c r="HG91">
        <v>3.3026</v>
      </c>
      <c r="HH91">
        <v>9999</v>
      </c>
      <c r="HI91">
        <v>9999</v>
      </c>
      <c r="HJ91">
        <v>9999</v>
      </c>
      <c r="HK91">
        <v>999.9</v>
      </c>
      <c r="HL91">
        <v>1.8847</v>
      </c>
      <c r="HM91">
        <v>1.8852199999999999</v>
      </c>
      <c r="HN91">
        <v>1.88134</v>
      </c>
      <c r="HO91">
        <v>1.8829400000000001</v>
      </c>
      <c r="HP91">
        <v>1.87988</v>
      </c>
      <c r="HQ91">
        <v>1.8833899999999999</v>
      </c>
      <c r="HR91">
        <v>1.8792899999999999</v>
      </c>
      <c r="HS91">
        <v>1.8815599999999999</v>
      </c>
      <c r="HT91">
        <v>5</v>
      </c>
      <c r="HU91">
        <v>0</v>
      </c>
      <c r="HV91">
        <v>0</v>
      </c>
      <c r="HW91">
        <v>0</v>
      </c>
      <c r="HX91" t="s">
        <v>421</v>
      </c>
      <c r="HY91" t="s">
        <v>422</v>
      </c>
      <c r="HZ91" t="s">
        <v>423</v>
      </c>
      <c r="IA91" t="s">
        <v>423</v>
      </c>
      <c r="IB91" t="s">
        <v>423</v>
      </c>
      <c r="IC91" t="s">
        <v>423</v>
      </c>
      <c r="ID91">
        <v>0</v>
      </c>
      <c r="IE91">
        <v>100</v>
      </c>
      <c r="IF91">
        <v>100</v>
      </c>
      <c r="IG91">
        <v>-5.3520000000000003</v>
      </c>
      <c r="IH91">
        <v>6.4000000000000001E-2</v>
      </c>
      <c r="II91">
        <v>-2.990233778074423</v>
      </c>
      <c r="IJ91">
        <v>-3.7794827560518689E-3</v>
      </c>
      <c r="IK91">
        <v>4.9551128961100493E-7</v>
      </c>
      <c r="IL91">
        <v>1.3680294268397379E-10</v>
      </c>
      <c r="IM91">
        <v>6.3984999999995296E-2</v>
      </c>
      <c r="IN91">
        <v>0</v>
      </c>
      <c r="IO91">
        <v>0</v>
      </c>
      <c r="IP91">
        <v>0</v>
      </c>
      <c r="IQ91">
        <v>4</v>
      </c>
      <c r="IR91">
        <v>2229</v>
      </c>
      <c r="IS91">
        <v>1</v>
      </c>
      <c r="IT91">
        <v>22</v>
      </c>
      <c r="IU91">
        <v>2.4</v>
      </c>
      <c r="IV91">
        <v>2.4</v>
      </c>
      <c r="IW91">
        <v>2.5549300000000001</v>
      </c>
      <c r="IX91">
        <v>2.5500500000000001</v>
      </c>
      <c r="IY91">
        <v>2.9956100000000001</v>
      </c>
      <c r="IZ91">
        <v>2.96143</v>
      </c>
      <c r="JA91">
        <v>3.1970200000000002</v>
      </c>
      <c r="JB91">
        <v>2.5109900000000001</v>
      </c>
      <c r="JC91">
        <v>46.0657</v>
      </c>
      <c r="JD91">
        <v>23.737300000000001</v>
      </c>
      <c r="JE91">
        <v>18</v>
      </c>
      <c r="JF91">
        <v>513.70899999999995</v>
      </c>
      <c r="JG91">
        <v>1135.29</v>
      </c>
      <c r="JH91">
        <v>25.741099999999999</v>
      </c>
      <c r="JI91">
        <v>33.462200000000003</v>
      </c>
      <c r="JJ91">
        <v>30.000499999999999</v>
      </c>
      <c r="JK91">
        <v>33.510399999999997</v>
      </c>
      <c r="JL91">
        <v>33.444000000000003</v>
      </c>
      <c r="JM91">
        <v>51.197600000000001</v>
      </c>
      <c r="JN91">
        <v>14.5724</v>
      </c>
      <c r="JO91">
        <v>24.7697</v>
      </c>
      <c r="JP91">
        <v>25.773700000000002</v>
      </c>
      <c r="JQ91">
        <v>750</v>
      </c>
      <c r="JR91">
        <v>24.939299999999999</v>
      </c>
      <c r="JS91">
        <v>98.748699999999999</v>
      </c>
      <c r="JT91">
        <v>97.204400000000007</v>
      </c>
    </row>
    <row r="92" spans="1:280" x14ac:dyDescent="0.25">
      <c r="A92">
        <v>76</v>
      </c>
      <c r="B92">
        <v>1700165998.5999999</v>
      </c>
      <c r="C92">
        <v>17017.099999904629</v>
      </c>
      <c r="D92" t="s">
        <v>746</v>
      </c>
      <c r="E92" t="s">
        <v>747</v>
      </c>
      <c r="F92" t="s">
        <v>412</v>
      </c>
      <c r="G92" t="s">
        <v>544</v>
      </c>
      <c r="H92" t="s">
        <v>726</v>
      </c>
      <c r="I92">
        <v>1700165998.5999999</v>
      </c>
      <c r="J92">
        <f t="shared" si="92"/>
        <v>3.3574275076689321E-3</v>
      </c>
      <c r="K92">
        <f t="shared" si="93"/>
        <v>3.3574275076689322</v>
      </c>
      <c r="L92">
        <f t="shared" si="94"/>
        <v>48.473603255426752</v>
      </c>
      <c r="M92">
        <f t="shared" si="95"/>
        <v>547.86199999999997</v>
      </c>
      <c r="N92">
        <f t="shared" si="96"/>
        <v>180.28859534132715</v>
      </c>
      <c r="O92">
        <f t="shared" si="97"/>
        <v>17.860424733646482</v>
      </c>
      <c r="P92">
        <f t="shared" si="98"/>
        <v>54.274359378637996</v>
      </c>
      <c r="Q92">
        <f t="shared" si="99"/>
        <v>0.22378244254014992</v>
      </c>
      <c r="R92">
        <f t="shared" si="100"/>
        <v>3.0775707547780167</v>
      </c>
      <c r="S92">
        <f t="shared" si="101"/>
        <v>0.2151195366975012</v>
      </c>
      <c r="T92">
        <f t="shared" si="102"/>
        <v>0.13520009621163007</v>
      </c>
      <c r="U92">
        <f t="shared" si="103"/>
        <v>344.36629876326714</v>
      </c>
      <c r="V92">
        <f t="shared" si="104"/>
        <v>31.108612739181883</v>
      </c>
      <c r="W92">
        <f t="shared" si="105"/>
        <v>29.999099999999999</v>
      </c>
      <c r="X92">
        <f t="shared" si="106"/>
        <v>4.2602295323143267</v>
      </c>
      <c r="Y92">
        <f t="shared" si="107"/>
        <v>64.972255703813047</v>
      </c>
      <c r="Z92">
        <f t="shared" si="108"/>
        <v>2.7689372174244999</v>
      </c>
      <c r="AA92">
        <f t="shared" si="109"/>
        <v>4.2617224651198287</v>
      </c>
      <c r="AB92">
        <f t="shared" si="110"/>
        <v>1.4912923148898267</v>
      </c>
      <c r="AC92">
        <f t="shared" si="111"/>
        <v>-148.06255308819991</v>
      </c>
      <c r="AD92">
        <f t="shared" si="112"/>
        <v>1.012099766642713</v>
      </c>
      <c r="AE92">
        <f t="shared" si="113"/>
        <v>7.3124619048185791E-2</v>
      </c>
      <c r="AF92">
        <f t="shared" si="114"/>
        <v>197.38897006075814</v>
      </c>
      <c r="AG92">
        <v>5</v>
      </c>
      <c r="AH92">
        <v>1</v>
      </c>
      <c r="AI92">
        <f t="shared" si="115"/>
        <v>1</v>
      </c>
      <c r="AJ92">
        <f t="shared" si="116"/>
        <v>0</v>
      </c>
      <c r="AK92">
        <f t="shared" si="117"/>
        <v>51742.909842977177</v>
      </c>
      <c r="AL92" t="s">
        <v>415</v>
      </c>
      <c r="AM92">
        <v>7133.88</v>
      </c>
      <c r="AN92">
        <v>306.28384615384618</v>
      </c>
      <c r="AO92">
        <v>859.63916333292491</v>
      </c>
      <c r="AP92">
        <f t="shared" si="118"/>
        <v>0.64370650010133712</v>
      </c>
      <c r="AQ92">
        <v>-0.73746743666429193</v>
      </c>
      <c r="AR92" t="s">
        <v>748</v>
      </c>
      <c r="AS92">
        <v>7148.7</v>
      </c>
      <c r="AT92">
        <v>596.59980769230776</v>
      </c>
      <c r="AU92">
        <v>850.4896645723253</v>
      </c>
      <c r="AV92">
        <f t="shared" si="119"/>
        <v>0.29852197793336832</v>
      </c>
      <c r="AW92">
        <v>0.5</v>
      </c>
      <c r="AX92">
        <f t="shared" si="120"/>
        <v>1513.1756993816334</v>
      </c>
      <c r="AY92">
        <f t="shared" si="121"/>
        <v>48.473603255426752</v>
      </c>
      <c r="AZ92">
        <f t="shared" si="122"/>
        <v>225.85810137005657</v>
      </c>
      <c r="BA92">
        <f t="shared" si="123"/>
        <v>3.2521716223834013E-2</v>
      </c>
      <c r="BB92">
        <f t="shared" si="124"/>
        <v>1.0757918810454332E-2</v>
      </c>
      <c r="BC92">
        <f t="shared" si="125"/>
        <v>305.11435000684827</v>
      </c>
      <c r="BD92" t="s">
        <v>749</v>
      </c>
      <c r="BE92">
        <v>424.61</v>
      </c>
      <c r="BF92">
        <f t="shared" si="126"/>
        <v>424.61</v>
      </c>
      <c r="BG92">
        <f t="shared" si="127"/>
        <v>0.50074643151187725</v>
      </c>
      <c r="BH92">
        <f t="shared" si="128"/>
        <v>0.59615397963407701</v>
      </c>
      <c r="BI92">
        <f t="shared" si="129"/>
        <v>2.1031920459083253E-2</v>
      </c>
      <c r="BJ92">
        <f t="shared" si="130"/>
        <v>0.46653278647010588</v>
      </c>
      <c r="BK92">
        <f t="shared" si="131"/>
        <v>1.6534581807657271E-2</v>
      </c>
      <c r="BL92">
        <f t="shared" si="132"/>
        <v>0.42429269676026615</v>
      </c>
      <c r="BM92">
        <f t="shared" si="133"/>
        <v>0.57570730323973385</v>
      </c>
      <c r="BN92">
        <v>20802</v>
      </c>
      <c r="BO92">
        <v>290.00000000000011</v>
      </c>
      <c r="BP92">
        <v>777</v>
      </c>
      <c r="BQ92">
        <v>295</v>
      </c>
      <c r="BR92">
        <v>7148.7</v>
      </c>
      <c r="BS92">
        <v>779.21</v>
      </c>
      <c r="BT92">
        <v>-2.21</v>
      </c>
      <c r="BU92">
        <v>300.00000000000011</v>
      </c>
      <c r="BV92">
        <v>38.200000000000003</v>
      </c>
      <c r="BW92">
        <v>850.4896645723253</v>
      </c>
      <c r="BX92">
        <v>1.1324327960663421</v>
      </c>
      <c r="BY92">
        <v>-50.956396437241587</v>
      </c>
      <c r="BZ92">
        <v>0.67847660234105556</v>
      </c>
      <c r="CA92">
        <v>0.99506053549574258</v>
      </c>
      <c r="CB92">
        <v>-7.0570375973303687E-3</v>
      </c>
      <c r="CC92">
        <v>289.99999999999989</v>
      </c>
      <c r="CD92">
        <v>784.41</v>
      </c>
      <c r="CE92">
        <v>795</v>
      </c>
      <c r="CF92">
        <v>7142.77</v>
      </c>
      <c r="CG92">
        <v>779.15</v>
      </c>
      <c r="CH92">
        <v>5.26</v>
      </c>
      <c r="CV92">
        <f t="shared" si="134"/>
        <v>1799.99</v>
      </c>
      <c r="CW92">
        <f t="shared" si="135"/>
        <v>1513.1756993816334</v>
      </c>
      <c r="CX92">
        <f t="shared" si="136"/>
        <v>0.84065783664444438</v>
      </c>
      <c r="CY92">
        <f t="shared" si="137"/>
        <v>0.1913156732888889</v>
      </c>
      <c r="CZ92">
        <v>5.18</v>
      </c>
      <c r="DA92">
        <v>0.5</v>
      </c>
      <c r="DB92" t="s">
        <v>418</v>
      </c>
      <c r="DC92">
        <v>2</v>
      </c>
      <c r="DD92">
        <v>1700165998.5999999</v>
      </c>
      <c r="DE92">
        <v>547.86199999999997</v>
      </c>
      <c r="DF92">
        <v>599.99900000000002</v>
      </c>
      <c r="DG92">
        <v>27.950500000000002</v>
      </c>
      <c r="DH92">
        <v>24.5686</v>
      </c>
      <c r="DI92">
        <v>552.64800000000002</v>
      </c>
      <c r="DJ92">
        <v>27.894200000000001</v>
      </c>
      <c r="DK92">
        <v>499.87799999999999</v>
      </c>
      <c r="DL92">
        <v>98.965699999999998</v>
      </c>
      <c r="DM92">
        <v>0.100049</v>
      </c>
      <c r="DN92">
        <v>30.005199999999999</v>
      </c>
      <c r="DO92">
        <v>29.999099999999999</v>
      </c>
      <c r="DP92">
        <v>999.9</v>
      </c>
      <c r="DQ92">
        <v>0</v>
      </c>
      <c r="DR92">
        <v>0</v>
      </c>
      <c r="DS92">
        <v>9986.25</v>
      </c>
      <c r="DT92">
        <v>0</v>
      </c>
      <c r="DU92">
        <v>290.30500000000001</v>
      </c>
      <c r="DV92">
        <v>-52.137</v>
      </c>
      <c r="DW92">
        <v>563.61500000000001</v>
      </c>
      <c r="DX92">
        <v>615.11099999999999</v>
      </c>
      <c r="DY92">
        <v>3.3818899999999998</v>
      </c>
      <c r="DZ92">
        <v>599.99900000000002</v>
      </c>
      <c r="EA92">
        <v>24.5686</v>
      </c>
      <c r="EB92">
        <v>2.76614</v>
      </c>
      <c r="EC92">
        <v>2.4314499999999999</v>
      </c>
      <c r="ED92">
        <v>22.683399999999999</v>
      </c>
      <c r="EE92">
        <v>20.5747</v>
      </c>
      <c r="EF92">
        <v>1799.99</v>
      </c>
      <c r="EG92">
        <v>0.97801000000000005</v>
      </c>
      <c r="EH92">
        <v>2.19905E-2</v>
      </c>
      <c r="EI92">
        <v>0</v>
      </c>
      <c r="EJ92">
        <v>596.77700000000004</v>
      </c>
      <c r="EK92">
        <v>5.0009399999999999</v>
      </c>
      <c r="EL92">
        <v>11352.1</v>
      </c>
      <c r="EM92">
        <v>13860.2</v>
      </c>
      <c r="EN92">
        <v>46.936999999999998</v>
      </c>
      <c r="EO92">
        <v>48.811999999999998</v>
      </c>
      <c r="EP92">
        <v>48</v>
      </c>
      <c r="EQ92">
        <v>48</v>
      </c>
      <c r="ER92">
        <v>48.375</v>
      </c>
      <c r="ES92">
        <v>1755.52</v>
      </c>
      <c r="ET92">
        <v>39.47</v>
      </c>
      <c r="EU92">
        <v>0</v>
      </c>
      <c r="EV92">
        <v>220.79999995231631</v>
      </c>
      <c r="EW92">
        <v>0</v>
      </c>
      <c r="EX92">
        <v>596.59980769230776</v>
      </c>
      <c r="EY92">
        <v>-3.319659011785224E-2</v>
      </c>
      <c r="EZ92">
        <v>-25.692307679517061</v>
      </c>
      <c r="FA92">
        <v>11355.01923076923</v>
      </c>
      <c r="FB92">
        <v>15</v>
      </c>
      <c r="FC92">
        <v>1700165869.0999999</v>
      </c>
      <c r="FD92" t="s">
        <v>750</v>
      </c>
      <c r="FE92">
        <v>1700165869.0999999</v>
      </c>
      <c r="FF92">
        <v>1700165867.0999999</v>
      </c>
      <c r="FG92">
        <v>83</v>
      </c>
      <c r="FH92">
        <v>0.11899999999999999</v>
      </c>
      <c r="FI92">
        <v>-8.0000000000000002E-3</v>
      </c>
      <c r="FJ92">
        <v>-4.9459999999999997</v>
      </c>
      <c r="FK92">
        <v>5.6000000000000001E-2</v>
      </c>
      <c r="FL92">
        <v>600</v>
      </c>
      <c r="FM92">
        <v>25</v>
      </c>
      <c r="FN92">
        <v>0.05</v>
      </c>
      <c r="FO92">
        <v>0.02</v>
      </c>
      <c r="FP92">
        <v>48.394073196975988</v>
      </c>
      <c r="FQ92">
        <v>0.59857292611964885</v>
      </c>
      <c r="FR92">
        <v>5.7319948506687438E-2</v>
      </c>
      <c r="FS92">
        <v>1</v>
      </c>
      <c r="FT92">
        <v>0.223161455325008</v>
      </c>
      <c r="FU92">
        <v>4.282149121619493E-3</v>
      </c>
      <c r="FV92">
        <v>3.2972905710694668E-4</v>
      </c>
      <c r="FW92">
        <v>1</v>
      </c>
      <c r="FX92">
        <v>2</v>
      </c>
      <c r="FY92">
        <v>2</v>
      </c>
      <c r="FZ92" t="s">
        <v>420</v>
      </c>
      <c r="GA92">
        <v>3.1194500000000001</v>
      </c>
      <c r="GB92">
        <v>2.8775499999999998</v>
      </c>
      <c r="GC92">
        <v>0.110322</v>
      </c>
      <c r="GD92">
        <v>0.118483</v>
      </c>
      <c r="GE92">
        <v>0.125165</v>
      </c>
      <c r="GF92">
        <v>0.11521000000000001</v>
      </c>
      <c r="GG92">
        <v>25838.400000000001</v>
      </c>
      <c r="GH92">
        <v>26196</v>
      </c>
      <c r="GI92">
        <v>26748.400000000001</v>
      </c>
      <c r="GJ92">
        <v>27442.7</v>
      </c>
      <c r="GK92">
        <v>33466.400000000001</v>
      </c>
      <c r="GL92">
        <v>33923.800000000003</v>
      </c>
      <c r="GM92">
        <v>39624.699999999997</v>
      </c>
      <c r="GN92">
        <v>39732.800000000003</v>
      </c>
      <c r="GO92">
        <v>1.9718500000000001</v>
      </c>
      <c r="GP92">
        <v>2.4607700000000001</v>
      </c>
      <c r="GQ92">
        <v>3.9242199999999998E-2</v>
      </c>
      <c r="GR92">
        <v>0</v>
      </c>
      <c r="GS92">
        <v>29.360199999999999</v>
      </c>
      <c r="GT92">
        <v>999.9</v>
      </c>
      <c r="GU92">
        <v>33.5</v>
      </c>
      <c r="GV92">
        <v>43.3</v>
      </c>
      <c r="GW92">
        <v>29.874099999999999</v>
      </c>
      <c r="GX92">
        <v>63.150799999999997</v>
      </c>
      <c r="GY92">
        <v>7.0833399999999997</v>
      </c>
      <c r="GZ92">
        <v>3</v>
      </c>
      <c r="HA92">
        <v>0.49105900000000002</v>
      </c>
      <c r="HB92">
        <v>2.4884599999999999</v>
      </c>
      <c r="HC92">
        <v>20.2851</v>
      </c>
      <c r="HD92">
        <v>5.21624</v>
      </c>
      <c r="HE92">
        <v>11.908099999999999</v>
      </c>
      <c r="HF92">
        <v>4.99735</v>
      </c>
      <c r="HG92">
        <v>3.3025799999999998</v>
      </c>
      <c r="HH92">
        <v>9999</v>
      </c>
      <c r="HI92">
        <v>9999</v>
      </c>
      <c r="HJ92">
        <v>9999</v>
      </c>
      <c r="HK92">
        <v>999.9</v>
      </c>
      <c r="HL92">
        <v>1.8847100000000001</v>
      </c>
      <c r="HM92">
        <v>1.88524</v>
      </c>
      <c r="HN92">
        <v>1.88134</v>
      </c>
      <c r="HO92">
        <v>1.88293</v>
      </c>
      <c r="HP92">
        <v>1.87988</v>
      </c>
      <c r="HQ92">
        <v>1.8833899999999999</v>
      </c>
      <c r="HR92">
        <v>1.8792800000000001</v>
      </c>
      <c r="HS92">
        <v>1.8815599999999999</v>
      </c>
      <c r="HT92">
        <v>5</v>
      </c>
      <c r="HU92">
        <v>0</v>
      </c>
      <c r="HV92">
        <v>0</v>
      </c>
      <c r="HW92">
        <v>0</v>
      </c>
      <c r="HX92" t="s">
        <v>421</v>
      </c>
      <c r="HY92" t="s">
        <v>422</v>
      </c>
      <c r="HZ92" t="s">
        <v>423</v>
      </c>
      <c r="IA92" t="s">
        <v>423</v>
      </c>
      <c r="IB92" t="s">
        <v>423</v>
      </c>
      <c r="IC92" t="s">
        <v>423</v>
      </c>
      <c r="ID92">
        <v>0</v>
      </c>
      <c r="IE92">
        <v>100</v>
      </c>
      <c r="IF92">
        <v>100</v>
      </c>
      <c r="IG92">
        <v>-4.7859999999999996</v>
      </c>
      <c r="IH92">
        <v>5.6300000000000003E-2</v>
      </c>
      <c r="II92">
        <v>-2.8712273747508599</v>
      </c>
      <c r="IJ92">
        <v>-3.7794827560518689E-3</v>
      </c>
      <c r="IK92">
        <v>4.9551128961100493E-7</v>
      </c>
      <c r="IL92">
        <v>1.3680294268397379E-10</v>
      </c>
      <c r="IM92">
        <v>5.6225000000004847E-2</v>
      </c>
      <c r="IN92">
        <v>0</v>
      </c>
      <c r="IO92">
        <v>0</v>
      </c>
      <c r="IP92">
        <v>0</v>
      </c>
      <c r="IQ92">
        <v>4</v>
      </c>
      <c r="IR92">
        <v>2229</v>
      </c>
      <c r="IS92">
        <v>1</v>
      </c>
      <c r="IT92">
        <v>22</v>
      </c>
      <c r="IU92">
        <v>2.2000000000000002</v>
      </c>
      <c r="IV92">
        <v>2.2000000000000002</v>
      </c>
      <c r="IW92">
        <v>2.1325699999999999</v>
      </c>
      <c r="IX92">
        <v>2.5585900000000001</v>
      </c>
      <c r="IY92">
        <v>2.9956100000000001</v>
      </c>
      <c r="IZ92">
        <v>2.9589799999999999</v>
      </c>
      <c r="JA92">
        <v>3.1970200000000002</v>
      </c>
      <c r="JB92">
        <v>2.50244</v>
      </c>
      <c r="JC92">
        <v>45.834400000000002</v>
      </c>
      <c r="JD92">
        <v>23.745999999999999</v>
      </c>
      <c r="JE92">
        <v>18</v>
      </c>
      <c r="JF92">
        <v>514.15499999999997</v>
      </c>
      <c r="JG92">
        <v>1138.1300000000001</v>
      </c>
      <c r="JH92">
        <v>25.9495</v>
      </c>
      <c r="JI92">
        <v>33.332299999999996</v>
      </c>
      <c r="JJ92">
        <v>30.0001</v>
      </c>
      <c r="JK92">
        <v>33.382300000000001</v>
      </c>
      <c r="JL92">
        <v>33.320300000000003</v>
      </c>
      <c r="JM92">
        <v>42.719799999999999</v>
      </c>
      <c r="JN92">
        <v>14.958399999999999</v>
      </c>
      <c r="JO92">
        <v>25.0154</v>
      </c>
      <c r="JP92">
        <v>25.948799999999999</v>
      </c>
      <c r="JQ92">
        <v>600</v>
      </c>
      <c r="JR92">
        <v>24.514600000000002</v>
      </c>
      <c r="JS92">
        <v>98.771900000000002</v>
      </c>
      <c r="JT92">
        <v>97.216099999999997</v>
      </c>
    </row>
    <row r="93" spans="1:280" x14ac:dyDescent="0.25">
      <c r="A93">
        <v>77</v>
      </c>
      <c r="B93">
        <v>1700166217.0999999</v>
      </c>
      <c r="C93">
        <v>17235.599999904629</v>
      </c>
      <c r="D93" t="s">
        <v>751</v>
      </c>
      <c r="E93" t="s">
        <v>752</v>
      </c>
      <c r="F93" t="s">
        <v>412</v>
      </c>
      <c r="G93" t="s">
        <v>544</v>
      </c>
      <c r="H93" t="s">
        <v>726</v>
      </c>
      <c r="I93">
        <v>1700166217.0999999</v>
      </c>
      <c r="J93">
        <f t="shared" si="92"/>
        <v>3.9247798168462293E-3</v>
      </c>
      <c r="K93">
        <f t="shared" si="93"/>
        <v>3.9247798168462293</v>
      </c>
      <c r="L93">
        <f t="shared" si="94"/>
        <v>48.523036662978903</v>
      </c>
      <c r="M93">
        <f t="shared" si="95"/>
        <v>447.92099999999999</v>
      </c>
      <c r="N93">
        <f t="shared" si="96"/>
        <v>138.17966095961026</v>
      </c>
      <c r="O93">
        <f t="shared" si="97"/>
        <v>13.688242366989771</v>
      </c>
      <c r="P93">
        <f t="shared" si="98"/>
        <v>44.371589615179197</v>
      </c>
      <c r="Q93">
        <f t="shared" si="99"/>
        <v>0.26713847887390951</v>
      </c>
      <c r="R93">
        <f t="shared" si="100"/>
        <v>3.0818093850184818</v>
      </c>
      <c r="S93">
        <f t="shared" si="101"/>
        <v>0.2549084271305011</v>
      </c>
      <c r="T93">
        <f t="shared" si="102"/>
        <v>0.16036992297915023</v>
      </c>
      <c r="U93">
        <f t="shared" si="103"/>
        <v>344.3206987631022</v>
      </c>
      <c r="V93">
        <f t="shared" si="104"/>
        <v>30.90402432004182</v>
      </c>
      <c r="W93">
        <f t="shared" si="105"/>
        <v>29.9771</v>
      </c>
      <c r="X93">
        <f t="shared" si="106"/>
        <v>4.2548489700086742</v>
      </c>
      <c r="Y93">
        <f t="shared" si="107"/>
        <v>65.556155767443073</v>
      </c>
      <c r="Z93">
        <f t="shared" si="108"/>
        <v>2.7838078013908802</v>
      </c>
      <c r="AA93">
        <f t="shared" si="109"/>
        <v>4.246447597181092</v>
      </c>
      <c r="AB93">
        <f t="shared" si="110"/>
        <v>1.471041168617794</v>
      </c>
      <c r="AC93">
        <f t="shared" si="111"/>
        <v>-173.08278992291872</v>
      </c>
      <c r="AD93">
        <f t="shared" si="112"/>
        <v>-5.7154398602402603</v>
      </c>
      <c r="AE93">
        <f t="shared" si="113"/>
        <v>-0.41220242406339097</v>
      </c>
      <c r="AF93">
        <f t="shared" si="114"/>
        <v>165.11026655587986</v>
      </c>
      <c r="AG93">
        <v>4</v>
      </c>
      <c r="AH93">
        <v>1</v>
      </c>
      <c r="AI93">
        <f t="shared" si="115"/>
        <v>1</v>
      </c>
      <c r="AJ93">
        <f t="shared" si="116"/>
        <v>0</v>
      </c>
      <c r="AK93">
        <f t="shared" si="117"/>
        <v>51863.369219534252</v>
      </c>
      <c r="AL93" t="s">
        <v>415</v>
      </c>
      <c r="AM93">
        <v>7133.88</v>
      </c>
      <c r="AN93">
        <v>306.28384615384618</v>
      </c>
      <c r="AO93">
        <v>859.63916333292491</v>
      </c>
      <c r="AP93">
        <f t="shared" si="118"/>
        <v>0.64370650010133712</v>
      </c>
      <c r="AQ93">
        <v>-0.73746743666429193</v>
      </c>
      <c r="AR93" t="s">
        <v>753</v>
      </c>
      <c r="AS93">
        <v>7148.98</v>
      </c>
      <c r="AT93">
        <v>597.66055999999992</v>
      </c>
      <c r="AU93">
        <v>847.04070619928211</v>
      </c>
      <c r="AV93">
        <f t="shared" si="119"/>
        <v>0.29441341410646549</v>
      </c>
      <c r="AW93">
        <v>0.5</v>
      </c>
      <c r="AX93">
        <f t="shared" si="120"/>
        <v>1512.974099381551</v>
      </c>
      <c r="AY93">
        <f t="shared" si="121"/>
        <v>48.523036662978903</v>
      </c>
      <c r="AZ93">
        <f t="shared" si="122"/>
        <v>222.71993502678862</v>
      </c>
      <c r="BA93">
        <f t="shared" si="123"/>
        <v>3.2558722664042368E-2</v>
      </c>
      <c r="BB93">
        <f t="shared" si="124"/>
        <v>1.48734966825535E-2</v>
      </c>
      <c r="BC93">
        <f t="shared" si="125"/>
        <v>304.66930291929799</v>
      </c>
      <c r="BD93" t="s">
        <v>754</v>
      </c>
      <c r="BE93">
        <v>427.01</v>
      </c>
      <c r="BF93">
        <f t="shared" si="126"/>
        <v>427.01</v>
      </c>
      <c r="BG93">
        <f t="shared" si="127"/>
        <v>0.4958801898482339</v>
      </c>
      <c r="BH93">
        <f t="shared" si="128"/>
        <v>0.59371884607161229</v>
      </c>
      <c r="BI93">
        <f t="shared" si="129"/>
        <v>2.9120683951552741E-2</v>
      </c>
      <c r="BJ93">
        <f t="shared" si="130"/>
        <v>0.46116871486073902</v>
      </c>
      <c r="BK93">
        <f t="shared" si="131"/>
        <v>2.2767391479796048E-2</v>
      </c>
      <c r="BL93">
        <f t="shared" si="132"/>
        <v>0.42419376721301333</v>
      </c>
      <c r="BM93">
        <f t="shared" si="133"/>
        <v>0.57580623278698662</v>
      </c>
      <c r="BN93">
        <v>20804</v>
      </c>
      <c r="BO93">
        <v>290.00000000000011</v>
      </c>
      <c r="BP93">
        <v>776.75</v>
      </c>
      <c r="BQ93">
        <v>285</v>
      </c>
      <c r="BR93">
        <v>7148.98</v>
      </c>
      <c r="BS93">
        <v>778.58</v>
      </c>
      <c r="BT93">
        <v>-1.83</v>
      </c>
      <c r="BU93">
        <v>300.00000000000011</v>
      </c>
      <c r="BV93">
        <v>38.200000000000003</v>
      </c>
      <c r="BW93">
        <v>847.04070619928211</v>
      </c>
      <c r="BX93">
        <v>1.10391455083481</v>
      </c>
      <c r="BY93">
        <v>-48.942471084735587</v>
      </c>
      <c r="BZ93">
        <v>0.66141655641317454</v>
      </c>
      <c r="CA93">
        <v>0.99491230379517848</v>
      </c>
      <c r="CB93">
        <v>-7.057228476084549E-3</v>
      </c>
      <c r="CC93">
        <v>289.99999999999989</v>
      </c>
      <c r="CD93">
        <v>784.44</v>
      </c>
      <c r="CE93">
        <v>815</v>
      </c>
      <c r="CF93">
        <v>7142.78</v>
      </c>
      <c r="CG93">
        <v>778.52</v>
      </c>
      <c r="CH93">
        <v>5.92</v>
      </c>
      <c r="CV93">
        <f t="shared" si="134"/>
        <v>1799.75</v>
      </c>
      <c r="CW93">
        <f t="shared" si="135"/>
        <v>1512.974099381551</v>
      </c>
      <c r="CX93">
        <f t="shared" si="136"/>
        <v>0.84065792436813502</v>
      </c>
      <c r="CY93">
        <f t="shared" si="137"/>
        <v>0.19131584873627014</v>
      </c>
      <c r="CZ93">
        <v>5.18</v>
      </c>
      <c r="DA93">
        <v>0.5</v>
      </c>
      <c r="DB93" t="s">
        <v>418</v>
      </c>
      <c r="DC93">
        <v>2</v>
      </c>
      <c r="DD93">
        <v>1700166217.0999999</v>
      </c>
      <c r="DE93">
        <v>447.92099999999999</v>
      </c>
      <c r="DF93">
        <v>500.01600000000002</v>
      </c>
      <c r="DG93">
        <v>28.101900000000001</v>
      </c>
      <c r="DH93">
        <v>24.149799999999999</v>
      </c>
      <c r="DI93">
        <v>452.32799999999997</v>
      </c>
      <c r="DJ93">
        <v>28.047599999999999</v>
      </c>
      <c r="DK93">
        <v>499.96300000000002</v>
      </c>
      <c r="DL93">
        <v>98.961299999999994</v>
      </c>
      <c r="DM93">
        <v>9.9895200000000003E-2</v>
      </c>
      <c r="DN93">
        <v>29.942699999999999</v>
      </c>
      <c r="DO93">
        <v>29.9771</v>
      </c>
      <c r="DP93">
        <v>999.9</v>
      </c>
      <c r="DQ93">
        <v>0</v>
      </c>
      <c r="DR93">
        <v>0</v>
      </c>
      <c r="DS93">
        <v>10008.799999999999</v>
      </c>
      <c r="DT93">
        <v>0</v>
      </c>
      <c r="DU93">
        <v>305.024</v>
      </c>
      <c r="DV93">
        <v>-52.095399999999998</v>
      </c>
      <c r="DW93">
        <v>460.87200000000001</v>
      </c>
      <c r="DX93">
        <v>512.39</v>
      </c>
      <c r="DY93">
        <v>3.9521299999999999</v>
      </c>
      <c r="DZ93">
        <v>500.01600000000002</v>
      </c>
      <c r="EA93">
        <v>24.149799999999999</v>
      </c>
      <c r="EB93">
        <v>2.7810000000000001</v>
      </c>
      <c r="EC93">
        <v>2.3898899999999998</v>
      </c>
      <c r="ED93">
        <v>22.771799999999999</v>
      </c>
      <c r="EE93">
        <v>20.295500000000001</v>
      </c>
      <c r="EF93">
        <v>1799.75</v>
      </c>
      <c r="EG93">
        <v>0.97800600000000004</v>
      </c>
      <c r="EH93">
        <v>2.1994199999999998E-2</v>
      </c>
      <c r="EI93">
        <v>0</v>
      </c>
      <c r="EJ93">
        <v>597.55100000000004</v>
      </c>
      <c r="EK93">
        <v>5.0009399999999999</v>
      </c>
      <c r="EL93">
        <v>11393.7</v>
      </c>
      <c r="EM93">
        <v>13858.2</v>
      </c>
      <c r="EN93">
        <v>46.875</v>
      </c>
      <c r="EO93">
        <v>48.75</v>
      </c>
      <c r="EP93">
        <v>47.936999999999998</v>
      </c>
      <c r="EQ93">
        <v>47.936999999999998</v>
      </c>
      <c r="ER93">
        <v>48.375</v>
      </c>
      <c r="ES93">
        <v>1755.28</v>
      </c>
      <c r="ET93">
        <v>39.47</v>
      </c>
      <c r="EU93">
        <v>0</v>
      </c>
      <c r="EV93">
        <v>216.5999999046326</v>
      </c>
      <c r="EW93">
        <v>0</v>
      </c>
      <c r="EX93">
        <v>597.66055999999992</v>
      </c>
      <c r="EY93">
        <v>-0.24600000082567999</v>
      </c>
      <c r="EZ93">
        <v>-40.646153893349577</v>
      </c>
      <c r="FA93">
        <v>11398.464</v>
      </c>
      <c r="FB93">
        <v>15</v>
      </c>
      <c r="FC93">
        <v>1700166094.0999999</v>
      </c>
      <c r="FD93" t="s">
        <v>755</v>
      </c>
      <c r="FE93">
        <v>1700166093.0999999</v>
      </c>
      <c r="FF93">
        <v>1700166094.0999999</v>
      </c>
      <c r="FG93">
        <v>84</v>
      </c>
      <c r="FH93">
        <v>5.8999999999999997E-2</v>
      </c>
      <c r="FI93">
        <v>-2E-3</v>
      </c>
      <c r="FJ93">
        <v>-4.5750000000000002</v>
      </c>
      <c r="FK93">
        <v>5.3999999999999999E-2</v>
      </c>
      <c r="FL93">
        <v>500</v>
      </c>
      <c r="FM93">
        <v>25</v>
      </c>
      <c r="FN93">
        <v>0.04</v>
      </c>
      <c r="FO93">
        <v>0.02</v>
      </c>
      <c r="FP93">
        <v>48.409549444407418</v>
      </c>
      <c r="FQ93">
        <v>0.68452944397804272</v>
      </c>
      <c r="FR93">
        <v>5.8040798985664679E-2</v>
      </c>
      <c r="FS93">
        <v>1</v>
      </c>
      <c r="FT93">
        <v>0.26183180658803618</v>
      </c>
      <c r="FU93">
        <v>2.70355852686395E-2</v>
      </c>
      <c r="FV93">
        <v>2.0573933781469259E-3</v>
      </c>
      <c r="FW93">
        <v>1</v>
      </c>
      <c r="FX93">
        <v>2</v>
      </c>
      <c r="FY93">
        <v>2</v>
      </c>
      <c r="FZ93" t="s">
        <v>420</v>
      </c>
      <c r="GA93">
        <v>3.1194500000000001</v>
      </c>
      <c r="GB93">
        <v>2.8776000000000002</v>
      </c>
      <c r="GC93">
        <v>9.5225799999999999E-2</v>
      </c>
      <c r="GD93">
        <v>0.103919</v>
      </c>
      <c r="GE93">
        <v>0.12565699999999999</v>
      </c>
      <c r="GF93">
        <v>0.113818</v>
      </c>
      <c r="GG93">
        <v>26276.7</v>
      </c>
      <c r="GH93">
        <v>26629.4</v>
      </c>
      <c r="GI93">
        <v>26748.2</v>
      </c>
      <c r="GJ93">
        <v>27443.200000000001</v>
      </c>
      <c r="GK93">
        <v>33445.199999999997</v>
      </c>
      <c r="GL93">
        <v>33976.5</v>
      </c>
      <c r="GM93">
        <v>39623.4</v>
      </c>
      <c r="GN93">
        <v>39733.4</v>
      </c>
      <c r="GO93">
        <v>1.9725999999999999</v>
      </c>
      <c r="GP93">
        <v>2.4602200000000001</v>
      </c>
      <c r="GQ93">
        <v>3.7141100000000003E-2</v>
      </c>
      <c r="GR93">
        <v>0</v>
      </c>
      <c r="GS93">
        <v>29.372299999999999</v>
      </c>
      <c r="GT93">
        <v>999.9</v>
      </c>
      <c r="GU93">
        <v>33.5</v>
      </c>
      <c r="GV93">
        <v>43.1</v>
      </c>
      <c r="GW93">
        <v>29.562899999999999</v>
      </c>
      <c r="GX93">
        <v>63.030900000000003</v>
      </c>
      <c r="GY93">
        <v>7.0472799999999998</v>
      </c>
      <c r="GZ93">
        <v>3</v>
      </c>
      <c r="HA93">
        <v>0.48899100000000001</v>
      </c>
      <c r="HB93">
        <v>2.19285</v>
      </c>
      <c r="HC93">
        <v>20.2911</v>
      </c>
      <c r="HD93">
        <v>5.21624</v>
      </c>
      <c r="HE93">
        <v>11.908099999999999</v>
      </c>
      <c r="HF93">
        <v>4.9973000000000001</v>
      </c>
      <c r="HG93">
        <v>3.3028499999999998</v>
      </c>
      <c r="HH93">
        <v>9999</v>
      </c>
      <c r="HI93">
        <v>9999</v>
      </c>
      <c r="HJ93">
        <v>9999</v>
      </c>
      <c r="HK93">
        <v>999.9</v>
      </c>
      <c r="HL93">
        <v>1.88469</v>
      </c>
      <c r="HM93">
        <v>1.8852199999999999</v>
      </c>
      <c r="HN93">
        <v>1.88137</v>
      </c>
      <c r="HO93">
        <v>1.88293</v>
      </c>
      <c r="HP93">
        <v>1.87988</v>
      </c>
      <c r="HQ93">
        <v>1.8833899999999999</v>
      </c>
      <c r="HR93">
        <v>1.8793200000000001</v>
      </c>
      <c r="HS93">
        <v>1.8815599999999999</v>
      </c>
      <c r="HT93">
        <v>5</v>
      </c>
      <c r="HU93">
        <v>0</v>
      </c>
      <c r="HV93">
        <v>0</v>
      </c>
      <c r="HW93">
        <v>0</v>
      </c>
      <c r="HX93" t="s">
        <v>421</v>
      </c>
      <c r="HY93" t="s">
        <v>422</v>
      </c>
      <c r="HZ93" t="s">
        <v>423</v>
      </c>
      <c r="IA93" t="s">
        <v>423</v>
      </c>
      <c r="IB93" t="s">
        <v>423</v>
      </c>
      <c r="IC93" t="s">
        <v>423</v>
      </c>
      <c r="ID93">
        <v>0</v>
      </c>
      <c r="IE93">
        <v>100</v>
      </c>
      <c r="IF93">
        <v>100</v>
      </c>
      <c r="IG93">
        <v>-4.407</v>
      </c>
      <c r="IH93">
        <v>5.4300000000000001E-2</v>
      </c>
      <c r="II93">
        <v>-2.812144822398805</v>
      </c>
      <c r="IJ93">
        <v>-3.7794827560518689E-3</v>
      </c>
      <c r="IK93">
        <v>4.9551128961100493E-7</v>
      </c>
      <c r="IL93">
        <v>1.3680294268397379E-10</v>
      </c>
      <c r="IM93">
        <v>5.437000000000225E-2</v>
      </c>
      <c r="IN93">
        <v>0</v>
      </c>
      <c r="IO93">
        <v>0</v>
      </c>
      <c r="IP93">
        <v>0</v>
      </c>
      <c r="IQ93">
        <v>4</v>
      </c>
      <c r="IR93">
        <v>2229</v>
      </c>
      <c r="IS93">
        <v>1</v>
      </c>
      <c r="IT93">
        <v>22</v>
      </c>
      <c r="IU93">
        <v>2.1</v>
      </c>
      <c r="IV93">
        <v>2</v>
      </c>
      <c r="IW93">
        <v>1.8371599999999999</v>
      </c>
      <c r="IX93">
        <v>2.5671400000000002</v>
      </c>
      <c r="IY93">
        <v>2.9956100000000001</v>
      </c>
      <c r="IZ93">
        <v>2.9589799999999999</v>
      </c>
      <c r="JA93">
        <v>3.1970200000000002</v>
      </c>
      <c r="JB93">
        <v>2.47803</v>
      </c>
      <c r="JC93">
        <v>45.547199999999997</v>
      </c>
      <c r="JD93">
        <v>23.745999999999999</v>
      </c>
      <c r="JE93">
        <v>18</v>
      </c>
      <c r="JF93">
        <v>514.29999999999995</v>
      </c>
      <c r="JG93">
        <v>1136.44</v>
      </c>
      <c r="JH93">
        <v>25.590800000000002</v>
      </c>
      <c r="JI93">
        <v>33.314399999999999</v>
      </c>
      <c r="JJ93">
        <v>29.997699999999998</v>
      </c>
      <c r="JK93">
        <v>33.340699999999998</v>
      </c>
      <c r="JL93">
        <v>33.270099999999999</v>
      </c>
      <c r="JM93">
        <v>36.799199999999999</v>
      </c>
      <c r="JN93">
        <v>15.3553</v>
      </c>
      <c r="JO93">
        <v>24.613499999999998</v>
      </c>
      <c r="JP93">
        <v>25.6614</v>
      </c>
      <c r="JQ93">
        <v>500</v>
      </c>
      <c r="JR93">
        <v>24.057500000000001</v>
      </c>
      <c r="JS93">
        <v>98.769599999999997</v>
      </c>
      <c r="JT93">
        <v>97.217699999999994</v>
      </c>
    </row>
    <row r="94" spans="1:280" x14ac:dyDescent="0.25">
      <c r="A94">
        <v>78</v>
      </c>
      <c r="B94">
        <v>1700166349.5999999</v>
      </c>
      <c r="C94">
        <v>17368.099999904629</v>
      </c>
      <c r="D94" t="s">
        <v>756</v>
      </c>
      <c r="E94" t="s">
        <v>757</v>
      </c>
      <c r="F94" t="s">
        <v>412</v>
      </c>
      <c r="G94" t="s">
        <v>544</v>
      </c>
      <c r="H94" t="s">
        <v>726</v>
      </c>
      <c r="I94">
        <v>1700166349.5999999</v>
      </c>
      <c r="J94">
        <f t="shared" si="92"/>
        <v>4.3661324727880596E-3</v>
      </c>
      <c r="K94">
        <f t="shared" si="93"/>
        <v>4.3661324727880597</v>
      </c>
      <c r="L94">
        <f t="shared" si="94"/>
        <v>43.787079471022658</v>
      </c>
      <c r="M94">
        <f t="shared" si="95"/>
        <v>353.05</v>
      </c>
      <c r="N94">
        <f t="shared" si="96"/>
        <v>100.82226687185074</v>
      </c>
      <c r="O94">
        <f t="shared" si="97"/>
        <v>9.9868304730717341</v>
      </c>
      <c r="P94">
        <f t="shared" si="98"/>
        <v>34.970950444899998</v>
      </c>
      <c r="Q94">
        <f t="shared" si="99"/>
        <v>0.29703129548832163</v>
      </c>
      <c r="R94">
        <f t="shared" si="100"/>
        <v>3.080207491112843</v>
      </c>
      <c r="S94">
        <f t="shared" si="101"/>
        <v>0.28198639326118607</v>
      </c>
      <c r="T94">
        <f t="shared" si="102"/>
        <v>0.17752969563309645</v>
      </c>
      <c r="U94">
        <f t="shared" si="103"/>
        <v>344.37959876331519</v>
      </c>
      <c r="V94">
        <f t="shared" si="104"/>
        <v>30.870657361476663</v>
      </c>
      <c r="W94">
        <f t="shared" si="105"/>
        <v>29.995799999999999</v>
      </c>
      <c r="X94">
        <f t="shared" si="106"/>
        <v>4.259422070140201</v>
      </c>
      <c r="Y94">
        <f t="shared" si="107"/>
        <v>65.189499731828221</v>
      </c>
      <c r="Z94">
        <f t="shared" si="108"/>
        <v>2.7802227528604</v>
      </c>
      <c r="AA94">
        <f t="shared" si="109"/>
        <v>4.2648321651454246</v>
      </c>
      <c r="AB94">
        <f t="shared" si="110"/>
        <v>1.479199317279801</v>
      </c>
      <c r="AC94">
        <f t="shared" si="111"/>
        <v>-192.54644204995341</v>
      </c>
      <c r="AD94">
        <f t="shared" si="112"/>
        <v>3.6699292323656469</v>
      </c>
      <c r="AE94">
        <f t="shared" si="113"/>
        <v>0.26493922723008245</v>
      </c>
      <c r="AF94">
        <f t="shared" si="114"/>
        <v>155.76802517295749</v>
      </c>
      <c r="AG94">
        <v>5</v>
      </c>
      <c r="AH94">
        <v>1</v>
      </c>
      <c r="AI94">
        <f t="shared" si="115"/>
        <v>1</v>
      </c>
      <c r="AJ94">
        <f t="shared" si="116"/>
        <v>0</v>
      </c>
      <c r="AK94">
        <f t="shared" si="117"/>
        <v>51808.813184548555</v>
      </c>
      <c r="AL94" t="s">
        <v>431</v>
      </c>
      <c r="AM94" t="s">
        <v>431</v>
      </c>
      <c r="AN94">
        <v>0</v>
      </c>
      <c r="AO94">
        <v>0</v>
      </c>
      <c r="AP94" t="e">
        <f t="shared" si="118"/>
        <v>#DIV/0!</v>
      </c>
      <c r="AQ94">
        <v>0</v>
      </c>
      <c r="AR94" t="s">
        <v>431</v>
      </c>
      <c r="AS94" t="s">
        <v>431</v>
      </c>
      <c r="AT94">
        <v>0</v>
      </c>
      <c r="AU94">
        <v>0</v>
      </c>
      <c r="AV94" t="e">
        <f t="shared" si="119"/>
        <v>#DIV/0!</v>
      </c>
      <c r="AW94">
        <v>0.5</v>
      </c>
      <c r="AX94">
        <f t="shared" si="120"/>
        <v>1513.2344993816573</v>
      </c>
      <c r="AY94">
        <f t="shared" si="121"/>
        <v>43.787079471022658</v>
      </c>
      <c r="AZ94" t="e">
        <f t="shared" si="122"/>
        <v>#DIV/0!</v>
      </c>
      <c r="BA94">
        <f t="shared" si="123"/>
        <v>2.8936083263311187E-2</v>
      </c>
      <c r="BB94" t="e">
        <f t="shared" si="124"/>
        <v>#DIV/0!</v>
      </c>
      <c r="BC94" t="e">
        <f t="shared" si="125"/>
        <v>#DIV/0!</v>
      </c>
      <c r="BD94" t="s">
        <v>431</v>
      </c>
      <c r="BE94">
        <v>0</v>
      </c>
      <c r="BF94" t="e">
        <f t="shared" si="126"/>
        <v>#DIV/0!</v>
      </c>
      <c r="BG94" t="e">
        <f t="shared" si="127"/>
        <v>#DIV/0!</v>
      </c>
      <c r="BH94" t="e">
        <f t="shared" si="128"/>
        <v>#DIV/0!</v>
      </c>
      <c r="BI94" t="e">
        <f t="shared" si="129"/>
        <v>#DIV/0!</v>
      </c>
      <c r="BJ94" t="e">
        <f t="shared" si="130"/>
        <v>#DIV/0!</v>
      </c>
      <c r="BK94" t="e">
        <f t="shared" si="131"/>
        <v>#DIV/0!</v>
      </c>
      <c r="BL94" t="e">
        <f t="shared" si="132"/>
        <v>#DIV/0!</v>
      </c>
      <c r="BM94" t="e">
        <f t="shared" si="133"/>
        <v>#DIV/0!</v>
      </c>
      <c r="BN94">
        <v>20804</v>
      </c>
      <c r="BO94">
        <v>290.00000000000011</v>
      </c>
      <c r="BP94">
        <v>776.75</v>
      </c>
      <c r="BQ94">
        <v>285</v>
      </c>
      <c r="BR94">
        <v>7148.98</v>
      </c>
      <c r="BS94">
        <v>778.58</v>
      </c>
      <c r="BT94">
        <v>-1.83</v>
      </c>
      <c r="BU94">
        <v>300.00000000000011</v>
      </c>
      <c r="BV94">
        <v>38.200000000000003</v>
      </c>
      <c r="BW94">
        <v>847.04070619928211</v>
      </c>
      <c r="BX94">
        <v>1.10391455083481</v>
      </c>
      <c r="BY94">
        <v>-48.942471084735587</v>
      </c>
      <c r="BZ94">
        <v>0.66141655641317454</v>
      </c>
      <c r="CA94">
        <v>0.99491230379517848</v>
      </c>
      <c r="CB94">
        <v>-7.057228476084549E-3</v>
      </c>
      <c r="CC94">
        <v>289.99999999999989</v>
      </c>
      <c r="CD94">
        <v>784.44</v>
      </c>
      <c r="CE94">
        <v>815</v>
      </c>
      <c r="CF94">
        <v>7142.78</v>
      </c>
      <c r="CG94">
        <v>778.52</v>
      </c>
      <c r="CH94">
        <v>5.92</v>
      </c>
      <c r="CV94">
        <f t="shared" si="134"/>
        <v>1800.06</v>
      </c>
      <c r="CW94">
        <f t="shared" si="135"/>
        <v>1513.2344993816573</v>
      </c>
      <c r="CX94">
        <f t="shared" si="136"/>
        <v>0.84065781106277426</v>
      </c>
      <c r="CY94">
        <f t="shared" si="137"/>
        <v>0.1913156221255487</v>
      </c>
      <c r="CZ94">
        <v>5.18</v>
      </c>
      <c r="DA94">
        <v>0.5</v>
      </c>
      <c r="DB94" t="s">
        <v>418</v>
      </c>
      <c r="DC94">
        <v>2</v>
      </c>
      <c r="DD94">
        <v>1700166349.5999999</v>
      </c>
      <c r="DE94">
        <v>353.05</v>
      </c>
      <c r="DF94">
        <v>400.01299999999998</v>
      </c>
      <c r="DG94">
        <v>28.067799999999998</v>
      </c>
      <c r="DH94">
        <v>23.671199999999999</v>
      </c>
      <c r="DI94">
        <v>357.2</v>
      </c>
      <c r="DJ94">
        <v>28.029599999999999</v>
      </c>
      <c r="DK94">
        <v>499.97199999999998</v>
      </c>
      <c r="DL94">
        <v>98.953800000000001</v>
      </c>
      <c r="DM94">
        <v>0.100018</v>
      </c>
      <c r="DN94">
        <v>30.017900000000001</v>
      </c>
      <c r="DO94">
        <v>29.995799999999999</v>
      </c>
      <c r="DP94">
        <v>999.9</v>
      </c>
      <c r="DQ94">
        <v>0</v>
      </c>
      <c r="DR94">
        <v>0</v>
      </c>
      <c r="DS94">
        <v>10001.200000000001</v>
      </c>
      <c r="DT94">
        <v>0</v>
      </c>
      <c r="DU94">
        <v>319.39999999999998</v>
      </c>
      <c r="DV94">
        <v>-46.963500000000003</v>
      </c>
      <c r="DW94">
        <v>363.245</v>
      </c>
      <c r="DX94">
        <v>409.71199999999999</v>
      </c>
      <c r="DY94">
        <v>4.3965500000000004</v>
      </c>
      <c r="DZ94">
        <v>400.01299999999998</v>
      </c>
      <c r="EA94">
        <v>23.671199999999999</v>
      </c>
      <c r="EB94">
        <v>2.7774100000000002</v>
      </c>
      <c r="EC94">
        <v>2.3423600000000002</v>
      </c>
      <c r="ED94">
        <v>22.750499999999999</v>
      </c>
      <c r="EE94">
        <v>19.970700000000001</v>
      </c>
      <c r="EF94">
        <v>1800.06</v>
      </c>
      <c r="EG94">
        <v>0.97801000000000005</v>
      </c>
      <c r="EH94">
        <v>2.19905E-2</v>
      </c>
      <c r="EI94">
        <v>0</v>
      </c>
      <c r="EJ94">
        <v>600.25300000000004</v>
      </c>
      <c r="EK94">
        <v>5.0009399999999999</v>
      </c>
      <c r="EL94">
        <v>11513</v>
      </c>
      <c r="EM94">
        <v>13860.6</v>
      </c>
      <c r="EN94">
        <v>46.875</v>
      </c>
      <c r="EO94">
        <v>48.686999999999998</v>
      </c>
      <c r="EP94">
        <v>47.936999999999998</v>
      </c>
      <c r="EQ94">
        <v>48</v>
      </c>
      <c r="ER94">
        <v>48.311999999999998</v>
      </c>
      <c r="ES94">
        <v>1755.59</v>
      </c>
      <c r="ET94">
        <v>39.47</v>
      </c>
      <c r="EU94">
        <v>0</v>
      </c>
      <c r="EV94">
        <v>130.4000000953674</v>
      </c>
      <c r="EW94">
        <v>0</v>
      </c>
      <c r="EX94">
        <v>600.43211538461537</v>
      </c>
      <c r="EY94">
        <v>-0.29056410830115748</v>
      </c>
      <c r="EZ94">
        <v>20.45811971003506</v>
      </c>
      <c r="FA94">
        <v>11502.653846153849</v>
      </c>
      <c r="FB94">
        <v>15</v>
      </c>
      <c r="FC94">
        <v>1700166304.5999999</v>
      </c>
      <c r="FD94" t="s">
        <v>758</v>
      </c>
      <c r="FE94">
        <v>1700166303.5999999</v>
      </c>
      <c r="FF94">
        <v>1700166304.5999999</v>
      </c>
      <c r="FG94">
        <v>85</v>
      </c>
      <c r="FH94">
        <v>-5.8000000000000003E-2</v>
      </c>
      <c r="FI94">
        <v>-1.6E-2</v>
      </c>
      <c r="FJ94">
        <v>-4.3079999999999998</v>
      </c>
      <c r="FK94">
        <v>3.7999999999999999E-2</v>
      </c>
      <c r="FL94">
        <v>400</v>
      </c>
      <c r="FM94">
        <v>24</v>
      </c>
      <c r="FN94">
        <v>0.04</v>
      </c>
      <c r="FO94">
        <v>0.03</v>
      </c>
      <c r="FP94">
        <v>43.675347174337652</v>
      </c>
      <c r="FQ94">
        <v>0.67305519327538343</v>
      </c>
      <c r="FR94">
        <v>5.4428466168483361E-2</v>
      </c>
      <c r="FS94">
        <v>1</v>
      </c>
      <c r="FT94">
        <v>0.29720913405486432</v>
      </c>
      <c r="FU94">
        <v>2.4180987082128558E-2</v>
      </c>
      <c r="FV94">
        <v>2.592922686971335E-3</v>
      </c>
      <c r="FW94">
        <v>1</v>
      </c>
      <c r="FX94">
        <v>2</v>
      </c>
      <c r="FY94">
        <v>2</v>
      </c>
      <c r="FZ94" t="s">
        <v>420</v>
      </c>
      <c r="GA94">
        <v>3.1193499999999998</v>
      </c>
      <c r="GB94">
        <v>2.87765</v>
      </c>
      <c r="GC94">
        <v>7.9397599999999999E-2</v>
      </c>
      <c r="GD94">
        <v>8.7883100000000006E-2</v>
      </c>
      <c r="GE94">
        <v>0.12559300000000001</v>
      </c>
      <c r="GF94">
        <v>0.112201</v>
      </c>
      <c r="GG94">
        <v>26734.6</v>
      </c>
      <c r="GH94">
        <v>27105.599999999999</v>
      </c>
      <c r="GI94">
        <v>26746.400000000001</v>
      </c>
      <c r="GJ94">
        <v>27442.9</v>
      </c>
      <c r="GK94">
        <v>33444.400000000001</v>
      </c>
      <c r="GL94">
        <v>34037.1</v>
      </c>
      <c r="GM94">
        <v>39621.1</v>
      </c>
      <c r="GN94">
        <v>39733.199999999997</v>
      </c>
      <c r="GO94">
        <v>1.9725699999999999</v>
      </c>
      <c r="GP94">
        <v>2.4582799999999998</v>
      </c>
      <c r="GQ94">
        <v>3.88511E-2</v>
      </c>
      <c r="GR94">
        <v>0</v>
      </c>
      <c r="GS94">
        <v>29.363199999999999</v>
      </c>
      <c r="GT94">
        <v>999.9</v>
      </c>
      <c r="GU94">
        <v>33.4</v>
      </c>
      <c r="GV94">
        <v>42.9</v>
      </c>
      <c r="GW94">
        <v>29.1691</v>
      </c>
      <c r="GX94">
        <v>62.940899999999999</v>
      </c>
      <c r="GY94">
        <v>7.0753199999999996</v>
      </c>
      <c r="GZ94">
        <v>3</v>
      </c>
      <c r="HA94">
        <v>0.491286</v>
      </c>
      <c r="HB94">
        <v>2.6687099999999999</v>
      </c>
      <c r="HC94">
        <v>20.283000000000001</v>
      </c>
      <c r="HD94">
        <v>5.2117500000000003</v>
      </c>
      <c r="HE94">
        <v>11.908099999999999</v>
      </c>
      <c r="HF94">
        <v>4.9973000000000001</v>
      </c>
      <c r="HG94">
        <v>3.30253</v>
      </c>
      <c r="HH94">
        <v>9999</v>
      </c>
      <c r="HI94">
        <v>9999</v>
      </c>
      <c r="HJ94">
        <v>9999</v>
      </c>
      <c r="HK94">
        <v>999.9</v>
      </c>
      <c r="HL94">
        <v>1.8846700000000001</v>
      </c>
      <c r="HM94">
        <v>1.8852199999999999</v>
      </c>
      <c r="HN94">
        <v>1.8813</v>
      </c>
      <c r="HO94">
        <v>1.88293</v>
      </c>
      <c r="HP94">
        <v>1.87988</v>
      </c>
      <c r="HQ94">
        <v>1.8833899999999999</v>
      </c>
      <c r="HR94">
        <v>1.8792800000000001</v>
      </c>
      <c r="HS94">
        <v>1.88157</v>
      </c>
      <c r="HT94">
        <v>5</v>
      </c>
      <c r="HU94">
        <v>0</v>
      </c>
      <c r="HV94">
        <v>0</v>
      </c>
      <c r="HW94">
        <v>0</v>
      </c>
      <c r="HX94" t="s">
        <v>421</v>
      </c>
      <c r="HY94" t="s">
        <v>422</v>
      </c>
      <c r="HZ94" t="s">
        <v>423</v>
      </c>
      <c r="IA94" t="s">
        <v>423</v>
      </c>
      <c r="IB94" t="s">
        <v>423</v>
      </c>
      <c r="IC94" t="s">
        <v>423</v>
      </c>
      <c r="ID94">
        <v>0</v>
      </c>
      <c r="IE94">
        <v>100</v>
      </c>
      <c r="IF94">
        <v>100</v>
      </c>
      <c r="IG94">
        <v>-4.1500000000000004</v>
      </c>
      <c r="IH94">
        <v>3.8199999999999998E-2</v>
      </c>
      <c r="II94">
        <v>-2.8699402787395951</v>
      </c>
      <c r="IJ94">
        <v>-3.7794827560518689E-3</v>
      </c>
      <c r="IK94">
        <v>4.9551128961100493E-7</v>
      </c>
      <c r="IL94">
        <v>1.3680294268397379E-10</v>
      </c>
      <c r="IM94">
        <v>3.8160000000004857E-2</v>
      </c>
      <c r="IN94">
        <v>0</v>
      </c>
      <c r="IO94">
        <v>0</v>
      </c>
      <c r="IP94">
        <v>0</v>
      </c>
      <c r="IQ94">
        <v>4</v>
      </c>
      <c r="IR94">
        <v>2229</v>
      </c>
      <c r="IS94">
        <v>1</v>
      </c>
      <c r="IT94">
        <v>22</v>
      </c>
      <c r="IU94">
        <v>0.8</v>
      </c>
      <c r="IV94">
        <v>0.8</v>
      </c>
      <c r="IW94">
        <v>1.5319799999999999</v>
      </c>
      <c r="IX94">
        <v>2.5561500000000001</v>
      </c>
      <c r="IY94">
        <v>2.9956100000000001</v>
      </c>
      <c r="IZ94">
        <v>2.9589799999999999</v>
      </c>
      <c r="JA94">
        <v>3.1970200000000002</v>
      </c>
      <c r="JB94">
        <v>2.49268</v>
      </c>
      <c r="JC94">
        <v>45.375799999999998</v>
      </c>
      <c r="JD94">
        <v>23.763500000000001</v>
      </c>
      <c r="JE94">
        <v>18</v>
      </c>
      <c r="JF94">
        <v>514.21299999999997</v>
      </c>
      <c r="JG94">
        <v>1133.53</v>
      </c>
      <c r="JH94">
        <v>25.8584</v>
      </c>
      <c r="JI94">
        <v>33.311399999999999</v>
      </c>
      <c r="JJ94">
        <v>30</v>
      </c>
      <c r="JK94">
        <v>33.331800000000001</v>
      </c>
      <c r="JL94">
        <v>33.255299999999998</v>
      </c>
      <c r="JM94">
        <v>30.677399999999999</v>
      </c>
      <c r="JN94">
        <v>16.1006</v>
      </c>
      <c r="JO94">
        <v>23.9405</v>
      </c>
      <c r="JP94">
        <v>25.8613</v>
      </c>
      <c r="JQ94">
        <v>400</v>
      </c>
      <c r="JR94">
        <v>23.676600000000001</v>
      </c>
      <c r="JS94">
        <v>98.763599999999997</v>
      </c>
      <c r="JT94">
        <v>97.216999999999999</v>
      </c>
    </row>
    <row r="95" spans="1:280" x14ac:dyDescent="0.25">
      <c r="A95">
        <v>79</v>
      </c>
      <c r="B95">
        <v>1700166519.5999999</v>
      </c>
      <c r="C95">
        <v>17538.099999904629</v>
      </c>
      <c r="D95" t="s">
        <v>759</v>
      </c>
      <c r="E95" t="s">
        <v>760</v>
      </c>
      <c r="F95" t="s">
        <v>412</v>
      </c>
      <c r="G95" t="s">
        <v>544</v>
      </c>
      <c r="H95" t="s">
        <v>726</v>
      </c>
      <c r="I95">
        <v>1700166519.5999999</v>
      </c>
      <c r="J95">
        <f t="shared" si="92"/>
        <v>5.3258310525274386E-3</v>
      </c>
      <c r="K95">
        <f t="shared" si="93"/>
        <v>5.3258310525274384</v>
      </c>
      <c r="L95">
        <f t="shared" si="94"/>
        <v>38.596894269305842</v>
      </c>
      <c r="M95">
        <f t="shared" si="95"/>
        <v>258.56799999999998</v>
      </c>
      <c r="N95">
        <f t="shared" si="96"/>
        <v>79.752788461469521</v>
      </c>
      <c r="O95">
        <f t="shared" si="97"/>
        <v>7.8993375311741225</v>
      </c>
      <c r="P95">
        <f t="shared" si="98"/>
        <v>25.610589249144798</v>
      </c>
      <c r="Q95">
        <f t="shared" si="99"/>
        <v>0.37373671844235495</v>
      </c>
      <c r="R95">
        <f t="shared" si="100"/>
        <v>3.0786666959655173</v>
      </c>
      <c r="S95">
        <f t="shared" si="101"/>
        <v>0.35023694829254781</v>
      </c>
      <c r="T95">
        <f t="shared" si="102"/>
        <v>0.22088620766610131</v>
      </c>
      <c r="U95">
        <f t="shared" si="103"/>
        <v>344.31499876308158</v>
      </c>
      <c r="V95">
        <f t="shared" si="104"/>
        <v>30.93755462508393</v>
      </c>
      <c r="W95">
        <f t="shared" si="105"/>
        <v>30.019200000000001</v>
      </c>
      <c r="X95">
        <f t="shared" si="106"/>
        <v>4.2651505924382445</v>
      </c>
      <c r="Y95">
        <f t="shared" si="107"/>
        <v>64.810355341626945</v>
      </c>
      <c r="Z95">
        <f t="shared" si="108"/>
        <v>2.81280869555335</v>
      </c>
      <c r="AA95">
        <f t="shared" si="109"/>
        <v>4.3400605979191651</v>
      </c>
      <c r="AB95">
        <f t="shared" si="110"/>
        <v>1.4523418968848945</v>
      </c>
      <c r="AC95">
        <f t="shared" si="111"/>
        <v>-234.86914941646003</v>
      </c>
      <c r="AD95">
        <f t="shared" si="112"/>
        <v>50.374043450062963</v>
      </c>
      <c r="AE95">
        <f t="shared" si="113"/>
        <v>3.6443343058338971</v>
      </c>
      <c r="AF95">
        <f t="shared" si="114"/>
        <v>163.46422710251844</v>
      </c>
      <c r="AG95">
        <v>4</v>
      </c>
      <c r="AH95">
        <v>1</v>
      </c>
      <c r="AI95">
        <f t="shared" si="115"/>
        <v>1</v>
      </c>
      <c r="AJ95">
        <f t="shared" si="116"/>
        <v>0</v>
      </c>
      <c r="AK95">
        <f t="shared" si="117"/>
        <v>51716.739332367055</v>
      </c>
      <c r="AL95" t="s">
        <v>415</v>
      </c>
      <c r="AM95">
        <v>7133.88</v>
      </c>
      <c r="AN95">
        <v>306.28384615384618</v>
      </c>
      <c r="AO95">
        <v>859.63916333292491</v>
      </c>
      <c r="AP95">
        <f t="shared" si="118"/>
        <v>0.64370650010133712</v>
      </c>
      <c r="AQ95">
        <v>-0.73746743666429193</v>
      </c>
      <c r="AR95" t="s">
        <v>761</v>
      </c>
      <c r="AS95">
        <v>7148.72</v>
      </c>
      <c r="AT95">
        <v>607.65176923076922</v>
      </c>
      <c r="AU95">
        <v>803.26735007041691</v>
      </c>
      <c r="AV95">
        <f t="shared" si="119"/>
        <v>0.2435248747786144</v>
      </c>
      <c r="AW95">
        <v>0.5</v>
      </c>
      <c r="AX95">
        <f t="shared" si="120"/>
        <v>1512.9488993815407</v>
      </c>
      <c r="AY95">
        <f t="shared" si="121"/>
        <v>38.596894269305842</v>
      </c>
      <c r="AZ95">
        <f t="shared" si="122"/>
        <v>184.22034563416608</v>
      </c>
      <c r="BA95">
        <f t="shared" si="123"/>
        <v>2.5998473393284552E-2</v>
      </c>
      <c r="BB95">
        <f t="shared" si="124"/>
        <v>7.0178145865839398E-2</v>
      </c>
      <c r="BC95">
        <f t="shared" si="125"/>
        <v>298.81233732961095</v>
      </c>
      <c r="BD95" t="s">
        <v>762</v>
      </c>
      <c r="BE95">
        <v>422.58</v>
      </c>
      <c r="BF95">
        <f t="shared" si="126"/>
        <v>422.58</v>
      </c>
      <c r="BG95">
        <f t="shared" si="127"/>
        <v>0.47392359472477585</v>
      </c>
      <c r="BH95">
        <f t="shared" si="128"/>
        <v>0.51384838714358139</v>
      </c>
      <c r="BI95">
        <f t="shared" si="129"/>
        <v>0.12897982239435946</v>
      </c>
      <c r="BJ95">
        <f t="shared" si="130"/>
        <v>0.39360578228062465</v>
      </c>
      <c r="BK95">
        <f t="shared" si="131"/>
        <v>0.10187272356915794</v>
      </c>
      <c r="BL95">
        <f t="shared" si="132"/>
        <v>0.35734620128567435</v>
      </c>
      <c r="BM95">
        <f t="shared" si="133"/>
        <v>0.64265379871432571</v>
      </c>
      <c r="BN95">
        <v>20806</v>
      </c>
      <c r="BO95">
        <v>290.00000000000011</v>
      </c>
      <c r="BP95">
        <v>749.15</v>
      </c>
      <c r="BQ95">
        <v>285</v>
      </c>
      <c r="BR95">
        <v>7148.72</v>
      </c>
      <c r="BS95">
        <v>750.14</v>
      </c>
      <c r="BT95">
        <v>-0.99</v>
      </c>
      <c r="BU95">
        <v>300.00000000000011</v>
      </c>
      <c r="BV95">
        <v>38.200000000000003</v>
      </c>
      <c r="BW95">
        <v>803.26735007041691</v>
      </c>
      <c r="BX95">
        <v>1.4540530105606631</v>
      </c>
      <c r="BY95">
        <v>-37.979531820691591</v>
      </c>
      <c r="BZ95">
        <v>0.8711765978565772</v>
      </c>
      <c r="CA95">
        <v>0.98548156767376838</v>
      </c>
      <c r="CB95">
        <v>-7.0569361512792068E-3</v>
      </c>
      <c r="CC95">
        <v>289.99999999999989</v>
      </c>
      <c r="CD95">
        <v>754.7</v>
      </c>
      <c r="CE95">
        <v>835</v>
      </c>
      <c r="CF95">
        <v>7142.26</v>
      </c>
      <c r="CG95">
        <v>750.09</v>
      </c>
      <c r="CH95">
        <v>4.6100000000000003</v>
      </c>
      <c r="CV95">
        <f t="shared" si="134"/>
        <v>1799.72</v>
      </c>
      <c r="CW95">
        <f t="shared" si="135"/>
        <v>1512.9488993815407</v>
      </c>
      <c r="CX95">
        <f t="shared" si="136"/>
        <v>0.84065793533524147</v>
      </c>
      <c r="CY95">
        <f t="shared" si="137"/>
        <v>0.19131587067048295</v>
      </c>
      <c r="CZ95">
        <v>5.18</v>
      </c>
      <c r="DA95">
        <v>0.5</v>
      </c>
      <c r="DB95" t="s">
        <v>418</v>
      </c>
      <c r="DC95">
        <v>2</v>
      </c>
      <c r="DD95">
        <v>1700166519.5999999</v>
      </c>
      <c r="DE95">
        <v>258.56799999999998</v>
      </c>
      <c r="DF95">
        <v>299.98899999999998</v>
      </c>
      <c r="DG95">
        <v>28.398499999999999</v>
      </c>
      <c r="DH95">
        <v>23.0366</v>
      </c>
      <c r="DI95">
        <v>262.33499999999998</v>
      </c>
      <c r="DJ95">
        <v>28.362400000000001</v>
      </c>
      <c r="DK95">
        <v>499.904</v>
      </c>
      <c r="DL95">
        <v>98.947999999999993</v>
      </c>
      <c r="DM95">
        <v>9.9791099999999994E-2</v>
      </c>
      <c r="DN95">
        <v>30.322700000000001</v>
      </c>
      <c r="DO95">
        <v>30.019200000000001</v>
      </c>
      <c r="DP95">
        <v>999.9</v>
      </c>
      <c r="DQ95">
        <v>0</v>
      </c>
      <c r="DR95">
        <v>0</v>
      </c>
      <c r="DS95">
        <v>9993.75</v>
      </c>
      <c r="DT95">
        <v>0</v>
      </c>
      <c r="DU95">
        <v>322.964</v>
      </c>
      <c r="DV95">
        <v>-41.420499999999997</v>
      </c>
      <c r="DW95">
        <v>266.12599999999998</v>
      </c>
      <c r="DX95">
        <v>307.06200000000001</v>
      </c>
      <c r="DY95">
        <v>5.36198</v>
      </c>
      <c r="DZ95">
        <v>299.98899999999998</v>
      </c>
      <c r="EA95">
        <v>23.0366</v>
      </c>
      <c r="EB95">
        <v>2.8099799999999999</v>
      </c>
      <c r="EC95">
        <v>2.27942</v>
      </c>
      <c r="ED95">
        <v>22.942799999999998</v>
      </c>
      <c r="EE95">
        <v>19.531700000000001</v>
      </c>
      <c r="EF95">
        <v>1799.72</v>
      </c>
      <c r="EG95">
        <v>0.97800600000000004</v>
      </c>
      <c r="EH95">
        <v>2.1994199999999998E-2</v>
      </c>
      <c r="EI95">
        <v>0</v>
      </c>
      <c r="EJ95">
        <v>607.55399999999997</v>
      </c>
      <c r="EK95">
        <v>5.0009399999999999</v>
      </c>
      <c r="EL95">
        <v>11629.5</v>
      </c>
      <c r="EM95">
        <v>13858</v>
      </c>
      <c r="EN95">
        <v>46.875</v>
      </c>
      <c r="EO95">
        <v>48.75</v>
      </c>
      <c r="EP95">
        <v>47.936999999999998</v>
      </c>
      <c r="EQ95">
        <v>48</v>
      </c>
      <c r="ER95">
        <v>48.311999999999998</v>
      </c>
      <c r="ES95">
        <v>1755.25</v>
      </c>
      <c r="ET95">
        <v>39.47</v>
      </c>
      <c r="EU95">
        <v>0</v>
      </c>
      <c r="EV95">
        <v>300.79999995231628</v>
      </c>
      <c r="EW95">
        <v>0</v>
      </c>
      <c r="EX95">
        <v>607.65176923076922</v>
      </c>
      <c r="EY95">
        <v>-0.29394872485504919</v>
      </c>
      <c r="EZ95">
        <v>-18.020512804515882</v>
      </c>
      <c r="FA95">
        <v>11633.073076923079</v>
      </c>
      <c r="FB95">
        <v>15</v>
      </c>
      <c r="FC95">
        <v>1700166437.0999999</v>
      </c>
      <c r="FD95" t="s">
        <v>763</v>
      </c>
      <c r="FE95">
        <v>1700166435.5999999</v>
      </c>
      <c r="FF95">
        <v>1700166437.0999999</v>
      </c>
      <c r="FG95">
        <v>86</v>
      </c>
      <c r="FH95">
        <v>5.8000000000000003E-2</v>
      </c>
      <c r="FI95">
        <v>-2E-3</v>
      </c>
      <c r="FJ95">
        <v>-3.911</v>
      </c>
      <c r="FK95">
        <v>3.5999999999999997E-2</v>
      </c>
      <c r="FL95">
        <v>300</v>
      </c>
      <c r="FM95">
        <v>23</v>
      </c>
      <c r="FN95">
        <v>0.06</v>
      </c>
      <c r="FO95">
        <v>0.02</v>
      </c>
      <c r="FP95">
        <v>38.531902518728963</v>
      </c>
      <c r="FQ95">
        <v>0.66758070305671868</v>
      </c>
      <c r="FR95">
        <v>5.2950676769574843E-2</v>
      </c>
      <c r="FS95">
        <v>1</v>
      </c>
      <c r="FT95">
        <v>0.37271465218750399</v>
      </c>
      <c r="FU95">
        <v>2.2877034010431681E-2</v>
      </c>
      <c r="FV95">
        <v>1.721478516719226E-3</v>
      </c>
      <c r="FW95">
        <v>1</v>
      </c>
      <c r="FX95">
        <v>2</v>
      </c>
      <c r="FY95">
        <v>2</v>
      </c>
      <c r="FZ95" t="s">
        <v>420</v>
      </c>
      <c r="GA95">
        <v>3.1191200000000001</v>
      </c>
      <c r="GB95">
        <v>2.8773599999999999</v>
      </c>
      <c r="GC95">
        <v>6.1742199999999997E-2</v>
      </c>
      <c r="GD95">
        <v>6.9962099999999999E-2</v>
      </c>
      <c r="GE95">
        <v>0.126635</v>
      </c>
      <c r="GF95">
        <v>0.11003599999999999</v>
      </c>
      <c r="GG95">
        <v>27246.5</v>
      </c>
      <c r="GH95">
        <v>27638.400000000001</v>
      </c>
      <c r="GI95">
        <v>26745.9</v>
      </c>
      <c r="GJ95">
        <v>27443.4</v>
      </c>
      <c r="GK95">
        <v>33402.199999999997</v>
      </c>
      <c r="GL95">
        <v>34120.1</v>
      </c>
      <c r="GM95">
        <v>39620.1</v>
      </c>
      <c r="GN95">
        <v>39734.699999999997</v>
      </c>
      <c r="GO95">
        <v>1.9734</v>
      </c>
      <c r="GP95">
        <v>2.4573200000000002</v>
      </c>
      <c r="GQ95">
        <v>2.7976899999999999E-2</v>
      </c>
      <c r="GR95">
        <v>0</v>
      </c>
      <c r="GS95">
        <v>29.563800000000001</v>
      </c>
      <c r="GT95">
        <v>999.9</v>
      </c>
      <c r="GU95">
        <v>33.1</v>
      </c>
      <c r="GV95">
        <v>42.8</v>
      </c>
      <c r="GW95">
        <v>28.760300000000001</v>
      </c>
      <c r="GX95">
        <v>62.950899999999997</v>
      </c>
      <c r="GY95">
        <v>7.2515999999999998</v>
      </c>
      <c r="GZ95">
        <v>3</v>
      </c>
      <c r="HA95">
        <v>0.49723600000000001</v>
      </c>
      <c r="HB95">
        <v>3.7569300000000001</v>
      </c>
      <c r="HC95">
        <v>20.258400000000002</v>
      </c>
      <c r="HD95">
        <v>5.2117500000000003</v>
      </c>
      <c r="HE95">
        <v>11.908099999999999</v>
      </c>
      <c r="HF95">
        <v>4.9961500000000001</v>
      </c>
      <c r="HG95">
        <v>3.3018800000000001</v>
      </c>
      <c r="HH95">
        <v>9999</v>
      </c>
      <c r="HI95">
        <v>9999</v>
      </c>
      <c r="HJ95">
        <v>9999</v>
      </c>
      <c r="HK95">
        <v>999.9</v>
      </c>
      <c r="HL95">
        <v>1.88473</v>
      </c>
      <c r="HM95">
        <v>1.88524</v>
      </c>
      <c r="HN95">
        <v>1.88134</v>
      </c>
      <c r="HO95">
        <v>1.88293</v>
      </c>
      <c r="HP95">
        <v>1.87988</v>
      </c>
      <c r="HQ95">
        <v>1.8833800000000001</v>
      </c>
      <c r="HR95">
        <v>1.8792800000000001</v>
      </c>
      <c r="HS95">
        <v>1.88158</v>
      </c>
      <c r="HT95">
        <v>5</v>
      </c>
      <c r="HU95">
        <v>0</v>
      </c>
      <c r="HV95">
        <v>0</v>
      </c>
      <c r="HW95">
        <v>0</v>
      </c>
      <c r="HX95" t="s">
        <v>421</v>
      </c>
      <c r="HY95" t="s">
        <v>422</v>
      </c>
      <c r="HZ95" t="s">
        <v>423</v>
      </c>
      <c r="IA95" t="s">
        <v>423</v>
      </c>
      <c r="IB95" t="s">
        <v>423</v>
      </c>
      <c r="IC95" t="s">
        <v>423</v>
      </c>
      <c r="ID95">
        <v>0</v>
      </c>
      <c r="IE95">
        <v>100</v>
      </c>
      <c r="IF95">
        <v>100</v>
      </c>
      <c r="IG95">
        <v>-3.7669999999999999</v>
      </c>
      <c r="IH95">
        <v>3.61E-2</v>
      </c>
      <c r="II95">
        <v>-2.81243823339222</v>
      </c>
      <c r="IJ95">
        <v>-3.7794827560518689E-3</v>
      </c>
      <c r="IK95">
        <v>4.9551128961100493E-7</v>
      </c>
      <c r="IL95">
        <v>1.3680294268397379E-10</v>
      </c>
      <c r="IM95">
        <v>3.6119999999996821E-2</v>
      </c>
      <c r="IN95">
        <v>0</v>
      </c>
      <c r="IO95">
        <v>0</v>
      </c>
      <c r="IP95">
        <v>0</v>
      </c>
      <c r="IQ95">
        <v>4</v>
      </c>
      <c r="IR95">
        <v>2229</v>
      </c>
      <c r="IS95">
        <v>1</v>
      </c>
      <c r="IT95">
        <v>22</v>
      </c>
      <c r="IU95">
        <v>1.4</v>
      </c>
      <c r="IV95">
        <v>1.4</v>
      </c>
      <c r="IW95">
        <v>1.2109399999999999</v>
      </c>
      <c r="IX95">
        <v>2.5732400000000002</v>
      </c>
      <c r="IY95">
        <v>2.9956100000000001</v>
      </c>
      <c r="IZ95">
        <v>2.9589799999999999</v>
      </c>
      <c r="JA95">
        <v>3.1970200000000002</v>
      </c>
      <c r="JB95">
        <v>2.51831</v>
      </c>
      <c r="JC95">
        <v>45.1768</v>
      </c>
      <c r="JD95">
        <v>23.745999999999999</v>
      </c>
      <c r="JE95">
        <v>18</v>
      </c>
      <c r="JF95">
        <v>514.76400000000001</v>
      </c>
      <c r="JG95">
        <v>1132.31</v>
      </c>
      <c r="JH95">
        <v>26.599599999999999</v>
      </c>
      <c r="JI95">
        <v>33.320399999999999</v>
      </c>
      <c r="JJ95">
        <v>30.005800000000001</v>
      </c>
      <c r="JK95">
        <v>33.334699999999998</v>
      </c>
      <c r="JL95">
        <v>33.258200000000002</v>
      </c>
      <c r="JM95">
        <v>24.2668</v>
      </c>
      <c r="JN95">
        <v>17.028600000000001</v>
      </c>
      <c r="JO95">
        <v>23.2546</v>
      </c>
      <c r="JP95">
        <v>26.421199999999999</v>
      </c>
      <c r="JQ95">
        <v>300</v>
      </c>
      <c r="JR95">
        <v>23.057099999999998</v>
      </c>
      <c r="JS95">
        <v>98.761300000000006</v>
      </c>
      <c r="JT95">
        <v>97.219700000000003</v>
      </c>
    </row>
    <row r="96" spans="1:280" x14ac:dyDescent="0.25">
      <c r="A96">
        <v>80</v>
      </c>
      <c r="B96">
        <v>1700166709.5999999</v>
      </c>
      <c r="C96">
        <v>17728.099999904629</v>
      </c>
      <c r="D96" t="s">
        <v>764</v>
      </c>
      <c r="E96" t="s">
        <v>765</v>
      </c>
      <c r="F96" t="s">
        <v>412</v>
      </c>
      <c r="G96" t="s">
        <v>544</v>
      </c>
      <c r="H96" t="s">
        <v>726</v>
      </c>
      <c r="I96">
        <v>1700166709.5999999</v>
      </c>
      <c r="J96">
        <f t="shared" si="92"/>
        <v>6.3503527422335906E-3</v>
      </c>
      <c r="K96">
        <f t="shared" si="93"/>
        <v>6.350352742233591</v>
      </c>
      <c r="L96">
        <f t="shared" si="94"/>
        <v>29.88448008825431</v>
      </c>
      <c r="M96">
        <f t="shared" si="95"/>
        <v>167.928</v>
      </c>
      <c r="N96">
        <f t="shared" si="96"/>
        <v>55.50048818260489</v>
      </c>
      <c r="O96">
        <f t="shared" si="97"/>
        <v>5.4975180501995595</v>
      </c>
      <c r="P96">
        <f t="shared" si="98"/>
        <v>16.633857491424003</v>
      </c>
      <c r="Q96">
        <f t="shared" si="99"/>
        <v>0.46662029603784833</v>
      </c>
      <c r="R96">
        <f t="shared" si="100"/>
        <v>3.0780539617401574</v>
      </c>
      <c r="S96">
        <f t="shared" si="101"/>
        <v>0.43058533628099055</v>
      </c>
      <c r="T96">
        <f t="shared" si="102"/>
        <v>0.2721211601147655</v>
      </c>
      <c r="U96">
        <f t="shared" si="103"/>
        <v>344.37199876328771</v>
      </c>
      <c r="V96">
        <f t="shared" si="104"/>
        <v>30.709511657701643</v>
      </c>
      <c r="W96">
        <f t="shared" si="105"/>
        <v>29.934000000000001</v>
      </c>
      <c r="X96">
        <f t="shared" si="106"/>
        <v>4.2443251233772115</v>
      </c>
      <c r="Y96">
        <f t="shared" si="107"/>
        <v>65.24218152932842</v>
      </c>
      <c r="Z96">
        <f t="shared" si="108"/>
        <v>2.8356741109716004</v>
      </c>
      <c r="AA96">
        <f t="shared" si="109"/>
        <v>4.3463815042678728</v>
      </c>
      <c r="AB96">
        <f t="shared" si="110"/>
        <v>1.4086510124056111</v>
      </c>
      <c r="AC96">
        <f t="shared" si="111"/>
        <v>-280.05055593250137</v>
      </c>
      <c r="AD96">
        <f t="shared" si="112"/>
        <v>68.717429111247</v>
      </c>
      <c r="AE96">
        <f t="shared" si="113"/>
        <v>4.9709149880626038</v>
      </c>
      <c r="AF96">
        <f t="shared" si="114"/>
        <v>138.00978693009591</v>
      </c>
      <c r="AG96">
        <v>3</v>
      </c>
      <c r="AH96">
        <v>1</v>
      </c>
      <c r="AI96">
        <f t="shared" si="115"/>
        <v>1</v>
      </c>
      <c r="AJ96">
        <f t="shared" si="116"/>
        <v>0</v>
      </c>
      <c r="AK96">
        <f t="shared" si="117"/>
        <v>51696.667247854071</v>
      </c>
      <c r="AL96" t="s">
        <v>415</v>
      </c>
      <c r="AM96">
        <v>7133.88</v>
      </c>
      <c r="AN96">
        <v>306.28384615384618</v>
      </c>
      <c r="AO96">
        <v>859.63916333292491</v>
      </c>
      <c r="AP96">
        <f t="shared" si="118"/>
        <v>0.64370650010133712</v>
      </c>
      <c r="AQ96">
        <v>-0.73746743666429193</v>
      </c>
      <c r="AR96" t="s">
        <v>766</v>
      </c>
      <c r="AS96">
        <v>7148.43</v>
      </c>
      <c r="AT96">
        <v>621.73191999999995</v>
      </c>
      <c r="AU96">
        <v>774.0775872581969</v>
      </c>
      <c r="AV96">
        <f t="shared" si="119"/>
        <v>0.19680929892029209</v>
      </c>
      <c r="AW96">
        <v>0.5</v>
      </c>
      <c r="AX96">
        <f t="shared" si="120"/>
        <v>1513.2008993816437</v>
      </c>
      <c r="AY96">
        <f t="shared" si="121"/>
        <v>29.88448008825431</v>
      </c>
      <c r="AZ96">
        <f t="shared" si="122"/>
        <v>148.90600406642838</v>
      </c>
      <c r="BA96">
        <f t="shared" si="123"/>
        <v>2.0236538015165069E-2</v>
      </c>
      <c r="BB96">
        <f t="shared" si="124"/>
        <v>0.11053359182997322</v>
      </c>
      <c r="BC96">
        <f t="shared" si="125"/>
        <v>294.67869195066714</v>
      </c>
      <c r="BD96" t="s">
        <v>767</v>
      </c>
      <c r="BE96">
        <v>425.67</v>
      </c>
      <c r="BF96">
        <f t="shared" si="126"/>
        <v>425.67</v>
      </c>
      <c r="BG96">
        <f t="shared" si="127"/>
        <v>0.45009388334348455</v>
      </c>
      <c r="BH96">
        <f t="shared" si="128"/>
        <v>0.4372627716206911</v>
      </c>
      <c r="BI96">
        <f t="shared" si="129"/>
        <v>0.19716049734411284</v>
      </c>
      <c r="BJ96">
        <f t="shared" si="130"/>
        <v>0.32566845998953459</v>
      </c>
      <c r="BK96">
        <f t="shared" si="131"/>
        <v>0.15462321119621281</v>
      </c>
      <c r="BL96">
        <f t="shared" si="132"/>
        <v>0.29937282936314352</v>
      </c>
      <c r="BM96">
        <f t="shared" si="133"/>
        <v>0.70062717063685653</v>
      </c>
      <c r="BN96">
        <v>20808</v>
      </c>
      <c r="BO96">
        <v>290.00000000000011</v>
      </c>
      <c r="BP96">
        <v>732.7</v>
      </c>
      <c r="BQ96">
        <v>285</v>
      </c>
      <c r="BR96">
        <v>7148.43</v>
      </c>
      <c r="BS96">
        <v>734.02</v>
      </c>
      <c r="BT96">
        <v>-1.32</v>
      </c>
      <c r="BU96">
        <v>300.00000000000011</v>
      </c>
      <c r="BV96">
        <v>38.200000000000003</v>
      </c>
      <c r="BW96">
        <v>774.0775872581969</v>
      </c>
      <c r="BX96">
        <v>1.152515619179554</v>
      </c>
      <c r="BY96">
        <v>-28.635249106793811</v>
      </c>
      <c r="BZ96">
        <v>0.69048376052425786</v>
      </c>
      <c r="CA96">
        <v>0.98398047919717424</v>
      </c>
      <c r="CB96">
        <v>-7.0565365962180259E-3</v>
      </c>
      <c r="CC96">
        <v>289.99999999999989</v>
      </c>
      <c r="CD96">
        <v>737.62</v>
      </c>
      <c r="CE96">
        <v>885</v>
      </c>
      <c r="CF96">
        <v>7141.31</v>
      </c>
      <c r="CG96">
        <v>733.98</v>
      </c>
      <c r="CH96">
        <v>3.64</v>
      </c>
      <c r="CV96">
        <f t="shared" si="134"/>
        <v>1800.02</v>
      </c>
      <c r="CW96">
        <f t="shared" si="135"/>
        <v>1513.2008993816437</v>
      </c>
      <c r="CX96">
        <f t="shared" si="136"/>
        <v>0.84065782568062786</v>
      </c>
      <c r="CY96">
        <f t="shared" si="137"/>
        <v>0.19131565136125583</v>
      </c>
      <c r="CZ96">
        <v>5.18</v>
      </c>
      <c r="DA96">
        <v>0.5</v>
      </c>
      <c r="DB96" t="s">
        <v>418</v>
      </c>
      <c r="DC96">
        <v>2</v>
      </c>
      <c r="DD96">
        <v>1700166709.5999999</v>
      </c>
      <c r="DE96">
        <v>167.928</v>
      </c>
      <c r="DF96">
        <v>199.99600000000001</v>
      </c>
      <c r="DG96">
        <v>28.627700000000001</v>
      </c>
      <c r="DH96">
        <v>22.236499999999999</v>
      </c>
      <c r="DI96">
        <v>171.40799999999999</v>
      </c>
      <c r="DJ96">
        <v>28.594100000000001</v>
      </c>
      <c r="DK96">
        <v>499.95499999999998</v>
      </c>
      <c r="DL96">
        <v>98.953500000000005</v>
      </c>
      <c r="DM96">
        <v>0.100008</v>
      </c>
      <c r="DN96">
        <v>30.348099999999999</v>
      </c>
      <c r="DO96">
        <v>29.934000000000001</v>
      </c>
      <c r="DP96">
        <v>999.9</v>
      </c>
      <c r="DQ96">
        <v>0</v>
      </c>
      <c r="DR96">
        <v>0</v>
      </c>
      <c r="DS96">
        <v>9990</v>
      </c>
      <c r="DT96">
        <v>0</v>
      </c>
      <c r="DU96">
        <v>315.53800000000001</v>
      </c>
      <c r="DV96">
        <v>-32.067999999999998</v>
      </c>
      <c r="DW96">
        <v>172.87700000000001</v>
      </c>
      <c r="DX96">
        <v>204.54400000000001</v>
      </c>
      <c r="DY96">
        <v>6.3912800000000001</v>
      </c>
      <c r="DZ96">
        <v>199.99600000000001</v>
      </c>
      <c r="EA96">
        <v>22.236499999999999</v>
      </c>
      <c r="EB96">
        <v>2.8328199999999999</v>
      </c>
      <c r="EC96">
        <v>2.20038</v>
      </c>
      <c r="ED96">
        <v>23.076599999999999</v>
      </c>
      <c r="EE96">
        <v>18.9651</v>
      </c>
      <c r="EF96">
        <v>1800.02</v>
      </c>
      <c r="EG96">
        <v>0.97801000000000005</v>
      </c>
      <c r="EH96">
        <v>2.19905E-2</v>
      </c>
      <c r="EI96">
        <v>0</v>
      </c>
      <c r="EJ96">
        <v>621.62900000000002</v>
      </c>
      <c r="EK96">
        <v>5.0009399999999999</v>
      </c>
      <c r="EL96">
        <v>11852.9</v>
      </c>
      <c r="EM96">
        <v>13860.3</v>
      </c>
      <c r="EN96">
        <v>46.875</v>
      </c>
      <c r="EO96">
        <v>48.75</v>
      </c>
      <c r="EP96">
        <v>47.936999999999998</v>
      </c>
      <c r="EQ96">
        <v>48</v>
      </c>
      <c r="ER96">
        <v>48.375</v>
      </c>
      <c r="ES96">
        <v>1755.55</v>
      </c>
      <c r="ET96">
        <v>39.47</v>
      </c>
      <c r="EU96">
        <v>0</v>
      </c>
      <c r="EV96">
        <v>187.79999995231631</v>
      </c>
      <c r="EW96">
        <v>0</v>
      </c>
      <c r="EX96">
        <v>621.73191999999995</v>
      </c>
      <c r="EY96">
        <v>-1.038307692632344</v>
      </c>
      <c r="EZ96">
        <v>-30.392307655713939</v>
      </c>
      <c r="FA96">
        <v>11856.936</v>
      </c>
      <c r="FB96">
        <v>15</v>
      </c>
      <c r="FC96">
        <v>1700166613.5999999</v>
      </c>
      <c r="FD96" t="s">
        <v>768</v>
      </c>
      <c r="FE96">
        <v>1700166612.5999999</v>
      </c>
      <c r="FF96">
        <v>1700166613.5999999</v>
      </c>
      <c r="FG96">
        <v>87</v>
      </c>
      <c r="FH96">
        <v>-3.5000000000000003E-2</v>
      </c>
      <c r="FI96">
        <v>-2E-3</v>
      </c>
      <c r="FJ96">
        <v>-3.5950000000000002</v>
      </c>
      <c r="FK96">
        <v>3.4000000000000002E-2</v>
      </c>
      <c r="FL96">
        <v>200</v>
      </c>
      <c r="FM96">
        <v>23</v>
      </c>
      <c r="FN96">
        <v>0.06</v>
      </c>
      <c r="FO96">
        <v>0.02</v>
      </c>
      <c r="FP96">
        <v>29.808238308195818</v>
      </c>
      <c r="FQ96">
        <v>0.66140097310028179</v>
      </c>
      <c r="FR96">
        <v>5.0429495045263832E-2</v>
      </c>
      <c r="FS96">
        <v>1</v>
      </c>
      <c r="FT96">
        <v>0.46398329725402893</v>
      </c>
      <c r="FU96">
        <v>3.8629153413185922E-2</v>
      </c>
      <c r="FV96">
        <v>2.9873730670424161E-3</v>
      </c>
      <c r="FW96">
        <v>1</v>
      </c>
      <c r="FX96">
        <v>2</v>
      </c>
      <c r="FY96">
        <v>2</v>
      </c>
      <c r="FZ96" t="s">
        <v>420</v>
      </c>
      <c r="GA96">
        <v>3.1189800000000001</v>
      </c>
      <c r="GB96">
        <v>2.8775400000000002</v>
      </c>
      <c r="GC96">
        <v>4.2599900000000003E-2</v>
      </c>
      <c r="GD96">
        <v>4.9608300000000001E-2</v>
      </c>
      <c r="GE96">
        <v>0.127363</v>
      </c>
      <c r="GF96">
        <v>0.107283</v>
      </c>
      <c r="GG96">
        <v>27801</v>
      </c>
      <c r="GH96">
        <v>28244.3</v>
      </c>
      <c r="GI96">
        <v>26745.1</v>
      </c>
      <c r="GJ96">
        <v>27444.9</v>
      </c>
      <c r="GK96">
        <v>33371.599999999999</v>
      </c>
      <c r="GL96">
        <v>34226.300000000003</v>
      </c>
      <c r="GM96">
        <v>39618.6</v>
      </c>
      <c r="GN96">
        <v>39737</v>
      </c>
      <c r="GO96">
        <v>1.9742999999999999</v>
      </c>
      <c r="GP96">
        <v>2.4602499999999998</v>
      </c>
      <c r="GQ96">
        <v>1.5206600000000001E-2</v>
      </c>
      <c r="GR96">
        <v>0</v>
      </c>
      <c r="GS96">
        <v>29.686499999999999</v>
      </c>
      <c r="GT96">
        <v>999.9</v>
      </c>
      <c r="GU96">
        <v>32.9</v>
      </c>
      <c r="GV96">
        <v>42.6</v>
      </c>
      <c r="GW96">
        <v>28.286999999999999</v>
      </c>
      <c r="GX96">
        <v>63.090899999999998</v>
      </c>
      <c r="GY96">
        <v>7.0793299999999997</v>
      </c>
      <c r="GZ96">
        <v>3</v>
      </c>
      <c r="HA96">
        <v>0.49146800000000002</v>
      </c>
      <c r="HB96">
        <v>2.0047000000000001</v>
      </c>
      <c r="HC96">
        <v>20.292200000000001</v>
      </c>
      <c r="HD96">
        <v>5.2156399999999996</v>
      </c>
      <c r="HE96">
        <v>11.908099999999999</v>
      </c>
      <c r="HF96">
        <v>4.99735</v>
      </c>
      <c r="HG96">
        <v>3.3026300000000002</v>
      </c>
      <c r="HH96">
        <v>9999</v>
      </c>
      <c r="HI96">
        <v>9999</v>
      </c>
      <c r="HJ96">
        <v>9999</v>
      </c>
      <c r="HK96">
        <v>999.9</v>
      </c>
      <c r="HL96">
        <v>1.8846499999999999</v>
      </c>
      <c r="HM96">
        <v>1.8852199999999999</v>
      </c>
      <c r="HN96">
        <v>1.88131</v>
      </c>
      <c r="HO96">
        <v>1.88293</v>
      </c>
      <c r="HP96">
        <v>1.87988</v>
      </c>
      <c r="HQ96">
        <v>1.88337</v>
      </c>
      <c r="HR96">
        <v>1.8792800000000001</v>
      </c>
      <c r="HS96">
        <v>1.8815599999999999</v>
      </c>
      <c r="HT96">
        <v>5</v>
      </c>
      <c r="HU96">
        <v>0</v>
      </c>
      <c r="HV96">
        <v>0</v>
      </c>
      <c r="HW96">
        <v>0</v>
      </c>
      <c r="HX96" t="s">
        <v>421</v>
      </c>
      <c r="HY96" t="s">
        <v>422</v>
      </c>
      <c r="HZ96" t="s">
        <v>423</v>
      </c>
      <c r="IA96" t="s">
        <v>423</v>
      </c>
      <c r="IB96" t="s">
        <v>423</v>
      </c>
      <c r="IC96" t="s">
        <v>423</v>
      </c>
      <c r="ID96">
        <v>0</v>
      </c>
      <c r="IE96">
        <v>100</v>
      </c>
      <c r="IF96">
        <v>100</v>
      </c>
      <c r="IG96">
        <v>-3.48</v>
      </c>
      <c r="IH96">
        <v>3.3599999999999998E-2</v>
      </c>
      <c r="II96">
        <v>-2.8471306316673139</v>
      </c>
      <c r="IJ96">
        <v>-3.7794827560518689E-3</v>
      </c>
      <c r="IK96">
        <v>4.9551128961100493E-7</v>
      </c>
      <c r="IL96">
        <v>1.3680294268397379E-10</v>
      </c>
      <c r="IM96">
        <v>3.3614999999997508E-2</v>
      </c>
      <c r="IN96">
        <v>0</v>
      </c>
      <c r="IO96">
        <v>0</v>
      </c>
      <c r="IP96">
        <v>0</v>
      </c>
      <c r="IQ96">
        <v>4</v>
      </c>
      <c r="IR96">
        <v>2229</v>
      </c>
      <c r="IS96">
        <v>1</v>
      </c>
      <c r="IT96">
        <v>22</v>
      </c>
      <c r="IU96">
        <v>1.6</v>
      </c>
      <c r="IV96">
        <v>1.6</v>
      </c>
      <c r="IW96">
        <v>0.87524400000000002</v>
      </c>
      <c r="IX96">
        <v>2.5793499999999998</v>
      </c>
      <c r="IY96">
        <v>2.9956100000000001</v>
      </c>
      <c r="IZ96">
        <v>2.9553199999999999</v>
      </c>
      <c r="JA96">
        <v>3.1970200000000002</v>
      </c>
      <c r="JB96">
        <v>2.4939</v>
      </c>
      <c r="JC96">
        <v>45.063400000000001</v>
      </c>
      <c r="JD96">
        <v>23.745999999999999</v>
      </c>
      <c r="JE96">
        <v>18</v>
      </c>
      <c r="JF96">
        <v>515.50400000000002</v>
      </c>
      <c r="JG96">
        <v>1136.53</v>
      </c>
      <c r="JH96">
        <v>26.646100000000001</v>
      </c>
      <c r="JI96">
        <v>33.353200000000001</v>
      </c>
      <c r="JJ96">
        <v>29.9999</v>
      </c>
      <c r="JK96">
        <v>33.355499999999999</v>
      </c>
      <c r="JL96">
        <v>33.273000000000003</v>
      </c>
      <c r="JM96">
        <v>17.528600000000001</v>
      </c>
      <c r="JN96">
        <v>18.628</v>
      </c>
      <c r="JO96">
        <v>21.744199999999999</v>
      </c>
      <c r="JP96">
        <v>26.671600000000002</v>
      </c>
      <c r="JQ96">
        <v>200</v>
      </c>
      <c r="JR96">
        <v>22.124500000000001</v>
      </c>
      <c r="JS96">
        <v>98.757900000000006</v>
      </c>
      <c r="JT96">
        <v>97.225399999999993</v>
      </c>
    </row>
    <row r="97" spans="1:280" x14ac:dyDescent="0.25">
      <c r="A97">
        <v>81</v>
      </c>
      <c r="B97">
        <v>1700166846.5999999</v>
      </c>
      <c r="C97">
        <v>17865.099999904629</v>
      </c>
      <c r="D97" t="s">
        <v>769</v>
      </c>
      <c r="E97" t="s">
        <v>770</v>
      </c>
      <c r="F97" t="s">
        <v>412</v>
      </c>
      <c r="G97" t="s">
        <v>544</v>
      </c>
      <c r="H97" t="s">
        <v>726</v>
      </c>
      <c r="I97">
        <v>1700166846.5999999</v>
      </c>
      <c r="J97">
        <f t="shared" si="92"/>
        <v>6.6367759013991256E-3</v>
      </c>
      <c r="K97">
        <f t="shared" si="93"/>
        <v>6.6367759013991252</v>
      </c>
      <c r="L97">
        <f t="shared" si="94"/>
        <v>19.261935460320259</v>
      </c>
      <c r="M97">
        <f t="shared" si="95"/>
        <v>99.378600000000006</v>
      </c>
      <c r="N97">
        <f t="shared" si="96"/>
        <v>30.902546265106565</v>
      </c>
      <c r="O97">
        <f t="shared" si="97"/>
        <v>3.0610020351762461</v>
      </c>
      <c r="P97">
        <f t="shared" si="98"/>
        <v>9.8437874420869207</v>
      </c>
      <c r="Q97">
        <f t="shared" si="99"/>
        <v>0.49514350122254114</v>
      </c>
      <c r="R97">
        <f t="shared" si="100"/>
        <v>3.0815221574072629</v>
      </c>
      <c r="S97">
        <f t="shared" si="101"/>
        <v>0.45481401518699743</v>
      </c>
      <c r="T97">
        <f t="shared" si="102"/>
        <v>0.28760797055473547</v>
      </c>
      <c r="U97">
        <f t="shared" si="103"/>
        <v>344.36819876327399</v>
      </c>
      <c r="V97">
        <f t="shared" si="104"/>
        <v>30.701700222921517</v>
      </c>
      <c r="W97">
        <f t="shared" si="105"/>
        <v>29.979299999999999</v>
      </c>
      <c r="X97">
        <f t="shared" si="106"/>
        <v>4.2553867595987294</v>
      </c>
      <c r="Y97">
        <f t="shared" si="107"/>
        <v>65.60652309380427</v>
      </c>
      <c r="Z97">
        <f t="shared" si="108"/>
        <v>2.8619001341385002</v>
      </c>
      <c r="AA97">
        <f t="shared" si="109"/>
        <v>4.3622188757763505</v>
      </c>
      <c r="AB97">
        <f t="shared" si="110"/>
        <v>1.3934866254602292</v>
      </c>
      <c r="AC97">
        <f t="shared" si="111"/>
        <v>-292.68181725170143</v>
      </c>
      <c r="AD97">
        <f t="shared" si="112"/>
        <v>71.818441048425925</v>
      </c>
      <c r="AE97">
        <f t="shared" si="113"/>
        <v>5.1921848581304113</v>
      </c>
      <c r="AF97">
        <f t="shared" si="114"/>
        <v>128.69700741812892</v>
      </c>
      <c r="AG97">
        <v>3</v>
      </c>
      <c r="AH97">
        <v>1</v>
      </c>
      <c r="AI97">
        <f t="shared" si="115"/>
        <v>1</v>
      </c>
      <c r="AJ97">
        <f t="shared" si="116"/>
        <v>0</v>
      </c>
      <c r="AK97">
        <f t="shared" si="117"/>
        <v>51775.611834803771</v>
      </c>
      <c r="AL97" t="s">
        <v>431</v>
      </c>
      <c r="AM97" t="s">
        <v>431</v>
      </c>
      <c r="AN97">
        <v>0</v>
      </c>
      <c r="AO97">
        <v>0</v>
      </c>
      <c r="AP97" t="e">
        <f t="shared" si="118"/>
        <v>#DIV/0!</v>
      </c>
      <c r="AQ97">
        <v>0</v>
      </c>
      <c r="AR97" t="s">
        <v>431</v>
      </c>
      <c r="AS97" t="s">
        <v>431</v>
      </c>
      <c r="AT97">
        <v>0</v>
      </c>
      <c r="AU97">
        <v>0</v>
      </c>
      <c r="AV97" t="e">
        <f t="shared" si="119"/>
        <v>#DIV/0!</v>
      </c>
      <c r="AW97">
        <v>0.5</v>
      </c>
      <c r="AX97">
        <f t="shared" si="120"/>
        <v>1513.1840993816368</v>
      </c>
      <c r="AY97">
        <f t="shared" si="121"/>
        <v>19.261935460320259</v>
      </c>
      <c r="AZ97" t="e">
        <f t="shared" si="122"/>
        <v>#DIV/0!</v>
      </c>
      <c r="BA97">
        <f t="shared" si="123"/>
        <v>1.272940646692736E-2</v>
      </c>
      <c r="BB97" t="e">
        <f t="shared" si="124"/>
        <v>#DIV/0!</v>
      </c>
      <c r="BC97" t="e">
        <f t="shared" si="125"/>
        <v>#DIV/0!</v>
      </c>
      <c r="BD97" t="s">
        <v>431</v>
      </c>
      <c r="BE97">
        <v>0</v>
      </c>
      <c r="BF97" t="e">
        <f t="shared" si="126"/>
        <v>#DIV/0!</v>
      </c>
      <c r="BG97" t="e">
        <f t="shared" si="127"/>
        <v>#DIV/0!</v>
      </c>
      <c r="BH97" t="e">
        <f t="shared" si="128"/>
        <v>#DIV/0!</v>
      </c>
      <c r="BI97" t="e">
        <f t="shared" si="129"/>
        <v>#DIV/0!</v>
      </c>
      <c r="BJ97" t="e">
        <f t="shared" si="130"/>
        <v>#DIV/0!</v>
      </c>
      <c r="BK97" t="e">
        <f t="shared" si="131"/>
        <v>#DIV/0!</v>
      </c>
      <c r="BL97" t="e">
        <f t="shared" si="132"/>
        <v>#DIV/0!</v>
      </c>
      <c r="BM97" t="e">
        <f t="shared" si="133"/>
        <v>#DIV/0!</v>
      </c>
      <c r="BN97">
        <v>20808</v>
      </c>
      <c r="BO97">
        <v>290.00000000000011</v>
      </c>
      <c r="BP97">
        <v>732.7</v>
      </c>
      <c r="BQ97">
        <v>285</v>
      </c>
      <c r="BR97">
        <v>7148.43</v>
      </c>
      <c r="BS97">
        <v>734.02</v>
      </c>
      <c r="BT97">
        <v>-1.32</v>
      </c>
      <c r="BU97">
        <v>300.00000000000011</v>
      </c>
      <c r="BV97">
        <v>38.200000000000003</v>
      </c>
      <c r="BW97">
        <v>774.0775872581969</v>
      </c>
      <c r="BX97">
        <v>1.152515619179554</v>
      </c>
      <c r="BY97">
        <v>-28.635249106793811</v>
      </c>
      <c r="BZ97">
        <v>0.69048376052425786</v>
      </c>
      <c r="CA97">
        <v>0.98398047919717424</v>
      </c>
      <c r="CB97">
        <v>-7.0565365962180259E-3</v>
      </c>
      <c r="CC97">
        <v>289.99999999999989</v>
      </c>
      <c r="CD97">
        <v>737.62</v>
      </c>
      <c r="CE97">
        <v>885</v>
      </c>
      <c r="CF97">
        <v>7141.31</v>
      </c>
      <c r="CG97">
        <v>733.98</v>
      </c>
      <c r="CH97">
        <v>3.64</v>
      </c>
      <c r="CV97">
        <f t="shared" si="134"/>
        <v>1800</v>
      </c>
      <c r="CW97">
        <f t="shared" si="135"/>
        <v>1513.1840993816368</v>
      </c>
      <c r="CX97">
        <f t="shared" si="136"/>
        <v>0.84065783298979824</v>
      </c>
      <c r="CY97">
        <f t="shared" si="137"/>
        <v>0.19131566597959665</v>
      </c>
      <c r="CZ97">
        <v>5.18</v>
      </c>
      <c r="DA97">
        <v>0.5</v>
      </c>
      <c r="DB97" t="s">
        <v>418</v>
      </c>
      <c r="DC97">
        <v>2</v>
      </c>
      <c r="DD97">
        <v>1700166846.5999999</v>
      </c>
      <c r="DE97">
        <v>99.378600000000006</v>
      </c>
      <c r="DF97">
        <v>120.006</v>
      </c>
      <c r="DG97">
        <v>28.892499999999998</v>
      </c>
      <c r="DH97">
        <v>22.219100000000001</v>
      </c>
      <c r="DI97">
        <v>102.623</v>
      </c>
      <c r="DJ97">
        <v>28.873000000000001</v>
      </c>
      <c r="DK97">
        <v>500.27300000000002</v>
      </c>
      <c r="DL97">
        <v>98.953400000000002</v>
      </c>
      <c r="DM97">
        <v>9.9992200000000003E-2</v>
      </c>
      <c r="DN97">
        <v>30.4116</v>
      </c>
      <c r="DO97">
        <v>29.979299999999999</v>
      </c>
      <c r="DP97">
        <v>999.9</v>
      </c>
      <c r="DQ97">
        <v>0</v>
      </c>
      <c r="DR97">
        <v>0</v>
      </c>
      <c r="DS97">
        <v>10008.1</v>
      </c>
      <c r="DT97">
        <v>0</v>
      </c>
      <c r="DU97">
        <v>318.202</v>
      </c>
      <c r="DV97">
        <v>-20.627300000000002</v>
      </c>
      <c r="DW97">
        <v>102.33499999999999</v>
      </c>
      <c r="DX97">
        <v>122.733</v>
      </c>
      <c r="DY97">
        <v>6.6734200000000001</v>
      </c>
      <c r="DZ97">
        <v>120.006</v>
      </c>
      <c r="EA97">
        <v>22.219100000000001</v>
      </c>
      <c r="EB97">
        <v>2.8590100000000001</v>
      </c>
      <c r="EC97">
        <v>2.1986500000000002</v>
      </c>
      <c r="ED97">
        <v>23.2288</v>
      </c>
      <c r="EE97">
        <v>18.952500000000001</v>
      </c>
      <c r="EF97">
        <v>1800</v>
      </c>
      <c r="EG97">
        <v>0.97801000000000005</v>
      </c>
      <c r="EH97">
        <v>2.19905E-2</v>
      </c>
      <c r="EI97">
        <v>0</v>
      </c>
      <c r="EJ97">
        <v>640.44899999999996</v>
      </c>
      <c r="EK97">
        <v>5.0009399999999999</v>
      </c>
      <c r="EL97">
        <v>12196.2</v>
      </c>
      <c r="EM97">
        <v>13860.2</v>
      </c>
      <c r="EN97">
        <v>46.875</v>
      </c>
      <c r="EO97">
        <v>48.75</v>
      </c>
      <c r="EP97">
        <v>47.936999999999998</v>
      </c>
      <c r="EQ97">
        <v>48</v>
      </c>
      <c r="ER97">
        <v>48.375</v>
      </c>
      <c r="ES97">
        <v>1755.53</v>
      </c>
      <c r="ET97">
        <v>39.47</v>
      </c>
      <c r="EU97">
        <v>0</v>
      </c>
      <c r="EV97">
        <v>135</v>
      </c>
      <c r="EW97">
        <v>0</v>
      </c>
      <c r="EX97">
        <v>640.62684000000013</v>
      </c>
      <c r="EY97">
        <v>-0.44430770531770941</v>
      </c>
      <c r="EZ97">
        <v>29.08461538341545</v>
      </c>
      <c r="FA97">
        <v>12194.504000000001</v>
      </c>
      <c r="FB97">
        <v>15</v>
      </c>
      <c r="FC97">
        <v>1700166807.0999999</v>
      </c>
      <c r="FD97" t="s">
        <v>771</v>
      </c>
      <c r="FE97">
        <v>1700166807.0999999</v>
      </c>
      <c r="FF97">
        <v>1700166805.0999999</v>
      </c>
      <c r="FG97">
        <v>88</v>
      </c>
      <c r="FH97">
        <v>-1.4999999999999999E-2</v>
      </c>
      <c r="FI97">
        <v>-1.4E-2</v>
      </c>
      <c r="FJ97">
        <v>-3.32</v>
      </c>
      <c r="FK97">
        <v>1.9E-2</v>
      </c>
      <c r="FL97">
        <v>120</v>
      </c>
      <c r="FM97">
        <v>22</v>
      </c>
      <c r="FN97">
        <v>0.08</v>
      </c>
      <c r="FO97">
        <v>0.01</v>
      </c>
      <c r="FP97">
        <v>19.155176289568772</v>
      </c>
      <c r="FQ97">
        <v>0.66158941918396197</v>
      </c>
      <c r="FR97">
        <v>4.8724009121475301E-2</v>
      </c>
      <c r="FS97">
        <v>1</v>
      </c>
      <c r="FT97">
        <v>0.49103439163990509</v>
      </c>
      <c r="FU97">
        <v>4.6699326922273868E-2</v>
      </c>
      <c r="FV97">
        <v>3.5163869395057321E-3</v>
      </c>
      <c r="FW97">
        <v>1</v>
      </c>
      <c r="FX97">
        <v>2</v>
      </c>
      <c r="FY97">
        <v>2</v>
      </c>
      <c r="FZ97" t="s">
        <v>420</v>
      </c>
      <c r="GA97">
        <v>3.1193399999999998</v>
      </c>
      <c r="GB97">
        <v>2.8776899999999999</v>
      </c>
      <c r="GC97">
        <v>2.6445300000000001E-2</v>
      </c>
      <c r="GD97">
        <v>3.1165600000000002E-2</v>
      </c>
      <c r="GE97">
        <v>0.12823100000000001</v>
      </c>
      <c r="GF97">
        <v>0.10722</v>
      </c>
      <c r="GG97">
        <v>28267.3</v>
      </c>
      <c r="GH97">
        <v>28791.9</v>
      </c>
      <c r="GI97">
        <v>26742.9</v>
      </c>
      <c r="GJ97">
        <v>27445.1</v>
      </c>
      <c r="GK97">
        <v>33334.800000000003</v>
      </c>
      <c r="GL97">
        <v>34227.599999999999</v>
      </c>
      <c r="GM97">
        <v>39615.9</v>
      </c>
      <c r="GN97">
        <v>39737.4</v>
      </c>
      <c r="GO97">
        <v>1.9751799999999999</v>
      </c>
      <c r="GP97">
        <v>2.456</v>
      </c>
      <c r="GQ97">
        <v>1.47969E-2</v>
      </c>
      <c r="GR97">
        <v>0</v>
      </c>
      <c r="GS97">
        <v>29.738399999999999</v>
      </c>
      <c r="GT97">
        <v>999.9</v>
      </c>
      <c r="GU97">
        <v>32.700000000000003</v>
      </c>
      <c r="GV97">
        <v>42.5</v>
      </c>
      <c r="GW97">
        <v>27.967400000000001</v>
      </c>
      <c r="GX97">
        <v>63.010899999999999</v>
      </c>
      <c r="GY97">
        <v>6.99519</v>
      </c>
      <c r="GZ97">
        <v>3</v>
      </c>
      <c r="HA97">
        <v>0.49223299999999998</v>
      </c>
      <c r="HB97">
        <v>1.1387100000000001</v>
      </c>
      <c r="HC97">
        <v>20.299900000000001</v>
      </c>
      <c r="HD97">
        <v>5.2120499999999996</v>
      </c>
      <c r="HE97">
        <v>11.908099999999999</v>
      </c>
      <c r="HF97">
        <v>4.9967499999999996</v>
      </c>
      <c r="HG97">
        <v>3.3025500000000001</v>
      </c>
      <c r="HH97">
        <v>9999</v>
      </c>
      <c r="HI97">
        <v>9999</v>
      </c>
      <c r="HJ97">
        <v>9999</v>
      </c>
      <c r="HK97">
        <v>999.9</v>
      </c>
      <c r="HL97">
        <v>1.88473</v>
      </c>
      <c r="HM97">
        <v>1.8852599999999999</v>
      </c>
      <c r="HN97">
        <v>1.8813200000000001</v>
      </c>
      <c r="HO97">
        <v>1.88293</v>
      </c>
      <c r="HP97">
        <v>1.87988</v>
      </c>
      <c r="HQ97">
        <v>1.8833899999999999</v>
      </c>
      <c r="HR97">
        <v>1.8792899999999999</v>
      </c>
      <c r="HS97">
        <v>1.8815599999999999</v>
      </c>
      <c r="HT97">
        <v>5</v>
      </c>
      <c r="HU97">
        <v>0</v>
      </c>
      <c r="HV97">
        <v>0</v>
      </c>
      <c r="HW97">
        <v>0</v>
      </c>
      <c r="HX97" t="s">
        <v>421</v>
      </c>
      <c r="HY97" t="s">
        <v>422</v>
      </c>
      <c r="HZ97" t="s">
        <v>423</v>
      </c>
      <c r="IA97" t="s">
        <v>423</v>
      </c>
      <c r="IB97" t="s">
        <v>423</v>
      </c>
      <c r="IC97" t="s">
        <v>423</v>
      </c>
      <c r="ID97">
        <v>0</v>
      </c>
      <c r="IE97">
        <v>100</v>
      </c>
      <c r="IF97">
        <v>100</v>
      </c>
      <c r="IG97">
        <v>-3.2440000000000002</v>
      </c>
      <c r="IH97">
        <v>1.95E-2</v>
      </c>
      <c r="II97">
        <v>-2.861848145859808</v>
      </c>
      <c r="IJ97">
        <v>-3.7794827560518689E-3</v>
      </c>
      <c r="IK97">
        <v>4.9551128961100493E-7</v>
      </c>
      <c r="IL97">
        <v>1.3680294268397379E-10</v>
      </c>
      <c r="IM97">
        <v>1.9538419565078069E-2</v>
      </c>
      <c r="IN97">
        <v>0</v>
      </c>
      <c r="IO97">
        <v>0</v>
      </c>
      <c r="IP97">
        <v>0</v>
      </c>
      <c r="IQ97">
        <v>4</v>
      </c>
      <c r="IR97">
        <v>2229</v>
      </c>
      <c r="IS97">
        <v>1</v>
      </c>
      <c r="IT97">
        <v>22</v>
      </c>
      <c r="IU97">
        <v>0.7</v>
      </c>
      <c r="IV97">
        <v>0.7</v>
      </c>
      <c r="IW97">
        <v>0.59326199999999996</v>
      </c>
      <c r="IX97">
        <v>2.5988799999999999</v>
      </c>
      <c r="IY97">
        <v>2.9956100000000001</v>
      </c>
      <c r="IZ97">
        <v>2.9553199999999999</v>
      </c>
      <c r="JA97">
        <v>3.1970200000000002</v>
      </c>
      <c r="JB97">
        <v>2.49146</v>
      </c>
      <c r="JC97">
        <v>44.9786</v>
      </c>
      <c r="JD97">
        <v>23.754799999999999</v>
      </c>
      <c r="JE97">
        <v>18</v>
      </c>
      <c r="JF97">
        <v>516.15899999999999</v>
      </c>
      <c r="JG97">
        <v>1131.01</v>
      </c>
      <c r="JH97">
        <v>26.477</v>
      </c>
      <c r="JI97">
        <v>33.365099999999998</v>
      </c>
      <c r="JJ97">
        <v>29.997699999999998</v>
      </c>
      <c r="JK97">
        <v>33.367400000000004</v>
      </c>
      <c r="JL97">
        <v>33.284799999999997</v>
      </c>
      <c r="JM97">
        <v>11.893000000000001</v>
      </c>
      <c r="JN97">
        <v>17.226400000000002</v>
      </c>
      <c r="JO97">
        <v>21.096900000000002</v>
      </c>
      <c r="JP97">
        <v>26.666599999999999</v>
      </c>
      <c r="JQ97">
        <v>120</v>
      </c>
      <c r="JR97">
        <v>22.145199999999999</v>
      </c>
      <c r="JS97">
        <v>98.750699999999995</v>
      </c>
      <c r="JT97">
        <v>97.226200000000006</v>
      </c>
    </row>
    <row r="98" spans="1:280" x14ac:dyDescent="0.25">
      <c r="A98">
        <v>82</v>
      </c>
      <c r="B98">
        <v>1700166973.5</v>
      </c>
      <c r="C98">
        <v>17992</v>
      </c>
      <c r="D98" t="s">
        <v>772</v>
      </c>
      <c r="E98" t="s">
        <v>773</v>
      </c>
      <c r="F98" t="s">
        <v>412</v>
      </c>
      <c r="G98" t="s">
        <v>544</v>
      </c>
      <c r="H98" t="s">
        <v>726</v>
      </c>
      <c r="I98">
        <v>1700166973.5</v>
      </c>
      <c r="J98">
        <f t="shared" si="92"/>
        <v>7.1589808799787207E-3</v>
      </c>
      <c r="K98">
        <f t="shared" si="93"/>
        <v>7.1589808799787207</v>
      </c>
      <c r="L98">
        <f t="shared" si="94"/>
        <v>12.119016459215352</v>
      </c>
      <c r="M98">
        <f t="shared" si="95"/>
        <v>57.035400000000003</v>
      </c>
      <c r="N98">
        <f t="shared" si="96"/>
        <v>17.293240932060083</v>
      </c>
      <c r="O98">
        <f t="shared" si="97"/>
        <v>1.7129223430545331</v>
      </c>
      <c r="P98">
        <f t="shared" si="98"/>
        <v>5.6494448547195599</v>
      </c>
      <c r="Q98">
        <f t="shared" si="99"/>
        <v>0.53990366492286146</v>
      </c>
      <c r="R98">
        <f t="shared" si="100"/>
        <v>3.0823380100174314</v>
      </c>
      <c r="S98">
        <f t="shared" si="101"/>
        <v>0.49233948199314964</v>
      </c>
      <c r="T98">
        <f t="shared" si="102"/>
        <v>0.31163568888334825</v>
      </c>
      <c r="U98">
        <f t="shared" si="103"/>
        <v>344.32451192152331</v>
      </c>
      <c r="V98">
        <f t="shared" si="104"/>
        <v>30.616654368725442</v>
      </c>
      <c r="W98">
        <f t="shared" si="105"/>
        <v>29.953299999999999</v>
      </c>
      <c r="X98">
        <f t="shared" si="106"/>
        <v>4.2490348498207151</v>
      </c>
      <c r="Y98">
        <f t="shared" si="107"/>
        <v>65.406200856039675</v>
      </c>
      <c r="Z98">
        <f t="shared" si="108"/>
        <v>2.8604404167946198</v>
      </c>
      <c r="AA98">
        <f t="shared" si="109"/>
        <v>4.3733474492586799</v>
      </c>
      <c r="AB98">
        <f t="shared" si="110"/>
        <v>1.3885944330260953</v>
      </c>
      <c r="AC98">
        <f t="shared" si="111"/>
        <v>-315.7110568070616</v>
      </c>
      <c r="AD98">
        <f t="shared" si="112"/>
        <v>83.55279341705895</v>
      </c>
      <c r="AE98">
        <f t="shared" si="113"/>
        <v>6.0394863756876553</v>
      </c>
      <c r="AF98">
        <f t="shared" si="114"/>
        <v>118.20573490720832</v>
      </c>
      <c r="AG98">
        <v>3</v>
      </c>
      <c r="AH98">
        <v>1</v>
      </c>
      <c r="AI98">
        <f t="shared" si="115"/>
        <v>1</v>
      </c>
      <c r="AJ98">
        <f t="shared" si="116"/>
        <v>0</v>
      </c>
      <c r="AK98">
        <f t="shared" si="117"/>
        <v>51789.109941207564</v>
      </c>
      <c r="AL98" t="s">
        <v>415</v>
      </c>
      <c r="AM98">
        <v>7133.88</v>
      </c>
      <c r="AN98">
        <v>306.28384615384618</v>
      </c>
      <c r="AO98">
        <v>859.63916333292491</v>
      </c>
      <c r="AP98">
        <f t="shared" si="118"/>
        <v>0.64370650010133712</v>
      </c>
      <c r="AQ98">
        <v>-0.73746743666429193</v>
      </c>
      <c r="AR98" t="s">
        <v>774</v>
      </c>
      <c r="AS98">
        <v>7148.34</v>
      </c>
      <c r="AT98">
        <v>655.83979999999997</v>
      </c>
      <c r="AU98">
        <v>734.9619829368412</v>
      </c>
      <c r="AV98">
        <f t="shared" si="119"/>
        <v>0.10765479681095369</v>
      </c>
      <c r="AW98">
        <v>0.5</v>
      </c>
      <c r="AX98">
        <f t="shared" si="120"/>
        <v>1512.9909059607614</v>
      </c>
      <c r="AY98">
        <f t="shared" si="121"/>
        <v>12.119016459215352</v>
      </c>
      <c r="AZ98">
        <f t="shared" si="122"/>
        <v>81.440364279013252</v>
      </c>
      <c r="BA98">
        <f t="shared" si="123"/>
        <v>8.4973966764959989E-3</v>
      </c>
      <c r="BB98">
        <f t="shared" si="124"/>
        <v>0.16963759118245145</v>
      </c>
      <c r="BC98">
        <f t="shared" si="125"/>
        <v>288.82692415045943</v>
      </c>
      <c r="BD98" t="s">
        <v>775</v>
      </c>
      <c r="BE98">
        <v>445.47</v>
      </c>
      <c r="BF98">
        <f t="shared" si="126"/>
        <v>445.47</v>
      </c>
      <c r="BG98">
        <f t="shared" si="127"/>
        <v>0.39388701682236349</v>
      </c>
      <c r="BH98">
        <f t="shared" si="128"/>
        <v>0.27331390021292373</v>
      </c>
      <c r="BI98">
        <f t="shared" si="129"/>
        <v>0.30102960682242647</v>
      </c>
      <c r="BJ98">
        <f t="shared" si="130"/>
        <v>0.18457247092331741</v>
      </c>
      <c r="BK98">
        <f t="shared" si="131"/>
        <v>0.22531125395463628</v>
      </c>
      <c r="BL98">
        <f t="shared" si="132"/>
        <v>0.18564463932785286</v>
      </c>
      <c r="BM98">
        <f t="shared" si="133"/>
        <v>0.8143553606721472</v>
      </c>
      <c r="BN98">
        <v>20810</v>
      </c>
      <c r="BO98">
        <v>290.00000000000011</v>
      </c>
      <c r="BP98">
        <v>715.73</v>
      </c>
      <c r="BQ98">
        <v>295</v>
      </c>
      <c r="BR98">
        <v>7148.34</v>
      </c>
      <c r="BS98">
        <v>716.29</v>
      </c>
      <c r="BT98">
        <v>-0.56000000000000005</v>
      </c>
      <c r="BU98">
        <v>300.00000000000011</v>
      </c>
      <c r="BV98">
        <v>38.200000000000003</v>
      </c>
      <c r="BW98">
        <v>734.9619829368412</v>
      </c>
      <c r="BX98">
        <v>1.0137190677374091</v>
      </c>
      <c r="BY98">
        <v>-13.347870808996721</v>
      </c>
      <c r="BZ98">
        <v>0.60732659793221366</v>
      </c>
      <c r="CA98">
        <v>0.94520932595927276</v>
      </c>
      <c r="CB98">
        <v>-7.0563412680756336E-3</v>
      </c>
      <c r="CC98">
        <v>289.99999999999989</v>
      </c>
      <c r="CD98">
        <v>718.2</v>
      </c>
      <c r="CE98">
        <v>825</v>
      </c>
      <c r="CF98">
        <v>7141.96</v>
      </c>
      <c r="CG98">
        <v>716.27</v>
      </c>
      <c r="CH98">
        <v>1.93</v>
      </c>
      <c r="CV98">
        <f t="shared" si="134"/>
        <v>1799.77</v>
      </c>
      <c r="CW98">
        <f t="shared" si="135"/>
        <v>1512.9909059607614</v>
      </c>
      <c r="CX98">
        <f t="shared" si="136"/>
        <v>0.84065792071251411</v>
      </c>
      <c r="CY98">
        <f t="shared" si="137"/>
        <v>0.19131584142502836</v>
      </c>
      <c r="CZ98">
        <v>5.18</v>
      </c>
      <c r="DA98">
        <v>0.5</v>
      </c>
      <c r="DB98" t="s">
        <v>418</v>
      </c>
      <c r="DC98">
        <v>2</v>
      </c>
      <c r="DD98">
        <v>1700166973.5</v>
      </c>
      <c r="DE98">
        <v>57.035400000000003</v>
      </c>
      <c r="DF98">
        <v>70.018000000000001</v>
      </c>
      <c r="DG98">
        <v>28.878299999999999</v>
      </c>
      <c r="DH98">
        <v>21.673400000000001</v>
      </c>
      <c r="DI98">
        <v>60.264600000000002</v>
      </c>
      <c r="DJ98">
        <v>28.858499999999999</v>
      </c>
      <c r="DK98">
        <v>499.83499999999998</v>
      </c>
      <c r="DL98">
        <v>98.951999999999998</v>
      </c>
      <c r="DM98">
        <v>9.9551399999999998E-2</v>
      </c>
      <c r="DN98">
        <v>30.456099999999999</v>
      </c>
      <c r="DO98">
        <v>29.953299999999999</v>
      </c>
      <c r="DP98">
        <v>999.9</v>
      </c>
      <c r="DQ98">
        <v>0</v>
      </c>
      <c r="DR98">
        <v>0</v>
      </c>
      <c r="DS98">
        <v>10012.5</v>
      </c>
      <c r="DT98">
        <v>0</v>
      </c>
      <c r="DU98">
        <v>320.42399999999998</v>
      </c>
      <c r="DV98">
        <v>-12.982699999999999</v>
      </c>
      <c r="DW98">
        <v>58.731400000000001</v>
      </c>
      <c r="DX98">
        <v>71.569199999999995</v>
      </c>
      <c r="DY98">
        <v>7.2049099999999999</v>
      </c>
      <c r="DZ98">
        <v>70.018000000000001</v>
      </c>
      <c r="EA98">
        <v>21.673400000000001</v>
      </c>
      <c r="EB98">
        <v>2.8575699999999999</v>
      </c>
      <c r="EC98">
        <v>2.1446200000000002</v>
      </c>
      <c r="ED98">
        <v>23.220400000000001</v>
      </c>
      <c r="EE98">
        <v>18.554600000000001</v>
      </c>
      <c r="EF98">
        <v>1799.77</v>
      </c>
      <c r="EG98">
        <v>0.97800600000000004</v>
      </c>
      <c r="EH98">
        <v>2.1994199999999998E-2</v>
      </c>
      <c r="EI98">
        <v>0</v>
      </c>
      <c r="EJ98">
        <v>655.61199999999997</v>
      </c>
      <c r="EK98">
        <v>5.0009399999999999</v>
      </c>
      <c r="EL98">
        <v>12460.9</v>
      </c>
      <c r="EM98">
        <v>13858.4</v>
      </c>
      <c r="EN98">
        <v>46.875</v>
      </c>
      <c r="EO98">
        <v>48.75</v>
      </c>
      <c r="EP98">
        <v>47.936999999999998</v>
      </c>
      <c r="EQ98">
        <v>48</v>
      </c>
      <c r="ER98">
        <v>48.375</v>
      </c>
      <c r="ES98">
        <v>1755.29</v>
      </c>
      <c r="ET98">
        <v>39.47</v>
      </c>
      <c r="EU98">
        <v>0</v>
      </c>
      <c r="EV98">
        <v>262.20000004768372</v>
      </c>
      <c r="EW98">
        <v>0</v>
      </c>
      <c r="EX98">
        <v>655.83979999999997</v>
      </c>
      <c r="EY98">
        <v>-0.31323076610825551</v>
      </c>
      <c r="EZ98">
        <v>2.1076922902937172</v>
      </c>
      <c r="FA98">
        <v>12461.82</v>
      </c>
      <c r="FB98">
        <v>15</v>
      </c>
      <c r="FC98">
        <v>1700166939.5</v>
      </c>
      <c r="FD98" t="s">
        <v>776</v>
      </c>
      <c r="FE98">
        <v>1700166939.5</v>
      </c>
      <c r="FF98">
        <v>1700166937.5</v>
      </c>
      <c r="FG98">
        <v>89</v>
      </c>
      <c r="FH98">
        <v>-0.14099999999999999</v>
      </c>
      <c r="FI98">
        <v>0</v>
      </c>
      <c r="FJ98">
        <v>-3.2770000000000001</v>
      </c>
      <c r="FK98">
        <v>8.9999999999999993E-3</v>
      </c>
      <c r="FL98">
        <v>70</v>
      </c>
      <c r="FM98">
        <v>22</v>
      </c>
      <c r="FN98">
        <v>0.09</v>
      </c>
      <c r="FO98">
        <v>0.02</v>
      </c>
      <c r="FP98">
        <v>12.131557859181539</v>
      </c>
      <c r="FQ98">
        <v>-0.18986596727589419</v>
      </c>
      <c r="FR98">
        <v>3.1541751952419157E-2</v>
      </c>
      <c r="FS98">
        <v>1</v>
      </c>
      <c r="FT98">
        <v>0.53929007548364449</v>
      </c>
      <c r="FU98">
        <v>3.8767761013647907E-2</v>
      </c>
      <c r="FV98">
        <v>4.2555031969465987E-3</v>
      </c>
      <c r="FW98">
        <v>1</v>
      </c>
      <c r="FX98">
        <v>2</v>
      </c>
      <c r="FY98">
        <v>2</v>
      </c>
      <c r="FZ98" t="s">
        <v>420</v>
      </c>
      <c r="GA98">
        <v>3.1187100000000001</v>
      </c>
      <c r="GB98">
        <v>2.8772799999999998</v>
      </c>
      <c r="GC98">
        <v>1.5800499999999999E-2</v>
      </c>
      <c r="GD98">
        <v>1.8614700000000001E-2</v>
      </c>
      <c r="GE98">
        <v>0.128192</v>
      </c>
      <c r="GF98">
        <v>0.105322</v>
      </c>
      <c r="GG98">
        <v>28579</v>
      </c>
      <c r="GH98">
        <v>29168.6</v>
      </c>
      <c r="GI98">
        <v>26745.599999999999</v>
      </c>
      <c r="GJ98">
        <v>27448.9</v>
      </c>
      <c r="GK98">
        <v>33338.5</v>
      </c>
      <c r="GL98">
        <v>34303.5</v>
      </c>
      <c r="GM98">
        <v>39619.699999999997</v>
      </c>
      <c r="GN98">
        <v>39742.1</v>
      </c>
      <c r="GO98">
        <v>1.9748000000000001</v>
      </c>
      <c r="GP98">
        <v>2.4594999999999998</v>
      </c>
      <c r="GQ98">
        <v>2.05562E-2</v>
      </c>
      <c r="GR98">
        <v>0</v>
      </c>
      <c r="GS98">
        <v>29.618600000000001</v>
      </c>
      <c r="GT98">
        <v>999.9</v>
      </c>
      <c r="GU98">
        <v>32.5</v>
      </c>
      <c r="GV98">
        <v>42.4</v>
      </c>
      <c r="GW98">
        <v>27.6509</v>
      </c>
      <c r="GX98">
        <v>63.061</v>
      </c>
      <c r="GY98">
        <v>7.1314099999999998</v>
      </c>
      <c r="GZ98">
        <v>3</v>
      </c>
      <c r="HA98">
        <v>0.48860799999999999</v>
      </c>
      <c r="HB98">
        <v>2.0705499999999999</v>
      </c>
      <c r="HC98">
        <v>20.2913</v>
      </c>
      <c r="HD98">
        <v>5.2130999999999998</v>
      </c>
      <c r="HE98">
        <v>11.908099999999999</v>
      </c>
      <c r="HF98">
        <v>4.9965000000000002</v>
      </c>
      <c r="HG98">
        <v>3.3023799999999999</v>
      </c>
      <c r="HH98">
        <v>9999</v>
      </c>
      <c r="HI98">
        <v>9999</v>
      </c>
      <c r="HJ98">
        <v>9999</v>
      </c>
      <c r="HK98">
        <v>999.9</v>
      </c>
      <c r="HL98">
        <v>1.88472</v>
      </c>
      <c r="HM98">
        <v>1.88523</v>
      </c>
      <c r="HN98">
        <v>1.8813</v>
      </c>
      <c r="HO98">
        <v>1.8829400000000001</v>
      </c>
      <c r="HP98">
        <v>1.87988</v>
      </c>
      <c r="HQ98">
        <v>1.8833899999999999</v>
      </c>
      <c r="HR98">
        <v>1.8792899999999999</v>
      </c>
      <c r="HS98">
        <v>1.8815599999999999</v>
      </c>
      <c r="HT98">
        <v>5</v>
      </c>
      <c r="HU98">
        <v>0</v>
      </c>
      <c r="HV98">
        <v>0</v>
      </c>
      <c r="HW98">
        <v>0</v>
      </c>
      <c r="HX98" t="s">
        <v>421</v>
      </c>
      <c r="HY98" t="s">
        <v>422</v>
      </c>
      <c r="HZ98" t="s">
        <v>423</v>
      </c>
      <c r="IA98" t="s">
        <v>423</v>
      </c>
      <c r="IB98" t="s">
        <v>423</v>
      </c>
      <c r="IC98" t="s">
        <v>423</v>
      </c>
      <c r="ID98">
        <v>0</v>
      </c>
      <c r="IE98">
        <v>100</v>
      </c>
      <c r="IF98">
        <v>100</v>
      </c>
      <c r="IG98">
        <v>-3.2290000000000001</v>
      </c>
      <c r="IH98">
        <v>1.9800000000000002E-2</v>
      </c>
      <c r="II98">
        <v>-3.0032530801945732</v>
      </c>
      <c r="IJ98">
        <v>-3.7794827560518689E-3</v>
      </c>
      <c r="IK98">
        <v>4.9551128961100493E-7</v>
      </c>
      <c r="IL98">
        <v>1.3680294268397379E-10</v>
      </c>
      <c r="IM98">
        <v>1.9744251610229881E-2</v>
      </c>
      <c r="IN98">
        <v>0</v>
      </c>
      <c r="IO98">
        <v>0</v>
      </c>
      <c r="IP98">
        <v>0</v>
      </c>
      <c r="IQ98">
        <v>4</v>
      </c>
      <c r="IR98">
        <v>2229</v>
      </c>
      <c r="IS98">
        <v>1</v>
      </c>
      <c r="IT98">
        <v>22</v>
      </c>
      <c r="IU98">
        <v>0.6</v>
      </c>
      <c r="IV98">
        <v>0.6</v>
      </c>
      <c r="IW98">
        <v>0.41381800000000002</v>
      </c>
      <c r="IX98">
        <v>2.6098599999999998</v>
      </c>
      <c r="IY98">
        <v>2.9956100000000001</v>
      </c>
      <c r="IZ98">
        <v>2.9589799999999999</v>
      </c>
      <c r="JA98">
        <v>3.1970200000000002</v>
      </c>
      <c r="JB98">
        <v>2.4841299999999999</v>
      </c>
      <c r="JC98">
        <v>44.922199999999997</v>
      </c>
      <c r="JD98">
        <v>23.763500000000001</v>
      </c>
      <c r="JE98">
        <v>18</v>
      </c>
      <c r="JF98">
        <v>515.72799999999995</v>
      </c>
      <c r="JG98">
        <v>1135.24</v>
      </c>
      <c r="JH98">
        <v>26.767900000000001</v>
      </c>
      <c r="JI98">
        <v>33.332900000000002</v>
      </c>
      <c r="JJ98">
        <v>29.999600000000001</v>
      </c>
      <c r="JK98">
        <v>33.343499999999999</v>
      </c>
      <c r="JL98">
        <v>33.258200000000002</v>
      </c>
      <c r="JM98">
        <v>8.2974499999999995</v>
      </c>
      <c r="JN98">
        <v>18.677800000000001</v>
      </c>
      <c r="JO98">
        <v>20.179400000000001</v>
      </c>
      <c r="JP98">
        <v>26.799499999999998</v>
      </c>
      <c r="JQ98">
        <v>70</v>
      </c>
      <c r="JR98">
        <v>21.5459</v>
      </c>
      <c r="JS98">
        <v>98.760300000000001</v>
      </c>
      <c r="JT98">
        <v>97.238500000000002</v>
      </c>
    </row>
    <row r="99" spans="1:280" x14ac:dyDescent="0.25">
      <c r="A99">
        <v>83</v>
      </c>
      <c r="B99">
        <v>1700167103</v>
      </c>
      <c r="C99">
        <v>18121.5</v>
      </c>
      <c r="D99" t="s">
        <v>777</v>
      </c>
      <c r="E99" t="s">
        <v>778</v>
      </c>
      <c r="F99" t="s">
        <v>412</v>
      </c>
      <c r="G99" t="s">
        <v>544</v>
      </c>
      <c r="H99" t="s">
        <v>726</v>
      </c>
      <c r="I99">
        <v>1700167103</v>
      </c>
      <c r="J99">
        <f t="shared" si="92"/>
        <v>7.3177248611896199E-3</v>
      </c>
      <c r="K99">
        <f t="shared" si="93"/>
        <v>7.3177248611896202</v>
      </c>
      <c r="L99">
        <f t="shared" si="94"/>
        <v>5.596374971396175</v>
      </c>
      <c r="M99">
        <f t="shared" si="95"/>
        <v>24.035499999999999</v>
      </c>
      <c r="N99">
        <f t="shared" si="96"/>
        <v>6.1291960551520086</v>
      </c>
      <c r="O99">
        <f t="shared" si="97"/>
        <v>0.60712595842728423</v>
      </c>
      <c r="P99">
        <f t="shared" si="98"/>
        <v>2.3808303474830002</v>
      </c>
      <c r="Q99">
        <f t="shared" si="99"/>
        <v>0.5533010430550872</v>
      </c>
      <c r="R99">
        <f t="shared" si="100"/>
        <v>3.0739924339881632</v>
      </c>
      <c r="S99">
        <f t="shared" si="101"/>
        <v>0.50334133294164518</v>
      </c>
      <c r="T99">
        <f t="shared" si="102"/>
        <v>0.31870024445578726</v>
      </c>
      <c r="U99">
        <f t="shared" si="103"/>
        <v>344.40479876214442</v>
      </c>
      <c r="V99">
        <f t="shared" si="104"/>
        <v>30.674223630737423</v>
      </c>
      <c r="W99">
        <f t="shared" si="105"/>
        <v>30.007300000000001</v>
      </c>
      <c r="X99">
        <f t="shared" si="106"/>
        <v>4.2622365310844108</v>
      </c>
      <c r="Y99">
        <f t="shared" si="107"/>
        <v>65.356385920645479</v>
      </c>
      <c r="Z99">
        <f t="shared" si="108"/>
        <v>2.8740239278170008</v>
      </c>
      <c r="AA99">
        <f t="shared" si="109"/>
        <v>4.3974645894688669</v>
      </c>
      <c r="AB99">
        <f t="shared" si="110"/>
        <v>1.38821260326741</v>
      </c>
      <c r="AC99">
        <f t="shared" si="111"/>
        <v>-322.71166637846221</v>
      </c>
      <c r="AD99">
        <f t="shared" si="112"/>
        <v>90.30359614712718</v>
      </c>
      <c r="AE99">
        <f t="shared" si="113"/>
        <v>6.5500414729272975</v>
      </c>
      <c r="AF99">
        <f t="shared" si="114"/>
        <v>118.54677000373671</v>
      </c>
      <c r="AG99">
        <v>3</v>
      </c>
      <c r="AH99">
        <v>1</v>
      </c>
      <c r="AI99">
        <f t="shared" si="115"/>
        <v>1</v>
      </c>
      <c r="AJ99">
        <f t="shared" si="116"/>
        <v>0</v>
      </c>
      <c r="AK99">
        <f t="shared" si="117"/>
        <v>51556.917698736506</v>
      </c>
      <c r="AL99" t="s">
        <v>431</v>
      </c>
      <c r="AM99" t="s">
        <v>431</v>
      </c>
      <c r="AN99">
        <v>0</v>
      </c>
      <c r="AO99">
        <v>0</v>
      </c>
      <c r="AP99" t="e">
        <f t="shared" si="118"/>
        <v>#DIV/0!</v>
      </c>
      <c r="AQ99">
        <v>0</v>
      </c>
      <c r="AR99" t="s">
        <v>431</v>
      </c>
      <c r="AS99" t="s">
        <v>431</v>
      </c>
      <c r="AT99">
        <v>0</v>
      </c>
      <c r="AU99">
        <v>0</v>
      </c>
      <c r="AV99" t="e">
        <f t="shared" si="119"/>
        <v>#DIV/0!</v>
      </c>
      <c r="AW99">
        <v>0.5</v>
      </c>
      <c r="AX99">
        <f t="shared" si="120"/>
        <v>1513.3364993810721</v>
      </c>
      <c r="AY99">
        <f t="shared" si="121"/>
        <v>5.596374971396175</v>
      </c>
      <c r="AZ99" t="e">
        <f t="shared" si="122"/>
        <v>#DIV/0!</v>
      </c>
      <c r="BA99">
        <f t="shared" si="123"/>
        <v>3.6980373986122673E-3</v>
      </c>
      <c r="BB99" t="e">
        <f t="shared" si="124"/>
        <v>#DIV/0!</v>
      </c>
      <c r="BC99" t="e">
        <f t="shared" si="125"/>
        <v>#DIV/0!</v>
      </c>
      <c r="BD99" t="s">
        <v>431</v>
      </c>
      <c r="BE99">
        <v>0</v>
      </c>
      <c r="BF99" t="e">
        <f t="shared" si="126"/>
        <v>#DIV/0!</v>
      </c>
      <c r="BG99" t="e">
        <f t="shared" si="127"/>
        <v>#DIV/0!</v>
      </c>
      <c r="BH99" t="e">
        <f t="shared" si="128"/>
        <v>#DIV/0!</v>
      </c>
      <c r="BI99" t="e">
        <f t="shared" si="129"/>
        <v>#DIV/0!</v>
      </c>
      <c r="BJ99" t="e">
        <f t="shared" si="130"/>
        <v>#DIV/0!</v>
      </c>
      <c r="BK99" t="e">
        <f t="shared" si="131"/>
        <v>#DIV/0!</v>
      </c>
      <c r="BL99" t="e">
        <f t="shared" si="132"/>
        <v>#DIV/0!</v>
      </c>
      <c r="BM99" t="e">
        <f t="shared" si="133"/>
        <v>#DIV/0!</v>
      </c>
      <c r="BN99">
        <v>20810</v>
      </c>
      <c r="BO99">
        <v>290.00000000000011</v>
      </c>
      <c r="BP99">
        <v>715.73</v>
      </c>
      <c r="BQ99">
        <v>295</v>
      </c>
      <c r="BR99">
        <v>7148.34</v>
      </c>
      <c r="BS99">
        <v>716.29</v>
      </c>
      <c r="BT99">
        <v>-0.56000000000000005</v>
      </c>
      <c r="BU99">
        <v>300.00000000000011</v>
      </c>
      <c r="BV99">
        <v>38.200000000000003</v>
      </c>
      <c r="BW99">
        <v>734.9619829368412</v>
      </c>
      <c r="BX99">
        <v>1.0137190677374091</v>
      </c>
      <c r="BY99">
        <v>-13.347870808996721</v>
      </c>
      <c r="BZ99">
        <v>0.60732659793221366</v>
      </c>
      <c r="CA99">
        <v>0.94520932595927276</v>
      </c>
      <c r="CB99">
        <v>-7.0563412680756336E-3</v>
      </c>
      <c r="CC99">
        <v>289.99999999999989</v>
      </c>
      <c r="CD99">
        <v>718.2</v>
      </c>
      <c r="CE99">
        <v>825</v>
      </c>
      <c r="CF99">
        <v>7141.96</v>
      </c>
      <c r="CG99">
        <v>716.27</v>
      </c>
      <c r="CH99">
        <v>1.93</v>
      </c>
      <c r="CV99">
        <f t="shared" si="134"/>
        <v>1800.18</v>
      </c>
      <c r="CW99">
        <f t="shared" si="135"/>
        <v>1513.3364993810721</v>
      </c>
      <c r="CX99">
        <f t="shared" si="136"/>
        <v>0.84065843381276995</v>
      </c>
      <c r="CY99">
        <f t="shared" si="137"/>
        <v>0.1913168676255399</v>
      </c>
      <c r="CZ99">
        <v>5.18</v>
      </c>
      <c r="DA99">
        <v>0.5</v>
      </c>
      <c r="DB99" t="s">
        <v>418</v>
      </c>
      <c r="DC99">
        <v>2</v>
      </c>
      <c r="DD99">
        <v>1700167103</v>
      </c>
      <c r="DE99">
        <v>24.035499999999999</v>
      </c>
      <c r="DF99">
        <v>30.012799999999999</v>
      </c>
      <c r="DG99">
        <v>29.014500000000002</v>
      </c>
      <c r="DH99">
        <v>21.656700000000001</v>
      </c>
      <c r="DI99">
        <v>27.131</v>
      </c>
      <c r="DJ99">
        <v>28.986499999999999</v>
      </c>
      <c r="DK99">
        <v>500.23099999999999</v>
      </c>
      <c r="DL99">
        <v>98.954400000000007</v>
      </c>
      <c r="DM99">
        <v>0.100346</v>
      </c>
      <c r="DN99">
        <v>30.552199999999999</v>
      </c>
      <c r="DO99">
        <v>30.007300000000001</v>
      </c>
      <c r="DP99">
        <v>999.9</v>
      </c>
      <c r="DQ99">
        <v>0</v>
      </c>
      <c r="DR99">
        <v>0</v>
      </c>
      <c r="DS99">
        <v>9968.75</v>
      </c>
      <c r="DT99">
        <v>0</v>
      </c>
      <c r="DU99">
        <v>300.20400000000001</v>
      </c>
      <c r="DV99">
        <v>-5.9772999999999996</v>
      </c>
      <c r="DW99">
        <v>24.753699999999998</v>
      </c>
      <c r="DX99">
        <v>30.677199999999999</v>
      </c>
      <c r="DY99">
        <v>7.3578099999999997</v>
      </c>
      <c r="DZ99">
        <v>30.012799999999999</v>
      </c>
      <c r="EA99">
        <v>21.656700000000001</v>
      </c>
      <c r="EB99">
        <v>2.8711099999999998</v>
      </c>
      <c r="EC99">
        <v>2.1430199999999999</v>
      </c>
      <c r="ED99">
        <v>23.2987</v>
      </c>
      <c r="EE99">
        <v>18.5426</v>
      </c>
      <c r="EF99">
        <v>1800.18</v>
      </c>
      <c r="EG99">
        <v>0.97799199999999997</v>
      </c>
      <c r="EH99">
        <v>2.2007599999999999E-2</v>
      </c>
      <c r="EI99">
        <v>0</v>
      </c>
      <c r="EJ99">
        <v>669.04300000000001</v>
      </c>
      <c r="EK99">
        <v>5.0009399999999999</v>
      </c>
      <c r="EL99">
        <v>12648.6</v>
      </c>
      <c r="EM99">
        <v>13861.5</v>
      </c>
      <c r="EN99">
        <v>46.811999999999998</v>
      </c>
      <c r="EO99">
        <v>48.686999999999998</v>
      </c>
      <c r="EP99">
        <v>47.936999999999998</v>
      </c>
      <c r="EQ99">
        <v>47.875</v>
      </c>
      <c r="ER99">
        <v>48.311999999999998</v>
      </c>
      <c r="ES99">
        <v>1755.67</v>
      </c>
      <c r="ET99">
        <v>39.51</v>
      </c>
      <c r="EU99">
        <v>0</v>
      </c>
      <c r="EV99">
        <v>127.4000000953674</v>
      </c>
      <c r="EW99">
        <v>0</v>
      </c>
      <c r="EX99">
        <v>669.55515384615387</v>
      </c>
      <c r="EY99">
        <v>-0.95336752951147397</v>
      </c>
      <c r="EZ99">
        <v>-37.429059916913033</v>
      </c>
      <c r="FA99">
        <v>12651.615384615379</v>
      </c>
      <c r="FB99">
        <v>15</v>
      </c>
      <c r="FC99">
        <v>1700167070</v>
      </c>
      <c r="FD99" t="s">
        <v>779</v>
      </c>
      <c r="FE99">
        <v>1700167070</v>
      </c>
      <c r="FF99">
        <v>1700167067.5</v>
      </c>
      <c r="FG99">
        <v>90</v>
      </c>
      <c r="FH99">
        <v>0.01</v>
      </c>
      <c r="FI99">
        <v>8.0000000000000002E-3</v>
      </c>
      <c r="FJ99">
        <v>-3.1179999999999999</v>
      </c>
      <c r="FK99">
        <v>8.9999999999999993E-3</v>
      </c>
      <c r="FL99">
        <v>30</v>
      </c>
      <c r="FM99">
        <v>21</v>
      </c>
      <c r="FN99">
        <v>0.17</v>
      </c>
      <c r="FO99">
        <v>0.01</v>
      </c>
      <c r="FP99">
        <v>5.5808652852387821</v>
      </c>
      <c r="FQ99">
        <v>0.2083001293784324</v>
      </c>
      <c r="FR99">
        <v>1.8123305032171109E-2</v>
      </c>
      <c r="FS99">
        <v>1</v>
      </c>
      <c r="FT99">
        <v>0.55269434298884323</v>
      </c>
      <c r="FU99">
        <v>4.2542339049486282E-2</v>
      </c>
      <c r="FV99">
        <v>3.804478539719023E-3</v>
      </c>
      <c r="FW99">
        <v>1</v>
      </c>
      <c r="FX99">
        <v>2</v>
      </c>
      <c r="FY99">
        <v>2</v>
      </c>
      <c r="FZ99" t="s">
        <v>420</v>
      </c>
      <c r="GA99">
        <v>3.11917</v>
      </c>
      <c r="GB99">
        <v>2.8776999999999999</v>
      </c>
      <c r="GC99">
        <v>7.1809700000000001E-3</v>
      </c>
      <c r="GD99">
        <v>8.0874699999999994E-3</v>
      </c>
      <c r="GE99">
        <v>0.12861600000000001</v>
      </c>
      <c r="GF99">
        <v>0.105283</v>
      </c>
      <c r="GG99">
        <v>28834.9</v>
      </c>
      <c r="GH99">
        <v>29487.599999999999</v>
      </c>
      <c r="GI99">
        <v>26750.799999999999</v>
      </c>
      <c r="GJ99">
        <v>27454.6</v>
      </c>
      <c r="GK99">
        <v>33327.800000000003</v>
      </c>
      <c r="GL99">
        <v>34310.400000000001</v>
      </c>
      <c r="GM99">
        <v>39627.800000000003</v>
      </c>
      <c r="GN99">
        <v>39749.599999999999</v>
      </c>
      <c r="GO99">
        <v>1.97637</v>
      </c>
      <c r="GP99">
        <v>2.4612500000000002</v>
      </c>
      <c r="GQ99">
        <v>2.7302699999999999E-2</v>
      </c>
      <c r="GR99">
        <v>0</v>
      </c>
      <c r="GS99">
        <v>29.562799999999999</v>
      </c>
      <c r="GT99">
        <v>999.9</v>
      </c>
      <c r="GU99">
        <v>32.299999999999997</v>
      </c>
      <c r="GV99">
        <v>42.3</v>
      </c>
      <c r="GW99">
        <v>27.334700000000002</v>
      </c>
      <c r="GX99">
        <v>63.021000000000001</v>
      </c>
      <c r="GY99">
        <v>7.0192300000000003</v>
      </c>
      <c r="GZ99">
        <v>3</v>
      </c>
      <c r="HA99">
        <v>0.47857699999999997</v>
      </c>
      <c r="HB99">
        <v>1.9417</v>
      </c>
      <c r="HC99">
        <v>20.292899999999999</v>
      </c>
      <c r="HD99">
        <v>5.2147399999999999</v>
      </c>
      <c r="HE99">
        <v>11.908099999999999</v>
      </c>
      <c r="HF99">
        <v>4.99655</v>
      </c>
      <c r="HG99">
        <v>3.30247</v>
      </c>
      <c r="HH99">
        <v>9999</v>
      </c>
      <c r="HI99">
        <v>9999</v>
      </c>
      <c r="HJ99">
        <v>9999</v>
      </c>
      <c r="HK99">
        <v>999.9</v>
      </c>
      <c r="HL99">
        <v>1.88469</v>
      </c>
      <c r="HM99">
        <v>1.8852199999999999</v>
      </c>
      <c r="HN99">
        <v>1.8813200000000001</v>
      </c>
      <c r="HO99">
        <v>1.88293</v>
      </c>
      <c r="HP99">
        <v>1.87988</v>
      </c>
      <c r="HQ99">
        <v>1.8833899999999999</v>
      </c>
      <c r="HR99">
        <v>1.87927</v>
      </c>
      <c r="HS99">
        <v>1.8815599999999999</v>
      </c>
      <c r="HT99">
        <v>5</v>
      </c>
      <c r="HU99">
        <v>0</v>
      </c>
      <c r="HV99">
        <v>0</v>
      </c>
      <c r="HW99">
        <v>0</v>
      </c>
      <c r="HX99" t="s">
        <v>421</v>
      </c>
      <c r="HY99" t="s">
        <v>422</v>
      </c>
      <c r="HZ99" t="s">
        <v>423</v>
      </c>
      <c r="IA99" t="s">
        <v>423</v>
      </c>
      <c r="IB99" t="s">
        <v>423</v>
      </c>
      <c r="IC99" t="s">
        <v>423</v>
      </c>
      <c r="ID99">
        <v>0</v>
      </c>
      <c r="IE99">
        <v>100</v>
      </c>
      <c r="IF99">
        <v>100</v>
      </c>
      <c r="IG99">
        <v>-3.0960000000000001</v>
      </c>
      <c r="IH99">
        <v>2.8000000000000001E-2</v>
      </c>
      <c r="II99">
        <v>-2.993262550899352</v>
      </c>
      <c r="IJ99">
        <v>-3.7794827560518689E-3</v>
      </c>
      <c r="IK99">
        <v>4.9551128961100493E-7</v>
      </c>
      <c r="IL99">
        <v>1.3680294268397379E-10</v>
      </c>
      <c r="IM99">
        <v>2.794027453399428E-2</v>
      </c>
      <c r="IN99">
        <v>0</v>
      </c>
      <c r="IO99">
        <v>0</v>
      </c>
      <c r="IP99">
        <v>0</v>
      </c>
      <c r="IQ99">
        <v>4</v>
      </c>
      <c r="IR99">
        <v>2229</v>
      </c>
      <c r="IS99">
        <v>1</v>
      </c>
      <c r="IT99">
        <v>22</v>
      </c>
      <c r="IU99">
        <v>0.6</v>
      </c>
      <c r="IV99">
        <v>0.6</v>
      </c>
      <c r="IW99">
        <v>0.27099600000000001</v>
      </c>
      <c r="IX99">
        <v>2.6147499999999999</v>
      </c>
      <c r="IY99">
        <v>2.9956100000000001</v>
      </c>
      <c r="IZ99">
        <v>2.9589799999999999</v>
      </c>
      <c r="JA99">
        <v>3.1970200000000002</v>
      </c>
      <c r="JB99">
        <v>2.5366200000000001</v>
      </c>
      <c r="JC99">
        <v>44.922199999999997</v>
      </c>
      <c r="JD99">
        <v>23.754799999999999</v>
      </c>
      <c r="JE99">
        <v>18</v>
      </c>
      <c r="JF99">
        <v>516.12400000000002</v>
      </c>
      <c r="JG99">
        <v>1136.3499999999999</v>
      </c>
      <c r="JH99">
        <v>27.116700000000002</v>
      </c>
      <c r="JI99">
        <v>33.229900000000001</v>
      </c>
      <c r="JJ99">
        <v>29.9998</v>
      </c>
      <c r="JK99">
        <v>33.267499999999998</v>
      </c>
      <c r="JL99">
        <v>33.1905</v>
      </c>
      <c r="JM99">
        <v>5.4326400000000001</v>
      </c>
      <c r="JN99">
        <v>17.4682</v>
      </c>
      <c r="JO99">
        <v>19.143999999999998</v>
      </c>
      <c r="JP99">
        <v>27.1187</v>
      </c>
      <c r="JQ99">
        <v>30</v>
      </c>
      <c r="JR99">
        <v>21.548500000000001</v>
      </c>
      <c r="JS99">
        <v>98.78</v>
      </c>
      <c r="JT99">
        <v>97.257499999999993</v>
      </c>
    </row>
    <row r="100" spans="1:280" x14ac:dyDescent="0.25">
      <c r="A100">
        <v>84</v>
      </c>
      <c r="B100">
        <v>1700167215</v>
      </c>
      <c r="C100">
        <v>18233.5</v>
      </c>
      <c r="D100" t="s">
        <v>780</v>
      </c>
      <c r="E100" t="s">
        <v>781</v>
      </c>
      <c r="F100" t="s">
        <v>412</v>
      </c>
      <c r="G100" t="s">
        <v>544</v>
      </c>
      <c r="H100" t="s">
        <v>726</v>
      </c>
      <c r="I100">
        <v>1700167215</v>
      </c>
      <c r="J100">
        <f t="shared" si="92"/>
        <v>7.4437006546659553E-3</v>
      </c>
      <c r="K100">
        <f t="shared" si="93"/>
        <v>7.443700654665955</v>
      </c>
      <c r="L100">
        <f t="shared" si="94"/>
        <v>2.1615028539080003</v>
      </c>
      <c r="M100">
        <f t="shared" si="95"/>
        <v>7.6938399999999998</v>
      </c>
      <c r="N100">
        <f t="shared" si="96"/>
        <v>0.92470228376667574</v>
      </c>
      <c r="O100">
        <f t="shared" si="97"/>
        <v>9.1601141294585534E-2</v>
      </c>
      <c r="P100">
        <f t="shared" si="98"/>
        <v>0.76215289754357596</v>
      </c>
      <c r="Q100">
        <f t="shared" si="99"/>
        <v>0.5632996509677709</v>
      </c>
      <c r="R100">
        <f t="shared" si="100"/>
        <v>3.080331485550329</v>
      </c>
      <c r="S100">
        <f t="shared" si="101"/>
        <v>0.51170416443894529</v>
      </c>
      <c r="T100">
        <f t="shared" si="102"/>
        <v>0.32405601278689666</v>
      </c>
      <c r="U100">
        <f t="shared" si="103"/>
        <v>344.34409876287128</v>
      </c>
      <c r="V100">
        <f t="shared" si="104"/>
        <v>30.666057451472884</v>
      </c>
      <c r="W100">
        <f t="shared" si="105"/>
        <v>30.031500000000001</v>
      </c>
      <c r="X100">
        <f t="shared" si="106"/>
        <v>4.2681644301024715</v>
      </c>
      <c r="Y100">
        <f t="shared" si="107"/>
        <v>65.384256329418307</v>
      </c>
      <c r="Z100">
        <f t="shared" si="108"/>
        <v>2.8791335523815502</v>
      </c>
      <c r="AA100">
        <f t="shared" si="109"/>
        <v>4.4034049081722806</v>
      </c>
      <c r="AB100">
        <f t="shared" si="110"/>
        <v>1.3890308777209213</v>
      </c>
      <c r="AC100">
        <f t="shared" si="111"/>
        <v>-328.26719887076865</v>
      </c>
      <c r="AD100">
        <f t="shared" si="112"/>
        <v>90.390176139964865</v>
      </c>
      <c r="AE100">
        <f t="shared" si="113"/>
        <v>6.5443760296527902</v>
      </c>
      <c r="AF100">
        <f t="shared" si="114"/>
        <v>113.01145206172026</v>
      </c>
      <c r="AG100">
        <v>3</v>
      </c>
      <c r="AH100">
        <v>1</v>
      </c>
      <c r="AI100">
        <f t="shared" si="115"/>
        <v>1</v>
      </c>
      <c r="AJ100">
        <f t="shared" si="116"/>
        <v>0</v>
      </c>
      <c r="AK100">
        <f t="shared" si="117"/>
        <v>51716.945590566495</v>
      </c>
      <c r="AL100" t="s">
        <v>415</v>
      </c>
      <c r="AM100">
        <v>7133.88</v>
      </c>
      <c r="AN100">
        <v>306.28384615384618</v>
      </c>
      <c r="AO100">
        <v>859.63916333292491</v>
      </c>
      <c r="AP100">
        <f t="shared" si="118"/>
        <v>0.64370650010133712</v>
      </c>
      <c r="AQ100">
        <v>-0.73746743666429193</v>
      </c>
      <c r="AR100" t="s">
        <v>782</v>
      </c>
      <c r="AS100">
        <v>7151.55</v>
      </c>
      <c r="AT100">
        <v>677.29415999999992</v>
      </c>
      <c r="AU100">
        <v>720.3803028275604</v>
      </c>
      <c r="AV100">
        <f t="shared" si="119"/>
        <v>5.9810273349289678E-2</v>
      </c>
      <c r="AW100">
        <v>0.5</v>
      </c>
      <c r="AX100">
        <f t="shared" si="120"/>
        <v>1513.0751993814354</v>
      </c>
      <c r="AY100">
        <f t="shared" si="121"/>
        <v>2.1615028539080003</v>
      </c>
      <c r="AZ100">
        <f t="shared" si="122"/>
        <v>45.248720636517312</v>
      </c>
      <c r="BA100">
        <f t="shared" si="123"/>
        <v>1.9159459435707021E-3</v>
      </c>
      <c r="BB100">
        <f t="shared" si="124"/>
        <v>0.19331297643586365</v>
      </c>
      <c r="BC100">
        <f t="shared" si="125"/>
        <v>286.54755198934356</v>
      </c>
      <c r="BD100" t="s">
        <v>783</v>
      </c>
      <c r="BE100">
        <v>472.58</v>
      </c>
      <c r="BF100">
        <f t="shared" si="126"/>
        <v>472.58</v>
      </c>
      <c r="BG100">
        <f t="shared" si="127"/>
        <v>0.34398539473514322</v>
      </c>
      <c r="BH100">
        <f t="shared" si="128"/>
        <v>0.17387445590630823</v>
      </c>
      <c r="BI100">
        <f t="shared" si="129"/>
        <v>0.359787013711861</v>
      </c>
      <c r="BJ100">
        <f t="shared" si="130"/>
        <v>0.10404856678479152</v>
      </c>
      <c r="BK100">
        <f t="shared" si="131"/>
        <v>0.25166264095063728</v>
      </c>
      <c r="BL100">
        <f t="shared" si="132"/>
        <v>0.12132038813416486</v>
      </c>
      <c r="BM100">
        <f t="shared" si="133"/>
        <v>0.8786796118658351</v>
      </c>
      <c r="BN100">
        <v>20812</v>
      </c>
      <c r="BO100">
        <v>290.00000000000011</v>
      </c>
      <c r="BP100">
        <v>707.03</v>
      </c>
      <c r="BQ100">
        <v>205</v>
      </c>
      <c r="BR100">
        <v>7151.55</v>
      </c>
      <c r="BS100">
        <v>706.71</v>
      </c>
      <c r="BT100">
        <v>0.32</v>
      </c>
      <c r="BU100">
        <v>300.00000000000011</v>
      </c>
      <c r="BV100">
        <v>38.200000000000003</v>
      </c>
      <c r="BW100">
        <v>720.3803028275604</v>
      </c>
      <c r="BX100">
        <v>0.8355926713433196</v>
      </c>
      <c r="BY100">
        <v>-9.7785122068103192</v>
      </c>
      <c r="BZ100">
        <v>0.50062956320824803</v>
      </c>
      <c r="CA100">
        <v>0.93162657735499832</v>
      </c>
      <c r="CB100">
        <v>-7.0566302558398254E-3</v>
      </c>
      <c r="CC100">
        <v>289.99999999999989</v>
      </c>
      <c r="CD100">
        <v>706.23</v>
      </c>
      <c r="CE100">
        <v>675</v>
      </c>
      <c r="CF100">
        <v>7144.91</v>
      </c>
      <c r="CG100">
        <v>706.69</v>
      </c>
      <c r="CH100">
        <v>-0.46</v>
      </c>
      <c r="CV100">
        <f t="shared" si="134"/>
        <v>1799.87</v>
      </c>
      <c r="CW100">
        <f t="shared" si="135"/>
        <v>1513.0751993814354</v>
      </c>
      <c r="CX100">
        <f t="shared" si="136"/>
        <v>0.84065804718198289</v>
      </c>
      <c r="CY100">
        <f t="shared" si="137"/>
        <v>0.19131609436396591</v>
      </c>
      <c r="CZ100">
        <v>5.18</v>
      </c>
      <c r="DA100">
        <v>0.5</v>
      </c>
      <c r="DB100" t="s">
        <v>418</v>
      </c>
      <c r="DC100">
        <v>2</v>
      </c>
      <c r="DD100">
        <v>1700167215</v>
      </c>
      <c r="DE100">
        <v>7.6938399999999998</v>
      </c>
      <c r="DF100">
        <v>9.9921399999999991</v>
      </c>
      <c r="DG100">
        <v>29.064499999999999</v>
      </c>
      <c r="DH100">
        <v>21.578099999999999</v>
      </c>
      <c r="DI100">
        <v>10.7766</v>
      </c>
      <c r="DJ100">
        <v>29.0379</v>
      </c>
      <c r="DK100">
        <v>500.07600000000002</v>
      </c>
      <c r="DL100">
        <v>98.9602</v>
      </c>
      <c r="DM100">
        <v>9.9943900000000002E-2</v>
      </c>
      <c r="DN100">
        <v>30.575800000000001</v>
      </c>
      <c r="DO100">
        <v>30.031500000000001</v>
      </c>
      <c r="DP100">
        <v>999.9</v>
      </c>
      <c r="DQ100">
        <v>0</v>
      </c>
      <c r="DR100">
        <v>0</v>
      </c>
      <c r="DS100">
        <v>10001.200000000001</v>
      </c>
      <c r="DT100">
        <v>0</v>
      </c>
      <c r="DU100">
        <v>293.24700000000001</v>
      </c>
      <c r="DV100">
        <v>-2.2982999999999998</v>
      </c>
      <c r="DW100">
        <v>7.92415</v>
      </c>
      <c r="DX100">
        <v>10.2125</v>
      </c>
      <c r="DY100">
        <v>7.4863499999999998</v>
      </c>
      <c r="DZ100">
        <v>9.9921399999999991</v>
      </c>
      <c r="EA100">
        <v>21.578099999999999</v>
      </c>
      <c r="EB100">
        <v>2.87622</v>
      </c>
      <c r="EC100">
        <v>2.1353800000000001</v>
      </c>
      <c r="ED100">
        <v>23.328199999999999</v>
      </c>
      <c r="EE100">
        <v>18.485499999999998</v>
      </c>
      <c r="EF100">
        <v>1799.87</v>
      </c>
      <c r="EG100">
        <v>0.97800600000000004</v>
      </c>
      <c r="EH100">
        <v>2.1994199999999998E-2</v>
      </c>
      <c r="EI100">
        <v>0</v>
      </c>
      <c r="EJ100">
        <v>677.35400000000004</v>
      </c>
      <c r="EK100">
        <v>5.0009399999999999</v>
      </c>
      <c r="EL100">
        <v>12759.8</v>
      </c>
      <c r="EM100">
        <v>13859.2</v>
      </c>
      <c r="EN100">
        <v>46.875</v>
      </c>
      <c r="EO100">
        <v>48.625</v>
      </c>
      <c r="EP100">
        <v>47.875</v>
      </c>
      <c r="EQ100">
        <v>47.875</v>
      </c>
      <c r="ER100">
        <v>48.311999999999998</v>
      </c>
      <c r="ES100">
        <v>1755.39</v>
      </c>
      <c r="ET100">
        <v>39.479999999999997</v>
      </c>
      <c r="EU100">
        <v>0</v>
      </c>
      <c r="EV100">
        <v>239.60000014305109</v>
      </c>
      <c r="EW100">
        <v>0</v>
      </c>
      <c r="EX100">
        <v>677.29415999999992</v>
      </c>
      <c r="EY100">
        <v>-0.83653844590303528</v>
      </c>
      <c r="EZ100">
        <v>-39.453846009974363</v>
      </c>
      <c r="FA100">
        <v>12765.2</v>
      </c>
      <c r="FB100">
        <v>15</v>
      </c>
      <c r="FC100">
        <v>1700167181.5</v>
      </c>
      <c r="FD100" t="s">
        <v>784</v>
      </c>
      <c r="FE100">
        <v>1700167181.5</v>
      </c>
      <c r="FF100">
        <v>1700167177.5</v>
      </c>
      <c r="FG100">
        <v>91</v>
      </c>
      <c r="FH100">
        <v>-4.9000000000000002E-2</v>
      </c>
      <c r="FI100">
        <v>-1E-3</v>
      </c>
      <c r="FJ100">
        <v>-3.0920000000000001</v>
      </c>
      <c r="FK100">
        <v>7.0000000000000001E-3</v>
      </c>
      <c r="FL100">
        <v>10</v>
      </c>
      <c r="FM100">
        <v>21</v>
      </c>
      <c r="FN100">
        <v>0.33</v>
      </c>
      <c r="FO100">
        <v>0.01</v>
      </c>
      <c r="FP100">
        <v>2.186213746483515</v>
      </c>
      <c r="FQ100">
        <v>6.8746292044613161E-2</v>
      </c>
      <c r="FR100">
        <v>1.7595787567820171E-2</v>
      </c>
      <c r="FS100">
        <v>1</v>
      </c>
      <c r="FT100">
        <v>0.56605694418720698</v>
      </c>
      <c r="FU100">
        <v>2.535874455710415E-2</v>
      </c>
      <c r="FV100">
        <v>2.5165599027839459E-3</v>
      </c>
      <c r="FW100">
        <v>1</v>
      </c>
      <c r="FX100">
        <v>2</v>
      </c>
      <c r="FY100">
        <v>2</v>
      </c>
      <c r="FZ100" t="s">
        <v>420</v>
      </c>
      <c r="GA100">
        <v>3.1189800000000001</v>
      </c>
      <c r="GB100">
        <v>2.87758</v>
      </c>
      <c r="GC100">
        <v>2.86104E-3</v>
      </c>
      <c r="GD100">
        <v>2.7044500000000002E-3</v>
      </c>
      <c r="GE100">
        <v>0.1288</v>
      </c>
      <c r="GF100">
        <v>0.10502599999999999</v>
      </c>
      <c r="GG100">
        <v>28962.7</v>
      </c>
      <c r="GH100">
        <v>29650.7</v>
      </c>
      <c r="GI100">
        <v>26752.9</v>
      </c>
      <c r="GJ100">
        <v>27457.3</v>
      </c>
      <c r="GK100">
        <v>33322</v>
      </c>
      <c r="GL100">
        <v>34322.9</v>
      </c>
      <c r="GM100">
        <v>39630</v>
      </c>
      <c r="GN100">
        <v>39753.300000000003</v>
      </c>
      <c r="GO100">
        <v>1.97722</v>
      </c>
      <c r="GP100">
        <v>2.46292</v>
      </c>
      <c r="GQ100">
        <v>2.4084000000000001E-2</v>
      </c>
      <c r="GR100">
        <v>0</v>
      </c>
      <c r="GS100">
        <v>29.639399999999998</v>
      </c>
      <c r="GT100">
        <v>999.9</v>
      </c>
      <c r="GU100">
        <v>32.299999999999997</v>
      </c>
      <c r="GV100">
        <v>42.2</v>
      </c>
      <c r="GW100">
        <v>27.192299999999999</v>
      </c>
      <c r="GX100">
        <v>62.771000000000001</v>
      </c>
      <c r="GY100">
        <v>6.9791600000000003</v>
      </c>
      <c r="GZ100">
        <v>3</v>
      </c>
      <c r="HA100">
        <v>0.47482000000000002</v>
      </c>
      <c r="HB100">
        <v>2.2870200000000001</v>
      </c>
      <c r="HC100">
        <v>20.288799999999998</v>
      </c>
      <c r="HD100">
        <v>5.2150400000000001</v>
      </c>
      <c r="HE100">
        <v>11.908099999999999</v>
      </c>
      <c r="HF100">
        <v>4.99695</v>
      </c>
      <c r="HG100">
        <v>3.3023799999999999</v>
      </c>
      <c r="HH100">
        <v>9999</v>
      </c>
      <c r="HI100">
        <v>9999</v>
      </c>
      <c r="HJ100">
        <v>9999</v>
      </c>
      <c r="HK100">
        <v>999.9</v>
      </c>
      <c r="HL100">
        <v>1.88469</v>
      </c>
      <c r="HM100">
        <v>1.8852199999999999</v>
      </c>
      <c r="HN100">
        <v>1.8812599999999999</v>
      </c>
      <c r="HO100">
        <v>1.88293</v>
      </c>
      <c r="HP100">
        <v>1.87988</v>
      </c>
      <c r="HQ100">
        <v>1.8833800000000001</v>
      </c>
      <c r="HR100">
        <v>1.87927</v>
      </c>
      <c r="HS100">
        <v>1.8815599999999999</v>
      </c>
      <c r="HT100">
        <v>5</v>
      </c>
      <c r="HU100">
        <v>0</v>
      </c>
      <c r="HV100">
        <v>0</v>
      </c>
      <c r="HW100">
        <v>0</v>
      </c>
      <c r="HX100" t="s">
        <v>421</v>
      </c>
      <c r="HY100" t="s">
        <v>422</v>
      </c>
      <c r="HZ100" t="s">
        <v>423</v>
      </c>
      <c r="IA100" t="s">
        <v>423</v>
      </c>
      <c r="IB100" t="s">
        <v>423</v>
      </c>
      <c r="IC100" t="s">
        <v>423</v>
      </c>
      <c r="ID100">
        <v>0</v>
      </c>
      <c r="IE100">
        <v>100</v>
      </c>
      <c r="IF100">
        <v>100</v>
      </c>
      <c r="IG100">
        <v>-3.0830000000000002</v>
      </c>
      <c r="IH100">
        <v>2.6599999999999999E-2</v>
      </c>
      <c r="II100">
        <v>-3.042050192633619</v>
      </c>
      <c r="IJ100">
        <v>-3.7794827560518689E-3</v>
      </c>
      <c r="IK100">
        <v>4.9551128961100493E-7</v>
      </c>
      <c r="IL100">
        <v>1.3680294268397379E-10</v>
      </c>
      <c r="IM100">
        <v>2.6563943979379469E-2</v>
      </c>
      <c r="IN100">
        <v>0</v>
      </c>
      <c r="IO100">
        <v>0</v>
      </c>
      <c r="IP100">
        <v>0</v>
      </c>
      <c r="IQ100">
        <v>4</v>
      </c>
      <c r="IR100">
        <v>2229</v>
      </c>
      <c r="IS100">
        <v>1</v>
      </c>
      <c r="IT100">
        <v>22</v>
      </c>
      <c r="IU100">
        <v>0.6</v>
      </c>
      <c r="IV100">
        <v>0.6</v>
      </c>
      <c r="IW100">
        <v>0.20019500000000001</v>
      </c>
      <c r="IX100">
        <v>2.6257299999999999</v>
      </c>
      <c r="IY100">
        <v>2.9956100000000001</v>
      </c>
      <c r="IZ100">
        <v>2.9540999999999999</v>
      </c>
      <c r="JA100">
        <v>3.1970200000000002</v>
      </c>
      <c r="JB100">
        <v>2.48047</v>
      </c>
      <c r="JC100">
        <v>44.865900000000003</v>
      </c>
      <c r="JD100">
        <v>23.754799999999999</v>
      </c>
      <c r="JE100">
        <v>18</v>
      </c>
      <c r="JF100">
        <v>516.221</v>
      </c>
      <c r="JG100">
        <v>1137.68</v>
      </c>
      <c r="JH100">
        <v>26.892600000000002</v>
      </c>
      <c r="JI100">
        <v>33.1676</v>
      </c>
      <c r="JJ100">
        <v>30.0002</v>
      </c>
      <c r="JK100">
        <v>33.212000000000003</v>
      </c>
      <c r="JL100">
        <v>33.140500000000003</v>
      </c>
      <c r="JM100">
        <v>4.0105500000000003</v>
      </c>
      <c r="JN100">
        <v>17.293299999999999</v>
      </c>
      <c r="JO100">
        <v>18.532699999999998</v>
      </c>
      <c r="JP100">
        <v>26.884899999999998</v>
      </c>
      <c r="JQ100">
        <v>10</v>
      </c>
      <c r="JR100">
        <v>21.493400000000001</v>
      </c>
      <c r="JS100">
        <v>98.7864</v>
      </c>
      <c r="JT100">
        <v>97.266800000000003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2023-11-16T20:56:56Z</dcterms:created>
  <dcterms:modified xsi:type="dcterms:W3CDTF">2023-11-16T23:53:32Z</dcterms:modified>
</cp:coreProperties>
</file>