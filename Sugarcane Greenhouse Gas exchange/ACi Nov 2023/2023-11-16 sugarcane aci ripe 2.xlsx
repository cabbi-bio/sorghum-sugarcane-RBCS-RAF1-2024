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ugarcane\2023 Nov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Y114" i="1" l="1"/>
  <c r="CX114" i="1"/>
  <c r="CV114" i="1"/>
  <c r="CW114" i="1" s="1"/>
  <c r="AX114" i="1" s="1"/>
  <c r="AZ114" i="1" s="1"/>
  <c r="BK114" i="1"/>
  <c r="BJ114" i="1"/>
  <c r="BH114" i="1"/>
  <c r="BL114" i="1" s="1"/>
  <c r="BM114" i="1" s="1"/>
  <c r="BF114" i="1"/>
  <c r="BI114" i="1" s="1"/>
  <c r="BB114" i="1"/>
  <c r="AV114" i="1"/>
  <c r="AP114" i="1"/>
  <c r="BC114" i="1" s="1"/>
  <c r="AK114" i="1"/>
  <c r="AI114" i="1" s="1"/>
  <c r="AA114" i="1"/>
  <c r="Z114" i="1"/>
  <c r="Y114" i="1" s="1"/>
  <c r="R114" i="1"/>
  <c r="CY113" i="1"/>
  <c r="CX113" i="1"/>
  <c r="CV113" i="1"/>
  <c r="CW113" i="1" s="1"/>
  <c r="AX113" i="1" s="1"/>
  <c r="AZ113" i="1" s="1"/>
  <c r="BK113" i="1"/>
  <c r="BJ113" i="1"/>
  <c r="BB113" i="1"/>
  <c r="AV113" i="1"/>
  <c r="AP113" i="1"/>
  <c r="BC113" i="1" s="1"/>
  <c r="BF113" i="1" s="1"/>
  <c r="AK113" i="1"/>
  <c r="AJ113" i="1"/>
  <c r="AI113" i="1"/>
  <c r="M113" i="1" s="1"/>
  <c r="AA113" i="1"/>
  <c r="Z113" i="1"/>
  <c r="Y113" i="1" s="1"/>
  <c r="R113" i="1"/>
  <c r="P113" i="1"/>
  <c r="L113" i="1"/>
  <c r="AY113" i="1" s="1"/>
  <c r="BA113" i="1" s="1"/>
  <c r="CY112" i="1"/>
  <c r="CX112" i="1"/>
  <c r="CV112" i="1"/>
  <c r="CW112" i="1" s="1"/>
  <c r="AX112" i="1" s="1"/>
  <c r="AZ112" i="1" s="1"/>
  <c r="BK112" i="1"/>
  <c r="BJ112" i="1"/>
  <c r="BH112" i="1"/>
  <c r="BL112" i="1" s="1"/>
  <c r="BM112" i="1" s="1"/>
  <c r="BF112" i="1"/>
  <c r="BI112" i="1" s="1"/>
  <c r="BB112" i="1"/>
  <c r="AV112" i="1"/>
  <c r="AP112" i="1"/>
  <c r="BC112" i="1" s="1"/>
  <c r="AK112" i="1"/>
  <c r="AI112" i="1" s="1"/>
  <c r="AA112" i="1"/>
  <c r="Z112" i="1"/>
  <c r="Y112" i="1" s="1"/>
  <c r="R112" i="1"/>
  <c r="CY111" i="1"/>
  <c r="CX111" i="1"/>
  <c r="CV111" i="1"/>
  <c r="CW111" i="1" s="1"/>
  <c r="AX111" i="1" s="1"/>
  <c r="AZ111" i="1" s="1"/>
  <c r="BK111" i="1"/>
  <c r="BJ111" i="1"/>
  <c r="BB111" i="1"/>
  <c r="AV111" i="1"/>
  <c r="AP111" i="1"/>
  <c r="BC111" i="1" s="1"/>
  <c r="BF111" i="1" s="1"/>
  <c r="AK111" i="1"/>
  <c r="AI111" i="1" s="1"/>
  <c r="AA111" i="1"/>
  <c r="Z111" i="1"/>
  <c r="Y111" i="1" s="1"/>
  <c r="R111" i="1"/>
  <c r="CY110" i="1"/>
  <c r="CX110" i="1"/>
  <c r="CV110" i="1"/>
  <c r="CW110" i="1" s="1"/>
  <c r="AX110" i="1" s="1"/>
  <c r="AZ110" i="1" s="1"/>
  <c r="BK110" i="1"/>
  <c r="BJ110" i="1"/>
  <c r="BF110" i="1"/>
  <c r="BI110" i="1" s="1"/>
  <c r="BB110" i="1"/>
  <c r="AV110" i="1"/>
  <c r="AP110" i="1"/>
  <c r="BC110" i="1" s="1"/>
  <c r="AK110" i="1"/>
  <c r="AI110" i="1" s="1"/>
  <c r="AA110" i="1"/>
  <c r="Z110" i="1"/>
  <c r="Y110" i="1" s="1"/>
  <c r="R110" i="1"/>
  <c r="CY109" i="1"/>
  <c r="CX109" i="1"/>
  <c r="CV109" i="1"/>
  <c r="CW109" i="1" s="1"/>
  <c r="AX109" i="1" s="1"/>
  <c r="AZ109" i="1" s="1"/>
  <c r="BK109" i="1"/>
  <c r="BJ109" i="1"/>
  <c r="BF109" i="1"/>
  <c r="BG109" i="1" s="1"/>
  <c r="BB109" i="1"/>
  <c r="AV109" i="1"/>
  <c r="AP109" i="1"/>
  <c r="BC109" i="1" s="1"/>
  <c r="AK109" i="1"/>
  <c r="AI109" i="1" s="1"/>
  <c r="AA109" i="1"/>
  <c r="Z109" i="1"/>
  <c r="Y109" i="1" s="1"/>
  <c r="R109" i="1"/>
  <c r="CY108" i="1"/>
  <c r="CX108" i="1"/>
  <c r="CV108" i="1"/>
  <c r="CW108" i="1" s="1"/>
  <c r="AX108" i="1" s="1"/>
  <c r="AZ108" i="1" s="1"/>
  <c r="BK108" i="1"/>
  <c r="BJ108" i="1"/>
  <c r="BB108" i="1"/>
  <c r="AV108" i="1"/>
  <c r="AP108" i="1"/>
  <c r="BC108" i="1" s="1"/>
  <c r="BF108" i="1" s="1"/>
  <c r="AK108" i="1"/>
  <c r="AJ108" i="1"/>
  <c r="AI108" i="1"/>
  <c r="K108" i="1" s="1"/>
  <c r="J108" i="1" s="1"/>
  <c r="AA108" i="1"/>
  <c r="Z108" i="1"/>
  <c r="Y108" i="1" s="1"/>
  <c r="R108" i="1"/>
  <c r="P108" i="1"/>
  <c r="L108" i="1"/>
  <c r="AY108" i="1" s="1"/>
  <c r="CY107" i="1"/>
  <c r="CX107" i="1"/>
  <c r="CV107" i="1"/>
  <c r="CW107" i="1" s="1"/>
  <c r="AX107" i="1" s="1"/>
  <c r="AZ107" i="1" s="1"/>
  <c r="BK107" i="1"/>
  <c r="BJ107" i="1"/>
  <c r="BH107" i="1"/>
  <c r="BL107" i="1" s="1"/>
  <c r="BM107" i="1" s="1"/>
  <c r="BF107" i="1"/>
  <c r="BI107" i="1" s="1"/>
  <c r="BB107" i="1"/>
  <c r="AV107" i="1"/>
  <c r="AP107" i="1"/>
  <c r="BC107" i="1" s="1"/>
  <c r="AK107" i="1"/>
  <c r="AI107" i="1" s="1"/>
  <c r="AA107" i="1"/>
  <c r="Z107" i="1"/>
  <c r="Y107" i="1" s="1"/>
  <c r="R107" i="1"/>
  <c r="CY106" i="1"/>
  <c r="CX106" i="1"/>
  <c r="CV106" i="1"/>
  <c r="CW106" i="1" s="1"/>
  <c r="AX106" i="1" s="1"/>
  <c r="AZ106" i="1" s="1"/>
  <c r="BK106" i="1"/>
  <c r="BJ106" i="1"/>
  <c r="BB106" i="1"/>
  <c r="AV106" i="1"/>
  <c r="AP106" i="1"/>
  <c r="BC106" i="1" s="1"/>
  <c r="BF106" i="1" s="1"/>
  <c r="AK106" i="1"/>
  <c r="AI106" i="1" s="1"/>
  <c r="AA106" i="1"/>
  <c r="Z106" i="1"/>
  <c r="Y106" i="1" s="1"/>
  <c r="R106" i="1"/>
  <c r="CY105" i="1"/>
  <c r="CX105" i="1"/>
  <c r="CV105" i="1"/>
  <c r="CW105" i="1" s="1"/>
  <c r="AX105" i="1" s="1"/>
  <c r="AZ105" i="1" s="1"/>
  <c r="BK105" i="1"/>
  <c r="BJ105" i="1"/>
  <c r="BF105" i="1"/>
  <c r="BG105" i="1" s="1"/>
  <c r="BB105" i="1"/>
  <c r="AV105" i="1"/>
  <c r="AP105" i="1"/>
  <c r="BC105" i="1" s="1"/>
  <c r="AK105" i="1"/>
  <c r="AI105" i="1" s="1"/>
  <c r="AA105" i="1"/>
  <c r="Z105" i="1"/>
  <c r="Y105" i="1" s="1"/>
  <c r="R105" i="1"/>
  <c r="CY104" i="1"/>
  <c r="CX104" i="1"/>
  <c r="CV104" i="1"/>
  <c r="CW104" i="1" s="1"/>
  <c r="AX104" i="1" s="1"/>
  <c r="AZ104" i="1" s="1"/>
  <c r="BK104" i="1"/>
  <c r="BJ104" i="1"/>
  <c r="BB104" i="1"/>
  <c r="AV104" i="1"/>
  <c r="AP104" i="1"/>
  <c r="BC104" i="1" s="1"/>
  <c r="BF104" i="1" s="1"/>
  <c r="AK104" i="1"/>
  <c r="AJ104" i="1"/>
  <c r="AI104" i="1"/>
  <c r="K104" i="1" s="1"/>
  <c r="J104" i="1" s="1"/>
  <c r="AA104" i="1"/>
  <c r="Z104" i="1"/>
  <c r="Y104" i="1" s="1"/>
  <c r="R104" i="1"/>
  <c r="P104" i="1"/>
  <c r="L104" i="1"/>
  <c r="AY104" i="1" s="1"/>
  <c r="BA104" i="1" s="1"/>
  <c r="CY103" i="1"/>
  <c r="CX103" i="1"/>
  <c r="CV103" i="1"/>
  <c r="CW103" i="1" s="1"/>
  <c r="AX103" i="1" s="1"/>
  <c r="AZ103" i="1" s="1"/>
  <c r="BK103" i="1"/>
  <c r="BJ103" i="1"/>
  <c r="BH103" i="1"/>
  <c r="BL103" i="1" s="1"/>
  <c r="BM103" i="1" s="1"/>
  <c r="BF103" i="1"/>
  <c r="BI103" i="1" s="1"/>
  <c r="BB103" i="1"/>
  <c r="AV103" i="1"/>
  <c r="AP103" i="1"/>
  <c r="BC103" i="1" s="1"/>
  <c r="AK103" i="1"/>
  <c r="AI103" i="1" s="1"/>
  <c r="AA103" i="1"/>
  <c r="Z103" i="1"/>
  <c r="Y103" i="1" s="1"/>
  <c r="R103" i="1"/>
  <c r="CY102" i="1"/>
  <c r="CX102" i="1"/>
  <c r="CV102" i="1"/>
  <c r="CW102" i="1" s="1"/>
  <c r="AX102" i="1" s="1"/>
  <c r="AZ102" i="1" s="1"/>
  <c r="BK102" i="1"/>
  <c r="BJ102" i="1"/>
  <c r="BB102" i="1"/>
  <c r="AV102" i="1"/>
  <c r="AP102" i="1"/>
  <c r="BC102" i="1" s="1"/>
  <c r="BF102" i="1" s="1"/>
  <c r="AK102" i="1"/>
  <c r="AI102" i="1" s="1"/>
  <c r="AA102" i="1"/>
  <c r="Z102" i="1"/>
  <c r="Y102" i="1" s="1"/>
  <c r="R102" i="1"/>
  <c r="CY101" i="1"/>
  <c r="CX101" i="1"/>
  <c r="CV101" i="1"/>
  <c r="CW101" i="1" s="1"/>
  <c r="AX101" i="1" s="1"/>
  <c r="AZ101" i="1" s="1"/>
  <c r="BL101" i="1"/>
  <c r="BM101" i="1" s="1"/>
  <c r="BK101" i="1"/>
  <c r="BJ101" i="1"/>
  <c r="BH101" i="1"/>
  <c r="BF101" i="1"/>
  <c r="BG101" i="1" s="1"/>
  <c r="BB101" i="1"/>
  <c r="AV101" i="1"/>
  <c r="AP101" i="1"/>
  <c r="BC101" i="1" s="1"/>
  <c r="AK101" i="1"/>
  <c r="AI101" i="1" s="1"/>
  <c r="AJ101" i="1"/>
  <c r="AA101" i="1"/>
  <c r="Z101" i="1"/>
  <c r="Y101" i="1" s="1"/>
  <c r="R101" i="1"/>
  <c r="CY100" i="1"/>
  <c r="CX100" i="1"/>
  <c r="CV100" i="1"/>
  <c r="BK100" i="1"/>
  <c r="BJ100" i="1"/>
  <c r="BF100" i="1"/>
  <c r="BB100" i="1"/>
  <c r="AV100" i="1"/>
  <c r="AP100" i="1"/>
  <c r="BC100" i="1" s="1"/>
  <c r="AK100" i="1"/>
  <c r="AJ100" i="1"/>
  <c r="AI100" i="1"/>
  <c r="K100" i="1" s="1"/>
  <c r="J100" i="1" s="1"/>
  <c r="AA100" i="1"/>
  <c r="Z100" i="1"/>
  <c r="Y100" i="1" s="1"/>
  <c r="R100" i="1"/>
  <c r="P100" i="1"/>
  <c r="L100" i="1"/>
  <c r="AY100" i="1" s="1"/>
  <c r="CY99" i="1"/>
  <c r="CX99" i="1"/>
  <c r="CV99" i="1"/>
  <c r="BL99" i="1"/>
  <c r="BM99" i="1" s="1"/>
  <c r="BK99" i="1"/>
  <c r="BJ99" i="1"/>
  <c r="BH99" i="1"/>
  <c r="BF99" i="1"/>
  <c r="BB99" i="1"/>
  <c r="AV99" i="1"/>
  <c r="AP99" i="1"/>
  <c r="BC99" i="1" s="1"/>
  <c r="AK99" i="1"/>
  <c r="AI99" i="1" s="1"/>
  <c r="AJ99" i="1" s="1"/>
  <c r="AA99" i="1"/>
  <c r="Z99" i="1"/>
  <c r="Y99" i="1" s="1"/>
  <c r="R99" i="1"/>
  <c r="L99" i="1"/>
  <c r="AY99" i="1" s="1"/>
  <c r="CY98" i="1"/>
  <c r="CX98" i="1"/>
  <c r="CV98" i="1"/>
  <c r="BK98" i="1"/>
  <c r="BJ98" i="1"/>
  <c r="BH98" i="1"/>
  <c r="BL98" i="1" s="1"/>
  <c r="BM98" i="1" s="1"/>
  <c r="BF98" i="1"/>
  <c r="BB98" i="1"/>
  <c r="AV98" i="1"/>
  <c r="AP98" i="1"/>
  <c r="BC98" i="1" s="1"/>
  <c r="AK98" i="1"/>
  <c r="AI98" i="1" s="1"/>
  <c r="AJ98" i="1"/>
  <c r="AA98" i="1"/>
  <c r="Z98" i="1"/>
  <c r="Y98" i="1" s="1"/>
  <c r="R98" i="1"/>
  <c r="CY97" i="1"/>
  <c r="CX97" i="1"/>
  <c r="CV97" i="1"/>
  <c r="BK97" i="1"/>
  <c r="BJ97" i="1"/>
  <c r="BF97" i="1"/>
  <c r="BB97" i="1"/>
  <c r="AV97" i="1"/>
  <c r="AP97" i="1"/>
  <c r="BC97" i="1" s="1"/>
  <c r="AK97" i="1"/>
  <c r="AJ97" i="1"/>
  <c r="AI97" i="1"/>
  <c r="M97" i="1" s="1"/>
  <c r="AA97" i="1"/>
  <c r="Z97" i="1"/>
  <c r="Y97" i="1"/>
  <c r="R97" i="1"/>
  <c r="P97" i="1"/>
  <c r="L97" i="1"/>
  <c r="AY97" i="1" s="1"/>
  <c r="CY96" i="1"/>
  <c r="CX96" i="1"/>
  <c r="CV96" i="1"/>
  <c r="CW96" i="1" s="1"/>
  <c r="AX96" i="1" s="1"/>
  <c r="AZ96" i="1" s="1"/>
  <c r="BK96" i="1"/>
  <c r="BJ96" i="1"/>
  <c r="BI96" i="1"/>
  <c r="BF96" i="1"/>
  <c r="BG96" i="1" s="1"/>
  <c r="BB96" i="1"/>
  <c r="AV96" i="1"/>
  <c r="AP96" i="1"/>
  <c r="BC96" i="1" s="1"/>
  <c r="AK96" i="1"/>
  <c r="AI96" i="1"/>
  <c r="M96" i="1" s="1"/>
  <c r="AA96" i="1"/>
  <c r="Z96" i="1"/>
  <c r="Y96" i="1"/>
  <c r="U96" i="1"/>
  <c r="R96" i="1"/>
  <c r="P96" i="1"/>
  <c r="L96" i="1"/>
  <c r="AY96" i="1" s="1"/>
  <c r="CY95" i="1"/>
  <c r="CX95" i="1"/>
  <c r="CW95" i="1"/>
  <c r="AX95" i="1" s="1"/>
  <c r="CV95" i="1"/>
  <c r="BK95" i="1"/>
  <c r="BJ95" i="1"/>
  <c r="BG95" i="1"/>
  <c r="BF95" i="1"/>
  <c r="BI95" i="1" s="1"/>
  <c r="BB95" i="1"/>
  <c r="AV95" i="1"/>
  <c r="AP95" i="1"/>
  <c r="BC95" i="1" s="1"/>
  <c r="AK95" i="1"/>
  <c r="AI95" i="1" s="1"/>
  <c r="AA95" i="1"/>
  <c r="Z95" i="1"/>
  <c r="Y95" i="1" s="1"/>
  <c r="U95" i="1"/>
  <c r="R95" i="1"/>
  <c r="CY94" i="1"/>
  <c r="CX94" i="1"/>
  <c r="CV94" i="1"/>
  <c r="CW94" i="1" s="1"/>
  <c r="AX94" i="1" s="1"/>
  <c r="AZ94" i="1" s="1"/>
  <c r="BK94" i="1"/>
  <c r="BJ94" i="1"/>
  <c r="BC94" i="1"/>
  <c r="BF94" i="1" s="1"/>
  <c r="BB94" i="1"/>
  <c r="AV94" i="1"/>
  <c r="AP94" i="1"/>
  <c r="AK94" i="1"/>
  <c r="AI94" i="1" s="1"/>
  <c r="AA94" i="1"/>
  <c r="Z94" i="1"/>
  <c r="R94" i="1"/>
  <c r="CY93" i="1"/>
  <c r="CX93" i="1"/>
  <c r="CV93" i="1"/>
  <c r="CW93" i="1" s="1"/>
  <c r="AX93" i="1" s="1"/>
  <c r="AZ93" i="1" s="1"/>
  <c r="BK93" i="1"/>
  <c r="BJ93" i="1"/>
  <c r="BH93" i="1"/>
  <c r="BL93" i="1" s="1"/>
  <c r="BM93" i="1" s="1"/>
  <c r="BF93" i="1"/>
  <c r="BI93" i="1" s="1"/>
  <c r="BB93" i="1"/>
  <c r="AV93" i="1"/>
  <c r="AP93" i="1"/>
  <c r="BC93" i="1" s="1"/>
  <c r="AK93" i="1"/>
  <c r="AI93" i="1"/>
  <c r="AA93" i="1"/>
  <c r="Z93" i="1"/>
  <c r="Y93" i="1"/>
  <c r="R93" i="1"/>
  <c r="CY92" i="1"/>
  <c r="U92" i="1" s="1"/>
  <c r="CX92" i="1"/>
  <c r="CW92" i="1"/>
  <c r="AX92" i="1" s="1"/>
  <c r="CV92" i="1"/>
  <c r="BK92" i="1"/>
  <c r="BJ92" i="1"/>
  <c r="BI92" i="1"/>
  <c r="BB92" i="1"/>
  <c r="AY92" i="1"/>
  <c r="BA92" i="1" s="1"/>
  <c r="AV92" i="1"/>
  <c r="AZ92" i="1" s="1"/>
  <c r="AP92" i="1"/>
  <c r="BC92" i="1" s="1"/>
  <c r="BF92" i="1" s="1"/>
  <c r="AK92" i="1"/>
  <c r="AI92" i="1"/>
  <c r="K92" i="1" s="1"/>
  <c r="J92" i="1" s="1"/>
  <c r="AA92" i="1"/>
  <c r="Z92" i="1"/>
  <c r="Y92" i="1"/>
  <c r="R92" i="1"/>
  <c r="P92" i="1"/>
  <c r="M92" i="1"/>
  <c r="L92" i="1"/>
  <c r="CY91" i="1"/>
  <c r="CX91" i="1"/>
  <c r="CW91" i="1"/>
  <c r="AX91" i="1" s="1"/>
  <c r="CV91" i="1"/>
  <c r="BK91" i="1"/>
  <c r="BJ91" i="1"/>
  <c r="BG91" i="1"/>
  <c r="BF91" i="1"/>
  <c r="BI91" i="1" s="1"/>
  <c r="BC91" i="1"/>
  <c r="BB91" i="1"/>
  <c r="AV91" i="1"/>
  <c r="AZ91" i="1" s="1"/>
  <c r="AP91" i="1"/>
  <c r="AK91" i="1"/>
  <c r="AI91" i="1" s="1"/>
  <c r="AA91" i="1"/>
  <c r="Z91" i="1"/>
  <c r="Y91" i="1" s="1"/>
  <c r="U91" i="1"/>
  <c r="R91" i="1"/>
  <c r="M91" i="1"/>
  <c r="CY90" i="1"/>
  <c r="CX90" i="1"/>
  <c r="CV90" i="1"/>
  <c r="CW90" i="1" s="1"/>
  <c r="AX90" i="1" s="1"/>
  <c r="AZ90" i="1" s="1"/>
  <c r="BK90" i="1"/>
  <c r="BJ90" i="1"/>
  <c r="BF90" i="1"/>
  <c r="BI90" i="1" s="1"/>
  <c r="BC90" i="1"/>
  <c r="BB90" i="1"/>
  <c r="AV90" i="1"/>
  <c r="AP90" i="1"/>
  <c r="AK90" i="1"/>
  <c r="AI90" i="1" s="1"/>
  <c r="AA90" i="1"/>
  <c r="Y90" i="1" s="1"/>
  <c r="Z90" i="1"/>
  <c r="R90" i="1"/>
  <c r="CY89" i="1"/>
  <c r="CX89" i="1"/>
  <c r="CV89" i="1"/>
  <c r="CW89" i="1" s="1"/>
  <c r="AX89" i="1" s="1"/>
  <c r="AZ89" i="1" s="1"/>
  <c r="BK89" i="1"/>
  <c r="BJ89" i="1"/>
  <c r="BB89" i="1"/>
  <c r="AV89" i="1"/>
  <c r="AP89" i="1"/>
  <c r="BC89" i="1" s="1"/>
  <c r="BF89" i="1" s="1"/>
  <c r="AK89" i="1"/>
  <c r="AI89" i="1"/>
  <c r="AA89" i="1"/>
  <c r="Z89" i="1"/>
  <c r="Y89" i="1"/>
  <c r="R89" i="1"/>
  <c r="CY88" i="1"/>
  <c r="U88" i="1" s="1"/>
  <c r="CX88" i="1"/>
  <c r="CW88" i="1"/>
  <c r="AX88" i="1" s="1"/>
  <c r="CV88" i="1"/>
  <c r="BK88" i="1"/>
  <c r="BJ88" i="1"/>
  <c r="BI88" i="1"/>
  <c r="BH88" i="1"/>
  <c r="BL88" i="1" s="1"/>
  <c r="BM88" i="1" s="1"/>
  <c r="BG88" i="1"/>
  <c r="BF88" i="1"/>
  <c r="BB88" i="1"/>
  <c r="AY88" i="1"/>
  <c r="BA88" i="1" s="1"/>
  <c r="AV88" i="1"/>
  <c r="AZ88" i="1" s="1"/>
  <c r="AP88" i="1"/>
  <c r="BC88" i="1" s="1"/>
  <c r="AK88" i="1"/>
  <c r="AI88" i="1"/>
  <c r="K88" i="1" s="1"/>
  <c r="J88" i="1" s="1"/>
  <c r="AA88" i="1"/>
  <c r="Z88" i="1"/>
  <c r="Y88" i="1"/>
  <c r="R88" i="1"/>
  <c r="P88" i="1"/>
  <c r="M88" i="1"/>
  <c r="L88" i="1"/>
  <c r="CY87" i="1"/>
  <c r="CX87" i="1"/>
  <c r="CW87" i="1"/>
  <c r="AX87" i="1" s="1"/>
  <c r="CV87" i="1"/>
  <c r="BK87" i="1"/>
  <c r="BJ87" i="1"/>
  <c r="BG87" i="1"/>
  <c r="BF87" i="1"/>
  <c r="BI87" i="1" s="1"/>
  <c r="BB87" i="1"/>
  <c r="AV87" i="1"/>
  <c r="AP87" i="1"/>
  <c r="BC87" i="1" s="1"/>
  <c r="AK87" i="1"/>
  <c r="AI87" i="1" s="1"/>
  <c r="AA87" i="1"/>
  <c r="Z87" i="1"/>
  <c r="Y87" i="1" s="1"/>
  <c r="U87" i="1"/>
  <c r="R87" i="1"/>
  <c r="CY86" i="1"/>
  <c r="CX86" i="1"/>
  <c r="CW86" i="1"/>
  <c r="AX86" i="1" s="1"/>
  <c r="CV86" i="1"/>
  <c r="BK86" i="1"/>
  <c r="BJ86" i="1"/>
  <c r="BG86" i="1"/>
  <c r="BF86" i="1"/>
  <c r="BI86" i="1" s="1"/>
  <c r="BC86" i="1"/>
  <c r="BB86" i="1"/>
  <c r="AV86" i="1"/>
  <c r="AP86" i="1"/>
  <c r="AK86" i="1"/>
  <c r="AI86" i="1" s="1"/>
  <c r="AJ86" i="1"/>
  <c r="AA86" i="1"/>
  <c r="Z86" i="1"/>
  <c r="Y86" i="1"/>
  <c r="U86" i="1"/>
  <c r="R86" i="1"/>
  <c r="CY85" i="1"/>
  <c r="U85" i="1" s="1"/>
  <c r="CX85" i="1"/>
  <c r="CV85" i="1"/>
  <c r="CW85" i="1" s="1"/>
  <c r="AX85" i="1" s="1"/>
  <c r="BK85" i="1"/>
  <c r="BJ85" i="1"/>
  <c r="BI85" i="1"/>
  <c r="BC85" i="1"/>
  <c r="BF85" i="1" s="1"/>
  <c r="BB85" i="1"/>
  <c r="AZ85" i="1"/>
  <c r="AV85" i="1"/>
  <c r="AP85" i="1"/>
  <c r="AK85" i="1"/>
  <c r="AI85" i="1"/>
  <c r="AA85" i="1"/>
  <c r="Z85" i="1"/>
  <c r="Y85" i="1"/>
  <c r="R85" i="1"/>
  <c r="P85" i="1"/>
  <c r="CY84" i="1"/>
  <c r="CX84" i="1"/>
  <c r="CW84" i="1"/>
  <c r="AX84" i="1" s="1"/>
  <c r="CV84" i="1"/>
  <c r="BK84" i="1"/>
  <c r="BJ84" i="1"/>
  <c r="BI84" i="1"/>
  <c r="BH84" i="1"/>
  <c r="BL84" i="1" s="1"/>
  <c r="BM84" i="1" s="1"/>
  <c r="BG84" i="1"/>
  <c r="BF84" i="1"/>
  <c r="BB84" i="1"/>
  <c r="AY84" i="1"/>
  <c r="AV84" i="1"/>
  <c r="AP84" i="1"/>
  <c r="BC84" i="1" s="1"/>
  <c r="AK84" i="1"/>
  <c r="AI84" i="1"/>
  <c r="L84" i="1" s="1"/>
  <c r="AA84" i="1"/>
  <c r="Z84" i="1"/>
  <c r="Y84" i="1"/>
  <c r="U84" i="1"/>
  <c r="R84" i="1"/>
  <c r="M84" i="1"/>
  <c r="CY83" i="1"/>
  <c r="CX83" i="1"/>
  <c r="CV83" i="1"/>
  <c r="U83" i="1" s="1"/>
  <c r="BM83" i="1"/>
  <c r="BK83" i="1"/>
  <c r="BJ83" i="1"/>
  <c r="BG83" i="1"/>
  <c r="BF83" i="1"/>
  <c r="BH83" i="1" s="1"/>
  <c r="BL83" i="1" s="1"/>
  <c r="BC83" i="1"/>
  <c r="BB83" i="1"/>
  <c r="AV83" i="1"/>
  <c r="AP83" i="1"/>
  <c r="AK83" i="1"/>
  <c r="AI83" i="1" s="1"/>
  <c r="AA83" i="1"/>
  <c r="Z83" i="1"/>
  <c r="Y83" i="1" s="1"/>
  <c r="R83" i="1"/>
  <c r="M83" i="1"/>
  <c r="L83" i="1"/>
  <c r="AY83" i="1" s="1"/>
  <c r="K83" i="1"/>
  <c r="J83" i="1" s="1"/>
  <c r="CY82" i="1"/>
  <c r="CX82" i="1"/>
  <c r="CW82" i="1"/>
  <c r="AX82" i="1" s="1"/>
  <c r="CV82" i="1"/>
  <c r="BK82" i="1"/>
  <c r="BJ82" i="1"/>
  <c r="BG82" i="1"/>
  <c r="BF82" i="1"/>
  <c r="BI82" i="1" s="1"/>
  <c r="BC82" i="1"/>
  <c r="BB82" i="1"/>
  <c r="AV82" i="1"/>
  <c r="AZ82" i="1" s="1"/>
  <c r="AP82" i="1"/>
  <c r="AK82" i="1"/>
  <c r="AJ82" i="1"/>
  <c r="AI82" i="1"/>
  <c r="P82" i="1" s="1"/>
  <c r="AA82" i="1"/>
  <c r="Y82" i="1" s="1"/>
  <c r="Z82" i="1"/>
  <c r="U82" i="1"/>
  <c r="R82" i="1"/>
  <c r="L82" i="1"/>
  <c r="AY82" i="1" s="1"/>
  <c r="BA82" i="1" s="1"/>
  <c r="K82" i="1"/>
  <c r="J82" i="1" s="1"/>
  <c r="CY81" i="1"/>
  <c r="U81" i="1" s="1"/>
  <c r="CX81" i="1"/>
  <c r="CV81" i="1"/>
  <c r="CW81" i="1" s="1"/>
  <c r="AX81" i="1" s="1"/>
  <c r="AZ81" i="1" s="1"/>
  <c r="BK81" i="1"/>
  <c r="BJ81" i="1"/>
  <c r="BC81" i="1"/>
  <c r="BF81" i="1" s="1"/>
  <c r="BG81" i="1" s="1"/>
  <c r="BB81" i="1"/>
  <c r="AV81" i="1"/>
  <c r="AP81" i="1"/>
  <c r="AK81" i="1"/>
  <c r="AI81" i="1" s="1"/>
  <c r="AJ81" i="1"/>
  <c r="AA81" i="1"/>
  <c r="Z81" i="1"/>
  <c r="Y81" i="1"/>
  <c r="R81" i="1"/>
  <c r="CY80" i="1"/>
  <c r="CX80" i="1"/>
  <c r="CV80" i="1"/>
  <c r="CW80" i="1" s="1"/>
  <c r="AX80" i="1" s="1"/>
  <c r="BK80" i="1"/>
  <c r="BJ80" i="1"/>
  <c r="BF80" i="1"/>
  <c r="BI80" i="1" s="1"/>
  <c r="BC80" i="1"/>
  <c r="BB80" i="1"/>
  <c r="AV80" i="1"/>
  <c r="AZ80" i="1" s="1"/>
  <c r="AP80" i="1"/>
  <c r="AK80" i="1"/>
  <c r="AI80" i="1" s="1"/>
  <c r="AA80" i="1"/>
  <c r="Y80" i="1" s="1"/>
  <c r="Z80" i="1"/>
  <c r="R80" i="1"/>
  <c r="CY79" i="1"/>
  <c r="CX79" i="1"/>
  <c r="CW79" i="1"/>
  <c r="AX79" i="1" s="1"/>
  <c r="CV79" i="1"/>
  <c r="BK79" i="1"/>
  <c r="BJ79" i="1"/>
  <c r="BC79" i="1"/>
  <c r="BF79" i="1" s="1"/>
  <c r="BB79" i="1"/>
  <c r="AV79" i="1"/>
  <c r="AP79" i="1"/>
  <c r="AK79" i="1"/>
  <c r="AI79" i="1"/>
  <c r="AA79" i="1"/>
  <c r="Z79" i="1"/>
  <c r="Y79" i="1"/>
  <c r="U79" i="1"/>
  <c r="R79" i="1"/>
  <c r="CY78" i="1"/>
  <c r="CX78" i="1"/>
  <c r="CV78" i="1"/>
  <c r="CW78" i="1" s="1"/>
  <c r="AX78" i="1" s="1"/>
  <c r="AZ78" i="1" s="1"/>
  <c r="BK78" i="1"/>
  <c r="BJ78" i="1"/>
  <c r="BI78" i="1"/>
  <c r="BF78" i="1"/>
  <c r="BH78" i="1" s="1"/>
  <c r="BL78" i="1" s="1"/>
  <c r="BM78" i="1" s="1"/>
  <c r="BC78" i="1"/>
  <c r="BB78" i="1"/>
  <c r="AV78" i="1"/>
  <c r="AP78" i="1"/>
  <c r="AK78" i="1"/>
  <c r="AI78" i="1" s="1"/>
  <c r="AA78" i="1"/>
  <c r="Y78" i="1" s="1"/>
  <c r="Z78" i="1"/>
  <c r="R78" i="1"/>
  <c r="CY77" i="1"/>
  <c r="CX77" i="1"/>
  <c r="CW77" i="1"/>
  <c r="AX77" i="1" s="1"/>
  <c r="CV77" i="1"/>
  <c r="BK77" i="1"/>
  <c r="BJ77" i="1"/>
  <c r="BB77" i="1"/>
  <c r="AV77" i="1"/>
  <c r="AP77" i="1"/>
  <c r="BC77" i="1" s="1"/>
  <c r="BF77" i="1" s="1"/>
  <c r="AK77" i="1"/>
  <c r="AI77" i="1"/>
  <c r="L77" i="1" s="1"/>
  <c r="AY77" i="1" s="1"/>
  <c r="AA77" i="1"/>
  <c r="Z77" i="1"/>
  <c r="Y77" i="1"/>
  <c r="U77" i="1"/>
  <c r="R77" i="1"/>
  <c r="M77" i="1"/>
  <c r="CY76" i="1"/>
  <c r="CX76" i="1"/>
  <c r="CV76" i="1"/>
  <c r="CW76" i="1" s="1"/>
  <c r="AX76" i="1" s="1"/>
  <c r="AZ76" i="1" s="1"/>
  <c r="BK76" i="1"/>
  <c r="BJ76" i="1"/>
  <c r="BF76" i="1"/>
  <c r="BI76" i="1" s="1"/>
  <c r="BC76" i="1"/>
  <c r="BB76" i="1"/>
  <c r="AV76" i="1"/>
  <c r="AP76" i="1"/>
  <c r="AK76" i="1"/>
  <c r="AI76" i="1" s="1"/>
  <c r="AA76" i="1"/>
  <c r="Z76" i="1"/>
  <c r="Y76" i="1" s="1"/>
  <c r="R76" i="1"/>
  <c r="K76" i="1"/>
  <c r="J76" i="1" s="1"/>
  <c r="AC76" i="1" s="1"/>
  <c r="CY75" i="1"/>
  <c r="CX75" i="1"/>
  <c r="CW75" i="1"/>
  <c r="AX75" i="1" s="1"/>
  <c r="CV75" i="1"/>
  <c r="BL75" i="1"/>
  <c r="BM75" i="1" s="1"/>
  <c r="BK75" i="1"/>
  <c r="BJ75" i="1"/>
  <c r="BH75" i="1"/>
  <c r="BG75" i="1"/>
  <c r="BF75" i="1"/>
  <c r="BI75" i="1" s="1"/>
  <c r="BB75" i="1"/>
  <c r="AV75" i="1"/>
  <c r="AZ75" i="1" s="1"/>
  <c r="AP75" i="1"/>
  <c r="BC75" i="1" s="1"/>
  <c r="AK75" i="1"/>
  <c r="AI75" i="1"/>
  <c r="AA75" i="1"/>
  <c r="Z75" i="1"/>
  <c r="Y75" i="1"/>
  <c r="U75" i="1"/>
  <c r="R75" i="1"/>
  <c r="CY74" i="1"/>
  <c r="CX74" i="1"/>
  <c r="CV74" i="1"/>
  <c r="CW74" i="1" s="1"/>
  <c r="AX74" i="1" s="1"/>
  <c r="AZ74" i="1" s="1"/>
  <c r="BK74" i="1"/>
  <c r="BJ74" i="1"/>
  <c r="BC74" i="1"/>
  <c r="BF74" i="1" s="1"/>
  <c r="BB74" i="1"/>
  <c r="AV74" i="1"/>
  <c r="AP74" i="1"/>
  <c r="AK74" i="1"/>
  <c r="AI74" i="1" s="1"/>
  <c r="AA74" i="1"/>
  <c r="Z74" i="1"/>
  <c r="Y74" i="1" s="1"/>
  <c r="R74" i="1"/>
  <c r="CY73" i="1"/>
  <c r="CX73" i="1"/>
  <c r="CW73" i="1" s="1"/>
  <c r="AX73" i="1" s="1"/>
  <c r="CV73" i="1"/>
  <c r="BK73" i="1"/>
  <c r="BJ73" i="1"/>
  <c r="BI73" i="1"/>
  <c r="BH73" i="1"/>
  <c r="BL73" i="1" s="1"/>
  <c r="BM73" i="1" s="1"/>
  <c r="BG73" i="1"/>
  <c r="BF73" i="1"/>
  <c r="BB73" i="1"/>
  <c r="AV73" i="1"/>
  <c r="AP73" i="1"/>
  <c r="BC73" i="1" s="1"/>
  <c r="AK73" i="1"/>
  <c r="AI73" i="1"/>
  <c r="L73" i="1" s="1"/>
  <c r="AY73" i="1" s="1"/>
  <c r="AA73" i="1"/>
  <c r="Z73" i="1"/>
  <c r="Y73" i="1"/>
  <c r="U73" i="1"/>
  <c r="R73" i="1"/>
  <c r="M73" i="1"/>
  <c r="CY72" i="1"/>
  <c r="CX72" i="1"/>
  <c r="CV72" i="1"/>
  <c r="BK72" i="1"/>
  <c r="BJ72" i="1"/>
  <c r="BC72" i="1"/>
  <c r="BF72" i="1" s="1"/>
  <c r="BB72" i="1"/>
  <c r="AY72" i="1"/>
  <c r="AV72" i="1"/>
  <c r="AP72" i="1"/>
  <c r="AK72" i="1"/>
  <c r="AI72" i="1" s="1"/>
  <c r="AA72" i="1"/>
  <c r="Z72" i="1"/>
  <c r="R72" i="1"/>
  <c r="L72" i="1"/>
  <c r="K72" i="1"/>
  <c r="J72" i="1" s="1"/>
  <c r="AC72" i="1" s="1"/>
  <c r="CY71" i="1"/>
  <c r="CX71" i="1"/>
  <c r="CW71" i="1"/>
  <c r="AX71" i="1" s="1"/>
  <c r="CV71" i="1"/>
  <c r="BL71" i="1"/>
  <c r="BM71" i="1" s="1"/>
  <c r="BK71" i="1"/>
  <c r="BJ71" i="1"/>
  <c r="BH71" i="1"/>
  <c r="BG71" i="1"/>
  <c r="BF71" i="1"/>
  <c r="BI71" i="1" s="1"/>
  <c r="BB71" i="1"/>
  <c r="AV71" i="1"/>
  <c r="AP71" i="1"/>
  <c r="BC71" i="1" s="1"/>
  <c r="AK71" i="1"/>
  <c r="AJ71" i="1"/>
  <c r="AI71" i="1"/>
  <c r="AA71" i="1"/>
  <c r="Z71" i="1"/>
  <c r="Y71" i="1" s="1"/>
  <c r="U71" i="1"/>
  <c r="R71" i="1"/>
  <c r="M71" i="1"/>
  <c r="CY70" i="1"/>
  <c r="CX70" i="1"/>
  <c r="CV70" i="1"/>
  <c r="BK70" i="1"/>
  <c r="BJ70" i="1"/>
  <c r="BB70" i="1"/>
  <c r="AV70" i="1"/>
  <c r="AP70" i="1"/>
  <c r="BC70" i="1" s="1"/>
  <c r="BF70" i="1" s="1"/>
  <c r="AK70" i="1"/>
  <c r="AI70" i="1" s="1"/>
  <c r="AA70" i="1"/>
  <c r="Z70" i="1"/>
  <c r="R70" i="1"/>
  <c r="K70" i="1"/>
  <c r="J70" i="1" s="1"/>
  <c r="AC70" i="1" s="1"/>
  <c r="CY69" i="1"/>
  <c r="CX69" i="1"/>
  <c r="CW69" i="1"/>
  <c r="AX69" i="1" s="1"/>
  <c r="CV69" i="1"/>
  <c r="BK69" i="1"/>
  <c r="BJ69" i="1"/>
  <c r="BH69" i="1"/>
  <c r="BL69" i="1" s="1"/>
  <c r="BM69" i="1" s="1"/>
  <c r="BG69" i="1"/>
  <c r="BF69" i="1"/>
  <c r="BI69" i="1" s="1"/>
  <c r="BB69" i="1"/>
  <c r="AV69" i="1"/>
  <c r="AZ69" i="1" s="1"/>
  <c r="AP69" i="1"/>
  <c r="BC69" i="1" s="1"/>
  <c r="AK69" i="1"/>
  <c r="AI69" i="1"/>
  <c r="AA69" i="1"/>
  <c r="Z69" i="1"/>
  <c r="Y69" i="1" s="1"/>
  <c r="U69" i="1"/>
  <c r="R69" i="1"/>
  <c r="CY68" i="1"/>
  <c r="CX68" i="1"/>
  <c r="CV68" i="1"/>
  <c r="BK68" i="1"/>
  <c r="BJ68" i="1"/>
  <c r="BF68" i="1"/>
  <c r="BB68" i="1"/>
  <c r="AV68" i="1"/>
  <c r="AP68" i="1"/>
  <c r="BC68" i="1" s="1"/>
  <c r="AK68" i="1"/>
  <c r="AI68" i="1" s="1"/>
  <c r="AA68" i="1"/>
  <c r="Z68" i="1"/>
  <c r="R68" i="1"/>
  <c r="CY67" i="1"/>
  <c r="CX67" i="1"/>
  <c r="CW67" i="1"/>
  <c r="CV67" i="1"/>
  <c r="BK67" i="1"/>
  <c r="BJ67" i="1"/>
  <c r="BG67" i="1"/>
  <c r="BF67" i="1"/>
  <c r="BI67" i="1" s="1"/>
  <c r="BB67" i="1"/>
  <c r="AX67" i="1"/>
  <c r="AZ67" i="1" s="1"/>
  <c r="AV67" i="1"/>
  <c r="AP67" i="1"/>
  <c r="BC67" i="1" s="1"/>
  <c r="AK67" i="1"/>
  <c r="AI67" i="1"/>
  <c r="K67" i="1" s="1"/>
  <c r="J67" i="1" s="1"/>
  <c r="AC67" i="1"/>
  <c r="AA67" i="1"/>
  <c r="Z67" i="1"/>
  <c r="Y67" i="1" s="1"/>
  <c r="U67" i="1"/>
  <c r="R67" i="1"/>
  <c r="M67" i="1"/>
  <c r="CY66" i="1"/>
  <c r="U66" i="1" s="1"/>
  <c r="CX66" i="1"/>
  <c r="CV66" i="1"/>
  <c r="BK66" i="1"/>
  <c r="BJ66" i="1"/>
  <c r="BI66" i="1"/>
  <c r="BH66" i="1"/>
  <c r="BL66" i="1" s="1"/>
  <c r="BM66" i="1" s="1"/>
  <c r="BG66" i="1"/>
  <c r="BF66" i="1"/>
  <c r="BC66" i="1"/>
  <c r="BB66" i="1"/>
  <c r="AV66" i="1"/>
  <c r="AP66" i="1"/>
  <c r="AK66" i="1"/>
  <c r="AI66" i="1"/>
  <c r="M66" i="1" s="1"/>
  <c r="AA66" i="1"/>
  <c r="Z66" i="1"/>
  <c r="Y66" i="1"/>
  <c r="R66" i="1"/>
  <c r="CY65" i="1"/>
  <c r="CX65" i="1"/>
  <c r="CV65" i="1"/>
  <c r="BK65" i="1"/>
  <c r="BJ65" i="1"/>
  <c r="BF65" i="1"/>
  <c r="BB65" i="1"/>
  <c r="AV65" i="1"/>
  <c r="AP65" i="1"/>
  <c r="BC65" i="1" s="1"/>
  <c r="AK65" i="1"/>
  <c r="AI65" i="1" s="1"/>
  <c r="AA65" i="1"/>
  <c r="Y65" i="1" s="1"/>
  <c r="Z65" i="1"/>
  <c r="R65" i="1"/>
  <c r="CY64" i="1"/>
  <c r="CX64" i="1"/>
  <c r="CW64" i="1"/>
  <c r="AX64" i="1" s="1"/>
  <c r="CV64" i="1"/>
  <c r="BL64" i="1"/>
  <c r="BM64" i="1" s="1"/>
  <c r="BK64" i="1"/>
  <c r="BJ64" i="1"/>
  <c r="BI64" i="1"/>
  <c r="BH64" i="1"/>
  <c r="BG64" i="1"/>
  <c r="BF64" i="1"/>
  <c r="BC64" i="1"/>
  <c r="BB64" i="1"/>
  <c r="AV64" i="1"/>
  <c r="AP64" i="1"/>
  <c r="AK64" i="1"/>
  <c r="AJ64" i="1"/>
  <c r="AI64" i="1"/>
  <c r="P64" i="1" s="1"/>
  <c r="AA64" i="1"/>
  <c r="Z64" i="1"/>
  <c r="Y64" i="1" s="1"/>
  <c r="U64" i="1"/>
  <c r="R64" i="1"/>
  <c r="M64" i="1"/>
  <c r="CY63" i="1"/>
  <c r="U63" i="1" s="1"/>
  <c r="CX63" i="1"/>
  <c r="CV63" i="1"/>
  <c r="CW63" i="1" s="1"/>
  <c r="AX63" i="1" s="1"/>
  <c r="AZ63" i="1" s="1"/>
  <c r="BK63" i="1"/>
  <c r="BJ63" i="1"/>
  <c r="BI63" i="1"/>
  <c r="BF63" i="1"/>
  <c r="BH63" i="1" s="1"/>
  <c r="BL63" i="1" s="1"/>
  <c r="BM63" i="1" s="1"/>
  <c r="BC63" i="1"/>
  <c r="BB63" i="1"/>
  <c r="AV63" i="1"/>
  <c r="AP63" i="1"/>
  <c r="AK63" i="1"/>
  <c r="AI63" i="1" s="1"/>
  <c r="AA63" i="1"/>
  <c r="Y63" i="1" s="1"/>
  <c r="Z63" i="1"/>
  <c r="R63" i="1"/>
  <c r="P63" i="1"/>
  <c r="CY62" i="1"/>
  <c r="CX62" i="1"/>
  <c r="CW62" i="1" s="1"/>
  <c r="AX62" i="1" s="1"/>
  <c r="CV62" i="1"/>
  <c r="BK62" i="1"/>
  <c r="BJ62" i="1"/>
  <c r="BC62" i="1"/>
  <c r="BF62" i="1" s="1"/>
  <c r="BB62" i="1"/>
  <c r="AV62" i="1"/>
  <c r="AP62" i="1"/>
  <c r="AK62" i="1"/>
  <c r="AI62" i="1"/>
  <c r="M62" i="1" s="1"/>
  <c r="AA62" i="1"/>
  <c r="Z62" i="1"/>
  <c r="Y62" i="1"/>
  <c r="U62" i="1"/>
  <c r="R62" i="1"/>
  <c r="CY61" i="1"/>
  <c r="CX61" i="1"/>
  <c r="CV61" i="1"/>
  <c r="BK61" i="1"/>
  <c r="BJ61" i="1"/>
  <c r="BF61" i="1"/>
  <c r="BB61" i="1"/>
  <c r="AV61" i="1"/>
  <c r="AP61" i="1"/>
  <c r="BC61" i="1" s="1"/>
  <c r="AK61" i="1"/>
  <c r="AI61" i="1" s="1"/>
  <c r="AA61" i="1"/>
  <c r="Y61" i="1" s="1"/>
  <c r="Z61" i="1"/>
  <c r="R61" i="1"/>
  <c r="CY60" i="1"/>
  <c r="CX60" i="1"/>
  <c r="CW60" i="1"/>
  <c r="AX60" i="1" s="1"/>
  <c r="CV60" i="1"/>
  <c r="BK60" i="1"/>
  <c r="BJ60" i="1"/>
  <c r="BB60" i="1"/>
  <c r="AV60" i="1"/>
  <c r="AP60" i="1"/>
  <c r="BC60" i="1" s="1"/>
  <c r="BF60" i="1" s="1"/>
  <c r="AK60" i="1"/>
  <c r="AJ60" i="1"/>
  <c r="AI60" i="1"/>
  <c r="P60" i="1" s="1"/>
  <c r="AA60" i="1"/>
  <c r="Z60" i="1"/>
  <c r="Y60" i="1" s="1"/>
  <c r="U60" i="1"/>
  <c r="R60" i="1"/>
  <c r="M60" i="1"/>
  <c r="L60" i="1"/>
  <c r="AY60" i="1" s="1"/>
  <c r="BA60" i="1" s="1"/>
  <c r="CY59" i="1"/>
  <c r="CX59" i="1"/>
  <c r="CV59" i="1"/>
  <c r="CW59" i="1" s="1"/>
  <c r="AX59" i="1" s="1"/>
  <c r="BK59" i="1"/>
  <c r="BJ59" i="1"/>
  <c r="BI59" i="1"/>
  <c r="BF59" i="1"/>
  <c r="BH59" i="1" s="1"/>
  <c r="BL59" i="1" s="1"/>
  <c r="BM59" i="1" s="1"/>
  <c r="BC59" i="1"/>
  <c r="BB59" i="1"/>
  <c r="AZ59" i="1"/>
  <c r="AV59" i="1"/>
  <c r="AP59" i="1"/>
  <c r="AK59" i="1"/>
  <c r="AI59" i="1" s="1"/>
  <c r="AA59" i="1"/>
  <c r="Z59" i="1"/>
  <c r="Y59" i="1" s="1"/>
  <c r="U59" i="1"/>
  <c r="R59" i="1"/>
  <c r="CY58" i="1"/>
  <c r="CX58" i="1"/>
  <c r="CW58" i="1" s="1"/>
  <c r="AX58" i="1" s="1"/>
  <c r="AZ58" i="1" s="1"/>
  <c r="CV58" i="1"/>
  <c r="BK58" i="1"/>
  <c r="BJ58" i="1"/>
  <c r="BH58" i="1"/>
  <c r="BL58" i="1" s="1"/>
  <c r="BM58" i="1" s="1"/>
  <c r="BB58" i="1"/>
  <c r="AV58" i="1"/>
  <c r="AP58" i="1"/>
  <c r="BC58" i="1" s="1"/>
  <c r="BF58" i="1" s="1"/>
  <c r="AK58" i="1"/>
  <c r="AI58" i="1"/>
  <c r="M58" i="1" s="1"/>
  <c r="AA58" i="1"/>
  <c r="Z58" i="1"/>
  <c r="Y58" i="1"/>
  <c r="U58" i="1"/>
  <c r="R58" i="1"/>
  <c r="CY57" i="1"/>
  <c r="CX57" i="1"/>
  <c r="CV57" i="1"/>
  <c r="BK57" i="1"/>
  <c r="BJ57" i="1"/>
  <c r="BF57" i="1"/>
  <c r="BB57" i="1"/>
  <c r="AY57" i="1"/>
  <c r="AV57" i="1"/>
  <c r="AP57" i="1"/>
  <c r="BC57" i="1" s="1"/>
  <c r="AK57" i="1"/>
  <c r="AI57" i="1"/>
  <c r="K57" i="1" s="1"/>
  <c r="J57" i="1" s="1"/>
  <c r="AA57" i="1"/>
  <c r="Z57" i="1"/>
  <c r="Y57" i="1"/>
  <c r="R57" i="1"/>
  <c r="P57" i="1"/>
  <c r="L57" i="1"/>
  <c r="CY56" i="1"/>
  <c r="CX56" i="1"/>
  <c r="CW56" i="1"/>
  <c r="AX56" i="1" s="1"/>
  <c r="CV56" i="1"/>
  <c r="BK56" i="1"/>
  <c r="BJ56" i="1"/>
  <c r="BB56" i="1"/>
  <c r="AV56" i="1"/>
  <c r="AZ56" i="1" s="1"/>
  <c r="AP56" i="1"/>
  <c r="BC56" i="1" s="1"/>
  <c r="BF56" i="1" s="1"/>
  <c r="AK56" i="1"/>
  <c r="AJ56" i="1"/>
  <c r="AI56" i="1"/>
  <c r="K56" i="1" s="1"/>
  <c r="AA56" i="1"/>
  <c r="Z56" i="1"/>
  <c r="Y56" i="1" s="1"/>
  <c r="U56" i="1"/>
  <c r="R56" i="1"/>
  <c r="P56" i="1"/>
  <c r="M56" i="1"/>
  <c r="L56" i="1"/>
  <c r="AY56" i="1" s="1"/>
  <c r="BA56" i="1" s="1"/>
  <c r="J56" i="1"/>
  <c r="CY55" i="1"/>
  <c r="CX55" i="1"/>
  <c r="CV55" i="1"/>
  <c r="CW55" i="1" s="1"/>
  <c r="AX55" i="1" s="1"/>
  <c r="AZ55" i="1" s="1"/>
  <c r="BK55" i="1"/>
  <c r="BJ55" i="1"/>
  <c r="BF55" i="1"/>
  <c r="BI55" i="1" s="1"/>
  <c r="BC55" i="1"/>
  <c r="BB55" i="1"/>
  <c r="AV55" i="1"/>
  <c r="AP55" i="1"/>
  <c r="AK55" i="1"/>
  <c r="AI55" i="1" s="1"/>
  <c r="AA55" i="1"/>
  <c r="Z55" i="1"/>
  <c r="Y55" i="1" s="1"/>
  <c r="U55" i="1"/>
  <c r="R55" i="1"/>
  <c r="P55" i="1"/>
  <c r="K55" i="1"/>
  <c r="J55" i="1" s="1"/>
  <c r="AC55" i="1" s="1"/>
  <c r="CY54" i="1"/>
  <c r="U54" i="1" s="1"/>
  <c r="CX54" i="1"/>
  <c r="CV54" i="1"/>
  <c r="BK54" i="1"/>
  <c r="BJ54" i="1"/>
  <c r="BH54" i="1"/>
  <c r="BL54" i="1" s="1"/>
  <c r="BM54" i="1" s="1"/>
  <c r="BB54" i="1"/>
  <c r="AV54" i="1"/>
  <c r="AP54" i="1"/>
  <c r="BC54" i="1" s="1"/>
  <c r="BF54" i="1" s="1"/>
  <c r="AK54" i="1"/>
  <c r="AI54" i="1"/>
  <c r="AA54" i="1"/>
  <c r="Z54" i="1"/>
  <c r="Y54" i="1"/>
  <c r="R54" i="1"/>
  <c r="CY53" i="1"/>
  <c r="CX53" i="1"/>
  <c r="CV53" i="1"/>
  <c r="BK53" i="1"/>
  <c r="BJ53" i="1"/>
  <c r="BF53" i="1"/>
  <c r="BG53" i="1" s="1"/>
  <c r="BB53" i="1"/>
  <c r="AV53" i="1"/>
  <c r="AP53" i="1"/>
  <c r="BC53" i="1" s="1"/>
  <c r="AK53" i="1"/>
  <c r="AI53" i="1"/>
  <c r="K53" i="1" s="1"/>
  <c r="J53" i="1" s="1"/>
  <c r="AA53" i="1"/>
  <c r="Z53" i="1"/>
  <c r="Y53" i="1"/>
  <c r="R53" i="1"/>
  <c r="P53" i="1"/>
  <c r="M53" i="1"/>
  <c r="L53" i="1"/>
  <c r="AY53" i="1" s="1"/>
  <c r="CY52" i="1"/>
  <c r="CX52" i="1"/>
  <c r="CW52" i="1"/>
  <c r="CV52" i="1"/>
  <c r="BK52" i="1"/>
  <c r="BJ52" i="1"/>
  <c r="BF52" i="1"/>
  <c r="BI52" i="1" s="1"/>
  <c r="BB52" i="1"/>
  <c r="AX52" i="1"/>
  <c r="AV52" i="1"/>
  <c r="AP52" i="1"/>
  <c r="BC52" i="1" s="1"/>
  <c r="AK52" i="1"/>
  <c r="AI52" i="1" s="1"/>
  <c r="P52" i="1" s="1"/>
  <c r="AJ52" i="1"/>
  <c r="AA52" i="1"/>
  <c r="Z52" i="1"/>
  <c r="Y52" i="1" s="1"/>
  <c r="U52" i="1"/>
  <c r="R52" i="1"/>
  <c r="M52" i="1"/>
  <c r="L52" i="1"/>
  <c r="AY52" i="1" s="1"/>
  <c r="CY51" i="1"/>
  <c r="CX51" i="1"/>
  <c r="CV51" i="1"/>
  <c r="BK51" i="1"/>
  <c r="BJ51" i="1"/>
  <c r="BI51" i="1"/>
  <c r="BH51" i="1"/>
  <c r="BL51" i="1" s="1"/>
  <c r="BM51" i="1" s="1"/>
  <c r="BF51" i="1"/>
  <c r="BG51" i="1" s="1"/>
  <c r="BC51" i="1"/>
  <c r="BB51" i="1"/>
  <c r="AV51" i="1"/>
  <c r="AP51" i="1"/>
  <c r="AK51" i="1"/>
  <c r="AI51" i="1" s="1"/>
  <c r="AA51" i="1"/>
  <c r="Z51" i="1"/>
  <c r="Y51" i="1" s="1"/>
  <c r="R51" i="1"/>
  <c r="P51" i="1"/>
  <c r="CY50" i="1"/>
  <c r="CX50" i="1"/>
  <c r="CV50" i="1"/>
  <c r="BK50" i="1"/>
  <c r="BJ50" i="1"/>
  <c r="BF50" i="1"/>
  <c r="BB50" i="1"/>
  <c r="AV50" i="1"/>
  <c r="AP50" i="1"/>
  <c r="BC50" i="1" s="1"/>
  <c r="AK50" i="1"/>
  <c r="AI50" i="1"/>
  <c r="K50" i="1" s="1"/>
  <c r="J50" i="1" s="1"/>
  <c r="AA50" i="1"/>
  <c r="Z50" i="1"/>
  <c r="Y50" i="1"/>
  <c r="R50" i="1"/>
  <c r="P50" i="1"/>
  <c r="L50" i="1"/>
  <c r="AY50" i="1" s="1"/>
  <c r="CY49" i="1"/>
  <c r="CX49" i="1"/>
  <c r="CV49" i="1"/>
  <c r="BK49" i="1"/>
  <c r="BJ49" i="1"/>
  <c r="BF49" i="1"/>
  <c r="BB49" i="1"/>
  <c r="AV49" i="1"/>
  <c r="AP49" i="1"/>
  <c r="BC49" i="1" s="1"/>
  <c r="AK49" i="1"/>
  <c r="AI49" i="1" s="1"/>
  <c r="AJ49" i="1" s="1"/>
  <c r="AA49" i="1"/>
  <c r="Z49" i="1"/>
  <c r="Y49" i="1" s="1"/>
  <c r="R49" i="1"/>
  <c r="CY48" i="1"/>
  <c r="CX48" i="1"/>
  <c r="CV48" i="1"/>
  <c r="BK48" i="1"/>
  <c r="BJ48" i="1"/>
  <c r="BB48" i="1"/>
  <c r="AV48" i="1"/>
  <c r="AP48" i="1"/>
  <c r="BC48" i="1" s="1"/>
  <c r="BF48" i="1" s="1"/>
  <c r="AK48" i="1"/>
  <c r="AJ48" i="1"/>
  <c r="AI48" i="1"/>
  <c r="K48" i="1" s="1"/>
  <c r="J48" i="1" s="1"/>
  <c r="AA48" i="1"/>
  <c r="Z48" i="1"/>
  <c r="Y48" i="1" s="1"/>
  <c r="R48" i="1"/>
  <c r="P48" i="1"/>
  <c r="M48" i="1"/>
  <c r="L48" i="1"/>
  <c r="AY48" i="1" s="1"/>
  <c r="CY47" i="1"/>
  <c r="CX47" i="1"/>
  <c r="CV47" i="1"/>
  <c r="CW47" i="1" s="1"/>
  <c r="AX47" i="1" s="1"/>
  <c r="AZ47" i="1" s="1"/>
  <c r="BL47" i="1"/>
  <c r="BM47" i="1" s="1"/>
  <c r="BK47" i="1"/>
  <c r="BJ47" i="1"/>
  <c r="BH47" i="1"/>
  <c r="BF47" i="1"/>
  <c r="BG47" i="1" s="1"/>
  <c r="BB47" i="1"/>
  <c r="AV47" i="1"/>
  <c r="AP47" i="1"/>
  <c r="BC47" i="1" s="1"/>
  <c r="AK47" i="1"/>
  <c r="AI47" i="1" s="1"/>
  <c r="AJ47" i="1"/>
  <c r="AA47" i="1"/>
  <c r="Z47" i="1"/>
  <c r="Y47" i="1" s="1"/>
  <c r="R47" i="1"/>
  <c r="P47" i="1"/>
  <c r="CY46" i="1"/>
  <c r="CX46" i="1"/>
  <c r="CV46" i="1"/>
  <c r="BK46" i="1"/>
  <c r="BJ46" i="1"/>
  <c r="BB46" i="1"/>
  <c r="AV46" i="1"/>
  <c r="AP46" i="1"/>
  <c r="BC46" i="1" s="1"/>
  <c r="BF46" i="1" s="1"/>
  <c r="AK46" i="1"/>
  <c r="AJ46" i="1"/>
  <c r="AI46" i="1"/>
  <c r="K46" i="1" s="1"/>
  <c r="AA46" i="1"/>
  <c r="Z46" i="1"/>
  <c r="Y46" i="1" s="1"/>
  <c r="R46" i="1"/>
  <c r="P46" i="1"/>
  <c r="L46" i="1"/>
  <c r="AY46" i="1" s="1"/>
  <c r="J46" i="1"/>
  <c r="CY45" i="1"/>
  <c r="CX45" i="1"/>
  <c r="CV45" i="1"/>
  <c r="BK45" i="1"/>
  <c r="BJ45" i="1"/>
  <c r="BI45" i="1"/>
  <c r="BF45" i="1"/>
  <c r="BG45" i="1" s="1"/>
  <c r="BB45" i="1"/>
  <c r="AV45" i="1"/>
  <c r="AP45" i="1"/>
  <c r="BC45" i="1" s="1"/>
  <c r="AK45" i="1"/>
  <c r="AI45" i="1" s="1"/>
  <c r="AJ45" i="1"/>
  <c r="AA45" i="1"/>
  <c r="Z45" i="1"/>
  <c r="Y45" i="1" s="1"/>
  <c r="R45" i="1"/>
  <c r="P45" i="1"/>
  <c r="L45" i="1"/>
  <c r="AY45" i="1" s="1"/>
  <c r="CY44" i="1"/>
  <c r="CX44" i="1"/>
  <c r="CV44" i="1"/>
  <c r="CW44" i="1" s="1"/>
  <c r="AX44" i="1" s="1"/>
  <c r="BK44" i="1"/>
  <c r="BJ44" i="1"/>
  <c r="BB44" i="1"/>
  <c r="AV44" i="1"/>
  <c r="AP44" i="1"/>
  <c r="BC44" i="1" s="1"/>
  <c r="BF44" i="1" s="1"/>
  <c r="AK44" i="1"/>
  <c r="AJ44" i="1"/>
  <c r="AI44" i="1"/>
  <c r="K44" i="1" s="1"/>
  <c r="AC44" i="1"/>
  <c r="AA44" i="1"/>
  <c r="Z44" i="1"/>
  <c r="Y44" i="1" s="1"/>
  <c r="R44" i="1"/>
  <c r="P44" i="1"/>
  <c r="M44" i="1"/>
  <c r="L44" i="1"/>
  <c r="AY44" i="1" s="1"/>
  <c r="J44" i="1"/>
  <c r="CY43" i="1"/>
  <c r="CX43" i="1"/>
  <c r="CV43" i="1"/>
  <c r="BK43" i="1"/>
  <c r="BJ43" i="1"/>
  <c r="BF43" i="1"/>
  <c r="BG43" i="1" s="1"/>
  <c r="BC43" i="1"/>
  <c r="BB43" i="1"/>
  <c r="AV43" i="1"/>
  <c r="AP43" i="1"/>
  <c r="AK43" i="1"/>
  <c r="AI43" i="1" s="1"/>
  <c r="M43" i="1" s="1"/>
  <c r="AJ43" i="1"/>
  <c r="AA43" i="1"/>
  <c r="Z43" i="1"/>
  <c r="Y43" i="1" s="1"/>
  <c r="R43" i="1"/>
  <c r="L43" i="1"/>
  <c r="AY43" i="1" s="1"/>
  <c r="K43" i="1"/>
  <c r="J43" i="1" s="1"/>
  <c r="CY42" i="1"/>
  <c r="CX42" i="1"/>
  <c r="CV42" i="1"/>
  <c r="CW42" i="1" s="1"/>
  <c r="BK42" i="1"/>
  <c r="BJ42" i="1"/>
  <c r="BF42" i="1"/>
  <c r="BI42" i="1" s="1"/>
  <c r="BB42" i="1"/>
  <c r="AX42" i="1"/>
  <c r="AV42" i="1"/>
  <c r="AP42" i="1"/>
  <c r="BC42" i="1" s="1"/>
  <c r="AK42" i="1"/>
  <c r="AJ42" i="1"/>
  <c r="AI42" i="1"/>
  <c r="K42" i="1" s="1"/>
  <c r="AC42" i="1"/>
  <c r="AA42" i="1"/>
  <c r="Z42" i="1"/>
  <c r="Y42" i="1"/>
  <c r="U42" i="1"/>
  <c r="R42" i="1"/>
  <c r="P42" i="1"/>
  <c r="M42" i="1"/>
  <c r="L42" i="1"/>
  <c r="AY42" i="1" s="1"/>
  <c r="J42" i="1"/>
  <c r="CY41" i="1"/>
  <c r="CX41" i="1"/>
  <c r="CV41" i="1"/>
  <c r="BK41" i="1"/>
  <c r="BJ41" i="1"/>
  <c r="BH41" i="1"/>
  <c r="BL41" i="1" s="1"/>
  <c r="BM41" i="1" s="1"/>
  <c r="BF41" i="1"/>
  <c r="BG41" i="1" s="1"/>
  <c r="BB41" i="1"/>
  <c r="AV41" i="1"/>
  <c r="AP41" i="1"/>
  <c r="BC41" i="1" s="1"/>
  <c r="AK41" i="1"/>
  <c r="AI41" i="1" s="1"/>
  <c r="M41" i="1" s="1"/>
  <c r="AA41" i="1"/>
  <c r="Z41" i="1"/>
  <c r="Y41" i="1" s="1"/>
  <c r="R41" i="1"/>
  <c r="CY40" i="1"/>
  <c r="CX40" i="1"/>
  <c r="CV40" i="1"/>
  <c r="BK40" i="1"/>
  <c r="BJ40" i="1"/>
  <c r="BB40" i="1"/>
  <c r="AV40" i="1"/>
  <c r="AP40" i="1"/>
  <c r="BC40" i="1" s="1"/>
  <c r="BF40" i="1" s="1"/>
  <c r="AK40" i="1"/>
  <c r="AI40" i="1"/>
  <c r="K40" i="1" s="1"/>
  <c r="AA40" i="1"/>
  <c r="Z40" i="1"/>
  <c r="Y40" i="1"/>
  <c r="R40" i="1"/>
  <c r="M40" i="1"/>
  <c r="L40" i="1"/>
  <c r="AY40" i="1" s="1"/>
  <c r="J40" i="1"/>
  <c r="AC40" i="1" s="1"/>
  <c r="CY39" i="1"/>
  <c r="CX39" i="1"/>
  <c r="CV39" i="1"/>
  <c r="BK39" i="1"/>
  <c r="BJ39" i="1"/>
  <c r="BI39" i="1"/>
  <c r="BF39" i="1"/>
  <c r="BG39" i="1" s="1"/>
  <c r="BC39" i="1"/>
  <c r="BB39" i="1"/>
  <c r="AV39" i="1"/>
  <c r="AP39" i="1"/>
  <c r="AK39" i="1"/>
  <c r="AI39" i="1" s="1"/>
  <c r="M39" i="1" s="1"/>
  <c r="AJ39" i="1"/>
  <c r="AA39" i="1"/>
  <c r="Z39" i="1"/>
  <c r="R39" i="1"/>
  <c r="P39" i="1"/>
  <c r="L39" i="1"/>
  <c r="AY39" i="1" s="1"/>
  <c r="CY38" i="1"/>
  <c r="CX38" i="1"/>
  <c r="CW38" i="1" s="1"/>
  <c r="AX38" i="1" s="1"/>
  <c r="AZ38" i="1" s="1"/>
  <c r="CV38" i="1"/>
  <c r="BK38" i="1"/>
  <c r="BJ38" i="1"/>
  <c r="BF38" i="1"/>
  <c r="BB38" i="1"/>
  <c r="AV38" i="1"/>
  <c r="AP38" i="1"/>
  <c r="BC38" i="1" s="1"/>
  <c r="AK38" i="1"/>
  <c r="AJ38" i="1"/>
  <c r="AI38" i="1"/>
  <c r="K38" i="1" s="1"/>
  <c r="J38" i="1" s="1"/>
  <c r="AA38" i="1"/>
  <c r="Z38" i="1"/>
  <c r="Y38" i="1"/>
  <c r="U38" i="1"/>
  <c r="R38" i="1"/>
  <c r="M38" i="1"/>
  <c r="CY37" i="1"/>
  <c r="CX37" i="1"/>
  <c r="CV37" i="1"/>
  <c r="CW37" i="1" s="1"/>
  <c r="AX37" i="1" s="1"/>
  <c r="BL37" i="1"/>
  <c r="BM37" i="1" s="1"/>
  <c r="BK37" i="1"/>
  <c r="BJ37" i="1"/>
  <c r="BI37" i="1"/>
  <c r="BH37" i="1"/>
  <c r="BF37" i="1"/>
  <c r="BG37" i="1" s="1"/>
  <c r="BB37" i="1"/>
  <c r="AZ37" i="1"/>
  <c r="AV37" i="1"/>
  <c r="AP37" i="1"/>
  <c r="BC37" i="1" s="1"/>
  <c r="AK37" i="1"/>
  <c r="AI37" i="1" s="1"/>
  <c r="K37" i="1" s="1"/>
  <c r="J37" i="1" s="1"/>
  <c r="AJ37" i="1"/>
  <c r="AA37" i="1"/>
  <c r="Z37" i="1"/>
  <c r="Y37" i="1" s="1"/>
  <c r="U37" i="1"/>
  <c r="R37" i="1"/>
  <c r="P37" i="1"/>
  <c r="M37" i="1"/>
  <c r="L37" i="1"/>
  <c r="AY37" i="1" s="1"/>
  <c r="CY36" i="1"/>
  <c r="CX36" i="1"/>
  <c r="CV36" i="1"/>
  <c r="CW36" i="1" s="1"/>
  <c r="AX36" i="1" s="1"/>
  <c r="AZ36" i="1" s="1"/>
  <c r="BK36" i="1"/>
  <c r="BJ36" i="1"/>
  <c r="BC36" i="1"/>
  <c r="BF36" i="1" s="1"/>
  <c r="BB36" i="1"/>
  <c r="AV36" i="1"/>
  <c r="AP36" i="1"/>
  <c r="AK36" i="1"/>
  <c r="AI36" i="1" s="1"/>
  <c r="AA36" i="1"/>
  <c r="Z36" i="1"/>
  <c r="R36" i="1"/>
  <c r="CY35" i="1"/>
  <c r="CX35" i="1"/>
  <c r="CW35" i="1"/>
  <c r="AX35" i="1" s="1"/>
  <c r="CV35" i="1"/>
  <c r="BK35" i="1"/>
  <c r="BJ35" i="1"/>
  <c r="BH35" i="1"/>
  <c r="BL35" i="1" s="1"/>
  <c r="BM35" i="1" s="1"/>
  <c r="BG35" i="1"/>
  <c r="BF35" i="1"/>
  <c r="BI35" i="1" s="1"/>
  <c r="BC35" i="1"/>
  <c r="BB35" i="1"/>
  <c r="AV35" i="1"/>
  <c r="AP35" i="1"/>
  <c r="AK35" i="1"/>
  <c r="AI35" i="1"/>
  <c r="AA35" i="1"/>
  <c r="Z35" i="1"/>
  <c r="Y35" i="1"/>
  <c r="U35" i="1"/>
  <c r="R35" i="1"/>
  <c r="M35" i="1"/>
  <c r="CY34" i="1"/>
  <c r="CX34" i="1"/>
  <c r="CV34" i="1"/>
  <c r="CW34" i="1" s="1"/>
  <c r="AX34" i="1" s="1"/>
  <c r="AZ34" i="1" s="1"/>
  <c r="BK34" i="1"/>
  <c r="BJ34" i="1"/>
  <c r="BC34" i="1"/>
  <c r="BF34" i="1" s="1"/>
  <c r="BB34" i="1"/>
  <c r="AV34" i="1"/>
  <c r="AP34" i="1"/>
  <c r="AK34" i="1"/>
  <c r="AI34" i="1" s="1"/>
  <c r="AA34" i="1"/>
  <c r="Y34" i="1" s="1"/>
  <c r="Z34" i="1"/>
  <c r="R34" i="1"/>
  <c r="K34" i="1"/>
  <c r="J34" i="1" s="1"/>
  <c r="AC34" i="1" s="1"/>
  <c r="CY33" i="1"/>
  <c r="CX33" i="1"/>
  <c r="CW33" i="1"/>
  <c r="AX33" i="1" s="1"/>
  <c r="CV33" i="1"/>
  <c r="BK33" i="1"/>
  <c r="BJ33" i="1"/>
  <c r="BG33" i="1"/>
  <c r="BF33" i="1"/>
  <c r="BI33" i="1" s="1"/>
  <c r="BB33" i="1"/>
  <c r="AV33" i="1"/>
  <c r="AZ33" i="1" s="1"/>
  <c r="AP33" i="1"/>
  <c r="BC33" i="1" s="1"/>
  <c r="AK33" i="1"/>
  <c r="AI33" i="1"/>
  <c r="AA33" i="1"/>
  <c r="Z33" i="1"/>
  <c r="Y33" i="1"/>
  <c r="U33" i="1"/>
  <c r="R33" i="1"/>
  <c r="M33" i="1"/>
  <c r="CY32" i="1"/>
  <c r="CX32" i="1"/>
  <c r="CV32" i="1"/>
  <c r="CW32" i="1" s="1"/>
  <c r="AX32" i="1" s="1"/>
  <c r="AZ32" i="1" s="1"/>
  <c r="BK32" i="1"/>
  <c r="BJ32" i="1"/>
  <c r="BI32" i="1"/>
  <c r="BC32" i="1"/>
  <c r="BF32" i="1" s="1"/>
  <c r="BB32" i="1"/>
  <c r="AV32" i="1"/>
  <c r="AP32" i="1"/>
  <c r="AK32" i="1"/>
  <c r="AI32" i="1" s="1"/>
  <c r="AA32" i="1"/>
  <c r="Z32" i="1"/>
  <c r="Y32" i="1" s="1"/>
  <c r="R32" i="1"/>
  <c r="CY31" i="1"/>
  <c r="CX31" i="1"/>
  <c r="CW31" i="1"/>
  <c r="AX31" i="1" s="1"/>
  <c r="CV31" i="1"/>
  <c r="BK31" i="1"/>
  <c r="BJ31" i="1"/>
  <c r="BH31" i="1"/>
  <c r="BL31" i="1" s="1"/>
  <c r="BM31" i="1" s="1"/>
  <c r="BG31" i="1"/>
  <c r="BF31" i="1"/>
  <c r="BI31" i="1" s="1"/>
  <c r="BB31" i="1"/>
  <c r="AV31" i="1"/>
  <c r="AZ31" i="1" s="1"/>
  <c r="AP31" i="1"/>
  <c r="BC31" i="1" s="1"/>
  <c r="AK31" i="1"/>
  <c r="AI31" i="1"/>
  <c r="P31" i="1" s="1"/>
  <c r="AA31" i="1"/>
  <c r="Z31" i="1"/>
  <c r="Y31" i="1"/>
  <c r="U31" i="1"/>
  <c r="R31" i="1"/>
  <c r="M31" i="1"/>
  <c r="CY30" i="1"/>
  <c r="CX30" i="1"/>
  <c r="CV30" i="1"/>
  <c r="CW30" i="1" s="1"/>
  <c r="AX30" i="1" s="1"/>
  <c r="AZ30" i="1" s="1"/>
  <c r="BK30" i="1"/>
  <c r="BJ30" i="1"/>
  <c r="BI30" i="1"/>
  <c r="BH30" i="1"/>
  <c r="BL30" i="1" s="1"/>
  <c r="BM30" i="1" s="1"/>
  <c r="BF30" i="1"/>
  <c r="BG30" i="1" s="1"/>
  <c r="BC30" i="1"/>
  <c r="BB30" i="1"/>
  <c r="AV30" i="1"/>
  <c r="AP30" i="1"/>
  <c r="AK30" i="1"/>
  <c r="AI30" i="1" s="1"/>
  <c r="AA30" i="1"/>
  <c r="Y30" i="1" s="1"/>
  <c r="Z30" i="1"/>
  <c r="R30" i="1"/>
  <c r="K30" i="1"/>
  <c r="J30" i="1" s="1"/>
  <c r="AC30" i="1" s="1"/>
  <c r="CY29" i="1"/>
  <c r="CX29" i="1"/>
  <c r="CV29" i="1"/>
  <c r="CW29" i="1" s="1"/>
  <c r="AX29" i="1" s="1"/>
  <c r="BA29" i="1" s="1"/>
  <c r="BK29" i="1"/>
  <c r="BJ29" i="1"/>
  <c r="BF29" i="1"/>
  <c r="BG29" i="1" s="1"/>
  <c r="BB29" i="1"/>
  <c r="AV29" i="1"/>
  <c r="AP29" i="1"/>
  <c r="BC29" i="1" s="1"/>
  <c r="AK29" i="1"/>
  <c r="AI29" i="1"/>
  <c r="AA29" i="1"/>
  <c r="Z29" i="1"/>
  <c r="Y29" i="1"/>
  <c r="U29" i="1"/>
  <c r="R29" i="1"/>
  <c r="M29" i="1"/>
  <c r="L29" i="1"/>
  <c r="AY29" i="1" s="1"/>
  <c r="CY28" i="1"/>
  <c r="CX28" i="1"/>
  <c r="CV28" i="1"/>
  <c r="CW28" i="1" s="1"/>
  <c r="AX28" i="1" s="1"/>
  <c r="AZ28" i="1" s="1"/>
  <c r="BK28" i="1"/>
  <c r="BJ28" i="1"/>
  <c r="BF28" i="1"/>
  <c r="BB28" i="1"/>
  <c r="AV28" i="1"/>
  <c r="AP28" i="1"/>
  <c r="BC28" i="1" s="1"/>
  <c r="AK28" i="1"/>
  <c r="AI28" i="1" s="1"/>
  <c r="AA28" i="1"/>
  <c r="Z28" i="1"/>
  <c r="Y28" i="1" s="1"/>
  <c r="R28" i="1"/>
  <c r="CY27" i="1"/>
  <c r="CX27" i="1"/>
  <c r="CW27" i="1"/>
  <c r="AX27" i="1" s="1"/>
  <c r="AZ27" i="1" s="1"/>
  <c r="CV27" i="1"/>
  <c r="BK27" i="1"/>
  <c r="BJ27" i="1"/>
  <c r="BB27" i="1"/>
  <c r="AV27" i="1"/>
  <c r="AP27" i="1"/>
  <c r="BC27" i="1" s="1"/>
  <c r="BF27" i="1" s="1"/>
  <c r="BI27" i="1" s="1"/>
  <c r="AK27" i="1"/>
  <c r="AI27" i="1"/>
  <c r="AA27" i="1"/>
  <c r="Z27" i="1"/>
  <c r="Y27" i="1" s="1"/>
  <c r="U27" i="1"/>
  <c r="R27" i="1"/>
  <c r="M27" i="1"/>
  <c r="CY26" i="1"/>
  <c r="CX26" i="1"/>
  <c r="CV26" i="1"/>
  <c r="BK26" i="1"/>
  <c r="BJ26" i="1"/>
  <c r="BI26" i="1"/>
  <c r="BF26" i="1"/>
  <c r="BG26" i="1" s="1"/>
  <c r="BC26" i="1"/>
  <c r="BB26" i="1"/>
  <c r="AV26" i="1"/>
  <c r="AP26" i="1"/>
  <c r="AK26" i="1"/>
  <c r="AI26" i="1" s="1"/>
  <c r="AA26" i="1"/>
  <c r="Y26" i="1" s="1"/>
  <c r="Z26" i="1"/>
  <c r="R26" i="1"/>
  <c r="P26" i="1"/>
  <c r="L26" i="1"/>
  <c r="AY26" i="1" s="1"/>
  <c r="K26" i="1"/>
  <c r="J26" i="1" s="1"/>
  <c r="AC26" i="1" s="1"/>
  <c r="CY25" i="1"/>
  <c r="CX25" i="1"/>
  <c r="CV25" i="1"/>
  <c r="CW25" i="1" s="1"/>
  <c r="AX25" i="1" s="1"/>
  <c r="BK25" i="1"/>
  <c r="BJ25" i="1"/>
  <c r="BB25" i="1"/>
  <c r="AV25" i="1"/>
  <c r="AP25" i="1"/>
  <c r="BC25" i="1" s="1"/>
  <c r="BF25" i="1" s="1"/>
  <c r="AK25" i="1"/>
  <c r="AJ25" i="1"/>
  <c r="AI25" i="1"/>
  <c r="K25" i="1" s="1"/>
  <c r="AA25" i="1"/>
  <c r="Z25" i="1"/>
  <c r="Y25" i="1" s="1"/>
  <c r="R25" i="1"/>
  <c r="P25" i="1"/>
  <c r="M25" i="1"/>
  <c r="L25" i="1"/>
  <c r="AY25" i="1" s="1"/>
  <c r="BA25" i="1" s="1"/>
  <c r="J25" i="1"/>
  <c r="AC25" i="1" s="1"/>
  <c r="CY24" i="1"/>
  <c r="CX24" i="1"/>
  <c r="CV24" i="1"/>
  <c r="CW24" i="1" s="1"/>
  <c r="AX24" i="1" s="1"/>
  <c r="BK24" i="1"/>
  <c r="BJ24" i="1"/>
  <c r="BF24" i="1"/>
  <c r="BI24" i="1" s="1"/>
  <c r="BC24" i="1"/>
  <c r="BB24" i="1"/>
  <c r="AV24" i="1"/>
  <c r="AP24" i="1"/>
  <c r="AK24" i="1"/>
  <c r="AI24" i="1" s="1"/>
  <c r="K24" i="1" s="1"/>
  <c r="J24" i="1" s="1"/>
  <c r="AA24" i="1"/>
  <c r="Z24" i="1"/>
  <c r="Y24" i="1" s="1"/>
  <c r="U24" i="1"/>
  <c r="R24" i="1"/>
  <c r="P24" i="1"/>
  <c r="L24" i="1"/>
  <c r="AY24" i="1" s="1"/>
  <c r="CY23" i="1"/>
  <c r="CX23" i="1"/>
  <c r="CW23" i="1" s="1"/>
  <c r="AX23" i="1" s="1"/>
  <c r="CV23" i="1"/>
  <c r="BL23" i="1"/>
  <c r="BM23" i="1" s="1"/>
  <c r="BK23" i="1"/>
  <c r="BJ23" i="1"/>
  <c r="BI23" i="1"/>
  <c r="BH23" i="1"/>
  <c r="BG23" i="1"/>
  <c r="BF23" i="1"/>
  <c r="BC23" i="1"/>
  <c r="BB23" i="1"/>
  <c r="AV23" i="1"/>
  <c r="AZ23" i="1" s="1"/>
  <c r="AP23" i="1"/>
  <c r="AK23" i="1"/>
  <c r="AJ23" i="1"/>
  <c r="AI23" i="1"/>
  <c r="P23" i="1" s="1"/>
  <c r="AA23" i="1"/>
  <c r="Z23" i="1"/>
  <c r="Y23" i="1" s="1"/>
  <c r="U23" i="1"/>
  <c r="R23" i="1"/>
  <c r="CY22" i="1"/>
  <c r="CX22" i="1"/>
  <c r="CV22" i="1"/>
  <c r="CW22" i="1" s="1"/>
  <c r="AX22" i="1" s="1"/>
  <c r="AZ22" i="1" s="1"/>
  <c r="BK22" i="1"/>
  <c r="BJ22" i="1"/>
  <c r="BB22" i="1"/>
  <c r="AV22" i="1"/>
  <c r="AP22" i="1"/>
  <c r="BC22" i="1" s="1"/>
  <c r="BF22" i="1" s="1"/>
  <c r="AK22" i="1"/>
  <c r="AI22" i="1"/>
  <c r="M22" i="1" s="1"/>
  <c r="AA22" i="1"/>
  <c r="Z22" i="1"/>
  <c r="Y22" i="1"/>
  <c r="R22" i="1"/>
  <c r="P22" i="1"/>
  <c r="L22" i="1"/>
  <c r="AY22" i="1" s="1"/>
  <c r="BA22" i="1" s="1"/>
  <c r="CY21" i="1"/>
  <c r="CX21" i="1"/>
  <c r="CW21" i="1" s="1"/>
  <c r="AX21" i="1" s="1"/>
  <c r="CV21" i="1"/>
  <c r="BK21" i="1"/>
  <c r="BJ21" i="1"/>
  <c r="BI21" i="1"/>
  <c r="BH21" i="1"/>
  <c r="BL21" i="1" s="1"/>
  <c r="BM21" i="1" s="1"/>
  <c r="BG21" i="1"/>
  <c r="BF21" i="1"/>
  <c r="BB21" i="1"/>
  <c r="AV21" i="1"/>
  <c r="AZ21" i="1" s="1"/>
  <c r="AP21" i="1"/>
  <c r="BC21" i="1" s="1"/>
  <c r="AK21" i="1"/>
  <c r="AJ21" i="1"/>
  <c r="AI21" i="1"/>
  <c r="K21" i="1" s="1"/>
  <c r="J21" i="1" s="1"/>
  <c r="AA21" i="1"/>
  <c r="Z21" i="1"/>
  <c r="Y21" i="1" s="1"/>
  <c r="U21" i="1"/>
  <c r="R21" i="1"/>
  <c r="M21" i="1"/>
  <c r="L21" i="1"/>
  <c r="AY21" i="1" s="1"/>
  <c r="BA21" i="1" s="1"/>
  <c r="CY20" i="1"/>
  <c r="CX20" i="1"/>
  <c r="CV20" i="1"/>
  <c r="CW20" i="1" s="1"/>
  <c r="AX20" i="1" s="1"/>
  <c r="AZ20" i="1" s="1"/>
  <c r="BK20" i="1"/>
  <c r="BJ20" i="1"/>
  <c r="BB20" i="1"/>
  <c r="AV20" i="1"/>
  <c r="AP20" i="1"/>
  <c r="BC20" i="1" s="1"/>
  <c r="BF20" i="1" s="1"/>
  <c r="AK20" i="1"/>
  <c r="AI20" i="1" s="1"/>
  <c r="AA20" i="1"/>
  <c r="Z20" i="1"/>
  <c r="Y20" i="1" s="1"/>
  <c r="R20" i="1"/>
  <c r="CY19" i="1"/>
  <c r="CX19" i="1"/>
  <c r="CW19" i="1" s="1"/>
  <c r="AX19" i="1" s="1"/>
  <c r="AZ19" i="1" s="1"/>
  <c r="CV19" i="1"/>
  <c r="BL19" i="1"/>
  <c r="BM19" i="1" s="1"/>
  <c r="BK19" i="1"/>
  <c r="BJ19" i="1"/>
  <c r="BI19" i="1"/>
  <c r="BH19" i="1"/>
  <c r="BG19" i="1"/>
  <c r="BF19" i="1"/>
  <c r="BC19" i="1"/>
  <c r="BB19" i="1"/>
  <c r="AV19" i="1"/>
  <c r="AP19" i="1"/>
  <c r="AK19" i="1"/>
  <c r="AJ19" i="1"/>
  <c r="AI19" i="1"/>
  <c r="P19" i="1" s="1"/>
  <c r="AA19" i="1"/>
  <c r="Z19" i="1"/>
  <c r="Y19" i="1" s="1"/>
  <c r="U19" i="1"/>
  <c r="R19" i="1"/>
  <c r="CY18" i="1"/>
  <c r="CX18" i="1"/>
  <c r="CV18" i="1"/>
  <c r="CW18" i="1" s="1"/>
  <c r="AX18" i="1" s="1"/>
  <c r="AZ18" i="1" s="1"/>
  <c r="BK18" i="1"/>
  <c r="BJ18" i="1"/>
  <c r="BB18" i="1"/>
  <c r="AV18" i="1"/>
  <c r="AP18" i="1"/>
  <c r="BC18" i="1" s="1"/>
  <c r="BF18" i="1" s="1"/>
  <c r="AK18" i="1"/>
  <c r="AI18" i="1"/>
  <c r="M18" i="1" s="1"/>
  <c r="AA18" i="1"/>
  <c r="Z18" i="1"/>
  <c r="Y18" i="1"/>
  <c r="R18" i="1"/>
  <c r="P18" i="1"/>
  <c r="L18" i="1"/>
  <c r="AY18" i="1" s="1"/>
  <c r="BA18" i="1" s="1"/>
  <c r="CY17" i="1"/>
  <c r="CX17" i="1"/>
  <c r="CW17" i="1" s="1"/>
  <c r="AX17" i="1" s="1"/>
  <c r="CV17" i="1"/>
  <c r="BK17" i="1"/>
  <c r="BJ17" i="1"/>
  <c r="BH17" i="1"/>
  <c r="BL17" i="1" s="1"/>
  <c r="BM17" i="1" s="1"/>
  <c r="BG17" i="1"/>
  <c r="BF17" i="1"/>
  <c r="BI17" i="1" s="1"/>
  <c r="BB17" i="1"/>
  <c r="AV17" i="1"/>
  <c r="AP17" i="1"/>
  <c r="BC17" i="1" s="1"/>
  <c r="AK17" i="1"/>
  <c r="AJ17" i="1"/>
  <c r="AI17" i="1"/>
  <c r="K17" i="1" s="1"/>
  <c r="J17" i="1" s="1"/>
  <c r="AA17" i="1"/>
  <c r="Z17" i="1"/>
  <c r="Y17" i="1" s="1"/>
  <c r="U17" i="1"/>
  <c r="R17" i="1"/>
  <c r="M17" i="1"/>
  <c r="L17" i="1"/>
  <c r="AY17" i="1" s="1"/>
  <c r="AC21" i="1" l="1"/>
  <c r="V21" i="1"/>
  <c r="W21" i="1" s="1"/>
  <c r="BI18" i="1"/>
  <c r="BH18" i="1"/>
  <c r="BL18" i="1" s="1"/>
  <c r="BM18" i="1" s="1"/>
  <c r="BG18" i="1"/>
  <c r="K20" i="1"/>
  <c r="J20" i="1" s="1"/>
  <c r="AJ20" i="1"/>
  <c r="L20" i="1"/>
  <c r="AY20" i="1" s="1"/>
  <c r="BA20" i="1" s="1"/>
  <c r="P20" i="1"/>
  <c r="M20" i="1"/>
  <c r="BI20" i="1"/>
  <c r="BH20" i="1"/>
  <c r="BL20" i="1" s="1"/>
  <c r="BM20" i="1" s="1"/>
  <c r="BG20" i="1"/>
  <c r="AC24" i="1"/>
  <c r="S24" i="1"/>
  <c r="Q24" i="1" s="1"/>
  <c r="T24" i="1" s="1"/>
  <c r="N24" i="1" s="1"/>
  <c r="O24" i="1" s="1"/>
  <c r="AC17" i="1"/>
  <c r="V17" i="1"/>
  <c r="W17" i="1" s="1"/>
  <c r="BA24" i="1"/>
  <c r="AZ24" i="1"/>
  <c r="BA17" i="1"/>
  <c r="AZ17" i="1"/>
  <c r="BI22" i="1"/>
  <c r="BH22" i="1"/>
  <c r="BL22" i="1" s="1"/>
  <c r="BM22" i="1" s="1"/>
  <c r="BG22" i="1"/>
  <c r="BI25" i="1"/>
  <c r="BG25" i="1"/>
  <c r="BH25" i="1"/>
  <c r="BL25" i="1" s="1"/>
  <c r="BM25" i="1" s="1"/>
  <c r="BH34" i="1"/>
  <c r="BL34" i="1" s="1"/>
  <c r="BM34" i="1" s="1"/>
  <c r="BG34" i="1"/>
  <c r="K19" i="1"/>
  <c r="J19" i="1" s="1"/>
  <c r="U20" i="1"/>
  <c r="K23" i="1"/>
  <c r="J23" i="1" s="1"/>
  <c r="M24" i="1"/>
  <c r="V24" i="1"/>
  <c r="W24" i="1" s="1"/>
  <c r="U25" i="1"/>
  <c r="AZ25" i="1"/>
  <c r="M26" i="1"/>
  <c r="AJ26" i="1"/>
  <c r="L27" i="1"/>
  <c r="AY27" i="1" s="1"/>
  <c r="BA27" i="1" s="1"/>
  <c r="K27" i="1"/>
  <c r="J27" i="1" s="1"/>
  <c r="BI34" i="1"/>
  <c r="BA42" i="1"/>
  <c r="BI48" i="1"/>
  <c r="BH48" i="1"/>
  <c r="BL48" i="1" s="1"/>
  <c r="BM48" i="1" s="1"/>
  <c r="BG48" i="1"/>
  <c r="P28" i="1"/>
  <c r="M28" i="1"/>
  <c r="BI40" i="1"/>
  <c r="BH40" i="1"/>
  <c r="BL40" i="1" s="1"/>
  <c r="BM40" i="1" s="1"/>
  <c r="BG40" i="1"/>
  <c r="M102" i="1"/>
  <c r="L102" i="1"/>
  <c r="AY102" i="1" s="1"/>
  <c r="BA102" i="1" s="1"/>
  <c r="K102" i="1"/>
  <c r="J102" i="1" s="1"/>
  <c r="AJ102" i="1"/>
  <c r="P102" i="1"/>
  <c r="P17" i="1"/>
  <c r="AJ18" i="1"/>
  <c r="L19" i="1"/>
  <c r="AY19" i="1" s="1"/>
  <c r="BA19" i="1" s="1"/>
  <c r="P21" i="1"/>
  <c r="AJ22" i="1"/>
  <c r="L23" i="1"/>
  <c r="AY23" i="1" s="1"/>
  <c r="BA23" i="1" s="1"/>
  <c r="BH26" i="1"/>
  <c r="BL26" i="1" s="1"/>
  <c r="BM26" i="1" s="1"/>
  <c r="AJ27" i="1"/>
  <c r="BG27" i="1"/>
  <c r="K29" i="1"/>
  <c r="J29" i="1" s="1"/>
  <c r="AJ29" i="1"/>
  <c r="P29" i="1"/>
  <c r="AZ35" i="1"/>
  <c r="Y36" i="1"/>
  <c r="CW65" i="1"/>
  <c r="AX65" i="1" s="1"/>
  <c r="AZ65" i="1" s="1"/>
  <c r="U65" i="1"/>
  <c r="BI36" i="1"/>
  <c r="BH36" i="1"/>
  <c r="BL36" i="1" s="1"/>
  <c r="BM36" i="1" s="1"/>
  <c r="BG36" i="1"/>
  <c r="BI106" i="1"/>
  <c r="BH106" i="1"/>
  <c r="BL106" i="1" s="1"/>
  <c r="BM106" i="1" s="1"/>
  <c r="BG106" i="1"/>
  <c r="K18" i="1"/>
  <c r="J18" i="1" s="1"/>
  <c r="M19" i="1"/>
  <c r="K22" i="1"/>
  <c r="J22" i="1" s="1"/>
  <c r="M23" i="1"/>
  <c r="AJ24" i="1"/>
  <c r="BH27" i="1"/>
  <c r="BL27" i="1" s="1"/>
  <c r="BM27" i="1" s="1"/>
  <c r="M30" i="1"/>
  <c r="L30" i="1"/>
  <c r="AY30" i="1" s="1"/>
  <c r="BA30" i="1" s="1"/>
  <c r="AJ30" i="1"/>
  <c r="P30" i="1"/>
  <c r="M34" i="1"/>
  <c r="L34" i="1"/>
  <c r="AY34" i="1" s="1"/>
  <c r="BA34" i="1" s="1"/>
  <c r="AJ34" i="1"/>
  <c r="P34" i="1"/>
  <c r="V37" i="1"/>
  <c r="W37" i="1" s="1"/>
  <c r="BI38" i="1"/>
  <c r="BH38" i="1"/>
  <c r="BL38" i="1" s="1"/>
  <c r="BM38" i="1" s="1"/>
  <c r="BG38" i="1"/>
  <c r="K28" i="1"/>
  <c r="J28" i="1" s="1"/>
  <c r="V29" i="1"/>
  <c r="W29" i="1" s="1"/>
  <c r="AJ36" i="1"/>
  <c r="P36" i="1"/>
  <c r="M36" i="1"/>
  <c r="L36" i="1"/>
  <c r="AY36" i="1" s="1"/>
  <c r="BA36" i="1" s="1"/>
  <c r="BI46" i="1"/>
  <c r="BG46" i="1"/>
  <c r="BH46" i="1"/>
  <c r="BL46" i="1" s="1"/>
  <c r="BM46" i="1" s="1"/>
  <c r="BI29" i="1"/>
  <c r="BH29" i="1"/>
  <c r="BL29" i="1" s="1"/>
  <c r="BM29" i="1" s="1"/>
  <c r="AC37" i="1"/>
  <c r="U18" i="1"/>
  <c r="U22" i="1"/>
  <c r="BG24" i="1"/>
  <c r="P27" i="1"/>
  <c r="L28" i="1"/>
  <c r="AY28" i="1" s="1"/>
  <c r="BA28" i="1" s="1"/>
  <c r="AZ29" i="1"/>
  <c r="BH32" i="1"/>
  <c r="BL32" i="1" s="1"/>
  <c r="BM32" i="1" s="1"/>
  <c r="BG32" i="1"/>
  <c r="L33" i="1"/>
  <c r="AY33" i="1" s="1"/>
  <c r="BA33" i="1" s="1"/>
  <c r="K33" i="1"/>
  <c r="J33" i="1" s="1"/>
  <c r="AJ33" i="1"/>
  <c r="P33" i="1"/>
  <c r="AC38" i="1"/>
  <c r="BI44" i="1"/>
  <c r="BH44" i="1"/>
  <c r="BL44" i="1" s="1"/>
  <c r="BM44" i="1" s="1"/>
  <c r="BG44" i="1"/>
  <c r="BH24" i="1"/>
  <c r="BL24" i="1" s="1"/>
  <c r="BM24" i="1" s="1"/>
  <c r="BH28" i="1"/>
  <c r="BL28" i="1" s="1"/>
  <c r="BM28" i="1" s="1"/>
  <c r="BG28" i="1"/>
  <c r="L31" i="1"/>
  <c r="AY31" i="1" s="1"/>
  <c r="BA31" i="1" s="1"/>
  <c r="K31" i="1"/>
  <c r="J31" i="1" s="1"/>
  <c r="AJ31" i="1"/>
  <c r="U40" i="1"/>
  <c r="CW40" i="1"/>
  <c r="AX40" i="1" s="1"/>
  <c r="AZ40" i="1" s="1"/>
  <c r="AZ44" i="1"/>
  <c r="AC48" i="1"/>
  <c r="P32" i="1"/>
  <c r="M32" i="1"/>
  <c r="L32" i="1"/>
  <c r="AY32" i="1" s="1"/>
  <c r="BA32" i="1" s="1"/>
  <c r="AC43" i="1"/>
  <c r="CW26" i="1"/>
  <c r="AX26" i="1" s="1"/>
  <c r="AZ26" i="1" s="1"/>
  <c r="U26" i="1"/>
  <c r="AJ28" i="1"/>
  <c r="BI28" i="1"/>
  <c r="V31" i="1"/>
  <c r="W31" i="1" s="1"/>
  <c r="K32" i="1"/>
  <c r="J32" i="1" s="1"/>
  <c r="AJ32" i="1"/>
  <c r="P35" i="1"/>
  <c r="L35" i="1"/>
  <c r="AY35" i="1" s="1"/>
  <c r="BA35" i="1" s="1"/>
  <c r="K35" i="1"/>
  <c r="J35" i="1" s="1"/>
  <c r="AJ35" i="1"/>
  <c r="K36" i="1"/>
  <c r="J36" i="1" s="1"/>
  <c r="BA37" i="1"/>
  <c r="AZ42" i="1"/>
  <c r="CW43" i="1"/>
  <c r="AX43" i="1" s="1"/>
  <c r="AZ43" i="1" s="1"/>
  <c r="U43" i="1"/>
  <c r="BH33" i="1"/>
  <c r="BL33" i="1" s="1"/>
  <c r="BM33" i="1" s="1"/>
  <c r="P38" i="1"/>
  <c r="P41" i="1"/>
  <c r="BI41" i="1"/>
  <c r="S42" i="1"/>
  <c r="Q42" i="1" s="1"/>
  <c r="T42" i="1" s="1"/>
  <c r="N42" i="1" s="1"/>
  <c r="O42" i="1" s="1"/>
  <c r="CW48" i="1"/>
  <c r="AX48" i="1" s="1"/>
  <c r="AZ48" i="1" s="1"/>
  <c r="U48" i="1"/>
  <c r="BG68" i="1"/>
  <c r="BI68" i="1"/>
  <c r="BH68" i="1"/>
  <c r="BL68" i="1" s="1"/>
  <c r="BM68" i="1" s="1"/>
  <c r="U28" i="1"/>
  <c r="U32" i="1"/>
  <c r="U36" i="1"/>
  <c r="AJ40" i="1"/>
  <c r="V42" i="1"/>
  <c r="W42" i="1" s="1"/>
  <c r="AD42" i="1" s="1"/>
  <c r="BH43" i="1"/>
  <c r="BL43" i="1" s="1"/>
  <c r="BM43" i="1" s="1"/>
  <c r="U44" i="1"/>
  <c r="BI49" i="1"/>
  <c r="BH49" i="1"/>
  <c r="BL49" i="1" s="1"/>
  <c r="BM49" i="1" s="1"/>
  <c r="BG49" i="1"/>
  <c r="BI50" i="1"/>
  <c r="BG50" i="1"/>
  <c r="M51" i="1"/>
  <c r="L51" i="1"/>
  <c r="AY51" i="1" s="1"/>
  <c r="K51" i="1"/>
  <c r="J51" i="1" s="1"/>
  <c r="AJ51" i="1"/>
  <c r="BA52" i="1"/>
  <c r="K39" i="1"/>
  <c r="J39" i="1" s="1"/>
  <c r="P40" i="1"/>
  <c r="P43" i="1"/>
  <c r="BI43" i="1"/>
  <c r="CW45" i="1"/>
  <c r="AX45" i="1" s="1"/>
  <c r="AZ45" i="1" s="1"/>
  <c r="U45" i="1"/>
  <c r="BH50" i="1"/>
  <c r="BL50" i="1" s="1"/>
  <c r="BM50" i="1" s="1"/>
  <c r="CW61" i="1"/>
  <c r="AX61" i="1" s="1"/>
  <c r="AZ61" i="1" s="1"/>
  <c r="U61" i="1"/>
  <c r="CW39" i="1"/>
  <c r="AX39" i="1" s="1"/>
  <c r="AZ39" i="1" s="1"/>
  <c r="U39" i="1"/>
  <c r="BA44" i="1"/>
  <c r="AC50" i="1"/>
  <c r="S56" i="1"/>
  <c r="Q56" i="1" s="1"/>
  <c r="T56" i="1" s="1"/>
  <c r="N56" i="1" s="1"/>
  <c r="O56" i="1" s="1"/>
  <c r="AC56" i="1"/>
  <c r="V35" i="1"/>
  <c r="W35" i="1" s="1"/>
  <c r="K41" i="1"/>
  <c r="J41" i="1" s="1"/>
  <c r="BG42" i="1"/>
  <c r="M47" i="1"/>
  <c r="L47" i="1"/>
  <c r="AY47" i="1" s="1"/>
  <c r="BA47" i="1" s="1"/>
  <c r="K47" i="1"/>
  <c r="J47" i="1" s="1"/>
  <c r="L49" i="1"/>
  <c r="AY49" i="1" s="1"/>
  <c r="BA49" i="1" s="1"/>
  <c r="U30" i="1"/>
  <c r="U34" i="1"/>
  <c r="L38" i="1"/>
  <c r="AY38" i="1" s="1"/>
  <c r="BA38" i="1" s="1"/>
  <c r="V38" i="1"/>
  <c r="W38" i="1" s="1"/>
  <c r="Y39" i="1"/>
  <c r="BH39" i="1"/>
  <c r="BL39" i="1" s="1"/>
  <c r="BM39" i="1" s="1"/>
  <c r="L41" i="1"/>
  <c r="AY41" i="1" s="1"/>
  <c r="BA41" i="1" s="1"/>
  <c r="AJ41" i="1"/>
  <c r="CW41" i="1"/>
  <c r="AX41" i="1" s="1"/>
  <c r="AZ41" i="1" s="1"/>
  <c r="U41" i="1"/>
  <c r="BH42" i="1"/>
  <c r="BL42" i="1" s="1"/>
  <c r="BM42" i="1" s="1"/>
  <c r="M45" i="1"/>
  <c r="K45" i="1"/>
  <c r="J45" i="1" s="1"/>
  <c r="BH45" i="1"/>
  <c r="BL45" i="1" s="1"/>
  <c r="BM45" i="1" s="1"/>
  <c r="AC46" i="1"/>
  <c r="P49" i="1"/>
  <c r="M49" i="1"/>
  <c r="K49" i="1"/>
  <c r="J49" i="1" s="1"/>
  <c r="CW49" i="1"/>
  <c r="AX49" i="1" s="1"/>
  <c r="AZ49" i="1" s="1"/>
  <c r="U49" i="1"/>
  <c r="CW50" i="1"/>
  <c r="AX50" i="1" s="1"/>
  <c r="AZ50" i="1" s="1"/>
  <c r="U50" i="1"/>
  <c r="CW51" i="1"/>
  <c r="AX51" i="1" s="1"/>
  <c r="AZ51" i="1" s="1"/>
  <c r="CW46" i="1"/>
  <c r="AX46" i="1" s="1"/>
  <c r="AZ46" i="1" s="1"/>
  <c r="U46" i="1"/>
  <c r="BH57" i="1"/>
  <c r="BL57" i="1" s="1"/>
  <c r="BM57" i="1" s="1"/>
  <c r="BG57" i="1"/>
  <c r="BI57" i="1"/>
  <c r="BH70" i="1"/>
  <c r="BL70" i="1" s="1"/>
  <c r="BM70" i="1" s="1"/>
  <c r="BG70" i="1"/>
  <c r="BI70" i="1"/>
  <c r="M46" i="1"/>
  <c r="BI47" i="1"/>
  <c r="M50" i="1"/>
  <c r="AZ53" i="1"/>
  <c r="BG58" i="1"/>
  <c r="BI58" i="1"/>
  <c r="BI60" i="1"/>
  <c r="BH60" i="1"/>
  <c r="BL60" i="1" s="1"/>
  <c r="BM60" i="1" s="1"/>
  <c r="BG60" i="1"/>
  <c r="K61" i="1"/>
  <c r="J61" i="1" s="1"/>
  <c r="AJ61" i="1"/>
  <c r="P61" i="1"/>
  <c r="M61" i="1"/>
  <c r="BG62" i="1"/>
  <c r="BI62" i="1"/>
  <c r="K65" i="1"/>
  <c r="J65" i="1" s="1"/>
  <c r="AJ65" i="1"/>
  <c r="P65" i="1"/>
  <c r="M65" i="1"/>
  <c r="M74" i="1"/>
  <c r="L74" i="1"/>
  <c r="AY74" i="1" s="1"/>
  <c r="BA74" i="1" s="1"/>
  <c r="K74" i="1"/>
  <c r="J74" i="1" s="1"/>
  <c r="AJ74" i="1"/>
  <c r="CW53" i="1"/>
  <c r="AX53" i="1" s="1"/>
  <c r="BA53" i="1" s="1"/>
  <c r="U53" i="1"/>
  <c r="AC57" i="1"/>
  <c r="M59" i="1"/>
  <c r="L59" i="1"/>
  <c r="AY59" i="1" s="1"/>
  <c r="BA59" i="1" s="1"/>
  <c r="K59" i="1"/>
  <c r="J59" i="1" s="1"/>
  <c r="AJ59" i="1"/>
  <c r="AD60" i="1"/>
  <c r="AZ60" i="1"/>
  <c r="BH62" i="1"/>
  <c r="BL62" i="1" s="1"/>
  <c r="BM62" i="1" s="1"/>
  <c r="BH72" i="1"/>
  <c r="BL72" i="1" s="1"/>
  <c r="BM72" i="1" s="1"/>
  <c r="BG72" i="1"/>
  <c r="BI72" i="1"/>
  <c r="K52" i="1"/>
  <c r="J52" i="1" s="1"/>
  <c r="M55" i="1"/>
  <c r="L55" i="1"/>
  <c r="AY55" i="1" s="1"/>
  <c r="BA55" i="1" s="1"/>
  <c r="AJ55" i="1"/>
  <c r="P59" i="1"/>
  <c r="L61" i="1"/>
  <c r="AY61" i="1" s="1"/>
  <c r="L65" i="1"/>
  <c r="AY65" i="1" s="1"/>
  <c r="L69" i="1"/>
  <c r="AY69" i="1" s="1"/>
  <c r="BA69" i="1" s="1"/>
  <c r="K69" i="1"/>
  <c r="J69" i="1" s="1"/>
  <c r="P69" i="1"/>
  <c r="M69" i="1"/>
  <c r="AJ69" i="1"/>
  <c r="AD55" i="1"/>
  <c r="BI56" i="1"/>
  <c r="BH56" i="1"/>
  <c r="BL56" i="1" s="1"/>
  <c r="BM56" i="1" s="1"/>
  <c r="CW57" i="1"/>
  <c r="AX57" i="1" s="1"/>
  <c r="AZ57" i="1" s="1"/>
  <c r="U57" i="1"/>
  <c r="AJ68" i="1"/>
  <c r="M68" i="1"/>
  <c r="K68" i="1"/>
  <c r="J68" i="1" s="1"/>
  <c r="P68" i="1"/>
  <c r="BG52" i="1"/>
  <c r="M54" i="1"/>
  <c r="L54" i="1"/>
  <c r="AY54" i="1" s="1"/>
  <c r="K54" i="1"/>
  <c r="J54" i="1" s="1"/>
  <c r="AJ54" i="1"/>
  <c r="P54" i="1"/>
  <c r="V56" i="1"/>
  <c r="W56" i="1" s="1"/>
  <c r="V59" i="1"/>
  <c r="W59" i="1" s="1"/>
  <c r="AD59" i="1" s="1"/>
  <c r="BI61" i="1"/>
  <c r="BH61" i="1"/>
  <c r="BL61" i="1" s="1"/>
  <c r="BM61" i="1" s="1"/>
  <c r="BG61" i="1"/>
  <c r="AZ64" i="1"/>
  <c r="BI65" i="1"/>
  <c r="BH65" i="1"/>
  <c r="BL65" i="1" s="1"/>
  <c r="BM65" i="1" s="1"/>
  <c r="BG65" i="1"/>
  <c r="AZ66" i="1"/>
  <c r="P74" i="1"/>
  <c r="AJ50" i="1"/>
  <c r="BH52" i="1"/>
  <c r="BL52" i="1" s="1"/>
  <c r="BM52" i="1" s="1"/>
  <c r="AC53" i="1"/>
  <c r="BH53" i="1"/>
  <c r="BL53" i="1" s="1"/>
  <c r="BM53" i="1" s="1"/>
  <c r="V55" i="1"/>
  <c r="W55" i="1" s="1"/>
  <c r="BA57" i="1"/>
  <c r="AZ62" i="1"/>
  <c r="M63" i="1"/>
  <c r="L63" i="1"/>
  <c r="AY63" i="1" s="1"/>
  <c r="BA63" i="1" s="1"/>
  <c r="K63" i="1"/>
  <c r="J63" i="1" s="1"/>
  <c r="AJ63" i="1"/>
  <c r="U47" i="1"/>
  <c r="U51" i="1"/>
  <c r="AZ52" i="1"/>
  <c r="BI53" i="1"/>
  <c r="BG54" i="1"/>
  <c r="BI54" i="1"/>
  <c r="CW54" i="1"/>
  <c r="AX54" i="1" s="1"/>
  <c r="AZ54" i="1" s="1"/>
  <c r="BG56" i="1"/>
  <c r="L68" i="1"/>
  <c r="AY68" i="1" s="1"/>
  <c r="BA68" i="1" s="1"/>
  <c r="M57" i="1"/>
  <c r="K60" i="1"/>
  <c r="J60" i="1" s="1"/>
  <c r="K64" i="1"/>
  <c r="J64" i="1" s="1"/>
  <c r="M70" i="1"/>
  <c r="AJ70" i="1"/>
  <c r="CW72" i="1"/>
  <c r="AX72" i="1" s="1"/>
  <c r="AZ72" i="1" s="1"/>
  <c r="U72" i="1"/>
  <c r="AJ80" i="1"/>
  <c r="P80" i="1"/>
  <c r="M80" i="1"/>
  <c r="L80" i="1"/>
  <c r="AY80" i="1" s="1"/>
  <c r="BA80" i="1" s="1"/>
  <c r="V92" i="1"/>
  <c r="W92" i="1" s="1"/>
  <c r="CW99" i="1"/>
  <c r="AX99" i="1" s="1"/>
  <c r="AZ99" i="1" s="1"/>
  <c r="U99" i="1"/>
  <c r="P58" i="1"/>
  <c r="P62" i="1"/>
  <c r="L64" i="1"/>
  <c r="AY64" i="1" s="1"/>
  <c r="BA64" i="1" s="1"/>
  <c r="P66" i="1"/>
  <c r="L67" i="1"/>
  <c r="AY67" i="1" s="1"/>
  <c r="BA67" i="1" s="1"/>
  <c r="V67" i="1"/>
  <c r="W67" i="1" s="1"/>
  <c r="Y68" i="1"/>
  <c r="P71" i="1"/>
  <c r="L71" i="1"/>
  <c r="AY71" i="1" s="1"/>
  <c r="BA71" i="1" s="1"/>
  <c r="K71" i="1"/>
  <c r="J71" i="1" s="1"/>
  <c r="Y72" i="1"/>
  <c r="AZ73" i="1"/>
  <c r="P75" i="1"/>
  <c r="M75" i="1"/>
  <c r="L75" i="1"/>
  <c r="AY75" i="1" s="1"/>
  <c r="BA75" i="1" s="1"/>
  <c r="K75" i="1"/>
  <c r="J75" i="1" s="1"/>
  <c r="AJ75" i="1"/>
  <c r="BA77" i="1"/>
  <c r="AZ79" i="1"/>
  <c r="P86" i="1"/>
  <c r="M86" i="1"/>
  <c r="L86" i="1"/>
  <c r="AY86" i="1" s="1"/>
  <c r="BA86" i="1" s="1"/>
  <c r="K86" i="1"/>
  <c r="J86" i="1" s="1"/>
  <c r="AJ58" i="1"/>
  <c r="V60" i="1"/>
  <c r="W60" i="1" s="1"/>
  <c r="AJ62" i="1"/>
  <c r="AJ66" i="1"/>
  <c r="AJ67" i="1"/>
  <c r="L70" i="1"/>
  <c r="AY70" i="1" s="1"/>
  <c r="Y70" i="1"/>
  <c r="BI77" i="1"/>
  <c r="BH77" i="1"/>
  <c r="BL77" i="1" s="1"/>
  <c r="BM77" i="1" s="1"/>
  <c r="M78" i="1"/>
  <c r="L78" i="1"/>
  <c r="AY78" i="1" s="1"/>
  <c r="BA78" i="1" s="1"/>
  <c r="K78" i="1"/>
  <c r="J78" i="1" s="1"/>
  <c r="AJ78" i="1"/>
  <c r="P78" i="1"/>
  <c r="K80" i="1"/>
  <c r="J80" i="1" s="1"/>
  <c r="M81" i="1"/>
  <c r="L81" i="1"/>
  <c r="AY81" i="1" s="1"/>
  <c r="BA81" i="1" s="1"/>
  <c r="K81" i="1"/>
  <c r="J81" i="1" s="1"/>
  <c r="P81" i="1"/>
  <c r="AC83" i="1"/>
  <c r="BA84" i="1"/>
  <c r="L87" i="1"/>
  <c r="AY87" i="1" s="1"/>
  <c r="BA87" i="1" s="1"/>
  <c r="AJ87" i="1"/>
  <c r="P87" i="1"/>
  <c r="M87" i="1"/>
  <c r="BG55" i="1"/>
  <c r="K58" i="1"/>
  <c r="J58" i="1" s="1"/>
  <c r="BG59" i="1"/>
  <c r="K62" i="1"/>
  <c r="J62" i="1" s="1"/>
  <c r="BG63" i="1"/>
  <c r="K66" i="1"/>
  <c r="J66" i="1" s="1"/>
  <c r="P67" i="1"/>
  <c r="CW70" i="1"/>
  <c r="AX70" i="1" s="1"/>
  <c r="AZ70" i="1" s="1"/>
  <c r="U70" i="1"/>
  <c r="V71" i="1"/>
  <c r="W71" i="1" s="1"/>
  <c r="AD71" i="1" s="1"/>
  <c r="BH74" i="1"/>
  <c r="BL74" i="1" s="1"/>
  <c r="BM74" i="1" s="1"/>
  <c r="BG74" i="1"/>
  <c r="AZ77" i="1"/>
  <c r="BI79" i="1"/>
  <c r="BH79" i="1"/>
  <c r="BL79" i="1" s="1"/>
  <c r="BM79" i="1" s="1"/>
  <c r="BG79" i="1"/>
  <c r="V83" i="1"/>
  <c r="W83" i="1" s="1"/>
  <c r="AJ94" i="1"/>
  <c r="P94" i="1"/>
  <c r="M94" i="1"/>
  <c r="L94" i="1"/>
  <c r="AY94" i="1" s="1"/>
  <c r="BA94" i="1" s="1"/>
  <c r="K94" i="1"/>
  <c r="J94" i="1" s="1"/>
  <c r="AJ53" i="1"/>
  <c r="BH55" i="1"/>
  <c r="BL55" i="1" s="1"/>
  <c r="BM55" i="1" s="1"/>
  <c r="AJ57" i="1"/>
  <c r="L58" i="1"/>
  <c r="AY58" i="1" s="1"/>
  <c r="BA58" i="1" s="1"/>
  <c r="L62" i="1"/>
  <c r="AY62" i="1" s="1"/>
  <c r="BA62" i="1" s="1"/>
  <c r="L66" i="1"/>
  <c r="AY66" i="1" s="1"/>
  <c r="CW66" i="1"/>
  <c r="AX66" i="1" s="1"/>
  <c r="BH67" i="1"/>
  <c r="BL67" i="1" s="1"/>
  <c r="BM67" i="1" s="1"/>
  <c r="CW68" i="1"/>
  <c r="AX68" i="1" s="1"/>
  <c r="AZ68" i="1" s="1"/>
  <c r="U68" i="1"/>
  <c r="P70" i="1"/>
  <c r="AZ71" i="1"/>
  <c r="AJ72" i="1"/>
  <c r="P72" i="1"/>
  <c r="M72" i="1"/>
  <c r="BI74" i="1"/>
  <c r="AC82" i="1"/>
  <c r="S82" i="1"/>
  <c r="Q82" i="1" s="1"/>
  <c r="T82" i="1" s="1"/>
  <c r="N82" i="1" s="1"/>
  <c r="O82" i="1" s="1"/>
  <c r="BA73" i="1"/>
  <c r="AJ76" i="1"/>
  <c r="P76" i="1"/>
  <c r="M76" i="1"/>
  <c r="L76" i="1"/>
  <c r="AY76" i="1" s="1"/>
  <c r="BA76" i="1" s="1"/>
  <c r="BG77" i="1"/>
  <c r="P79" i="1"/>
  <c r="M79" i="1"/>
  <c r="L79" i="1"/>
  <c r="AY79" i="1" s="1"/>
  <c r="BA79" i="1" s="1"/>
  <c r="K79" i="1"/>
  <c r="J79" i="1" s="1"/>
  <c r="AJ79" i="1"/>
  <c r="K87" i="1"/>
  <c r="J87" i="1" s="1"/>
  <c r="AD82" i="1"/>
  <c r="AD86" i="1"/>
  <c r="L95" i="1"/>
  <c r="AY95" i="1" s="1"/>
  <c r="BA95" i="1" s="1"/>
  <c r="K95" i="1"/>
  <c r="J95" i="1" s="1"/>
  <c r="V95" i="1" s="1"/>
  <c r="W95" i="1" s="1"/>
  <c r="AJ95" i="1"/>
  <c r="P95" i="1"/>
  <c r="AC100" i="1"/>
  <c r="U76" i="1"/>
  <c r="BG76" i="1"/>
  <c r="U80" i="1"/>
  <c r="BG80" i="1"/>
  <c r="BH81" i="1"/>
  <c r="BL81" i="1" s="1"/>
  <c r="BM81" i="1" s="1"/>
  <c r="AD87" i="1"/>
  <c r="AZ87" i="1"/>
  <c r="BA99" i="1"/>
  <c r="CW100" i="1"/>
  <c r="AX100" i="1" s="1"/>
  <c r="AZ100" i="1" s="1"/>
  <c r="U100" i="1"/>
  <c r="P73" i="1"/>
  <c r="BH76" i="1"/>
  <c r="BL76" i="1" s="1"/>
  <c r="BM76" i="1" s="1"/>
  <c r="P77" i="1"/>
  <c r="BH80" i="1"/>
  <c r="BL80" i="1" s="1"/>
  <c r="BM80" i="1" s="1"/>
  <c r="BI81" i="1"/>
  <c r="CW83" i="1"/>
  <c r="AX83" i="1" s="1"/>
  <c r="BA83" i="1" s="1"/>
  <c r="V84" i="1"/>
  <c r="W84" i="1" s="1"/>
  <c r="AZ86" i="1"/>
  <c r="P89" i="1"/>
  <c r="M89" i="1"/>
  <c r="L89" i="1"/>
  <c r="AY89" i="1" s="1"/>
  <c r="BA89" i="1" s="1"/>
  <c r="K89" i="1"/>
  <c r="J89" i="1" s="1"/>
  <c r="AJ89" i="1"/>
  <c r="AJ90" i="1"/>
  <c r="P90" i="1"/>
  <c r="M90" i="1"/>
  <c r="L90" i="1"/>
  <c r="AY90" i="1" s="1"/>
  <c r="BA90" i="1" s="1"/>
  <c r="M95" i="1"/>
  <c r="AZ95" i="1"/>
  <c r="V82" i="1"/>
  <c r="W82" i="1" s="1"/>
  <c r="AD83" i="1"/>
  <c r="V87" i="1"/>
  <c r="W87" i="1" s="1"/>
  <c r="AC92" i="1"/>
  <c r="BI94" i="1"/>
  <c r="BH94" i="1"/>
  <c r="BL94" i="1" s="1"/>
  <c r="BM94" i="1" s="1"/>
  <c r="BG94" i="1"/>
  <c r="AJ73" i="1"/>
  <c r="V75" i="1"/>
  <c r="W75" i="1" s="1"/>
  <c r="AJ77" i="1"/>
  <c r="V79" i="1"/>
  <c r="W79" i="1" s="1"/>
  <c r="AD79" i="1" s="1"/>
  <c r="V85" i="1"/>
  <c r="W85" i="1" s="1"/>
  <c r="V88" i="1"/>
  <c r="W88" i="1" s="1"/>
  <c r="BI89" i="1"/>
  <c r="BH89" i="1"/>
  <c r="BL89" i="1" s="1"/>
  <c r="BM89" i="1" s="1"/>
  <c r="BG89" i="1"/>
  <c r="L91" i="1"/>
  <c r="AY91" i="1" s="1"/>
  <c r="BA91" i="1" s="1"/>
  <c r="K91" i="1"/>
  <c r="J91" i="1" s="1"/>
  <c r="AJ91" i="1"/>
  <c r="P91" i="1"/>
  <c r="BA96" i="1"/>
  <c r="K73" i="1"/>
  <c r="J73" i="1" s="1"/>
  <c r="V73" i="1" s="1"/>
  <c r="W73" i="1" s="1"/>
  <c r="U74" i="1"/>
  <c r="K77" i="1"/>
  <c r="J77" i="1" s="1"/>
  <c r="U78" i="1"/>
  <c r="BG78" i="1"/>
  <c r="V81" i="1"/>
  <c r="W81" i="1" s="1"/>
  <c r="M82" i="1"/>
  <c r="AJ83" i="1"/>
  <c r="P83" i="1"/>
  <c r="BI83" i="1"/>
  <c r="AZ84" i="1"/>
  <c r="AC88" i="1"/>
  <c r="S88" i="1"/>
  <c r="Q88" i="1" s="1"/>
  <c r="T88" i="1" s="1"/>
  <c r="N88" i="1" s="1"/>
  <c r="O88" i="1" s="1"/>
  <c r="K90" i="1"/>
  <c r="J90" i="1" s="1"/>
  <c r="BH92" i="1"/>
  <c r="BL92" i="1" s="1"/>
  <c r="BM92" i="1" s="1"/>
  <c r="BG92" i="1"/>
  <c r="P93" i="1"/>
  <c r="M93" i="1"/>
  <c r="L93" i="1"/>
  <c r="AY93" i="1" s="1"/>
  <c r="BA93" i="1" s="1"/>
  <c r="K93" i="1"/>
  <c r="J93" i="1" s="1"/>
  <c r="AJ93" i="1"/>
  <c r="Y94" i="1"/>
  <c r="M85" i="1"/>
  <c r="L85" i="1"/>
  <c r="AY85" i="1" s="1"/>
  <c r="BA85" i="1" s="1"/>
  <c r="K85" i="1"/>
  <c r="J85" i="1" s="1"/>
  <c r="AJ85" i="1"/>
  <c r="BH85" i="1"/>
  <c r="BL85" i="1" s="1"/>
  <c r="BM85" i="1" s="1"/>
  <c r="BG85" i="1"/>
  <c r="CW97" i="1"/>
  <c r="AX97" i="1" s="1"/>
  <c r="AZ97" i="1" s="1"/>
  <c r="U97" i="1"/>
  <c r="P84" i="1"/>
  <c r="BH87" i="1"/>
  <c r="BL87" i="1" s="1"/>
  <c r="BM87" i="1" s="1"/>
  <c r="BH91" i="1"/>
  <c r="BL91" i="1" s="1"/>
  <c r="BM91" i="1" s="1"/>
  <c r="BH95" i="1"/>
  <c r="BL95" i="1" s="1"/>
  <c r="BM95" i="1" s="1"/>
  <c r="M98" i="1"/>
  <c r="K98" i="1"/>
  <c r="J98" i="1" s="1"/>
  <c r="M101" i="1"/>
  <c r="L101" i="1"/>
  <c r="AY101" i="1" s="1"/>
  <c r="BA101" i="1" s="1"/>
  <c r="K101" i="1"/>
  <c r="J101" i="1" s="1"/>
  <c r="P101" i="1"/>
  <c r="BI102" i="1"/>
  <c r="BH102" i="1"/>
  <c r="BL102" i="1" s="1"/>
  <c r="BM102" i="1" s="1"/>
  <c r="BG102" i="1"/>
  <c r="M109" i="1"/>
  <c r="L109" i="1"/>
  <c r="AY109" i="1" s="1"/>
  <c r="BA109" i="1" s="1"/>
  <c r="K109" i="1"/>
  <c r="J109" i="1" s="1"/>
  <c r="AJ109" i="1"/>
  <c r="P109" i="1"/>
  <c r="U90" i="1"/>
  <c r="BG90" i="1"/>
  <c r="U94" i="1"/>
  <c r="AJ96" i="1"/>
  <c r="P99" i="1"/>
  <c r="M105" i="1"/>
  <c r="L105" i="1"/>
  <c r="AY105" i="1" s="1"/>
  <c r="BA105" i="1" s="1"/>
  <c r="K105" i="1"/>
  <c r="J105" i="1" s="1"/>
  <c r="AJ105" i="1"/>
  <c r="P105" i="1"/>
  <c r="BG113" i="1"/>
  <c r="BI113" i="1"/>
  <c r="BH113" i="1"/>
  <c r="BL113" i="1" s="1"/>
  <c r="BM113" i="1" s="1"/>
  <c r="BH82" i="1"/>
  <c r="BL82" i="1" s="1"/>
  <c r="BM82" i="1" s="1"/>
  <c r="AJ84" i="1"/>
  <c r="V86" i="1"/>
  <c r="W86" i="1" s="1"/>
  <c r="BH86" i="1"/>
  <c r="BL86" i="1" s="1"/>
  <c r="BM86" i="1" s="1"/>
  <c r="AJ88" i="1"/>
  <c r="BH90" i="1"/>
  <c r="BL90" i="1" s="1"/>
  <c r="BM90" i="1" s="1"/>
  <c r="AJ92" i="1"/>
  <c r="BG97" i="1"/>
  <c r="BI97" i="1"/>
  <c r="BI99" i="1"/>
  <c r="BG99" i="1"/>
  <c r="P107" i="1"/>
  <c r="M107" i="1"/>
  <c r="L107" i="1"/>
  <c r="AY107" i="1" s="1"/>
  <c r="BA107" i="1" s="1"/>
  <c r="K107" i="1"/>
  <c r="J107" i="1" s="1"/>
  <c r="AJ107" i="1"/>
  <c r="AC108" i="1"/>
  <c r="P111" i="1"/>
  <c r="M111" i="1"/>
  <c r="L111" i="1"/>
  <c r="AY111" i="1" s="1"/>
  <c r="BA111" i="1" s="1"/>
  <c r="K111" i="1"/>
  <c r="J111" i="1" s="1"/>
  <c r="AJ111" i="1"/>
  <c r="K84" i="1"/>
  <c r="J84" i="1" s="1"/>
  <c r="U89" i="1"/>
  <c r="U93" i="1"/>
  <c r="BG93" i="1"/>
  <c r="K96" i="1"/>
  <c r="J96" i="1" s="1"/>
  <c r="V96" i="1" s="1"/>
  <c r="W96" i="1" s="1"/>
  <c r="BH96" i="1"/>
  <c r="BL96" i="1" s="1"/>
  <c r="BM96" i="1" s="1"/>
  <c r="BH97" i="1"/>
  <c r="BL97" i="1" s="1"/>
  <c r="BM97" i="1" s="1"/>
  <c r="L98" i="1"/>
  <c r="AY98" i="1" s="1"/>
  <c r="BA98" i="1" s="1"/>
  <c r="CW98" i="1"/>
  <c r="AX98" i="1" s="1"/>
  <c r="AZ98" i="1" s="1"/>
  <c r="U98" i="1"/>
  <c r="BA100" i="1"/>
  <c r="P103" i="1"/>
  <c r="M103" i="1"/>
  <c r="L103" i="1"/>
  <c r="AY103" i="1" s="1"/>
  <c r="BA103" i="1" s="1"/>
  <c r="K103" i="1"/>
  <c r="J103" i="1" s="1"/>
  <c r="AJ103" i="1"/>
  <c r="AC104" i="1"/>
  <c r="BI111" i="1"/>
  <c r="BH111" i="1"/>
  <c r="BL111" i="1" s="1"/>
  <c r="BM111" i="1" s="1"/>
  <c r="BG111" i="1"/>
  <c r="BA97" i="1"/>
  <c r="M99" i="1"/>
  <c r="K99" i="1"/>
  <c r="J99" i="1" s="1"/>
  <c r="BI100" i="1"/>
  <c r="BH100" i="1"/>
  <c r="BL100" i="1" s="1"/>
  <c r="BM100" i="1" s="1"/>
  <c r="BG100" i="1"/>
  <c r="M114" i="1"/>
  <c r="L114" i="1"/>
  <c r="AY114" i="1" s="1"/>
  <c r="BA114" i="1" s="1"/>
  <c r="K114" i="1"/>
  <c r="J114" i="1" s="1"/>
  <c r="AJ114" i="1"/>
  <c r="P114" i="1"/>
  <c r="P98" i="1"/>
  <c r="BA108" i="1"/>
  <c r="BI108" i="1"/>
  <c r="BH108" i="1"/>
  <c r="BL108" i="1" s="1"/>
  <c r="BM108" i="1" s="1"/>
  <c r="BG108" i="1"/>
  <c r="M110" i="1"/>
  <c r="L110" i="1"/>
  <c r="AY110" i="1" s="1"/>
  <c r="BA110" i="1" s="1"/>
  <c r="K110" i="1"/>
  <c r="J110" i="1" s="1"/>
  <c r="AJ110" i="1"/>
  <c r="P110" i="1"/>
  <c r="BI98" i="1"/>
  <c r="BG98" i="1"/>
  <c r="BI104" i="1"/>
  <c r="BH104" i="1"/>
  <c r="BL104" i="1" s="1"/>
  <c r="BM104" i="1" s="1"/>
  <c r="BG104" i="1"/>
  <c r="M106" i="1"/>
  <c r="L106" i="1"/>
  <c r="AY106" i="1" s="1"/>
  <c r="BA106" i="1" s="1"/>
  <c r="K106" i="1"/>
  <c r="J106" i="1" s="1"/>
  <c r="AJ106" i="1"/>
  <c r="P106" i="1"/>
  <c r="K112" i="1"/>
  <c r="J112" i="1" s="1"/>
  <c r="AJ112" i="1"/>
  <c r="P112" i="1"/>
  <c r="M112" i="1"/>
  <c r="L112" i="1"/>
  <c r="AY112" i="1" s="1"/>
  <c r="BA112" i="1" s="1"/>
  <c r="BH105" i="1"/>
  <c r="BL105" i="1" s="1"/>
  <c r="BM105" i="1" s="1"/>
  <c r="BH109" i="1"/>
  <c r="BL109" i="1" s="1"/>
  <c r="BM109" i="1" s="1"/>
  <c r="M100" i="1"/>
  <c r="BI101" i="1"/>
  <c r="M104" i="1"/>
  <c r="U104" i="1"/>
  <c r="BI105" i="1"/>
  <c r="M108" i="1"/>
  <c r="U108" i="1"/>
  <c r="BI109" i="1"/>
  <c r="U112" i="1"/>
  <c r="BG112" i="1"/>
  <c r="U103" i="1"/>
  <c r="BG103" i="1"/>
  <c r="U107" i="1"/>
  <c r="BG107" i="1"/>
  <c r="U111" i="1"/>
  <c r="K97" i="1"/>
  <c r="J97" i="1" s="1"/>
  <c r="U102" i="1"/>
  <c r="U106" i="1"/>
  <c r="U110" i="1"/>
  <c r="BG110" i="1"/>
  <c r="K113" i="1"/>
  <c r="J113" i="1" s="1"/>
  <c r="U114" i="1"/>
  <c r="BG114" i="1"/>
  <c r="BH110" i="1"/>
  <c r="BL110" i="1" s="1"/>
  <c r="BM110" i="1" s="1"/>
  <c r="U101" i="1"/>
  <c r="U105" i="1"/>
  <c r="U109" i="1"/>
  <c r="U113" i="1"/>
  <c r="X95" i="1" l="1"/>
  <c r="AB95" i="1" s="1"/>
  <c r="AE95" i="1"/>
  <c r="AF95" i="1" s="1"/>
  <c r="AD95" i="1"/>
  <c r="X73" i="1"/>
  <c r="AB73" i="1" s="1"/>
  <c r="AE73" i="1"/>
  <c r="AF73" i="1" s="1"/>
  <c r="AD73" i="1"/>
  <c r="AE96" i="1"/>
  <c r="X96" i="1"/>
  <c r="AB96" i="1" s="1"/>
  <c r="AD96" i="1"/>
  <c r="V111" i="1"/>
  <c r="W111" i="1" s="1"/>
  <c r="V32" i="1"/>
  <c r="W32" i="1" s="1"/>
  <c r="V40" i="1"/>
  <c r="W40" i="1" s="1"/>
  <c r="AC18" i="1"/>
  <c r="S18" i="1"/>
  <c r="Q18" i="1" s="1"/>
  <c r="T18" i="1" s="1"/>
  <c r="N18" i="1" s="1"/>
  <c r="O18" i="1" s="1"/>
  <c r="V114" i="1"/>
  <c r="W114" i="1" s="1"/>
  <c r="S114" i="1" s="1"/>
  <c r="Q114" i="1" s="1"/>
  <c r="T114" i="1" s="1"/>
  <c r="N114" i="1" s="1"/>
  <c r="O114" i="1" s="1"/>
  <c r="X87" i="1"/>
  <c r="AB87" i="1" s="1"/>
  <c r="AE87" i="1"/>
  <c r="AC80" i="1"/>
  <c r="X60" i="1"/>
  <c r="AB60" i="1" s="1"/>
  <c r="AE60" i="1"/>
  <c r="AF60" i="1" s="1"/>
  <c r="AD92" i="1"/>
  <c r="X92" i="1"/>
  <c r="AB92" i="1" s="1"/>
  <c r="AE92" i="1"/>
  <c r="BA72" i="1"/>
  <c r="AE55" i="1"/>
  <c r="AF55" i="1" s="1"/>
  <c r="X55" i="1"/>
  <c r="AB55" i="1" s="1"/>
  <c r="AC54" i="1"/>
  <c r="S54" i="1"/>
  <c r="Q54" i="1" s="1"/>
  <c r="T54" i="1" s="1"/>
  <c r="N54" i="1" s="1"/>
  <c r="O54" i="1" s="1"/>
  <c r="V54" i="1"/>
  <c r="W54" i="1" s="1"/>
  <c r="BA65" i="1"/>
  <c r="V52" i="1"/>
  <c r="W52" i="1" s="1"/>
  <c r="S52" i="1" s="1"/>
  <c r="Q52" i="1" s="1"/>
  <c r="T52" i="1" s="1"/>
  <c r="N52" i="1" s="1"/>
  <c r="O52" i="1" s="1"/>
  <c r="AC52" i="1"/>
  <c r="AC61" i="1"/>
  <c r="V50" i="1"/>
  <c r="W50" i="1" s="1"/>
  <c r="AC47" i="1"/>
  <c r="V28" i="1"/>
  <c r="W28" i="1" s="1"/>
  <c r="X29" i="1"/>
  <c r="AB29" i="1" s="1"/>
  <c r="AE29" i="1"/>
  <c r="AF29" i="1" s="1"/>
  <c r="AD29" i="1"/>
  <c r="S29" i="1"/>
  <c r="Q29" i="1" s="1"/>
  <c r="T29" i="1" s="1"/>
  <c r="N29" i="1" s="1"/>
  <c r="O29" i="1" s="1"/>
  <c r="AC29" i="1"/>
  <c r="V20" i="1"/>
  <c r="W20" i="1" s="1"/>
  <c r="AD21" i="1"/>
  <c r="X21" i="1"/>
  <c r="AB21" i="1" s="1"/>
  <c r="AE21" i="1"/>
  <c r="AF21" i="1" s="1"/>
  <c r="S73" i="1"/>
  <c r="Q73" i="1" s="1"/>
  <c r="T73" i="1" s="1"/>
  <c r="N73" i="1" s="1"/>
  <c r="O73" i="1" s="1"/>
  <c r="AC73" i="1"/>
  <c r="AE67" i="1"/>
  <c r="X67" i="1"/>
  <c r="AB67" i="1" s="1"/>
  <c r="AD37" i="1"/>
  <c r="X37" i="1"/>
  <c r="AB37" i="1" s="1"/>
  <c r="AE37" i="1"/>
  <c r="AC103" i="1"/>
  <c r="AC111" i="1"/>
  <c r="S111" i="1"/>
  <c r="Q111" i="1" s="1"/>
  <c r="T111" i="1" s="1"/>
  <c r="N111" i="1" s="1"/>
  <c r="O111" i="1" s="1"/>
  <c r="AC113" i="1"/>
  <c r="V107" i="1"/>
  <c r="W107" i="1" s="1"/>
  <c r="V94" i="1"/>
  <c r="W94" i="1" s="1"/>
  <c r="S94" i="1" s="1"/>
  <c r="Q94" i="1" s="1"/>
  <c r="T94" i="1" s="1"/>
  <c r="N94" i="1" s="1"/>
  <c r="O94" i="1" s="1"/>
  <c r="AC98" i="1"/>
  <c r="AC90" i="1"/>
  <c r="V100" i="1"/>
  <c r="W100" i="1" s="1"/>
  <c r="AC87" i="1"/>
  <c r="S87" i="1"/>
  <c r="Q87" i="1" s="1"/>
  <c r="T87" i="1" s="1"/>
  <c r="N87" i="1" s="1"/>
  <c r="O87" i="1" s="1"/>
  <c r="AC62" i="1"/>
  <c r="S62" i="1"/>
  <c r="Q62" i="1" s="1"/>
  <c r="T62" i="1" s="1"/>
  <c r="N62" i="1" s="1"/>
  <c r="O62" i="1" s="1"/>
  <c r="V62" i="1"/>
  <c r="W62" i="1" s="1"/>
  <c r="BA54" i="1"/>
  <c r="BA61" i="1"/>
  <c r="AC59" i="1"/>
  <c r="S59" i="1"/>
  <c r="Q59" i="1" s="1"/>
  <c r="T59" i="1" s="1"/>
  <c r="N59" i="1" s="1"/>
  <c r="O59" i="1" s="1"/>
  <c r="AC74" i="1"/>
  <c r="AC65" i="1"/>
  <c r="V45" i="1"/>
  <c r="W45" i="1" s="1"/>
  <c r="AC32" i="1"/>
  <c r="S32" i="1"/>
  <c r="Q32" i="1" s="1"/>
  <c r="T32" i="1" s="1"/>
  <c r="N32" i="1" s="1"/>
  <c r="O32" i="1" s="1"/>
  <c r="S33" i="1"/>
  <c r="Q33" i="1" s="1"/>
  <c r="T33" i="1" s="1"/>
  <c r="N33" i="1" s="1"/>
  <c r="O33" i="1" s="1"/>
  <c r="AC33" i="1"/>
  <c r="V22" i="1"/>
  <c r="W22" i="1" s="1"/>
  <c r="BA43" i="1"/>
  <c r="V19" i="1"/>
  <c r="W19" i="1" s="1"/>
  <c r="AC19" i="1"/>
  <c r="S19" i="1"/>
  <c r="Q19" i="1" s="1"/>
  <c r="T19" i="1" s="1"/>
  <c r="N19" i="1" s="1"/>
  <c r="O19" i="1" s="1"/>
  <c r="S21" i="1"/>
  <c r="Q21" i="1" s="1"/>
  <c r="T21" i="1" s="1"/>
  <c r="N21" i="1" s="1"/>
  <c r="O21" i="1" s="1"/>
  <c r="S27" i="1"/>
  <c r="Q27" i="1" s="1"/>
  <c r="T27" i="1" s="1"/>
  <c r="N27" i="1" s="1"/>
  <c r="O27" i="1" s="1"/>
  <c r="AC27" i="1"/>
  <c r="V113" i="1"/>
  <c r="W113" i="1" s="1"/>
  <c r="V104" i="1"/>
  <c r="W104" i="1" s="1"/>
  <c r="S96" i="1"/>
  <c r="Q96" i="1" s="1"/>
  <c r="T96" i="1" s="1"/>
  <c r="N96" i="1" s="1"/>
  <c r="O96" i="1" s="1"/>
  <c r="AC96" i="1"/>
  <c r="AE81" i="1"/>
  <c r="AF81" i="1" s="1"/>
  <c r="X81" i="1"/>
  <c r="AB81" i="1" s="1"/>
  <c r="X84" i="1"/>
  <c r="AB84" i="1" s="1"/>
  <c r="AE84" i="1"/>
  <c r="AF84" i="1" s="1"/>
  <c r="AD84" i="1"/>
  <c r="AD81" i="1"/>
  <c r="V68" i="1"/>
  <c r="W68" i="1" s="1"/>
  <c r="S68" i="1" s="1"/>
  <c r="Q68" i="1" s="1"/>
  <c r="T68" i="1" s="1"/>
  <c r="N68" i="1" s="1"/>
  <c r="O68" i="1" s="1"/>
  <c r="X71" i="1"/>
  <c r="AB71" i="1" s="1"/>
  <c r="AE71" i="1"/>
  <c r="AE59" i="1"/>
  <c r="X59" i="1"/>
  <c r="AB59" i="1" s="1"/>
  <c r="V57" i="1"/>
  <c r="W57" i="1" s="1"/>
  <c r="V49" i="1"/>
  <c r="W49" i="1" s="1"/>
  <c r="S49" i="1" s="1"/>
  <c r="Q49" i="1" s="1"/>
  <c r="T49" i="1" s="1"/>
  <c r="N49" i="1" s="1"/>
  <c r="O49" i="1" s="1"/>
  <c r="AC45" i="1"/>
  <c r="S45" i="1"/>
  <c r="Q45" i="1" s="1"/>
  <c r="T45" i="1" s="1"/>
  <c r="N45" i="1" s="1"/>
  <c r="O45" i="1" s="1"/>
  <c r="BA48" i="1"/>
  <c r="AC51" i="1"/>
  <c r="V44" i="1"/>
  <c r="W44" i="1" s="1"/>
  <c r="AC36" i="1"/>
  <c r="S36" i="1"/>
  <c r="Q36" i="1" s="1"/>
  <c r="T36" i="1" s="1"/>
  <c r="N36" i="1" s="1"/>
  <c r="O36" i="1" s="1"/>
  <c r="AE31" i="1"/>
  <c r="AF31" i="1" s="1"/>
  <c r="X31" i="1"/>
  <c r="AB31" i="1" s="1"/>
  <c r="S31" i="1"/>
  <c r="Q31" i="1" s="1"/>
  <c r="T31" i="1" s="1"/>
  <c r="N31" i="1" s="1"/>
  <c r="O31" i="1" s="1"/>
  <c r="AC31" i="1"/>
  <c r="V18" i="1"/>
  <c r="W18" i="1" s="1"/>
  <c r="AC28" i="1"/>
  <c r="S28" i="1"/>
  <c r="Q28" i="1" s="1"/>
  <c r="T28" i="1" s="1"/>
  <c r="N28" i="1" s="1"/>
  <c r="O28" i="1" s="1"/>
  <c r="V33" i="1"/>
  <c r="W33" i="1" s="1"/>
  <c r="AC107" i="1"/>
  <c r="S107" i="1"/>
  <c r="Q107" i="1" s="1"/>
  <c r="T107" i="1" s="1"/>
  <c r="N107" i="1" s="1"/>
  <c r="O107" i="1" s="1"/>
  <c r="X75" i="1"/>
  <c r="AB75" i="1" s="1"/>
  <c r="AE75" i="1"/>
  <c r="AC66" i="1"/>
  <c r="S66" i="1"/>
  <c r="Q66" i="1" s="1"/>
  <c r="T66" i="1" s="1"/>
  <c r="N66" i="1" s="1"/>
  <c r="O66" i="1" s="1"/>
  <c r="V66" i="1"/>
  <c r="W66" i="1" s="1"/>
  <c r="AC39" i="1"/>
  <c r="V109" i="1"/>
  <c r="W109" i="1" s="1"/>
  <c r="V110" i="1"/>
  <c r="W110" i="1" s="1"/>
  <c r="V103" i="1"/>
  <c r="W103" i="1" s="1"/>
  <c r="AC110" i="1"/>
  <c r="X86" i="1"/>
  <c r="AB86" i="1" s="1"/>
  <c r="AE86" i="1"/>
  <c r="V90" i="1"/>
  <c r="W90" i="1" s="1"/>
  <c r="AC93" i="1"/>
  <c r="AD88" i="1"/>
  <c r="X88" i="1"/>
  <c r="AB88" i="1" s="1"/>
  <c r="AE88" i="1"/>
  <c r="AF88" i="1" s="1"/>
  <c r="AE82" i="1"/>
  <c r="AF82" i="1" s="1"/>
  <c r="X82" i="1"/>
  <c r="AB82" i="1" s="1"/>
  <c r="V80" i="1"/>
  <c r="W80" i="1" s="1"/>
  <c r="S80" i="1" s="1"/>
  <c r="Q80" i="1" s="1"/>
  <c r="T80" i="1" s="1"/>
  <c r="N80" i="1" s="1"/>
  <c r="O80" i="1" s="1"/>
  <c r="S95" i="1"/>
  <c r="Q95" i="1" s="1"/>
  <c r="T95" i="1" s="1"/>
  <c r="N95" i="1" s="1"/>
  <c r="O95" i="1" s="1"/>
  <c r="AC95" i="1"/>
  <c r="AC79" i="1"/>
  <c r="S79" i="1"/>
  <c r="Q79" i="1" s="1"/>
  <c r="T79" i="1" s="1"/>
  <c r="N79" i="1" s="1"/>
  <c r="O79" i="1" s="1"/>
  <c r="X83" i="1"/>
  <c r="AB83" i="1" s="1"/>
  <c r="AE83" i="1"/>
  <c r="AF83" i="1" s="1"/>
  <c r="AC58" i="1"/>
  <c r="S58" i="1"/>
  <c r="Q58" i="1" s="1"/>
  <c r="T58" i="1" s="1"/>
  <c r="N58" i="1" s="1"/>
  <c r="O58" i="1" s="1"/>
  <c r="V58" i="1"/>
  <c r="W58" i="1" s="1"/>
  <c r="S83" i="1"/>
  <c r="Q83" i="1" s="1"/>
  <c r="T83" i="1" s="1"/>
  <c r="N83" i="1" s="1"/>
  <c r="O83" i="1" s="1"/>
  <c r="AC78" i="1"/>
  <c r="S78" i="1"/>
  <c r="Q78" i="1" s="1"/>
  <c r="T78" i="1" s="1"/>
  <c r="N78" i="1" s="1"/>
  <c r="O78" i="1" s="1"/>
  <c r="BA70" i="1"/>
  <c r="S71" i="1"/>
  <c r="Q71" i="1" s="1"/>
  <c r="T71" i="1" s="1"/>
  <c r="N71" i="1" s="1"/>
  <c r="O71" i="1" s="1"/>
  <c r="AC71" i="1"/>
  <c r="AC64" i="1"/>
  <c r="AC63" i="1"/>
  <c r="X56" i="1"/>
  <c r="AB56" i="1" s="1"/>
  <c r="AE56" i="1"/>
  <c r="V46" i="1"/>
  <c r="W46" i="1" s="1"/>
  <c r="AE38" i="1"/>
  <c r="AF38" i="1" s="1"/>
  <c r="X38" i="1"/>
  <c r="AB38" i="1" s="1"/>
  <c r="AD38" i="1"/>
  <c r="BA51" i="1"/>
  <c r="S37" i="1"/>
  <c r="Q37" i="1" s="1"/>
  <c r="T37" i="1" s="1"/>
  <c r="N37" i="1" s="1"/>
  <c r="O37" i="1" s="1"/>
  <c r="BA39" i="1"/>
  <c r="V27" i="1"/>
  <c r="W27" i="1" s="1"/>
  <c r="S20" i="1"/>
  <c r="Q20" i="1" s="1"/>
  <c r="T20" i="1" s="1"/>
  <c r="N20" i="1" s="1"/>
  <c r="O20" i="1" s="1"/>
  <c r="AC20" i="1"/>
  <c r="BA26" i="1"/>
  <c r="AC106" i="1"/>
  <c r="V97" i="1"/>
  <c r="W97" i="1" s="1"/>
  <c r="V47" i="1"/>
  <c r="W47" i="1" s="1"/>
  <c r="V105" i="1"/>
  <c r="W105" i="1" s="1"/>
  <c r="V106" i="1"/>
  <c r="W106" i="1" s="1"/>
  <c r="S106" i="1" s="1"/>
  <c r="Q106" i="1" s="1"/>
  <c r="T106" i="1" s="1"/>
  <c r="N106" i="1" s="1"/>
  <c r="O106" i="1" s="1"/>
  <c r="S112" i="1"/>
  <c r="Q112" i="1" s="1"/>
  <c r="T112" i="1" s="1"/>
  <c r="N112" i="1" s="1"/>
  <c r="O112" i="1" s="1"/>
  <c r="AC112" i="1"/>
  <c r="V93" i="1"/>
  <c r="W93" i="1" s="1"/>
  <c r="AC105" i="1"/>
  <c r="S105" i="1"/>
  <c r="Q105" i="1" s="1"/>
  <c r="T105" i="1" s="1"/>
  <c r="N105" i="1" s="1"/>
  <c r="O105" i="1" s="1"/>
  <c r="V78" i="1"/>
  <c r="W78" i="1" s="1"/>
  <c r="AD85" i="1"/>
  <c r="AE85" i="1"/>
  <c r="X85" i="1"/>
  <c r="AB85" i="1" s="1"/>
  <c r="AC89" i="1"/>
  <c r="V70" i="1"/>
  <c r="W70" i="1" s="1"/>
  <c r="AC86" i="1"/>
  <c r="S86" i="1"/>
  <c r="Q86" i="1" s="1"/>
  <c r="T86" i="1" s="1"/>
  <c r="N86" i="1" s="1"/>
  <c r="O86" i="1" s="1"/>
  <c r="AC60" i="1"/>
  <c r="S60" i="1"/>
  <c r="Q60" i="1" s="1"/>
  <c r="T60" i="1" s="1"/>
  <c r="N60" i="1" s="1"/>
  <c r="O60" i="1" s="1"/>
  <c r="V63" i="1"/>
  <c r="W63" i="1" s="1"/>
  <c r="S67" i="1"/>
  <c r="Q67" i="1" s="1"/>
  <c r="T67" i="1" s="1"/>
  <c r="N67" i="1" s="1"/>
  <c r="O67" i="1" s="1"/>
  <c r="AC49" i="1"/>
  <c r="AC41" i="1"/>
  <c r="V39" i="1"/>
  <c r="W39" i="1" s="1"/>
  <c r="AE42" i="1"/>
  <c r="AF42" i="1" s="1"/>
  <c r="X42" i="1"/>
  <c r="AB42" i="1" s="1"/>
  <c r="AC35" i="1"/>
  <c r="S35" i="1"/>
  <c r="Q35" i="1" s="1"/>
  <c r="T35" i="1" s="1"/>
  <c r="N35" i="1" s="1"/>
  <c r="O35" i="1" s="1"/>
  <c r="AD31" i="1"/>
  <c r="AC102" i="1"/>
  <c r="V25" i="1"/>
  <c r="W25" i="1" s="1"/>
  <c r="AD17" i="1"/>
  <c r="X17" i="1"/>
  <c r="AB17" i="1" s="1"/>
  <c r="AE17" i="1"/>
  <c r="AD75" i="1"/>
  <c r="AD67" i="1"/>
  <c r="V101" i="1"/>
  <c r="W101" i="1" s="1"/>
  <c r="V102" i="1"/>
  <c r="W102" i="1" s="1"/>
  <c r="V112" i="1"/>
  <c r="W112" i="1" s="1"/>
  <c r="AC99" i="1"/>
  <c r="S99" i="1"/>
  <c r="Q99" i="1" s="1"/>
  <c r="T99" i="1" s="1"/>
  <c r="N99" i="1" s="1"/>
  <c r="O99" i="1" s="1"/>
  <c r="V98" i="1"/>
  <c r="W98" i="1" s="1"/>
  <c r="V89" i="1"/>
  <c r="W89" i="1" s="1"/>
  <c r="S77" i="1"/>
  <c r="Q77" i="1" s="1"/>
  <c r="T77" i="1" s="1"/>
  <c r="N77" i="1" s="1"/>
  <c r="O77" i="1" s="1"/>
  <c r="AC77" i="1"/>
  <c r="AC91" i="1"/>
  <c r="X79" i="1"/>
  <c r="AB79" i="1" s="1"/>
  <c r="AE79" i="1"/>
  <c r="AF79" i="1" s="1"/>
  <c r="V76" i="1"/>
  <c r="W76" i="1" s="1"/>
  <c r="V91" i="1"/>
  <c r="W91" i="1" s="1"/>
  <c r="S91" i="1" s="1"/>
  <c r="Q91" i="1" s="1"/>
  <c r="T91" i="1" s="1"/>
  <c r="N91" i="1" s="1"/>
  <c r="O91" i="1" s="1"/>
  <c r="AC94" i="1"/>
  <c r="AZ83" i="1"/>
  <c r="V77" i="1"/>
  <c r="W77" i="1" s="1"/>
  <c r="AC81" i="1"/>
  <c r="S81" i="1"/>
  <c r="Q81" i="1" s="1"/>
  <c r="T81" i="1" s="1"/>
  <c r="N81" i="1" s="1"/>
  <c r="O81" i="1" s="1"/>
  <c r="AC75" i="1"/>
  <c r="S75" i="1"/>
  <c r="Q75" i="1" s="1"/>
  <c r="T75" i="1" s="1"/>
  <c r="N75" i="1" s="1"/>
  <c r="O75" i="1" s="1"/>
  <c r="V99" i="1"/>
  <c r="W99" i="1" s="1"/>
  <c r="S55" i="1"/>
  <c r="Q55" i="1" s="1"/>
  <c r="T55" i="1" s="1"/>
  <c r="N55" i="1" s="1"/>
  <c r="O55" i="1" s="1"/>
  <c r="AC68" i="1"/>
  <c r="AC69" i="1"/>
  <c r="V69" i="1"/>
  <c r="W69" i="1" s="1"/>
  <c r="S69" i="1" s="1"/>
  <c r="Q69" i="1" s="1"/>
  <c r="T69" i="1" s="1"/>
  <c r="N69" i="1" s="1"/>
  <c r="O69" i="1" s="1"/>
  <c r="BA46" i="1"/>
  <c r="V41" i="1"/>
  <c r="W41" i="1" s="1"/>
  <c r="V34" i="1"/>
  <c r="W34" i="1" s="1"/>
  <c r="X35" i="1"/>
  <c r="AB35" i="1" s="1"/>
  <c r="AE35" i="1"/>
  <c r="AF35" i="1" s="1"/>
  <c r="BA50" i="1"/>
  <c r="BA45" i="1"/>
  <c r="AC22" i="1"/>
  <c r="S22" i="1"/>
  <c r="Q22" i="1" s="1"/>
  <c r="T22" i="1" s="1"/>
  <c r="N22" i="1" s="1"/>
  <c r="O22" i="1" s="1"/>
  <c r="AD35" i="1"/>
  <c r="X24" i="1"/>
  <c r="AB24" i="1" s="1"/>
  <c r="AD24" i="1"/>
  <c r="AE24" i="1"/>
  <c r="AF24" i="1" s="1"/>
  <c r="S17" i="1"/>
  <c r="Q17" i="1" s="1"/>
  <c r="T17" i="1" s="1"/>
  <c r="N17" i="1" s="1"/>
  <c r="O17" i="1" s="1"/>
  <c r="BA40" i="1"/>
  <c r="V108" i="1"/>
  <c r="W108" i="1" s="1"/>
  <c r="V23" i="1"/>
  <c r="W23" i="1" s="1"/>
  <c r="AC23" i="1"/>
  <c r="S23" i="1"/>
  <c r="Q23" i="1" s="1"/>
  <c r="T23" i="1" s="1"/>
  <c r="N23" i="1" s="1"/>
  <c r="O23" i="1" s="1"/>
  <c r="AC97" i="1"/>
  <c r="S97" i="1"/>
  <c r="Q97" i="1" s="1"/>
  <c r="T97" i="1" s="1"/>
  <c r="N97" i="1" s="1"/>
  <c r="O97" i="1" s="1"/>
  <c r="AC114" i="1"/>
  <c r="S84" i="1"/>
  <c r="Q84" i="1" s="1"/>
  <c r="T84" i="1" s="1"/>
  <c r="N84" i="1" s="1"/>
  <c r="O84" i="1" s="1"/>
  <c r="AC84" i="1"/>
  <c r="AC109" i="1"/>
  <c r="S109" i="1"/>
  <c r="Q109" i="1" s="1"/>
  <c r="T109" i="1" s="1"/>
  <c r="N109" i="1" s="1"/>
  <c r="O109" i="1" s="1"/>
  <c r="AC101" i="1"/>
  <c r="S101" i="1"/>
  <c r="Q101" i="1" s="1"/>
  <c r="T101" i="1" s="1"/>
  <c r="N101" i="1" s="1"/>
  <c r="O101" i="1" s="1"/>
  <c r="AC85" i="1"/>
  <c r="S85" i="1"/>
  <c r="Q85" i="1" s="1"/>
  <c r="T85" i="1" s="1"/>
  <c r="N85" i="1" s="1"/>
  <c r="O85" i="1" s="1"/>
  <c r="V74" i="1"/>
  <c r="W74" i="1" s="1"/>
  <c r="S92" i="1"/>
  <c r="Q92" i="1" s="1"/>
  <c r="T92" i="1" s="1"/>
  <c r="N92" i="1" s="1"/>
  <c r="O92" i="1" s="1"/>
  <c r="BA66" i="1"/>
  <c r="V64" i="1"/>
  <c r="W64" i="1" s="1"/>
  <c r="S64" i="1" s="1"/>
  <c r="Q64" i="1" s="1"/>
  <c r="T64" i="1" s="1"/>
  <c r="N64" i="1" s="1"/>
  <c r="O64" i="1" s="1"/>
  <c r="V72" i="1"/>
  <c r="W72" i="1" s="1"/>
  <c r="V51" i="1"/>
  <c r="W51" i="1" s="1"/>
  <c r="S51" i="1" s="1"/>
  <c r="Q51" i="1" s="1"/>
  <c r="T51" i="1" s="1"/>
  <c r="N51" i="1" s="1"/>
  <c r="O51" i="1" s="1"/>
  <c r="AD56" i="1"/>
  <c r="V53" i="1"/>
  <c r="W53" i="1" s="1"/>
  <c r="V30" i="1"/>
  <c r="W30" i="1" s="1"/>
  <c r="V61" i="1"/>
  <c r="W61" i="1" s="1"/>
  <c r="S61" i="1" s="1"/>
  <c r="Q61" i="1" s="1"/>
  <c r="T61" i="1" s="1"/>
  <c r="N61" i="1" s="1"/>
  <c r="O61" i="1" s="1"/>
  <c r="V36" i="1"/>
  <c r="W36" i="1" s="1"/>
  <c r="V48" i="1"/>
  <c r="W48" i="1" s="1"/>
  <c r="V43" i="1"/>
  <c r="W43" i="1" s="1"/>
  <c r="V26" i="1"/>
  <c r="W26" i="1" s="1"/>
  <c r="S38" i="1"/>
  <c r="Q38" i="1" s="1"/>
  <c r="T38" i="1" s="1"/>
  <c r="N38" i="1" s="1"/>
  <c r="O38" i="1" s="1"/>
  <c r="V65" i="1"/>
  <c r="W65" i="1" s="1"/>
  <c r="X30" i="1" l="1"/>
  <c r="AB30" i="1" s="1"/>
  <c r="AE30" i="1"/>
  <c r="AF30" i="1" s="1"/>
  <c r="AD30" i="1"/>
  <c r="S30" i="1"/>
  <c r="Q30" i="1" s="1"/>
  <c r="T30" i="1" s="1"/>
  <c r="N30" i="1" s="1"/>
  <c r="O30" i="1" s="1"/>
  <c r="AE102" i="1"/>
  <c r="AF102" i="1" s="1"/>
  <c r="AD102" i="1"/>
  <c r="X102" i="1"/>
  <c r="AB102" i="1" s="1"/>
  <c r="AE63" i="1"/>
  <c r="AF63" i="1" s="1"/>
  <c r="X63" i="1"/>
  <c r="AB63" i="1" s="1"/>
  <c r="AD63" i="1"/>
  <c r="X93" i="1"/>
  <c r="AB93" i="1" s="1"/>
  <c r="AE93" i="1"/>
  <c r="AF93" i="1" s="1"/>
  <c r="AD93" i="1"/>
  <c r="X65" i="1"/>
  <c r="AB65" i="1" s="1"/>
  <c r="AE65" i="1"/>
  <c r="AD65" i="1"/>
  <c r="AE48" i="1"/>
  <c r="X48" i="1"/>
  <c r="AB48" i="1" s="1"/>
  <c r="AD48" i="1"/>
  <c r="S48" i="1"/>
  <c r="Q48" i="1" s="1"/>
  <c r="T48" i="1" s="1"/>
  <c r="N48" i="1" s="1"/>
  <c r="O48" i="1" s="1"/>
  <c r="X101" i="1"/>
  <c r="AB101" i="1" s="1"/>
  <c r="AE101" i="1"/>
  <c r="AD101" i="1"/>
  <c r="X39" i="1"/>
  <c r="AB39" i="1" s="1"/>
  <c r="AE39" i="1"/>
  <c r="AD39" i="1"/>
  <c r="AE47" i="1"/>
  <c r="X47" i="1"/>
  <c r="AB47" i="1" s="1"/>
  <c r="AD47" i="1"/>
  <c r="AE27" i="1"/>
  <c r="X27" i="1"/>
  <c r="AB27" i="1" s="1"/>
  <c r="AD27" i="1"/>
  <c r="AE110" i="1"/>
  <c r="AF110" i="1" s="1"/>
  <c r="AD110" i="1"/>
  <c r="X110" i="1"/>
  <c r="AB110" i="1" s="1"/>
  <c r="AF75" i="1"/>
  <c r="AE18" i="1"/>
  <c r="AF18" i="1" s="1"/>
  <c r="AD18" i="1"/>
  <c r="X18" i="1"/>
  <c r="AB18" i="1" s="1"/>
  <c r="AE44" i="1"/>
  <c r="AF44" i="1" s="1"/>
  <c r="X44" i="1"/>
  <c r="AB44" i="1" s="1"/>
  <c r="AD44" i="1"/>
  <c r="S44" i="1"/>
  <c r="Q44" i="1" s="1"/>
  <c r="T44" i="1" s="1"/>
  <c r="N44" i="1" s="1"/>
  <c r="O44" i="1" s="1"/>
  <c r="X57" i="1"/>
  <c r="AB57" i="1" s="1"/>
  <c r="AD57" i="1"/>
  <c r="AE57" i="1"/>
  <c r="S57" i="1"/>
  <c r="Q57" i="1" s="1"/>
  <c r="T57" i="1" s="1"/>
  <c r="N57" i="1" s="1"/>
  <c r="O57" i="1" s="1"/>
  <c r="X104" i="1"/>
  <c r="AB104" i="1" s="1"/>
  <c r="AE104" i="1"/>
  <c r="S104" i="1"/>
  <c r="Q104" i="1" s="1"/>
  <c r="T104" i="1" s="1"/>
  <c r="N104" i="1" s="1"/>
  <c r="O104" i="1" s="1"/>
  <c r="AD104" i="1"/>
  <c r="X107" i="1"/>
  <c r="AB107" i="1" s="1"/>
  <c r="AE107" i="1"/>
  <c r="AF107" i="1" s="1"/>
  <c r="AD107" i="1"/>
  <c r="AF37" i="1"/>
  <c r="AE40" i="1"/>
  <c r="AF40" i="1" s="1"/>
  <c r="AD40" i="1"/>
  <c r="X40" i="1"/>
  <c r="AB40" i="1" s="1"/>
  <c r="S40" i="1"/>
  <c r="Q40" i="1" s="1"/>
  <c r="T40" i="1" s="1"/>
  <c r="N40" i="1" s="1"/>
  <c r="O40" i="1" s="1"/>
  <c r="AF96" i="1"/>
  <c r="AE43" i="1"/>
  <c r="AF43" i="1" s="1"/>
  <c r="X43" i="1"/>
  <c r="AB43" i="1" s="1"/>
  <c r="AD43" i="1"/>
  <c r="S43" i="1"/>
  <c r="Q43" i="1" s="1"/>
  <c r="T43" i="1" s="1"/>
  <c r="N43" i="1" s="1"/>
  <c r="O43" i="1" s="1"/>
  <c r="X53" i="1"/>
  <c r="AB53" i="1" s="1"/>
  <c r="AE53" i="1"/>
  <c r="AD53" i="1"/>
  <c r="S53" i="1"/>
  <c r="Q53" i="1" s="1"/>
  <c r="T53" i="1" s="1"/>
  <c r="N53" i="1" s="1"/>
  <c r="O53" i="1" s="1"/>
  <c r="X25" i="1"/>
  <c r="AB25" i="1" s="1"/>
  <c r="AE25" i="1"/>
  <c r="AD25" i="1"/>
  <c r="S25" i="1"/>
  <c r="Q25" i="1" s="1"/>
  <c r="T25" i="1" s="1"/>
  <c r="N25" i="1" s="1"/>
  <c r="O25" i="1" s="1"/>
  <c r="X90" i="1"/>
  <c r="AB90" i="1" s="1"/>
  <c r="AE90" i="1"/>
  <c r="AD90" i="1"/>
  <c r="AE98" i="1"/>
  <c r="AF98" i="1" s="1"/>
  <c r="X98" i="1"/>
  <c r="AB98" i="1" s="1"/>
  <c r="AD98" i="1"/>
  <c r="AE46" i="1"/>
  <c r="AF46" i="1" s="1"/>
  <c r="X46" i="1"/>
  <c r="AB46" i="1" s="1"/>
  <c r="AD46" i="1"/>
  <c r="S46" i="1"/>
  <c r="Q46" i="1" s="1"/>
  <c r="T46" i="1" s="1"/>
  <c r="N46" i="1" s="1"/>
  <c r="O46" i="1" s="1"/>
  <c r="X36" i="1"/>
  <c r="AB36" i="1" s="1"/>
  <c r="AE36" i="1"/>
  <c r="AF36" i="1" s="1"/>
  <c r="AD36" i="1"/>
  <c r="X23" i="1"/>
  <c r="AB23" i="1" s="1"/>
  <c r="AE23" i="1"/>
  <c r="AD23" i="1"/>
  <c r="AD34" i="1"/>
  <c r="X34" i="1"/>
  <c r="AB34" i="1" s="1"/>
  <c r="AE34" i="1"/>
  <c r="AF34" i="1" s="1"/>
  <c r="S34" i="1"/>
  <c r="Q34" i="1" s="1"/>
  <c r="T34" i="1" s="1"/>
  <c r="N34" i="1" s="1"/>
  <c r="O34" i="1" s="1"/>
  <c r="X77" i="1"/>
  <c r="AB77" i="1" s="1"/>
  <c r="AE77" i="1"/>
  <c r="AD77" i="1"/>
  <c r="S102" i="1"/>
  <c r="Q102" i="1" s="1"/>
  <c r="T102" i="1" s="1"/>
  <c r="N102" i="1" s="1"/>
  <c r="O102" i="1" s="1"/>
  <c r="AF85" i="1"/>
  <c r="AF56" i="1"/>
  <c r="AF86" i="1"/>
  <c r="X109" i="1"/>
  <c r="AB109" i="1" s="1"/>
  <c r="AE109" i="1"/>
  <c r="AF109" i="1" s="1"/>
  <c r="AD109" i="1"/>
  <c r="X19" i="1"/>
  <c r="AB19" i="1" s="1"/>
  <c r="AE19" i="1"/>
  <c r="AF19" i="1" s="1"/>
  <c r="AD19" i="1"/>
  <c r="X45" i="1"/>
  <c r="AB45" i="1" s="1"/>
  <c r="AE45" i="1"/>
  <c r="AD45" i="1"/>
  <c r="AE100" i="1"/>
  <c r="AF100" i="1" s="1"/>
  <c r="X100" i="1"/>
  <c r="AB100" i="1" s="1"/>
  <c r="AD100" i="1"/>
  <c r="S100" i="1"/>
  <c r="Q100" i="1" s="1"/>
  <c r="T100" i="1" s="1"/>
  <c r="N100" i="1" s="1"/>
  <c r="O100" i="1" s="1"/>
  <c r="X28" i="1"/>
  <c r="AB28" i="1" s="1"/>
  <c r="AE28" i="1"/>
  <c r="AF28" i="1" s="1"/>
  <c r="AD28" i="1"/>
  <c r="AE74" i="1"/>
  <c r="AF74" i="1" s="1"/>
  <c r="X74" i="1"/>
  <c r="AB74" i="1" s="1"/>
  <c r="AD74" i="1"/>
  <c r="X108" i="1"/>
  <c r="AB108" i="1" s="1"/>
  <c r="AE108" i="1"/>
  <c r="AF108" i="1" s="1"/>
  <c r="S108" i="1"/>
  <c r="Q108" i="1" s="1"/>
  <c r="T108" i="1" s="1"/>
  <c r="N108" i="1" s="1"/>
  <c r="O108" i="1" s="1"/>
  <c r="AD108" i="1"/>
  <c r="AE97" i="1"/>
  <c r="X97" i="1"/>
  <c r="AB97" i="1" s="1"/>
  <c r="AD97" i="1"/>
  <c r="X113" i="1"/>
  <c r="AB113" i="1" s="1"/>
  <c r="AE113" i="1"/>
  <c r="AD113" i="1"/>
  <c r="S90" i="1"/>
  <c r="Q90" i="1" s="1"/>
  <c r="T90" i="1" s="1"/>
  <c r="N90" i="1" s="1"/>
  <c r="O90" i="1" s="1"/>
  <c r="S113" i="1"/>
  <c r="Q113" i="1" s="1"/>
  <c r="T113" i="1" s="1"/>
  <c r="N113" i="1" s="1"/>
  <c r="O113" i="1" s="1"/>
  <c r="AF87" i="1"/>
  <c r="AE26" i="1"/>
  <c r="AF26" i="1" s="1"/>
  <c r="AD26" i="1"/>
  <c r="X26" i="1"/>
  <c r="AB26" i="1" s="1"/>
  <c r="S26" i="1"/>
  <c r="Q26" i="1" s="1"/>
  <c r="T26" i="1" s="1"/>
  <c r="N26" i="1" s="1"/>
  <c r="O26" i="1" s="1"/>
  <c r="X61" i="1"/>
  <c r="AB61" i="1" s="1"/>
  <c r="AE61" i="1"/>
  <c r="AD61" i="1"/>
  <c r="AE51" i="1"/>
  <c r="X51" i="1"/>
  <c r="AB51" i="1" s="1"/>
  <c r="AD51" i="1"/>
  <c r="S63" i="1"/>
  <c r="Q63" i="1" s="1"/>
  <c r="T63" i="1" s="1"/>
  <c r="N63" i="1" s="1"/>
  <c r="O63" i="1" s="1"/>
  <c r="S110" i="1"/>
  <c r="Q110" i="1" s="1"/>
  <c r="T110" i="1" s="1"/>
  <c r="N110" i="1" s="1"/>
  <c r="O110" i="1" s="1"/>
  <c r="S39" i="1"/>
  <c r="Q39" i="1" s="1"/>
  <c r="T39" i="1" s="1"/>
  <c r="N39" i="1" s="1"/>
  <c r="O39" i="1" s="1"/>
  <c r="AF59" i="1"/>
  <c r="X62" i="1"/>
  <c r="AB62" i="1" s="1"/>
  <c r="AE62" i="1"/>
  <c r="AD62" i="1"/>
  <c r="S47" i="1"/>
  <c r="Q47" i="1" s="1"/>
  <c r="T47" i="1" s="1"/>
  <c r="N47" i="1" s="1"/>
  <c r="O47" i="1" s="1"/>
  <c r="X52" i="1"/>
  <c r="AB52" i="1" s="1"/>
  <c r="AE52" i="1"/>
  <c r="AD52" i="1"/>
  <c r="AF92" i="1"/>
  <c r="X41" i="1"/>
  <c r="AB41" i="1" s="1"/>
  <c r="AE41" i="1"/>
  <c r="AD41" i="1"/>
  <c r="S41" i="1"/>
  <c r="Q41" i="1" s="1"/>
  <c r="T41" i="1" s="1"/>
  <c r="N41" i="1" s="1"/>
  <c r="O41" i="1" s="1"/>
  <c r="X20" i="1"/>
  <c r="AB20" i="1" s="1"/>
  <c r="AE20" i="1"/>
  <c r="AD20" i="1"/>
  <c r="X32" i="1"/>
  <c r="AB32" i="1" s="1"/>
  <c r="AE32" i="1"/>
  <c r="AF32" i="1" s="1"/>
  <c r="AD32" i="1"/>
  <c r="X72" i="1"/>
  <c r="AB72" i="1" s="1"/>
  <c r="AD72" i="1"/>
  <c r="AE72" i="1"/>
  <c r="S72" i="1"/>
  <c r="Q72" i="1" s="1"/>
  <c r="T72" i="1" s="1"/>
  <c r="N72" i="1" s="1"/>
  <c r="O72" i="1" s="1"/>
  <c r="AE99" i="1"/>
  <c r="AF99" i="1" s="1"/>
  <c r="X99" i="1"/>
  <c r="AB99" i="1" s="1"/>
  <c r="AD99" i="1"/>
  <c r="X112" i="1"/>
  <c r="AB112" i="1" s="1"/>
  <c r="AE112" i="1"/>
  <c r="AD112" i="1"/>
  <c r="AF17" i="1"/>
  <c r="X78" i="1"/>
  <c r="AB78" i="1" s="1"/>
  <c r="AE78" i="1"/>
  <c r="AF78" i="1" s="1"/>
  <c r="AD78" i="1"/>
  <c r="AE106" i="1"/>
  <c r="AF106" i="1" s="1"/>
  <c r="AD106" i="1"/>
  <c r="X106" i="1"/>
  <c r="AB106" i="1" s="1"/>
  <c r="X33" i="1"/>
  <c r="AB33" i="1" s="1"/>
  <c r="AE33" i="1"/>
  <c r="AD33" i="1"/>
  <c r="AF71" i="1"/>
  <c r="AE22" i="1"/>
  <c r="AD22" i="1"/>
  <c r="X22" i="1"/>
  <c r="AB22" i="1" s="1"/>
  <c r="S65" i="1"/>
  <c r="Q65" i="1" s="1"/>
  <c r="T65" i="1" s="1"/>
  <c r="N65" i="1" s="1"/>
  <c r="O65" i="1" s="1"/>
  <c r="S98" i="1"/>
  <c r="Q98" i="1" s="1"/>
  <c r="T98" i="1" s="1"/>
  <c r="N98" i="1" s="1"/>
  <c r="O98" i="1" s="1"/>
  <c r="AF67" i="1"/>
  <c r="X111" i="1"/>
  <c r="AB111" i="1" s="1"/>
  <c r="AE111" i="1"/>
  <c r="AF111" i="1" s="1"/>
  <c r="AD111" i="1"/>
  <c r="AE69" i="1"/>
  <c r="AF69" i="1" s="1"/>
  <c r="X69" i="1"/>
  <c r="AB69" i="1" s="1"/>
  <c r="AD69" i="1"/>
  <c r="X91" i="1"/>
  <c r="AB91" i="1" s="1"/>
  <c r="AE91" i="1"/>
  <c r="AD91" i="1"/>
  <c r="AE70" i="1"/>
  <c r="AF70" i="1" s="1"/>
  <c r="X70" i="1"/>
  <c r="AB70" i="1" s="1"/>
  <c r="S70" i="1"/>
  <c r="Q70" i="1" s="1"/>
  <c r="T70" i="1" s="1"/>
  <c r="N70" i="1" s="1"/>
  <c r="O70" i="1" s="1"/>
  <c r="AD70" i="1"/>
  <c r="X105" i="1"/>
  <c r="AB105" i="1" s="1"/>
  <c r="AE105" i="1"/>
  <c r="AF105" i="1" s="1"/>
  <c r="AD105" i="1"/>
  <c r="X58" i="1"/>
  <c r="AB58" i="1" s="1"/>
  <c r="AE58" i="1"/>
  <c r="AF58" i="1" s="1"/>
  <c r="AD58" i="1"/>
  <c r="S93" i="1"/>
  <c r="Q93" i="1" s="1"/>
  <c r="T93" i="1" s="1"/>
  <c r="N93" i="1" s="1"/>
  <c r="O93" i="1" s="1"/>
  <c r="X103" i="1"/>
  <c r="AB103" i="1" s="1"/>
  <c r="AE103" i="1"/>
  <c r="AD103" i="1"/>
  <c r="X66" i="1"/>
  <c r="AB66" i="1" s="1"/>
  <c r="AE66" i="1"/>
  <c r="AD66" i="1"/>
  <c r="S74" i="1"/>
  <c r="Q74" i="1" s="1"/>
  <c r="T74" i="1" s="1"/>
  <c r="N74" i="1" s="1"/>
  <c r="O74" i="1" s="1"/>
  <c r="X50" i="1"/>
  <c r="AB50" i="1" s="1"/>
  <c r="AE50" i="1"/>
  <c r="AD50" i="1"/>
  <c r="S50" i="1"/>
  <c r="Q50" i="1" s="1"/>
  <c r="T50" i="1" s="1"/>
  <c r="N50" i="1" s="1"/>
  <c r="O50" i="1" s="1"/>
  <c r="X54" i="1"/>
  <c r="AB54" i="1" s="1"/>
  <c r="AE54" i="1"/>
  <c r="AD54" i="1"/>
  <c r="AE114" i="1"/>
  <c r="AF114" i="1" s="1"/>
  <c r="X114" i="1"/>
  <c r="AB114" i="1" s="1"/>
  <c r="AD114" i="1"/>
  <c r="X64" i="1"/>
  <c r="AB64" i="1" s="1"/>
  <c r="AE64" i="1"/>
  <c r="AF64" i="1" s="1"/>
  <c r="AD64" i="1"/>
  <c r="X76" i="1"/>
  <c r="AB76" i="1" s="1"/>
  <c r="AE76" i="1"/>
  <c r="AF76" i="1" s="1"/>
  <c r="AD76" i="1"/>
  <c r="S76" i="1"/>
  <c r="Q76" i="1" s="1"/>
  <c r="T76" i="1" s="1"/>
  <c r="N76" i="1" s="1"/>
  <c r="O76" i="1" s="1"/>
  <c r="X89" i="1"/>
  <c r="AB89" i="1" s="1"/>
  <c r="AE89" i="1"/>
  <c r="AD89" i="1"/>
  <c r="S89" i="1"/>
  <c r="Q89" i="1" s="1"/>
  <c r="T89" i="1" s="1"/>
  <c r="N89" i="1" s="1"/>
  <c r="O89" i="1" s="1"/>
  <c r="X80" i="1"/>
  <c r="AB80" i="1" s="1"/>
  <c r="AE80" i="1"/>
  <c r="AF80" i="1" s="1"/>
  <c r="AD80" i="1"/>
  <c r="X49" i="1"/>
  <c r="AB49" i="1" s="1"/>
  <c r="AE49" i="1"/>
  <c r="AD49" i="1"/>
  <c r="AE68" i="1"/>
  <c r="AF68" i="1" s="1"/>
  <c r="AD68" i="1"/>
  <c r="X68" i="1"/>
  <c r="AB68" i="1" s="1"/>
  <c r="X94" i="1"/>
  <c r="AB94" i="1" s="1"/>
  <c r="AE94" i="1"/>
  <c r="AD94" i="1"/>
  <c r="S103" i="1"/>
  <c r="Q103" i="1" s="1"/>
  <c r="T103" i="1" s="1"/>
  <c r="N103" i="1" s="1"/>
  <c r="O103" i="1" s="1"/>
  <c r="AF54" i="1" l="1"/>
  <c r="AF66" i="1"/>
  <c r="AF20" i="1"/>
  <c r="AF52" i="1"/>
  <c r="AF113" i="1"/>
  <c r="AF23" i="1"/>
  <c r="AF65" i="1"/>
  <c r="AF91" i="1"/>
  <c r="AF33" i="1"/>
  <c r="AF72" i="1"/>
  <c r="AF77" i="1"/>
  <c r="AF25" i="1"/>
  <c r="AF57" i="1"/>
  <c r="AF27" i="1"/>
  <c r="AF101" i="1"/>
  <c r="AF89" i="1"/>
  <c r="AF112" i="1"/>
  <c r="AF103" i="1"/>
  <c r="AF49" i="1"/>
  <c r="AF50" i="1"/>
  <c r="AF41" i="1"/>
  <c r="AF62" i="1"/>
  <c r="AF51" i="1"/>
  <c r="AF97" i="1"/>
  <c r="AF45" i="1"/>
  <c r="AF47" i="1"/>
  <c r="AF90" i="1"/>
  <c r="AF53" i="1"/>
  <c r="AF94" i="1"/>
  <c r="AF22" i="1"/>
  <c r="AF61" i="1"/>
  <c r="AF104" i="1"/>
  <c r="AF39" i="1"/>
  <c r="AF48" i="1"/>
</calcChain>
</file>

<file path=xl/sharedStrings.xml><?xml version="1.0" encoding="utf-8"?>
<sst xmlns="http://schemas.openxmlformats.org/spreadsheetml/2006/main" count="2590" uniqueCount="831">
  <si>
    <t>File opened</t>
  </si>
  <si>
    <t>2023-11-16 09:07:05</t>
  </si>
  <si>
    <t>Console s/n</t>
  </si>
  <si>
    <t>68C-831537</t>
  </si>
  <si>
    <t>Console ver</t>
  </si>
  <si>
    <t>Bluestem v.2.1.08</t>
  </si>
  <si>
    <t>Scripts ver</t>
  </si>
  <si>
    <t>2022.05  2.1.08, Aug 2022</t>
  </si>
  <si>
    <t>Head s/n</t>
  </si>
  <si>
    <t>68H-891537</t>
  </si>
  <si>
    <t>Head ver</t>
  </si>
  <si>
    <t>1.4.22</t>
  </si>
  <si>
    <t>Head cal</t>
  </si>
  <si>
    <t>{"oxygen": "21", "co2azero": "0.988605", "co2aspan1": "0.998891", "co2aspan2": "-0.0224022", "co2aspan2a": "0.283421", "co2aspan2b": "0.281308", "co2aspanconc1": "2490", "co2aspanconc2": "303.6", "co2bzero": "1.00621", "co2bspan1": "0.998779", "co2bspan2": "-0.0221525", "co2bspan2a": "0.283276", "co2bspan2b": "0.281153", "co2bspanconc1": "2490", "co2bspanconc2": "303.6", "h2oazero": "1.10644", "h2oaspan1": "0.996778", "h2oaspan2": "0", "h2oaspan2a": "0.066342", "h2oaspan2b": "0.0661282", "h2oaspanconc1": "12.55", "h2oaspanconc2": "0", "h2obzero": "1.10958", "h2obspan1": "0.99674", "h2obspan2": "0", "h2obspan2a": "0.066461", "h2obspan2b": "0.0662443", "h2obspanconc1": "12.55", "h2obspanconc2": "0", "tazero": "0.0313568", "tbzero": "0.00360489", "flowmeterzero": "0.998614", "flowazero": "0.32931", "flowbzero": "0.38664", "chamberpressurezero": "2.61843", "ssa_ref": "31195.9", "ssb_ref": "32453.3"}</t>
  </si>
  <si>
    <t>CO2 rangematch</t>
  </si>
  <si>
    <t>Fri Nov 10 09:36</t>
  </si>
  <si>
    <t>H2O rangematch</t>
  </si>
  <si>
    <t>Fri Nov 10 09:42</t>
  </si>
  <si>
    <t>Chamber type</t>
  </si>
  <si>
    <t>6800-01A</t>
  </si>
  <si>
    <t>Chamber s/n</t>
  </si>
  <si>
    <t>MPF-651432</t>
  </si>
  <si>
    <t>Chamber rev</t>
  </si>
  <si>
    <t>0</t>
  </si>
  <si>
    <t>Chamber cal</t>
  </si>
  <si>
    <t>Fluorometer</t>
  </si>
  <si>
    <t>Flr. Version</t>
  </si>
  <si>
    <t>09:07:05</t>
  </si>
  <si>
    <t>Stability Definition:	gsw (GasEx): Slp&lt;0.05 Std&lt;0.05 Per=15	A (GasEx): Slp&lt;0.7 Std&lt;0.2 Per=15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</si>
  <si>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</si>
  <si>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</si>
  <si>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</si>
  <si>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</si>
  <si>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</si>
  <si>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</si>
  <si>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</si>
  <si>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</si>
  <si>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</si>
  <si>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</si>
  <si>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</si>
  <si>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</si>
  <si>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</si>
  <si>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</si>
  <si>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</si>
  <si>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</si>
  <si>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</si>
  <si>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</si>
  <si>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</si>
  <si>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</si>
  <si>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</si>
  <si>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</si>
  <si>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</si>
  <si>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</si>
  <si>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</si>
  <si>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</si>
  <si>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</si>
  <si>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</si>
  <si>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</si>
  <si>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</si>
  <si>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</si>
  <si>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</si>
  <si>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</si>
  <si>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</si>
  <si>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</si>
  <si>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</si>
  <si>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</si>
  <si>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</si>
  <si>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</si>
  <si>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</si>
  <si>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</si>
  <si>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</si>
  <si>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</si>
  <si>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</si>
  <si>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</si>
  <si>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</si>
  <si>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</si>
  <si>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</si>
  <si>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</si>
  <si>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</si>
  <si>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</si>
  <si>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</si>
  <si>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3.1091 81.4043 446.265 705.815 948.4 1165.23 1339.19 1532.59</t>
  </si>
  <si>
    <t>Fs_true</t>
  </si>
  <si>
    <t>-0.30717 99.655 401.882 601.546 801.477 1002.42 1200.95 1401.72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</si>
  <si>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</si>
  <si>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</si>
  <si>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</si>
  <si>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</si>
  <si>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</si>
  <si>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</si>
  <si>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</si>
  <si>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</si>
  <si>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</si>
  <si>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</si>
  <si>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</si>
  <si>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</si>
  <si>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</si>
  <si>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</si>
  <si>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</si>
  <si>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</si>
  <si>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</si>
  <si>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</si>
  <si>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</si>
  <si>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</si>
  <si>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</si>
  <si>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</si>
  <si>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</si>
  <si>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</si>
  <si>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</si>
  <si>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</si>
  <si>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</si>
  <si>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</si>
  <si>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</si>
  <si>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</si>
  <si>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</si>
  <si>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</si>
  <si>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</si>
  <si>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</si>
  <si>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</si>
  <si>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</si>
  <si>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</si>
  <si>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</si>
  <si>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</si>
  <si>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</si>
  <si>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</si>
  <si>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</si>
  <si>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</si>
  <si>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</si>
  <si>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</si>
  <si>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</si>
  <si>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</si>
  <si>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</si>
  <si>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</si>
  <si>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</si>
  <si>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</si>
  <si>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</si>
  <si>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</si>
  <si>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</si>
  <si>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</si>
  <si>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</si>
  <si>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</si>
  <si>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</si>
  <si>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</si>
  <si>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</si>
  <si>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</si>
  <si>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</si>
  <si>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</si>
  <si>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</si>
  <si>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</si>
  <si>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</si>
  <si>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</si>
  <si>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</si>
  <si>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</si>
  <si>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</si>
  <si>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</si>
  <si>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</si>
  <si>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</si>
  <si>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</si>
  <si>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</si>
  <si>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</si>
  <si>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</si>
  <si>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</si>
  <si>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</si>
  <si>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</si>
  <si>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</si>
  <si>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</si>
  <si>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</si>
  <si>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</si>
  <si>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</si>
  <si>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</si>
  <si>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</si>
  <si>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</si>
  <si>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</si>
  <si>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</si>
  <si>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</si>
  <si>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</si>
  <si>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</si>
  <si>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</si>
  <si>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</si>
  <si>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</si>
  <si>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</si>
  <si>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</si>
  <si>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</si>
  <si>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</si>
  <si>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</si>
  <si>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</si>
  <si>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</si>
  <si>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</si>
  <si>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</si>
  <si>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</si>
  <si>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</si>
  <si>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</si>
  <si>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</si>
  <si>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</si>
  <si>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</si>
  <si>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</si>
  <si>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</si>
  <si>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</si>
  <si>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</si>
  <si>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</si>
  <si>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</si>
  <si>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</si>
  <si>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</si>
  <si>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</si>
  <si>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</si>
  <si>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</si>
  <si>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</si>
  <si>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</si>
  <si>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</si>
  <si>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</si>
  <si>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</si>
  <si>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</si>
  <si>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</si>
  <si>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</si>
  <si>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</si>
  <si>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</si>
  <si>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</si>
  <si>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</si>
  <si>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</si>
  <si>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</si>
  <si>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</si>
  <si>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</si>
  <si>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</si>
  <si>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</si>
  <si>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</si>
  <si>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</si>
  <si>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</si>
  <si>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</si>
  <si>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</si>
  <si>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</si>
  <si>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</si>
  <si>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</si>
  <si>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</si>
  <si>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</si>
  <si>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</si>
  <si>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</si>
  <si>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</si>
  <si>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</si>
  <si>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</si>
  <si>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</si>
  <si>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</si>
  <si>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</si>
  <si>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</si>
  <si>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</si>
  <si>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</si>
  <si>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</si>
  <si>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</si>
  <si>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</si>
  <si>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</si>
  <si>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</si>
  <si>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</si>
  <si>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</si>
  <si>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</si>
  <si>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</si>
  <si>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</si>
  <si>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</si>
  <si>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</si>
  <si>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</si>
  <si>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</si>
  <si>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</si>
  <si>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</si>
  <si>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</si>
  <si>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</si>
  <si>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</si>
  <si>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</si>
  <si>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</si>
  <si>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</si>
  <si>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</si>
  <si>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</si>
  <si>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</si>
  <si>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</si>
  <si>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</si>
  <si>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</si>
  <si>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</si>
  <si>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</si>
  <si>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</si>
  <si>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</si>
  <si>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</si>
  <si>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</si>
  <si>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</si>
  <si>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</si>
  <si>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</si>
  <si>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</si>
  <si>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</si>
  <si>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</si>
  <si>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</si>
  <si>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</si>
  <si>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</si>
  <si>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</si>
  <si>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</si>
  <si>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</si>
  <si>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</si>
  <si>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</si>
  <si>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</si>
  <si>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</si>
  <si>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</si>
  <si>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</si>
  <si>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</si>
  <si>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</si>
  <si>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</si>
  <si>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</si>
  <si>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</si>
  <si>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</si>
  <si>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</si>
  <si>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</si>
  <si>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</si>
  <si>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</si>
  <si>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</si>
  <si>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</si>
  <si>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</si>
  <si>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</si>
  <si>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</si>
  <si>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</si>
  <si>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</si>
  <si>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</si>
  <si>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</si>
  <si>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</si>
  <si>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</si>
  <si>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</si>
  <si>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</si>
  <si>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</si>
  <si>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</si>
  <si>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</si>
  <si>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</si>
  <si>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</si>
  <si>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</si>
  <si>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</si>
  <si>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</si>
  <si>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</si>
  <si>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</si>
  <si>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</si>
  <si>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</si>
  <si>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</si>
  <si>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</si>
  <si>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</si>
  <si>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</si>
  <si>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</si>
  <si>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</si>
  <si>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</si>
  <si>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</si>
  <si>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</si>
  <si>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</si>
  <si>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</si>
  <si>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</si>
  <si>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</si>
  <si>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</si>
  <si>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</si>
  <si>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</si>
  <si>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</si>
  <si>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</si>
  <si>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</si>
  <si>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</si>
  <si>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</si>
  <si>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</si>
  <si>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</si>
  <si>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</si>
  <si>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</si>
  <si>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</si>
  <si>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</si>
  <si>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</si>
  <si>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</si>
  <si>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</si>
  <si>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</si>
  <si>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</si>
  <si>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</si>
  <si>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</si>
  <si>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</si>
  <si>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</si>
  <si>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</si>
  <si>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</si>
  <si>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</si>
  <si>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</si>
  <si>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</si>
  <si>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</si>
  <si>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</si>
  <si>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</si>
  <si>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</si>
  <si>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</si>
  <si>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</si>
  <si>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</si>
  <si>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</si>
  <si>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</si>
  <si>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</si>
  <si>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</si>
  <si>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</si>
  <si>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</si>
  <si>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</si>
  <si>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</si>
  <si>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</si>
  <si>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</si>
  <si>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</si>
  <si>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</si>
  <si>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</si>
  <si>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</si>
  <si>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</si>
  <si>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</si>
  <si>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</si>
  <si>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</si>
  <si>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</si>
  <si>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</si>
  <si>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</si>
  <si>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</si>
  <si>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</si>
  <si>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</si>
  <si>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</si>
  <si>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</si>
  <si>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</si>
  <si>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</si>
  <si>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</si>
  <si>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</si>
  <si>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20231116 09:17:53</t>
  </si>
  <si>
    <t>09:17:53</t>
  </si>
  <si>
    <t>none</t>
  </si>
  <si>
    <t>3</t>
  </si>
  <si>
    <t>5</t>
  </si>
  <si>
    <t>MPF-11149-20231106-15_17_03</t>
  </si>
  <si>
    <t>MPF-11252-20231116-09_17_42</t>
  </si>
  <si>
    <t>DARK-11253-20231116-09_17_49</t>
  </si>
  <si>
    <t>0: Broadleaf</t>
  </si>
  <si>
    <t>09:17:11</t>
  </si>
  <si>
    <t>2/2</t>
  </si>
  <si>
    <t>10111111</t>
  </si>
  <si>
    <t>oioooooo</t>
  </si>
  <si>
    <t>off</t>
  </si>
  <si>
    <t>on</t>
  </si>
  <si>
    <t>20231116 09:19:37</t>
  </si>
  <si>
    <t>09:19:37</t>
  </si>
  <si>
    <t>-</t>
  </si>
  <si>
    <t>09:18:57</t>
  </si>
  <si>
    <t>20231116 09:21:08</t>
  </si>
  <si>
    <t>09:21:08</t>
  </si>
  <si>
    <t>MPF-11254-20231116-09_20_56</t>
  </si>
  <si>
    <t>DARK-11255-20231116-09_21_03</t>
  </si>
  <si>
    <t>09:20:32</t>
  </si>
  <si>
    <t>20231116 09:23:04</t>
  </si>
  <si>
    <t>09:23:04</t>
  </si>
  <si>
    <t>09:22:32</t>
  </si>
  <si>
    <t>20231116 09:25:20</t>
  </si>
  <si>
    <t>09:25:20</t>
  </si>
  <si>
    <t>MPF-11256-20231116-09_25_08</t>
  </si>
  <si>
    <t>DARK-11257-20231116-09_25_15</t>
  </si>
  <si>
    <t>09:23:59</t>
  </si>
  <si>
    <t>20231116 09:27:21</t>
  </si>
  <si>
    <t>09:27:21</t>
  </si>
  <si>
    <t>09:26:40</t>
  </si>
  <si>
    <t>20231116 09:29:55</t>
  </si>
  <si>
    <t>09:29:55</t>
  </si>
  <si>
    <t>MPF-11258-20231116-09_29_43</t>
  </si>
  <si>
    <t>DARK-11259-20231116-09_29_51</t>
  </si>
  <si>
    <t>09:28:37</t>
  </si>
  <si>
    <t>20231116 09:33:19</t>
  </si>
  <si>
    <t>09:33:19</t>
  </si>
  <si>
    <t>MPF-11260-20231116-09_33_07</t>
  </si>
  <si>
    <t>DARK-11261-20231116-09_33_15</t>
  </si>
  <si>
    <t>09:31:10</t>
  </si>
  <si>
    <t>20231116 09:36:19</t>
  </si>
  <si>
    <t>09:36:19</t>
  </si>
  <si>
    <t>09:34:37</t>
  </si>
  <si>
    <t>20231116 09:38:12</t>
  </si>
  <si>
    <t>09:38:12</t>
  </si>
  <si>
    <t>MPF-11262-20231116-09_38_00</t>
  </si>
  <si>
    <t>DARK-11263-20231116-09_38_07</t>
  </si>
  <si>
    <t>09:37:42</t>
  </si>
  <si>
    <t>20231116 09:40:19</t>
  </si>
  <si>
    <t>09:40:19</t>
  </si>
  <si>
    <t>09:39:49</t>
  </si>
  <si>
    <t>20231116 09:41:53</t>
  </si>
  <si>
    <t>09:41:53</t>
  </si>
  <si>
    <t>MPF-11264-20231116-09_41_42</t>
  </si>
  <si>
    <t>DARK-11265-20231116-09_41_49</t>
  </si>
  <si>
    <t>09:41:23</t>
  </si>
  <si>
    <t>20231116 09:44:10</t>
  </si>
  <si>
    <t>09:44:10</t>
  </si>
  <si>
    <t>09:43:40</t>
  </si>
  <si>
    <t>20231116 09:46:14</t>
  </si>
  <si>
    <t>09:46:14</t>
  </si>
  <si>
    <t>MPF-11266-20231116-09_46_02</t>
  </si>
  <si>
    <t>DARK-11267-20231116-09_46_09</t>
  </si>
  <si>
    <t>09:45:43</t>
  </si>
  <si>
    <t>20231116 10:05:48</t>
  </si>
  <si>
    <t>10:05:48</t>
  </si>
  <si>
    <t>wt</t>
  </si>
  <si>
    <t>MPF-11268-20231116-10_05_36</t>
  </si>
  <si>
    <t>DARK-11269-20231116-10_05_43</t>
  </si>
  <si>
    <t>10:05:16</t>
  </si>
  <si>
    <t>20231116 10:07:28</t>
  </si>
  <si>
    <t>10:07:28</t>
  </si>
  <si>
    <t>10:06:58</t>
  </si>
  <si>
    <t>20231116 10:08:59</t>
  </si>
  <si>
    <t>10:08:59</t>
  </si>
  <si>
    <t>MPF-11270-20231116-10_08_48</t>
  </si>
  <si>
    <t>DARK-11271-20231116-10_08_55</t>
  </si>
  <si>
    <t>10:08:25</t>
  </si>
  <si>
    <t>20231116 10:10:43</t>
  </si>
  <si>
    <t>10:10:43</t>
  </si>
  <si>
    <t>10:10:11</t>
  </si>
  <si>
    <t>20231116 10:12:13</t>
  </si>
  <si>
    <t>10:12:13</t>
  </si>
  <si>
    <t>MPF-11272-20231116-10_12_02</t>
  </si>
  <si>
    <t>DARK-11273-20231116-10_12_09</t>
  </si>
  <si>
    <t>10:11:38</t>
  </si>
  <si>
    <t>1/2</t>
  </si>
  <si>
    <t>20231116 10:14:46</t>
  </si>
  <si>
    <t>10:14:46</t>
  </si>
  <si>
    <t>10:13:29</t>
  </si>
  <si>
    <t>20231116 10:16:27</t>
  </si>
  <si>
    <t>10:16:27</t>
  </si>
  <si>
    <t>MPF-11274-20231116-10_16_16</t>
  </si>
  <si>
    <t>DARK-11275-20231116-10_16_23</t>
  </si>
  <si>
    <t>10:15:52</t>
  </si>
  <si>
    <t>20231116 10:18:13</t>
  </si>
  <si>
    <t>10:18:13</t>
  </si>
  <si>
    <t>10:17:40</t>
  </si>
  <si>
    <t>20231116 10:21:02</t>
  </si>
  <si>
    <t>10:21:02</t>
  </si>
  <si>
    <t>MPF-11276-20231116-10_20_50</t>
  </si>
  <si>
    <t>DARK-11277-20231116-10_20_57</t>
  </si>
  <si>
    <t>10:19:21</t>
  </si>
  <si>
    <t>20231116 10:24:01</t>
  </si>
  <si>
    <t>10:24:01</t>
  </si>
  <si>
    <t>10:22:14</t>
  </si>
  <si>
    <t>20231116 10:25:48</t>
  </si>
  <si>
    <t>10:25:48</t>
  </si>
  <si>
    <t>MPF-11278-20231116-10_25_36</t>
  </si>
  <si>
    <t>DARK-11279-20231116-10_25_43</t>
  </si>
  <si>
    <t>10:25:18</t>
  </si>
  <si>
    <t>20231116 10:27:46</t>
  </si>
  <si>
    <t>10:27:46</t>
  </si>
  <si>
    <t>10:27:15</t>
  </si>
  <si>
    <t>20231116 10:29:23</t>
  </si>
  <si>
    <t>10:29:23</t>
  </si>
  <si>
    <t>MPF-11280-20231116-10_29_12</t>
  </si>
  <si>
    <t>DARK-11281-20231116-10_29_19</t>
  </si>
  <si>
    <t>10:28:54</t>
  </si>
  <si>
    <t>20231116 10:31:03</t>
  </si>
  <si>
    <t>10:31:03</t>
  </si>
  <si>
    <t>10:30:33</t>
  </si>
  <si>
    <t>20231116 10:50:29</t>
  </si>
  <si>
    <t>10:50:29</t>
  </si>
  <si>
    <t>9</t>
  </si>
  <si>
    <t>MPF-11282-20231116-10_50_18</t>
  </si>
  <si>
    <t>DARK-11283-20231116-10_50_25</t>
  </si>
  <si>
    <t>10:50:01</t>
  </si>
  <si>
    <t>20231116 10:52:13</t>
  </si>
  <si>
    <t>10:52:13</t>
  </si>
  <si>
    <t>10:51:46</t>
  </si>
  <si>
    <t>20231116 10:54:15</t>
  </si>
  <si>
    <t>10:54:15</t>
  </si>
  <si>
    <t>MPF-11284-20231116-10_54_03</t>
  </si>
  <si>
    <t>DARK-11285-20231116-10_54_11</t>
  </si>
  <si>
    <t>10:53:45</t>
  </si>
  <si>
    <t>20231116 10:55:56</t>
  </si>
  <si>
    <t>10:55:56</t>
  </si>
  <si>
    <t>10:55:20</t>
  </si>
  <si>
    <t>20231116 10:57:27</t>
  </si>
  <si>
    <t>10:57:27</t>
  </si>
  <si>
    <t>MPF-11286-20231116-10_57_15</t>
  </si>
  <si>
    <t>DARK-11287-20231116-10_57_23</t>
  </si>
  <si>
    <t>10:56:55</t>
  </si>
  <si>
    <t>20231116 10:59:58</t>
  </si>
  <si>
    <t>10:59:58</t>
  </si>
  <si>
    <t>10:58:35</t>
  </si>
  <si>
    <t>20231116 11:01:39</t>
  </si>
  <si>
    <t>11:01:39</t>
  </si>
  <si>
    <t>MPF-11288-20231116-11_01_28</t>
  </si>
  <si>
    <t>DARK-11289-20231116-11_01_35</t>
  </si>
  <si>
    <t>11:01:08</t>
  </si>
  <si>
    <t>20231116 11:04:50</t>
  </si>
  <si>
    <t>11:04:50</t>
  </si>
  <si>
    <t>MPF-11290-20231116-11_04_39</t>
  </si>
  <si>
    <t>DARK-11291-20231116-11_04_46</t>
  </si>
  <si>
    <t>11:02:51</t>
  </si>
  <si>
    <t>20231116 11:07:53</t>
  </si>
  <si>
    <t>11:07:53</t>
  </si>
  <si>
    <t>MPF-11292-20231116-11_07_41</t>
  </si>
  <si>
    <t>DARK-11293-20231116-11_07_49</t>
  </si>
  <si>
    <t>11:06:02</t>
  </si>
  <si>
    <t>20231116 11:10:54</t>
  </si>
  <si>
    <t>11:10:54</t>
  </si>
  <si>
    <t>11:09:12</t>
  </si>
  <si>
    <t>20231116 11:12:39</t>
  </si>
  <si>
    <t>11:12:39</t>
  </si>
  <si>
    <t>MPF-11294-20231116-11_12_28</t>
  </si>
  <si>
    <t>DARK-11295-20231116-11_12_35</t>
  </si>
  <si>
    <t>11:11:59</t>
  </si>
  <si>
    <t>20231116 11:14:41</t>
  </si>
  <si>
    <t>11:14:41</t>
  </si>
  <si>
    <t>11:14:08</t>
  </si>
  <si>
    <t>20231116 11:16:25</t>
  </si>
  <si>
    <t>11:16:25</t>
  </si>
  <si>
    <t>MPF-11296-20231116-11_16_13</t>
  </si>
  <si>
    <t>DARK-11297-20231116-11_16_21</t>
  </si>
  <si>
    <t>11:15:53</t>
  </si>
  <si>
    <t>20231116 11:18:11</t>
  </si>
  <si>
    <t>11:18:11</t>
  </si>
  <si>
    <t>11:17:39</t>
  </si>
  <si>
    <t>20231116 11:50:46</t>
  </si>
  <si>
    <t>11:50:46</t>
  </si>
  <si>
    <t>25</t>
  </si>
  <si>
    <t>MPF-11298-20231116-11_50_35</t>
  </si>
  <si>
    <t>DARK-11299-20231116-11_50_42</t>
  </si>
  <si>
    <t>11:50:13</t>
  </si>
  <si>
    <t>20231116 11:53:48</t>
  </si>
  <si>
    <t>11:53:48</t>
  </si>
  <si>
    <t>11:53:17</t>
  </si>
  <si>
    <t>20231116 11:55:27</t>
  </si>
  <si>
    <t>11:55:27</t>
  </si>
  <si>
    <t>MPF-11300-20231116-11_55_16</t>
  </si>
  <si>
    <t>DARK-11301-20231116-11_55_23</t>
  </si>
  <si>
    <t>11:54:53</t>
  </si>
  <si>
    <t>20231116 11:57:07</t>
  </si>
  <si>
    <t>11:57:07</t>
  </si>
  <si>
    <t>11:56:40</t>
  </si>
  <si>
    <t>20231116 11:59:24</t>
  </si>
  <si>
    <t>11:59:24</t>
  </si>
  <si>
    <t>MPF-11302-20231116-11_59_13</t>
  </si>
  <si>
    <t>DARK-11303-20231116-11_59_20</t>
  </si>
  <si>
    <t>11:58:18</t>
  </si>
  <si>
    <t>20231116 12:02:48</t>
  </si>
  <si>
    <t>12:02:48</t>
  </si>
  <si>
    <t>MPF-11304-20231116-12_02_36</t>
  </si>
  <si>
    <t>DARK-11305-20231116-12_02_44</t>
  </si>
  <si>
    <t>12:01:18</t>
  </si>
  <si>
    <t>20231116 12:05:40</t>
  </si>
  <si>
    <t>12:05:40</t>
  </si>
  <si>
    <t>12:04:40</t>
  </si>
  <si>
    <t>20231116 12:08:53</t>
  </si>
  <si>
    <t>12:08:53</t>
  </si>
  <si>
    <t>MPF-11306-20231116-12_08_41</t>
  </si>
  <si>
    <t>DARK-11307-20231116-12_08_49</t>
  </si>
  <si>
    <t>12:07:31</t>
  </si>
  <si>
    <t>20231116 12:12:45</t>
  </si>
  <si>
    <t>12:12:45</t>
  </si>
  <si>
    <t>MPF-11308-20231116-12_12_33</t>
  </si>
  <si>
    <t>DARK-11309-20231116-12_12_41</t>
  </si>
  <si>
    <t>12:10:18</t>
  </si>
  <si>
    <t>20231116 12:14:28</t>
  </si>
  <si>
    <t>12:14:28</t>
  </si>
  <si>
    <t>12:13:57</t>
  </si>
  <si>
    <t>20231116 12:16:37</t>
  </si>
  <si>
    <t>12:16:37</t>
  </si>
  <si>
    <t>MPF-11310-20231116-12_16_26</t>
  </si>
  <si>
    <t>DARK-11311-20231116-12_16_33</t>
  </si>
  <si>
    <t>12:16:01</t>
  </si>
  <si>
    <t>20231116 12:18:31</t>
  </si>
  <si>
    <t>12:18:31</t>
  </si>
  <si>
    <t>12:18:00</t>
  </si>
  <si>
    <t>20231116 12:20:08</t>
  </si>
  <si>
    <t>12:20:08</t>
  </si>
  <si>
    <t>MPF-11312-20231116-12_19_57</t>
  </si>
  <si>
    <t>DARK-11313-20231116-12_20_04</t>
  </si>
  <si>
    <t>12:19:38</t>
  </si>
  <si>
    <t>20231116 12:22:04</t>
  </si>
  <si>
    <t>12:22:04</t>
  </si>
  <si>
    <t>12:21:30</t>
  </si>
  <si>
    <t>20231116 12:50:37</t>
  </si>
  <si>
    <t>12:50:37</t>
  </si>
  <si>
    <t>10</t>
  </si>
  <si>
    <t>MPF-11314-20231116-12_50_26</t>
  </si>
  <si>
    <t>DARK-11315-20231116-12_50_33</t>
  </si>
  <si>
    <t>12:50:06</t>
  </si>
  <si>
    <t>20231116 12:52:34</t>
  </si>
  <si>
    <t>12:52:34</t>
  </si>
  <si>
    <t>12:52:03</t>
  </si>
  <si>
    <t>20231116 12:55:46</t>
  </si>
  <si>
    <t>12:55:46</t>
  </si>
  <si>
    <t>MPF-11316-20231116-12_55_35</t>
  </si>
  <si>
    <t>DARK-11317-20231116-12_55_42</t>
  </si>
  <si>
    <t>12:53:34</t>
  </si>
  <si>
    <t>20231116 12:59:36</t>
  </si>
  <si>
    <t>12:59:36</t>
  </si>
  <si>
    <t>MPF-11318-20231116-12_59_25</t>
  </si>
  <si>
    <t>DARK-11319-20231116-12_59_32</t>
  </si>
  <si>
    <t>12:57:03</t>
  </si>
  <si>
    <t>20231116 13:02:17</t>
  </si>
  <si>
    <t>13:02:17</t>
  </si>
  <si>
    <t>13:00:54</t>
  </si>
  <si>
    <t>20231116 13:03:56</t>
  </si>
  <si>
    <t>13:03:56</t>
  </si>
  <si>
    <t>MPF-11320-20231116-13_03_44</t>
  </si>
  <si>
    <t>DARK-11321-20231116-13_03_52</t>
  </si>
  <si>
    <t>13:03:27</t>
  </si>
  <si>
    <t>20231116 13:06:48</t>
  </si>
  <si>
    <t>13:06:48</t>
  </si>
  <si>
    <t>13:05:09</t>
  </si>
  <si>
    <t>20231116 13:09:38</t>
  </si>
  <si>
    <t>13:09:38</t>
  </si>
  <si>
    <t>MPF-11322-20231116-13_09_27</t>
  </si>
  <si>
    <t>DARK-11323-20231116-13_09_34</t>
  </si>
  <si>
    <t>13:08:08</t>
  </si>
  <si>
    <t>20231116 13:12:39</t>
  </si>
  <si>
    <t>13:12:39</t>
  </si>
  <si>
    <t>13:10:52</t>
  </si>
  <si>
    <t>20231116 13:15:45</t>
  </si>
  <si>
    <t>13:15:45</t>
  </si>
  <si>
    <t>MPF-11324-20231116-13_15_33</t>
  </si>
  <si>
    <t>DARK-11325-20231116-13_15_41</t>
  </si>
  <si>
    <t>13:13:43</t>
  </si>
  <si>
    <t>20231116 13:17:51</t>
  </si>
  <si>
    <t>13:17:51</t>
  </si>
  <si>
    <t>13:17:11</t>
  </si>
  <si>
    <t>20231116 13:19:41</t>
  </si>
  <si>
    <t>13:19:41</t>
  </si>
  <si>
    <t>MPF-11326-20231116-13_19_29</t>
  </si>
  <si>
    <t>DARK-11327-20231116-13_19_37</t>
  </si>
  <si>
    <t>13:19:09</t>
  </si>
  <si>
    <t>20231116 13:21:54</t>
  </si>
  <si>
    <t>13:21:54</t>
  </si>
  <si>
    <t>13:21:22</t>
  </si>
  <si>
    <t>20231116 13:23:29</t>
  </si>
  <si>
    <t>13:23:29</t>
  </si>
  <si>
    <t>MPF-11328-20231116-13_23_17</t>
  </si>
  <si>
    <t>DARK-11329-20231116-13_23_25</t>
  </si>
  <si>
    <t>13:22:58</t>
  </si>
  <si>
    <t>20231116 13:39:08</t>
  </si>
  <si>
    <t>13:39:08</t>
  </si>
  <si>
    <t>MPF-11330-20231116-13_38_57</t>
  </si>
  <si>
    <t>DARK-11331-20231116-13_39_04</t>
  </si>
  <si>
    <t>13:38:37</t>
  </si>
  <si>
    <t>20231116 13:42:23</t>
  </si>
  <si>
    <t>13:42:23</t>
  </si>
  <si>
    <t>MPF-11332-20231116-13_42_12</t>
  </si>
  <si>
    <t>DARK-11333-20231116-13_42_19</t>
  </si>
  <si>
    <t>13:41:53</t>
  </si>
  <si>
    <t>20231116 13:44:05</t>
  </si>
  <si>
    <t>13:44:05</t>
  </si>
  <si>
    <t>13:43:32</t>
  </si>
  <si>
    <t>20231116 13:45:36</t>
  </si>
  <si>
    <t>13:45:36</t>
  </si>
  <si>
    <t>MPF-11334-20231116-13_45_24</t>
  </si>
  <si>
    <t>DARK-11335-20231116-13_45_32</t>
  </si>
  <si>
    <t>13:45:05</t>
  </si>
  <si>
    <t>20231116 13:50:45</t>
  </si>
  <si>
    <t>13:50:45</t>
  </si>
  <si>
    <t>MPF-11336-20231116-13_50_34</t>
  </si>
  <si>
    <t>DARK-11337-20231116-13_50_41</t>
  </si>
  <si>
    <t>13:46:54</t>
  </si>
  <si>
    <t>20231116 13:52:42</t>
  </si>
  <si>
    <t>13:52:42</t>
  </si>
  <si>
    <t>13:52:05</t>
  </si>
  <si>
    <t>20231116 13:57:14</t>
  </si>
  <si>
    <t>13:57:14</t>
  </si>
  <si>
    <t>MPF-11338-20231116-13_57_03</t>
  </si>
  <si>
    <t>DARK-11339-20231116-13_57_10</t>
  </si>
  <si>
    <t>13:53:45</t>
  </si>
  <si>
    <t>20231116 13:59:17</t>
  </si>
  <si>
    <t>13:59:17</t>
  </si>
  <si>
    <t>13:58:47</t>
  </si>
  <si>
    <t>20231116 14:02:35</t>
  </si>
  <si>
    <t>14:02:35</t>
  </si>
  <si>
    <t>MPF-11340-20231116-14_02_24</t>
  </si>
  <si>
    <t>DARK-11341-20231116-14_02_31</t>
  </si>
  <si>
    <t>14:00:24</t>
  </si>
  <si>
    <t>20231116 14:05:32</t>
  </si>
  <si>
    <t>14:05:32</t>
  </si>
  <si>
    <t>14:04:00</t>
  </si>
  <si>
    <t>20231116 14:07:20</t>
  </si>
  <si>
    <t>14:07:20</t>
  </si>
  <si>
    <t>MPF-11342-20231116-14_07_09</t>
  </si>
  <si>
    <t>DARK-11343-20231116-14_07_16</t>
  </si>
  <si>
    <t>14:06:48</t>
  </si>
  <si>
    <t>20231116 14:09:04</t>
  </si>
  <si>
    <t>14:09:04</t>
  </si>
  <si>
    <t>14:08:34</t>
  </si>
  <si>
    <t>20231116 14:10:51</t>
  </si>
  <si>
    <t>14:10:51</t>
  </si>
  <si>
    <t>MPF-11344-20231116-14_10_40</t>
  </si>
  <si>
    <t>DARK-11345-20231116-14_10_47</t>
  </si>
  <si>
    <t>14:10:12</t>
  </si>
  <si>
    <t>20231116 14:12:31</t>
  </si>
  <si>
    <t>14:12:31</t>
  </si>
  <si>
    <t>14:11:59</t>
  </si>
  <si>
    <t>20231116 14:30:40</t>
  </si>
  <si>
    <t>14:30:40</t>
  </si>
  <si>
    <t>7</t>
  </si>
  <si>
    <t>MPF-11346-20231116-14_30_29</t>
  </si>
  <si>
    <t>DARK-11347-20231116-14_30_36</t>
  </si>
  <si>
    <t>14:30:06</t>
  </si>
  <si>
    <t>20231116 14:32:24</t>
  </si>
  <si>
    <t>14:32:24</t>
  </si>
  <si>
    <t>14:32:55</t>
  </si>
  <si>
    <t>20231116 14:34:26</t>
  </si>
  <si>
    <t>14:34:26</t>
  </si>
  <si>
    <t>MPF-11348-20231116-14_34_15</t>
  </si>
  <si>
    <t>DARK-11349-20231116-14_34_22</t>
  </si>
  <si>
    <t>14:33:52</t>
  </si>
  <si>
    <t>20231116 14:36:43</t>
  </si>
  <si>
    <t>14:36:43</t>
  </si>
  <si>
    <t>14:36:13</t>
  </si>
  <si>
    <t>20231116 14:38:19</t>
  </si>
  <si>
    <t>14:38:19</t>
  </si>
  <si>
    <t>MPF-11350-20231116-14_38_08</t>
  </si>
  <si>
    <t>DARK-11351-20231116-14_38_16</t>
  </si>
  <si>
    <t>14:37:51</t>
  </si>
  <si>
    <t>20231116 14:41:10</t>
  </si>
  <si>
    <t>14:41:10</t>
  </si>
  <si>
    <t>14:39:31</t>
  </si>
  <si>
    <t>20231116 14:43:54</t>
  </si>
  <si>
    <t>14:43:54</t>
  </si>
  <si>
    <t>MPF-11352-20231116-14_43_43</t>
  </si>
  <si>
    <t>DARK-11353-20231116-14_43_50</t>
  </si>
  <si>
    <t>14:42:10</t>
  </si>
  <si>
    <t>20231116 14:45:53</t>
  </si>
  <si>
    <t>14:45:53</t>
  </si>
  <si>
    <t>14:45:10</t>
  </si>
  <si>
    <t>20231116 14:48:27</t>
  </si>
  <si>
    <t>14:48:27</t>
  </si>
  <si>
    <t>MPF-11354-20231116-14_48_16</t>
  </si>
  <si>
    <t>DARK-11355-20231116-14_48_23</t>
  </si>
  <si>
    <t>14:46:56</t>
  </si>
  <si>
    <t>20231116 14:51:39</t>
  </si>
  <si>
    <t>14:51:39</t>
  </si>
  <si>
    <t>MPF-11356-20231116-14_51_28</t>
  </si>
  <si>
    <t>DARK-11357-20231116-14_51_35</t>
  </si>
  <si>
    <t>14:49:43</t>
  </si>
  <si>
    <t>20231116 14:53:44</t>
  </si>
  <si>
    <t>14:53:44</t>
  </si>
  <si>
    <t>14:53:03</t>
  </si>
  <si>
    <t>20231116 14:55:27</t>
  </si>
  <si>
    <t>14:55:27</t>
  </si>
  <si>
    <t>MPF-11358-20231116-14_55_16</t>
  </si>
  <si>
    <t>DARK-11359-20231116-14_55_23</t>
  </si>
  <si>
    <t>14:54:52</t>
  </si>
  <si>
    <t>20231116 14:57:27</t>
  </si>
  <si>
    <t>14:57:27</t>
  </si>
  <si>
    <t>14:56:49</t>
  </si>
  <si>
    <t>20231116 14:59:01</t>
  </si>
  <si>
    <t>14:59:01</t>
  </si>
  <si>
    <t>MPF-11360-20231116-14_58_50</t>
  </si>
  <si>
    <t>DARK-11361-20231116-14_58_57</t>
  </si>
  <si>
    <t>14:58:26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</si>
</sst>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114"/>
  <sheetViews>
    <sheetView tabSelected="1" workbookViewId="0"/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0.17249999999999999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1700147873.5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1700147873.5</v>
      </c>
      <c r="J17">
        <f t="shared" ref="J17:J48" si="0">(K17)/1000</f>
        <v>3.9396906574737873E-3</v>
      </c>
      <c r="K17">
        <f t="shared" ref="K17:K48" si="1">1000*DK17*AI17*(DG17-DH17)/(100*CZ17*(1000-AI17*DG17))</f>
        <v>3.9396906574737871</v>
      </c>
      <c r="L17">
        <f t="shared" ref="L17:L48" si="2">DK17*AI17*(DF17-DE17*(1000-AI17*DH17)/(1000-AI17*DG17))/(100*CZ17)</f>
        <v>43.7938043108283</v>
      </c>
      <c r="M17">
        <f t="shared" ref="M17:M48" si="3">DE17 - IF(AI17&gt;1, L17*CZ17*100/(AK17*DS17), 0)</f>
        <v>404.55099999999999</v>
      </c>
      <c r="N17">
        <f t="shared" ref="N17:N48" si="4">((T17-J17/2)*M17-L17)/(T17+J17/2)</f>
        <v>140.87912458890818</v>
      </c>
      <c r="O17">
        <f t="shared" ref="O17:O48" si="5">N17*(DL17+DM17)/1000</f>
        <v>14.033171480086679</v>
      </c>
      <c r="P17">
        <f t="shared" ref="P17:P48" si="6">(DE17 - IF(AI17&gt;1, L17*CZ17*100/(AK17*DS17), 0))*(DL17+DM17)/1000</f>
        <v>40.29790483158299</v>
      </c>
      <c r="Q17">
        <f t="shared" ref="Q17:Q48" si="7">2/((1/S17-1/R17)+SIGN(S17)*SQRT((1/S17-1/R17)*(1/S17-1/R17) + 4*DA17/((DA17+1)*(DA17+1))*(2*1/S17*1/R17-1/R17*1/R17)))</f>
        <v>0.28396833161188523</v>
      </c>
      <c r="R17">
        <f t="shared" ref="R17:R48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3.1326122792088347</v>
      </c>
      <c r="S17">
        <f t="shared" ref="S17:S48" si="9">J17*(1000-(1000*0.61365*EXP(17.502*W17/(240.97+W17))/(DL17+DM17)+DG17)/2)/(1000*0.61365*EXP(17.502*W17/(240.97+W17))/(DL17+DM17)-DG17)</f>
        <v>0.27040339732616586</v>
      </c>
      <c r="T17">
        <f t="shared" ref="T17:T48" si="10">1/((DA17+1)/(Q17/1.6)+1/(R17/1.37)) + DA17/((DA17+1)/(Q17/1.6) + DA17/(R17/1.37))</f>
        <v>0.17016686828638034</v>
      </c>
      <c r="U17">
        <f t="shared" ref="U17:U48" si="11">(CV17*CY17)</f>
        <v>344.33969930263873</v>
      </c>
      <c r="V17">
        <f t="shared" ref="V17:V48" si="12">(DN17+(U17+2*0.95*0.0000000567*(((DN17+$B$7)+273)^4-(DN17+273)^4)-44100*J17)/(1.84*29.3*R17+8*0.95*0.0000000567*(DN17+273)^3))</f>
        <v>31.467175795763442</v>
      </c>
      <c r="W17">
        <f t="shared" ref="W17:W48" si="13">($C$7*DO17+$D$7*DP17+$E$7*V17)</f>
        <v>29.990200000000002</v>
      </c>
      <c r="X17">
        <f t="shared" ref="X17:X48" si="14">0.61365*EXP(17.502*W17/(240.97+W17))</f>
        <v>4.2580521365079207</v>
      </c>
      <c r="Y17">
        <f t="shared" ref="Y17:Y48" si="15">(Z17/AA17*100)</f>
        <v>65.109237798238482</v>
      </c>
      <c r="Z17">
        <f t="shared" ref="Z17:Z48" si="16">DG17*(DL17+DM17)/1000</f>
        <v>2.8585891373741998</v>
      </c>
      <c r="AA17">
        <f t="shared" ref="AA17:AA48" si="17">0.61365*EXP(17.502*DN17/(240.97+DN17))</f>
        <v>4.3904509314522162</v>
      </c>
      <c r="AB17">
        <f t="shared" ref="AB17:AB48" si="18">(X17-DG17*(DL17+DM17)/1000)</f>
        <v>1.3994629991337209</v>
      </c>
      <c r="AC17">
        <f t="shared" ref="AC17:AC48" si="19">(-J17*44100)</f>
        <v>-173.74035799459401</v>
      </c>
      <c r="AD17">
        <f t="shared" ref="AD17:AD48" si="20">2*29.3*R17*0.92*(DN17-W17)</f>
        <v>90.201688506360824</v>
      </c>
      <c r="AE17">
        <f t="shared" ref="AE17:AE48" si="21">2*0.95*0.0000000567*(((DN17+$B$7)+273)^4-(W17+273)^4)</f>
        <v>6.4187896412318208</v>
      </c>
      <c r="AF17">
        <f t="shared" ref="AF17:AF48" si="22">U17+AE17+AC17+AD17</f>
        <v>267.21981945563732</v>
      </c>
      <c r="AG17">
        <v>4</v>
      </c>
      <c r="AH17">
        <v>1</v>
      </c>
      <c r="AI17">
        <f t="shared" ref="AI17:AI48" si="23">IF(AG17*$H$13&gt;=AK17,1,(AK17/(AK17-AG17*$H$13)))</f>
        <v>1</v>
      </c>
      <c r="AJ17">
        <f t="shared" ref="AJ17:AJ48" si="24">(AI17-1)*100</f>
        <v>0</v>
      </c>
      <c r="AK17">
        <f t="shared" ref="AK17:AK48" si="25">MAX(0,($B$13+$C$13*DS17)/(1+$D$13*DS17)*DL17/(DN17+273)*$E$13)</f>
        <v>51948.572485961107</v>
      </c>
      <c r="AL17" t="s">
        <v>415</v>
      </c>
      <c r="AM17">
        <v>6977.87</v>
      </c>
      <c r="AN17">
        <v>273.15280000000001</v>
      </c>
      <c r="AO17">
        <v>850.46774885301022</v>
      </c>
      <c r="AP17">
        <f t="shared" ref="AP17:AP48" si="26">1-AN17/AO17</f>
        <v>0.67882050745793765</v>
      </c>
      <c r="AQ17">
        <v>-1.0323826813720729</v>
      </c>
      <c r="AR17" t="s">
        <v>416</v>
      </c>
      <c r="AS17">
        <v>7110.81</v>
      </c>
      <c r="AT17">
        <v>538.40592307692316</v>
      </c>
      <c r="AU17">
        <v>821.4191047593032</v>
      </c>
      <c r="AV17">
        <f t="shared" ref="AV17:AV48" si="27">1-AT17/AU17</f>
        <v>0.34454175711594892</v>
      </c>
      <c r="AW17">
        <v>0.5</v>
      </c>
      <c r="AX17">
        <f t="shared" ref="AX17:AX48" si="28">CW17</f>
        <v>1513.0580996513193</v>
      </c>
      <c r="AY17">
        <f t="shared" ref="AY17:AY48" si="29">L17</f>
        <v>43.7938043108283</v>
      </c>
      <c r="AZ17">
        <f t="shared" ref="AZ17:AZ48" si="30">AV17*AW17*AX17</f>
        <v>260.65584813619205</v>
      </c>
      <c r="BA17">
        <f t="shared" ref="BA17:BA48" si="31">(AY17-AQ17)/AX17</f>
        <v>2.9626216602343599E-2</v>
      </c>
      <c r="BB17">
        <f t="shared" ref="BB17:BB48" si="32">(AO17-AU17)/AU17</f>
        <v>3.5363974279876316E-2</v>
      </c>
      <c r="BC17">
        <f t="shared" ref="BC17:BC48" si="33">AN17/(AP17+AN17/AU17)</f>
        <v>270.08512365527912</v>
      </c>
      <c r="BD17" t="s">
        <v>417</v>
      </c>
      <c r="BE17">
        <v>388.03</v>
      </c>
      <c r="BF17">
        <f t="shared" ref="BF17:BF48" si="34">IF(BE17&lt;&gt;0, BE17, BC17)</f>
        <v>388.03</v>
      </c>
      <c r="BG17">
        <f t="shared" ref="BG17:BG48" si="35">1-BF17/AU17</f>
        <v>0.5276102080512205</v>
      </c>
      <c r="BH17">
        <f t="shared" ref="BH17:BH48" si="36">(AU17-AT17)/(AU17-BF17)</f>
        <v>0.65302329609684262</v>
      </c>
      <c r="BI17">
        <f t="shared" ref="BI17:BI48" si="37">(AO17-AU17)/(AO17-BF17)</f>
        <v>6.2816334016322667E-2</v>
      </c>
      <c r="BJ17">
        <f t="shared" ref="BJ17:BJ48" si="38">(AU17-AT17)/(AU17-AN17)</f>
        <v>0.5161965621918474</v>
      </c>
      <c r="BK17">
        <f t="shared" ref="BK17:BK48" si="39">(AO17-AU17)/(AO17-AN17)</f>
        <v>5.031680567326359E-2</v>
      </c>
      <c r="BL17">
        <f t="shared" ref="BL17:BL48" si="40">(BH17*BF17/AT17)</f>
        <v>0.47063492194950296</v>
      </c>
      <c r="BM17">
        <f t="shared" ref="BM17:BM48" si="41">(1-BL17)</f>
        <v>0.52936507805049704</v>
      </c>
      <c r="BN17">
        <v>11252</v>
      </c>
      <c r="BO17">
        <v>290.00000000000011</v>
      </c>
      <c r="BP17">
        <v>740.98</v>
      </c>
      <c r="BQ17">
        <v>295</v>
      </c>
      <c r="BR17">
        <v>7110.81</v>
      </c>
      <c r="BS17">
        <v>743.87</v>
      </c>
      <c r="BT17">
        <v>-2.89</v>
      </c>
      <c r="BU17">
        <v>300.00000000000011</v>
      </c>
      <c r="BV17">
        <v>38.299999999999997</v>
      </c>
      <c r="BW17">
        <v>821.4191047593032</v>
      </c>
      <c r="BX17">
        <v>1.1790408791649301</v>
      </c>
      <c r="BY17">
        <v>-55.141722931092943</v>
      </c>
      <c r="BZ17">
        <v>0.70275538362738965</v>
      </c>
      <c r="CA17">
        <v>0.99547274346990944</v>
      </c>
      <c r="CB17">
        <v>-7.0116932146829887E-3</v>
      </c>
      <c r="CC17">
        <v>289.99999999999989</v>
      </c>
      <c r="CD17">
        <v>754.53</v>
      </c>
      <c r="CE17">
        <v>835</v>
      </c>
      <c r="CF17">
        <v>7101.83</v>
      </c>
      <c r="CG17">
        <v>743.77</v>
      </c>
      <c r="CH17">
        <v>10.76</v>
      </c>
      <c r="CV17">
        <f t="shared" ref="CV17:CV48" si="42">$B$11*DT17+$C$11*DU17+$F$11*EF17*(1-EI17)</f>
        <v>1799.85</v>
      </c>
      <c r="CW17">
        <f t="shared" ref="CW17:CW48" si="43">CV17*CX17</f>
        <v>1513.0580996513193</v>
      </c>
      <c r="CX17">
        <f t="shared" ref="CX17:CX48" si="44">($B$11*$D$9+$C$11*$D$9+$F$11*((ES17+EK17)/MAX(ES17+EK17+ET17, 0.1)*$I$9+ET17/MAX(ES17+EK17+ET17, 0.1)*$J$9))/($B$11+$C$11+$F$11)</f>
        <v>0.84065788796361884</v>
      </c>
      <c r="CY17">
        <f t="shared" ref="CY17:CY48" si="45">($B$11*$K$9+$C$11*$K$9+$F$11*((ES17+EK17)/MAX(ES17+EK17+ET17, 0.1)*$P$9+ET17/MAX(ES17+EK17+ET17, 0.1)*$Q$9))/($B$11+$C$11+$F$11)</f>
        <v>0.1913157759272377</v>
      </c>
      <c r="CZ17">
        <v>5</v>
      </c>
      <c r="DA17">
        <v>0.5</v>
      </c>
      <c r="DB17" t="s">
        <v>418</v>
      </c>
      <c r="DC17">
        <v>2</v>
      </c>
      <c r="DD17">
        <v>1700147873.5</v>
      </c>
      <c r="DE17">
        <v>404.55099999999999</v>
      </c>
      <c r="DF17">
        <v>449.92399999999998</v>
      </c>
      <c r="DG17">
        <v>28.697399999999998</v>
      </c>
      <c r="DH17">
        <v>24.872</v>
      </c>
      <c r="DI17">
        <v>405.29500000000002</v>
      </c>
      <c r="DJ17">
        <v>28.706700000000001</v>
      </c>
      <c r="DK17">
        <v>500.161</v>
      </c>
      <c r="DL17">
        <v>99.511399999999995</v>
      </c>
      <c r="DM17">
        <v>0.100033</v>
      </c>
      <c r="DN17">
        <v>30.5243</v>
      </c>
      <c r="DO17">
        <v>29.990200000000002</v>
      </c>
      <c r="DP17">
        <v>999.9</v>
      </c>
      <c r="DQ17">
        <v>0</v>
      </c>
      <c r="DR17">
        <v>0</v>
      </c>
      <c r="DS17">
        <v>9988.1200000000008</v>
      </c>
      <c r="DT17">
        <v>0</v>
      </c>
      <c r="DU17">
        <v>304.20999999999998</v>
      </c>
      <c r="DV17">
        <v>-45.372799999999998</v>
      </c>
      <c r="DW17">
        <v>416.50400000000002</v>
      </c>
      <c r="DX17">
        <v>461.4</v>
      </c>
      <c r="DY17">
        <v>3.8254000000000001</v>
      </c>
      <c r="DZ17">
        <v>449.92399999999998</v>
      </c>
      <c r="EA17">
        <v>24.872</v>
      </c>
      <c r="EB17">
        <v>2.8557199999999998</v>
      </c>
      <c r="EC17">
        <v>2.47505</v>
      </c>
      <c r="ED17">
        <v>23.209700000000002</v>
      </c>
      <c r="EE17">
        <v>20.863299999999999</v>
      </c>
      <c r="EF17">
        <v>1799.85</v>
      </c>
      <c r="EG17">
        <v>0.97800900000000002</v>
      </c>
      <c r="EH17">
        <v>2.1991299999999998E-2</v>
      </c>
      <c r="EI17">
        <v>0</v>
      </c>
      <c r="EJ17">
        <v>538.39700000000005</v>
      </c>
      <c r="EK17">
        <v>5.0005300000000004</v>
      </c>
      <c r="EL17">
        <v>11496.8</v>
      </c>
      <c r="EM17">
        <v>16034</v>
      </c>
      <c r="EN17">
        <v>50.5</v>
      </c>
      <c r="EO17">
        <v>51.436999999999998</v>
      </c>
      <c r="EP17">
        <v>51.061999999999998</v>
      </c>
      <c r="EQ17">
        <v>51.186999999999998</v>
      </c>
      <c r="ER17">
        <v>51.686999999999998</v>
      </c>
      <c r="ES17">
        <v>1755.38</v>
      </c>
      <c r="ET17">
        <v>39.47</v>
      </c>
      <c r="EU17">
        <v>0</v>
      </c>
      <c r="EV17">
        <v>1700147877.3</v>
      </c>
      <c r="EW17">
        <v>0</v>
      </c>
      <c r="EX17">
        <v>538.40592307692316</v>
      </c>
      <c r="EY17">
        <v>-0.26276923760573312</v>
      </c>
      <c r="EZ17">
        <v>100.4341880074039</v>
      </c>
      <c r="FA17">
        <v>11501.77307692308</v>
      </c>
      <c r="FB17">
        <v>15</v>
      </c>
      <c r="FC17">
        <v>1700147831</v>
      </c>
      <c r="FD17" t="s">
        <v>419</v>
      </c>
      <c r="FE17">
        <v>1700147831</v>
      </c>
      <c r="FF17">
        <v>1700147828</v>
      </c>
      <c r="FG17">
        <v>2</v>
      </c>
      <c r="FH17">
        <v>0.253</v>
      </c>
      <c r="FI17">
        <v>-8.9999999999999993E-3</v>
      </c>
      <c r="FJ17">
        <v>-0.751</v>
      </c>
      <c r="FK17">
        <v>-8.9999999999999993E-3</v>
      </c>
      <c r="FL17">
        <v>450</v>
      </c>
      <c r="FM17">
        <v>25</v>
      </c>
      <c r="FN17">
        <v>0.03</v>
      </c>
      <c r="FO17">
        <v>0.04</v>
      </c>
      <c r="FP17">
        <v>43.813650507114673</v>
      </c>
      <c r="FQ17">
        <v>-0.65159303599933516</v>
      </c>
      <c r="FR17">
        <v>5.8518410468600082E-2</v>
      </c>
      <c r="FS17">
        <v>1</v>
      </c>
      <c r="FT17">
        <v>0.28390601528480258</v>
      </c>
      <c r="FU17">
        <v>2.3038156610852609E-2</v>
      </c>
      <c r="FV17">
        <v>1.925068164124569E-3</v>
      </c>
      <c r="FW17">
        <v>1</v>
      </c>
      <c r="FX17">
        <v>2</v>
      </c>
      <c r="FY17">
        <v>2</v>
      </c>
      <c r="FZ17" t="s">
        <v>420</v>
      </c>
      <c r="GA17">
        <v>3.1237200000000001</v>
      </c>
      <c r="GB17">
        <v>2.7667999999999999</v>
      </c>
      <c r="GC17">
        <v>8.9942400000000006E-2</v>
      </c>
      <c r="GD17">
        <v>9.7406199999999998E-2</v>
      </c>
      <c r="GE17">
        <v>0.121854</v>
      </c>
      <c r="GF17">
        <v>0.110458</v>
      </c>
      <c r="GG17">
        <v>21659.8</v>
      </c>
      <c r="GH17">
        <v>22318.6</v>
      </c>
      <c r="GI17">
        <v>23667.7</v>
      </c>
      <c r="GJ17">
        <v>25047.3</v>
      </c>
      <c r="GK17">
        <v>29928.3</v>
      </c>
      <c r="GL17">
        <v>31227.1</v>
      </c>
      <c r="GM17">
        <v>37722.400000000001</v>
      </c>
      <c r="GN17">
        <v>38973.4</v>
      </c>
      <c r="GO17">
        <v>2.08582</v>
      </c>
      <c r="GP17">
        <v>1.8297300000000001</v>
      </c>
      <c r="GQ17">
        <v>-2.7194599999999999E-2</v>
      </c>
      <c r="GR17">
        <v>0</v>
      </c>
      <c r="GS17">
        <v>30.432600000000001</v>
      </c>
      <c r="GT17">
        <v>999.9</v>
      </c>
      <c r="GU17">
        <v>60.4</v>
      </c>
      <c r="GV17">
        <v>32.5</v>
      </c>
      <c r="GW17">
        <v>29.8123</v>
      </c>
      <c r="GX17">
        <v>60.690100000000001</v>
      </c>
      <c r="GY17">
        <v>25.7652</v>
      </c>
      <c r="GZ17">
        <v>1</v>
      </c>
      <c r="HA17">
        <v>0.61885900000000005</v>
      </c>
      <c r="HB17">
        <v>2.5061499999999999</v>
      </c>
      <c r="HC17">
        <v>20.355</v>
      </c>
      <c r="HD17">
        <v>5.2527799999999996</v>
      </c>
      <c r="HE17">
        <v>12.0099</v>
      </c>
      <c r="HF17">
        <v>4.9789500000000002</v>
      </c>
      <c r="HG17">
        <v>3.2930000000000001</v>
      </c>
      <c r="HH17">
        <v>9999</v>
      </c>
      <c r="HI17">
        <v>9999</v>
      </c>
      <c r="HJ17">
        <v>9999</v>
      </c>
      <c r="HK17">
        <v>999.9</v>
      </c>
      <c r="HL17">
        <v>1.8758900000000001</v>
      </c>
      <c r="HM17">
        <v>1.8766700000000001</v>
      </c>
      <c r="HN17">
        <v>1.88307</v>
      </c>
      <c r="HO17">
        <v>1.8861399999999999</v>
      </c>
      <c r="HP17">
        <v>1.8768499999999999</v>
      </c>
      <c r="HQ17">
        <v>1.88354</v>
      </c>
      <c r="HR17">
        <v>1.8824700000000001</v>
      </c>
      <c r="HS17">
        <v>1.8858299999999999</v>
      </c>
      <c r="HT17">
        <v>5</v>
      </c>
      <c r="HU17">
        <v>0</v>
      </c>
      <c r="HV17">
        <v>0</v>
      </c>
      <c r="HW17">
        <v>0</v>
      </c>
      <c r="HX17" t="s">
        <v>421</v>
      </c>
      <c r="HY17" t="s">
        <v>422</v>
      </c>
      <c r="HZ17" t="s">
        <v>423</v>
      </c>
      <c r="IA17" t="s">
        <v>424</v>
      </c>
      <c r="IB17" t="s">
        <v>424</v>
      </c>
      <c r="IC17" t="s">
        <v>423</v>
      </c>
      <c r="ID17">
        <v>0</v>
      </c>
      <c r="IE17">
        <v>100</v>
      </c>
      <c r="IF17">
        <v>100</v>
      </c>
      <c r="IG17">
        <v>-0.74399999999999999</v>
      </c>
      <c r="IH17">
        <v>-9.2999999999999992E-3</v>
      </c>
      <c r="II17">
        <v>-0.72507481056812684</v>
      </c>
      <c r="IJ17">
        <v>4.4610147972834149E-5</v>
      </c>
      <c r="IK17">
        <v>-2.082673137682459E-7</v>
      </c>
      <c r="IL17">
        <v>-4.0725795306076518E-11</v>
      </c>
      <c r="IM17">
        <v>-9.3500000000013017E-3</v>
      </c>
      <c r="IN17">
        <v>0</v>
      </c>
      <c r="IO17">
        <v>0</v>
      </c>
      <c r="IP17">
        <v>0</v>
      </c>
      <c r="IQ17">
        <v>3</v>
      </c>
      <c r="IR17">
        <v>2179</v>
      </c>
      <c r="IS17">
        <v>0</v>
      </c>
      <c r="IT17">
        <v>22</v>
      </c>
      <c r="IU17">
        <v>0.7</v>
      </c>
      <c r="IV17">
        <v>0.8</v>
      </c>
      <c r="IW17">
        <v>1.1047400000000001</v>
      </c>
      <c r="IX17">
        <v>2.6257299999999999</v>
      </c>
      <c r="IY17">
        <v>1.6003400000000001</v>
      </c>
      <c r="IZ17">
        <v>2.34131</v>
      </c>
      <c r="JA17">
        <v>1.5502899999999999</v>
      </c>
      <c r="JB17">
        <v>2.36816</v>
      </c>
      <c r="JC17">
        <v>39.0931</v>
      </c>
      <c r="JD17">
        <v>15.410399999999999</v>
      </c>
      <c r="JE17">
        <v>18</v>
      </c>
      <c r="JF17">
        <v>568.74599999999998</v>
      </c>
      <c r="JG17">
        <v>436.83199999999999</v>
      </c>
      <c r="JH17">
        <v>27.387499999999999</v>
      </c>
      <c r="JI17">
        <v>34.585099999999997</v>
      </c>
      <c r="JJ17">
        <v>30.000499999999999</v>
      </c>
      <c r="JK17">
        <v>34.427100000000003</v>
      </c>
      <c r="JL17">
        <v>34.395899999999997</v>
      </c>
      <c r="JM17">
        <v>22.105</v>
      </c>
      <c r="JN17">
        <v>28.759399999999999</v>
      </c>
      <c r="JO17">
        <v>100</v>
      </c>
      <c r="JP17">
        <v>27.388300000000001</v>
      </c>
      <c r="JQ17">
        <v>450</v>
      </c>
      <c r="JR17">
        <v>24.8673</v>
      </c>
      <c r="JS17">
        <v>98.394499999999994</v>
      </c>
      <c r="JT17">
        <v>98.635000000000005</v>
      </c>
    </row>
    <row r="18" spans="1:280" x14ac:dyDescent="0.25">
      <c r="A18">
        <v>2</v>
      </c>
      <c r="B18">
        <v>1700147977.5</v>
      </c>
      <c r="C18">
        <v>104</v>
      </c>
      <c r="D18" t="s">
        <v>425</v>
      </c>
      <c r="E18" t="s">
        <v>426</v>
      </c>
      <c r="F18" t="s">
        <v>412</v>
      </c>
      <c r="G18" t="s">
        <v>413</v>
      </c>
      <c r="H18" t="s">
        <v>414</v>
      </c>
      <c r="I18">
        <v>1700147977.5</v>
      </c>
      <c r="J18">
        <f t="shared" si="0"/>
        <v>2.8546570131204384E-3</v>
      </c>
      <c r="K18">
        <f t="shared" si="1"/>
        <v>2.8546570131204385</v>
      </c>
      <c r="L18">
        <f t="shared" si="2"/>
        <v>49.407708082213432</v>
      </c>
      <c r="M18">
        <f t="shared" si="3"/>
        <v>1446.33</v>
      </c>
      <c r="N18">
        <f t="shared" si="4"/>
        <v>1005.1570163037572</v>
      </c>
      <c r="O18">
        <f t="shared" si="5"/>
        <v>100.12336773861502</v>
      </c>
      <c r="P18">
        <f t="shared" si="6"/>
        <v>144.06846702806999</v>
      </c>
      <c r="Q18">
        <f t="shared" si="7"/>
        <v>0.19762933524451687</v>
      </c>
      <c r="R18">
        <f t="shared" si="8"/>
        <v>3.1283925546483751</v>
      </c>
      <c r="S18">
        <f t="shared" si="9"/>
        <v>0.19094618885865222</v>
      </c>
      <c r="T18">
        <f t="shared" si="10"/>
        <v>0.11992299469650552</v>
      </c>
      <c r="U18">
        <f t="shared" si="11"/>
        <v>344.40419930223669</v>
      </c>
      <c r="V18">
        <f t="shared" si="12"/>
        <v>31.728515984567991</v>
      </c>
      <c r="W18">
        <f t="shared" si="13"/>
        <v>30.065200000000001</v>
      </c>
      <c r="X18">
        <f t="shared" si="14"/>
        <v>4.27643136576744</v>
      </c>
      <c r="Y18">
        <f t="shared" si="15"/>
        <v>64.714819539635016</v>
      </c>
      <c r="Z18">
        <f t="shared" si="16"/>
        <v>2.8404596453960997</v>
      </c>
      <c r="AA18">
        <f t="shared" si="17"/>
        <v>4.3891950338460601</v>
      </c>
      <c r="AB18">
        <f t="shared" si="18"/>
        <v>1.4359717203713402</v>
      </c>
      <c r="AC18">
        <f t="shared" si="19"/>
        <v>-125.89037427861133</v>
      </c>
      <c r="AD18">
        <f t="shared" si="20"/>
        <v>76.587552120356932</v>
      </c>
      <c r="AE18">
        <f t="shared" si="21"/>
        <v>5.4592418617616847</v>
      </c>
      <c r="AF18">
        <f t="shared" si="22"/>
        <v>300.560619005744</v>
      </c>
      <c r="AG18">
        <v>4</v>
      </c>
      <c r="AH18">
        <v>1</v>
      </c>
      <c r="AI18">
        <f t="shared" si="23"/>
        <v>1</v>
      </c>
      <c r="AJ18">
        <f t="shared" si="24"/>
        <v>0</v>
      </c>
      <c r="AK18">
        <f t="shared" si="25"/>
        <v>51842.365258842488</v>
      </c>
      <c r="AL18" t="s">
        <v>427</v>
      </c>
      <c r="AM18" t="s">
        <v>427</v>
      </c>
      <c r="AN18">
        <v>0</v>
      </c>
      <c r="AO18">
        <v>0</v>
      </c>
      <c r="AP18" t="e">
        <f t="shared" si="26"/>
        <v>#DIV/0!</v>
      </c>
      <c r="AQ18">
        <v>0</v>
      </c>
      <c r="AR18" t="s">
        <v>427</v>
      </c>
      <c r="AS18" t="s">
        <v>427</v>
      </c>
      <c r="AT18">
        <v>0</v>
      </c>
      <c r="AU18">
        <v>0</v>
      </c>
      <c r="AV18" t="e">
        <f t="shared" si="27"/>
        <v>#DIV/0!</v>
      </c>
      <c r="AW18">
        <v>0.5</v>
      </c>
      <c r="AX18">
        <f t="shared" si="28"/>
        <v>1513.3361996511182</v>
      </c>
      <c r="AY18">
        <f t="shared" si="29"/>
        <v>49.407708082213432</v>
      </c>
      <c r="AZ18" t="e">
        <f t="shared" si="30"/>
        <v>#DIV/0!</v>
      </c>
      <c r="BA18">
        <f t="shared" si="31"/>
        <v>3.2648203415476217E-2</v>
      </c>
      <c r="BB18" t="e">
        <f t="shared" si="32"/>
        <v>#DIV/0!</v>
      </c>
      <c r="BC18" t="e">
        <f t="shared" si="33"/>
        <v>#DIV/0!</v>
      </c>
      <c r="BD18" t="s">
        <v>427</v>
      </c>
      <c r="BE18">
        <v>0</v>
      </c>
      <c r="BF18" t="e">
        <f t="shared" si="34"/>
        <v>#DIV/0!</v>
      </c>
      <c r="BG18" t="e">
        <f t="shared" si="35"/>
        <v>#DIV/0!</v>
      </c>
      <c r="BH18" t="e">
        <f t="shared" si="36"/>
        <v>#DIV/0!</v>
      </c>
      <c r="BI18" t="e">
        <f t="shared" si="37"/>
        <v>#DIV/0!</v>
      </c>
      <c r="BJ18" t="e">
        <f t="shared" si="38"/>
        <v>#DIV/0!</v>
      </c>
      <c r="BK18" t="e">
        <f t="shared" si="39"/>
        <v>#DIV/0!</v>
      </c>
      <c r="BL18" t="e">
        <f t="shared" si="40"/>
        <v>#DIV/0!</v>
      </c>
      <c r="BM18" t="e">
        <f t="shared" si="41"/>
        <v>#DIV/0!</v>
      </c>
      <c r="BN18">
        <v>11252</v>
      </c>
      <c r="BO18">
        <v>290.00000000000011</v>
      </c>
      <c r="BP18">
        <v>740.98</v>
      </c>
      <c r="BQ18">
        <v>295</v>
      </c>
      <c r="BR18">
        <v>7110.81</v>
      </c>
      <c r="BS18">
        <v>743.87</v>
      </c>
      <c r="BT18">
        <v>-2.89</v>
      </c>
      <c r="BU18">
        <v>300.00000000000011</v>
      </c>
      <c r="BV18">
        <v>38.299999999999997</v>
      </c>
      <c r="BW18">
        <v>821.4191047593032</v>
      </c>
      <c r="BX18">
        <v>1.1790408791649301</v>
      </c>
      <c r="BY18">
        <v>-55.141722931092943</v>
      </c>
      <c r="BZ18">
        <v>0.70275538362738965</v>
      </c>
      <c r="CA18">
        <v>0.99547274346990944</v>
      </c>
      <c r="CB18">
        <v>-7.0116932146829887E-3</v>
      </c>
      <c r="CC18">
        <v>289.99999999999989</v>
      </c>
      <c r="CD18">
        <v>754.53</v>
      </c>
      <c r="CE18">
        <v>835</v>
      </c>
      <c r="CF18">
        <v>7101.83</v>
      </c>
      <c r="CG18">
        <v>743.77</v>
      </c>
      <c r="CH18">
        <v>10.76</v>
      </c>
      <c r="CV18">
        <f t="shared" si="42"/>
        <v>1800.18</v>
      </c>
      <c r="CW18">
        <f t="shared" si="43"/>
        <v>1513.3361996511182</v>
      </c>
      <c r="CX18">
        <f t="shared" si="44"/>
        <v>0.84065826731277882</v>
      </c>
      <c r="CY18">
        <f t="shared" si="45"/>
        <v>0.19131653462555781</v>
      </c>
      <c r="CZ18">
        <v>5</v>
      </c>
      <c r="DA18">
        <v>0.5</v>
      </c>
      <c r="DB18" t="s">
        <v>418</v>
      </c>
      <c r="DC18">
        <v>2</v>
      </c>
      <c r="DD18">
        <v>1700147977.5</v>
      </c>
      <c r="DE18">
        <v>1446.33</v>
      </c>
      <c r="DF18">
        <v>1499.85</v>
      </c>
      <c r="DG18">
        <v>28.515899999999998</v>
      </c>
      <c r="DH18">
        <v>25.743500000000001</v>
      </c>
      <c r="DI18">
        <v>1447.24</v>
      </c>
      <c r="DJ18">
        <v>28.5242</v>
      </c>
      <c r="DK18">
        <v>500.154</v>
      </c>
      <c r="DL18">
        <v>99.509399999999999</v>
      </c>
      <c r="DM18">
        <v>0.10027899999999999</v>
      </c>
      <c r="DN18">
        <v>30.519300000000001</v>
      </c>
      <c r="DO18">
        <v>30.065200000000001</v>
      </c>
      <c r="DP18">
        <v>999.9</v>
      </c>
      <c r="DQ18">
        <v>0</v>
      </c>
      <c r="DR18">
        <v>0</v>
      </c>
      <c r="DS18">
        <v>9966.8799999999992</v>
      </c>
      <c r="DT18">
        <v>0</v>
      </c>
      <c r="DU18">
        <v>305.33300000000003</v>
      </c>
      <c r="DV18">
        <v>-53.522100000000002</v>
      </c>
      <c r="DW18">
        <v>1488.78</v>
      </c>
      <c r="DX18">
        <v>1539.48</v>
      </c>
      <c r="DY18">
        <v>2.7724000000000002</v>
      </c>
      <c r="DZ18">
        <v>1499.85</v>
      </c>
      <c r="EA18">
        <v>25.743500000000001</v>
      </c>
      <c r="EB18">
        <v>2.8376000000000001</v>
      </c>
      <c r="EC18">
        <v>2.5617200000000002</v>
      </c>
      <c r="ED18">
        <v>23.104500000000002</v>
      </c>
      <c r="EE18">
        <v>21.424099999999999</v>
      </c>
      <c r="EF18">
        <v>1800.18</v>
      </c>
      <c r="EG18">
        <v>0.97799499999999995</v>
      </c>
      <c r="EH18">
        <v>2.2004599999999999E-2</v>
      </c>
      <c r="EI18">
        <v>0</v>
      </c>
      <c r="EJ18">
        <v>528.81100000000004</v>
      </c>
      <c r="EK18">
        <v>5.0005300000000004</v>
      </c>
      <c r="EL18">
        <v>11327</v>
      </c>
      <c r="EM18">
        <v>16036.8</v>
      </c>
      <c r="EN18">
        <v>50.811999999999998</v>
      </c>
      <c r="EO18">
        <v>51.75</v>
      </c>
      <c r="EP18">
        <v>51.436999999999998</v>
      </c>
      <c r="EQ18">
        <v>51.436999999999998</v>
      </c>
      <c r="ER18">
        <v>51.936999999999998</v>
      </c>
      <c r="ES18">
        <v>1755.68</v>
      </c>
      <c r="ET18">
        <v>39.5</v>
      </c>
      <c r="EU18">
        <v>0</v>
      </c>
      <c r="EV18">
        <v>102.2000000476837</v>
      </c>
      <c r="EW18">
        <v>0</v>
      </c>
      <c r="EX18">
        <v>528.97924</v>
      </c>
      <c r="EY18">
        <v>-2.096999979035842</v>
      </c>
      <c r="EZ18">
        <v>-17.846153813040619</v>
      </c>
      <c r="FA18">
        <v>11328.22</v>
      </c>
      <c r="FB18">
        <v>15</v>
      </c>
      <c r="FC18">
        <v>1700147937.5</v>
      </c>
      <c r="FD18" t="s">
        <v>428</v>
      </c>
      <c r="FE18">
        <v>1700147937.5</v>
      </c>
      <c r="FF18">
        <v>1700147937.5</v>
      </c>
      <c r="FG18">
        <v>3</v>
      </c>
      <c r="FH18">
        <v>0.307</v>
      </c>
      <c r="FI18">
        <v>1E-3</v>
      </c>
      <c r="FJ18">
        <v>-0.95899999999999996</v>
      </c>
      <c r="FK18">
        <v>-8.0000000000000002E-3</v>
      </c>
      <c r="FL18">
        <v>1500</v>
      </c>
      <c r="FM18">
        <v>25</v>
      </c>
      <c r="FN18">
        <v>0.06</v>
      </c>
      <c r="FO18">
        <v>0.02</v>
      </c>
      <c r="FP18">
        <v>49.503399549470792</v>
      </c>
      <c r="FQ18">
        <v>-0.36496194769367218</v>
      </c>
      <c r="FR18">
        <v>0.107172250884578</v>
      </c>
      <c r="FS18">
        <v>1</v>
      </c>
      <c r="FT18">
        <v>0.20660542577167909</v>
      </c>
      <c r="FU18">
        <v>-4.7463290396753378E-2</v>
      </c>
      <c r="FV18">
        <v>3.551052821727903E-3</v>
      </c>
      <c r="FW18">
        <v>1</v>
      </c>
      <c r="FX18">
        <v>2</v>
      </c>
      <c r="FY18">
        <v>2</v>
      </c>
      <c r="FZ18" t="s">
        <v>420</v>
      </c>
      <c r="GA18">
        <v>3.1239599999999998</v>
      </c>
      <c r="GB18">
        <v>2.7668699999999999</v>
      </c>
      <c r="GC18">
        <v>0.21212300000000001</v>
      </c>
      <c r="GD18">
        <v>0.216534</v>
      </c>
      <c r="GE18">
        <v>0.121281</v>
      </c>
      <c r="GF18">
        <v>0.113118</v>
      </c>
      <c r="GG18">
        <v>18743.8</v>
      </c>
      <c r="GH18">
        <v>19365</v>
      </c>
      <c r="GI18">
        <v>23664.5</v>
      </c>
      <c r="GJ18">
        <v>25045.4</v>
      </c>
      <c r="GK18">
        <v>29944</v>
      </c>
      <c r="GL18">
        <v>31132.3</v>
      </c>
      <c r="GM18">
        <v>37717.9</v>
      </c>
      <c r="GN18">
        <v>38971.9</v>
      </c>
      <c r="GO18">
        <v>2.08378</v>
      </c>
      <c r="GP18">
        <v>1.8305499999999999</v>
      </c>
      <c r="GQ18">
        <v>-2.0153799999999999E-2</v>
      </c>
      <c r="GR18">
        <v>0</v>
      </c>
      <c r="GS18">
        <v>30.393000000000001</v>
      </c>
      <c r="GT18">
        <v>999.9</v>
      </c>
      <c r="GU18">
        <v>60</v>
      </c>
      <c r="GV18">
        <v>32.700000000000003</v>
      </c>
      <c r="GW18">
        <v>29.953299999999999</v>
      </c>
      <c r="GX18">
        <v>60.700099999999999</v>
      </c>
      <c r="GY18">
        <v>25.805299999999999</v>
      </c>
      <c r="GZ18">
        <v>1</v>
      </c>
      <c r="HA18">
        <v>0.62883599999999995</v>
      </c>
      <c r="HB18">
        <v>3.3940600000000001</v>
      </c>
      <c r="HC18">
        <v>20.3386</v>
      </c>
      <c r="HD18">
        <v>5.2527799999999996</v>
      </c>
      <c r="HE18">
        <v>12.0099</v>
      </c>
      <c r="HF18">
        <v>4.9792500000000004</v>
      </c>
      <c r="HG18">
        <v>3.2930000000000001</v>
      </c>
      <c r="HH18">
        <v>9999</v>
      </c>
      <c r="HI18">
        <v>9999</v>
      </c>
      <c r="HJ18">
        <v>9999</v>
      </c>
      <c r="HK18">
        <v>999.9</v>
      </c>
      <c r="HL18">
        <v>1.8758999999999999</v>
      </c>
      <c r="HM18">
        <v>1.8766799999999999</v>
      </c>
      <c r="HN18">
        <v>1.88307</v>
      </c>
      <c r="HO18">
        <v>1.8861300000000001</v>
      </c>
      <c r="HP18">
        <v>1.87686</v>
      </c>
      <c r="HQ18">
        <v>1.88354</v>
      </c>
      <c r="HR18">
        <v>1.88246</v>
      </c>
      <c r="HS18">
        <v>1.8858299999999999</v>
      </c>
      <c r="HT18">
        <v>5</v>
      </c>
      <c r="HU18">
        <v>0</v>
      </c>
      <c r="HV18">
        <v>0</v>
      </c>
      <c r="HW18">
        <v>0</v>
      </c>
      <c r="HX18" t="s">
        <v>421</v>
      </c>
      <c r="HY18" t="s">
        <v>422</v>
      </c>
      <c r="HZ18" t="s">
        <v>423</v>
      </c>
      <c r="IA18" t="s">
        <v>424</v>
      </c>
      <c r="IB18" t="s">
        <v>424</v>
      </c>
      <c r="IC18" t="s">
        <v>423</v>
      </c>
      <c r="ID18">
        <v>0</v>
      </c>
      <c r="IE18">
        <v>100</v>
      </c>
      <c r="IF18">
        <v>100</v>
      </c>
      <c r="IG18">
        <v>-0.91</v>
      </c>
      <c r="IH18">
        <v>-8.3000000000000001E-3</v>
      </c>
      <c r="II18">
        <v>-0.41833110114515171</v>
      </c>
      <c r="IJ18">
        <v>4.4610147972834149E-5</v>
      </c>
      <c r="IK18">
        <v>-2.082673137682459E-7</v>
      </c>
      <c r="IL18">
        <v>-4.0725795306076518E-11</v>
      </c>
      <c r="IM18">
        <v>-8.2952380952434623E-3</v>
      </c>
      <c r="IN18">
        <v>0</v>
      </c>
      <c r="IO18">
        <v>0</v>
      </c>
      <c r="IP18">
        <v>0</v>
      </c>
      <c r="IQ18">
        <v>3</v>
      </c>
      <c r="IR18">
        <v>2179</v>
      </c>
      <c r="IS18">
        <v>0</v>
      </c>
      <c r="IT18">
        <v>22</v>
      </c>
      <c r="IU18">
        <v>0.7</v>
      </c>
      <c r="IV18">
        <v>0.7</v>
      </c>
      <c r="IW18">
        <v>2.95044</v>
      </c>
      <c r="IX18">
        <v>2.6196299999999999</v>
      </c>
      <c r="IY18">
        <v>1.6015600000000001</v>
      </c>
      <c r="IZ18">
        <v>2.34253</v>
      </c>
      <c r="JA18">
        <v>1.5502899999999999</v>
      </c>
      <c r="JB18">
        <v>2.3901400000000002</v>
      </c>
      <c r="JC18">
        <v>39.292000000000002</v>
      </c>
      <c r="JD18">
        <v>15.375400000000001</v>
      </c>
      <c r="JE18">
        <v>18</v>
      </c>
      <c r="JF18">
        <v>568.41499999999996</v>
      </c>
      <c r="JG18">
        <v>438.32799999999997</v>
      </c>
      <c r="JH18">
        <v>26.8691</v>
      </c>
      <c r="JI18">
        <v>34.680799999999998</v>
      </c>
      <c r="JJ18">
        <v>30.000499999999999</v>
      </c>
      <c r="JK18">
        <v>34.554099999999998</v>
      </c>
      <c r="JL18">
        <v>34.527000000000001</v>
      </c>
      <c r="JM18">
        <v>59.055399999999999</v>
      </c>
      <c r="JN18">
        <v>24.375699999999998</v>
      </c>
      <c r="JO18">
        <v>100</v>
      </c>
      <c r="JP18">
        <v>26.809000000000001</v>
      </c>
      <c r="JQ18">
        <v>1500</v>
      </c>
      <c r="JR18">
        <v>25.909600000000001</v>
      </c>
      <c r="JS18">
        <v>98.382099999999994</v>
      </c>
      <c r="JT18">
        <v>98.629900000000006</v>
      </c>
    </row>
    <row r="19" spans="1:280" x14ac:dyDescent="0.25">
      <c r="A19">
        <v>3</v>
      </c>
      <c r="B19">
        <v>1700148068</v>
      </c>
      <c r="C19">
        <v>194.5</v>
      </c>
      <c r="D19" t="s">
        <v>429</v>
      </c>
      <c r="E19" t="s">
        <v>430</v>
      </c>
      <c r="F19" t="s">
        <v>412</v>
      </c>
      <c r="G19" t="s">
        <v>413</v>
      </c>
      <c r="H19" t="s">
        <v>414</v>
      </c>
      <c r="I19">
        <v>1700148068</v>
      </c>
      <c r="J19">
        <f t="shared" si="0"/>
        <v>2.6611189334018407E-3</v>
      </c>
      <c r="K19">
        <f t="shared" si="1"/>
        <v>2.6611189334018408</v>
      </c>
      <c r="L19">
        <f t="shared" si="2"/>
        <v>47.919395710744446</v>
      </c>
      <c r="M19">
        <f t="shared" si="3"/>
        <v>1198.9000000000001</v>
      </c>
      <c r="N19">
        <f t="shared" si="4"/>
        <v>749.6877879201154</v>
      </c>
      <c r="O19">
        <f t="shared" si="5"/>
        <v>74.672101844946752</v>
      </c>
      <c r="P19">
        <f t="shared" si="6"/>
        <v>119.4155545074</v>
      </c>
      <c r="Q19">
        <f t="shared" si="7"/>
        <v>0.18495351499426593</v>
      </c>
      <c r="R19">
        <f t="shared" si="8"/>
        <v>3.1338170908930842</v>
      </c>
      <c r="S19">
        <f t="shared" si="9"/>
        <v>0.17909629466745119</v>
      </c>
      <c r="T19">
        <f t="shared" si="10"/>
        <v>0.11244598049724581</v>
      </c>
      <c r="U19">
        <f t="shared" si="11"/>
        <v>344.33649930245429</v>
      </c>
      <c r="V19">
        <f t="shared" si="12"/>
        <v>31.61477406442129</v>
      </c>
      <c r="W19">
        <f t="shared" si="13"/>
        <v>29.9893</v>
      </c>
      <c r="X19">
        <f t="shared" si="14"/>
        <v>4.2578320044218501</v>
      </c>
      <c r="Y19">
        <f t="shared" si="15"/>
        <v>65.076844657320422</v>
      </c>
      <c r="Z19">
        <f t="shared" si="16"/>
        <v>2.8305141894815997</v>
      </c>
      <c r="AA19">
        <f t="shared" si="17"/>
        <v>4.3494951305436382</v>
      </c>
      <c r="AB19">
        <f t="shared" si="18"/>
        <v>1.4273178149402503</v>
      </c>
      <c r="AC19">
        <f t="shared" si="19"/>
        <v>-117.35534496302118</v>
      </c>
      <c r="AD19">
        <f t="shared" si="20"/>
        <v>62.731263842670096</v>
      </c>
      <c r="AE19">
        <f t="shared" si="21"/>
        <v>4.4586328052135551</v>
      </c>
      <c r="AF19">
        <f t="shared" si="22"/>
        <v>294.17105098731673</v>
      </c>
      <c r="AG19">
        <v>4</v>
      </c>
      <c r="AH19">
        <v>1</v>
      </c>
      <c r="AI19">
        <f t="shared" si="23"/>
        <v>1</v>
      </c>
      <c r="AJ19">
        <f t="shared" si="24"/>
        <v>0</v>
      </c>
      <c r="AK19">
        <f t="shared" si="25"/>
        <v>52007.030988651553</v>
      </c>
      <c r="AL19" t="s">
        <v>415</v>
      </c>
      <c r="AM19">
        <v>6977.87</v>
      </c>
      <c r="AN19">
        <v>273.15280000000001</v>
      </c>
      <c r="AO19">
        <v>850.46774885301022</v>
      </c>
      <c r="AP19">
        <f t="shared" si="26"/>
        <v>0.67882050745793765</v>
      </c>
      <c r="AQ19">
        <v>-1.0323826813720729</v>
      </c>
      <c r="AR19" t="s">
        <v>431</v>
      </c>
      <c r="AS19">
        <v>7111.18</v>
      </c>
      <c r="AT19">
        <v>529.26469230769226</v>
      </c>
      <c r="AU19">
        <v>852.21402072896137</v>
      </c>
      <c r="AV19">
        <f t="shared" si="27"/>
        <v>0.3789533152071668</v>
      </c>
      <c r="AW19">
        <v>0.5</v>
      </c>
      <c r="AX19">
        <f t="shared" si="28"/>
        <v>1513.041599651227</v>
      </c>
      <c r="AY19">
        <f t="shared" si="29"/>
        <v>47.919395710744446</v>
      </c>
      <c r="AZ19">
        <f t="shared" si="30"/>
        <v>286.68606511709362</v>
      </c>
      <c r="BA19">
        <f t="shared" si="31"/>
        <v>3.2353227038437307E-2</v>
      </c>
      <c r="BB19">
        <f t="shared" si="32"/>
        <v>-2.0491001479387033E-3</v>
      </c>
      <c r="BC19">
        <f t="shared" si="33"/>
        <v>273.33268815387532</v>
      </c>
      <c r="BD19" t="s">
        <v>432</v>
      </c>
      <c r="BE19">
        <v>396.59</v>
      </c>
      <c r="BF19">
        <f t="shared" si="34"/>
        <v>396.59</v>
      </c>
      <c r="BG19">
        <f t="shared" si="35"/>
        <v>0.53463567794769751</v>
      </c>
      <c r="BH19">
        <f t="shared" si="36"/>
        <v>0.70880663382184383</v>
      </c>
      <c r="BI19">
        <f t="shared" si="37"/>
        <v>-3.8474498482556972E-3</v>
      </c>
      <c r="BJ19">
        <f t="shared" si="38"/>
        <v>0.55771189100647889</v>
      </c>
      <c r="BK19">
        <f t="shared" si="39"/>
        <v>-3.024816661028067E-3</v>
      </c>
      <c r="BL19">
        <f t="shared" si="40"/>
        <v>0.5311248360092421</v>
      </c>
      <c r="BM19">
        <f t="shared" si="41"/>
        <v>0.4688751639907579</v>
      </c>
      <c r="BN19">
        <v>11254</v>
      </c>
      <c r="BO19">
        <v>290.00000000000011</v>
      </c>
      <c r="BP19">
        <v>756.64</v>
      </c>
      <c r="BQ19">
        <v>295</v>
      </c>
      <c r="BR19">
        <v>7111.18</v>
      </c>
      <c r="BS19">
        <v>759.53</v>
      </c>
      <c r="BT19">
        <v>-2.89</v>
      </c>
      <c r="BU19">
        <v>300.00000000000011</v>
      </c>
      <c r="BV19">
        <v>38.299999999999997</v>
      </c>
      <c r="BW19">
        <v>852.21402072896137</v>
      </c>
      <c r="BX19">
        <v>1.6436114358868239</v>
      </c>
      <c r="BY19">
        <v>-65.910129133405007</v>
      </c>
      <c r="BZ19">
        <v>0.97971901842679554</v>
      </c>
      <c r="CA19">
        <v>0.99385137190368444</v>
      </c>
      <c r="CB19">
        <v>-7.0118620689655102E-3</v>
      </c>
      <c r="CC19">
        <v>289.99999999999989</v>
      </c>
      <c r="CD19">
        <v>767.56</v>
      </c>
      <c r="CE19">
        <v>765</v>
      </c>
      <c r="CF19">
        <v>7103.73</v>
      </c>
      <c r="CG19">
        <v>759.43</v>
      </c>
      <c r="CH19">
        <v>8.1300000000000008</v>
      </c>
      <c r="CV19">
        <f t="shared" si="42"/>
        <v>1799.83</v>
      </c>
      <c r="CW19">
        <f t="shared" si="43"/>
        <v>1513.041599651227</v>
      </c>
      <c r="CX19">
        <f t="shared" si="44"/>
        <v>0.84065806195653314</v>
      </c>
      <c r="CY19">
        <f t="shared" si="45"/>
        <v>0.1913161239130664</v>
      </c>
      <c r="CZ19">
        <v>5</v>
      </c>
      <c r="DA19">
        <v>0.5</v>
      </c>
      <c r="DB19" t="s">
        <v>418</v>
      </c>
      <c r="DC19">
        <v>2</v>
      </c>
      <c r="DD19">
        <v>1700148068</v>
      </c>
      <c r="DE19">
        <v>1198.9000000000001</v>
      </c>
      <c r="DF19">
        <v>1250</v>
      </c>
      <c r="DG19">
        <v>28.4176</v>
      </c>
      <c r="DH19">
        <v>25.832599999999999</v>
      </c>
      <c r="DI19">
        <v>1199.8399999999999</v>
      </c>
      <c r="DJ19">
        <v>28.422000000000001</v>
      </c>
      <c r="DK19">
        <v>500.096</v>
      </c>
      <c r="DL19">
        <v>99.503900000000002</v>
      </c>
      <c r="DM19">
        <v>0.100366</v>
      </c>
      <c r="DN19">
        <v>30.360600000000002</v>
      </c>
      <c r="DO19">
        <v>29.9893</v>
      </c>
      <c r="DP19">
        <v>999.9</v>
      </c>
      <c r="DQ19">
        <v>0</v>
      </c>
      <c r="DR19">
        <v>0</v>
      </c>
      <c r="DS19">
        <v>9995</v>
      </c>
      <c r="DT19">
        <v>0</v>
      </c>
      <c r="DU19">
        <v>305.68799999999999</v>
      </c>
      <c r="DV19">
        <v>-51.099899999999998</v>
      </c>
      <c r="DW19">
        <v>1233.97</v>
      </c>
      <c r="DX19">
        <v>1283.1500000000001</v>
      </c>
      <c r="DY19">
        <v>2.5849899999999999</v>
      </c>
      <c r="DZ19">
        <v>1250</v>
      </c>
      <c r="EA19">
        <v>25.832599999999999</v>
      </c>
      <c r="EB19">
        <v>2.8276599999999998</v>
      </c>
      <c r="EC19">
        <v>2.5704400000000001</v>
      </c>
      <c r="ED19">
        <v>23.046399999999998</v>
      </c>
      <c r="EE19">
        <v>21.479500000000002</v>
      </c>
      <c r="EF19">
        <v>1799.83</v>
      </c>
      <c r="EG19">
        <v>0.97800500000000001</v>
      </c>
      <c r="EH19">
        <v>2.1994900000000001E-2</v>
      </c>
      <c r="EI19">
        <v>0</v>
      </c>
      <c r="EJ19">
        <v>529.47</v>
      </c>
      <c r="EK19">
        <v>5.0005300000000004</v>
      </c>
      <c r="EL19">
        <v>11296.1</v>
      </c>
      <c r="EM19">
        <v>16033.8</v>
      </c>
      <c r="EN19">
        <v>50.311999999999998</v>
      </c>
      <c r="EO19">
        <v>51.25</v>
      </c>
      <c r="EP19">
        <v>51</v>
      </c>
      <c r="EQ19">
        <v>50.625</v>
      </c>
      <c r="ER19">
        <v>51.375</v>
      </c>
      <c r="ES19">
        <v>1755.35</v>
      </c>
      <c r="ET19">
        <v>39.479999999999997</v>
      </c>
      <c r="EU19">
        <v>0</v>
      </c>
      <c r="EV19">
        <v>192.79999995231631</v>
      </c>
      <c r="EW19">
        <v>0</v>
      </c>
      <c r="EX19">
        <v>529.26469230769226</v>
      </c>
      <c r="EY19">
        <v>-0.76581197714082705</v>
      </c>
      <c r="EZ19">
        <v>10.40000004443853</v>
      </c>
      <c r="FA19">
        <v>11305.292307692311</v>
      </c>
      <c r="FB19">
        <v>15</v>
      </c>
      <c r="FC19">
        <v>1700148032</v>
      </c>
      <c r="FD19" t="s">
        <v>433</v>
      </c>
      <c r="FE19">
        <v>1700148032</v>
      </c>
      <c r="FF19">
        <v>1700148030</v>
      </c>
      <c r="FG19">
        <v>4</v>
      </c>
      <c r="FH19">
        <v>-0.20399999999999999</v>
      </c>
      <c r="FI19">
        <v>4.0000000000000001E-3</v>
      </c>
      <c r="FJ19">
        <v>-0.97099999999999997</v>
      </c>
      <c r="FK19">
        <v>-4.0000000000000001E-3</v>
      </c>
      <c r="FL19">
        <v>1250</v>
      </c>
      <c r="FM19">
        <v>26</v>
      </c>
      <c r="FN19">
        <v>0.09</v>
      </c>
      <c r="FO19">
        <v>0.04</v>
      </c>
      <c r="FP19">
        <v>47.850876380369883</v>
      </c>
      <c r="FQ19">
        <v>-0.18280630686567489</v>
      </c>
      <c r="FR19">
        <v>7.7014763045790802E-2</v>
      </c>
      <c r="FS19">
        <v>1</v>
      </c>
      <c r="FT19">
        <v>0.19009341863650861</v>
      </c>
      <c r="FU19">
        <v>-2.6145301706156199E-2</v>
      </c>
      <c r="FV19">
        <v>2.066926299156161E-3</v>
      </c>
      <c r="FW19">
        <v>1</v>
      </c>
      <c r="FX19">
        <v>2</v>
      </c>
      <c r="FY19">
        <v>2</v>
      </c>
      <c r="FZ19" t="s">
        <v>420</v>
      </c>
      <c r="GA19">
        <v>3.1239699999999999</v>
      </c>
      <c r="GB19">
        <v>2.7671999999999999</v>
      </c>
      <c r="GC19">
        <v>0.189192</v>
      </c>
      <c r="GD19">
        <v>0.193909</v>
      </c>
      <c r="GE19">
        <v>0.120952</v>
      </c>
      <c r="GF19">
        <v>0.11336400000000001</v>
      </c>
      <c r="GG19">
        <v>19290.7</v>
      </c>
      <c r="GH19">
        <v>19926.5</v>
      </c>
      <c r="GI19">
        <v>23663.9</v>
      </c>
      <c r="GJ19">
        <v>25045.8</v>
      </c>
      <c r="GK19">
        <v>29954.799999999999</v>
      </c>
      <c r="GL19">
        <v>31125.200000000001</v>
      </c>
      <c r="GM19">
        <v>37717.4</v>
      </c>
      <c r="GN19">
        <v>38973.9</v>
      </c>
      <c r="GO19">
        <v>2.0824500000000001</v>
      </c>
      <c r="GP19">
        <v>1.82673</v>
      </c>
      <c r="GQ19">
        <v>-1.8477400000000001E-2</v>
      </c>
      <c r="GR19">
        <v>0</v>
      </c>
      <c r="GS19">
        <v>30.289899999999999</v>
      </c>
      <c r="GT19">
        <v>999.9</v>
      </c>
      <c r="GU19">
        <v>59.6</v>
      </c>
      <c r="GV19">
        <v>32.9</v>
      </c>
      <c r="GW19">
        <v>30.0932</v>
      </c>
      <c r="GX19">
        <v>60.510100000000001</v>
      </c>
      <c r="GY19">
        <v>26.257999999999999</v>
      </c>
      <c r="GZ19">
        <v>1</v>
      </c>
      <c r="HA19">
        <v>0.62822699999999998</v>
      </c>
      <c r="HB19">
        <v>2.5832199999999998</v>
      </c>
      <c r="HC19">
        <v>20.353100000000001</v>
      </c>
      <c r="HD19">
        <v>5.2499399999999996</v>
      </c>
      <c r="HE19">
        <v>12.0099</v>
      </c>
      <c r="HF19">
        <v>4.9790000000000001</v>
      </c>
      <c r="HG19">
        <v>3.2928500000000001</v>
      </c>
      <c r="HH19">
        <v>9999</v>
      </c>
      <c r="HI19">
        <v>9999</v>
      </c>
      <c r="HJ19">
        <v>9999</v>
      </c>
      <c r="HK19">
        <v>999.9</v>
      </c>
      <c r="HL19">
        <v>1.8758999999999999</v>
      </c>
      <c r="HM19">
        <v>1.8766799999999999</v>
      </c>
      <c r="HN19">
        <v>1.8830800000000001</v>
      </c>
      <c r="HO19">
        <v>1.8861399999999999</v>
      </c>
      <c r="HP19">
        <v>1.87686</v>
      </c>
      <c r="HQ19">
        <v>1.88354</v>
      </c>
      <c r="HR19">
        <v>1.88246</v>
      </c>
      <c r="HS19">
        <v>1.8858299999999999</v>
      </c>
      <c r="HT19">
        <v>5</v>
      </c>
      <c r="HU19">
        <v>0</v>
      </c>
      <c r="HV19">
        <v>0</v>
      </c>
      <c r="HW19">
        <v>0</v>
      </c>
      <c r="HX19" t="s">
        <v>421</v>
      </c>
      <c r="HY19" t="s">
        <v>422</v>
      </c>
      <c r="HZ19" t="s">
        <v>423</v>
      </c>
      <c r="IA19" t="s">
        <v>424</v>
      </c>
      <c r="IB19" t="s">
        <v>424</v>
      </c>
      <c r="IC19" t="s">
        <v>423</v>
      </c>
      <c r="ID19">
        <v>0</v>
      </c>
      <c r="IE19">
        <v>100</v>
      </c>
      <c r="IF19">
        <v>100</v>
      </c>
      <c r="IG19">
        <v>-0.94</v>
      </c>
      <c r="IH19">
        <v>-4.4000000000000003E-3</v>
      </c>
      <c r="II19">
        <v>-0.62081636606908541</v>
      </c>
      <c r="IJ19">
        <v>4.4610147972834149E-5</v>
      </c>
      <c r="IK19">
        <v>-2.082673137682459E-7</v>
      </c>
      <c r="IL19">
        <v>-4.0725795306076518E-11</v>
      </c>
      <c r="IM19">
        <v>-4.4300000000028206E-3</v>
      </c>
      <c r="IN19">
        <v>0</v>
      </c>
      <c r="IO19">
        <v>0</v>
      </c>
      <c r="IP19">
        <v>0</v>
      </c>
      <c r="IQ19">
        <v>3</v>
      </c>
      <c r="IR19">
        <v>2179</v>
      </c>
      <c r="IS19">
        <v>0</v>
      </c>
      <c r="IT19">
        <v>22</v>
      </c>
      <c r="IU19">
        <v>0.6</v>
      </c>
      <c r="IV19">
        <v>0.6</v>
      </c>
      <c r="IW19">
        <v>2.5463900000000002</v>
      </c>
      <c r="IX19">
        <v>2.6196299999999999</v>
      </c>
      <c r="IY19">
        <v>1.6015600000000001</v>
      </c>
      <c r="IZ19">
        <v>2.34131</v>
      </c>
      <c r="JA19">
        <v>1.5502899999999999</v>
      </c>
      <c r="JB19">
        <v>2.4401899999999999</v>
      </c>
      <c r="JC19">
        <v>39.416600000000003</v>
      </c>
      <c r="JD19">
        <v>15.375400000000001</v>
      </c>
      <c r="JE19">
        <v>18</v>
      </c>
      <c r="JF19">
        <v>568.18499999999995</v>
      </c>
      <c r="JG19">
        <v>436.315</v>
      </c>
      <c r="JH19">
        <v>27.153099999999998</v>
      </c>
      <c r="JI19">
        <v>34.735700000000001</v>
      </c>
      <c r="JJ19">
        <v>30.0001</v>
      </c>
      <c r="JK19">
        <v>34.634599999999999</v>
      </c>
      <c r="JL19">
        <v>34.6098</v>
      </c>
      <c r="JM19">
        <v>50.950699999999998</v>
      </c>
      <c r="JN19">
        <v>25.19</v>
      </c>
      <c r="JO19">
        <v>100</v>
      </c>
      <c r="JP19">
        <v>27.154299999999999</v>
      </c>
      <c r="JQ19">
        <v>1250</v>
      </c>
      <c r="JR19">
        <v>25.841799999999999</v>
      </c>
      <c r="JS19">
        <v>98.380300000000005</v>
      </c>
      <c r="JT19">
        <v>98.633700000000005</v>
      </c>
    </row>
    <row r="20" spans="1:280" x14ac:dyDescent="0.25">
      <c r="A20">
        <v>4</v>
      </c>
      <c r="B20">
        <v>1700148184</v>
      </c>
      <c r="C20">
        <v>310.5</v>
      </c>
      <c r="D20" t="s">
        <v>434</v>
      </c>
      <c r="E20" t="s">
        <v>435</v>
      </c>
      <c r="F20" t="s">
        <v>412</v>
      </c>
      <c r="G20" t="s">
        <v>413</v>
      </c>
      <c r="H20" t="s">
        <v>414</v>
      </c>
      <c r="I20">
        <v>1700148184</v>
      </c>
      <c r="J20">
        <f t="shared" si="0"/>
        <v>2.4359332620867741E-3</v>
      </c>
      <c r="K20">
        <f t="shared" si="1"/>
        <v>2.435933262086774</v>
      </c>
      <c r="L20">
        <f t="shared" si="2"/>
        <v>46.553284484765051</v>
      </c>
      <c r="M20">
        <f t="shared" si="3"/>
        <v>951.13499999999999</v>
      </c>
      <c r="N20">
        <f t="shared" si="4"/>
        <v>482.54003990832939</v>
      </c>
      <c r="O20">
        <f t="shared" si="5"/>
        <v>48.06193312604578</v>
      </c>
      <c r="P20">
        <f t="shared" si="6"/>
        <v>94.734908988124502</v>
      </c>
      <c r="Q20">
        <f t="shared" si="7"/>
        <v>0.16913562777086721</v>
      </c>
      <c r="R20">
        <f t="shared" si="8"/>
        <v>3.1387006821383316</v>
      </c>
      <c r="S20">
        <f t="shared" si="9"/>
        <v>0.16423050884687265</v>
      </c>
      <c r="T20">
        <f t="shared" si="10"/>
        <v>0.10307292428771414</v>
      </c>
      <c r="U20">
        <f t="shared" si="11"/>
        <v>344.40301246133947</v>
      </c>
      <c r="V20">
        <f t="shared" si="12"/>
        <v>31.629943807428944</v>
      </c>
      <c r="W20">
        <f t="shared" si="13"/>
        <v>29.9894</v>
      </c>
      <c r="X20">
        <f t="shared" si="14"/>
        <v>4.2578564630527342</v>
      </c>
      <c r="Y20">
        <f t="shared" si="15"/>
        <v>65.279196770437807</v>
      </c>
      <c r="Z20">
        <f t="shared" si="16"/>
        <v>2.83310799385041</v>
      </c>
      <c r="AA20">
        <f t="shared" si="17"/>
        <v>4.3399859894314829</v>
      </c>
      <c r="AB20">
        <f t="shared" si="18"/>
        <v>1.4247484692023242</v>
      </c>
      <c r="AC20">
        <f t="shared" si="19"/>
        <v>-107.42465685802674</v>
      </c>
      <c r="AD20">
        <f t="shared" si="20"/>
        <v>56.348139181421836</v>
      </c>
      <c r="AE20">
        <f t="shared" si="21"/>
        <v>3.9979659434504247</v>
      </c>
      <c r="AF20">
        <f t="shared" si="22"/>
        <v>297.32446072818499</v>
      </c>
      <c r="AG20">
        <v>4</v>
      </c>
      <c r="AH20">
        <v>1</v>
      </c>
      <c r="AI20">
        <f t="shared" si="23"/>
        <v>1</v>
      </c>
      <c r="AJ20">
        <f t="shared" si="24"/>
        <v>0</v>
      </c>
      <c r="AK20">
        <f t="shared" si="25"/>
        <v>52137.598750344339</v>
      </c>
      <c r="AL20" t="s">
        <v>427</v>
      </c>
      <c r="AM20" t="s">
        <v>427</v>
      </c>
      <c r="AN20">
        <v>0</v>
      </c>
      <c r="AO20">
        <v>0</v>
      </c>
      <c r="AP20" t="e">
        <f t="shared" si="26"/>
        <v>#DIV/0!</v>
      </c>
      <c r="AQ20">
        <v>0</v>
      </c>
      <c r="AR20" t="s">
        <v>427</v>
      </c>
      <c r="AS20" t="s">
        <v>427</v>
      </c>
      <c r="AT20">
        <v>0</v>
      </c>
      <c r="AU20">
        <v>0</v>
      </c>
      <c r="AV20" t="e">
        <f t="shared" si="27"/>
        <v>#DIV/0!</v>
      </c>
      <c r="AW20">
        <v>0.5</v>
      </c>
      <c r="AX20">
        <f t="shared" si="28"/>
        <v>1513.3356062306698</v>
      </c>
      <c r="AY20">
        <f t="shared" si="29"/>
        <v>46.553284484765051</v>
      </c>
      <c r="AZ20" t="e">
        <f t="shared" si="30"/>
        <v>#DIV/0!</v>
      </c>
      <c r="BA20">
        <f t="shared" si="31"/>
        <v>3.0762036056706101E-2</v>
      </c>
      <c r="BB20" t="e">
        <f t="shared" si="32"/>
        <v>#DIV/0!</v>
      </c>
      <c r="BC20" t="e">
        <f t="shared" si="33"/>
        <v>#DIV/0!</v>
      </c>
      <c r="BD20" t="s">
        <v>427</v>
      </c>
      <c r="BE20">
        <v>0</v>
      </c>
      <c r="BF20" t="e">
        <f t="shared" si="34"/>
        <v>#DIV/0!</v>
      </c>
      <c r="BG20" t="e">
        <f t="shared" si="35"/>
        <v>#DIV/0!</v>
      </c>
      <c r="BH20" t="e">
        <f t="shared" si="36"/>
        <v>#DIV/0!</v>
      </c>
      <c r="BI20" t="e">
        <f t="shared" si="37"/>
        <v>#DIV/0!</v>
      </c>
      <c r="BJ20" t="e">
        <f t="shared" si="38"/>
        <v>#DIV/0!</v>
      </c>
      <c r="BK20" t="e">
        <f t="shared" si="39"/>
        <v>#DIV/0!</v>
      </c>
      <c r="BL20" t="e">
        <f t="shared" si="40"/>
        <v>#DIV/0!</v>
      </c>
      <c r="BM20" t="e">
        <f t="shared" si="41"/>
        <v>#DIV/0!</v>
      </c>
      <c r="BN20">
        <v>11254</v>
      </c>
      <c r="BO20">
        <v>290.00000000000011</v>
      </c>
      <c r="BP20">
        <v>756.64</v>
      </c>
      <c r="BQ20">
        <v>295</v>
      </c>
      <c r="BR20">
        <v>7111.18</v>
      </c>
      <c r="BS20">
        <v>759.53</v>
      </c>
      <c r="BT20">
        <v>-2.89</v>
      </c>
      <c r="BU20">
        <v>300.00000000000011</v>
      </c>
      <c r="BV20">
        <v>38.299999999999997</v>
      </c>
      <c r="BW20">
        <v>852.21402072896137</v>
      </c>
      <c r="BX20">
        <v>1.6436114358868239</v>
      </c>
      <c r="BY20">
        <v>-65.910129133405007</v>
      </c>
      <c r="BZ20">
        <v>0.97971901842679554</v>
      </c>
      <c r="CA20">
        <v>0.99385137190368444</v>
      </c>
      <c r="CB20">
        <v>-7.0118620689655102E-3</v>
      </c>
      <c r="CC20">
        <v>289.99999999999989</v>
      </c>
      <c r="CD20">
        <v>767.56</v>
      </c>
      <c r="CE20">
        <v>765</v>
      </c>
      <c r="CF20">
        <v>7103.73</v>
      </c>
      <c r="CG20">
        <v>759.43</v>
      </c>
      <c r="CH20">
        <v>8.1300000000000008</v>
      </c>
      <c r="CV20">
        <f t="shared" si="42"/>
        <v>1800.18</v>
      </c>
      <c r="CW20">
        <f t="shared" si="43"/>
        <v>1513.3356062306698</v>
      </c>
      <c r="CX20">
        <f t="shared" si="44"/>
        <v>0.84065793766771635</v>
      </c>
      <c r="CY20">
        <f t="shared" si="45"/>
        <v>0.19131587533543282</v>
      </c>
      <c r="CZ20">
        <v>5</v>
      </c>
      <c r="DA20">
        <v>0.5</v>
      </c>
      <c r="DB20" t="s">
        <v>418</v>
      </c>
      <c r="DC20">
        <v>2</v>
      </c>
      <c r="DD20">
        <v>1700148184</v>
      </c>
      <c r="DE20">
        <v>951.13499999999999</v>
      </c>
      <c r="DF20">
        <v>999.99599999999998</v>
      </c>
      <c r="DG20">
        <v>28.444299999999998</v>
      </c>
      <c r="DH20">
        <v>26.078099999999999</v>
      </c>
      <c r="DI20">
        <v>951.995</v>
      </c>
      <c r="DJ20">
        <v>28.448799999999999</v>
      </c>
      <c r="DK20">
        <v>500.09399999999999</v>
      </c>
      <c r="DL20">
        <v>99.502499999999998</v>
      </c>
      <c r="DM20">
        <v>9.9458699999999997E-2</v>
      </c>
      <c r="DN20">
        <v>30.322399999999998</v>
      </c>
      <c r="DO20">
        <v>29.9894</v>
      </c>
      <c r="DP20">
        <v>999.9</v>
      </c>
      <c r="DQ20">
        <v>0</v>
      </c>
      <c r="DR20">
        <v>0</v>
      </c>
      <c r="DS20">
        <v>10020</v>
      </c>
      <c r="DT20">
        <v>0</v>
      </c>
      <c r="DU20">
        <v>306.97000000000003</v>
      </c>
      <c r="DV20">
        <v>-48.860300000000002</v>
      </c>
      <c r="DW20">
        <v>978.98199999999997</v>
      </c>
      <c r="DX20">
        <v>1026.77</v>
      </c>
      <c r="DY20">
        <v>2.3661699999999999</v>
      </c>
      <c r="DZ20">
        <v>999.99599999999998</v>
      </c>
      <c r="EA20">
        <v>26.078099999999999</v>
      </c>
      <c r="EB20">
        <v>2.8302800000000001</v>
      </c>
      <c r="EC20">
        <v>2.59484</v>
      </c>
      <c r="ED20">
        <v>23.061800000000002</v>
      </c>
      <c r="EE20">
        <v>21.633900000000001</v>
      </c>
      <c r="EF20">
        <v>1800.18</v>
      </c>
      <c r="EG20">
        <v>0.97800500000000001</v>
      </c>
      <c r="EH20">
        <v>2.1995000000000001E-2</v>
      </c>
      <c r="EI20">
        <v>0</v>
      </c>
      <c r="EJ20">
        <v>530.46100000000001</v>
      </c>
      <c r="EK20">
        <v>5.0005300000000004</v>
      </c>
      <c r="EL20">
        <v>11430.7</v>
      </c>
      <c r="EM20">
        <v>16036.9</v>
      </c>
      <c r="EN20">
        <v>49.936999999999998</v>
      </c>
      <c r="EO20">
        <v>50.875</v>
      </c>
      <c r="EP20">
        <v>50.561999999999998</v>
      </c>
      <c r="EQ20">
        <v>50.25</v>
      </c>
      <c r="ER20">
        <v>51</v>
      </c>
      <c r="ES20">
        <v>1755.69</v>
      </c>
      <c r="ET20">
        <v>39.479999999999997</v>
      </c>
      <c r="EU20">
        <v>0</v>
      </c>
      <c r="EV20">
        <v>114</v>
      </c>
      <c r="EW20">
        <v>0</v>
      </c>
      <c r="EX20">
        <v>530.63346153846146</v>
      </c>
      <c r="EY20">
        <v>-1.255863228563517</v>
      </c>
      <c r="EZ20">
        <v>128.4547009474428</v>
      </c>
      <c r="FA20">
        <v>11413.95</v>
      </c>
      <c r="FB20">
        <v>15</v>
      </c>
      <c r="FC20">
        <v>1700148152</v>
      </c>
      <c r="FD20" t="s">
        <v>436</v>
      </c>
      <c r="FE20">
        <v>1700148152</v>
      </c>
      <c r="FF20">
        <v>1700148148</v>
      </c>
      <c r="FG20">
        <v>5</v>
      </c>
      <c r="FH20">
        <v>-5.8000000000000003E-2</v>
      </c>
      <c r="FI20">
        <v>0</v>
      </c>
      <c r="FJ20">
        <v>-0.88300000000000001</v>
      </c>
      <c r="FK20">
        <v>-4.0000000000000001E-3</v>
      </c>
      <c r="FL20">
        <v>1000</v>
      </c>
      <c r="FM20">
        <v>26</v>
      </c>
      <c r="FN20">
        <v>0.05</v>
      </c>
      <c r="FO20">
        <v>0.05</v>
      </c>
      <c r="FP20">
        <v>46.507622123230298</v>
      </c>
      <c r="FQ20">
        <v>-0.68177487075910448</v>
      </c>
      <c r="FR20">
        <v>6.7786096294743636E-2</v>
      </c>
      <c r="FS20">
        <v>1</v>
      </c>
      <c r="FT20">
        <v>0.16852183891672451</v>
      </c>
      <c r="FU20">
        <v>3.860676888608508E-2</v>
      </c>
      <c r="FV20">
        <v>3.3584940128819621E-3</v>
      </c>
      <c r="FW20">
        <v>1</v>
      </c>
      <c r="FX20">
        <v>2</v>
      </c>
      <c r="FY20">
        <v>2</v>
      </c>
      <c r="FZ20" t="s">
        <v>420</v>
      </c>
      <c r="GA20">
        <v>3.1240199999999998</v>
      </c>
      <c r="GB20">
        <v>2.7665099999999998</v>
      </c>
      <c r="GC20">
        <v>0.16345799999999999</v>
      </c>
      <c r="GD20">
        <v>0.16861999999999999</v>
      </c>
      <c r="GE20">
        <v>0.12101199999999999</v>
      </c>
      <c r="GF20">
        <v>0.114097</v>
      </c>
      <c r="GG20">
        <v>19905.8</v>
      </c>
      <c r="GH20">
        <v>20555.3</v>
      </c>
      <c r="GI20">
        <v>23665.4</v>
      </c>
      <c r="GJ20">
        <v>25048.1</v>
      </c>
      <c r="GK20">
        <v>29954.7</v>
      </c>
      <c r="GL20">
        <v>31103.1</v>
      </c>
      <c r="GM20">
        <v>37719.800000000003</v>
      </c>
      <c r="GN20">
        <v>38978.400000000001</v>
      </c>
      <c r="GO20">
        <v>2.0819000000000001</v>
      </c>
      <c r="GP20">
        <v>1.8232699999999999</v>
      </c>
      <c r="GQ20">
        <v>-1.5236400000000001E-2</v>
      </c>
      <c r="GR20">
        <v>0</v>
      </c>
      <c r="GS20">
        <v>30.237300000000001</v>
      </c>
      <c r="GT20">
        <v>999.9</v>
      </c>
      <c r="GU20">
        <v>59.2</v>
      </c>
      <c r="GV20">
        <v>33.200000000000003</v>
      </c>
      <c r="GW20">
        <v>30.398099999999999</v>
      </c>
      <c r="GX20">
        <v>60.130099999999999</v>
      </c>
      <c r="GY20">
        <v>26.254000000000001</v>
      </c>
      <c r="GZ20">
        <v>1</v>
      </c>
      <c r="HA20">
        <v>0.627556</v>
      </c>
      <c r="HB20">
        <v>2.47682</v>
      </c>
      <c r="HC20">
        <v>20.354600000000001</v>
      </c>
      <c r="HD20">
        <v>5.2494899999999998</v>
      </c>
      <c r="HE20">
        <v>12.0099</v>
      </c>
      <c r="HF20">
        <v>4.9786000000000001</v>
      </c>
      <c r="HG20">
        <v>3.2924000000000002</v>
      </c>
      <c r="HH20">
        <v>9999</v>
      </c>
      <c r="HI20">
        <v>9999</v>
      </c>
      <c r="HJ20">
        <v>9999</v>
      </c>
      <c r="HK20">
        <v>999.9</v>
      </c>
      <c r="HL20">
        <v>1.87591</v>
      </c>
      <c r="HM20">
        <v>1.8766799999999999</v>
      </c>
      <c r="HN20">
        <v>1.88307</v>
      </c>
      <c r="HO20">
        <v>1.8861399999999999</v>
      </c>
      <c r="HP20">
        <v>1.87687</v>
      </c>
      <c r="HQ20">
        <v>1.88354</v>
      </c>
      <c r="HR20">
        <v>1.8824700000000001</v>
      </c>
      <c r="HS20">
        <v>1.8858200000000001</v>
      </c>
      <c r="HT20">
        <v>5</v>
      </c>
      <c r="HU20">
        <v>0</v>
      </c>
      <c r="HV20">
        <v>0</v>
      </c>
      <c r="HW20">
        <v>0</v>
      </c>
      <c r="HX20" t="s">
        <v>421</v>
      </c>
      <c r="HY20" t="s">
        <v>422</v>
      </c>
      <c r="HZ20" t="s">
        <v>423</v>
      </c>
      <c r="IA20" t="s">
        <v>424</v>
      </c>
      <c r="IB20" t="s">
        <v>424</v>
      </c>
      <c r="IC20" t="s">
        <v>423</v>
      </c>
      <c r="ID20">
        <v>0</v>
      </c>
      <c r="IE20">
        <v>100</v>
      </c>
      <c r="IF20">
        <v>100</v>
      </c>
      <c r="IG20">
        <v>-0.86</v>
      </c>
      <c r="IH20">
        <v>-4.4999999999999997E-3</v>
      </c>
      <c r="II20">
        <v>-0.67838343536238799</v>
      </c>
      <c r="IJ20">
        <v>4.4610147972834149E-5</v>
      </c>
      <c r="IK20">
        <v>-2.082673137682459E-7</v>
      </c>
      <c r="IL20">
        <v>-4.0725795306076518E-11</v>
      </c>
      <c r="IM20">
        <v>-4.457142857141605E-3</v>
      </c>
      <c r="IN20">
        <v>0</v>
      </c>
      <c r="IO20">
        <v>0</v>
      </c>
      <c r="IP20">
        <v>0</v>
      </c>
      <c r="IQ20">
        <v>3</v>
      </c>
      <c r="IR20">
        <v>2179</v>
      </c>
      <c r="IS20">
        <v>0</v>
      </c>
      <c r="IT20">
        <v>22</v>
      </c>
      <c r="IU20">
        <v>0.5</v>
      </c>
      <c r="IV20">
        <v>0.6</v>
      </c>
      <c r="IW20">
        <v>2.1227999999999998</v>
      </c>
      <c r="IX20">
        <v>2.6196299999999999</v>
      </c>
      <c r="IY20">
        <v>1.6015600000000001</v>
      </c>
      <c r="IZ20">
        <v>2.34009</v>
      </c>
      <c r="JA20">
        <v>1.5502899999999999</v>
      </c>
      <c r="JB20">
        <v>2.4267599999999998</v>
      </c>
      <c r="JC20">
        <v>39.541600000000003</v>
      </c>
      <c r="JD20">
        <v>15.357900000000001</v>
      </c>
      <c r="JE20">
        <v>18</v>
      </c>
      <c r="JF20">
        <v>568.33699999999999</v>
      </c>
      <c r="JG20">
        <v>434.44299999999998</v>
      </c>
      <c r="JH20">
        <v>27.144500000000001</v>
      </c>
      <c r="JI20">
        <v>34.757899999999999</v>
      </c>
      <c r="JJ20">
        <v>30</v>
      </c>
      <c r="JK20">
        <v>34.697600000000001</v>
      </c>
      <c r="JL20">
        <v>34.676000000000002</v>
      </c>
      <c r="JM20">
        <v>42.492699999999999</v>
      </c>
      <c r="JN20">
        <v>24.786200000000001</v>
      </c>
      <c r="JO20">
        <v>100</v>
      </c>
      <c r="JP20">
        <v>27.138200000000001</v>
      </c>
      <c r="JQ20">
        <v>1000</v>
      </c>
      <c r="JR20">
        <v>26.0471</v>
      </c>
      <c r="JS20">
        <v>98.386600000000001</v>
      </c>
      <c r="JT20">
        <v>98.644099999999995</v>
      </c>
    </row>
    <row r="21" spans="1:280" x14ac:dyDescent="0.25">
      <c r="A21">
        <v>5</v>
      </c>
      <c r="B21">
        <v>1700148320</v>
      </c>
      <c r="C21">
        <v>446.5</v>
      </c>
      <c r="D21" t="s">
        <v>437</v>
      </c>
      <c r="E21" t="s">
        <v>438</v>
      </c>
      <c r="F21" t="s">
        <v>412</v>
      </c>
      <c r="G21" t="s">
        <v>413</v>
      </c>
      <c r="H21" t="s">
        <v>414</v>
      </c>
      <c r="I21">
        <v>1700148320</v>
      </c>
      <c r="J21">
        <f t="shared" si="0"/>
        <v>2.7252786339097414E-3</v>
      </c>
      <c r="K21">
        <f t="shared" si="1"/>
        <v>2.7252786339097415</v>
      </c>
      <c r="L21">
        <f t="shared" si="2"/>
        <v>46.899439743017055</v>
      </c>
      <c r="M21">
        <f t="shared" si="3"/>
        <v>701.19600000000003</v>
      </c>
      <c r="N21">
        <f t="shared" si="4"/>
        <v>281.01198856184033</v>
      </c>
      <c r="O21">
        <f t="shared" si="5"/>
        <v>27.986551051167798</v>
      </c>
      <c r="P21">
        <f t="shared" si="6"/>
        <v>69.833524723647599</v>
      </c>
      <c r="Q21">
        <f t="shared" si="7"/>
        <v>0.18893503712091775</v>
      </c>
      <c r="R21">
        <f t="shared" si="8"/>
        <v>3.1360444492520907</v>
      </c>
      <c r="S21">
        <f t="shared" si="9"/>
        <v>0.18283159255820211</v>
      </c>
      <c r="T21">
        <f t="shared" si="10"/>
        <v>0.11480169081292599</v>
      </c>
      <c r="U21">
        <f t="shared" si="11"/>
        <v>344.37891246539601</v>
      </c>
      <c r="V21">
        <f t="shared" si="12"/>
        <v>31.557186736474666</v>
      </c>
      <c r="W21">
        <f t="shared" si="13"/>
        <v>30.009499999999999</v>
      </c>
      <c r="X21">
        <f t="shared" si="14"/>
        <v>4.2627751343415312</v>
      </c>
      <c r="Y21">
        <f t="shared" si="15"/>
        <v>65.245633925762206</v>
      </c>
      <c r="Z21">
        <f t="shared" si="16"/>
        <v>2.8311321761341302</v>
      </c>
      <c r="AA21">
        <f t="shared" si="17"/>
        <v>4.339190235097492</v>
      </c>
      <c r="AB21">
        <f t="shared" si="18"/>
        <v>1.4316429582074011</v>
      </c>
      <c r="AC21">
        <f t="shared" si="19"/>
        <v>-120.18478775541959</v>
      </c>
      <c r="AD21">
        <f t="shared" si="20"/>
        <v>52.361111659399889</v>
      </c>
      <c r="AE21">
        <f t="shared" si="21"/>
        <v>3.7185391631113536</v>
      </c>
      <c r="AF21">
        <f t="shared" si="22"/>
        <v>280.27377553248766</v>
      </c>
      <c r="AG21">
        <v>4</v>
      </c>
      <c r="AH21">
        <v>1</v>
      </c>
      <c r="AI21">
        <f t="shared" si="23"/>
        <v>1</v>
      </c>
      <c r="AJ21">
        <f t="shared" si="24"/>
        <v>0</v>
      </c>
      <c r="AK21">
        <f t="shared" si="25"/>
        <v>52070.44628709121</v>
      </c>
      <c r="AL21" t="s">
        <v>415</v>
      </c>
      <c r="AM21">
        <v>6977.87</v>
      </c>
      <c r="AN21">
        <v>273.15280000000001</v>
      </c>
      <c r="AO21">
        <v>850.46774885301022</v>
      </c>
      <c r="AP21">
        <f t="shared" si="26"/>
        <v>0.67882050745793765</v>
      </c>
      <c r="AQ21">
        <v>-1.0323826813720729</v>
      </c>
      <c r="AR21" t="s">
        <v>439</v>
      </c>
      <c r="AS21">
        <v>7114.7</v>
      </c>
      <c r="AT21">
        <v>530.86903999999993</v>
      </c>
      <c r="AU21">
        <v>833.2291953366298</v>
      </c>
      <c r="AV21">
        <f t="shared" si="27"/>
        <v>0.36287753361123465</v>
      </c>
      <c r="AW21">
        <v>0.5</v>
      </c>
      <c r="AX21">
        <f t="shared" si="28"/>
        <v>1513.2267062326978</v>
      </c>
      <c r="AY21">
        <f t="shared" si="29"/>
        <v>46.899439743017055</v>
      </c>
      <c r="AZ21">
        <f t="shared" si="30"/>
        <v>274.55798747618684</v>
      </c>
      <c r="BA21">
        <f t="shared" si="31"/>
        <v>3.1675242200634522E-2</v>
      </c>
      <c r="BB21">
        <f t="shared" si="32"/>
        <v>2.0688849614079997E-2</v>
      </c>
      <c r="BC21">
        <f t="shared" si="33"/>
        <v>271.3497260546352</v>
      </c>
      <c r="BD21" t="s">
        <v>440</v>
      </c>
      <c r="BE21">
        <v>393.34</v>
      </c>
      <c r="BF21">
        <f t="shared" si="34"/>
        <v>393.34</v>
      </c>
      <c r="BG21">
        <f t="shared" si="35"/>
        <v>0.5279330078669553</v>
      </c>
      <c r="BH21">
        <f t="shared" si="36"/>
        <v>0.68735526705820904</v>
      </c>
      <c r="BI21">
        <f t="shared" si="37"/>
        <v>3.7710582128593316E-2</v>
      </c>
      <c r="BJ21">
        <f t="shared" si="38"/>
        <v>0.53985520163708833</v>
      </c>
      <c r="BK21">
        <f t="shared" si="39"/>
        <v>2.9859877265657843E-2</v>
      </c>
      <c r="BL21">
        <f t="shared" si="40"/>
        <v>0.50928628413643406</v>
      </c>
      <c r="BM21">
        <f t="shared" si="41"/>
        <v>0.49071371586356594</v>
      </c>
      <c r="BN21">
        <v>11256</v>
      </c>
      <c r="BO21">
        <v>290.00000000000011</v>
      </c>
      <c r="BP21">
        <v>748.01</v>
      </c>
      <c r="BQ21">
        <v>295</v>
      </c>
      <c r="BR21">
        <v>7114.7</v>
      </c>
      <c r="BS21">
        <v>750.26</v>
      </c>
      <c r="BT21">
        <v>-2.25</v>
      </c>
      <c r="BU21">
        <v>300.00000000000011</v>
      </c>
      <c r="BV21">
        <v>38.299999999999997</v>
      </c>
      <c r="BW21">
        <v>833.2291953366298</v>
      </c>
      <c r="BX21">
        <v>1.4892104881608259</v>
      </c>
      <c r="BY21">
        <v>-59.032584574992697</v>
      </c>
      <c r="BZ21">
        <v>0.8881335171244944</v>
      </c>
      <c r="CA21">
        <v>0.99370222388612295</v>
      </c>
      <c r="CB21">
        <v>-7.0151001112347018E-3</v>
      </c>
      <c r="CC21">
        <v>289.99999999999989</v>
      </c>
      <c r="CD21">
        <v>760.84</v>
      </c>
      <c r="CE21">
        <v>845</v>
      </c>
      <c r="CF21">
        <v>7105.77</v>
      </c>
      <c r="CG21">
        <v>750.15</v>
      </c>
      <c r="CH21">
        <v>10.69</v>
      </c>
      <c r="CV21">
        <f t="shared" si="42"/>
        <v>1800.05</v>
      </c>
      <c r="CW21">
        <f t="shared" si="43"/>
        <v>1513.2267062326978</v>
      </c>
      <c r="CX21">
        <f t="shared" si="44"/>
        <v>0.84065815184728077</v>
      </c>
      <c r="CY21">
        <f t="shared" si="45"/>
        <v>0.19131630369456182</v>
      </c>
      <c r="CZ21">
        <v>5</v>
      </c>
      <c r="DA21">
        <v>0.5</v>
      </c>
      <c r="DB21" t="s">
        <v>418</v>
      </c>
      <c r="DC21">
        <v>2</v>
      </c>
      <c r="DD21">
        <v>1700148320</v>
      </c>
      <c r="DE21">
        <v>701.19600000000003</v>
      </c>
      <c r="DF21">
        <v>749.98599999999999</v>
      </c>
      <c r="DG21">
        <v>28.427299999999999</v>
      </c>
      <c r="DH21">
        <v>25.7806</v>
      </c>
      <c r="DI21">
        <v>702.07399999999996</v>
      </c>
      <c r="DJ21">
        <v>28.435600000000001</v>
      </c>
      <c r="DK21">
        <v>500.209</v>
      </c>
      <c r="DL21">
        <v>99.4923</v>
      </c>
      <c r="DM21">
        <v>9.9718100000000004E-2</v>
      </c>
      <c r="DN21">
        <v>30.319199999999999</v>
      </c>
      <c r="DO21">
        <v>30.009499999999999</v>
      </c>
      <c r="DP21">
        <v>999.9</v>
      </c>
      <c r="DQ21">
        <v>0</v>
      </c>
      <c r="DR21">
        <v>0</v>
      </c>
      <c r="DS21">
        <v>10007.5</v>
      </c>
      <c r="DT21">
        <v>0</v>
      </c>
      <c r="DU21">
        <v>308.95999999999998</v>
      </c>
      <c r="DV21">
        <v>-48.789900000000003</v>
      </c>
      <c r="DW21">
        <v>721.71299999999997</v>
      </c>
      <c r="DX21">
        <v>769.83299999999997</v>
      </c>
      <c r="DY21">
        <v>2.6467000000000001</v>
      </c>
      <c r="DZ21">
        <v>749.98599999999999</v>
      </c>
      <c r="EA21">
        <v>25.7806</v>
      </c>
      <c r="EB21">
        <v>2.8283</v>
      </c>
      <c r="EC21">
        <v>2.5649700000000002</v>
      </c>
      <c r="ED21">
        <v>23.0502</v>
      </c>
      <c r="EE21">
        <v>21.444800000000001</v>
      </c>
      <c r="EF21">
        <v>1800.05</v>
      </c>
      <c r="EG21">
        <v>0.97799800000000003</v>
      </c>
      <c r="EH21">
        <v>2.2002000000000001E-2</v>
      </c>
      <c r="EI21">
        <v>0</v>
      </c>
      <c r="EJ21">
        <v>531.03899999999999</v>
      </c>
      <c r="EK21">
        <v>5.0005300000000004</v>
      </c>
      <c r="EL21">
        <v>12025</v>
      </c>
      <c r="EM21">
        <v>16035.7</v>
      </c>
      <c r="EN21">
        <v>49.5</v>
      </c>
      <c r="EO21">
        <v>50.5</v>
      </c>
      <c r="EP21">
        <v>50.125</v>
      </c>
      <c r="EQ21">
        <v>49.936999999999998</v>
      </c>
      <c r="ER21">
        <v>50.625</v>
      </c>
      <c r="ES21">
        <v>1755.55</v>
      </c>
      <c r="ET21">
        <v>39.49</v>
      </c>
      <c r="EU21">
        <v>0</v>
      </c>
      <c r="EV21">
        <v>250.20000004768369</v>
      </c>
      <c r="EW21">
        <v>0</v>
      </c>
      <c r="EX21">
        <v>530.86903999999993</v>
      </c>
      <c r="EY21">
        <v>0.34830768176990778</v>
      </c>
      <c r="EZ21">
        <v>-136.03076877584371</v>
      </c>
      <c r="FA21">
        <v>12038.964</v>
      </c>
      <c r="FB21">
        <v>15</v>
      </c>
      <c r="FC21">
        <v>1700148239.5</v>
      </c>
      <c r="FD21" t="s">
        <v>441</v>
      </c>
      <c r="FE21">
        <v>1700148235.5</v>
      </c>
      <c r="FF21">
        <v>1700148239.5</v>
      </c>
      <c r="FG21">
        <v>6</v>
      </c>
      <c r="FH21">
        <v>-0.114</v>
      </c>
      <c r="FI21">
        <v>-4.0000000000000001E-3</v>
      </c>
      <c r="FJ21">
        <v>-0.89400000000000002</v>
      </c>
      <c r="FK21">
        <v>-8.0000000000000002E-3</v>
      </c>
      <c r="FL21">
        <v>750</v>
      </c>
      <c r="FM21">
        <v>26</v>
      </c>
      <c r="FN21">
        <v>0.05</v>
      </c>
      <c r="FO21">
        <v>0.04</v>
      </c>
      <c r="FP21">
        <v>46.731791615064317</v>
      </c>
      <c r="FQ21">
        <v>0.67402841681421843</v>
      </c>
      <c r="FR21">
        <v>7.3997570781537986E-2</v>
      </c>
      <c r="FS21">
        <v>1</v>
      </c>
      <c r="FT21">
        <v>0.18629892904206549</v>
      </c>
      <c r="FU21">
        <v>2.293539198826914E-2</v>
      </c>
      <c r="FV21">
        <v>1.7418338466820809E-3</v>
      </c>
      <c r="FW21">
        <v>1</v>
      </c>
      <c r="FX21">
        <v>2</v>
      </c>
      <c r="FY21">
        <v>2</v>
      </c>
      <c r="FZ21" t="s">
        <v>420</v>
      </c>
      <c r="GA21">
        <v>3.1242999999999999</v>
      </c>
      <c r="GB21">
        <v>2.7666599999999999</v>
      </c>
      <c r="GC21">
        <v>0.13359099999999999</v>
      </c>
      <c r="GD21">
        <v>0.13967399999999999</v>
      </c>
      <c r="GE21">
        <v>0.120951</v>
      </c>
      <c r="GF21">
        <v>0.113164</v>
      </c>
      <c r="GG21">
        <v>20619.400000000001</v>
      </c>
      <c r="GH21">
        <v>21276.799999999999</v>
      </c>
      <c r="GI21">
        <v>23667.3</v>
      </c>
      <c r="GJ21">
        <v>25053.200000000001</v>
      </c>
      <c r="GK21">
        <v>29959.4</v>
      </c>
      <c r="GL21">
        <v>31141</v>
      </c>
      <c r="GM21">
        <v>37723</v>
      </c>
      <c r="GN21">
        <v>38984.699999999997</v>
      </c>
      <c r="GO21">
        <v>2.0829499999999999</v>
      </c>
      <c r="GP21">
        <v>1.81918</v>
      </c>
      <c r="GQ21">
        <v>-2.9504300000000001E-2</v>
      </c>
      <c r="GR21">
        <v>0</v>
      </c>
      <c r="GS21">
        <v>30.4895</v>
      </c>
      <c r="GT21">
        <v>999.9</v>
      </c>
      <c r="GU21">
        <v>58.7</v>
      </c>
      <c r="GV21">
        <v>33.5</v>
      </c>
      <c r="GW21">
        <v>30.656300000000002</v>
      </c>
      <c r="GX21">
        <v>60.36</v>
      </c>
      <c r="GY21">
        <v>26.234000000000002</v>
      </c>
      <c r="GZ21">
        <v>1</v>
      </c>
      <c r="HA21">
        <v>0.62634699999999999</v>
      </c>
      <c r="HB21">
        <v>2.67977</v>
      </c>
      <c r="HC21">
        <v>20.351700000000001</v>
      </c>
      <c r="HD21">
        <v>5.2526299999999999</v>
      </c>
      <c r="HE21">
        <v>12.0099</v>
      </c>
      <c r="HF21">
        <v>4.9793000000000003</v>
      </c>
      <c r="HG21">
        <v>3.2930000000000001</v>
      </c>
      <c r="HH21">
        <v>9999</v>
      </c>
      <c r="HI21">
        <v>9999</v>
      </c>
      <c r="HJ21">
        <v>9999</v>
      </c>
      <c r="HK21">
        <v>999.9</v>
      </c>
      <c r="HL21">
        <v>1.8758999999999999</v>
      </c>
      <c r="HM21">
        <v>1.8766700000000001</v>
      </c>
      <c r="HN21">
        <v>1.8830800000000001</v>
      </c>
      <c r="HO21">
        <v>1.8861399999999999</v>
      </c>
      <c r="HP21">
        <v>1.8768499999999999</v>
      </c>
      <c r="HQ21">
        <v>1.88354</v>
      </c>
      <c r="HR21">
        <v>1.88246</v>
      </c>
      <c r="HS21">
        <v>1.8858299999999999</v>
      </c>
      <c r="HT21">
        <v>5</v>
      </c>
      <c r="HU21">
        <v>0</v>
      </c>
      <c r="HV21">
        <v>0</v>
      </c>
      <c r="HW21">
        <v>0</v>
      </c>
      <c r="HX21" t="s">
        <v>421</v>
      </c>
      <c r="HY21" t="s">
        <v>422</v>
      </c>
      <c r="HZ21" t="s">
        <v>423</v>
      </c>
      <c r="IA21" t="s">
        <v>424</v>
      </c>
      <c r="IB21" t="s">
        <v>424</v>
      </c>
      <c r="IC21" t="s">
        <v>423</v>
      </c>
      <c r="ID21">
        <v>0</v>
      </c>
      <c r="IE21">
        <v>100</v>
      </c>
      <c r="IF21">
        <v>100</v>
      </c>
      <c r="IG21">
        <v>-0.878</v>
      </c>
      <c r="IH21">
        <v>-8.3000000000000001E-3</v>
      </c>
      <c r="II21">
        <v>-0.79273341650699247</v>
      </c>
      <c r="IJ21">
        <v>4.4610147972834149E-5</v>
      </c>
      <c r="IK21">
        <v>-2.082673137682459E-7</v>
      </c>
      <c r="IL21">
        <v>-4.0725795306076518E-11</v>
      </c>
      <c r="IM21">
        <v>-8.2899999999987983E-3</v>
      </c>
      <c r="IN21">
        <v>0</v>
      </c>
      <c r="IO21">
        <v>0</v>
      </c>
      <c r="IP21">
        <v>0</v>
      </c>
      <c r="IQ21">
        <v>3</v>
      </c>
      <c r="IR21">
        <v>2179</v>
      </c>
      <c r="IS21">
        <v>0</v>
      </c>
      <c r="IT21">
        <v>22</v>
      </c>
      <c r="IU21">
        <v>1.4</v>
      </c>
      <c r="IV21">
        <v>1.3</v>
      </c>
      <c r="IW21">
        <v>1.6809099999999999</v>
      </c>
      <c r="IX21">
        <v>2.6281699999999999</v>
      </c>
      <c r="IY21">
        <v>1.6015600000000001</v>
      </c>
      <c r="IZ21">
        <v>2.34009</v>
      </c>
      <c r="JA21">
        <v>1.5502899999999999</v>
      </c>
      <c r="JB21">
        <v>2.4340799999999998</v>
      </c>
      <c r="JC21">
        <v>39.641800000000003</v>
      </c>
      <c r="JD21">
        <v>15.3316</v>
      </c>
      <c r="JE21">
        <v>18</v>
      </c>
      <c r="JF21">
        <v>569.32399999999996</v>
      </c>
      <c r="JG21">
        <v>431.92099999999999</v>
      </c>
      <c r="JH21">
        <v>27.037299999999998</v>
      </c>
      <c r="JI21">
        <v>34.753900000000002</v>
      </c>
      <c r="JJ21">
        <v>30.0001</v>
      </c>
      <c r="JK21">
        <v>34.729100000000003</v>
      </c>
      <c r="JL21">
        <v>34.711500000000001</v>
      </c>
      <c r="JM21">
        <v>33.627000000000002</v>
      </c>
      <c r="JN21">
        <v>26.759899999999998</v>
      </c>
      <c r="JO21">
        <v>100</v>
      </c>
      <c r="JP21">
        <v>27.021799999999999</v>
      </c>
      <c r="JQ21">
        <v>750</v>
      </c>
      <c r="JR21">
        <v>25.668700000000001</v>
      </c>
      <c r="JS21">
        <v>98.3947</v>
      </c>
      <c r="JT21">
        <v>98.661600000000007</v>
      </c>
    </row>
    <row r="22" spans="1:280" x14ac:dyDescent="0.25">
      <c r="A22">
        <v>6</v>
      </c>
      <c r="B22">
        <v>1700148441</v>
      </c>
      <c r="C22">
        <v>567.5</v>
      </c>
      <c r="D22" t="s">
        <v>442</v>
      </c>
      <c r="E22" t="s">
        <v>443</v>
      </c>
      <c r="F22" t="s">
        <v>412</v>
      </c>
      <c r="G22" t="s">
        <v>413</v>
      </c>
      <c r="H22" t="s">
        <v>414</v>
      </c>
      <c r="I22">
        <v>1700148441</v>
      </c>
      <c r="J22">
        <f t="shared" si="0"/>
        <v>3.0269519777180315E-3</v>
      </c>
      <c r="K22">
        <f t="shared" si="1"/>
        <v>3.0269519777180314</v>
      </c>
      <c r="L22">
        <f t="shared" si="2"/>
        <v>44.379654885287799</v>
      </c>
      <c r="M22">
        <f t="shared" si="3"/>
        <v>553.97799999999995</v>
      </c>
      <c r="N22">
        <f t="shared" si="4"/>
        <v>199.48561946833303</v>
      </c>
      <c r="O22">
        <f t="shared" si="5"/>
        <v>19.865589494156602</v>
      </c>
      <c r="P22">
        <f t="shared" si="6"/>
        <v>55.167382822503995</v>
      </c>
      <c r="Q22">
        <f t="shared" si="7"/>
        <v>0.21205793694059688</v>
      </c>
      <c r="R22">
        <f t="shared" si="8"/>
        <v>3.1305900772792365</v>
      </c>
      <c r="S22">
        <f t="shared" si="9"/>
        <v>0.20438887979532383</v>
      </c>
      <c r="T22">
        <f t="shared" si="10"/>
        <v>0.12840897712261437</v>
      </c>
      <c r="U22">
        <f t="shared" si="11"/>
        <v>344.33009930208544</v>
      </c>
      <c r="V22">
        <f t="shared" si="12"/>
        <v>31.425693759933395</v>
      </c>
      <c r="W22">
        <f t="shared" si="13"/>
        <v>29.951699999999999</v>
      </c>
      <c r="X22">
        <f t="shared" si="14"/>
        <v>4.2486442331081626</v>
      </c>
      <c r="Y22">
        <f t="shared" si="15"/>
        <v>65.355583499250557</v>
      </c>
      <c r="Z22">
        <f t="shared" si="16"/>
        <v>2.8262157666536001</v>
      </c>
      <c r="AA22">
        <f t="shared" si="17"/>
        <v>4.3243677362103403</v>
      </c>
      <c r="AB22">
        <f t="shared" si="18"/>
        <v>1.4224284664545626</v>
      </c>
      <c r="AC22">
        <f t="shared" si="19"/>
        <v>-133.48858221736518</v>
      </c>
      <c r="AD22">
        <f t="shared" si="20"/>
        <v>51.949367377404485</v>
      </c>
      <c r="AE22">
        <f t="shared" si="21"/>
        <v>3.6935778681124938</v>
      </c>
      <c r="AF22">
        <f t="shared" si="22"/>
        <v>266.48446233023719</v>
      </c>
      <c r="AG22">
        <v>4</v>
      </c>
      <c r="AH22">
        <v>1</v>
      </c>
      <c r="AI22">
        <f t="shared" si="23"/>
        <v>1</v>
      </c>
      <c r="AJ22">
        <f t="shared" si="24"/>
        <v>0</v>
      </c>
      <c r="AK22">
        <f t="shared" si="25"/>
        <v>51942.008948353716</v>
      </c>
      <c r="AL22" t="s">
        <v>427</v>
      </c>
      <c r="AM22" t="s">
        <v>427</v>
      </c>
      <c r="AN22">
        <v>0</v>
      </c>
      <c r="AO22">
        <v>0</v>
      </c>
      <c r="AP22" t="e">
        <f t="shared" si="26"/>
        <v>#DIV/0!</v>
      </c>
      <c r="AQ22">
        <v>0</v>
      </c>
      <c r="AR22" t="s">
        <v>427</v>
      </c>
      <c r="AS22" t="s">
        <v>427</v>
      </c>
      <c r="AT22">
        <v>0</v>
      </c>
      <c r="AU22">
        <v>0</v>
      </c>
      <c r="AV22" t="e">
        <f t="shared" si="27"/>
        <v>#DIV/0!</v>
      </c>
      <c r="AW22">
        <v>0.5</v>
      </c>
      <c r="AX22">
        <f t="shared" si="28"/>
        <v>1513.0085996510425</v>
      </c>
      <c r="AY22">
        <f t="shared" si="29"/>
        <v>44.379654885287799</v>
      </c>
      <c r="AZ22" t="e">
        <f t="shared" si="30"/>
        <v>#DIV/0!</v>
      </c>
      <c r="BA22">
        <f t="shared" si="31"/>
        <v>2.9332057263602759E-2</v>
      </c>
      <c r="BB22" t="e">
        <f t="shared" si="32"/>
        <v>#DIV/0!</v>
      </c>
      <c r="BC22" t="e">
        <f t="shared" si="33"/>
        <v>#DIV/0!</v>
      </c>
      <c r="BD22" t="s">
        <v>427</v>
      </c>
      <c r="BE22">
        <v>0</v>
      </c>
      <c r="BF22" t="e">
        <f t="shared" si="34"/>
        <v>#DIV/0!</v>
      </c>
      <c r="BG22" t="e">
        <f t="shared" si="35"/>
        <v>#DIV/0!</v>
      </c>
      <c r="BH22" t="e">
        <f t="shared" si="36"/>
        <v>#DIV/0!</v>
      </c>
      <c r="BI22" t="e">
        <f t="shared" si="37"/>
        <v>#DIV/0!</v>
      </c>
      <c r="BJ22" t="e">
        <f t="shared" si="38"/>
        <v>#DIV/0!</v>
      </c>
      <c r="BK22" t="e">
        <f t="shared" si="39"/>
        <v>#DIV/0!</v>
      </c>
      <c r="BL22" t="e">
        <f t="shared" si="40"/>
        <v>#DIV/0!</v>
      </c>
      <c r="BM22" t="e">
        <f t="shared" si="41"/>
        <v>#DIV/0!</v>
      </c>
      <c r="BN22">
        <v>11256</v>
      </c>
      <c r="BO22">
        <v>290.00000000000011</v>
      </c>
      <c r="BP22">
        <v>748.01</v>
      </c>
      <c r="BQ22">
        <v>295</v>
      </c>
      <c r="BR22">
        <v>7114.7</v>
      </c>
      <c r="BS22">
        <v>750.26</v>
      </c>
      <c r="BT22">
        <v>-2.25</v>
      </c>
      <c r="BU22">
        <v>300.00000000000011</v>
      </c>
      <c r="BV22">
        <v>38.299999999999997</v>
      </c>
      <c r="BW22">
        <v>833.2291953366298</v>
      </c>
      <c r="BX22">
        <v>1.4892104881608259</v>
      </c>
      <c r="BY22">
        <v>-59.032584574992697</v>
      </c>
      <c r="BZ22">
        <v>0.8881335171244944</v>
      </c>
      <c r="CA22">
        <v>0.99370222388612295</v>
      </c>
      <c r="CB22">
        <v>-7.0151001112347018E-3</v>
      </c>
      <c r="CC22">
        <v>289.99999999999989</v>
      </c>
      <c r="CD22">
        <v>760.84</v>
      </c>
      <c r="CE22">
        <v>845</v>
      </c>
      <c r="CF22">
        <v>7105.77</v>
      </c>
      <c r="CG22">
        <v>750.15</v>
      </c>
      <c r="CH22">
        <v>10.69</v>
      </c>
      <c r="CV22">
        <f t="shared" si="42"/>
        <v>1799.79</v>
      </c>
      <c r="CW22">
        <f t="shared" si="43"/>
        <v>1513.0085996510425</v>
      </c>
      <c r="CX22">
        <f t="shared" si="44"/>
        <v>0.84065840995396268</v>
      </c>
      <c r="CY22">
        <f t="shared" si="45"/>
        <v>0.19131681990792562</v>
      </c>
      <c r="CZ22">
        <v>5</v>
      </c>
      <c r="DA22">
        <v>0.5</v>
      </c>
      <c r="DB22" t="s">
        <v>418</v>
      </c>
      <c r="DC22">
        <v>2</v>
      </c>
      <c r="DD22">
        <v>1700148441</v>
      </c>
      <c r="DE22">
        <v>553.97799999999995</v>
      </c>
      <c r="DF22">
        <v>600.01499999999999</v>
      </c>
      <c r="DG22">
        <v>28.380199999999999</v>
      </c>
      <c r="DH22">
        <v>25.4404</v>
      </c>
      <c r="DI22">
        <v>554.67200000000003</v>
      </c>
      <c r="DJ22">
        <v>28.388000000000002</v>
      </c>
      <c r="DK22">
        <v>500.21199999999999</v>
      </c>
      <c r="DL22">
        <v>99.483699999999999</v>
      </c>
      <c r="DM22">
        <v>0.100368</v>
      </c>
      <c r="DN22">
        <v>30.259499999999999</v>
      </c>
      <c r="DO22">
        <v>29.951699999999999</v>
      </c>
      <c r="DP22">
        <v>999.9</v>
      </c>
      <c r="DQ22">
        <v>0</v>
      </c>
      <c r="DR22">
        <v>0</v>
      </c>
      <c r="DS22">
        <v>9980.6200000000008</v>
      </c>
      <c r="DT22">
        <v>0</v>
      </c>
      <c r="DU22">
        <v>308.42899999999997</v>
      </c>
      <c r="DV22">
        <v>-46.036999999999999</v>
      </c>
      <c r="DW22">
        <v>570.15899999999999</v>
      </c>
      <c r="DX22">
        <v>615.678</v>
      </c>
      <c r="DY22">
        <v>2.9398</v>
      </c>
      <c r="DZ22">
        <v>600.01499999999999</v>
      </c>
      <c r="EA22">
        <v>25.4404</v>
      </c>
      <c r="EB22">
        <v>2.8233600000000001</v>
      </c>
      <c r="EC22">
        <v>2.5308999999999999</v>
      </c>
      <c r="ED22">
        <v>23.0213</v>
      </c>
      <c r="EE22">
        <v>21.226600000000001</v>
      </c>
      <c r="EF22">
        <v>1799.79</v>
      </c>
      <c r="EG22">
        <v>0.97799400000000003</v>
      </c>
      <c r="EH22">
        <v>2.20056E-2</v>
      </c>
      <c r="EI22">
        <v>0</v>
      </c>
      <c r="EJ22">
        <v>533.25800000000004</v>
      </c>
      <c r="EK22">
        <v>5.0005300000000004</v>
      </c>
      <c r="EL22">
        <v>11460.1</v>
      </c>
      <c r="EM22">
        <v>16033.4</v>
      </c>
      <c r="EN22">
        <v>49.311999999999998</v>
      </c>
      <c r="EO22">
        <v>50.375</v>
      </c>
      <c r="EP22">
        <v>49.936999999999998</v>
      </c>
      <c r="EQ22">
        <v>49.811999999999998</v>
      </c>
      <c r="ER22">
        <v>50.436999999999998</v>
      </c>
      <c r="ES22">
        <v>1755.29</v>
      </c>
      <c r="ET22">
        <v>39.5</v>
      </c>
      <c r="EU22">
        <v>0</v>
      </c>
      <c r="EV22">
        <v>118.7999999523163</v>
      </c>
      <c r="EW22">
        <v>0</v>
      </c>
      <c r="EX22">
        <v>533.05992307692304</v>
      </c>
      <c r="EY22">
        <v>-0.37210256173735379</v>
      </c>
      <c r="EZ22">
        <v>-205.09059791049</v>
      </c>
      <c r="FA22">
        <v>11484.426923076921</v>
      </c>
      <c r="FB22">
        <v>15</v>
      </c>
      <c r="FC22">
        <v>1700148400.5</v>
      </c>
      <c r="FD22" t="s">
        <v>444</v>
      </c>
      <c r="FE22">
        <v>1700148400.5</v>
      </c>
      <c r="FF22">
        <v>1700148388.5</v>
      </c>
      <c r="FG22">
        <v>7</v>
      </c>
      <c r="FH22">
        <v>0.14499999999999999</v>
      </c>
      <c r="FI22">
        <v>0</v>
      </c>
      <c r="FJ22">
        <v>-0.70399999999999996</v>
      </c>
      <c r="FK22">
        <v>-8.0000000000000002E-3</v>
      </c>
      <c r="FL22">
        <v>600</v>
      </c>
      <c r="FM22">
        <v>26</v>
      </c>
      <c r="FN22">
        <v>7.0000000000000007E-2</v>
      </c>
      <c r="FO22">
        <v>0.02</v>
      </c>
      <c r="FP22">
        <v>44.268255593899042</v>
      </c>
      <c r="FQ22">
        <v>0.67069138398321959</v>
      </c>
      <c r="FR22">
        <v>6.3630862136509966E-2</v>
      </c>
      <c r="FS22">
        <v>1</v>
      </c>
      <c r="FT22">
        <v>0.21002985491845899</v>
      </c>
      <c r="FU22">
        <v>3.1853192372292692E-2</v>
      </c>
      <c r="FV22">
        <v>2.586069813465017E-3</v>
      </c>
      <c r="FW22">
        <v>1</v>
      </c>
      <c r="FX22">
        <v>2</v>
      </c>
      <c r="FY22">
        <v>2</v>
      </c>
      <c r="FZ22" t="s">
        <v>420</v>
      </c>
      <c r="GA22">
        <v>3.12439</v>
      </c>
      <c r="GB22">
        <v>2.76708</v>
      </c>
      <c r="GC22">
        <v>0.113319</v>
      </c>
      <c r="GD22">
        <v>0.11983099999999999</v>
      </c>
      <c r="GE22">
        <v>0.120792</v>
      </c>
      <c r="GF22">
        <v>0.11210000000000001</v>
      </c>
      <c r="GG22">
        <v>21100.799999999999</v>
      </c>
      <c r="GH22">
        <v>21767.3</v>
      </c>
      <c r="GI22">
        <v>23665.599999999999</v>
      </c>
      <c r="GJ22">
        <v>25052.400000000001</v>
      </c>
      <c r="GK22">
        <v>29962.6</v>
      </c>
      <c r="GL22">
        <v>31178</v>
      </c>
      <c r="GM22">
        <v>37720.199999999997</v>
      </c>
      <c r="GN22">
        <v>38984.199999999997</v>
      </c>
      <c r="GO22">
        <v>2.0825300000000002</v>
      </c>
      <c r="GP22">
        <v>1.8149</v>
      </c>
      <c r="GQ22">
        <v>-3.2633500000000003E-2</v>
      </c>
      <c r="GR22">
        <v>0</v>
      </c>
      <c r="GS22">
        <v>30.482600000000001</v>
      </c>
      <c r="GT22">
        <v>999.9</v>
      </c>
      <c r="GU22">
        <v>58.3</v>
      </c>
      <c r="GV22">
        <v>33.700000000000003</v>
      </c>
      <c r="GW22">
        <v>30.790500000000002</v>
      </c>
      <c r="GX22">
        <v>60.470100000000002</v>
      </c>
      <c r="GY22">
        <v>25.833300000000001</v>
      </c>
      <c r="GZ22">
        <v>1</v>
      </c>
      <c r="HA22">
        <v>0.62917199999999995</v>
      </c>
      <c r="HB22">
        <v>2.40238</v>
      </c>
      <c r="HC22">
        <v>20.356100000000001</v>
      </c>
      <c r="HD22">
        <v>5.2518799999999999</v>
      </c>
      <c r="HE22">
        <v>12.0099</v>
      </c>
      <c r="HF22">
        <v>4.9794999999999998</v>
      </c>
      <c r="HG22">
        <v>3.2930000000000001</v>
      </c>
      <c r="HH22">
        <v>9999</v>
      </c>
      <c r="HI22">
        <v>9999</v>
      </c>
      <c r="HJ22">
        <v>9999</v>
      </c>
      <c r="HK22">
        <v>999.9</v>
      </c>
      <c r="HL22">
        <v>1.8758900000000001</v>
      </c>
      <c r="HM22">
        <v>1.8766799999999999</v>
      </c>
      <c r="HN22">
        <v>1.88307</v>
      </c>
      <c r="HO22">
        <v>1.8861399999999999</v>
      </c>
      <c r="HP22">
        <v>1.8768800000000001</v>
      </c>
      <c r="HQ22">
        <v>1.88354</v>
      </c>
      <c r="HR22">
        <v>1.8824700000000001</v>
      </c>
      <c r="HS22">
        <v>1.8858299999999999</v>
      </c>
      <c r="HT22">
        <v>5</v>
      </c>
      <c r="HU22">
        <v>0</v>
      </c>
      <c r="HV22">
        <v>0</v>
      </c>
      <c r="HW22">
        <v>0</v>
      </c>
      <c r="HX22" t="s">
        <v>421</v>
      </c>
      <c r="HY22" t="s">
        <v>422</v>
      </c>
      <c r="HZ22" t="s">
        <v>423</v>
      </c>
      <c r="IA22" t="s">
        <v>424</v>
      </c>
      <c r="IB22" t="s">
        <v>424</v>
      </c>
      <c r="IC22" t="s">
        <v>423</v>
      </c>
      <c r="ID22">
        <v>0</v>
      </c>
      <c r="IE22">
        <v>100</v>
      </c>
      <c r="IF22">
        <v>100</v>
      </c>
      <c r="IG22">
        <v>-0.69399999999999995</v>
      </c>
      <c r="IH22">
        <v>-7.7999999999999996E-3</v>
      </c>
      <c r="II22">
        <v>-0.64735919409695164</v>
      </c>
      <c r="IJ22">
        <v>4.4610147972834149E-5</v>
      </c>
      <c r="IK22">
        <v>-2.082673137682459E-7</v>
      </c>
      <c r="IL22">
        <v>-4.0725795306076518E-11</v>
      </c>
      <c r="IM22">
        <v>-7.7950000000051034E-3</v>
      </c>
      <c r="IN22">
        <v>0</v>
      </c>
      <c r="IO22">
        <v>0</v>
      </c>
      <c r="IP22">
        <v>0</v>
      </c>
      <c r="IQ22">
        <v>3</v>
      </c>
      <c r="IR22">
        <v>2179</v>
      </c>
      <c r="IS22">
        <v>0</v>
      </c>
      <c r="IT22">
        <v>22</v>
      </c>
      <c r="IU22">
        <v>0.7</v>
      </c>
      <c r="IV22">
        <v>0.9</v>
      </c>
      <c r="IW22">
        <v>1.40259</v>
      </c>
      <c r="IX22">
        <v>2.6355</v>
      </c>
      <c r="IY22">
        <v>1.6015600000000001</v>
      </c>
      <c r="IZ22">
        <v>2.33765</v>
      </c>
      <c r="JA22">
        <v>1.5502899999999999</v>
      </c>
      <c r="JB22">
        <v>2.32178</v>
      </c>
      <c r="JC22">
        <v>39.817700000000002</v>
      </c>
      <c r="JD22">
        <v>15.305300000000001</v>
      </c>
      <c r="JE22">
        <v>18</v>
      </c>
      <c r="JF22">
        <v>569.351</v>
      </c>
      <c r="JG22">
        <v>429.32</v>
      </c>
      <c r="JH22">
        <v>27.122499999999999</v>
      </c>
      <c r="JI22">
        <v>34.784799999999997</v>
      </c>
      <c r="JJ22">
        <v>30.0002</v>
      </c>
      <c r="JK22">
        <v>34.767099999999999</v>
      </c>
      <c r="JL22">
        <v>34.750999999999998</v>
      </c>
      <c r="JM22">
        <v>28.067399999999999</v>
      </c>
      <c r="JN22">
        <v>28.9956</v>
      </c>
      <c r="JO22">
        <v>100</v>
      </c>
      <c r="JP22">
        <v>27.132999999999999</v>
      </c>
      <c r="JQ22">
        <v>600</v>
      </c>
      <c r="JR22">
        <v>25.398399999999999</v>
      </c>
      <c r="JS22">
        <v>98.387600000000006</v>
      </c>
      <c r="JT22">
        <v>98.659599999999998</v>
      </c>
    </row>
    <row r="23" spans="1:280" x14ac:dyDescent="0.25">
      <c r="A23">
        <v>7</v>
      </c>
      <c r="B23">
        <v>1700148595.5</v>
      </c>
      <c r="C23">
        <v>722</v>
      </c>
      <c r="D23" t="s">
        <v>445</v>
      </c>
      <c r="E23" t="s">
        <v>446</v>
      </c>
      <c r="F23" t="s">
        <v>412</v>
      </c>
      <c r="G23" t="s">
        <v>413</v>
      </c>
      <c r="H23" t="s">
        <v>414</v>
      </c>
      <c r="I23">
        <v>1700148595.5</v>
      </c>
      <c r="J23">
        <f t="shared" si="0"/>
        <v>3.5076800538386848E-3</v>
      </c>
      <c r="K23">
        <f t="shared" si="1"/>
        <v>3.5076800538386848</v>
      </c>
      <c r="L23">
        <f t="shared" si="2"/>
        <v>43.55539672999204</v>
      </c>
      <c r="M23">
        <f t="shared" si="3"/>
        <v>454.839</v>
      </c>
      <c r="N23">
        <f t="shared" si="4"/>
        <v>156.61624126521306</v>
      </c>
      <c r="O23">
        <f t="shared" si="5"/>
        <v>15.595214486293347</v>
      </c>
      <c r="P23">
        <f t="shared" si="6"/>
        <v>45.291035619475799</v>
      </c>
      <c r="Q23">
        <f t="shared" si="7"/>
        <v>0.24843016168808577</v>
      </c>
      <c r="R23">
        <f t="shared" si="8"/>
        <v>3.1358421896060915</v>
      </c>
      <c r="S23">
        <f t="shared" si="9"/>
        <v>0.23799116432015482</v>
      </c>
      <c r="T23">
        <f t="shared" si="10"/>
        <v>0.14964582715325433</v>
      </c>
      <c r="U23">
        <f t="shared" si="11"/>
        <v>344.35289930213202</v>
      </c>
      <c r="V23">
        <f t="shared" si="12"/>
        <v>31.436729341821739</v>
      </c>
      <c r="W23">
        <f t="shared" si="13"/>
        <v>29.972799999999999</v>
      </c>
      <c r="X23">
        <f t="shared" si="14"/>
        <v>4.2537980068349395</v>
      </c>
      <c r="Y23">
        <f t="shared" si="15"/>
        <v>65.151568519703247</v>
      </c>
      <c r="Z23">
        <f t="shared" si="16"/>
        <v>2.8384429603526597</v>
      </c>
      <c r="AA23">
        <f t="shared" si="17"/>
        <v>4.3566763239080784</v>
      </c>
      <c r="AB23">
        <f t="shared" si="18"/>
        <v>1.4153550464822797</v>
      </c>
      <c r="AC23">
        <f t="shared" si="19"/>
        <v>-154.68869037428601</v>
      </c>
      <c r="AD23">
        <f t="shared" si="20"/>
        <v>70.430197750909599</v>
      </c>
      <c r="AE23">
        <f t="shared" si="21"/>
        <v>5.0029077487931737</v>
      </c>
      <c r="AF23">
        <f t="shared" si="22"/>
        <v>265.09731442754878</v>
      </c>
      <c r="AG23">
        <v>3</v>
      </c>
      <c r="AH23">
        <v>1</v>
      </c>
      <c r="AI23">
        <f t="shared" si="23"/>
        <v>1</v>
      </c>
      <c r="AJ23">
        <f t="shared" si="24"/>
        <v>0</v>
      </c>
      <c r="AK23">
        <f t="shared" si="25"/>
        <v>52052.913945084234</v>
      </c>
      <c r="AL23" t="s">
        <v>415</v>
      </c>
      <c r="AM23">
        <v>6977.87</v>
      </c>
      <c r="AN23">
        <v>273.15280000000001</v>
      </c>
      <c r="AO23">
        <v>850.46774885301022</v>
      </c>
      <c r="AP23">
        <f t="shared" si="26"/>
        <v>0.67882050745793765</v>
      </c>
      <c r="AQ23">
        <v>-1.0323826813720729</v>
      </c>
      <c r="AR23" t="s">
        <v>447</v>
      </c>
      <c r="AS23">
        <v>7115.99</v>
      </c>
      <c r="AT23">
        <v>535.0845384615385</v>
      </c>
      <c r="AU23">
        <v>812.73218155362554</v>
      </c>
      <c r="AV23">
        <f t="shared" si="27"/>
        <v>0.34162255339924341</v>
      </c>
      <c r="AW23">
        <v>0.5</v>
      </c>
      <c r="AX23">
        <f t="shared" si="28"/>
        <v>1513.1093996510658</v>
      </c>
      <c r="AY23">
        <f t="shared" si="29"/>
        <v>43.55539672999204</v>
      </c>
      <c r="AZ23">
        <f t="shared" si="30"/>
        <v>258.45614834059671</v>
      </c>
      <c r="BA23">
        <f t="shared" si="31"/>
        <v>2.9467650800164471E-2</v>
      </c>
      <c r="BB23">
        <f t="shared" si="32"/>
        <v>4.643050706722239E-2</v>
      </c>
      <c r="BC23">
        <f t="shared" si="33"/>
        <v>269.13925369372606</v>
      </c>
      <c r="BD23" t="s">
        <v>448</v>
      </c>
      <c r="BE23">
        <v>392.74</v>
      </c>
      <c r="BF23">
        <f t="shared" si="34"/>
        <v>392.74</v>
      </c>
      <c r="BG23">
        <f t="shared" si="35"/>
        <v>0.51676578224177738</v>
      </c>
      <c r="BH23">
        <f t="shared" si="36"/>
        <v>0.66107812308557556</v>
      </c>
      <c r="BI23">
        <f t="shared" si="37"/>
        <v>8.2441074184258556E-2</v>
      </c>
      <c r="BJ23">
        <f t="shared" si="38"/>
        <v>0.5145631070865766</v>
      </c>
      <c r="BK23">
        <f t="shared" si="39"/>
        <v>6.5363918558416736E-2</v>
      </c>
      <c r="BL23">
        <f t="shared" si="40"/>
        <v>0.48521645347315734</v>
      </c>
      <c r="BM23">
        <f t="shared" si="41"/>
        <v>0.51478354652684266</v>
      </c>
      <c r="BN23">
        <v>11258</v>
      </c>
      <c r="BO23">
        <v>290.00000000000011</v>
      </c>
      <c r="BP23">
        <v>734.74</v>
      </c>
      <c r="BQ23">
        <v>285</v>
      </c>
      <c r="BR23">
        <v>7115.99</v>
      </c>
      <c r="BS23">
        <v>737.92</v>
      </c>
      <c r="BT23">
        <v>-3.18</v>
      </c>
      <c r="BU23">
        <v>300.00000000000011</v>
      </c>
      <c r="BV23">
        <v>38.299999999999997</v>
      </c>
      <c r="BW23">
        <v>812.73218155362554</v>
      </c>
      <c r="BX23">
        <v>1.4407229552713721</v>
      </c>
      <c r="BY23">
        <v>-53.233863593784413</v>
      </c>
      <c r="BZ23">
        <v>0.85937138537737578</v>
      </c>
      <c r="CA23">
        <v>0.99275586896673362</v>
      </c>
      <c r="CB23">
        <v>-7.0165652947719696E-3</v>
      </c>
      <c r="CC23">
        <v>289.99999999999989</v>
      </c>
      <c r="CD23">
        <v>748.34</v>
      </c>
      <c r="CE23">
        <v>865</v>
      </c>
      <c r="CF23">
        <v>7106.81</v>
      </c>
      <c r="CG23">
        <v>737.83</v>
      </c>
      <c r="CH23">
        <v>10.51</v>
      </c>
      <c r="CV23">
        <f t="shared" si="42"/>
        <v>1799.91</v>
      </c>
      <c r="CW23">
        <f t="shared" si="43"/>
        <v>1513.1093996510658</v>
      </c>
      <c r="CX23">
        <f t="shared" si="44"/>
        <v>0.84065836605778388</v>
      </c>
      <c r="CY23">
        <f t="shared" si="45"/>
        <v>0.19131673211556799</v>
      </c>
      <c r="CZ23">
        <v>5</v>
      </c>
      <c r="DA23">
        <v>0.5</v>
      </c>
      <c r="DB23" t="s">
        <v>418</v>
      </c>
      <c r="DC23">
        <v>2</v>
      </c>
      <c r="DD23">
        <v>1700148595.5</v>
      </c>
      <c r="DE23">
        <v>454.839</v>
      </c>
      <c r="DF23">
        <v>499.97800000000001</v>
      </c>
      <c r="DG23">
        <v>28.505299999999998</v>
      </c>
      <c r="DH23">
        <v>25.098500000000001</v>
      </c>
      <c r="DI23">
        <v>455.44</v>
      </c>
      <c r="DJ23">
        <v>28.511099999999999</v>
      </c>
      <c r="DK23">
        <v>500.13099999999997</v>
      </c>
      <c r="DL23">
        <v>99.476100000000002</v>
      </c>
      <c r="DM23">
        <v>9.9872199999999994E-2</v>
      </c>
      <c r="DN23">
        <v>30.389399999999998</v>
      </c>
      <c r="DO23">
        <v>29.972799999999999</v>
      </c>
      <c r="DP23">
        <v>999.9</v>
      </c>
      <c r="DQ23">
        <v>0</v>
      </c>
      <c r="DR23">
        <v>0</v>
      </c>
      <c r="DS23">
        <v>10008.1</v>
      </c>
      <c r="DT23">
        <v>0</v>
      </c>
      <c r="DU23">
        <v>309.24</v>
      </c>
      <c r="DV23">
        <v>-45.138500000000001</v>
      </c>
      <c r="DW23">
        <v>468.185</v>
      </c>
      <c r="DX23">
        <v>512.84900000000005</v>
      </c>
      <c r="DY23">
        <v>3.4068000000000001</v>
      </c>
      <c r="DZ23">
        <v>499.97800000000001</v>
      </c>
      <c r="EA23">
        <v>25.098500000000001</v>
      </c>
      <c r="EB23">
        <v>2.8355999999999999</v>
      </c>
      <c r="EC23">
        <v>2.4967000000000001</v>
      </c>
      <c r="ED23">
        <v>23.0928</v>
      </c>
      <c r="EE23">
        <v>21.004999999999999</v>
      </c>
      <c r="EF23">
        <v>1799.91</v>
      </c>
      <c r="EG23">
        <v>0.97799400000000003</v>
      </c>
      <c r="EH23">
        <v>2.20056E-2</v>
      </c>
      <c r="EI23">
        <v>0</v>
      </c>
      <c r="EJ23">
        <v>534.90300000000002</v>
      </c>
      <c r="EK23">
        <v>5.0005300000000004</v>
      </c>
      <c r="EL23">
        <v>11251.8</v>
      </c>
      <c r="EM23">
        <v>16034.4</v>
      </c>
      <c r="EN23">
        <v>49.125</v>
      </c>
      <c r="EO23">
        <v>50.25</v>
      </c>
      <c r="EP23">
        <v>49.75</v>
      </c>
      <c r="EQ23">
        <v>49.686999999999998</v>
      </c>
      <c r="ER23">
        <v>50.311999999999998</v>
      </c>
      <c r="ES23">
        <v>1755.41</v>
      </c>
      <c r="ET23">
        <v>39.5</v>
      </c>
      <c r="EU23">
        <v>0</v>
      </c>
      <c r="EV23">
        <v>273.59999990463263</v>
      </c>
      <c r="EW23">
        <v>0</v>
      </c>
      <c r="EX23">
        <v>535.0845384615385</v>
      </c>
      <c r="EY23">
        <v>1.095726498581701</v>
      </c>
      <c r="EZ23">
        <v>-71.316239236562794</v>
      </c>
      <c r="FA23">
        <v>11262.8</v>
      </c>
      <c r="FB23">
        <v>15</v>
      </c>
      <c r="FC23">
        <v>1700148517.5</v>
      </c>
      <c r="FD23" t="s">
        <v>449</v>
      </c>
      <c r="FE23">
        <v>1700148510.5</v>
      </c>
      <c r="FF23">
        <v>1700148517.5</v>
      </c>
      <c r="FG23">
        <v>8</v>
      </c>
      <c r="FH23">
        <v>7.2999999999999995E-2</v>
      </c>
      <c r="FI23">
        <v>2E-3</v>
      </c>
      <c r="FJ23">
        <v>-0.60899999999999999</v>
      </c>
      <c r="FK23">
        <v>-6.0000000000000001E-3</v>
      </c>
      <c r="FL23">
        <v>500</v>
      </c>
      <c r="FM23">
        <v>25</v>
      </c>
      <c r="FN23">
        <v>0.03</v>
      </c>
      <c r="FO23">
        <v>0.03</v>
      </c>
      <c r="FP23">
        <v>43.506934011030488</v>
      </c>
      <c r="FQ23">
        <v>0.68999826472969539</v>
      </c>
      <c r="FR23">
        <v>5.9971181579914379E-2</v>
      </c>
      <c r="FS23">
        <v>1</v>
      </c>
      <c r="FT23">
        <v>0.24781157127468659</v>
      </c>
      <c r="FU23">
        <v>1.8398976776202839E-2</v>
      </c>
      <c r="FV23">
        <v>1.423702066368702E-3</v>
      </c>
      <c r="FW23">
        <v>1</v>
      </c>
      <c r="FX23">
        <v>2</v>
      </c>
      <c r="FY23">
        <v>2</v>
      </c>
      <c r="FZ23" t="s">
        <v>420</v>
      </c>
      <c r="GA23">
        <v>3.1243599999999998</v>
      </c>
      <c r="GB23">
        <v>2.76681</v>
      </c>
      <c r="GC23">
        <v>9.8102200000000001E-2</v>
      </c>
      <c r="GD23">
        <v>0.10514900000000001</v>
      </c>
      <c r="GE23">
        <v>0.121127</v>
      </c>
      <c r="GF23">
        <v>0.111017</v>
      </c>
      <c r="GG23">
        <v>21460.3</v>
      </c>
      <c r="GH23">
        <v>22128.6</v>
      </c>
      <c r="GI23">
        <v>23662.799999999999</v>
      </c>
      <c r="GJ23">
        <v>25050.2</v>
      </c>
      <c r="GK23">
        <v>29948.3</v>
      </c>
      <c r="GL23">
        <v>31213.599999999999</v>
      </c>
      <c r="GM23">
        <v>37716.6</v>
      </c>
      <c r="GN23">
        <v>38981.300000000003</v>
      </c>
      <c r="GO23">
        <v>2.0830000000000002</v>
      </c>
      <c r="GP23">
        <v>1.80982</v>
      </c>
      <c r="GQ23">
        <v>-2.87741E-2</v>
      </c>
      <c r="GR23">
        <v>0</v>
      </c>
      <c r="GS23">
        <v>30.440899999999999</v>
      </c>
      <c r="GT23">
        <v>999.9</v>
      </c>
      <c r="GU23">
        <v>57.8</v>
      </c>
      <c r="GV23">
        <v>34</v>
      </c>
      <c r="GW23">
        <v>31.0472</v>
      </c>
      <c r="GX23">
        <v>60.34</v>
      </c>
      <c r="GY23">
        <v>26.3902</v>
      </c>
      <c r="GZ23">
        <v>1</v>
      </c>
      <c r="HA23">
        <v>0.63581299999999996</v>
      </c>
      <c r="HB23">
        <v>2.3524500000000002</v>
      </c>
      <c r="HC23">
        <v>20.356400000000001</v>
      </c>
      <c r="HD23">
        <v>5.2515799999999997</v>
      </c>
      <c r="HE23">
        <v>12.0099</v>
      </c>
      <c r="HF23">
        <v>4.9787999999999997</v>
      </c>
      <c r="HG23">
        <v>3.2930000000000001</v>
      </c>
      <c r="HH23">
        <v>9999</v>
      </c>
      <c r="HI23">
        <v>9999</v>
      </c>
      <c r="HJ23">
        <v>9999</v>
      </c>
      <c r="HK23">
        <v>999.9</v>
      </c>
      <c r="HL23">
        <v>1.87592</v>
      </c>
      <c r="HM23">
        <v>1.8766799999999999</v>
      </c>
      <c r="HN23">
        <v>1.8830899999999999</v>
      </c>
      <c r="HO23">
        <v>1.88615</v>
      </c>
      <c r="HP23">
        <v>1.87697</v>
      </c>
      <c r="HQ23">
        <v>1.88354</v>
      </c>
      <c r="HR23">
        <v>1.8824799999999999</v>
      </c>
      <c r="HS23">
        <v>1.8858299999999999</v>
      </c>
      <c r="HT23">
        <v>5</v>
      </c>
      <c r="HU23">
        <v>0</v>
      </c>
      <c r="HV23">
        <v>0</v>
      </c>
      <c r="HW23">
        <v>0</v>
      </c>
      <c r="HX23" t="s">
        <v>421</v>
      </c>
      <c r="HY23" t="s">
        <v>422</v>
      </c>
      <c r="HZ23" t="s">
        <v>423</v>
      </c>
      <c r="IA23" t="s">
        <v>424</v>
      </c>
      <c r="IB23" t="s">
        <v>424</v>
      </c>
      <c r="IC23" t="s">
        <v>423</v>
      </c>
      <c r="ID23">
        <v>0</v>
      </c>
      <c r="IE23">
        <v>100</v>
      </c>
      <c r="IF23">
        <v>100</v>
      </c>
      <c r="IG23">
        <v>-0.60099999999999998</v>
      </c>
      <c r="IH23">
        <v>-5.7999999999999996E-3</v>
      </c>
      <c r="II23">
        <v>-0.57429298219666591</v>
      </c>
      <c r="IJ23">
        <v>4.4610147972834149E-5</v>
      </c>
      <c r="IK23">
        <v>-2.082673137682459E-7</v>
      </c>
      <c r="IL23">
        <v>-4.0725795306076518E-11</v>
      </c>
      <c r="IM23">
        <v>-5.7449999999974466E-3</v>
      </c>
      <c r="IN23">
        <v>0</v>
      </c>
      <c r="IO23">
        <v>0</v>
      </c>
      <c r="IP23">
        <v>0</v>
      </c>
      <c r="IQ23">
        <v>3</v>
      </c>
      <c r="IR23">
        <v>2179</v>
      </c>
      <c r="IS23">
        <v>0</v>
      </c>
      <c r="IT23">
        <v>22</v>
      </c>
      <c r="IU23">
        <v>1.4</v>
      </c>
      <c r="IV23">
        <v>1.3</v>
      </c>
      <c r="IW23">
        <v>1.2121599999999999</v>
      </c>
      <c r="IX23">
        <v>2.63794</v>
      </c>
      <c r="IY23">
        <v>1.6015600000000001</v>
      </c>
      <c r="IZ23">
        <v>2.33765</v>
      </c>
      <c r="JA23">
        <v>1.5502899999999999</v>
      </c>
      <c r="JB23">
        <v>2.4133300000000002</v>
      </c>
      <c r="JC23">
        <v>40.07</v>
      </c>
      <c r="JD23">
        <v>15.287800000000001</v>
      </c>
      <c r="JE23">
        <v>18</v>
      </c>
      <c r="JF23">
        <v>570.21100000000001</v>
      </c>
      <c r="JG23">
        <v>426.36700000000002</v>
      </c>
      <c r="JH23">
        <v>27.379100000000001</v>
      </c>
      <c r="JI23">
        <v>34.847099999999998</v>
      </c>
      <c r="JJ23">
        <v>30.000299999999999</v>
      </c>
      <c r="JK23">
        <v>34.830399999999997</v>
      </c>
      <c r="JL23">
        <v>34.815399999999997</v>
      </c>
      <c r="JM23">
        <v>24.2437</v>
      </c>
      <c r="JN23">
        <v>31.142499999999998</v>
      </c>
      <c r="JO23">
        <v>99.628900000000002</v>
      </c>
      <c r="JP23">
        <v>27.386399999999998</v>
      </c>
      <c r="JQ23">
        <v>500</v>
      </c>
      <c r="JR23">
        <v>24.999199999999998</v>
      </c>
      <c r="JS23">
        <v>98.377399999999994</v>
      </c>
      <c r="JT23">
        <v>98.651700000000005</v>
      </c>
    </row>
    <row r="24" spans="1:280" x14ac:dyDescent="0.25">
      <c r="A24">
        <v>8</v>
      </c>
      <c r="B24">
        <v>1700148799.5</v>
      </c>
      <c r="C24">
        <v>926</v>
      </c>
      <c r="D24" t="s">
        <v>450</v>
      </c>
      <c r="E24" t="s">
        <v>451</v>
      </c>
      <c r="F24" t="s">
        <v>412</v>
      </c>
      <c r="G24" t="s">
        <v>413</v>
      </c>
      <c r="H24" t="s">
        <v>414</v>
      </c>
      <c r="I24">
        <v>1700148799.5</v>
      </c>
      <c r="J24">
        <f t="shared" si="0"/>
        <v>4.0547501314668393E-3</v>
      </c>
      <c r="K24">
        <f t="shared" si="1"/>
        <v>4.0547501314668395</v>
      </c>
      <c r="L24">
        <f t="shared" si="2"/>
        <v>40.543430222178529</v>
      </c>
      <c r="M24">
        <f t="shared" si="3"/>
        <v>358.04899999999998</v>
      </c>
      <c r="N24">
        <f t="shared" si="4"/>
        <v>119.53479065027354</v>
      </c>
      <c r="O24">
        <f t="shared" si="5"/>
        <v>11.90368111031203</v>
      </c>
      <c r="P24">
        <f t="shared" si="6"/>
        <v>35.655737502698003</v>
      </c>
      <c r="Q24">
        <f t="shared" si="7"/>
        <v>0.29071512916978637</v>
      </c>
      <c r="R24">
        <f t="shared" si="8"/>
        <v>3.1337817859449828</v>
      </c>
      <c r="S24">
        <f t="shared" si="9"/>
        <v>0.27652029667441802</v>
      </c>
      <c r="T24">
        <f t="shared" si="10"/>
        <v>0.17404276166320132</v>
      </c>
      <c r="U24">
        <f t="shared" si="11"/>
        <v>344.36429930215525</v>
      </c>
      <c r="V24">
        <f t="shared" si="12"/>
        <v>31.392776949559874</v>
      </c>
      <c r="W24">
        <f t="shared" si="13"/>
        <v>30.003799999999998</v>
      </c>
      <c r="X24">
        <f t="shared" si="14"/>
        <v>4.261379784496393</v>
      </c>
      <c r="Y24">
        <f t="shared" si="15"/>
        <v>65.16089905221034</v>
      </c>
      <c r="Z24">
        <f t="shared" si="16"/>
        <v>2.8533034674648001</v>
      </c>
      <c r="AA24">
        <f t="shared" si="17"/>
        <v>4.3788583475169416</v>
      </c>
      <c r="AB24">
        <f t="shared" si="18"/>
        <v>1.4080763170315929</v>
      </c>
      <c r="AC24">
        <f t="shared" si="19"/>
        <v>-178.81448079768762</v>
      </c>
      <c r="AD24">
        <f t="shared" si="20"/>
        <v>80.132246820286113</v>
      </c>
      <c r="AE24">
        <f t="shared" si="21"/>
        <v>5.6991959223249289</v>
      </c>
      <c r="AF24">
        <f t="shared" si="22"/>
        <v>251.38126124707867</v>
      </c>
      <c r="AG24">
        <v>3</v>
      </c>
      <c r="AH24">
        <v>1</v>
      </c>
      <c r="AI24">
        <f t="shared" si="23"/>
        <v>1</v>
      </c>
      <c r="AJ24">
        <f t="shared" si="24"/>
        <v>0</v>
      </c>
      <c r="AK24">
        <f t="shared" si="25"/>
        <v>51985.562312308422</v>
      </c>
      <c r="AL24" t="s">
        <v>415</v>
      </c>
      <c r="AM24">
        <v>6977.87</v>
      </c>
      <c r="AN24">
        <v>273.15280000000001</v>
      </c>
      <c r="AO24">
        <v>850.46774885301022</v>
      </c>
      <c r="AP24">
        <f t="shared" si="26"/>
        <v>0.67882050745793765</v>
      </c>
      <c r="AQ24">
        <v>-1.0323826813720729</v>
      </c>
      <c r="AR24" t="s">
        <v>452</v>
      </c>
      <c r="AS24">
        <v>7116.35</v>
      </c>
      <c r="AT24">
        <v>539.49234615384626</v>
      </c>
      <c r="AU24">
        <v>797.45765246605913</v>
      </c>
      <c r="AV24">
        <f t="shared" si="27"/>
        <v>0.32348464587991677</v>
      </c>
      <c r="AW24">
        <v>0.5</v>
      </c>
      <c r="AX24">
        <f t="shared" si="28"/>
        <v>1513.1597996510777</v>
      </c>
      <c r="AY24">
        <f t="shared" si="29"/>
        <v>40.543430222178529</v>
      </c>
      <c r="AZ24">
        <f t="shared" si="30"/>
        <v>244.74198097492734</v>
      </c>
      <c r="BA24">
        <f t="shared" si="31"/>
        <v>2.7476154807402127E-2</v>
      </c>
      <c r="BB24">
        <f t="shared" si="32"/>
        <v>6.6473870083286049E-2</v>
      </c>
      <c r="BC24">
        <f t="shared" si="33"/>
        <v>267.44288272363002</v>
      </c>
      <c r="BD24" t="s">
        <v>453</v>
      </c>
      <c r="BE24">
        <v>390.79</v>
      </c>
      <c r="BF24">
        <f t="shared" si="34"/>
        <v>390.79</v>
      </c>
      <c r="BG24">
        <f t="shared" si="35"/>
        <v>0.5099551696676049</v>
      </c>
      <c r="BH24">
        <f t="shared" si="36"/>
        <v>0.63433937946107699</v>
      </c>
      <c r="BI24">
        <f t="shared" si="37"/>
        <v>0.115320127022076</v>
      </c>
      <c r="BJ24">
        <f t="shared" si="38"/>
        <v>0.49201395924313374</v>
      </c>
      <c r="BK24">
        <f t="shared" si="39"/>
        <v>9.182179760331817E-2</v>
      </c>
      <c r="BL24">
        <f t="shared" si="40"/>
        <v>0.45949398145660231</v>
      </c>
      <c r="BM24">
        <f t="shared" si="41"/>
        <v>0.54050601854339764</v>
      </c>
      <c r="BN24">
        <v>11260</v>
      </c>
      <c r="BO24">
        <v>290.00000000000011</v>
      </c>
      <c r="BP24">
        <v>724.76</v>
      </c>
      <c r="BQ24">
        <v>295</v>
      </c>
      <c r="BR24">
        <v>7116.35</v>
      </c>
      <c r="BS24">
        <v>726.98</v>
      </c>
      <c r="BT24">
        <v>-2.2200000000000002</v>
      </c>
      <c r="BU24">
        <v>300.00000000000011</v>
      </c>
      <c r="BV24">
        <v>38.299999999999997</v>
      </c>
      <c r="BW24">
        <v>797.45765246605913</v>
      </c>
      <c r="BX24">
        <v>1.3158314482495059</v>
      </c>
      <c r="BY24">
        <v>-50.151336158439463</v>
      </c>
      <c r="BZ24">
        <v>0.78491475140727562</v>
      </c>
      <c r="CA24">
        <v>0.99318808067157949</v>
      </c>
      <c r="CB24">
        <v>-7.0169781979977728E-3</v>
      </c>
      <c r="CC24">
        <v>289.99999999999989</v>
      </c>
      <c r="CD24">
        <v>736.44</v>
      </c>
      <c r="CE24">
        <v>865</v>
      </c>
      <c r="CF24">
        <v>7107.21</v>
      </c>
      <c r="CG24">
        <v>726.89</v>
      </c>
      <c r="CH24">
        <v>9.5500000000000007</v>
      </c>
      <c r="CV24">
        <f t="shared" si="42"/>
        <v>1799.97</v>
      </c>
      <c r="CW24">
        <f t="shared" si="43"/>
        <v>1513.1597996510777</v>
      </c>
      <c r="CX24">
        <f t="shared" si="44"/>
        <v>0.84065834411188944</v>
      </c>
      <c r="CY24">
        <f t="shared" si="45"/>
        <v>0.19131668822377887</v>
      </c>
      <c r="CZ24">
        <v>5</v>
      </c>
      <c r="DA24">
        <v>0.5</v>
      </c>
      <c r="DB24" t="s">
        <v>418</v>
      </c>
      <c r="DC24">
        <v>2</v>
      </c>
      <c r="DD24">
        <v>1700148799.5</v>
      </c>
      <c r="DE24">
        <v>358.04899999999998</v>
      </c>
      <c r="DF24">
        <v>400.036</v>
      </c>
      <c r="DG24">
        <v>28.6524</v>
      </c>
      <c r="DH24">
        <v>24.714600000000001</v>
      </c>
      <c r="DI24">
        <v>358.70100000000002</v>
      </c>
      <c r="DJ24">
        <v>28.6586</v>
      </c>
      <c r="DK24">
        <v>500.09800000000001</v>
      </c>
      <c r="DL24">
        <v>99.483400000000003</v>
      </c>
      <c r="DM24">
        <v>0.10000199999999999</v>
      </c>
      <c r="DN24">
        <v>30.478100000000001</v>
      </c>
      <c r="DO24">
        <v>30.003799999999998</v>
      </c>
      <c r="DP24">
        <v>999.9</v>
      </c>
      <c r="DQ24">
        <v>0</v>
      </c>
      <c r="DR24">
        <v>0</v>
      </c>
      <c r="DS24">
        <v>9996.8799999999992</v>
      </c>
      <c r="DT24">
        <v>0</v>
      </c>
      <c r="DU24">
        <v>313.08199999999999</v>
      </c>
      <c r="DV24">
        <v>-41.9878</v>
      </c>
      <c r="DW24">
        <v>368.61</v>
      </c>
      <c r="DX24">
        <v>410.17399999999998</v>
      </c>
      <c r="DY24">
        <v>3.9378199999999999</v>
      </c>
      <c r="DZ24">
        <v>400.036</v>
      </c>
      <c r="EA24">
        <v>24.714600000000001</v>
      </c>
      <c r="EB24">
        <v>2.8504399999999999</v>
      </c>
      <c r="EC24">
        <v>2.4586899999999998</v>
      </c>
      <c r="ED24">
        <v>23.179099999999998</v>
      </c>
      <c r="EE24">
        <v>20.755600000000001</v>
      </c>
      <c r="EF24">
        <v>1799.97</v>
      </c>
      <c r="EG24">
        <v>0.97799400000000003</v>
      </c>
      <c r="EH24">
        <v>2.20056E-2</v>
      </c>
      <c r="EI24">
        <v>0</v>
      </c>
      <c r="EJ24">
        <v>539.26499999999999</v>
      </c>
      <c r="EK24">
        <v>5.0005300000000004</v>
      </c>
      <c r="EL24">
        <v>11213.6</v>
      </c>
      <c r="EM24">
        <v>16035</v>
      </c>
      <c r="EN24">
        <v>49.061999999999998</v>
      </c>
      <c r="EO24">
        <v>50.186999999999998</v>
      </c>
      <c r="EP24">
        <v>49.686999999999998</v>
      </c>
      <c r="EQ24">
        <v>49.625</v>
      </c>
      <c r="ER24">
        <v>50.186999999999998</v>
      </c>
      <c r="ES24">
        <v>1755.47</v>
      </c>
      <c r="ET24">
        <v>39.5</v>
      </c>
      <c r="EU24">
        <v>0</v>
      </c>
      <c r="EV24">
        <v>201.79999995231631</v>
      </c>
      <c r="EW24">
        <v>0</v>
      </c>
      <c r="EX24">
        <v>539.49234615384626</v>
      </c>
      <c r="EY24">
        <v>-1.7189401714370749</v>
      </c>
      <c r="EZ24">
        <v>-165.15555532253131</v>
      </c>
      <c r="FA24">
        <v>11226.2</v>
      </c>
      <c r="FB24">
        <v>15</v>
      </c>
      <c r="FC24">
        <v>1700148670</v>
      </c>
      <c r="FD24" t="s">
        <v>454</v>
      </c>
      <c r="FE24">
        <v>1700148670</v>
      </c>
      <c r="FF24">
        <v>1700148665</v>
      </c>
      <c r="FG24">
        <v>9</v>
      </c>
      <c r="FH24">
        <v>-6.5000000000000002E-2</v>
      </c>
      <c r="FI24">
        <v>0</v>
      </c>
      <c r="FJ24">
        <v>-0.65800000000000003</v>
      </c>
      <c r="FK24">
        <v>-6.0000000000000001E-3</v>
      </c>
      <c r="FL24">
        <v>400</v>
      </c>
      <c r="FM24">
        <v>25</v>
      </c>
      <c r="FN24">
        <v>0.05</v>
      </c>
      <c r="FO24">
        <v>0.03</v>
      </c>
      <c r="FP24">
        <v>40.385133676225827</v>
      </c>
      <c r="FQ24">
        <v>0.55562430224077053</v>
      </c>
      <c r="FR24">
        <v>4.9862402700851793E-2</v>
      </c>
      <c r="FS24">
        <v>1</v>
      </c>
      <c r="FT24">
        <v>0.28861811699142492</v>
      </c>
      <c r="FU24">
        <v>1.9439220018040802E-2</v>
      </c>
      <c r="FV24">
        <v>1.515121721676972E-3</v>
      </c>
      <c r="FW24">
        <v>1</v>
      </c>
      <c r="FX24">
        <v>2</v>
      </c>
      <c r="FY24">
        <v>2</v>
      </c>
      <c r="FZ24" t="s">
        <v>420</v>
      </c>
      <c r="GA24">
        <v>3.1246999999999998</v>
      </c>
      <c r="GB24">
        <v>2.7668400000000002</v>
      </c>
      <c r="GC24">
        <v>8.1672800000000004E-2</v>
      </c>
      <c r="GD24">
        <v>8.8977899999999999E-2</v>
      </c>
      <c r="GE24">
        <v>0.121535</v>
      </c>
      <c r="GF24">
        <v>0.109801</v>
      </c>
      <c r="GG24">
        <v>21843.9</v>
      </c>
      <c r="GH24">
        <v>22522.799999999999</v>
      </c>
      <c r="GI24">
        <v>23655.5</v>
      </c>
      <c r="GJ24">
        <v>25044.5</v>
      </c>
      <c r="GK24">
        <v>29925.7</v>
      </c>
      <c r="GL24">
        <v>31250</v>
      </c>
      <c r="GM24">
        <v>37705.699999999997</v>
      </c>
      <c r="GN24">
        <v>38973.5</v>
      </c>
      <c r="GO24">
        <v>2.0819000000000001</v>
      </c>
      <c r="GP24">
        <v>1.8030299999999999</v>
      </c>
      <c r="GQ24">
        <v>-3.2044900000000001E-2</v>
      </c>
      <c r="GR24">
        <v>0</v>
      </c>
      <c r="GS24">
        <v>30.524999999999999</v>
      </c>
      <c r="GT24">
        <v>999.9</v>
      </c>
      <c r="GU24">
        <v>57.3</v>
      </c>
      <c r="GV24">
        <v>34.299999999999997</v>
      </c>
      <c r="GW24">
        <v>31.292000000000002</v>
      </c>
      <c r="GX24">
        <v>60.220100000000002</v>
      </c>
      <c r="GY24">
        <v>26.7468</v>
      </c>
      <c r="GZ24">
        <v>1</v>
      </c>
      <c r="HA24">
        <v>0.64995400000000003</v>
      </c>
      <c r="HB24">
        <v>2.6669299999999998</v>
      </c>
      <c r="HC24">
        <v>20.351099999999999</v>
      </c>
      <c r="HD24">
        <v>5.2518799999999999</v>
      </c>
      <c r="HE24">
        <v>12.0099</v>
      </c>
      <c r="HF24">
        <v>4.9785500000000003</v>
      </c>
      <c r="HG24">
        <v>3.2930000000000001</v>
      </c>
      <c r="HH24">
        <v>9999</v>
      </c>
      <c r="HI24">
        <v>9999</v>
      </c>
      <c r="HJ24">
        <v>9999</v>
      </c>
      <c r="HK24">
        <v>999.9</v>
      </c>
      <c r="HL24">
        <v>1.87592</v>
      </c>
      <c r="HM24">
        <v>1.8766799999999999</v>
      </c>
      <c r="HN24">
        <v>1.88307</v>
      </c>
      <c r="HO24">
        <v>1.8861399999999999</v>
      </c>
      <c r="HP24">
        <v>1.8769</v>
      </c>
      <c r="HQ24">
        <v>1.88354</v>
      </c>
      <c r="HR24">
        <v>1.8824700000000001</v>
      </c>
      <c r="HS24">
        <v>1.8858299999999999</v>
      </c>
      <c r="HT24">
        <v>5</v>
      </c>
      <c r="HU24">
        <v>0</v>
      </c>
      <c r="HV24">
        <v>0</v>
      </c>
      <c r="HW24">
        <v>0</v>
      </c>
      <c r="HX24" t="s">
        <v>421</v>
      </c>
      <c r="HY24" t="s">
        <v>422</v>
      </c>
      <c r="HZ24" t="s">
        <v>423</v>
      </c>
      <c r="IA24" t="s">
        <v>424</v>
      </c>
      <c r="IB24" t="s">
        <v>424</v>
      </c>
      <c r="IC24" t="s">
        <v>423</v>
      </c>
      <c r="ID24">
        <v>0</v>
      </c>
      <c r="IE24">
        <v>100</v>
      </c>
      <c r="IF24">
        <v>100</v>
      </c>
      <c r="IG24">
        <v>-0.65200000000000002</v>
      </c>
      <c r="IH24">
        <v>-6.1999999999999998E-3</v>
      </c>
      <c r="II24">
        <v>-0.63963689955709235</v>
      </c>
      <c r="IJ24">
        <v>4.4610147972834149E-5</v>
      </c>
      <c r="IK24">
        <v>-2.082673137682459E-7</v>
      </c>
      <c r="IL24">
        <v>-4.0725795306076518E-11</v>
      </c>
      <c r="IM24">
        <v>-6.1800000000040711E-3</v>
      </c>
      <c r="IN24">
        <v>0</v>
      </c>
      <c r="IO24">
        <v>0</v>
      </c>
      <c r="IP24">
        <v>0</v>
      </c>
      <c r="IQ24">
        <v>3</v>
      </c>
      <c r="IR24">
        <v>2179</v>
      </c>
      <c r="IS24">
        <v>0</v>
      </c>
      <c r="IT24">
        <v>22</v>
      </c>
      <c r="IU24">
        <v>2.2000000000000002</v>
      </c>
      <c r="IV24">
        <v>2.2000000000000002</v>
      </c>
      <c r="IW24">
        <v>1.0144</v>
      </c>
      <c r="IX24">
        <v>2.6355</v>
      </c>
      <c r="IY24">
        <v>1.6015600000000001</v>
      </c>
      <c r="IZ24">
        <v>2.33887</v>
      </c>
      <c r="JA24">
        <v>1.5502899999999999</v>
      </c>
      <c r="JB24">
        <v>2.4841299999999999</v>
      </c>
      <c r="JC24">
        <v>40.4</v>
      </c>
      <c r="JD24">
        <v>15.252800000000001</v>
      </c>
      <c r="JE24">
        <v>18</v>
      </c>
      <c r="JF24">
        <v>570.48500000000001</v>
      </c>
      <c r="JG24">
        <v>422.67200000000003</v>
      </c>
      <c r="JH24">
        <v>27.5244</v>
      </c>
      <c r="JI24">
        <v>34.994500000000002</v>
      </c>
      <c r="JJ24">
        <v>30.000499999999999</v>
      </c>
      <c r="JK24">
        <v>34.953200000000002</v>
      </c>
      <c r="JL24">
        <v>34.937199999999997</v>
      </c>
      <c r="JM24">
        <v>20.290500000000002</v>
      </c>
      <c r="JN24">
        <v>33.209499999999998</v>
      </c>
      <c r="JO24">
        <v>98.483800000000002</v>
      </c>
      <c r="JP24">
        <v>27.409500000000001</v>
      </c>
      <c r="JQ24">
        <v>400</v>
      </c>
      <c r="JR24">
        <v>24.617899999999999</v>
      </c>
      <c r="JS24">
        <v>98.348200000000006</v>
      </c>
      <c r="JT24">
        <v>98.631</v>
      </c>
    </row>
    <row r="25" spans="1:280" x14ac:dyDescent="0.25">
      <c r="A25">
        <v>9</v>
      </c>
      <c r="B25">
        <v>1700148979.5999999</v>
      </c>
      <c r="C25">
        <v>1106.099999904633</v>
      </c>
      <c r="D25" t="s">
        <v>455</v>
      </c>
      <c r="E25" t="s">
        <v>456</v>
      </c>
      <c r="F25" t="s">
        <v>412</v>
      </c>
      <c r="G25" t="s">
        <v>413</v>
      </c>
      <c r="H25" t="s">
        <v>414</v>
      </c>
      <c r="I25">
        <v>1700148979.5999999</v>
      </c>
      <c r="J25">
        <f t="shared" si="0"/>
        <v>4.722889398346768E-3</v>
      </c>
      <c r="K25">
        <f t="shared" si="1"/>
        <v>4.7228893983467684</v>
      </c>
      <c r="L25">
        <f t="shared" si="2"/>
        <v>34.906454613140212</v>
      </c>
      <c r="M25">
        <f t="shared" si="3"/>
        <v>263.83999999999997</v>
      </c>
      <c r="N25">
        <f t="shared" si="4"/>
        <v>89.448640078743551</v>
      </c>
      <c r="O25">
        <f t="shared" si="5"/>
        <v>8.9081472284883372</v>
      </c>
      <c r="P25">
        <f t="shared" si="6"/>
        <v>26.275699247023997</v>
      </c>
      <c r="Q25">
        <f t="shared" si="7"/>
        <v>0.34501443146799099</v>
      </c>
      <c r="R25">
        <f t="shared" si="8"/>
        <v>3.1342737766661868</v>
      </c>
      <c r="S25">
        <f t="shared" si="9"/>
        <v>0.325218638877521</v>
      </c>
      <c r="T25">
        <f t="shared" si="10"/>
        <v>0.2049455100050282</v>
      </c>
      <c r="U25">
        <f t="shared" si="11"/>
        <v>344.37759930218238</v>
      </c>
      <c r="V25">
        <f t="shared" si="12"/>
        <v>31.276820725694527</v>
      </c>
      <c r="W25">
        <f t="shared" si="13"/>
        <v>29.9801</v>
      </c>
      <c r="X25">
        <f t="shared" si="14"/>
        <v>4.2555823341366743</v>
      </c>
      <c r="Y25">
        <f t="shared" si="15"/>
        <v>65.161489354393765</v>
      </c>
      <c r="Z25">
        <f t="shared" si="16"/>
        <v>2.86099780320869</v>
      </c>
      <c r="AA25">
        <f t="shared" si="17"/>
        <v>4.3906267820991358</v>
      </c>
      <c r="AB25">
        <f t="shared" si="18"/>
        <v>1.3945845309279843</v>
      </c>
      <c r="AC25">
        <f t="shared" si="19"/>
        <v>-208.27942246709247</v>
      </c>
      <c r="AD25">
        <f t="shared" si="20"/>
        <v>92.074459980171923</v>
      </c>
      <c r="AE25">
        <f t="shared" si="21"/>
        <v>6.5482792874783975</v>
      </c>
      <c r="AF25">
        <f t="shared" si="22"/>
        <v>234.72091610274023</v>
      </c>
      <c r="AG25">
        <v>2</v>
      </c>
      <c r="AH25">
        <v>0</v>
      </c>
      <c r="AI25">
        <f t="shared" si="23"/>
        <v>1</v>
      </c>
      <c r="AJ25">
        <f t="shared" si="24"/>
        <v>0</v>
      </c>
      <c r="AK25">
        <f t="shared" si="25"/>
        <v>51990.14770849589</v>
      </c>
      <c r="AL25" t="s">
        <v>427</v>
      </c>
      <c r="AM25" t="s">
        <v>427</v>
      </c>
      <c r="AN25">
        <v>0</v>
      </c>
      <c r="AO25">
        <v>0</v>
      </c>
      <c r="AP25" t="e">
        <f t="shared" si="26"/>
        <v>#DIV/0!</v>
      </c>
      <c r="AQ25">
        <v>0</v>
      </c>
      <c r="AR25" t="s">
        <v>427</v>
      </c>
      <c r="AS25" t="s">
        <v>427</v>
      </c>
      <c r="AT25">
        <v>0</v>
      </c>
      <c r="AU25">
        <v>0</v>
      </c>
      <c r="AV25" t="e">
        <f t="shared" si="27"/>
        <v>#DIV/0!</v>
      </c>
      <c r="AW25">
        <v>0.5</v>
      </c>
      <c r="AX25">
        <f t="shared" si="28"/>
        <v>1513.2185996510909</v>
      </c>
      <c r="AY25">
        <f t="shared" si="29"/>
        <v>34.906454613140212</v>
      </c>
      <c r="AZ25" t="e">
        <f t="shared" si="30"/>
        <v>#DIV/0!</v>
      </c>
      <c r="BA25">
        <f t="shared" si="31"/>
        <v>2.3067688053258623E-2</v>
      </c>
      <c r="BB25" t="e">
        <f t="shared" si="32"/>
        <v>#DIV/0!</v>
      </c>
      <c r="BC25" t="e">
        <f t="shared" si="33"/>
        <v>#DIV/0!</v>
      </c>
      <c r="BD25" t="s">
        <v>427</v>
      </c>
      <c r="BE25">
        <v>0</v>
      </c>
      <c r="BF25" t="e">
        <f t="shared" si="34"/>
        <v>#DIV/0!</v>
      </c>
      <c r="BG25" t="e">
        <f t="shared" si="35"/>
        <v>#DIV/0!</v>
      </c>
      <c r="BH25" t="e">
        <f t="shared" si="36"/>
        <v>#DIV/0!</v>
      </c>
      <c r="BI25" t="e">
        <f t="shared" si="37"/>
        <v>#DIV/0!</v>
      </c>
      <c r="BJ25" t="e">
        <f t="shared" si="38"/>
        <v>#DIV/0!</v>
      </c>
      <c r="BK25" t="e">
        <f t="shared" si="39"/>
        <v>#DIV/0!</v>
      </c>
      <c r="BL25" t="e">
        <f t="shared" si="40"/>
        <v>#DIV/0!</v>
      </c>
      <c r="BM25" t="e">
        <f t="shared" si="41"/>
        <v>#DIV/0!</v>
      </c>
      <c r="BN25">
        <v>11260</v>
      </c>
      <c r="BO25">
        <v>290.00000000000011</v>
      </c>
      <c r="BP25">
        <v>724.76</v>
      </c>
      <c r="BQ25">
        <v>295</v>
      </c>
      <c r="BR25">
        <v>7116.35</v>
      </c>
      <c r="BS25">
        <v>726.98</v>
      </c>
      <c r="BT25">
        <v>-2.2200000000000002</v>
      </c>
      <c r="BU25">
        <v>300.00000000000011</v>
      </c>
      <c r="BV25">
        <v>38.299999999999997</v>
      </c>
      <c r="BW25">
        <v>797.45765246605913</v>
      </c>
      <c r="BX25">
        <v>1.3158314482495059</v>
      </c>
      <c r="BY25">
        <v>-50.151336158439463</v>
      </c>
      <c r="BZ25">
        <v>0.78491475140727562</v>
      </c>
      <c r="CA25">
        <v>0.99318808067157949</v>
      </c>
      <c r="CB25">
        <v>-7.0169781979977728E-3</v>
      </c>
      <c r="CC25">
        <v>289.99999999999989</v>
      </c>
      <c r="CD25">
        <v>736.44</v>
      </c>
      <c r="CE25">
        <v>865</v>
      </c>
      <c r="CF25">
        <v>7107.21</v>
      </c>
      <c r="CG25">
        <v>726.89</v>
      </c>
      <c r="CH25">
        <v>9.5500000000000007</v>
      </c>
      <c r="CV25">
        <f t="shared" si="42"/>
        <v>1800.04</v>
      </c>
      <c r="CW25">
        <f t="shared" si="43"/>
        <v>1513.2185996510909</v>
      </c>
      <c r="CX25">
        <f t="shared" si="44"/>
        <v>0.84065831851019479</v>
      </c>
      <c r="CY25">
        <f t="shared" si="45"/>
        <v>0.19131663702038976</v>
      </c>
      <c r="CZ25">
        <v>5</v>
      </c>
      <c r="DA25">
        <v>0.5</v>
      </c>
      <c r="DB25" t="s">
        <v>418</v>
      </c>
      <c r="DC25">
        <v>2</v>
      </c>
      <c r="DD25">
        <v>1700148979.5999999</v>
      </c>
      <c r="DE25">
        <v>263.83999999999997</v>
      </c>
      <c r="DF25">
        <v>299.983</v>
      </c>
      <c r="DG25">
        <v>28.727900000000002</v>
      </c>
      <c r="DH25">
        <v>24.1419</v>
      </c>
      <c r="DI25">
        <v>264.24200000000002</v>
      </c>
      <c r="DJ25">
        <v>28.735800000000001</v>
      </c>
      <c r="DK25">
        <v>500.13200000000001</v>
      </c>
      <c r="DL25">
        <v>99.489699999999999</v>
      </c>
      <c r="DM25">
        <v>9.9821099999999996E-2</v>
      </c>
      <c r="DN25">
        <v>30.524999999999999</v>
      </c>
      <c r="DO25">
        <v>29.9801</v>
      </c>
      <c r="DP25">
        <v>999.9</v>
      </c>
      <c r="DQ25">
        <v>0</v>
      </c>
      <c r="DR25">
        <v>0</v>
      </c>
      <c r="DS25">
        <v>9998.75</v>
      </c>
      <c r="DT25">
        <v>0</v>
      </c>
      <c r="DU25">
        <v>320.166</v>
      </c>
      <c r="DV25">
        <v>-36.1432</v>
      </c>
      <c r="DW25">
        <v>271.64400000000001</v>
      </c>
      <c r="DX25">
        <v>307.404</v>
      </c>
      <c r="DY25">
        <v>4.5860799999999999</v>
      </c>
      <c r="DZ25">
        <v>299.983</v>
      </c>
      <c r="EA25">
        <v>24.1419</v>
      </c>
      <c r="EB25">
        <v>2.8581300000000001</v>
      </c>
      <c r="EC25">
        <v>2.4018700000000002</v>
      </c>
      <c r="ED25">
        <v>23.223700000000001</v>
      </c>
      <c r="EE25">
        <v>20.3764</v>
      </c>
      <c r="EF25">
        <v>1800.04</v>
      </c>
      <c r="EG25">
        <v>0.97799400000000003</v>
      </c>
      <c r="EH25">
        <v>2.20056E-2</v>
      </c>
      <c r="EI25">
        <v>0</v>
      </c>
      <c r="EJ25">
        <v>548.31100000000004</v>
      </c>
      <c r="EK25">
        <v>5.0005300000000004</v>
      </c>
      <c r="EL25">
        <v>11371.5</v>
      </c>
      <c r="EM25">
        <v>16035.6</v>
      </c>
      <c r="EN25">
        <v>49</v>
      </c>
      <c r="EO25">
        <v>50.186999999999998</v>
      </c>
      <c r="EP25">
        <v>49.625</v>
      </c>
      <c r="EQ25">
        <v>49.625</v>
      </c>
      <c r="ER25">
        <v>50.186999999999998</v>
      </c>
      <c r="ES25">
        <v>1755.54</v>
      </c>
      <c r="ET25">
        <v>39.5</v>
      </c>
      <c r="EU25">
        <v>0</v>
      </c>
      <c r="EV25">
        <v>178.20000004768369</v>
      </c>
      <c r="EW25">
        <v>0</v>
      </c>
      <c r="EX25">
        <v>548.68015384615387</v>
      </c>
      <c r="EY25">
        <v>-0.80635897113195543</v>
      </c>
      <c r="EZ25">
        <v>0.39658119395850211</v>
      </c>
      <c r="FA25">
        <v>11367.99230769231</v>
      </c>
      <c r="FB25">
        <v>15</v>
      </c>
      <c r="FC25">
        <v>1700148877</v>
      </c>
      <c r="FD25" t="s">
        <v>457</v>
      </c>
      <c r="FE25">
        <v>1700148870.5</v>
      </c>
      <c r="FF25">
        <v>1700148877</v>
      </c>
      <c r="FG25">
        <v>10</v>
      </c>
      <c r="FH25">
        <v>0.24099999999999999</v>
      </c>
      <c r="FI25">
        <v>-2E-3</v>
      </c>
      <c r="FJ25">
        <v>-0.40500000000000003</v>
      </c>
      <c r="FK25">
        <v>-8.0000000000000002E-3</v>
      </c>
      <c r="FL25">
        <v>300</v>
      </c>
      <c r="FM25">
        <v>25</v>
      </c>
      <c r="FN25">
        <v>0.05</v>
      </c>
      <c r="FO25">
        <v>0.02</v>
      </c>
      <c r="FP25">
        <v>34.804320532086763</v>
      </c>
      <c r="FQ25">
        <v>0.68462207962224886</v>
      </c>
      <c r="FR25">
        <v>6.0938732260473243E-2</v>
      </c>
      <c r="FS25">
        <v>1</v>
      </c>
      <c r="FT25">
        <v>0.34329745118268368</v>
      </c>
      <c r="FU25">
        <v>3.2062560578542808E-2</v>
      </c>
      <c r="FV25">
        <v>2.673058799887672E-3</v>
      </c>
      <c r="FW25">
        <v>1</v>
      </c>
      <c r="FX25">
        <v>2</v>
      </c>
      <c r="FY25">
        <v>2</v>
      </c>
      <c r="FZ25" t="s">
        <v>420</v>
      </c>
      <c r="GA25">
        <v>3.1251799999999998</v>
      </c>
      <c r="GB25">
        <v>2.7666900000000001</v>
      </c>
      <c r="GC25">
        <v>6.3664600000000002E-2</v>
      </c>
      <c r="GD25">
        <v>7.08236E-2</v>
      </c>
      <c r="GE25">
        <v>0.12173299999999999</v>
      </c>
      <c r="GF25">
        <v>0.10798000000000001</v>
      </c>
      <c r="GG25">
        <v>22265.200000000001</v>
      </c>
      <c r="GH25">
        <v>22965.599999999999</v>
      </c>
      <c r="GI25">
        <v>23648.799999999999</v>
      </c>
      <c r="GJ25">
        <v>25038.6</v>
      </c>
      <c r="GK25">
        <v>29911.200000000001</v>
      </c>
      <c r="GL25">
        <v>31306.9</v>
      </c>
      <c r="GM25">
        <v>37695.9</v>
      </c>
      <c r="GN25">
        <v>38964.9</v>
      </c>
      <c r="GO25">
        <v>2.0814499999999998</v>
      </c>
      <c r="GP25">
        <v>1.7962</v>
      </c>
      <c r="GQ25">
        <v>-3.66755E-2</v>
      </c>
      <c r="GR25">
        <v>0</v>
      </c>
      <c r="GS25">
        <v>30.576699999999999</v>
      </c>
      <c r="GT25">
        <v>999.9</v>
      </c>
      <c r="GU25">
        <v>56.9</v>
      </c>
      <c r="GV25">
        <v>34.6</v>
      </c>
      <c r="GW25">
        <v>31.5928</v>
      </c>
      <c r="GX25">
        <v>60.506399999999999</v>
      </c>
      <c r="GY25">
        <v>26.482399999999998</v>
      </c>
      <c r="GZ25">
        <v>1</v>
      </c>
      <c r="HA25">
        <v>0.66190000000000004</v>
      </c>
      <c r="HB25">
        <v>2.3542800000000002</v>
      </c>
      <c r="HC25">
        <v>20.355899999999998</v>
      </c>
      <c r="HD25">
        <v>5.25143</v>
      </c>
      <c r="HE25">
        <v>12.0099</v>
      </c>
      <c r="HF25">
        <v>4.9785500000000003</v>
      </c>
      <c r="HG25">
        <v>3.2930000000000001</v>
      </c>
      <c r="HH25">
        <v>9999</v>
      </c>
      <c r="HI25">
        <v>9999</v>
      </c>
      <c r="HJ25">
        <v>9999</v>
      </c>
      <c r="HK25">
        <v>999.9</v>
      </c>
      <c r="HL25">
        <v>1.87592</v>
      </c>
      <c r="HM25">
        <v>1.8766799999999999</v>
      </c>
      <c r="HN25">
        <v>1.8830800000000001</v>
      </c>
      <c r="HO25">
        <v>1.8861399999999999</v>
      </c>
      <c r="HP25">
        <v>1.8769400000000001</v>
      </c>
      <c r="HQ25">
        <v>1.88354</v>
      </c>
      <c r="HR25">
        <v>1.8824799999999999</v>
      </c>
      <c r="HS25">
        <v>1.8858299999999999</v>
      </c>
      <c r="HT25">
        <v>5</v>
      </c>
      <c r="HU25">
        <v>0</v>
      </c>
      <c r="HV25">
        <v>0</v>
      </c>
      <c r="HW25">
        <v>0</v>
      </c>
      <c r="HX25" t="s">
        <v>421</v>
      </c>
      <c r="HY25" t="s">
        <v>422</v>
      </c>
      <c r="HZ25" t="s">
        <v>423</v>
      </c>
      <c r="IA25" t="s">
        <v>424</v>
      </c>
      <c r="IB25" t="s">
        <v>424</v>
      </c>
      <c r="IC25" t="s">
        <v>423</v>
      </c>
      <c r="ID25">
        <v>0</v>
      </c>
      <c r="IE25">
        <v>100</v>
      </c>
      <c r="IF25">
        <v>100</v>
      </c>
      <c r="IG25">
        <v>-0.40200000000000002</v>
      </c>
      <c r="IH25">
        <v>-7.9000000000000008E-3</v>
      </c>
      <c r="II25">
        <v>-0.39869930276786592</v>
      </c>
      <c r="IJ25">
        <v>4.4610147972834149E-5</v>
      </c>
      <c r="IK25">
        <v>-2.082673137682459E-7</v>
      </c>
      <c r="IL25">
        <v>-4.0725795306076518E-11</v>
      </c>
      <c r="IM25">
        <v>-7.8549999999992792E-3</v>
      </c>
      <c r="IN25">
        <v>0</v>
      </c>
      <c r="IO25">
        <v>0</v>
      </c>
      <c r="IP25">
        <v>0</v>
      </c>
      <c r="IQ25">
        <v>3</v>
      </c>
      <c r="IR25">
        <v>2179</v>
      </c>
      <c r="IS25">
        <v>0</v>
      </c>
      <c r="IT25">
        <v>22</v>
      </c>
      <c r="IU25">
        <v>1.8</v>
      </c>
      <c r="IV25">
        <v>1.7</v>
      </c>
      <c r="IW25">
        <v>0.80810499999999996</v>
      </c>
      <c r="IX25">
        <v>2.65137</v>
      </c>
      <c r="IY25">
        <v>1.6015600000000001</v>
      </c>
      <c r="IZ25">
        <v>2.33887</v>
      </c>
      <c r="JA25">
        <v>1.5502899999999999</v>
      </c>
      <c r="JB25">
        <v>2.32422</v>
      </c>
      <c r="JC25">
        <v>40.6554</v>
      </c>
      <c r="JD25">
        <v>15.209</v>
      </c>
      <c r="JE25">
        <v>18</v>
      </c>
      <c r="JF25">
        <v>571.28399999999999</v>
      </c>
      <c r="JG25">
        <v>419.04199999999997</v>
      </c>
      <c r="JH25">
        <v>27.6568</v>
      </c>
      <c r="JI25">
        <v>35.138100000000001</v>
      </c>
      <c r="JJ25">
        <v>30.000399999999999</v>
      </c>
      <c r="JK25">
        <v>35.085099999999997</v>
      </c>
      <c r="JL25">
        <v>35.0685</v>
      </c>
      <c r="JM25">
        <v>16.1616</v>
      </c>
      <c r="JN25">
        <v>35.159799999999997</v>
      </c>
      <c r="JO25">
        <v>96.053399999999996</v>
      </c>
      <c r="JP25">
        <v>27.662400000000002</v>
      </c>
      <c r="JQ25">
        <v>300</v>
      </c>
      <c r="JR25">
        <v>24.123799999999999</v>
      </c>
      <c r="JS25">
        <v>98.321799999999996</v>
      </c>
      <c r="JT25">
        <v>98.608599999999996</v>
      </c>
    </row>
    <row r="26" spans="1:280" x14ac:dyDescent="0.25">
      <c r="A26">
        <v>10</v>
      </c>
      <c r="B26">
        <v>1700149092.0999999</v>
      </c>
      <c r="C26">
        <v>1218.599999904633</v>
      </c>
      <c r="D26" t="s">
        <v>458</v>
      </c>
      <c r="E26" t="s">
        <v>459</v>
      </c>
      <c r="F26" t="s">
        <v>412</v>
      </c>
      <c r="G26" t="s">
        <v>413</v>
      </c>
      <c r="H26" t="s">
        <v>414</v>
      </c>
      <c r="I26">
        <v>1700149092.0999999</v>
      </c>
      <c r="J26">
        <f t="shared" si="0"/>
        <v>5.2745120673329173E-3</v>
      </c>
      <c r="K26">
        <f t="shared" si="1"/>
        <v>5.2745120673329176</v>
      </c>
      <c r="L26">
        <f t="shared" si="2"/>
        <v>25.907168736787924</v>
      </c>
      <c r="M26">
        <f t="shared" si="3"/>
        <v>173.17099999999999</v>
      </c>
      <c r="N26">
        <f t="shared" si="4"/>
        <v>59.334773975273826</v>
      </c>
      <c r="O26">
        <f t="shared" si="5"/>
        <v>5.9090567947311028</v>
      </c>
      <c r="P26">
        <f t="shared" si="6"/>
        <v>17.245827457382802</v>
      </c>
      <c r="Q26">
        <f t="shared" si="7"/>
        <v>0.39493610354824848</v>
      </c>
      <c r="R26">
        <f t="shared" si="8"/>
        <v>3.1421200116097423</v>
      </c>
      <c r="S26">
        <f t="shared" si="9"/>
        <v>0.36928591952458939</v>
      </c>
      <c r="T26">
        <f t="shared" si="10"/>
        <v>0.23296930088235765</v>
      </c>
      <c r="U26">
        <f t="shared" si="11"/>
        <v>344.38899930220566</v>
      </c>
      <c r="V26">
        <f t="shared" si="12"/>
        <v>31.194739923211131</v>
      </c>
      <c r="W26">
        <f t="shared" si="13"/>
        <v>29.973600000000001</v>
      </c>
      <c r="X26">
        <f t="shared" si="14"/>
        <v>4.2539935177355392</v>
      </c>
      <c r="Y26">
        <f t="shared" si="15"/>
        <v>65.450695628331715</v>
      </c>
      <c r="Z26">
        <f t="shared" si="16"/>
        <v>2.8825372195126007</v>
      </c>
      <c r="AA26">
        <f t="shared" si="17"/>
        <v>4.4041353446896503</v>
      </c>
      <c r="AB26">
        <f t="shared" si="18"/>
        <v>1.3714562982229386</v>
      </c>
      <c r="AC26">
        <f t="shared" si="19"/>
        <v>-232.60598216938166</v>
      </c>
      <c r="AD26">
        <f t="shared" si="20"/>
        <v>102.50271410727881</v>
      </c>
      <c r="AE26">
        <f t="shared" si="21"/>
        <v>7.2734257704882648</v>
      </c>
      <c r="AF26">
        <f t="shared" si="22"/>
        <v>221.55915701059104</v>
      </c>
      <c r="AG26">
        <v>2</v>
      </c>
      <c r="AH26">
        <v>0</v>
      </c>
      <c r="AI26">
        <f t="shared" si="23"/>
        <v>1</v>
      </c>
      <c r="AJ26">
        <f t="shared" si="24"/>
        <v>0</v>
      </c>
      <c r="AK26">
        <f t="shared" si="25"/>
        <v>52180.120823945683</v>
      </c>
      <c r="AL26" t="s">
        <v>415</v>
      </c>
      <c r="AM26">
        <v>6977.87</v>
      </c>
      <c r="AN26">
        <v>273.15280000000001</v>
      </c>
      <c r="AO26">
        <v>850.46774885301022</v>
      </c>
      <c r="AP26">
        <f t="shared" si="26"/>
        <v>0.67882050745793765</v>
      </c>
      <c r="AQ26">
        <v>-1.0323826813720729</v>
      </c>
      <c r="AR26" t="s">
        <v>460</v>
      </c>
      <c r="AS26">
        <v>7116.48</v>
      </c>
      <c r="AT26">
        <v>568.29503999999997</v>
      </c>
      <c r="AU26">
        <v>740.37525288073186</v>
      </c>
      <c r="AV26">
        <f t="shared" si="27"/>
        <v>0.23242296688224473</v>
      </c>
      <c r="AW26">
        <v>0.5</v>
      </c>
      <c r="AX26">
        <f t="shared" si="28"/>
        <v>1513.2689996511028</v>
      </c>
      <c r="AY26">
        <f t="shared" si="29"/>
        <v>25.907168736787924</v>
      </c>
      <c r="AZ26">
        <f t="shared" si="30"/>
        <v>175.85923529491794</v>
      </c>
      <c r="BA26">
        <f t="shared" si="31"/>
        <v>1.7802222489439183E-2</v>
      </c>
      <c r="BB26">
        <f t="shared" si="32"/>
        <v>0.14869823855392061</v>
      </c>
      <c r="BC26">
        <f t="shared" si="33"/>
        <v>260.70197982056777</v>
      </c>
      <c r="BD26" t="s">
        <v>461</v>
      </c>
      <c r="BE26">
        <v>394.77</v>
      </c>
      <c r="BF26">
        <f t="shared" si="34"/>
        <v>394.77</v>
      </c>
      <c r="BG26">
        <f t="shared" si="35"/>
        <v>0.46679741325228485</v>
      </c>
      <c r="BH26">
        <f t="shared" si="36"/>
        <v>0.49790971475805851</v>
      </c>
      <c r="BI26">
        <f t="shared" si="37"/>
        <v>0.24159104636654627</v>
      </c>
      <c r="BJ26">
        <f t="shared" si="38"/>
        <v>0.36830467333011263</v>
      </c>
      <c r="BK26">
        <f t="shared" si="39"/>
        <v>0.19069746278180807</v>
      </c>
      <c r="BL26">
        <f t="shared" si="40"/>
        <v>0.34587635692727275</v>
      </c>
      <c r="BM26">
        <f t="shared" si="41"/>
        <v>0.6541236430727273</v>
      </c>
      <c r="BN26">
        <v>11262</v>
      </c>
      <c r="BO26">
        <v>290.00000000000011</v>
      </c>
      <c r="BP26">
        <v>693.08</v>
      </c>
      <c r="BQ26">
        <v>285</v>
      </c>
      <c r="BR26">
        <v>7116.48</v>
      </c>
      <c r="BS26">
        <v>694.12</v>
      </c>
      <c r="BT26">
        <v>-1.04</v>
      </c>
      <c r="BU26">
        <v>300.00000000000011</v>
      </c>
      <c r="BV26">
        <v>38.299999999999997</v>
      </c>
      <c r="BW26">
        <v>740.37525288073186</v>
      </c>
      <c r="BX26">
        <v>1.3832050255989621</v>
      </c>
      <c r="BY26">
        <v>-32.920857779356858</v>
      </c>
      <c r="BZ26">
        <v>0.82512515719797763</v>
      </c>
      <c r="CA26">
        <v>0.98271446789335337</v>
      </c>
      <c r="CB26">
        <v>-7.0169105672969996E-3</v>
      </c>
      <c r="CC26">
        <v>289.99999999999989</v>
      </c>
      <c r="CD26">
        <v>700.52</v>
      </c>
      <c r="CE26">
        <v>885</v>
      </c>
      <c r="CF26">
        <v>7107.03</v>
      </c>
      <c r="CG26">
        <v>694.05</v>
      </c>
      <c r="CH26">
        <v>6.47</v>
      </c>
      <c r="CV26">
        <f t="shared" si="42"/>
        <v>1800.1</v>
      </c>
      <c r="CW26">
        <f t="shared" si="43"/>
        <v>1513.2689996511028</v>
      </c>
      <c r="CX26">
        <f t="shared" si="44"/>
        <v>0.84065829656747004</v>
      </c>
      <c r="CY26">
        <f t="shared" si="45"/>
        <v>0.19131659313494009</v>
      </c>
      <c r="CZ26">
        <v>5</v>
      </c>
      <c r="DA26">
        <v>0.5</v>
      </c>
      <c r="DB26" t="s">
        <v>418</v>
      </c>
      <c r="DC26">
        <v>2</v>
      </c>
      <c r="DD26">
        <v>1700149092.0999999</v>
      </c>
      <c r="DE26">
        <v>173.17099999999999</v>
      </c>
      <c r="DF26">
        <v>199.98400000000001</v>
      </c>
      <c r="DG26">
        <v>28.944500000000001</v>
      </c>
      <c r="DH26">
        <v>23.824100000000001</v>
      </c>
      <c r="DI26">
        <v>173.44</v>
      </c>
      <c r="DJ26">
        <v>28.953700000000001</v>
      </c>
      <c r="DK26">
        <v>500.14100000000002</v>
      </c>
      <c r="DL26">
        <v>99.488900000000001</v>
      </c>
      <c r="DM26">
        <v>9.9526799999999999E-2</v>
      </c>
      <c r="DN26">
        <v>30.578700000000001</v>
      </c>
      <c r="DO26">
        <v>29.973600000000001</v>
      </c>
      <c r="DP26">
        <v>999.9</v>
      </c>
      <c r="DQ26">
        <v>0</v>
      </c>
      <c r="DR26">
        <v>0</v>
      </c>
      <c r="DS26">
        <v>10038.799999999999</v>
      </c>
      <c r="DT26">
        <v>0</v>
      </c>
      <c r="DU26">
        <v>312.26499999999999</v>
      </c>
      <c r="DV26">
        <v>-26.812999999999999</v>
      </c>
      <c r="DW26">
        <v>178.333</v>
      </c>
      <c r="DX26">
        <v>204.86500000000001</v>
      </c>
      <c r="DY26">
        <v>5.1203599999999998</v>
      </c>
      <c r="DZ26">
        <v>199.98400000000001</v>
      </c>
      <c r="EA26">
        <v>23.824100000000001</v>
      </c>
      <c r="EB26">
        <v>2.8796499999999998</v>
      </c>
      <c r="EC26">
        <v>2.3702299999999998</v>
      </c>
      <c r="ED26">
        <v>23.347899999999999</v>
      </c>
      <c r="EE26">
        <v>20.161799999999999</v>
      </c>
      <c r="EF26">
        <v>1800.1</v>
      </c>
      <c r="EG26">
        <v>0.97799400000000003</v>
      </c>
      <c r="EH26">
        <v>2.20056E-2</v>
      </c>
      <c r="EI26">
        <v>0</v>
      </c>
      <c r="EJ26">
        <v>568.35699999999997</v>
      </c>
      <c r="EK26">
        <v>5.0005300000000004</v>
      </c>
      <c r="EL26">
        <v>11708.9</v>
      </c>
      <c r="EM26">
        <v>16036.1</v>
      </c>
      <c r="EN26">
        <v>48.936999999999998</v>
      </c>
      <c r="EO26">
        <v>50.186999999999998</v>
      </c>
      <c r="EP26">
        <v>49.625</v>
      </c>
      <c r="EQ26">
        <v>49.625</v>
      </c>
      <c r="ER26">
        <v>50.125</v>
      </c>
      <c r="ES26">
        <v>1755.6</v>
      </c>
      <c r="ET26">
        <v>39.5</v>
      </c>
      <c r="EU26">
        <v>0</v>
      </c>
      <c r="EV26">
        <v>290.39999985694891</v>
      </c>
      <c r="EW26">
        <v>0</v>
      </c>
      <c r="EX26">
        <v>568.29503999999997</v>
      </c>
      <c r="EY26">
        <v>-0.55115384168243609</v>
      </c>
      <c r="EZ26">
        <v>-75.83846131970067</v>
      </c>
      <c r="FA26">
        <v>11723.128000000001</v>
      </c>
      <c r="FB26">
        <v>15</v>
      </c>
      <c r="FC26">
        <v>1700149062.0999999</v>
      </c>
      <c r="FD26" t="s">
        <v>462</v>
      </c>
      <c r="FE26">
        <v>1700149053.0999999</v>
      </c>
      <c r="FF26">
        <v>1700149062.0999999</v>
      </c>
      <c r="FG26">
        <v>11</v>
      </c>
      <c r="FH26">
        <v>0.128</v>
      </c>
      <c r="FI26">
        <v>-1E-3</v>
      </c>
      <c r="FJ26">
        <v>-0.27100000000000002</v>
      </c>
      <c r="FK26">
        <v>-8.9999999999999993E-3</v>
      </c>
      <c r="FL26">
        <v>200</v>
      </c>
      <c r="FM26">
        <v>24</v>
      </c>
      <c r="FN26">
        <v>0.06</v>
      </c>
      <c r="FO26">
        <v>0.02</v>
      </c>
      <c r="FP26">
        <v>25.862360510550729</v>
      </c>
      <c r="FQ26">
        <v>0.64842122679804692</v>
      </c>
      <c r="FR26">
        <v>5.6122622291853587E-2</v>
      </c>
      <c r="FS26">
        <v>1</v>
      </c>
      <c r="FT26">
        <v>0.3911170563198661</v>
      </c>
      <c r="FU26">
        <v>4.287096122511827E-2</v>
      </c>
      <c r="FV26">
        <v>5.4123426794601649E-3</v>
      </c>
      <c r="FW26">
        <v>1</v>
      </c>
      <c r="FX26">
        <v>2</v>
      </c>
      <c r="FY26">
        <v>2</v>
      </c>
      <c r="FZ26" t="s">
        <v>420</v>
      </c>
      <c r="GA26">
        <v>3.1254599999999999</v>
      </c>
      <c r="GB26">
        <v>2.76674</v>
      </c>
      <c r="GC26">
        <v>4.4050899999999997E-2</v>
      </c>
      <c r="GD26">
        <v>5.0131599999999998E-2</v>
      </c>
      <c r="GE26">
        <v>0.12234399999999999</v>
      </c>
      <c r="GF26">
        <v>0.10695499999999999</v>
      </c>
      <c r="GG26">
        <v>22727.1</v>
      </c>
      <c r="GH26">
        <v>23473.8</v>
      </c>
      <c r="GI26">
        <v>23645.1</v>
      </c>
      <c r="GJ26">
        <v>25036.1</v>
      </c>
      <c r="GK26">
        <v>29886.2</v>
      </c>
      <c r="GL26">
        <v>31338.6</v>
      </c>
      <c r="GM26">
        <v>37690.800000000003</v>
      </c>
      <c r="GN26">
        <v>38959.599999999999</v>
      </c>
      <c r="GO26">
        <v>2.0804800000000001</v>
      </c>
      <c r="GP26">
        <v>1.7919799999999999</v>
      </c>
      <c r="GQ26">
        <v>-3.9040999999999999E-2</v>
      </c>
      <c r="GR26">
        <v>0</v>
      </c>
      <c r="GS26">
        <v>30.608599999999999</v>
      </c>
      <c r="GT26">
        <v>999.9</v>
      </c>
      <c r="GU26">
        <v>56.6</v>
      </c>
      <c r="GV26">
        <v>34.9</v>
      </c>
      <c r="GW26">
        <v>31.957000000000001</v>
      </c>
      <c r="GX26">
        <v>60.186399999999999</v>
      </c>
      <c r="GY26">
        <v>26.834900000000001</v>
      </c>
      <c r="GZ26">
        <v>1</v>
      </c>
      <c r="HA26">
        <v>0.67100599999999999</v>
      </c>
      <c r="HB26">
        <v>2.4905200000000001</v>
      </c>
      <c r="HC26">
        <v>20.3035</v>
      </c>
      <c r="HD26">
        <v>5.2481400000000002</v>
      </c>
      <c r="HE26">
        <v>12.0099</v>
      </c>
      <c r="HF26">
        <v>4.9787499999999998</v>
      </c>
      <c r="HG26">
        <v>3.2930000000000001</v>
      </c>
      <c r="HH26">
        <v>9999</v>
      </c>
      <c r="HI26">
        <v>9999</v>
      </c>
      <c r="HJ26">
        <v>9999</v>
      </c>
      <c r="HK26">
        <v>999.9</v>
      </c>
      <c r="HL26">
        <v>1.8760699999999999</v>
      </c>
      <c r="HM26">
        <v>1.8768499999999999</v>
      </c>
      <c r="HN26">
        <v>1.88324</v>
      </c>
      <c r="HO26">
        <v>1.88629</v>
      </c>
      <c r="HP26">
        <v>1.87713</v>
      </c>
      <c r="HQ26">
        <v>1.8836999999999999</v>
      </c>
      <c r="HR26">
        <v>1.88263</v>
      </c>
      <c r="HS26">
        <v>1.8859900000000001</v>
      </c>
      <c r="HT26">
        <v>5</v>
      </c>
      <c r="HU26">
        <v>0</v>
      </c>
      <c r="HV26">
        <v>0</v>
      </c>
      <c r="HW26">
        <v>0</v>
      </c>
      <c r="HX26" t="s">
        <v>421</v>
      </c>
      <c r="HY26" t="s">
        <v>422</v>
      </c>
      <c r="HZ26" t="s">
        <v>423</v>
      </c>
      <c r="IA26" t="s">
        <v>424</v>
      </c>
      <c r="IB26" t="s">
        <v>424</v>
      </c>
      <c r="IC26" t="s">
        <v>423</v>
      </c>
      <c r="ID26">
        <v>0</v>
      </c>
      <c r="IE26">
        <v>100</v>
      </c>
      <c r="IF26">
        <v>100</v>
      </c>
      <c r="IG26">
        <v>-0.26900000000000002</v>
      </c>
      <c r="IH26">
        <v>-9.1999999999999998E-3</v>
      </c>
      <c r="II26">
        <v>-0.27080688976755601</v>
      </c>
      <c r="IJ26">
        <v>4.4610147972834149E-5</v>
      </c>
      <c r="IK26">
        <v>-2.082673137682459E-7</v>
      </c>
      <c r="IL26">
        <v>-4.0725795306076518E-11</v>
      </c>
      <c r="IM26">
        <v>-9.2250000000007049E-3</v>
      </c>
      <c r="IN26">
        <v>0</v>
      </c>
      <c r="IO26">
        <v>0</v>
      </c>
      <c r="IP26">
        <v>0</v>
      </c>
      <c r="IQ26">
        <v>3</v>
      </c>
      <c r="IR26">
        <v>2179</v>
      </c>
      <c r="IS26">
        <v>0</v>
      </c>
      <c r="IT26">
        <v>22</v>
      </c>
      <c r="IU26">
        <v>0.7</v>
      </c>
      <c r="IV26">
        <v>0.5</v>
      </c>
      <c r="IW26">
        <v>0.59448199999999995</v>
      </c>
      <c r="IX26">
        <v>2.66235</v>
      </c>
      <c r="IY26">
        <v>1.6003400000000001</v>
      </c>
      <c r="IZ26">
        <v>2.33643</v>
      </c>
      <c r="JA26">
        <v>1.5502899999999999</v>
      </c>
      <c r="JB26">
        <v>2.4011200000000001</v>
      </c>
      <c r="JC26">
        <v>41.0154</v>
      </c>
      <c r="JD26">
        <v>24.026199999999999</v>
      </c>
      <c r="JE26">
        <v>18</v>
      </c>
      <c r="JF26">
        <v>571.35699999999997</v>
      </c>
      <c r="JG26">
        <v>416.83199999999999</v>
      </c>
      <c r="JH26">
        <v>27.621300000000002</v>
      </c>
      <c r="JI26">
        <v>35.228000000000002</v>
      </c>
      <c r="JJ26">
        <v>30.0002</v>
      </c>
      <c r="JK26">
        <v>35.173900000000003</v>
      </c>
      <c r="JL26">
        <v>35.154000000000003</v>
      </c>
      <c r="JM26">
        <v>11.863</v>
      </c>
      <c r="JN26">
        <v>36.560899999999997</v>
      </c>
      <c r="JO26">
        <v>94.095699999999994</v>
      </c>
      <c r="JP26">
        <v>27.638500000000001</v>
      </c>
      <c r="JQ26">
        <v>200</v>
      </c>
      <c r="JR26">
        <v>23.741800000000001</v>
      </c>
      <c r="JS26">
        <v>98.307599999999994</v>
      </c>
      <c r="JT26">
        <v>98.596599999999995</v>
      </c>
    </row>
    <row r="27" spans="1:280" x14ac:dyDescent="0.25">
      <c r="A27">
        <v>11</v>
      </c>
      <c r="B27">
        <v>1700149219.5999999</v>
      </c>
      <c r="C27">
        <v>1346.099999904633</v>
      </c>
      <c r="D27" t="s">
        <v>463</v>
      </c>
      <c r="E27" t="s">
        <v>464</v>
      </c>
      <c r="F27" t="s">
        <v>412</v>
      </c>
      <c r="G27" t="s">
        <v>413</v>
      </c>
      <c r="H27" t="s">
        <v>414</v>
      </c>
      <c r="I27">
        <v>1700149219.5999999</v>
      </c>
      <c r="J27">
        <f t="shared" si="0"/>
        <v>5.7762447805836713E-3</v>
      </c>
      <c r="K27">
        <f t="shared" si="1"/>
        <v>5.7762447805836716</v>
      </c>
      <c r="L27">
        <f t="shared" si="2"/>
        <v>17.117775565065806</v>
      </c>
      <c r="M27">
        <f t="shared" si="3"/>
        <v>102.27500000000001</v>
      </c>
      <c r="N27">
        <f t="shared" si="4"/>
        <v>34.279417627259107</v>
      </c>
      <c r="O27">
        <f t="shared" si="5"/>
        <v>3.4138184027075562</v>
      </c>
      <c r="P27">
        <f t="shared" si="6"/>
        <v>10.185361984075</v>
      </c>
      <c r="Q27">
        <f t="shared" si="7"/>
        <v>0.43943227443575633</v>
      </c>
      <c r="R27">
        <f t="shared" si="8"/>
        <v>3.1330096061253676</v>
      </c>
      <c r="S27">
        <f t="shared" si="9"/>
        <v>0.40783927584284974</v>
      </c>
      <c r="T27">
        <f t="shared" si="10"/>
        <v>0.25754851749205543</v>
      </c>
      <c r="U27">
        <f t="shared" si="11"/>
        <v>344.33959930210477</v>
      </c>
      <c r="V27">
        <f t="shared" si="12"/>
        <v>31.168637691982507</v>
      </c>
      <c r="W27">
        <f t="shared" si="13"/>
        <v>29.991599999999998</v>
      </c>
      <c r="X27">
        <f t="shared" si="14"/>
        <v>4.258394583912021</v>
      </c>
      <c r="Y27">
        <f t="shared" si="15"/>
        <v>65.459834576410074</v>
      </c>
      <c r="Z27">
        <f t="shared" si="16"/>
        <v>2.8986081242579997</v>
      </c>
      <c r="AA27">
        <f t="shared" si="17"/>
        <v>4.4280712638748074</v>
      </c>
      <c r="AB27">
        <f t="shared" si="18"/>
        <v>1.3597864596540212</v>
      </c>
      <c r="AC27">
        <f t="shared" si="19"/>
        <v>-254.7323948237399</v>
      </c>
      <c r="AD27">
        <f t="shared" si="20"/>
        <v>115.17755638847569</v>
      </c>
      <c r="AE27">
        <f t="shared" si="21"/>
        <v>8.20115346053068</v>
      </c>
      <c r="AF27">
        <f t="shared" si="22"/>
        <v>212.98591432737126</v>
      </c>
      <c r="AG27">
        <v>1</v>
      </c>
      <c r="AH27">
        <v>0</v>
      </c>
      <c r="AI27">
        <f t="shared" si="23"/>
        <v>1</v>
      </c>
      <c r="AJ27">
        <f t="shared" si="24"/>
        <v>0</v>
      </c>
      <c r="AK27">
        <f t="shared" si="25"/>
        <v>51932.626096354616</v>
      </c>
      <c r="AL27" t="s">
        <v>427</v>
      </c>
      <c r="AM27" t="s">
        <v>427</v>
      </c>
      <c r="AN27">
        <v>0</v>
      </c>
      <c r="AO27">
        <v>0</v>
      </c>
      <c r="AP27" t="e">
        <f t="shared" si="26"/>
        <v>#DIV/0!</v>
      </c>
      <c r="AQ27">
        <v>0</v>
      </c>
      <c r="AR27" t="s">
        <v>427</v>
      </c>
      <c r="AS27" t="s">
        <v>427</v>
      </c>
      <c r="AT27">
        <v>0</v>
      </c>
      <c r="AU27">
        <v>0</v>
      </c>
      <c r="AV27" t="e">
        <f t="shared" si="27"/>
        <v>#DIV/0!</v>
      </c>
      <c r="AW27">
        <v>0.5</v>
      </c>
      <c r="AX27">
        <f t="shared" si="28"/>
        <v>1513.0505996510524</v>
      </c>
      <c r="AY27">
        <f t="shared" si="29"/>
        <v>17.117775565065806</v>
      </c>
      <c r="AZ27" t="e">
        <f t="shared" si="30"/>
        <v>#DIV/0!</v>
      </c>
      <c r="BA27">
        <f t="shared" si="31"/>
        <v>1.1313419107737439E-2</v>
      </c>
      <c r="BB27" t="e">
        <f t="shared" si="32"/>
        <v>#DIV/0!</v>
      </c>
      <c r="BC27" t="e">
        <f t="shared" si="33"/>
        <v>#DIV/0!</v>
      </c>
      <c r="BD27" t="s">
        <v>427</v>
      </c>
      <c r="BE27">
        <v>0</v>
      </c>
      <c r="BF27" t="e">
        <f t="shared" si="34"/>
        <v>#DIV/0!</v>
      </c>
      <c r="BG27" t="e">
        <f t="shared" si="35"/>
        <v>#DIV/0!</v>
      </c>
      <c r="BH27" t="e">
        <f t="shared" si="36"/>
        <v>#DIV/0!</v>
      </c>
      <c r="BI27" t="e">
        <f t="shared" si="37"/>
        <v>#DIV/0!</v>
      </c>
      <c r="BJ27" t="e">
        <f t="shared" si="38"/>
        <v>#DIV/0!</v>
      </c>
      <c r="BK27" t="e">
        <f t="shared" si="39"/>
        <v>#DIV/0!</v>
      </c>
      <c r="BL27" t="e">
        <f t="shared" si="40"/>
        <v>#DIV/0!</v>
      </c>
      <c r="BM27" t="e">
        <f t="shared" si="41"/>
        <v>#DIV/0!</v>
      </c>
      <c r="BN27">
        <v>11262</v>
      </c>
      <c r="BO27">
        <v>290.00000000000011</v>
      </c>
      <c r="BP27">
        <v>693.08</v>
      </c>
      <c r="BQ27">
        <v>285</v>
      </c>
      <c r="BR27">
        <v>7116.48</v>
      </c>
      <c r="BS27">
        <v>694.12</v>
      </c>
      <c r="BT27">
        <v>-1.04</v>
      </c>
      <c r="BU27">
        <v>300.00000000000011</v>
      </c>
      <c r="BV27">
        <v>38.299999999999997</v>
      </c>
      <c r="BW27">
        <v>740.37525288073186</v>
      </c>
      <c r="BX27">
        <v>1.3832050255989621</v>
      </c>
      <c r="BY27">
        <v>-32.920857779356858</v>
      </c>
      <c r="BZ27">
        <v>0.82512515719797763</v>
      </c>
      <c r="CA27">
        <v>0.98271446789335337</v>
      </c>
      <c r="CB27">
        <v>-7.0169105672969996E-3</v>
      </c>
      <c r="CC27">
        <v>289.99999999999989</v>
      </c>
      <c r="CD27">
        <v>700.52</v>
      </c>
      <c r="CE27">
        <v>885</v>
      </c>
      <c r="CF27">
        <v>7107.03</v>
      </c>
      <c r="CG27">
        <v>694.05</v>
      </c>
      <c r="CH27">
        <v>6.47</v>
      </c>
      <c r="CV27">
        <f t="shared" si="42"/>
        <v>1799.84</v>
      </c>
      <c r="CW27">
        <f t="shared" si="43"/>
        <v>1513.0505996510524</v>
      </c>
      <c r="CX27">
        <f t="shared" si="44"/>
        <v>0.84065839166317702</v>
      </c>
      <c r="CY27">
        <f t="shared" si="45"/>
        <v>0.19131678332635391</v>
      </c>
      <c r="CZ27">
        <v>5</v>
      </c>
      <c r="DA27">
        <v>0.5</v>
      </c>
      <c r="DB27" t="s">
        <v>418</v>
      </c>
      <c r="DC27">
        <v>2</v>
      </c>
      <c r="DD27">
        <v>1700149219.5999999</v>
      </c>
      <c r="DE27">
        <v>102.27500000000001</v>
      </c>
      <c r="DF27">
        <v>119.98</v>
      </c>
      <c r="DG27">
        <v>29.106000000000002</v>
      </c>
      <c r="DH27">
        <v>23.498999999999999</v>
      </c>
      <c r="DI27">
        <v>102.453</v>
      </c>
      <c r="DJ27">
        <v>29.114599999999999</v>
      </c>
      <c r="DK27">
        <v>500.1</v>
      </c>
      <c r="DL27">
        <v>99.487899999999996</v>
      </c>
      <c r="DM27">
        <v>0.100093</v>
      </c>
      <c r="DN27">
        <v>30.673500000000001</v>
      </c>
      <c r="DO27">
        <v>29.991599999999998</v>
      </c>
      <c r="DP27">
        <v>999.9</v>
      </c>
      <c r="DQ27">
        <v>0</v>
      </c>
      <c r="DR27">
        <v>0</v>
      </c>
      <c r="DS27">
        <v>9992.5</v>
      </c>
      <c r="DT27">
        <v>0</v>
      </c>
      <c r="DU27">
        <v>314.23099999999999</v>
      </c>
      <c r="DV27">
        <v>-17.704899999999999</v>
      </c>
      <c r="DW27">
        <v>105.34099999999999</v>
      </c>
      <c r="DX27">
        <v>122.86799999999999</v>
      </c>
      <c r="DY27">
        <v>5.60703</v>
      </c>
      <c r="DZ27">
        <v>119.98</v>
      </c>
      <c r="EA27">
        <v>23.498999999999999</v>
      </c>
      <c r="EB27">
        <v>2.8957000000000002</v>
      </c>
      <c r="EC27">
        <v>2.33786</v>
      </c>
      <c r="ED27">
        <v>23.44</v>
      </c>
      <c r="EE27">
        <v>19.939699999999998</v>
      </c>
      <c r="EF27">
        <v>1799.84</v>
      </c>
      <c r="EG27">
        <v>0.97799100000000005</v>
      </c>
      <c r="EH27">
        <v>2.20092E-2</v>
      </c>
      <c r="EI27">
        <v>0</v>
      </c>
      <c r="EJ27">
        <v>592.721</v>
      </c>
      <c r="EK27">
        <v>5.0005300000000004</v>
      </c>
      <c r="EL27">
        <v>12150.3</v>
      </c>
      <c r="EM27">
        <v>16033.8</v>
      </c>
      <c r="EN27">
        <v>49</v>
      </c>
      <c r="EO27">
        <v>50.25</v>
      </c>
      <c r="EP27">
        <v>49.625</v>
      </c>
      <c r="EQ27">
        <v>49.625</v>
      </c>
      <c r="ER27">
        <v>50.186999999999998</v>
      </c>
      <c r="ES27">
        <v>1755.34</v>
      </c>
      <c r="ET27">
        <v>39.5</v>
      </c>
      <c r="EU27">
        <v>0</v>
      </c>
      <c r="EV27">
        <v>125.4000000953674</v>
      </c>
      <c r="EW27">
        <v>0</v>
      </c>
      <c r="EX27">
        <v>592.62134615384616</v>
      </c>
      <c r="EY27">
        <v>1.429709402235207</v>
      </c>
      <c r="EZ27">
        <v>-84.851281919110576</v>
      </c>
      <c r="FA27">
        <v>12158.365384615379</v>
      </c>
      <c r="FB27">
        <v>15</v>
      </c>
      <c r="FC27">
        <v>1700149189.0999999</v>
      </c>
      <c r="FD27" t="s">
        <v>465</v>
      </c>
      <c r="FE27">
        <v>1700149177.5999999</v>
      </c>
      <c r="FF27">
        <v>1700149189.0999999</v>
      </c>
      <c r="FG27">
        <v>12</v>
      </c>
      <c r="FH27">
        <v>9.0999999999999998E-2</v>
      </c>
      <c r="FI27">
        <v>1E-3</v>
      </c>
      <c r="FJ27">
        <v>-0.17799999999999999</v>
      </c>
      <c r="FK27">
        <v>-8.9999999999999993E-3</v>
      </c>
      <c r="FL27">
        <v>120</v>
      </c>
      <c r="FM27">
        <v>24</v>
      </c>
      <c r="FN27">
        <v>0.1</v>
      </c>
      <c r="FO27">
        <v>0.02</v>
      </c>
      <c r="FP27">
        <v>17.096250933897629</v>
      </c>
      <c r="FQ27">
        <v>9.6051669308215765E-2</v>
      </c>
      <c r="FR27">
        <v>2.1516764271135701E-2</v>
      </c>
      <c r="FS27">
        <v>1</v>
      </c>
      <c r="FT27">
        <v>0.44087503863030031</v>
      </c>
      <c r="FU27">
        <v>4.2707351717995723E-2</v>
      </c>
      <c r="FV27">
        <v>4.2976288031812927E-3</v>
      </c>
      <c r="FW27">
        <v>1</v>
      </c>
      <c r="FX27">
        <v>2</v>
      </c>
      <c r="FY27">
        <v>2</v>
      </c>
      <c r="FZ27" t="s">
        <v>420</v>
      </c>
      <c r="GA27">
        <v>3.1256200000000001</v>
      </c>
      <c r="GB27">
        <v>2.7669000000000001</v>
      </c>
      <c r="GC27">
        <v>2.6927400000000001E-2</v>
      </c>
      <c r="GD27">
        <v>3.1359400000000003E-2</v>
      </c>
      <c r="GE27">
        <v>0.12278600000000001</v>
      </c>
      <c r="GF27">
        <v>0.10589899999999999</v>
      </c>
      <c r="GG27">
        <v>23130.3</v>
      </c>
      <c r="GH27">
        <v>23934.3</v>
      </c>
      <c r="GI27">
        <v>23642.3</v>
      </c>
      <c r="GJ27">
        <v>25033.7</v>
      </c>
      <c r="GK27">
        <v>29867.7</v>
      </c>
      <c r="GL27">
        <v>31374.2</v>
      </c>
      <c r="GM27">
        <v>37686.400000000001</v>
      </c>
      <c r="GN27">
        <v>38957.9</v>
      </c>
      <c r="GO27">
        <v>2.0804499999999999</v>
      </c>
      <c r="GP27">
        <v>1.7864199999999999</v>
      </c>
      <c r="GQ27">
        <v>-4.0233100000000001E-2</v>
      </c>
      <c r="GR27">
        <v>0</v>
      </c>
      <c r="GS27">
        <v>30.646000000000001</v>
      </c>
      <c r="GT27">
        <v>999.9</v>
      </c>
      <c r="GU27">
        <v>56.2</v>
      </c>
      <c r="GV27">
        <v>35.1</v>
      </c>
      <c r="GW27">
        <v>32.084200000000003</v>
      </c>
      <c r="GX27">
        <v>60.776400000000002</v>
      </c>
      <c r="GY27">
        <v>26.674700000000001</v>
      </c>
      <c r="GZ27">
        <v>1</v>
      </c>
      <c r="HA27">
        <v>0.67827199999999999</v>
      </c>
      <c r="HB27">
        <v>2.5180699999999998</v>
      </c>
      <c r="HC27">
        <v>20.302199999999999</v>
      </c>
      <c r="HD27">
        <v>5.2515799999999997</v>
      </c>
      <c r="HE27">
        <v>12.0099</v>
      </c>
      <c r="HF27">
        <v>4.9786999999999999</v>
      </c>
      <c r="HG27">
        <v>3.2930000000000001</v>
      </c>
      <c r="HH27">
        <v>9999</v>
      </c>
      <c r="HI27">
        <v>9999</v>
      </c>
      <c r="HJ27">
        <v>9999</v>
      </c>
      <c r="HK27">
        <v>999.9</v>
      </c>
      <c r="HL27">
        <v>1.87608</v>
      </c>
      <c r="HM27">
        <v>1.8769199999999999</v>
      </c>
      <c r="HN27">
        <v>1.88324</v>
      </c>
      <c r="HO27">
        <v>1.8863099999999999</v>
      </c>
      <c r="HP27">
        <v>1.87714</v>
      </c>
      <c r="HQ27">
        <v>1.8836999999999999</v>
      </c>
      <c r="HR27">
        <v>1.88263</v>
      </c>
      <c r="HS27">
        <v>1.8859900000000001</v>
      </c>
      <c r="HT27">
        <v>5</v>
      </c>
      <c r="HU27">
        <v>0</v>
      </c>
      <c r="HV27">
        <v>0</v>
      </c>
      <c r="HW27">
        <v>0</v>
      </c>
      <c r="HX27" t="s">
        <v>421</v>
      </c>
      <c r="HY27" t="s">
        <v>422</v>
      </c>
      <c r="HZ27" t="s">
        <v>423</v>
      </c>
      <c r="IA27" t="s">
        <v>424</v>
      </c>
      <c r="IB27" t="s">
        <v>424</v>
      </c>
      <c r="IC27" t="s">
        <v>423</v>
      </c>
      <c r="ID27">
        <v>0</v>
      </c>
      <c r="IE27">
        <v>100</v>
      </c>
      <c r="IF27">
        <v>100</v>
      </c>
      <c r="IG27">
        <v>-0.17799999999999999</v>
      </c>
      <c r="IH27">
        <v>-8.6E-3</v>
      </c>
      <c r="II27">
        <v>-0.17993254991504179</v>
      </c>
      <c r="IJ27">
        <v>4.4610147972834149E-5</v>
      </c>
      <c r="IK27">
        <v>-2.082673137682459E-7</v>
      </c>
      <c r="IL27">
        <v>-4.0725795306076518E-11</v>
      </c>
      <c r="IM27">
        <v>-8.6095238095218463E-3</v>
      </c>
      <c r="IN27">
        <v>0</v>
      </c>
      <c r="IO27">
        <v>0</v>
      </c>
      <c r="IP27">
        <v>0</v>
      </c>
      <c r="IQ27">
        <v>3</v>
      </c>
      <c r="IR27">
        <v>2179</v>
      </c>
      <c r="IS27">
        <v>0</v>
      </c>
      <c r="IT27">
        <v>22</v>
      </c>
      <c r="IU27">
        <v>0.7</v>
      </c>
      <c r="IV27">
        <v>0.5</v>
      </c>
      <c r="IW27">
        <v>0.41626000000000002</v>
      </c>
      <c r="IX27">
        <v>2.677</v>
      </c>
      <c r="IY27">
        <v>1.6015600000000001</v>
      </c>
      <c r="IZ27">
        <v>2.33765</v>
      </c>
      <c r="JA27">
        <v>1.5502899999999999</v>
      </c>
      <c r="JB27">
        <v>2.4572799999999999</v>
      </c>
      <c r="JC27">
        <v>41.691200000000002</v>
      </c>
      <c r="JD27">
        <v>24.026199999999999</v>
      </c>
      <c r="JE27">
        <v>18</v>
      </c>
      <c r="JF27">
        <v>572.13800000000003</v>
      </c>
      <c r="JG27">
        <v>413.82</v>
      </c>
      <c r="JH27">
        <v>27.708600000000001</v>
      </c>
      <c r="JI27">
        <v>35.321300000000001</v>
      </c>
      <c r="JJ27">
        <v>30.000299999999999</v>
      </c>
      <c r="JK27">
        <v>35.268999999999998</v>
      </c>
      <c r="JL27">
        <v>35.248800000000003</v>
      </c>
      <c r="JM27">
        <v>8.3151399999999995</v>
      </c>
      <c r="JN27">
        <v>37.819600000000001</v>
      </c>
      <c r="JO27">
        <v>91.575400000000002</v>
      </c>
      <c r="JP27">
        <v>27.714600000000001</v>
      </c>
      <c r="JQ27">
        <v>120</v>
      </c>
      <c r="JR27">
        <v>23.396000000000001</v>
      </c>
      <c r="JS27">
        <v>98.296099999999996</v>
      </c>
      <c r="JT27">
        <v>98.590299999999999</v>
      </c>
    </row>
    <row r="28" spans="1:280" x14ac:dyDescent="0.25">
      <c r="A28">
        <v>12</v>
      </c>
      <c r="B28">
        <v>1700149313.5999999</v>
      </c>
      <c r="C28">
        <v>1440.099999904633</v>
      </c>
      <c r="D28" t="s">
        <v>466</v>
      </c>
      <c r="E28" t="s">
        <v>467</v>
      </c>
      <c r="F28" t="s">
        <v>412</v>
      </c>
      <c r="G28" t="s">
        <v>413</v>
      </c>
      <c r="H28" t="s">
        <v>414</v>
      </c>
      <c r="I28">
        <v>1700149313.5999999</v>
      </c>
      <c r="J28">
        <f t="shared" si="0"/>
        <v>6.1042760364215477E-3</v>
      </c>
      <c r="K28">
        <f t="shared" si="1"/>
        <v>6.104276036421548</v>
      </c>
      <c r="L28">
        <f t="shared" si="2"/>
        <v>10.486662315954261</v>
      </c>
      <c r="M28">
        <f t="shared" si="3"/>
        <v>59.199599999999997</v>
      </c>
      <c r="N28">
        <f t="shared" si="4"/>
        <v>19.820638369288542</v>
      </c>
      <c r="O28">
        <f t="shared" si="5"/>
        <v>1.9738763276312685</v>
      </c>
      <c r="P28">
        <f t="shared" si="6"/>
        <v>5.8955058292320004</v>
      </c>
      <c r="Q28">
        <f t="shared" si="7"/>
        <v>0.46661359680303549</v>
      </c>
      <c r="R28">
        <f t="shared" si="8"/>
        <v>3.1312670531215434</v>
      </c>
      <c r="S28">
        <f t="shared" si="9"/>
        <v>0.43114212907618638</v>
      </c>
      <c r="T28">
        <f t="shared" si="10"/>
        <v>0.2724257457647804</v>
      </c>
      <c r="U28">
        <f t="shared" si="11"/>
        <v>344.34529930211647</v>
      </c>
      <c r="V28">
        <f t="shared" si="12"/>
        <v>31.134937271978146</v>
      </c>
      <c r="W28">
        <f t="shared" si="13"/>
        <v>30.010100000000001</v>
      </c>
      <c r="X28">
        <f t="shared" si="14"/>
        <v>4.262922036432899</v>
      </c>
      <c r="Y28">
        <f t="shared" si="15"/>
        <v>65.401906435318296</v>
      </c>
      <c r="Z28">
        <f t="shared" si="16"/>
        <v>2.903665785132</v>
      </c>
      <c r="AA28">
        <f t="shared" si="17"/>
        <v>4.4397265208219752</v>
      </c>
      <c r="AB28">
        <f t="shared" si="18"/>
        <v>1.359256251300899</v>
      </c>
      <c r="AC28">
        <f t="shared" si="19"/>
        <v>-269.19857320619025</v>
      </c>
      <c r="AD28">
        <f t="shared" si="20"/>
        <v>119.75584952957999</v>
      </c>
      <c r="AE28">
        <f t="shared" si="21"/>
        <v>8.534616108109244</v>
      </c>
      <c r="AF28">
        <f t="shared" si="22"/>
        <v>203.43719173361544</v>
      </c>
      <c r="AG28">
        <v>1</v>
      </c>
      <c r="AH28">
        <v>0</v>
      </c>
      <c r="AI28">
        <f t="shared" si="23"/>
        <v>1</v>
      </c>
      <c r="AJ28">
        <f t="shared" si="24"/>
        <v>0</v>
      </c>
      <c r="AK28">
        <f t="shared" si="25"/>
        <v>51880.563340993067</v>
      </c>
      <c r="AL28" t="s">
        <v>415</v>
      </c>
      <c r="AM28">
        <v>6977.87</v>
      </c>
      <c r="AN28">
        <v>273.15280000000001</v>
      </c>
      <c r="AO28">
        <v>850.46774885301022</v>
      </c>
      <c r="AP28">
        <f t="shared" si="26"/>
        <v>0.67882050745793765</v>
      </c>
      <c r="AQ28">
        <v>-1.0323826813720729</v>
      </c>
      <c r="AR28" t="s">
        <v>468</v>
      </c>
      <c r="AS28">
        <v>7116.42</v>
      </c>
      <c r="AT28">
        <v>613.48236000000009</v>
      </c>
      <c r="AU28">
        <v>707.09944514267067</v>
      </c>
      <c r="AV28">
        <f t="shared" si="27"/>
        <v>0.13239592505094044</v>
      </c>
      <c r="AW28">
        <v>0.5</v>
      </c>
      <c r="AX28">
        <f t="shared" si="28"/>
        <v>1513.0757996510581</v>
      </c>
      <c r="AY28">
        <f t="shared" si="29"/>
        <v>10.486662315954261</v>
      </c>
      <c r="AZ28">
        <f t="shared" si="30"/>
        <v>100.16253508349664</v>
      </c>
      <c r="BA28">
        <f t="shared" si="31"/>
        <v>7.6129992958600149E-3</v>
      </c>
      <c r="BB28">
        <f t="shared" si="32"/>
        <v>0.20275550305574386</v>
      </c>
      <c r="BC28">
        <f t="shared" si="33"/>
        <v>256.45238727621205</v>
      </c>
      <c r="BD28" t="s">
        <v>469</v>
      </c>
      <c r="BE28">
        <v>412.84</v>
      </c>
      <c r="BF28">
        <f t="shared" si="34"/>
        <v>412.84</v>
      </c>
      <c r="BG28">
        <f t="shared" si="35"/>
        <v>0.41615001562234055</v>
      </c>
      <c r="BH28">
        <f t="shared" si="36"/>
        <v>0.31814470763132396</v>
      </c>
      <c r="BI28">
        <f t="shared" si="37"/>
        <v>0.32760332059860736</v>
      </c>
      <c r="BJ28">
        <f t="shared" si="38"/>
        <v>0.21573409125421783</v>
      </c>
      <c r="BK28">
        <f t="shared" si="39"/>
        <v>0.24833637860093322</v>
      </c>
      <c r="BL28">
        <f t="shared" si="40"/>
        <v>0.21409394900697024</v>
      </c>
      <c r="BM28">
        <f t="shared" si="41"/>
        <v>0.78590605099302979</v>
      </c>
      <c r="BN28">
        <v>11264</v>
      </c>
      <c r="BO28">
        <v>290.00000000000011</v>
      </c>
      <c r="BP28">
        <v>683.1</v>
      </c>
      <c r="BQ28">
        <v>285</v>
      </c>
      <c r="BR28">
        <v>7116.42</v>
      </c>
      <c r="BS28">
        <v>684.12</v>
      </c>
      <c r="BT28">
        <v>-1.02</v>
      </c>
      <c r="BU28">
        <v>300.00000000000011</v>
      </c>
      <c r="BV28">
        <v>38.299999999999997</v>
      </c>
      <c r="BW28">
        <v>707.09944514267067</v>
      </c>
      <c r="BX28">
        <v>1.0717730677955111</v>
      </c>
      <c r="BY28">
        <v>-16.356287155191911</v>
      </c>
      <c r="BZ28">
        <v>0.63934225583055548</v>
      </c>
      <c r="CA28">
        <v>0.9589737233993173</v>
      </c>
      <c r="CB28">
        <v>-7.0166925472747513E-3</v>
      </c>
      <c r="CC28">
        <v>289.99999999999989</v>
      </c>
      <c r="CD28">
        <v>685.39</v>
      </c>
      <c r="CE28">
        <v>765</v>
      </c>
      <c r="CF28">
        <v>7109.22</v>
      </c>
      <c r="CG28">
        <v>684.09</v>
      </c>
      <c r="CH28">
        <v>1.3</v>
      </c>
      <c r="CV28">
        <f t="shared" si="42"/>
        <v>1799.87</v>
      </c>
      <c r="CW28">
        <f t="shared" si="43"/>
        <v>1513.0757996510581</v>
      </c>
      <c r="CX28">
        <f t="shared" si="44"/>
        <v>0.84065838068919319</v>
      </c>
      <c r="CY28">
        <f t="shared" si="45"/>
        <v>0.19131676137838649</v>
      </c>
      <c r="CZ28">
        <v>5</v>
      </c>
      <c r="DA28">
        <v>0.5</v>
      </c>
      <c r="DB28" t="s">
        <v>418</v>
      </c>
      <c r="DC28">
        <v>2</v>
      </c>
      <c r="DD28">
        <v>1700149313.5999999</v>
      </c>
      <c r="DE28">
        <v>59.199599999999997</v>
      </c>
      <c r="DF28">
        <v>70.044899999999998</v>
      </c>
      <c r="DG28">
        <v>29.1571</v>
      </c>
      <c r="DH28">
        <v>23.232299999999999</v>
      </c>
      <c r="DI28">
        <v>59.298999999999999</v>
      </c>
      <c r="DJ28">
        <v>29.167300000000001</v>
      </c>
      <c r="DK28">
        <v>500.12599999999998</v>
      </c>
      <c r="DL28">
        <v>99.486800000000002</v>
      </c>
      <c r="DM28">
        <v>0.10012</v>
      </c>
      <c r="DN28">
        <v>30.7195</v>
      </c>
      <c r="DO28">
        <v>30.010100000000001</v>
      </c>
      <c r="DP28">
        <v>999.9</v>
      </c>
      <c r="DQ28">
        <v>0</v>
      </c>
      <c r="DR28">
        <v>0</v>
      </c>
      <c r="DS28">
        <v>9983.75</v>
      </c>
      <c r="DT28">
        <v>0</v>
      </c>
      <c r="DU28">
        <v>314.60000000000002</v>
      </c>
      <c r="DV28">
        <v>-10.8453</v>
      </c>
      <c r="DW28">
        <v>60.977499999999999</v>
      </c>
      <c r="DX28">
        <v>71.710899999999995</v>
      </c>
      <c r="DY28">
        <v>5.9247899999999998</v>
      </c>
      <c r="DZ28">
        <v>70.044899999999998</v>
      </c>
      <c r="EA28">
        <v>23.232299999999999</v>
      </c>
      <c r="EB28">
        <v>2.9007399999999999</v>
      </c>
      <c r="EC28">
        <v>2.3113000000000001</v>
      </c>
      <c r="ED28">
        <v>23.468900000000001</v>
      </c>
      <c r="EE28">
        <v>19.755400000000002</v>
      </c>
      <c r="EF28">
        <v>1799.87</v>
      </c>
      <c r="EG28">
        <v>0.97799100000000005</v>
      </c>
      <c r="EH28">
        <v>2.2009000000000001E-2</v>
      </c>
      <c r="EI28">
        <v>0</v>
      </c>
      <c r="EJ28">
        <v>613.43299999999999</v>
      </c>
      <c r="EK28">
        <v>5.0005300000000004</v>
      </c>
      <c r="EL28">
        <v>12538.8</v>
      </c>
      <c r="EM28">
        <v>16034.1</v>
      </c>
      <c r="EN28">
        <v>49</v>
      </c>
      <c r="EO28">
        <v>50.25</v>
      </c>
      <c r="EP28">
        <v>49.686999999999998</v>
      </c>
      <c r="EQ28">
        <v>49.686999999999998</v>
      </c>
      <c r="ER28">
        <v>50.186999999999998</v>
      </c>
      <c r="ES28">
        <v>1755.37</v>
      </c>
      <c r="ET28">
        <v>39.5</v>
      </c>
      <c r="EU28">
        <v>0</v>
      </c>
      <c r="EV28">
        <v>219.60000014305109</v>
      </c>
      <c r="EW28">
        <v>0</v>
      </c>
      <c r="EX28">
        <v>613.48236000000009</v>
      </c>
      <c r="EY28">
        <v>0.14292305614993769</v>
      </c>
      <c r="EZ28">
        <v>74.199999819091744</v>
      </c>
      <c r="FA28">
        <v>12530.468000000001</v>
      </c>
      <c r="FB28">
        <v>15</v>
      </c>
      <c r="FC28">
        <v>1700149283.5999999</v>
      </c>
      <c r="FD28" t="s">
        <v>470</v>
      </c>
      <c r="FE28">
        <v>1700149274.5999999</v>
      </c>
      <c r="FF28">
        <v>1700149283.5999999</v>
      </c>
      <c r="FG28">
        <v>13</v>
      </c>
      <c r="FH28">
        <v>7.9000000000000001E-2</v>
      </c>
      <c r="FI28">
        <v>-2E-3</v>
      </c>
      <c r="FJ28">
        <v>-9.9000000000000005E-2</v>
      </c>
      <c r="FK28">
        <v>-0.01</v>
      </c>
      <c r="FL28">
        <v>70</v>
      </c>
      <c r="FM28">
        <v>23</v>
      </c>
      <c r="FN28">
        <v>0.11</v>
      </c>
      <c r="FO28">
        <v>0.01</v>
      </c>
      <c r="FP28">
        <v>10.445340476280499</v>
      </c>
      <c r="FQ28">
        <v>-0.48941972744722467</v>
      </c>
      <c r="FR28">
        <v>4.8127897716678837E-2</v>
      </c>
      <c r="FS28">
        <v>1</v>
      </c>
      <c r="FT28">
        <v>0.47027582288548547</v>
      </c>
      <c r="FU28">
        <v>4.007769240539405E-2</v>
      </c>
      <c r="FV28">
        <v>4.7791612205401058E-3</v>
      </c>
      <c r="FW28">
        <v>1</v>
      </c>
      <c r="FX28">
        <v>2</v>
      </c>
      <c r="FY28">
        <v>2</v>
      </c>
      <c r="FZ28" t="s">
        <v>420</v>
      </c>
      <c r="GA28">
        <v>3.12588</v>
      </c>
      <c r="GB28">
        <v>2.7668499999999998</v>
      </c>
      <c r="GC28">
        <v>1.5809400000000001E-2</v>
      </c>
      <c r="GD28">
        <v>1.8650900000000002E-2</v>
      </c>
      <c r="GE28">
        <v>0.122919</v>
      </c>
      <c r="GF28">
        <v>0.10503</v>
      </c>
      <c r="GG28">
        <v>23391.4</v>
      </c>
      <c r="GH28">
        <v>24245.599999999999</v>
      </c>
      <c r="GI28">
        <v>23640</v>
      </c>
      <c r="GJ28">
        <v>25031.9</v>
      </c>
      <c r="GK28">
        <v>29860.5</v>
      </c>
      <c r="GL28">
        <v>31402.9</v>
      </c>
      <c r="GM28">
        <v>37683.1</v>
      </c>
      <c r="GN28">
        <v>38955.699999999997</v>
      </c>
      <c r="GO28">
        <v>2.0796000000000001</v>
      </c>
      <c r="GP28">
        <v>1.7829299999999999</v>
      </c>
      <c r="GQ28">
        <v>-4.2758900000000002E-2</v>
      </c>
      <c r="GR28">
        <v>0</v>
      </c>
      <c r="GS28">
        <v>30.705500000000001</v>
      </c>
      <c r="GT28">
        <v>999.9</v>
      </c>
      <c r="GU28">
        <v>55.7</v>
      </c>
      <c r="GV28">
        <v>35.299999999999997</v>
      </c>
      <c r="GW28">
        <v>32.153199999999998</v>
      </c>
      <c r="GX28">
        <v>60.706400000000002</v>
      </c>
      <c r="GY28">
        <v>26.526399999999999</v>
      </c>
      <c r="GZ28">
        <v>1</v>
      </c>
      <c r="HA28">
        <v>0.68445900000000004</v>
      </c>
      <c r="HB28">
        <v>2.6710600000000002</v>
      </c>
      <c r="HC28">
        <v>20.299600000000002</v>
      </c>
      <c r="HD28">
        <v>5.2517300000000002</v>
      </c>
      <c r="HE28">
        <v>12.0099</v>
      </c>
      <c r="HF28">
        <v>4.9790999999999999</v>
      </c>
      <c r="HG28">
        <v>3.2930000000000001</v>
      </c>
      <c r="HH28">
        <v>9999</v>
      </c>
      <c r="HI28">
        <v>9999</v>
      </c>
      <c r="HJ28">
        <v>9999</v>
      </c>
      <c r="HK28">
        <v>999.9</v>
      </c>
      <c r="HL28">
        <v>1.8761099999999999</v>
      </c>
      <c r="HM28">
        <v>1.87697</v>
      </c>
      <c r="HN28">
        <v>1.8832599999999999</v>
      </c>
      <c r="HO28">
        <v>1.8864000000000001</v>
      </c>
      <c r="HP28">
        <v>1.87714</v>
      </c>
      <c r="HQ28">
        <v>1.8836999999999999</v>
      </c>
      <c r="HR28">
        <v>1.8826400000000001</v>
      </c>
      <c r="HS28">
        <v>1.88602</v>
      </c>
      <c r="HT28">
        <v>5</v>
      </c>
      <c r="HU28">
        <v>0</v>
      </c>
      <c r="HV28">
        <v>0</v>
      </c>
      <c r="HW28">
        <v>0</v>
      </c>
      <c r="HX28" t="s">
        <v>421</v>
      </c>
      <c r="HY28" t="s">
        <v>422</v>
      </c>
      <c r="HZ28" t="s">
        <v>423</v>
      </c>
      <c r="IA28" t="s">
        <v>424</v>
      </c>
      <c r="IB28" t="s">
        <v>424</v>
      </c>
      <c r="IC28" t="s">
        <v>423</v>
      </c>
      <c r="ID28">
        <v>0</v>
      </c>
      <c r="IE28">
        <v>100</v>
      </c>
      <c r="IF28">
        <v>100</v>
      </c>
      <c r="IG28">
        <v>-9.9000000000000005E-2</v>
      </c>
      <c r="IH28">
        <v>-1.0200000000000001E-2</v>
      </c>
      <c r="II28">
        <v>-0.1012943181725523</v>
      </c>
      <c r="IJ28">
        <v>4.4610147972834149E-5</v>
      </c>
      <c r="IK28">
        <v>-2.082673137682459E-7</v>
      </c>
      <c r="IL28">
        <v>-4.0725795306076518E-11</v>
      </c>
      <c r="IM28">
        <v>-1.025499999999724E-2</v>
      </c>
      <c r="IN28">
        <v>0</v>
      </c>
      <c r="IO28">
        <v>0</v>
      </c>
      <c r="IP28">
        <v>0</v>
      </c>
      <c r="IQ28">
        <v>3</v>
      </c>
      <c r="IR28">
        <v>2179</v>
      </c>
      <c r="IS28">
        <v>0</v>
      </c>
      <c r="IT28">
        <v>22</v>
      </c>
      <c r="IU28">
        <v>0.7</v>
      </c>
      <c r="IV28">
        <v>0.5</v>
      </c>
      <c r="IW28">
        <v>0.30395499999999998</v>
      </c>
      <c r="IX28">
        <v>2.6867700000000001</v>
      </c>
      <c r="IY28">
        <v>1.6015600000000001</v>
      </c>
      <c r="IZ28">
        <v>2.33643</v>
      </c>
      <c r="JA28">
        <v>1.5502899999999999</v>
      </c>
      <c r="JB28">
        <v>2.4194300000000002</v>
      </c>
      <c r="JC28">
        <v>42.032899999999998</v>
      </c>
      <c r="JD28">
        <v>24.017499999999998</v>
      </c>
      <c r="JE28">
        <v>18</v>
      </c>
      <c r="JF28">
        <v>572.13599999999997</v>
      </c>
      <c r="JG28">
        <v>411.99700000000001</v>
      </c>
      <c r="JH28">
        <v>27.6997</v>
      </c>
      <c r="JI28">
        <v>35.3919</v>
      </c>
      <c r="JJ28">
        <v>30.000499999999999</v>
      </c>
      <c r="JK28">
        <v>35.338900000000002</v>
      </c>
      <c r="JL28">
        <v>35.319099999999999</v>
      </c>
      <c r="JM28">
        <v>6.0835499999999998</v>
      </c>
      <c r="JN28">
        <v>38.433999999999997</v>
      </c>
      <c r="JO28">
        <v>89.160899999999998</v>
      </c>
      <c r="JP28">
        <v>27.699200000000001</v>
      </c>
      <c r="JQ28">
        <v>70</v>
      </c>
      <c r="JR28">
        <v>23.148399999999999</v>
      </c>
      <c r="JS28">
        <v>98.287099999999995</v>
      </c>
      <c r="JT28">
        <v>98.584199999999996</v>
      </c>
    </row>
    <row r="29" spans="1:280" x14ac:dyDescent="0.25">
      <c r="A29">
        <v>13</v>
      </c>
      <c r="B29">
        <v>1700149450.5999999</v>
      </c>
      <c r="C29">
        <v>1577.099999904633</v>
      </c>
      <c r="D29" t="s">
        <v>471</v>
      </c>
      <c r="E29" t="s">
        <v>472</v>
      </c>
      <c r="F29" t="s">
        <v>412</v>
      </c>
      <c r="G29" t="s">
        <v>413</v>
      </c>
      <c r="H29" t="s">
        <v>414</v>
      </c>
      <c r="I29">
        <v>1700149450.5999999</v>
      </c>
      <c r="J29">
        <f t="shared" si="0"/>
        <v>6.3214346861283849E-3</v>
      </c>
      <c r="K29">
        <f t="shared" si="1"/>
        <v>6.3214346861283852</v>
      </c>
      <c r="L29">
        <f t="shared" si="2"/>
        <v>4.4552253853748427</v>
      </c>
      <c r="M29">
        <f t="shared" si="3"/>
        <v>25.3809</v>
      </c>
      <c r="N29">
        <f t="shared" si="4"/>
        <v>9.2433388451216896</v>
      </c>
      <c r="O29">
        <f t="shared" si="5"/>
        <v>0.92042902677370853</v>
      </c>
      <c r="P29">
        <f t="shared" si="6"/>
        <v>2.5273678134141</v>
      </c>
      <c r="Q29">
        <f t="shared" si="7"/>
        <v>0.48573142164538274</v>
      </c>
      <c r="R29">
        <f t="shared" si="8"/>
        <v>3.1363648285413066</v>
      </c>
      <c r="S29">
        <f t="shared" si="9"/>
        <v>0.44747859478659718</v>
      </c>
      <c r="T29">
        <f t="shared" si="10"/>
        <v>0.28285952095079364</v>
      </c>
      <c r="U29">
        <f t="shared" si="11"/>
        <v>344.40039930222889</v>
      </c>
      <c r="V29">
        <f t="shared" si="12"/>
        <v>31.087446825175455</v>
      </c>
      <c r="W29">
        <f t="shared" si="13"/>
        <v>30.0045</v>
      </c>
      <c r="X29">
        <f t="shared" si="14"/>
        <v>4.2615511218062672</v>
      </c>
      <c r="Y29">
        <f t="shared" si="15"/>
        <v>65.421095204900865</v>
      </c>
      <c r="Z29">
        <f t="shared" si="16"/>
        <v>2.9054637669671002</v>
      </c>
      <c r="AA29">
        <f t="shared" si="17"/>
        <v>4.4411726185064602</v>
      </c>
      <c r="AB29">
        <f t="shared" si="18"/>
        <v>1.356087354839167</v>
      </c>
      <c r="AC29">
        <f t="shared" si="19"/>
        <v>-278.77526965826178</v>
      </c>
      <c r="AD29">
        <f t="shared" si="20"/>
        <v>121.86150584859517</v>
      </c>
      <c r="AE29">
        <f t="shared" si="21"/>
        <v>8.6705682837146743</v>
      </c>
      <c r="AF29">
        <f t="shared" si="22"/>
        <v>196.15720377627696</v>
      </c>
      <c r="AG29">
        <v>1</v>
      </c>
      <c r="AH29">
        <v>0</v>
      </c>
      <c r="AI29">
        <f t="shared" si="23"/>
        <v>1</v>
      </c>
      <c r="AJ29">
        <f t="shared" si="24"/>
        <v>0</v>
      </c>
      <c r="AK29">
        <f t="shared" si="25"/>
        <v>52008.654974035577</v>
      </c>
      <c r="AL29" t="s">
        <v>427</v>
      </c>
      <c r="AM29" t="s">
        <v>427</v>
      </c>
      <c r="AN29">
        <v>0</v>
      </c>
      <c r="AO29">
        <v>0</v>
      </c>
      <c r="AP29" t="e">
        <f t="shared" si="26"/>
        <v>#DIV/0!</v>
      </c>
      <c r="AQ29">
        <v>0</v>
      </c>
      <c r="AR29" t="s">
        <v>427</v>
      </c>
      <c r="AS29" t="s">
        <v>427</v>
      </c>
      <c r="AT29">
        <v>0</v>
      </c>
      <c r="AU29">
        <v>0</v>
      </c>
      <c r="AV29" t="e">
        <f t="shared" si="27"/>
        <v>#DIV/0!</v>
      </c>
      <c r="AW29">
        <v>0.5</v>
      </c>
      <c r="AX29">
        <f t="shared" si="28"/>
        <v>1513.3193996511145</v>
      </c>
      <c r="AY29">
        <f t="shared" si="29"/>
        <v>4.4552253853748427</v>
      </c>
      <c r="AZ29" t="e">
        <f t="shared" si="30"/>
        <v>#DIV/0!</v>
      </c>
      <c r="BA29">
        <f t="shared" si="31"/>
        <v>2.9440086384949302E-3</v>
      </c>
      <c r="BB29" t="e">
        <f t="shared" si="32"/>
        <v>#DIV/0!</v>
      </c>
      <c r="BC29" t="e">
        <f t="shared" si="33"/>
        <v>#DIV/0!</v>
      </c>
      <c r="BD29" t="s">
        <v>427</v>
      </c>
      <c r="BE29">
        <v>0</v>
      </c>
      <c r="BF29" t="e">
        <f t="shared" si="34"/>
        <v>#DIV/0!</v>
      </c>
      <c r="BG29" t="e">
        <f t="shared" si="35"/>
        <v>#DIV/0!</v>
      </c>
      <c r="BH29" t="e">
        <f t="shared" si="36"/>
        <v>#DIV/0!</v>
      </c>
      <c r="BI29" t="e">
        <f t="shared" si="37"/>
        <v>#DIV/0!</v>
      </c>
      <c r="BJ29" t="e">
        <f t="shared" si="38"/>
        <v>#DIV/0!</v>
      </c>
      <c r="BK29" t="e">
        <f t="shared" si="39"/>
        <v>#DIV/0!</v>
      </c>
      <c r="BL29" t="e">
        <f t="shared" si="40"/>
        <v>#DIV/0!</v>
      </c>
      <c r="BM29" t="e">
        <f t="shared" si="41"/>
        <v>#DIV/0!</v>
      </c>
      <c r="BN29">
        <v>11264</v>
      </c>
      <c r="BO29">
        <v>290.00000000000011</v>
      </c>
      <c r="BP29">
        <v>683.1</v>
      </c>
      <c r="BQ29">
        <v>285</v>
      </c>
      <c r="BR29">
        <v>7116.42</v>
      </c>
      <c r="BS29">
        <v>684.12</v>
      </c>
      <c r="BT29">
        <v>-1.02</v>
      </c>
      <c r="BU29">
        <v>300.00000000000011</v>
      </c>
      <c r="BV29">
        <v>38.299999999999997</v>
      </c>
      <c r="BW29">
        <v>707.09944514267067</v>
      </c>
      <c r="BX29">
        <v>1.0717730677955111</v>
      </c>
      <c r="BY29">
        <v>-16.356287155191911</v>
      </c>
      <c r="BZ29">
        <v>0.63934225583055548</v>
      </c>
      <c r="CA29">
        <v>0.9589737233993173</v>
      </c>
      <c r="CB29">
        <v>-7.0166925472747513E-3</v>
      </c>
      <c r="CC29">
        <v>289.99999999999989</v>
      </c>
      <c r="CD29">
        <v>685.39</v>
      </c>
      <c r="CE29">
        <v>765</v>
      </c>
      <c r="CF29">
        <v>7109.22</v>
      </c>
      <c r="CG29">
        <v>684.09</v>
      </c>
      <c r="CH29">
        <v>1.3</v>
      </c>
      <c r="CV29">
        <f t="shared" si="42"/>
        <v>1800.16</v>
      </c>
      <c r="CW29">
        <f t="shared" si="43"/>
        <v>1513.3193996511145</v>
      </c>
      <c r="CX29">
        <f t="shared" si="44"/>
        <v>0.8406582746262079</v>
      </c>
      <c r="CY29">
        <f t="shared" si="45"/>
        <v>0.19131654925241584</v>
      </c>
      <c r="CZ29">
        <v>5</v>
      </c>
      <c r="DA29">
        <v>0.5</v>
      </c>
      <c r="DB29" t="s">
        <v>418</v>
      </c>
      <c r="DC29">
        <v>2</v>
      </c>
      <c r="DD29">
        <v>1700149450.5999999</v>
      </c>
      <c r="DE29">
        <v>25.3809</v>
      </c>
      <c r="DF29">
        <v>29.9956</v>
      </c>
      <c r="DG29">
        <v>29.177900000000001</v>
      </c>
      <c r="DH29">
        <v>23.042200000000001</v>
      </c>
      <c r="DI29">
        <v>25.4312</v>
      </c>
      <c r="DJ29">
        <v>29.188199999999998</v>
      </c>
      <c r="DK29">
        <v>500.10500000000002</v>
      </c>
      <c r="DL29">
        <v>99.477699999999999</v>
      </c>
      <c r="DM29">
        <v>9.9848999999999993E-2</v>
      </c>
      <c r="DN29">
        <v>30.725200000000001</v>
      </c>
      <c r="DO29">
        <v>30.0045</v>
      </c>
      <c r="DP29">
        <v>999.9</v>
      </c>
      <c r="DQ29">
        <v>0</v>
      </c>
      <c r="DR29">
        <v>0</v>
      </c>
      <c r="DS29">
        <v>10010.6</v>
      </c>
      <c r="DT29">
        <v>0</v>
      </c>
      <c r="DU29">
        <v>325.98500000000001</v>
      </c>
      <c r="DV29">
        <v>-4.6147</v>
      </c>
      <c r="DW29">
        <v>26.143699999999999</v>
      </c>
      <c r="DX29">
        <v>30.703099999999999</v>
      </c>
      <c r="DY29">
        <v>6.1357799999999996</v>
      </c>
      <c r="DZ29">
        <v>29.9956</v>
      </c>
      <c r="EA29">
        <v>23.042200000000001</v>
      </c>
      <c r="EB29">
        <v>2.9025500000000002</v>
      </c>
      <c r="EC29">
        <v>2.2921800000000001</v>
      </c>
      <c r="ED29">
        <v>23.479199999999999</v>
      </c>
      <c r="EE29">
        <v>19.621600000000001</v>
      </c>
      <c r="EF29">
        <v>1800.16</v>
      </c>
      <c r="EG29">
        <v>0.97799400000000003</v>
      </c>
      <c r="EH29">
        <v>2.20056E-2</v>
      </c>
      <c r="EI29">
        <v>0</v>
      </c>
      <c r="EJ29">
        <v>631.803</v>
      </c>
      <c r="EK29">
        <v>5.0005300000000004</v>
      </c>
      <c r="EL29">
        <v>12906.4</v>
      </c>
      <c r="EM29">
        <v>16036.7</v>
      </c>
      <c r="EN29">
        <v>49.061999999999998</v>
      </c>
      <c r="EO29">
        <v>50.311999999999998</v>
      </c>
      <c r="EP29">
        <v>49.75</v>
      </c>
      <c r="EQ29">
        <v>49.75</v>
      </c>
      <c r="ER29">
        <v>50.25</v>
      </c>
      <c r="ES29">
        <v>1755.66</v>
      </c>
      <c r="ET29">
        <v>39.5</v>
      </c>
      <c r="EU29">
        <v>0</v>
      </c>
      <c r="EV29">
        <v>135.19999980926511</v>
      </c>
      <c r="EW29">
        <v>0</v>
      </c>
      <c r="EX29">
        <v>631.69296153846165</v>
      </c>
      <c r="EY29">
        <v>0.38642735148111451</v>
      </c>
      <c r="EZ29">
        <v>38.417094192998199</v>
      </c>
      <c r="FA29">
        <v>12904.188461538461</v>
      </c>
      <c r="FB29">
        <v>15</v>
      </c>
      <c r="FC29">
        <v>1700149420.5999999</v>
      </c>
      <c r="FD29" t="s">
        <v>473</v>
      </c>
      <c r="FE29">
        <v>1700149409.5999999</v>
      </c>
      <c r="FF29">
        <v>1700149420.5999999</v>
      </c>
      <c r="FG29">
        <v>14</v>
      </c>
      <c r="FH29">
        <v>0.05</v>
      </c>
      <c r="FI29">
        <v>0</v>
      </c>
      <c r="FJ29">
        <v>-0.05</v>
      </c>
      <c r="FK29">
        <v>-0.01</v>
      </c>
      <c r="FL29">
        <v>30</v>
      </c>
      <c r="FM29">
        <v>23</v>
      </c>
      <c r="FN29">
        <v>0.28999999999999998</v>
      </c>
      <c r="FO29">
        <v>0.01</v>
      </c>
      <c r="FP29">
        <v>4.4814945405660724</v>
      </c>
      <c r="FQ29">
        <v>-0.2016099072924469</v>
      </c>
      <c r="FR29">
        <v>2.4378413862823418E-2</v>
      </c>
      <c r="FS29">
        <v>1</v>
      </c>
      <c r="FT29">
        <v>0.48825370206698931</v>
      </c>
      <c r="FU29">
        <v>4.3691850386262637E-2</v>
      </c>
      <c r="FV29">
        <v>5.0338173457916517E-3</v>
      </c>
      <c r="FW29">
        <v>1</v>
      </c>
      <c r="FX29">
        <v>2</v>
      </c>
      <c r="FY29">
        <v>2</v>
      </c>
      <c r="FZ29" t="s">
        <v>420</v>
      </c>
      <c r="GA29">
        <v>3.1261100000000002</v>
      </c>
      <c r="GB29">
        <v>2.7668200000000001</v>
      </c>
      <c r="GC29">
        <v>6.8194900000000001E-3</v>
      </c>
      <c r="GD29">
        <v>8.0490800000000001E-3</v>
      </c>
      <c r="GE29">
        <v>0.12293999999999999</v>
      </c>
      <c r="GF29">
        <v>0.10438699999999999</v>
      </c>
      <c r="GG29">
        <v>23600.2</v>
      </c>
      <c r="GH29">
        <v>24503.3</v>
      </c>
      <c r="GI29">
        <v>23636.1</v>
      </c>
      <c r="GJ29">
        <v>25028.799999999999</v>
      </c>
      <c r="GK29">
        <v>29855.4</v>
      </c>
      <c r="GL29">
        <v>31422.1</v>
      </c>
      <c r="GM29">
        <v>37677.599999999999</v>
      </c>
      <c r="GN29">
        <v>38951.699999999997</v>
      </c>
      <c r="GO29">
        <v>2.0787300000000002</v>
      </c>
      <c r="GP29">
        <v>1.7779</v>
      </c>
      <c r="GQ29">
        <v>-4.5858299999999998E-2</v>
      </c>
      <c r="GR29">
        <v>0</v>
      </c>
      <c r="GS29">
        <v>30.750299999999999</v>
      </c>
      <c r="GT29">
        <v>999.9</v>
      </c>
      <c r="GU29">
        <v>54.9</v>
      </c>
      <c r="GV29">
        <v>35.5</v>
      </c>
      <c r="GW29">
        <v>32.048099999999998</v>
      </c>
      <c r="GX29">
        <v>60.446399999999997</v>
      </c>
      <c r="GY29">
        <v>26.330100000000002</v>
      </c>
      <c r="GZ29">
        <v>1</v>
      </c>
      <c r="HA29">
        <v>0.69223599999999996</v>
      </c>
      <c r="HB29">
        <v>2.6169799999999999</v>
      </c>
      <c r="HC29">
        <v>20.299900000000001</v>
      </c>
      <c r="HD29">
        <v>5.2515799999999997</v>
      </c>
      <c r="HE29">
        <v>12.0099</v>
      </c>
      <c r="HF29">
        <v>4.9788500000000004</v>
      </c>
      <c r="HG29">
        <v>3.2930000000000001</v>
      </c>
      <c r="HH29">
        <v>9999</v>
      </c>
      <c r="HI29">
        <v>9999</v>
      </c>
      <c r="HJ29">
        <v>9999</v>
      </c>
      <c r="HK29">
        <v>999.9</v>
      </c>
      <c r="HL29">
        <v>1.8761300000000001</v>
      </c>
      <c r="HM29">
        <v>1.8769800000000001</v>
      </c>
      <c r="HN29">
        <v>1.8832599999999999</v>
      </c>
      <c r="HO29">
        <v>1.88642</v>
      </c>
      <c r="HP29">
        <v>1.8771500000000001</v>
      </c>
      <c r="HQ29">
        <v>1.88371</v>
      </c>
      <c r="HR29">
        <v>1.88263</v>
      </c>
      <c r="HS29">
        <v>1.8860300000000001</v>
      </c>
      <c r="HT29">
        <v>5</v>
      </c>
      <c r="HU29">
        <v>0</v>
      </c>
      <c r="HV29">
        <v>0</v>
      </c>
      <c r="HW29">
        <v>0</v>
      </c>
      <c r="HX29" t="s">
        <v>421</v>
      </c>
      <c r="HY29" t="s">
        <v>422</v>
      </c>
      <c r="HZ29" t="s">
        <v>423</v>
      </c>
      <c r="IA29" t="s">
        <v>424</v>
      </c>
      <c r="IB29" t="s">
        <v>424</v>
      </c>
      <c r="IC29" t="s">
        <v>423</v>
      </c>
      <c r="ID29">
        <v>0</v>
      </c>
      <c r="IE29">
        <v>100</v>
      </c>
      <c r="IF29">
        <v>100</v>
      </c>
      <c r="IG29">
        <v>-0.05</v>
      </c>
      <c r="IH29">
        <v>-1.03E-2</v>
      </c>
      <c r="II29">
        <v>-5.1335547914838381E-2</v>
      </c>
      <c r="IJ29">
        <v>4.4610147972834149E-5</v>
      </c>
      <c r="IK29">
        <v>-2.082673137682459E-7</v>
      </c>
      <c r="IL29">
        <v>-4.0725795306076518E-11</v>
      </c>
      <c r="IM29">
        <v>-1.025500000000079E-2</v>
      </c>
      <c r="IN29">
        <v>0</v>
      </c>
      <c r="IO29">
        <v>0</v>
      </c>
      <c r="IP29">
        <v>0</v>
      </c>
      <c r="IQ29">
        <v>3</v>
      </c>
      <c r="IR29">
        <v>2179</v>
      </c>
      <c r="IS29">
        <v>0</v>
      </c>
      <c r="IT29">
        <v>22</v>
      </c>
      <c r="IU29">
        <v>0.7</v>
      </c>
      <c r="IV29">
        <v>0.5</v>
      </c>
      <c r="IW29">
        <v>0.21728500000000001</v>
      </c>
      <c r="IX29">
        <v>2.7172900000000002</v>
      </c>
      <c r="IY29">
        <v>1.6015600000000001</v>
      </c>
      <c r="IZ29">
        <v>2.3339799999999999</v>
      </c>
      <c r="JA29">
        <v>1.5502899999999999</v>
      </c>
      <c r="JB29">
        <v>2.4584999999999999</v>
      </c>
      <c r="JC29">
        <v>42.510300000000001</v>
      </c>
      <c r="JD29">
        <v>24.008700000000001</v>
      </c>
      <c r="JE29">
        <v>18</v>
      </c>
      <c r="JF29">
        <v>572.38499999999999</v>
      </c>
      <c r="JG29">
        <v>409.40100000000001</v>
      </c>
      <c r="JH29">
        <v>27.711500000000001</v>
      </c>
      <c r="JI29">
        <v>35.497</v>
      </c>
      <c r="JJ29">
        <v>30.0001</v>
      </c>
      <c r="JK29">
        <v>35.440800000000003</v>
      </c>
      <c r="JL29">
        <v>35.422199999999997</v>
      </c>
      <c r="JM29">
        <v>4.3351899999999999</v>
      </c>
      <c r="JN29">
        <v>38.615299999999998</v>
      </c>
      <c r="JO29">
        <v>85.580299999999994</v>
      </c>
      <c r="JP29">
        <v>27.718900000000001</v>
      </c>
      <c r="JQ29">
        <v>30</v>
      </c>
      <c r="JR29">
        <v>22.988800000000001</v>
      </c>
      <c r="JS29">
        <v>98.272099999999995</v>
      </c>
      <c r="JT29">
        <v>98.573099999999997</v>
      </c>
    </row>
    <row r="30" spans="1:280" x14ac:dyDescent="0.25">
      <c r="A30">
        <v>14</v>
      </c>
      <c r="B30">
        <v>1700149574.0999999</v>
      </c>
      <c r="C30">
        <v>1700.599999904633</v>
      </c>
      <c r="D30" t="s">
        <v>474</v>
      </c>
      <c r="E30" t="s">
        <v>475</v>
      </c>
      <c r="F30" t="s">
        <v>412</v>
      </c>
      <c r="G30" t="s">
        <v>413</v>
      </c>
      <c r="H30" t="s">
        <v>414</v>
      </c>
      <c r="I30">
        <v>1700149574.0999999</v>
      </c>
      <c r="J30">
        <f t="shared" si="0"/>
        <v>6.378207953025271E-3</v>
      </c>
      <c r="K30">
        <f t="shared" si="1"/>
        <v>6.3782079530252709</v>
      </c>
      <c r="L30">
        <f t="shared" si="2"/>
        <v>1.3683883287854413</v>
      </c>
      <c r="M30">
        <f t="shared" si="3"/>
        <v>8.5731599999999997</v>
      </c>
      <c r="N30">
        <f t="shared" si="4"/>
        <v>3.6426803378142645</v>
      </c>
      <c r="O30">
        <f t="shared" si="5"/>
        <v>0.36269001373104431</v>
      </c>
      <c r="P30">
        <f t="shared" si="6"/>
        <v>0.85360208136852012</v>
      </c>
      <c r="Q30">
        <f t="shared" si="7"/>
        <v>0.49051692552655235</v>
      </c>
      <c r="R30">
        <f t="shared" si="8"/>
        <v>3.1335737691237058</v>
      </c>
      <c r="S30">
        <f t="shared" si="9"/>
        <v>0.45150726547042369</v>
      </c>
      <c r="T30">
        <f t="shared" si="10"/>
        <v>0.28543793103474974</v>
      </c>
      <c r="U30">
        <f t="shared" si="11"/>
        <v>344.34719930212037</v>
      </c>
      <c r="V30">
        <f t="shared" si="12"/>
        <v>31.10301553105727</v>
      </c>
      <c r="W30">
        <f t="shared" si="13"/>
        <v>30.010200000000001</v>
      </c>
      <c r="X30">
        <f t="shared" si="14"/>
        <v>4.2629465205437258</v>
      </c>
      <c r="Y30">
        <f t="shared" si="15"/>
        <v>65.347231155704065</v>
      </c>
      <c r="Z30">
        <f t="shared" si="16"/>
        <v>2.9070617286887002</v>
      </c>
      <c r="AA30">
        <f t="shared" si="17"/>
        <v>4.4486379564606038</v>
      </c>
      <c r="AB30">
        <f t="shared" si="18"/>
        <v>1.3558847918550256</v>
      </c>
      <c r="AC30">
        <f t="shared" si="19"/>
        <v>-281.27897072841444</v>
      </c>
      <c r="AD30">
        <f t="shared" si="20"/>
        <v>125.75687329811815</v>
      </c>
      <c r="AE30">
        <f t="shared" si="21"/>
        <v>8.9572525058991079</v>
      </c>
      <c r="AF30">
        <f t="shared" si="22"/>
        <v>197.78235437772321</v>
      </c>
      <c r="AG30">
        <v>2</v>
      </c>
      <c r="AH30">
        <v>0</v>
      </c>
      <c r="AI30">
        <f t="shared" si="23"/>
        <v>1</v>
      </c>
      <c r="AJ30">
        <f t="shared" si="24"/>
        <v>0</v>
      </c>
      <c r="AK30">
        <f t="shared" si="25"/>
        <v>51932.611677894922</v>
      </c>
      <c r="AL30" t="s">
        <v>415</v>
      </c>
      <c r="AM30">
        <v>6977.87</v>
      </c>
      <c r="AN30">
        <v>273.15280000000001</v>
      </c>
      <c r="AO30">
        <v>850.46774885301022</v>
      </c>
      <c r="AP30">
        <f t="shared" si="26"/>
        <v>0.67882050745793765</v>
      </c>
      <c r="AQ30">
        <v>-1.0323826813720729</v>
      </c>
      <c r="AR30" t="s">
        <v>476</v>
      </c>
      <c r="AS30">
        <v>7120.21</v>
      </c>
      <c r="AT30">
        <v>642.40351999999996</v>
      </c>
      <c r="AU30">
        <v>685.04350759381464</v>
      </c>
      <c r="AV30">
        <f t="shared" si="27"/>
        <v>6.2244203647131457E-2</v>
      </c>
      <c r="AW30">
        <v>0.5</v>
      </c>
      <c r="AX30">
        <f t="shared" si="28"/>
        <v>1513.0841996510601</v>
      </c>
      <c r="AY30">
        <f t="shared" si="29"/>
        <v>1.3683883287854413</v>
      </c>
      <c r="AZ30">
        <f t="shared" si="30"/>
        <v>47.090360529168748</v>
      </c>
      <c r="BA30">
        <f t="shared" si="31"/>
        <v>1.5866737691869149E-3</v>
      </c>
      <c r="BB30">
        <f t="shared" si="32"/>
        <v>0.24147990518184895</v>
      </c>
      <c r="BC30">
        <f t="shared" si="33"/>
        <v>253.4923412704849</v>
      </c>
      <c r="BD30" t="s">
        <v>477</v>
      </c>
      <c r="BE30">
        <v>451.69</v>
      </c>
      <c r="BF30">
        <f t="shared" si="34"/>
        <v>451.69</v>
      </c>
      <c r="BG30">
        <f t="shared" si="35"/>
        <v>0.34064041919535681</v>
      </c>
      <c r="BH30">
        <f t="shared" si="36"/>
        <v>0.18272700519263552</v>
      </c>
      <c r="BI30">
        <f t="shared" si="37"/>
        <v>0.414828163645036</v>
      </c>
      <c r="BJ30">
        <f t="shared" si="38"/>
        <v>0.10352257724605926</v>
      </c>
      <c r="BK30">
        <f t="shared" si="39"/>
        <v>0.28654072025651656</v>
      </c>
      <c r="BL30">
        <f t="shared" si="40"/>
        <v>0.12847993263713989</v>
      </c>
      <c r="BM30">
        <f t="shared" si="41"/>
        <v>0.87152006736286014</v>
      </c>
      <c r="BN30">
        <v>11266</v>
      </c>
      <c r="BO30">
        <v>290.00000000000011</v>
      </c>
      <c r="BP30">
        <v>674.8</v>
      </c>
      <c r="BQ30">
        <v>205</v>
      </c>
      <c r="BR30">
        <v>7120.21</v>
      </c>
      <c r="BS30">
        <v>673.51</v>
      </c>
      <c r="BT30">
        <v>1.29</v>
      </c>
      <c r="BU30">
        <v>300.00000000000011</v>
      </c>
      <c r="BV30">
        <v>38.299999999999997</v>
      </c>
      <c r="BW30">
        <v>685.04350759381464</v>
      </c>
      <c r="BX30">
        <v>0.98589241100863212</v>
      </c>
      <c r="BY30">
        <v>-8.2131660478740809</v>
      </c>
      <c r="BZ30">
        <v>0.58809535335409047</v>
      </c>
      <c r="CA30">
        <v>0.87446249105583729</v>
      </c>
      <c r="CB30">
        <v>-7.0164767519466124E-3</v>
      </c>
      <c r="CC30">
        <v>289.99999999999989</v>
      </c>
      <c r="CD30">
        <v>673.95</v>
      </c>
      <c r="CE30">
        <v>825</v>
      </c>
      <c r="CF30">
        <v>7107.72</v>
      </c>
      <c r="CG30">
        <v>673.49</v>
      </c>
      <c r="CH30">
        <v>0.46</v>
      </c>
      <c r="CV30">
        <f t="shared" si="42"/>
        <v>1799.88</v>
      </c>
      <c r="CW30">
        <f t="shared" si="43"/>
        <v>1513.0841996510601</v>
      </c>
      <c r="CX30">
        <f t="shared" si="44"/>
        <v>0.84065837703127988</v>
      </c>
      <c r="CY30">
        <f t="shared" si="45"/>
        <v>0.19131675406255993</v>
      </c>
      <c r="CZ30">
        <v>5</v>
      </c>
      <c r="DA30">
        <v>0.5</v>
      </c>
      <c r="DB30" t="s">
        <v>418</v>
      </c>
      <c r="DC30">
        <v>2</v>
      </c>
      <c r="DD30">
        <v>1700149574.0999999</v>
      </c>
      <c r="DE30">
        <v>8.5731599999999997</v>
      </c>
      <c r="DF30">
        <v>9.9958200000000001</v>
      </c>
      <c r="DG30">
        <v>29.197099999999999</v>
      </c>
      <c r="DH30">
        <v>23.006900000000002</v>
      </c>
      <c r="DI30">
        <v>8.6217100000000002</v>
      </c>
      <c r="DJ30">
        <v>29.208100000000002</v>
      </c>
      <c r="DK30">
        <v>500.14400000000001</v>
      </c>
      <c r="DL30">
        <v>99.466700000000003</v>
      </c>
      <c r="DM30">
        <v>0.10009700000000001</v>
      </c>
      <c r="DN30">
        <v>30.7546</v>
      </c>
      <c r="DO30">
        <v>30.010200000000001</v>
      </c>
      <c r="DP30">
        <v>999.9</v>
      </c>
      <c r="DQ30">
        <v>0</v>
      </c>
      <c r="DR30">
        <v>0</v>
      </c>
      <c r="DS30">
        <v>9997.5</v>
      </c>
      <c r="DT30">
        <v>0</v>
      </c>
      <c r="DU30">
        <v>320.93200000000002</v>
      </c>
      <c r="DV30">
        <v>-1.42266</v>
      </c>
      <c r="DW30">
        <v>8.8309999999999995</v>
      </c>
      <c r="DX30">
        <v>10.231199999999999</v>
      </c>
      <c r="DY30">
        <v>6.1901599999999997</v>
      </c>
      <c r="DZ30">
        <v>9.9958200000000001</v>
      </c>
      <c r="EA30">
        <v>23.006900000000002</v>
      </c>
      <c r="EB30">
        <v>2.9041399999999999</v>
      </c>
      <c r="EC30">
        <v>2.2884199999999999</v>
      </c>
      <c r="ED30">
        <v>23.488299999999999</v>
      </c>
      <c r="EE30">
        <v>19.595099999999999</v>
      </c>
      <c r="EF30">
        <v>1799.88</v>
      </c>
      <c r="EG30">
        <v>0.97799100000000005</v>
      </c>
      <c r="EH30">
        <v>2.20091E-2</v>
      </c>
      <c r="EI30">
        <v>0</v>
      </c>
      <c r="EJ30">
        <v>642.37099999999998</v>
      </c>
      <c r="EK30">
        <v>5.0005300000000004</v>
      </c>
      <c r="EL30">
        <v>13248.6</v>
      </c>
      <c r="EM30">
        <v>16034.2</v>
      </c>
      <c r="EN30">
        <v>49.061999999999998</v>
      </c>
      <c r="EO30">
        <v>50.311999999999998</v>
      </c>
      <c r="EP30">
        <v>49.75</v>
      </c>
      <c r="EQ30">
        <v>49.75</v>
      </c>
      <c r="ER30">
        <v>50.25</v>
      </c>
      <c r="ES30">
        <v>1755.38</v>
      </c>
      <c r="ET30">
        <v>39.5</v>
      </c>
      <c r="EU30">
        <v>0</v>
      </c>
      <c r="EV30">
        <v>258.19999980926508</v>
      </c>
      <c r="EW30">
        <v>0</v>
      </c>
      <c r="EX30">
        <v>642.40351999999996</v>
      </c>
      <c r="EY30">
        <v>-0.75892308166975542</v>
      </c>
      <c r="EZ30">
        <v>-238.40000064558481</v>
      </c>
      <c r="FA30">
        <v>13274.824000000001</v>
      </c>
      <c r="FB30">
        <v>15</v>
      </c>
      <c r="FC30">
        <v>1700149543.0999999</v>
      </c>
      <c r="FD30" t="s">
        <v>478</v>
      </c>
      <c r="FE30">
        <v>1700149532.0999999</v>
      </c>
      <c r="FF30">
        <v>1700149543.0999999</v>
      </c>
      <c r="FG30">
        <v>15</v>
      </c>
      <c r="FH30">
        <v>2E-3</v>
      </c>
      <c r="FI30">
        <v>-1E-3</v>
      </c>
      <c r="FJ30">
        <v>-4.8000000000000001E-2</v>
      </c>
      <c r="FK30">
        <v>-1.0999999999999999E-2</v>
      </c>
      <c r="FL30">
        <v>10</v>
      </c>
      <c r="FM30">
        <v>23</v>
      </c>
      <c r="FN30">
        <v>0.23</v>
      </c>
      <c r="FO30">
        <v>0.01</v>
      </c>
      <c r="FP30">
        <v>1.356498682162135</v>
      </c>
      <c r="FQ30">
        <v>0.16218888925692271</v>
      </c>
      <c r="FR30">
        <v>2.0735385233138202E-2</v>
      </c>
      <c r="FS30">
        <v>1</v>
      </c>
      <c r="FT30">
        <v>0.49585559562340842</v>
      </c>
      <c r="FU30">
        <v>2.4677964295483849E-2</v>
      </c>
      <c r="FV30">
        <v>4.5975864816976807E-3</v>
      </c>
      <c r="FW30">
        <v>1</v>
      </c>
      <c r="FX30">
        <v>2</v>
      </c>
      <c r="FY30">
        <v>2</v>
      </c>
      <c r="FZ30" t="s">
        <v>420</v>
      </c>
      <c r="GA30">
        <v>3.1263899999999998</v>
      </c>
      <c r="GB30">
        <v>2.76695</v>
      </c>
      <c r="GC30">
        <v>2.3135600000000001E-3</v>
      </c>
      <c r="GD30">
        <v>2.68447E-3</v>
      </c>
      <c r="GE30">
        <v>0.122964</v>
      </c>
      <c r="GF30">
        <v>0.104244</v>
      </c>
      <c r="GG30">
        <v>23704.5</v>
      </c>
      <c r="GH30">
        <v>24633.9</v>
      </c>
      <c r="GI30">
        <v>23634</v>
      </c>
      <c r="GJ30">
        <v>25027.5</v>
      </c>
      <c r="GK30">
        <v>29852.1</v>
      </c>
      <c r="GL30">
        <v>31425.9</v>
      </c>
      <c r="GM30">
        <v>37674.400000000001</v>
      </c>
      <c r="GN30">
        <v>38950.199999999997</v>
      </c>
      <c r="GO30">
        <v>2.0761500000000002</v>
      </c>
      <c r="GP30">
        <v>1.7744800000000001</v>
      </c>
      <c r="GQ30">
        <v>-4.45172E-2</v>
      </c>
      <c r="GR30">
        <v>0</v>
      </c>
      <c r="GS30">
        <v>30.734200000000001</v>
      </c>
      <c r="GT30">
        <v>999.9</v>
      </c>
      <c r="GU30">
        <v>53.9</v>
      </c>
      <c r="GV30">
        <v>35.799999999999997</v>
      </c>
      <c r="GW30">
        <v>31.988900000000001</v>
      </c>
      <c r="GX30">
        <v>60.346400000000003</v>
      </c>
      <c r="GY30">
        <v>26.642600000000002</v>
      </c>
      <c r="GZ30">
        <v>1</v>
      </c>
      <c r="HA30">
        <v>0.69736299999999996</v>
      </c>
      <c r="HB30">
        <v>2.6943700000000002</v>
      </c>
      <c r="HC30">
        <v>20.298300000000001</v>
      </c>
      <c r="HD30">
        <v>5.25143</v>
      </c>
      <c r="HE30">
        <v>12.0099</v>
      </c>
      <c r="HF30">
        <v>4.9790000000000001</v>
      </c>
      <c r="HG30">
        <v>3.2930000000000001</v>
      </c>
      <c r="HH30">
        <v>9999</v>
      </c>
      <c r="HI30">
        <v>9999</v>
      </c>
      <c r="HJ30">
        <v>9999</v>
      </c>
      <c r="HK30">
        <v>999.9</v>
      </c>
      <c r="HL30">
        <v>1.87608</v>
      </c>
      <c r="HM30">
        <v>1.8769800000000001</v>
      </c>
      <c r="HN30">
        <v>1.88324</v>
      </c>
      <c r="HO30">
        <v>1.8864099999999999</v>
      </c>
      <c r="HP30">
        <v>1.87714</v>
      </c>
      <c r="HQ30">
        <v>1.8836999999999999</v>
      </c>
      <c r="HR30">
        <v>1.8826400000000001</v>
      </c>
      <c r="HS30">
        <v>1.8860300000000001</v>
      </c>
      <c r="HT30">
        <v>5</v>
      </c>
      <c r="HU30">
        <v>0</v>
      </c>
      <c r="HV30">
        <v>0</v>
      </c>
      <c r="HW30">
        <v>0</v>
      </c>
      <c r="HX30" t="s">
        <v>421</v>
      </c>
      <c r="HY30" t="s">
        <v>422</v>
      </c>
      <c r="HZ30" t="s">
        <v>423</v>
      </c>
      <c r="IA30" t="s">
        <v>424</v>
      </c>
      <c r="IB30" t="s">
        <v>424</v>
      </c>
      <c r="IC30" t="s">
        <v>423</v>
      </c>
      <c r="ID30">
        <v>0</v>
      </c>
      <c r="IE30">
        <v>100</v>
      </c>
      <c r="IF30">
        <v>100</v>
      </c>
      <c r="IG30">
        <v>-4.9000000000000002E-2</v>
      </c>
      <c r="IH30">
        <v>-1.0999999999999999E-2</v>
      </c>
      <c r="II30">
        <v>-4.89205414339412E-2</v>
      </c>
      <c r="IJ30">
        <v>4.4610147972834149E-5</v>
      </c>
      <c r="IK30">
        <v>-2.082673137682459E-7</v>
      </c>
      <c r="IL30">
        <v>-4.0725795306076518E-11</v>
      </c>
      <c r="IM30">
        <v>-1.106000000000407E-2</v>
      </c>
      <c r="IN30">
        <v>0</v>
      </c>
      <c r="IO30">
        <v>0</v>
      </c>
      <c r="IP30">
        <v>0</v>
      </c>
      <c r="IQ30">
        <v>3</v>
      </c>
      <c r="IR30">
        <v>2179</v>
      </c>
      <c r="IS30">
        <v>0</v>
      </c>
      <c r="IT30">
        <v>22</v>
      </c>
      <c r="IU30">
        <v>0.7</v>
      </c>
      <c r="IV30">
        <v>0.5</v>
      </c>
      <c r="IW30">
        <v>0.17456099999999999</v>
      </c>
      <c r="IX30">
        <v>2.7441399999999998</v>
      </c>
      <c r="IY30">
        <v>1.6015600000000001</v>
      </c>
      <c r="IZ30">
        <v>2.3327599999999999</v>
      </c>
      <c r="JA30">
        <v>1.5502899999999999</v>
      </c>
      <c r="JB30">
        <v>2.31812</v>
      </c>
      <c r="JC30">
        <v>42.8583</v>
      </c>
      <c r="JD30">
        <v>23.9999</v>
      </c>
      <c r="JE30">
        <v>18</v>
      </c>
      <c r="JF30">
        <v>571.25800000000004</v>
      </c>
      <c r="JG30">
        <v>407.69600000000003</v>
      </c>
      <c r="JH30">
        <v>27.726299999999998</v>
      </c>
      <c r="JI30">
        <v>35.567799999999998</v>
      </c>
      <c r="JJ30">
        <v>30.0002</v>
      </c>
      <c r="JK30">
        <v>35.519100000000002</v>
      </c>
      <c r="JL30">
        <v>35.5017</v>
      </c>
      <c r="JM30">
        <v>3.47899</v>
      </c>
      <c r="JN30">
        <v>37.920499999999997</v>
      </c>
      <c r="JO30">
        <v>82.467799999999997</v>
      </c>
      <c r="JP30">
        <v>27.7226</v>
      </c>
      <c r="JQ30">
        <v>10</v>
      </c>
      <c r="JR30">
        <v>22.941800000000001</v>
      </c>
      <c r="JS30">
        <v>98.263499999999993</v>
      </c>
      <c r="JT30">
        <v>98.568799999999996</v>
      </c>
    </row>
    <row r="31" spans="1:280" x14ac:dyDescent="0.25">
      <c r="A31">
        <v>15</v>
      </c>
      <c r="B31">
        <v>1700150748.0999999</v>
      </c>
      <c r="C31">
        <v>2874.599999904633</v>
      </c>
      <c r="D31" t="s">
        <v>479</v>
      </c>
      <c r="E31" t="s">
        <v>480</v>
      </c>
      <c r="F31" t="s">
        <v>412</v>
      </c>
      <c r="G31" t="s">
        <v>481</v>
      </c>
      <c r="H31" t="s">
        <v>31</v>
      </c>
      <c r="I31">
        <v>1700150748.0999999</v>
      </c>
      <c r="J31">
        <f t="shared" si="0"/>
        <v>3.611320885135823E-3</v>
      </c>
      <c r="K31">
        <f t="shared" si="1"/>
        <v>3.6113208851358229</v>
      </c>
      <c r="L31">
        <f t="shared" si="2"/>
        <v>39.282696406074322</v>
      </c>
      <c r="M31">
        <f t="shared" si="3"/>
        <v>410.94900000000001</v>
      </c>
      <c r="N31">
        <f t="shared" si="4"/>
        <v>135.01684500769994</v>
      </c>
      <c r="O31">
        <f t="shared" si="5"/>
        <v>13.436572087197652</v>
      </c>
      <c r="P31">
        <f t="shared" si="6"/>
        <v>40.896718200954005</v>
      </c>
      <c r="Q31">
        <f t="shared" si="7"/>
        <v>0.24191857907280467</v>
      </c>
      <c r="R31">
        <f t="shared" si="8"/>
        <v>3.182161967215424</v>
      </c>
      <c r="S31">
        <f t="shared" si="9"/>
        <v>0.2321458988635198</v>
      </c>
      <c r="T31">
        <f t="shared" si="10"/>
        <v>0.14593632748789859</v>
      </c>
      <c r="U31">
        <f t="shared" si="11"/>
        <v>344.36748613901409</v>
      </c>
      <c r="V31">
        <f t="shared" si="12"/>
        <v>30.94466349643551</v>
      </c>
      <c r="W31">
        <f t="shared" si="13"/>
        <v>30.000699999999998</v>
      </c>
      <c r="X31">
        <f t="shared" si="14"/>
        <v>4.260621077143453</v>
      </c>
      <c r="Y31">
        <f t="shared" si="15"/>
        <v>65.18884836548304</v>
      </c>
      <c r="Z31">
        <f t="shared" si="16"/>
        <v>2.7671605899522</v>
      </c>
      <c r="AA31">
        <f t="shared" si="17"/>
        <v>4.2448373599699742</v>
      </c>
      <c r="AB31">
        <f t="shared" si="18"/>
        <v>1.4934604871912529</v>
      </c>
      <c r="AC31">
        <f t="shared" si="19"/>
        <v>-159.25925103448981</v>
      </c>
      <c r="AD31">
        <f t="shared" si="20"/>
        <v>-11.08256385208283</v>
      </c>
      <c r="AE31">
        <f t="shared" si="21"/>
        <v>-0.77414296989560938</v>
      </c>
      <c r="AF31">
        <f t="shared" si="22"/>
        <v>173.25152828254585</v>
      </c>
      <c r="AG31">
        <v>23</v>
      </c>
      <c r="AH31">
        <v>5</v>
      </c>
      <c r="AI31">
        <f t="shared" si="23"/>
        <v>1</v>
      </c>
      <c r="AJ31">
        <f t="shared" si="24"/>
        <v>0</v>
      </c>
      <c r="AK31">
        <f t="shared" si="25"/>
        <v>51987.941582604377</v>
      </c>
      <c r="AL31" t="s">
        <v>415</v>
      </c>
      <c r="AM31">
        <v>6977.87</v>
      </c>
      <c r="AN31">
        <v>273.15280000000001</v>
      </c>
      <c r="AO31">
        <v>850.46774885301022</v>
      </c>
      <c r="AP31">
        <f t="shared" si="26"/>
        <v>0.67882050745793765</v>
      </c>
      <c r="AQ31">
        <v>-1.0323826813720729</v>
      </c>
      <c r="AR31" t="s">
        <v>482</v>
      </c>
      <c r="AS31">
        <v>7107.02</v>
      </c>
      <c r="AT31">
        <v>575.30683999999997</v>
      </c>
      <c r="AU31">
        <v>833.5826883154715</v>
      </c>
      <c r="AV31">
        <f t="shared" si="27"/>
        <v>0.30983830630816356</v>
      </c>
      <c r="AW31">
        <v>0.5</v>
      </c>
      <c r="AX31">
        <f t="shared" si="28"/>
        <v>1513.176293069507</v>
      </c>
      <c r="AY31">
        <f t="shared" si="29"/>
        <v>39.282696406074322</v>
      </c>
      <c r="AZ31">
        <f t="shared" si="30"/>
        <v>234.41998989516068</v>
      </c>
      <c r="BA31">
        <f t="shared" si="31"/>
        <v>2.6642684842535094E-2</v>
      </c>
      <c r="BB31">
        <f t="shared" si="32"/>
        <v>2.0256011520177499E-2</v>
      </c>
      <c r="BC31">
        <f t="shared" si="33"/>
        <v>271.38720491549407</v>
      </c>
      <c r="BD31" t="s">
        <v>483</v>
      </c>
      <c r="BE31">
        <v>393.16</v>
      </c>
      <c r="BF31">
        <f t="shared" si="34"/>
        <v>393.16</v>
      </c>
      <c r="BG31">
        <f t="shared" si="35"/>
        <v>0.5283491301930594</v>
      </c>
      <c r="BH31">
        <f t="shared" si="36"/>
        <v>0.58642720996805342</v>
      </c>
      <c r="BI31">
        <f t="shared" si="37"/>
        <v>3.6922751866524765E-2</v>
      </c>
      <c r="BJ31">
        <f t="shared" si="38"/>
        <v>0.46085309456244683</v>
      </c>
      <c r="BK31">
        <f t="shared" si="39"/>
        <v>2.9247572007420532E-2</v>
      </c>
      <c r="BL31">
        <f t="shared" si="40"/>
        <v>0.40075957009487306</v>
      </c>
      <c r="BM31">
        <f t="shared" si="41"/>
        <v>0.59924042990512694</v>
      </c>
      <c r="BN31">
        <v>11268</v>
      </c>
      <c r="BO31">
        <v>290.00000000000011</v>
      </c>
      <c r="BP31">
        <v>761.29</v>
      </c>
      <c r="BQ31">
        <v>285</v>
      </c>
      <c r="BR31">
        <v>7107.02</v>
      </c>
      <c r="BS31">
        <v>761.99</v>
      </c>
      <c r="BT31">
        <v>-0.7</v>
      </c>
      <c r="BU31">
        <v>300.00000000000011</v>
      </c>
      <c r="BV31">
        <v>38.299999999999997</v>
      </c>
      <c r="BW31">
        <v>833.5826883154715</v>
      </c>
      <c r="BX31">
        <v>1.351009402428637</v>
      </c>
      <c r="BY31">
        <v>-50.880611643043913</v>
      </c>
      <c r="BZ31">
        <v>0.80484480848996032</v>
      </c>
      <c r="CA31">
        <v>0.99304262250594422</v>
      </c>
      <c r="CB31">
        <v>-7.0076691879866534E-3</v>
      </c>
      <c r="CC31">
        <v>289.99999999999989</v>
      </c>
      <c r="CD31">
        <v>770.1</v>
      </c>
      <c r="CE31">
        <v>895</v>
      </c>
      <c r="CF31">
        <v>7097.58</v>
      </c>
      <c r="CG31">
        <v>761.9</v>
      </c>
      <c r="CH31">
        <v>8.1999999999999993</v>
      </c>
      <c r="CV31">
        <f t="shared" si="42"/>
        <v>1799.99</v>
      </c>
      <c r="CW31">
        <f t="shared" si="43"/>
        <v>1513.176293069507</v>
      </c>
      <c r="CX31">
        <f t="shared" si="44"/>
        <v>0.84065816647287317</v>
      </c>
      <c r="CY31">
        <f t="shared" si="45"/>
        <v>0.1913163329457464</v>
      </c>
      <c r="CZ31">
        <v>4.8</v>
      </c>
      <c r="DA31">
        <v>0.5</v>
      </c>
      <c r="DB31" t="s">
        <v>418</v>
      </c>
      <c r="DC31">
        <v>2</v>
      </c>
      <c r="DD31">
        <v>1700150748.0999999</v>
      </c>
      <c r="DE31">
        <v>410.94900000000001</v>
      </c>
      <c r="DF31">
        <v>450.07499999999999</v>
      </c>
      <c r="DG31">
        <v>27.805700000000002</v>
      </c>
      <c r="DH31">
        <v>24.4361</v>
      </c>
      <c r="DI31">
        <v>411.63400000000001</v>
      </c>
      <c r="DJ31">
        <v>27.8079</v>
      </c>
      <c r="DK31">
        <v>500.12900000000002</v>
      </c>
      <c r="DL31">
        <v>99.417699999999996</v>
      </c>
      <c r="DM31">
        <v>0.100046</v>
      </c>
      <c r="DN31">
        <v>29.9361</v>
      </c>
      <c r="DO31">
        <v>30.000699999999998</v>
      </c>
      <c r="DP31">
        <v>999.9</v>
      </c>
      <c r="DQ31">
        <v>0</v>
      </c>
      <c r="DR31">
        <v>0</v>
      </c>
      <c r="DS31">
        <v>9985.6200000000008</v>
      </c>
      <c r="DT31">
        <v>0</v>
      </c>
      <c r="DU31">
        <v>319.185</v>
      </c>
      <c r="DV31">
        <v>-39.126199999999997</v>
      </c>
      <c r="DW31">
        <v>422.70299999999997</v>
      </c>
      <c r="DX31">
        <v>461.34899999999999</v>
      </c>
      <c r="DY31">
        <v>3.3696299999999999</v>
      </c>
      <c r="DZ31">
        <v>450.07499999999999</v>
      </c>
      <c r="EA31">
        <v>24.4361</v>
      </c>
      <c r="EB31">
        <v>2.7643800000000001</v>
      </c>
      <c r="EC31">
        <v>2.4293800000000001</v>
      </c>
      <c r="ED31">
        <v>22.672899999999998</v>
      </c>
      <c r="EE31">
        <v>20.561</v>
      </c>
      <c r="EF31">
        <v>1799.99</v>
      </c>
      <c r="EG31">
        <v>0.97800299999999996</v>
      </c>
      <c r="EH31">
        <v>2.19974E-2</v>
      </c>
      <c r="EI31">
        <v>0</v>
      </c>
      <c r="EJ31">
        <v>575.48800000000006</v>
      </c>
      <c r="EK31">
        <v>5.0005300000000004</v>
      </c>
      <c r="EL31">
        <v>12087.7</v>
      </c>
      <c r="EM31">
        <v>16035.2</v>
      </c>
      <c r="EN31">
        <v>49.061999999999998</v>
      </c>
      <c r="EO31">
        <v>50.375</v>
      </c>
      <c r="EP31">
        <v>49.686999999999998</v>
      </c>
      <c r="EQ31">
        <v>49.811999999999998</v>
      </c>
      <c r="ER31">
        <v>50.186999999999998</v>
      </c>
      <c r="ES31">
        <v>1755.51</v>
      </c>
      <c r="ET31">
        <v>39.49</v>
      </c>
      <c r="EU31">
        <v>0</v>
      </c>
      <c r="EV31">
        <v>1171.7999999523161</v>
      </c>
      <c r="EW31">
        <v>0</v>
      </c>
      <c r="EX31">
        <v>575.30683999999997</v>
      </c>
      <c r="EY31">
        <v>-1.188230783952662</v>
      </c>
      <c r="EZ31">
        <v>-172.32307656888619</v>
      </c>
      <c r="FA31">
        <v>12128.763999999999</v>
      </c>
      <c r="FB31">
        <v>15</v>
      </c>
      <c r="FC31">
        <v>1700150716.5999999</v>
      </c>
      <c r="FD31" t="s">
        <v>484</v>
      </c>
      <c r="FE31">
        <v>1700150713.5999999</v>
      </c>
      <c r="FF31">
        <v>1700150716.5999999</v>
      </c>
      <c r="FG31">
        <v>17</v>
      </c>
      <c r="FH31">
        <v>-2.9000000000000001E-2</v>
      </c>
      <c r="FI31">
        <v>1E-3</v>
      </c>
      <c r="FJ31">
        <v>-0.69099999999999995</v>
      </c>
      <c r="FK31">
        <v>-2E-3</v>
      </c>
      <c r="FL31">
        <v>450</v>
      </c>
      <c r="FM31">
        <v>24</v>
      </c>
      <c r="FN31">
        <v>7.0000000000000007E-2</v>
      </c>
      <c r="FO31">
        <v>0.04</v>
      </c>
      <c r="FP31">
        <v>39.190214487786271</v>
      </c>
      <c r="FQ31">
        <v>-0.53624608493824544</v>
      </c>
      <c r="FR31">
        <v>8.1587165170582746E-2</v>
      </c>
      <c r="FS31">
        <v>1</v>
      </c>
      <c r="FT31">
        <v>0.24171927039132929</v>
      </c>
      <c r="FU31">
        <v>4.6625787800658958E-2</v>
      </c>
      <c r="FV31">
        <v>3.822061749034151E-3</v>
      </c>
      <c r="FW31">
        <v>1</v>
      </c>
      <c r="FX31">
        <v>2</v>
      </c>
      <c r="FY31">
        <v>2</v>
      </c>
      <c r="FZ31" t="s">
        <v>420</v>
      </c>
      <c r="GA31">
        <v>3.1270099999999998</v>
      </c>
      <c r="GB31">
        <v>2.7667999999999999</v>
      </c>
      <c r="GC31">
        <v>9.0609099999999998E-2</v>
      </c>
      <c r="GD31">
        <v>9.7001199999999996E-2</v>
      </c>
      <c r="GE31">
        <v>0.118715</v>
      </c>
      <c r="GF31">
        <v>0.10864</v>
      </c>
      <c r="GG31">
        <v>21603.1</v>
      </c>
      <c r="GH31">
        <v>22305.7</v>
      </c>
      <c r="GI31">
        <v>23627.599999999999</v>
      </c>
      <c r="GJ31">
        <v>25027.200000000001</v>
      </c>
      <c r="GK31">
        <v>29989.8</v>
      </c>
      <c r="GL31">
        <v>31273.4</v>
      </c>
      <c r="GM31">
        <v>37666.300000000003</v>
      </c>
      <c r="GN31">
        <v>38952.800000000003</v>
      </c>
      <c r="GO31">
        <v>2.0324</v>
      </c>
      <c r="GP31">
        <v>1.75525</v>
      </c>
      <c r="GQ31">
        <v>-2.25455E-2</v>
      </c>
      <c r="GR31">
        <v>0</v>
      </c>
      <c r="GS31">
        <v>30.3675</v>
      </c>
      <c r="GT31">
        <v>999.9</v>
      </c>
      <c r="GU31">
        <v>46.3</v>
      </c>
      <c r="GV31">
        <v>38.1</v>
      </c>
      <c r="GW31">
        <v>31.1738</v>
      </c>
      <c r="GX31">
        <v>60.486400000000003</v>
      </c>
      <c r="GY31">
        <v>27.347799999999999</v>
      </c>
      <c r="GZ31">
        <v>1</v>
      </c>
      <c r="HA31">
        <v>0.71849600000000002</v>
      </c>
      <c r="HB31">
        <v>3.28782</v>
      </c>
      <c r="HC31">
        <v>20.287400000000002</v>
      </c>
      <c r="HD31">
        <v>5.2518799999999999</v>
      </c>
      <c r="HE31">
        <v>12.0099</v>
      </c>
      <c r="HF31">
        <v>4.9791499999999997</v>
      </c>
      <c r="HG31">
        <v>3.2930000000000001</v>
      </c>
      <c r="HH31">
        <v>9999</v>
      </c>
      <c r="HI31">
        <v>9999</v>
      </c>
      <c r="HJ31">
        <v>9999</v>
      </c>
      <c r="HK31">
        <v>999.9</v>
      </c>
      <c r="HL31">
        <v>1.87609</v>
      </c>
      <c r="HM31">
        <v>1.877</v>
      </c>
      <c r="HN31">
        <v>1.88324</v>
      </c>
      <c r="HO31">
        <v>1.88642</v>
      </c>
      <c r="HP31">
        <v>1.87714</v>
      </c>
      <c r="HQ31">
        <v>1.8836999999999999</v>
      </c>
      <c r="HR31">
        <v>1.88262</v>
      </c>
      <c r="HS31">
        <v>1.88601</v>
      </c>
      <c r="HT31">
        <v>5</v>
      </c>
      <c r="HU31">
        <v>0</v>
      </c>
      <c r="HV31">
        <v>0</v>
      </c>
      <c r="HW31">
        <v>0</v>
      </c>
      <c r="HX31" t="s">
        <v>421</v>
      </c>
      <c r="HY31" t="s">
        <v>422</v>
      </c>
      <c r="HZ31" t="s">
        <v>423</v>
      </c>
      <c r="IA31" t="s">
        <v>424</v>
      </c>
      <c r="IB31" t="s">
        <v>424</v>
      </c>
      <c r="IC31" t="s">
        <v>423</v>
      </c>
      <c r="ID31">
        <v>0</v>
      </c>
      <c r="IE31">
        <v>100</v>
      </c>
      <c r="IF31">
        <v>100</v>
      </c>
      <c r="IG31">
        <v>-0.68500000000000005</v>
      </c>
      <c r="IH31">
        <v>-2.2000000000000001E-3</v>
      </c>
      <c r="II31">
        <v>-0.66486454581596577</v>
      </c>
      <c r="IJ31">
        <v>4.4610147972834149E-5</v>
      </c>
      <c r="IK31">
        <v>-2.082673137682459E-7</v>
      </c>
      <c r="IL31">
        <v>-4.0725795306076518E-11</v>
      </c>
      <c r="IM31">
        <v>-2.1849999999936638E-3</v>
      </c>
      <c r="IN31">
        <v>0</v>
      </c>
      <c r="IO31">
        <v>0</v>
      </c>
      <c r="IP31">
        <v>0</v>
      </c>
      <c r="IQ31">
        <v>3</v>
      </c>
      <c r="IR31">
        <v>2179</v>
      </c>
      <c r="IS31">
        <v>0</v>
      </c>
      <c r="IT31">
        <v>22</v>
      </c>
      <c r="IU31">
        <v>0.6</v>
      </c>
      <c r="IV31">
        <v>0.5</v>
      </c>
      <c r="IW31">
        <v>1.11816</v>
      </c>
      <c r="IX31">
        <v>2.677</v>
      </c>
      <c r="IY31">
        <v>1.6015600000000001</v>
      </c>
      <c r="IZ31">
        <v>2.3278799999999999</v>
      </c>
      <c r="JA31">
        <v>1.5502899999999999</v>
      </c>
      <c r="JB31">
        <v>2.51953</v>
      </c>
      <c r="JC31">
        <v>45.091700000000003</v>
      </c>
      <c r="JD31">
        <v>23.982399999999998</v>
      </c>
      <c r="JE31">
        <v>18</v>
      </c>
      <c r="JF31">
        <v>544.072</v>
      </c>
      <c r="JG31">
        <v>397.399</v>
      </c>
      <c r="JH31">
        <v>26.573499999999999</v>
      </c>
      <c r="JI31">
        <v>35.816299999999998</v>
      </c>
      <c r="JJ31">
        <v>30.0001</v>
      </c>
      <c r="JK31">
        <v>35.831299999999999</v>
      </c>
      <c r="JL31">
        <v>35.823099999999997</v>
      </c>
      <c r="JM31">
        <v>22.361699999999999</v>
      </c>
      <c r="JN31">
        <v>28.3599</v>
      </c>
      <c r="JO31">
        <v>65.596500000000006</v>
      </c>
      <c r="JP31">
        <v>26.569600000000001</v>
      </c>
      <c r="JQ31">
        <v>450</v>
      </c>
      <c r="JR31">
        <v>24.505500000000001</v>
      </c>
      <c r="JS31">
        <v>98.240300000000005</v>
      </c>
      <c r="JT31">
        <v>98.572400000000002</v>
      </c>
    </row>
    <row r="32" spans="1:280" x14ac:dyDescent="0.25">
      <c r="A32">
        <v>16</v>
      </c>
      <c r="B32">
        <v>1700150848.5999999</v>
      </c>
      <c r="C32">
        <v>2975.099999904633</v>
      </c>
      <c r="D32" t="s">
        <v>485</v>
      </c>
      <c r="E32" t="s">
        <v>486</v>
      </c>
      <c r="F32" t="s">
        <v>412</v>
      </c>
      <c r="G32" t="s">
        <v>481</v>
      </c>
      <c r="H32" t="s">
        <v>31</v>
      </c>
      <c r="I32">
        <v>1700150848.5999999</v>
      </c>
      <c r="J32">
        <f t="shared" si="0"/>
        <v>2.8478158937711448E-3</v>
      </c>
      <c r="K32">
        <f t="shared" si="1"/>
        <v>2.8478158937711449</v>
      </c>
      <c r="L32">
        <f t="shared" si="2"/>
        <v>43.253687466986712</v>
      </c>
      <c r="M32">
        <f t="shared" si="3"/>
        <v>1454.47</v>
      </c>
      <c r="N32">
        <f t="shared" si="4"/>
        <v>1038.9243446901799</v>
      </c>
      <c r="O32">
        <f t="shared" si="5"/>
        <v>103.39016753350185</v>
      </c>
      <c r="P32">
        <f t="shared" si="6"/>
        <v>144.74383793297</v>
      </c>
      <c r="Q32">
        <f t="shared" si="7"/>
        <v>0.18519281620620312</v>
      </c>
      <c r="R32">
        <f t="shared" si="8"/>
        <v>3.180748715045985</v>
      </c>
      <c r="S32">
        <f t="shared" si="9"/>
        <v>0.17940441608989638</v>
      </c>
      <c r="T32">
        <f t="shared" si="10"/>
        <v>0.11263275380466847</v>
      </c>
      <c r="U32">
        <f t="shared" si="11"/>
        <v>344.3611993025047</v>
      </c>
      <c r="V32">
        <f t="shared" si="12"/>
        <v>31.049539591836137</v>
      </c>
      <c r="W32">
        <f t="shared" si="13"/>
        <v>30.0685</v>
      </c>
      <c r="X32">
        <f t="shared" si="14"/>
        <v>4.2772416372629714</v>
      </c>
      <c r="Y32">
        <f t="shared" si="15"/>
        <v>65.158963707766134</v>
      </c>
      <c r="Z32">
        <f t="shared" si="16"/>
        <v>2.7533443198271996</v>
      </c>
      <c r="AA32">
        <f t="shared" si="17"/>
        <v>4.2255802780654648</v>
      </c>
      <c r="AB32">
        <f t="shared" si="18"/>
        <v>1.5238973174357717</v>
      </c>
      <c r="AC32">
        <f t="shared" si="19"/>
        <v>-125.58868091530749</v>
      </c>
      <c r="AD32">
        <f t="shared" si="20"/>
        <v>-36.268130979455918</v>
      </c>
      <c r="AE32">
        <f t="shared" si="21"/>
        <v>-2.5343977741855657</v>
      </c>
      <c r="AF32">
        <f t="shared" si="22"/>
        <v>179.96998963355574</v>
      </c>
      <c r="AG32">
        <v>23</v>
      </c>
      <c r="AH32">
        <v>5</v>
      </c>
      <c r="AI32">
        <f t="shared" si="23"/>
        <v>1</v>
      </c>
      <c r="AJ32">
        <f t="shared" si="24"/>
        <v>0</v>
      </c>
      <c r="AK32">
        <f t="shared" si="25"/>
        <v>51966.510180584686</v>
      </c>
      <c r="AL32" t="s">
        <v>427</v>
      </c>
      <c r="AM32" t="s">
        <v>427</v>
      </c>
      <c r="AN32">
        <v>0</v>
      </c>
      <c r="AO32">
        <v>0</v>
      </c>
      <c r="AP32" t="e">
        <f t="shared" si="26"/>
        <v>#DIV/0!</v>
      </c>
      <c r="AQ32">
        <v>0</v>
      </c>
      <c r="AR32" t="s">
        <v>427</v>
      </c>
      <c r="AS32" t="s">
        <v>427</v>
      </c>
      <c r="AT32">
        <v>0</v>
      </c>
      <c r="AU32">
        <v>0</v>
      </c>
      <c r="AV32" t="e">
        <f t="shared" si="27"/>
        <v>#DIV/0!</v>
      </c>
      <c r="AW32">
        <v>0.5</v>
      </c>
      <c r="AX32">
        <f t="shared" si="28"/>
        <v>1513.1507996512521</v>
      </c>
      <c r="AY32">
        <f t="shared" si="29"/>
        <v>43.253687466986712</v>
      </c>
      <c r="AZ32" t="e">
        <f t="shared" si="30"/>
        <v>#DIV/0!</v>
      </c>
      <c r="BA32">
        <f t="shared" si="31"/>
        <v>2.8585179664152267E-2</v>
      </c>
      <c r="BB32" t="e">
        <f t="shared" si="32"/>
        <v>#DIV/0!</v>
      </c>
      <c r="BC32" t="e">
        <f t="shared" si="33"/>
        <v>#DIV/0!</v>
      </c>
      <c r="BD32" t="s">
        <v>427</v>
      </c>
      <c r="BE32">
        <v>0</v>
      </c>
      <c r="BF32" t="e">
        <f t="shared" si="34"/>
        <v>#DIV/0!</v>
      </c>
      <c r="BG32" t="e">
        <f t="shared" si="35"/>
        <v>#DIV/0!</v>
      </c>
      <c r="BH32" t="e">
        <f t="shared" si="36"/>
        <v>#DIV/0!</v>
      </c>
      <c r="BI32" t="e">
        <f t="shared" si="37"/>
        <v>#DIV/0!</v>
      </c>
      <c r="BJ32" t="e">
        <f t="shared" si="38"/>
        <v>#DIV/0!</v>
      </c>
      <c r="BK32" t="e">
        <f t="shared" si="39"/>
        <v>#DIV/0!</v>
      </c>
      <c r="BL32" t="e">
        <f t="shared" si="40"/>
        <v>#DIV/0!</v>
      </c>
      <c r="BM32" t="e">
        <f t="shared" si="41"/>
        <v>#DIV/0!</v>
      </c>
      <c r="BN32">
        <v>11268</v>
      </c>
      <c r="BO32">
        <v>290.00000000000011</v>
      </c>
      <c r="BP32">
        <v>761.29</v>
      </c>
      <c r="BQ32">
        <v>285</v>
      </c>
      <c r="BR32">
        <v>7107.02</v>
      </c>
      <c r="BS32">
        <v>761.99</v>
      </c>
      <c r="BT32">
        <v>-0.7</v>
      </c>
      <c r="BU32">
        <v>300.00000000000011</v>
      </c>
      <c r="BV32">
        <v>38.299999999999997</v>
      </c>
      <c r="BW32">
        <v>833.5826883154715</v>
      </c>
      <c r="BX32">
        <v>1.351009402428637</v>
      </c>
      <c r="BY32">
        <v>-50.880611643043913</v>
      </c>
      <c r="BZ32">
        <v>0.80484480848996032</v>
      </c>
      <c r="CA32">
        <v>0.99304262250594422</v>
      </c>
      <c r="CB32">
        <v>-7.0076691879866534E-3</v>
      </c>
      <c r="CC32">
        <v>289.99999999999989</v>
      </c>
      <c r="CD32">
        <v>770.1</v>
      </c>
      <c r="CE32">
        <v>895</v>
      </c>
      <c r="CF32">
        <v>7097.58</v>
      </c>
      <c r="CG32">
        <v>761.9</v>
      </c>
      <c r="CH32">
        <v>8.1999999999999993</v>
      </c>
      <c r="CV32">
        <f t="shared" si="42"/>
        <v>1799.96</v>
      </c>
      <c r="CW32">
        <f t="shared" si="43"/>
        <v>1513.1507996512521</v>
      </c>
      <c r="CX32">
        <f t="shared" si="44"/>
        <v>0.84065801442879406</v>
      </c>
      <c r="CY32">
        <f t="shared" si="45"/>
        <v>0.19131602885758833</v>
      </c>
      <c r="CZ32">
        <v>4.8</v>
      </c>
      <c r="DA32">
        <v>0.5</v>
      </c>
      <c r="DB32" t="s">
        <v>418</v>
      </c>
      <c r="DC32">
        <v>2</v>
      </c>
      <c r="DD32">
        <v>1700150848.5999999</v>
      </c>
      <c r="DE32">
        <v>1454.47</v>
      </c>
      <c r="DF32">
        <v>1499.95</v>
      </c>
      <c r="DG32">
        <v>27.667200000000001</v>
      </c>
      <c r="DH32">
        <v>25.010100000000001</v>
      </c>
      <c r="DI32">
        <v>1455.22</v>
      </c>
      <c r="DJ32">
        <v>27.6706</v>
      </c>
      <c r="DK32">
        <v>500.21899999999999</v>
      </c>
      <c r="DL32">
        <v>99.416399999999996</v>
      </c>
      <c r="DM32">
        <v>0.100151</v>
      </c>
      <c r="DN32">
        <v>29.856999999999999</v>
      </c>
      <c r="DO32">
        <v>30.0685</v>
      </c>
      <c r="DP32">
        <v>999.9</v>
      </c>
      <c r="DQ32">
        <v>0</v>
      </c>
      <c r="DR32">
        <v>0</v>
      </c>
      <c r="DS32">
        <v>9978.75</v>
      </c>
      <c r="DT32">
        <v>0</v>
      </c>
      <c r="DU32">
        <v>321.66699999999997</v>
      </c>
      <c r="DV32">
        <v>-45.481299999999997</v>
      </c>
      <c r="DW32">
        <v>1495.85</v>
      </c>
      <c r="DX32">
        <v>1538.42</v>
      </c>
      <c r="DY32">
        <v>2.6570800000000001</v>
      </c>
      <c r="DZ32">
        <v>1499.95</v>
      </c>
      <c r="EA32">
        <v>25.010100000000001</v>
      </c>
      <c r="EB32">
        <v>2.7505700000000002</v>
      </c>
      <c r="EC32">
        <v>2.4864199999999999</v>
      </c>
      <c r="ED32">
        <v>22.590399999999999</v>
      </c>
      <c r="EE32">
        <v>20.937799999999999</v>
      </c>
      <c r="EF32">
        <v>1799.96</v>
      </c>
      <c r="EG32">
        <v>0.97800299999999996</v>
      </c>
      <c r="EH32">
        <v>2.19974E-2</v>
      </c>
      <c r="EI32">
        <v>0</v>
      </c>
      <c r="EJ32">
        <v>568.125</v>
      </c>
      <c r="EK32">
        <v>5.0005300000000004</v>
      </c>
      <c r="EL32">
        <v>11988.7</v>
      </c>
      <c r="EM32">
        <v>16034.9</v>
      </c>
      <c r="EN32">
        <v>49.061999999999998</v>
      </c>
      <c r="EO32">
        <v>50.311999999999998</v>
      </c>
      <c r="EP32">
        <v>49.75</v>
      </c>
      <c r="EQ32">
        <v>49.811999999999998</v>
      </c>
      <c r="ER32">
        <v>50.186999999999998</v>
      </c>
      <c r="ES32">
        <v>1755.48</v>
      </c>
      <c r="ET32">
        <v>39.479999999999997</v>
      </c>
      <c r="EU32">
        <v>0</v>
      </c>
      <c r="EV32">
        <v>98.400000095367432</v>
      </c>
      <c r="EW32">
        <v>0</v>
      </c>
      <c r="EX32">
        <v>568.27607999999998</v>
      </c>
      <c r="EY32">
        <v>-1.088000001939279</v>
      </c>
      <c r="EZ32">
        <v>17.86153801894875</v>
      </c>
      <c r="FA32">
        <v>11993.575999999999</v>
      </c>
      <c r="FB32">
        <v>15</v>
      </c>
      <c r="FC32">
        <v>1700150818.5999999</v>
      </c>
      <c r="FD32" t="s">
        <v>487</v>
      </c>
      <c r="FE32">
        <v>1700150818.5999999</v>
      </c>
      <c r="FF32">
        <v>1700150818.0999999</v>
      </c>
      <c r="FG32">
        <v>18</v>
      </c>
      <c r="FH32">
        <v>0.41199999999999998</v>
      </c>
      <c r="FI32">
        <v>-1E-3</v>
      </c>
      <c r="FJ32">
        <v>-0.79300000000000004</v>
      </c>
      <c r="FK32">
        <v>-3.0000000000000001E-3</v>
      </c>
      <c r="FL32">
        <v>1501</v>
      </c>
      <c r="FM32">
        <v>25</v>
      </c>
      <c r="FN32">
        <v>0.05</v>
      </c>
      <c r="FO32">
        <v>0.04</v>
      </c>
      <c r="FP32">
        <v>43.32328852281421</v>
      </c>
      <c r="FQ32">
        <v>-0.43949452639612951</v>
      </c>
      <c r="FR32">
        <v>7.3173934906077362E-2</v>
      </c>
      <c r="FS32">
        <v>1</v>
      </c>
      <c r="FT32">
        <v>0.18728651769554791</v>
      </c>
      <c r="FU32">
        <v>1.4062679033515759E-2</v>
      </c>
      <c r="FV32">
        <v>1.797181708373433E-3</v>
      </c>
      <c r="FW32">
        <v>1</v>
      </c>
      <c r="FX32">
        <v>2</v>
      </c>
      <c r="FY32">
        <v>2</v>
      </c>
      <c r="FZ32" t="s">
        <v>420</v>
      </c>
      <c r="GA32">
        <v>3.1272600000000002</v>
      </c>
      <c r="GB32">
        <v>2.7668400000000002</v>
      </c>
      <c r="GC32">
        <v>0.212066</v>
      </c>
      <c r="GD32">
        <v>0.21577299999999999</v>
      </c>
      <c r="GE32">
        <v>0.11830300000000001</v>
      </c>
      <c r="GF32">
        <v>0.11042200000000001</v>
      </c>
      <c r="GG32">
        <v>18711.7</v>
      </c>
      <c r="GH32">
        <v>19364.8</v>
      </c>
      <c r="GI32">
        <v>23627.4</v>
      </c>
      <c r="GJ32">
        <v>25027.200000000001</v>
      </c>
      <c r="GK32">
        <v>30003.4</v>
      </c>
      <c r="GL32">
        <v>31211.5</v>
      </c>
      <c r="GM32">
        <v>37666.1</v>
      </c>
      <c r="GN32">
        <v>38953.9</v>
      </c>
      <c r="GO32">
        <v>2.0317500000000002</v>
      </c>
      <c r="GP32">
        <v>1.75793</v>
      </c>
      <c r="GQ32">
        <v>-1.9792500000000001E-2</v>
      </c>
      <c r="GR32">
        <v>0</v>
      </c>
      <c r="GS32">
        <v>30.390499999999999</v>
      </c>
      <c r="GT32">
        <v>999.9</v>
      </c>
      <c r="GU32">
        <v>45.9</v>
      </c>
      <c r="GV32">
        <v>38.200000000000003</v>
      </c>
      <c r="GW32">
        <v>31.069900000000001</v>
      </c>
      <c r="GX32">
        <v>60.446300000000001</v>
      </c>
      <c r="GY32">
        <v>26.5625</v>
      </c>
      <c r="GZ32">
        <v>1</v>
      </c>
      <c r="HA32">
        <v>0.72711599999999998</v>
      </c>
      <c r="HB32">
        <v>4.7625799999999998</v>
      </c>
      <c r="HC32">
        <v>20.251999999999999</v>
      </c>
      <c r="HD32">
        <v>5.2479899999999997</v>
      </c>
      <c r="HE32">
        <v>12.0099</v>
      </c>
      <c r="HF32">
        <v>4.9778500000000001</v>
      </c>
      <c r="HG32">
        <v>3.2922500000000001</v>
      </c>
      <c r="HH32">
        <v>9999</v>
      </c>
      <c r="HI32">
        <v>9999</v>
      </c>
      <c r="HJ32">
        <v>9999</v>
      </c>
      <c r="HK32">
        <v>999.9</v>
      </c>
      <c r="HL32">
        <v>1.8761099999999999</v>
      </c>
      <c r="HM32">
        <v>1.8770199999999999</v>
      </c>
      <c r="HN32">
        <v>1.88324</v>
      </c>
      <c r="HO32">
        <v>1.88639</v>
      </c>
      <c r="HP32">
        <v>1.87714</v>
      </c>
      <c r="HQ32">
        <v>1.8836999999999999</v>
      </c>
      <c r="HR32">
        <v>1.88263</v>
      </c>
      <c r="HS32">
        <v>1.88601</v>
      </c>
      <c r="HT32">
        <v>5</v>
      </c>
      <c r="HU32">
        <v>0</v>
      </c>
      <c r="HV32">
        <v>0</v>
      </c>
      <c r="HW32">
        <v>0</v>
      </c>
      <c r="HX32" t="s">
        <v>421</v>
      </c>
      <c r="HY32" t="s">
        <v>422</v>
      </c>
      <c r="HZ32" t="s">
        <v>423</v>
      </c>
      <c r="IA32" t="s">
        <v>424</v>
      </c>
      <c r="IB32" t="s">
        <v>424</v>
      </c>
      <c r="IC32" t="s">
        <v>423</v>
      </c>
      <c r="ID32">
        <v>0</v>
      </c>
      <c r="IE32">
        <v>100</v>
      </c>
      <c r="IF32">
        <v>100</v>
      </c>
      <c r="IG32">
        <v>-0.75</v>
      </c>
      <c r="IH32">
        <v>-3.3999999999999998E-3</v>
      </c>
      <c r="II32">
        <v>-0.25251347008939412</v>
      </c>
      <c r="IJ32">
        <v>4.4610147972834149E-5</v>
      </c>
      <c r="IK32">
        <v>-2.082673137682459E-7</v>
      </c>
      <c r="IL32">
        <v>-4.0725795306076518E-11</v>
      </c>
      <c r="IM32">
        <v>-3.4095238095233071E-3</v>
      </c>
      <c r="IN32">
        <v>0</v>
      </c>
      <c r="IO32">
        <v>0</v>
      </c>
      <c r="IP32">
        <v>0</v>
      </c>
      <c r="IQ32">
        <v>3</v>
      </c>
      <c r="IR32">
        <v>2179</v>
      </c>
      <c r="IS32">
        <v>0</v>
      </c>
      <c r="IT32">
        <v>22</v>
      </c>
      <c r="IU32">
        <v>0.5</v>
      </c>
      <c r="IV32">
        <v>0.5</v>
      </c>
      <c r="IW32">
        <v>2.97607</v>
      </c>
      <c r="IX32">
        <v>2.6660200000000001</v>
      </c>
      <c r="IY32">
        <v>1.6015600000000001</v>
      </c>
      <c r="IZ32">
        <v>2.32666</v>
      </c>
      <c r="JA32">
        <v>1.5502899999999999</v>
      </c>
      <c r="JB32">
        <v>2.35229</v>
      </c>
      <c r="JC32">
        <v>45.290399999999998</v>
      </c>
      <c r="JD32">
        <v>23.956199999999999</v>
      </c>
      <c r="JE32">
        <v>18</v>
      </c>
      <c r="JF32">
        <v>543.74199999999996</v>
      </c>
      <c r="JG32">
        <v>399.17</v>
      </c>
      <c r="JH32">
        <v>25.675000000000001</v>
      </c>
      <c r="JI32">
        <v>35.8264</v>
      </c>
      <c r="JJ32">
        <v>30.000499999999999</v>
      </c>
      <c r="JK32">
        <v>35.844499999999996</v>
      </c>
      <c r="JL32">
        <v>35.833300000000001</v>
      </c>
      <c r="JM32">
        <v>59.570099999999996</v>
      </c>
      <c r="JN32">
        <v>26.457899999999999</v>
      </c>
      <c r="JO32">
        <v>64.922600000000003</v>
      </c>
      <c r="JP32">
        <v>25.643599999999999</v>
      </c>
      <c r="JQ32">
        <v>1500</v>
      </c>
      <c r="JR32">
        <v>24.987100000000002</v>
      </c>
      <c r="JS32">
        <v>98.239699999999999</v>
      </c>
      <c r="JT32">
        <v>98.574200000000005</v>
      </c>
    </row>
    <row r="33" spans="1:280" x14ac:dyDescent="0.25">
      <c r="A33">
        <v>17</v>
      </c>
      <c r="B33">
        <v>1700150939.5</v>
      </c>
      <c r="C33">
        <v>3066</v>
      </c>
      <c r="D33" t="s">
        <v>488</v>
      </c>
      <c r="E33" t="s">
        <v>489</v>
      </c>
      <c r="F33" t="s">
        <v>412</v>
      </c>
      <c r="G33" t="s">
        <v>481</v>
      </c>
      <c r="H33" t="s">
        <v>31</v>
      </c>
      <c r="I33">
        <v>1700150939.5</v>
      </c>
      <c r="J33">
        <f t="shared" si="0"/>
        <v>2.7785817263656677E-3</v>
      </c>
      <c r="K33">
        <f t="shared" si="1"/>
        <v>2.7785817263656676</v>
      </c>
      <c r="L33">
        <f t="shared" si="2"/>
        <v>42.597491348820114</v>
      </c>
      <c r="M33">
        <f t="shared" si="3"/>
        <v>1205.99</v>
      </c>
      <c r="N33">
        <f t="shared" si="4"/>
        <v>790.26477758975557</v>
      </c>
      <c r="O33">
        <f t="shared" si="5"/>
        <v>78.638367662994341</v>
      </c>
      <c r="P33">
        <f t="shared" si="6"/>
        <v>120.00672142713998</v>
      </c>
      <c r="Q33">
        <f t="shared" si="7"/>
        <v>0.17929526166257995</v>
      </c>
      <c r="R33">
        <f t="shared" si="8"/>
        <v>3.1779405401137217</v>
      </c>
      <c r="S33">
        <f t="shared" si="9"/>
        <v>0.17385919772747069</v>
      </c>
      <c r="T33">
        <f t="shared" si="10"/>
        <v>0.10913667833013491</v>
      </c>
      <c r="U33">
        <f t="shared" si="11"/>
        <v>344.3592993025008</v>
      </c>
      <c r="V33">
        <f t="shared" si="12"/>
        <v>30.918087980091901</v>
      </c>
      <c r="W33">
        <f t="shared" si="13"/>
        <v>30.007400000000001</v>
      </c>
      <c r="X33">
        <f t="shared" si="14"/>
        <v>4.2622610117639477</v>
      </c>
      <c r="Y33">
        <f t="shared" si="15"/>
        <v>65.110646668036892</v>
      </c>
      <c r="Z33">
        <f t="shared" si="16"/>
        <v>2.7277873374749997</v>
      </c>
      <c r="AA33">
        <f t="shared" si="17"/>
        <v>4.1894643611550597</v>
      </c>
      <c r="AB33">
        <f t="shared" si="18"/>
        <v>1.534473674288948</v>
      </c>
      <c r="AC33">
        <f t="shared" si="19"/>
        <v>-122.53545413272595</v>
      </c>
      <c r="AD33">
        <f t="shared" si="20"/>
        <v>-51.330207467424138</v>
      </c>
      <c r="AE33">
        <f t="shared" si="21"/>
        <v>-3.5863609395211991</v>
      </c>
      <c r="AF33">
        <f t="shared" si="22"/>
        <v>166.90727676282955</v>
      </c>
      <c r="AG33">
        <v>23</v>
      </c>
      <c r="AH33">
        <v>5</v>
      </c>
      <c r="AI33">
        <f t="shared" si="23"/>
        <v>1</v>
      </c>
      <c r="AJ33">
        <f t="shared" si="24"/>
        <v>0</v>
      </c>
      <c r="AK33">
        <f t="shared" si="25"/>
        <v>51922.439339496559</v>
      </c>
      <c r="AL33" t="s">
        <v>415</v>
      </c>
      <c r="AM33">
        <v>6977.87</v>
      </c>
      <c r="AN33">
        <v>273.15280000000001</v>
      </c>
      <c r="AO33">
        <v>850.46774885301022</v>
      </c>
      <c r="AP33">
        <f t="shared" si="26"/>
        <v>0.67882050745793765</v>
      </c>
      <c r="AQ33">
        <v>-1.0323826813720729</v>
      </c>
      <c r="AR33" t="s">
        <v>490</v>
      </c>
      <c r="AS33">
        <v>7106.95</v>
      </c>
      <c r="AT33">
        <v>567.7876</v>
      </c>
      <c r="AU33">
        <v>858.33563185013838</v>
      </c>
      <c r="AV33">
        <f t="shared" si="27"/>
        <v>0.33850165491075268</v>
      </c>
      <c r="AW33">
        <v>0.5</v>
      </c>
      <c r="AX33">
        <f t="shared" si="28"/>
        <v>1513.1423996512503</v>
      </c>
      <c r="AY33">
        <f t="shared" si="29"/>
        <v>42.597491348820114</v>
      </c>
      <c r="AZ33">
        <f t="shared" si="30"/>
        <v>256.10060319878789</v>
      </c>
      <c r="BA33">
        <f t="shared" si="31"/>
        <v>2.8833951147128001E-2</v>
      </c>
      <c r="BB33">
        <f t="shared" si="32"/>
        <v>-9.1664410810593736E-3</v>
      </c>
      <c r="BC33">
        <f t="shared" si="33"/>
        <v>273.95935631521309</v>
      </c>
      <c r="BD33" t="s">
        <v>491</v>
      </c>
      <c r="BE33">
        <v>400.01</v>
      </c>
      <c r="BF33">
        <f t="shared" si="34"/>
        <v>400.01</v>
      </c>
      <c r="BG33">
        <f t="shared" si="35"/>
        <v>0.53397018001247321</v>
      </c>
      <c r="BH33">
        <f t="shared" si="36"/>
        <v>0.63393363071856457</v>
      </c>
      <c r="BI33">
        <f t="shared" si="37"/>
        <v>-1.7466417254807947E-2</v>
      </c>
      <c r="BJ33">
        <f t="shared" si="38"/>
        <v>0.49650812709513303</v>
      </c>
      <c r="BK33">
        <f t="shared" si="39"/>
        <v>-1.3628406838866385E-2</v>
      </c>
      <c r="BL33">
        <f t="shared" si="40"/>
        <v>0.44661030220408654</v>
      </c>
      <c r="BM33">
        <f t="shared" si="41"/>
        <v>0.5533896977959134</v>
      </c>
      <c r="BN33">
        <v>11270</v>
      </c>
      <c r="BO33">
        <v>290.00000000000011</v>
      </c>
      <c r="BP33">
        <v>771.75</v>
      </c>
      <c r="BQ33">
        <v>295</v>
      </c>
      <c r="BR33">
        <v>7106.95</v>
      </c>
      <c r="BS33">
        <v>773.1</v>
      </c>
      <c r="BT33">
        <v>-1.35</v>
      </c>
      <c r="BU33">
        <v>300.00000000000011</v>
      </c>
      <c r="BV33">
        <v>38.299999999999997</v>
      </c>
      <c r="BW33">
        <v>858.33563185013838</v>
      </c>
      <c r="BX33">
        <v>1.6245236277703179</v>
      </c>
      <c r="BY33">
        <v>-60.579611981306329</v>
      </c>
      <c r="BZ33">
        <v>0.9677770992411493</v>
      </c>
      <c r="CA33">
        <v>0.99290482097100419</v>
      </c>
      <c r="CB33">
        <v>-7.0076745272525066E-3</v>
      </c>
      <c r="CC33">
        <v>289.99999999999989</v>
      </c>
      <c r="CD33">
        <v>778.3</v>
      </c>
      <c r="CE33">
        <v>775</v>
      </c>
      <c r="CF33">
        <v>7099.56</v>
      </c>
      <c r="CG33">
        <v>773.01</v>
      </c>
      <c r="CH33">
        <v>5.29</v>
      </c>
      <c r="CV33">
        <f t="shared" si="42"/>
        <v>1799.95</v>
      </c>
      <c r="CW33">
        <f t="shared" si="43"/>
        <v>1513.1423996512503</v>
      </c>
      <c r="CX33">
        <f t="shared" si="44"/>
        <v>0.84065801808453033</v>
      </c>
      <c r="CY33">
        <f t="shared" si="45"/>
        <v>0.1913160361690607</v>
      </c>
      <c r="CZ33">
        <v>4.8</v>
      </c>
      <c r="DA33">
        <v>0.5</v>
      </c>
      <c r="DB33" t="s">
        <v>418</v>
      </c>
      <c r="DC33">
        <v>2</v>
      </c>
      <c r="DD33">
        <v>1700150939.5</v>
      </c>
      <c r="DE33">
        <v>1205.99</v>
      </c>
      <c r="DF33">
        <v>1250.0899999999999</v>
      </c>
      <c r="DG33">
        <v>27.412500000000001</v>
      </c>
      <c r="DH33">
        <v>24.8188</v>
      </c>
      <c r="DI33">
        <v>1206.77</v>
      </c>
      <c r="DJ33">
        <v>27.412199999999999</v>
      </c>
      <c r="DK33">
        <v>500.11900000000003</v>
      </c>
      <c r="DL33">
        <v>99.408699999999996</v>
      </c>
      <c r="DM33">
        <v>0.100186</v>
      </c>
      <c r="DN33">
        <v>29.707799999999999</v>
      </c>
      <c r="DO33">
        <v>30.007400000000001</v>
      </c>
      <c r="DP33">
        <v>999.9</v>
      </c>
      <c r="DQ33">
        <v>0</v>
      </c>
      <c r="DR33">
        <v>0</v>
      </c>
      <c r="DS33">
        <v>9965.6200000000008</v>
      </c>
      <c r="DT33">
        <v>0</v>
      </c>
      <c r="DU33">
        <v>324.30799999999999</v>
      </c>
      <c r="DV33">
        <v>-44.100099999999998</v>
      </c>
      <c r="DW33">
        <v>1239.98</v>
      </c>
      <c r="DX33">
        <v>1281.9000000000001</v>
      </c>
      <c r="DY33">
        <v>2.5936400000000002</v>
      </c>
      <c r="DZ33">
        <v>1250.0899999999999</v>
      </c>
      <c r="EA33">
        <v>24.8188</v>
      </c>
      <c r="EB33">
        <v>2.7250399999999999</v>
      </c>
      <c r="EC33">
        <v>2.4672100000000001</v>
      </c>
      <c r="ED33">
        <v>22.436900000000001</v>
      </c>
      <c r="EE33">
        <v>20.811800000000002</v>
      </c>
      <c r="EF33">
        <v>1799.95</v>
      </c>
      <c r="EG33">
        <v>0.97800299999999996</v>
      </c>
      <c r="EH33">
        <v>2.19974E-2</v>
      </c>
      <c r="EI33">
        <v>0</v>
      </c>
      <c r="EJ33">
        <v>567.85799999999995</v>
      </c>
      <c r="EK33">
        <v>5.0005300000000004</v>
      </c>
      <c r="EL33">
        <v>11947</v>
      </c>
      <c r="EM33">
        <v>16034.8</v>
      </c>
      <c r="EN33">
        <v>49.061999999999998</v>
      </c>
      <c r="EO33">
        <v>50.311999999999998</v>
      </c>
      <c r="EP33">
        <v>49.686999999999998</v>
      </c>
      <c r="EQ33">
        <v>49.75</v>
      </c>
      <c r="ER33">
        <v>50.186999999999998</v>
      </c>
      <c r="ES33">
        <v>1755.47</v>
      </c>
      <c r="ET33">
        <v>39.479999999999997</v>
      </c>
      <c r="EU33">
        <v>0</v>
      </c>
      <c r="EV33">
        <v>189.60000014305109</v>
      </c>
      <c r="EW33">
        <v>0</v>
      </c>
      <c r="EX33">
        <v>567.7876</v>
      </c>
      <c r="EY33">
        <v>-0.1073076849473206</v>
      </c>
      <c r="EZ33">
        <v>-36.707692399047772</v>
      </c>
      <c r="FA33">
        <v>11960.092000000001</v>
      </c>
      <c r="FB33">
        <v>15</v>
      </c>
      <c r="FC33">
        <v>1700150905.5</v>
      </c>
      <c r="FD33" t="s">
        <v>492</v>
      </c>
      <c r="FE33">
        <v>1700150904</v>
      </c>
      <c r="FF33">
        <v>1700150905.5</v>
      </c>
      <c r="FG33">
        <v>19</v>
      </c>
      <c r="FH33">
        <v>-0.20699999999999999</v>
      </c>
      <c r="FI33">
        <v>4.0000000000000001E-3</v>
      </c>
      <c r="FJ33">
        <v>-0.81</v>
      </c>
      <c r="FK33">
        <v>0</v>
      </c>
      <c r="FL33">
        <v>1250</v>
      </c>
      <c r="FM33">
        <v>25</v>
      </c>
      <c r="FN33">
        <v>0.1</v>
      </c>
      <c r="FO33">
        <v>0.04</v>
      </c>
      <c r="FP33">
        <v>42.534762243472187</v>
      </c>
      <c r="FQ33">
        <v>-0.30387865911251649</v>
      </c>
      <c r="FR33">
        <v>5.2382337907776362E-2</v>
      </c>
      <c r="FS33">
        <v>1</v>
      </c>
      <c r="FT33">
        <v>0.18250746819930561</v>
      </c>
      <c r="FU33">
        <v>-2.371693822085081E-2</v>
      </c>
      <c r="FV33">
        <v>2.1414536697446861E-3</v>
      </c>
      <c r="FW33">
        <v>1</v>
      </c>
      <c r="FX33">
        <v>2</v>
      </c>
      <c r="FY33">
        <v>2</v>
      </c>
      <c r="FZ33" t="s">
        <v>420</v>
      </c>
      <c r="GA33">
        <v>3.1270600000000002</v>
      </c>
      <c r="GB33">
        <v>2.7667600000000001</v>
      </c>
      <c r="GC33">
        <v>0.189196</v>
      </c>
      <c r="GD33">
        <v>0.19322800000000001</v>
      </c>
      <c r="GE33">
        <v>0.117523</v>
      </c>
      <c r="GF33">
        <v>0.109817</v>
      </c>
      <c r="GG33">
        <v>19257.400000000001</v>
      </c>
      <c r="GH33">
        <v>19924.8</v>
      </c>
      <c r="GI33">
        <v>23627.9</v>
      </c>
      <c r="GJ33">
        <v>25028.400000000001</v>
      </c>
      <c r="GK33">
        <v>30030.799999999999</v>
      </c>
      <c r="GL33">
        <v>31234.1</v>
      </c>
      <c r="GM33">
        <v>37667.1</v>
      </c>
      <c r="GN33">
        <v>38955.699999999997</v>
      </c>
      <c r="GO33">
        <v>2.0318800000000001</v>
      </c>
      <c r="GP33">
        <v>1.7553700000000001</v>
      </c>
      <c r="GQ33">
        <v>-1.7434399999999999E-2</v>
      </c>
      <c r="GR33">
        <v>0</v>
      </c>
      <c r="GS33">
        <v>30.291</v>
      </c>
      <c r="GT33">
        <v>999.9</v>
      </c>
      <c r="GU33">
        <v>45.5</v>
      </c>
      <c r="GV33">
        <v>38.4</v>
      </c>
      <c r="GW33">
        <v>31.1386</v>
      </c>
      <c r="GX33">
        <v>60.796300000000002</v>
      </c>
      <c r="GY33">
        <v>27.1234</v>
      </c>
      <c r="GZ33">
        <v>1</v>
      </c>
      <c r="HA33">
        <v>0.72030700000000003</v>
      </c>
      <c r="HB33">
        <v>3.40584</v>
      </c>
      <c r="HC33">
        <v>20.284600000000001</v>
      </c>
      <c r="HD33">
        <v>5.2472399999999997</v>
      </c>
      <c r="HE33">
        <v>12.0099</v>
      </c>
      <c r="HF33">
        <v>4.9773500000000004</v>
      </c>
      <c r="HG33">
        <v>3.29223</v>
      </c>
      <c r="HH33">
        <v>9999</v>
      </c>
      <c r="HI33">
        <v>9999</v>
      </c>
      <c r="HJ33">
        <v>9999</v>
      </c>
      <c r="HK33">
        <v>999.9</v>
      </c>
      <c r="HL33">
        <v>1.87612</v>
      </c>
      <c r="HM33">
        <v>1.87703</v>
      </c>
      <c r="HN33">
        <v>1.88324</v>
      </c>
      <c r="HO33">
        <v>1.8864000000000001</v>
      </c>
      <c r="HP33">
        <v>1.87714</v>
      </c>
      <c r="HQ33">
        <v>1.8836999999999999</v>
      </c>
      <c r="HR33">
        <v>1.88262</v>
      </c>
      <c r="HS33">
        <v>1.8859900000000001</v>
      </c>
      <c r="HT33">
        <v>5</v>
      </c>
      <c r="HU33">
        <v>0</v>
      </c>
      <c r="HV33">
        <v>0</v>
      </c>
      <c r="HW33">
        <v>0</v>
      </c>
      <c r="HX33" t="s">
        <v>421</v>
      </c>
      <c r="HY33" t="s">
        <v>422</v>
      </c>
      <c r="HZ33" t="s">
        <v>423</v>
      </c>
      <c r="IA33" t="s">
        <v>424</v>
      </c>
      <c r="IB33" t="s">
        <v>424</v>
      </c>
      <c r="IC33" t="s">
        <v>423</v>
      </c>
      <c r="ID33">
        <v>0</v>
      </c>
      <c r="IE33">
        <v>100</v>
      </c>
      <c r="IF33">
        <v>100</v>
      </c>
      <c r="IG33">
        <v>-0.78</v>
      </c>
      <c r="IH33">
        <v>2.9999999999999997E-4</v>
      </c>
      <c r="II33">
        <v>-0.46077184822876982</v>
      </c>
      <c r="IJ33">
        <v>4.4610147972834149E-5</v>
      </c>
      <c r="IK33">
        <v>-2.082673137682459E-7</v>
      </c>
      <c r="IL33">
        <v>-4.0725795306076518E-11</v>
      </c>
      <c r="IM33">
        <v>3.0500000000444061E-4</v>
      </c>
      <c r="IN33">
        <v>0</v>
      </c>
      <c r="IO33">
        <v>0</v>
      </c>
      <c r="IP33">
        <v>0</v>
      </c>
      <c r="IQ33">
        <v>3</v>
      </c>
      <c r="IR33">
        <v>2179</v>
      </c>
      <c r="IS33">
        <v>0</v>
      </c>
      <c r="IT33">
        <v>22</v>
      </c>
      <c r="IU33">
        <v>0.6</v>
      </c>
      <c r="IV33">
        <v>0.6</v>
      </c>
      <c r="IW33">
        <v>2.5659200000000002</v>
      </c>
      <c r="IX33">
        <v>2.65381</v>
      </c>
      <c r="IY33">
        <v>1.6015600000000001</v>
      </c>
      <c r="IZ33">
        <v>2.32666</v>
      </c>
      <c r="JA33">
        <v>1.5502899999999999</v>
      </c>
      <c r="JB33">
        <v>2.33765</v>
      </c>
      <c r="JC33">
        <v>45.4328</v>
      </c>
      <c r="JD33">
        <v>23.973700000000001</v>
      </c>
      <c r="JE33">
        <v>18</v>
      </c>
      <c r="JF33">
        <v>543.904</v>
      </c>
      <c r="JG33">
        <v>397.62700000000001</v>
      </c>
      <c r="JH33">
        <v>26.2639</v>
      </c>
      <c r="JI33">
        <v>35.846299999999999</v>
      </c>
      <c r="JJ33">
        <v>30.0001</v>
      </c>
      <c r="JK33">
        <v>35.854399999999998</v>
      </c>
      <c r="JL33">
        <v>35.846600000000002</v>
      </c>
      <c r="JM33">
        <v>51.360500000000002</v>
      </c>
      <c r="JN33">
        <v>27.044599999999999</v>
      </c>
      <c r="JO33">
        <v>64.423000000000002</v>
      </c>
      <c r="JP33">
        <v>26.270399999999999</v>
      </c>
      <c r="JQ33">
        <v>1250</v>
      </c>
      <c r="JR33">
        <v>24.853000000000002</v>
      </c>
      <c r="JS33">
        <v>98.242099999999994</v>
      </c>
      <c r="JT33">
        <v>98.578699999999998</v>
      </c>
    </row>
    <row r="34" spans="1:280" x14ac:dyDescent="0.25">
      <c r="A34">
        <v>18</v>
      </c>
      <c r="B34">
        <v>1700151043</v>
      </c>
      <c r="C34">
        <v>3169.5</v>
      </c>
      <c r="D34" t="s">
        <v>493</v>
      </c>
      <c r="E34" t="s">
        <v>494</v>
      </c>
      <c r="F34" t="s">
        <v>412</v>
      </c>
      <c r="G34" t="s">
        <v>481</v>
      </c>
      <c r="H34" t="s">
        <v>31</v>
      </c>
      <c r="I34">
        <v>1700151043</v>
      </c>
      <c r="J34">
        <f t="shared" si="0"/>
        <v>2.4774880753003427E-3</v>
      </c>
      <c r="K34">
        <f t="shared" si="1"/>
        <v>2.4774880753003425</v>
      </c>
      <c r="L34">
        <f t="shared" si="2"/>
        <v>42.053525679445961</v>
      </c>
      <c r="M34">
        <f t="shared" si="3"/>
        <v>957.42</v>
      </c>
      <c r="N34">
        <f t="shared" si="4"/>
        <v>510.18885440175654</v>
      </c>
      <c r="O34">
        <f t="shared" si="5"/>
        <v>50.764632314395683</v>
      </c>
      <c r="P34">
        <f t="shared" si="6"/>
        <v>95.264868785579992</v>
      </c>
      <c r="Q34">
        <f t="shared" si="7"/>
        <v>0.16071856103505214</v>
      </c>
      <c r="R34">
        <f t="shared" si="8"/>
        <v>3.1809413119512402</v>
      </c>
      <c r="S34">
        <f t="shared" si="9"/>
        <v>0.15633978715780153</v>
      </c>
      <c r="T34">
        <f t="shared" si="10"/>
        <v>9.8095845580596919E-2</v>
      </c>
      <c r="U34">
        <f t="shared" si="11"/>
        <v>344.35739930249702</v>
      </c>
      <c r="V34">
        <f t="shared" si="12"/>
        <v>30.920650360899259</v>
      </c>
      <c r="W34">
        <f t="shared" si="13"/>
        <v>29.968299999999999</v>
      </c>
      <c r="X34">
        <f t="shared" si="14"/>
        <v>4.2526984039266109</v>
      </c>
      <c r="Y34">
        <f t="shared" si="15"/>
        <v>65.452079320791725</v>
      </c>
      <c r="Z34">
        <f t="shared" si="16"/>
        <v>2.7312506138957002</v>
      </c>
      <c r="AA34">
        <f t="shared" si="17"/>
        <v>4.1729012160322343</v>
      </c>
      <c r="AB34">
        <f t="shared" si="18"/>
        <v>1.5214477900309107</v>
      </c>
      <c r="AC34">
        <f t="shared" si="19"/>
        <v>-109.25722412074511</v>
      </c>
      <c r="AD34">
        <f t="shared" si="20"/>
        <v>-56.471956007665085</v>
      </c>
      <c r="AE34">
        <f t="shared" si="21"/>
        <v>-3.939778699532444</v>
      </c>
      <c r="AF34">
        <f t="shared" si="22"/>
        <v>174.6884404745544</v>
      </c>
      <c r="AG34">
        <v>23</v>
      </c>
      <c r="AH34">
        <v>5</v>
      </c>
      <c r="AI34">
        <f t="shared" si="23"/>
        <v>1</v>
      </c>
      <c r="AJ34">
        <f t="shared" si="24"/>
        <v>0</v>
      </c>
      <c r="AK34">
        <f t="shared" si="25"/>
        <v>52008.388041760154</v>
      </c>
      <c r="AL34" t="s">
        <v>427</v>
      </c>
      <c r="AM34" t="s">
        <v>427</v>
      </c>
      <c r="AN34">
        <v>0</v>
      </c>
      <c r="AO34">
        <v>0</v>
      </c>
      <c r="AP34" t="e">
        <f t="shared" si="26"/>
        <v>#DIV/0!</v>
      </c>
      <c r="AQ34">
        <v>0</v>
      </c>
      <c r="AR34" t="s">
        <v>427</v>
      </c>
      <c r="AS34" t="s">
        <v>427</v>
      </c>
      <c r="AT34">
        <v>0</v>
      </c>
      <c r="AU34">
        <v>0</v>
      </c>
      <c r="AV34" t="e">
        <f t="shared" si="27"/>
        <v>#DIV/0!</v>
      </c>
      <c r="AW34">
        <v>0.5</v>
      </c>
      <c r="AX34">
        <f t="shared" si="28"/>
        <v>1513.1339996512484</v>
      </c>
      <c r="AY34">
        <f t="shared" si="29"/>
        <v>42.053525679445961</v>
      </c>
      <c r="AZ34" t="e">
        <f t="shared" si="30"/>
        <v>#DIV/0!</v>
      </c>
      <c r="BA34">
        <f t="shared" si="31"/>
        <v>2.779233411524596E-2</v>
      </c>
      <c r="BB34" t="e">
        <f t="shared" si="32"/>
        <v>#DIV/0!</v>
      </c>
      <c r="BC34" t="e">
        <f t="shared" si="33"/>
        <v>#DIV/0!</v>
      </c>
      <c r="BD34" t="s">
        <v>427</v>
      </c>
      <c r="BE34">
        <v>0</v>
      </c>
      <c r="BF34" t="e">
        <f t="shared" si="34"/>
        <v>#DIV/0!</v>
      </c>
      <c r="BG34" t="e">
        <f t="shared" si="35"/>
        <v>#DIV/0!</v>
      </c>
      <c r="BH34" t="e">
        <f t="shared" si="36"/>
        <v>#DIV/0!</v>
      </c>
      <c r="BI34" t="e">
        <f t="shared" si="37"/>
        <v>#DIV/0!</v>
      </c>
      <c r="BJ34" t="e">
        <f t="shared" si="38"/>
        <v>#DIV/0!</v>
      </c>
      <c r="BK34" t="e">
        <f t="shared" si="39"/>
        <v>#DIV/0!</v>
      </c>
      <c r="BL34" t="e">
        <f t="shared" si="40"/>
        <v>#DIV/0!</v>
      </c>
      <c r="BM34" t="e">
        <f t="shared" si="41"/>
        <v>#DIV/0!</v>
      </c>
      <c r="BN34">
        <v>11270</v>
      </c>
      <c r="BO34">
        <v>290.00000000000011</v>
      </c>
      <c r="BP34">
        <v>771.75</v>
      </c>
      <c r="BQ34">
        <v>295</v>
      </c>
      <c r="BR34">
        <v>7106.95</v>
      </c>
      <c r="BS34">
        <v>773.1</v>
      </c>
      <c r="BT34">
        <v>-1.35</v>
      </c>
      <c r="BU34">
        <v>300.00000000000011</v>
      </c>
      <c r="BV34">
        <v>38.299999999999997</v>
      </c>
      <c r="BW34">
        <v>858.33563185013838</v>
      </c>
      <c r="BX34">
        <v>1.6245236277703179</v>
      </c>
      <c r="BY34">
        <v>-60.579611981306329</v>
      </c>
      <c r="BZ34">
        <v>0.9677770992411493</v>
      </c>
      <c r="CA34">
        <v>0.99290482097100419</v>
      </c>
      <c r="CB34">
        <v>-7.0076745272525066E-3</v>
      </c>
      <c r="CC34">
        <v>289.99999999999989</v>
      </c>
      <c r="CD34">
        <v>778.3</v>
      </c>
      <c r="CE34">
        <v>775</v>
      </c>
      <c r="CF34">
        <v>7099.56</v>
      </c>
      <c r="CG34">
        <v>773.01</v>
      </c>
      <c r="CH34">
        <v>5.29</v>
      </c>
      <c r="CV34">
        <f t="shared" si="42"/>
        <v>1799.94</v>
      </c>
      <c r="CW34">
        <f t="shared" si="43"/>
        <v>1513.1339996512484</v>
      </c>
      <c r="CX34">
        <f t="shared" si="44"/>
        <v>0.84065802174030713</v>
      </c>
      <c r="CY34">
        <f t="shared" si="45"/>
        <v>0.19131604348061435</v>
      </c>
      <c r="CZ34">
        <v>4.8</v>
      </c>
      <c r="DA34">
        <v>0.5</v>
      </c>
      <c r="DB34" t="s">
        <v>418</v>
      </c>
      <c r="DC34">
        <v>2</v>
      </c>
      <c r="DD34">
        <v>1700151043</v>
      </c>
      <c r="DE34">
        <v>957.42</v>
      </c>
      <c r="DF34">
        <v>1000.05</v>
      </c>
      <c r="DG34">
        <v>27.449300000000001</v>
      </c>
      <c r="DH34">
        <v>25.1372</v>
      </c>
      <c r="DI34">
        <v>958.24</v>
      </c>
      <c r="DJ34">
        <v>27.447600000000001</v>
      </c>
      <c r="DK34">
        <v>500.21699999999998</v>
      </c>
      <c r="DL34">
        <v>99.400999999999996</v>
      </c>
      <c r="DM34">
        <v>0.100649</v>
      </c>
      <c r="DN34">
        <v>29.638999999999999</v>
      </c>
      <c r="DO34">
        <v>29.968299999999999</v>
      </c>
      <c r="DP34">
        <v>999.9</v>
      </c>
      <c r="DQ34">
        <v>0</v>
      </c>
      <c r="DR34">
        <v>0</v>
      </c>
      <c r="DS34">
        <v>9981.25</v>
      </c>
      <c r="DT34">
        <v>0</v>
      </c>
      <c r="DU34">
        <v>324.18299999999999</v>
      </c>
      <c r="DV34">
        <v>-42.632800000000003</v>
      </c>
      <c r="DW34">
        <v>984.44200000000001</v>
      </c>
      <c r="DX34">
        <v>1025.8399999999999</v>
      </c>
      <c r="DY34">
        <v>2.3121299999999998</v>
      </c>
      <c r="DZ34">
        <v>1000.05</v>
      </c>
      <c r="EA34">
        <v>25.1372</v>
      </c>
      <c r="EB34">
        <v>2.7284899999999999</v>
      </c>
      <c r="EC34">
        <v>2.4986600000000001</v>
      </c>
      <c r="ED34">
        <v>22.457699999999999</v>
      </c>
      <c r="EE34">
        <v>21.017800000000001</v>
      </c>
      <c r="EF34">
        <v>1799.94</v>
      </c>
      <c r="EG34">
        <v>0.97800299999999996</v>
      </c>
      <c r="EH34">
        <v>2.19974E-2</v>
      </c>
      <c r="EI34">
        <v>0</v>
      </c>
      <c r="EJ34">
        <v>567.66899999999998</v>
      </c>
      <c r="EK34">
        <v>5.0005300000000004</v>
      </c>
      <c r="EL34">
        <v>11978.8</v>
      </c>
      <c r="EM34">
        <v>16034.7</v>
      </c>
      <c r="EN34">
        <v>49</v>
      </c>
      <c r="EO34">
        <v>50.25</v>
      </c>
      <c r="EP34">
        <v>49.686999999999998</v>
      </c>
      <c r="EQ34">
        <v>49.686999999999998</v>
      </c>
      <c r="ER34">
        <v>50.125</v>
      </c>
      <c r="ES34">
        <v>1755.46</v>
      </c>
      <c r="ET34">
        <v>39.479999999999997</v>
      </c>
      <c r="EU34">
        <v>0</v>
      </c>
      <c r="EV34">
        <v>101.6000001430511</v>
      </c>
      <c r="EW34">
        <v>0</v>
      </c>
      <c r="EX34">
        <v>567.59661538461546</v>
      </c>
      <c r="EY34">
        <v>-0.55637606283635643</v>
      </c>
      <c r="EZ34">
        <v>77.367521429214719</v>
      </c>
      <c r="FA34">
        <v>11967.776923076921</v>
      </c>
      <c r="FB34">
        <v>15</v>
      </c>
      <c r="FC34">
        <v>1700151011.5</v>
      </c>
      <c r="FD34" t="s">
        <v>495</v>
      </c>
      <c r="FE34">
        <v>1700151011.5</v>
      </c>
      <c r="FF34">
        <v>1700151008</v>
      </c>
      <c r="FG34">
        <v>20</v>
      </c>
      <c r="FH34">
        <v>-0.17599999999999999</v>
      </c>
      <c r="FI34">
        <v>1E-3</v>
      </c>
      <c r="FJ34">
        <v>-0.84</v>
      </c>
      <c r="FK34">
        <v>2E-3</v>
      </c>
      <c r="FL34">
        <v>1000</v>
      </c>
      <c r="FM34">
        <v>25</v>
      </c>
      <c r="FN34">
        <v>0.08</v>
      </c>
      <c r="FO34">
        <v>0.04</v>
      </c>
      <c r="FP34">
        <v>42.004778517270289</v>
      </c>
      <c r="FQ34">
        <v>-0.27800854711709327</v>
      </c>
      <c r="FR34">
        <v>9.7962453083599813E-2</v>
      </c>
      <c r="FS34">
        <v>1</v>
      </c>
      <c r="FT34">
        <v>0.15849796280653949</v>
      </c>
      <c r="FU34">
        <v>1.0092738506751769E-2</v>
      </c>
      <c r="FV34">
        <v>1.6257208965899401E-3</v>
      </c>
      <c r="FW34">
        <v>1</v>
      </c>
      <c r="FX34">
        <v>2</v>
      </c>
      <c r="FY34">
        <v>2</v>
      </c>
      <c r="FZ34" t="s">
        <v>420</v>
      </c>
      <c r="GA34">
        <v>3.1272899999999999</v>
      </c>
      <c r="GB34">
        <v>2.76736</v>
      </c>
      <c r="GC34">
        <v>0.16356200000000001</v>
      </c>
      <c r="GD34">
        <v>0.16802600000000001</v>
      </c>
      <c r="GE34">
        <v>0.117618</v>
      </c>
      <c r="GF34">
        <v>0.110794</v>
      </c>
      <c r="GG34">
        <v>19868.8</v>
      </c>
      <c r="GH34">
        <v>20550.599999999999</v>
      </c>
      <c r="GI34">
        <v>23628.7</v>
      </c>
      <c r="GJ34">
        <v>25029.8</v>
      </c>
      <c r="GK34">
        <v>30028.7</v>
      </c>
      <c r="GL34">
        <v>31202</v>
      </c>
      <c r="GM34">
        <v>37668.5</v>
      </c>
      <c r="GN34">
        <v>38958.300000000003</v>
      </c>
      <c r="GO34">
        <v>2.0318000000000001</v>
      </c>
      <c r="GP34">
        <v>1.7533799999999999</v>
      </c>
      <c r="GQ34">
        <v>-1.5541900000000001E-2</v>
      </c>
      <c r="GR34">
        <v>0</v>
      </c>
      <c r="GS34">
        <v>30.2212</v>
      </c>
      <c r="GT34">
        <v>999.9</v>
      </c>
      <c r="GU34">
        <v>45.1</v>
      </c>
      <c r="GV34">
        <v>38.6</v>
      </c>
      <c r="GW34">
        <v>31.201599999999999</v>
      </c>
      <c r="GX34">
        <v>60.626399999999997</v>
      </c>
      <c r="GY34">
        <v>26.6386</v>
      </c>
      <c r="GZ34">
        <v>1</v>
      </c>
      <c r="HA34">
        <v>0.71653500000000003</v>
      </c>
      <c r="HB34">
        <v>2.7227899999999998</v>
      </c>
      <c r="HC34">
        <v>20.297799999999999</v>
      </c>
      <c r="HD34">
        <v>5.2499399999999996</v>
      </c>
      <c r="HE34">
        <v>12.0099</v>
      </c>
      <c r="HF34">
        <v>4.9782000000000002</v>
      </c>
      <c r="HG34">
        <v>3.2928500000000001</v>
      </c>
      <c r="HH34">
        <v>9999</v>
      </c>
      <c r="HI34">
        <v>9999</v>
      </c>
      <c r="HJ34">
        <v>9999</v>
      </c>
      <c r="HK34">
        <v>999.9</v>
      </c>
      <c r="HL34">
        <v>1.87608</v>
      </c>
      <c r="HM34">
        <v>1.877</v>
      </c>
      <c r="HN34">
        <v>1.88324</v>
      </c>
      <c r="HO34">
        <v>1.8863700000000001</v>
      </c>
      <c r="HP34">
        <v>1.87714</v>
      </c>
      <c r="HQ34">
        <v>1.88368</v>
      </c>
      <c r="HR34">
        <v>1.88262</v>
      </c>
      <c r="HS34">
        <v>1.8859900000000001</v>
      </c>
      <c r="HT34">
        <v>5</v>
      </c>
      <c r="HU34">
        <v>0</v>
      </c>
      <c r="HV34">
        <v>0</v>
      </c>
      <c r="HW34">
        <v>0</v>
      </c>
      <c r="HX34" t="s">
        <v>421</v>
      </c>
      <c r="HY34" t="s">
        <v>422</v>
      </c>
      <c r="HZ34" t="s">
        <v>423</v>
      </c>
      <c r="IA34" t="s">
        <v>424</v>
      </c>
      <c r="IB34" t="s">
        <v>424</v>
      </c>
      <c r="IC34" t="s">
        <v>423</v>
      </c>
      <c r="ID34">
        <v>0</v>
      </c>
      <c r="IE34">
        <v>100</v>
      </c>
      <c r="IF34">
        <v>100</v>
      </c>
      <c r="IG34">
        <v>-0.82</v>
      </c>
      <c r="IH34">
        <v>1.6999999999999999E-3</v>
      </c>
      <c r="II34">
        <v>-0.63574507656884893</v>
      </c>
      <c r="IJ34">
        <v>4.4610147972834149E-5</v>
      </c>
      <c r="IK34">
        <v>-2.082673137682459E-7</v>
      </c>
      <c r="IL34">
        <v>-4.0725795306076518E-11</v>
      </c>
      <c r="IM34">
        <v>1.715000000000799E-3</v>
      </c>
      <c r="IN34">
        <v>0</v>
      </c>
      <c r="IO34">
        <v>0</v>
      </c>
      <c r="IP34">
        <v>0</v>
      </c>
      <c r="IQ34">
        <v>3</v>
      </c>
      <c r="IR34">
        <v>2179</v>
      </c>
      <c r="IS34">
        <v>0</v>
      </c>
      <c r="IT34">
        <v>22</v>
      </c>
      <c r="IU34">
        <v>0.5</v>
      </c>
      <c r="IV34">
        <v>0.6</v>
      </c>
      <c r="IW34">
        <v>2.1386699999999998</v>
      </c>
      <c r="IX34">
        <v>2.66357</v>
      </c>
      <c r="IY34">
        <v>1.6015600000000001</v>
      </c>
      <c r="IZ34">
        <v>2.3278799999999999</v>
      </c>
      <c r="JA34">
        <v>1.5502899999999999</v>
      </c>
      <c r="JB34">
        <v>2.3889200000000002</v>
      </c>
      <c r="JC34">
        <v>45.604500000000002</v>
      </c>
      <c r="JD34">
        <v>23.973700000000001</v>
      </c>
      <c r="JE34">
        <v>18</v>
      </c>
      <c r="JF34">
        <v>543.899</v>
      </c>
      <c r="JG34">
        <v>396.375</v>
      </c>
      <c r="JH34">
        <v>26.073699999999999</v>
      </c>
      <c r="JI34">
        <v>35.839700000000001</v>
      </c>
      <c r="JJ34">
        <v>29.996200000000002</v>
      </c>
      <c r="JK34">
        <v>35.860199999999999</v>
      </c>
      <c r="JL34">
        <v>35.849899999999998</v>
      </c>
      <c r="JM34">
        <v>42.801000000000002</v>
      </c>
      <c r="JN34">
        <v>26.345600000000001</v>
      </c>
      <c r="JO34">
        <v>63.9133</v>
      </c>
      <c r="JP34">
        <v>26.181100000000001</v>
      </c>
      <c r="JQ34">
        <v>1000</v>
      </c>
      <c r="JR34">
        <v>24.971299999999999</v>
      </c>
      <c r="JS34">
        <v>98.245500000000007</v>
      </c>
      <c r="JT34">
        <v>98.584800000000001</v>
      </c>
    </row>
    <row r="35" spans="1:280" x14ac:dyDescent="0.25">
      <c r="A35">
        <v>19</v>
      </c>
      <c r="B35">
        <v>1700151133.5</v>
      </c>
      <c r="C35">
        <v>3260</v>
      </c>
      <c r="D35" t="s">
        <v>496</v>
      </c>
      <c r="E35" t="s">
        <v>497</v>
      </c>
      <c r="F35" t="s">
        <v>412</v>
      </c>
      <c r="G35" t="s">
        <v>481</v>
      </c>
      <c r="H35" t="s">
        <v>31</v>
      </c>
      <c r="I35">
        <v>1700151133.5</v>
      </c>
      <c r="J35">
        <f t="shared" si="0"/>
        <v>2.5449568041876875E-3</v>
      </c>
      <c r="K35">
        <f t="shared" si="1"/>
        <v>2.5449568041876875</v>
      </c>
      <c r="L35">
        <f t="shared" si="2"/>
        <v>40.762166029248661</v>
      </c>
      <c r="M35">
        <f t="shared" si="3"/>
        <v>709.13699999999994</v>
      </c>
      <c r="N35">
        <f t="shared" si="4"/>
        <v>288.80603079533381</v>
      </c>
      <c r="O35">
        <f t="shared" si="5"/>
        <v>28.734881953411165</v>
      </c>
      <c r="P35">
        <f t="shared" si="6"/>
        <v>70.555894998732001</v>
      </c>
      <c r="Q35">
        <f t="shared" si="7"/>
        <v>0.16391178308267304</v>
      </c>
      <c r="R35">
        <f t="shared" si="8"/>
        <v>3.1796849930349596</v>
      </c>
      <c r="S35">
        <f t="shared" si="9"/>
        <v>0.15935819075174637</v>
      </c>
      <c r="T35">
        <f t="shared" si="10"/>
        <v>9.9997454534428321E-2</v>
      </c>
      <c r="U35">
        <f t="shared" si="11"/>
        <v>344.3611993025047</v>
      </c>
      <c r="V35">
        <f t="shared" si="12"/>
        <v>30.946084558261823</v>
      </c>
      <c r="W35">
        <f t="shared" si="13"/>
        <v>29.982700000000001</v>
      </c>
      <c r="X35">
        <f t="shared" si="14"/>
        <v>4.2562180054864323</v>
      </c>
      <c r="Y35">
        <f t="shared" si="15"/>
        <v>65.099756057020883</v>
      </c>
      <c r="Z35">
        <f t="shared" si="16"/>
        <v>2.7230010419916</v>
      </c>
      <c r="AA35">
        <f t="shared" si="17"/>
        <v>4.1828129733796899</v>
      </c>
      <c r="AB35">
        <f t="shared" si="18"/>
        <v>1.5332169634948323</v>
      </c>
      <c r="AC35">
        <f t="shared" si="19"/>
        <v>-112.23259506467701</v>
      </c>
      <c r="AD35">
        <f t="shared" si="20"/>
        <v>-51.855511146711812</v>
      </c>
      <c r="AE35">
        <f t="shared" si="21"/>
        <v>-3.6201375028919394</v>
      </c>
      <c r="AF35">
        <f t="shared" si="22"/>
        <v>176.6529555882239</v>
      </c>
      <c r="AG35">
        <v>23</v>
      </c>
      <c r="AH35">
        <v>5</v>
      </c>
      <c r="AI35">
        <f t="shared" si="23"/>
        <v>1</v>
      </c>
      <c r="AJ35">
        <f t="shared" si="24"/>
        <v>0</v>
      </c>
      <c r="AK35">
        <f t="shared" si="25"/>
        <v>51970.075470324693</v>
      </c>
      <c r="AL35" t="s">
        <v>415</v>
      </c>
      <c r="AM35">
        <v>6977.87</v>
      </c>
      <c r="AN35">
        <v>273.15280000000001</v>
      </c>
      <c r="AO35">
        <v>850.46774885301022</v>
      </c>
      <c r="AP35">
        <f t="shared" si="26"/>
        <v>0.67882050745793765</v>
      </c>
      <c r="AQ35">
        <v>-1.0323826813720729</v>
      </c>
      <c r="AR35" t="s">
        <v>498</v>
      </c>
      <c r="AS35">
        <v>7106.96</v>
      </c>
      <c r="AT35">
        <v>567.93780000000004</v>
      </c>
      <c r="AU35">
        <v>837.84562729924494</v>
      </c>
      <c r="AV35">
        <f t="shared" si="27"/>
        <v>0.32214505692328999</v>
      </c>
      <c r="AW35">
        <v>0.5</v>
      </c>
      <c r="AX35">
        <f t="shared" si="28"/>
        <v>1513.1507996512521</v>
      </c>
      <c r="AY35">
        <f t="shared" si="29"/>
        <v>40.762166029248661</v>
      </c>
      <c r="AZ35">
        <f t="shared" si="30"/>
        <v>243.72702524358718</v>
      </c>
      <c r="BA35">
        <f t="shared" si="31"/>
        <v>2.7620874747086313E-2</v>
      </c>
      <c r="BB35">
        <f t="shared" si="32"/>
        <v>1.5064972761691296E-2</v>
      </c>
      <c r="BC35">
        <f t="shared" si="33"/>
        <v>271.83749787290321</v>
      </c>
      <c r="BD35" t="s">
        <v>499</v>
      </c>
      <c r="BE35">
        <v>394.72</v>
      </c>
      <c r="BF35">
        <f t="shared" si="34"/>
        <v>394.72</v>
      </c>
      <c r="BG35">
        <f t="shared" si="35"/>
        <v>0.52888696062977503</v>
      </c>
      <c r="BH35">
        <f t="shared" si="36"/>
        <v>0.60910001740200603</v>
      </c>
      <c r="BI35">
        <f t="shared" si="37"/>
        <v>2.769541173934844E-2</v>
      </c>
      <c r="BJ35">
        <f t="shared" si="38"/>
        <v>0.47797282743988873</v>
      </c>
      <c r="BK35">
        <f t="shared" si="39"/>
        <v>2.1863493365003771E-2</v>
      </c>
      <c r="BL35">
        <f t="shared" si="40"/>
        <v>0.42332797512143022</v>
      </c>
      <c r="BM35">
        <f t="shared" si="41"/>
        <v>0.57667202487856972</v>
      </c>
      <c r="BN35">
        <v>11272</v>
      </c>
      <c r="BO35">
        <v>290.00000000000011</v>
      </c>
      <c r="BP35">
        <v>761.77</v>
      </c>
      <c r="BQ35">
        <v>295</v>
      </c>
      <c r="BR35">
        <v>7106.96</v>
      </c>
      <c r="BS35">
        <v>762.19</v>
      </c>
      <c r="BT35">
        <v>-0.42</v>
      </c>
      <c r="BU35">
        <v>300.00000000000011</v>
      </c>
      <c r="BV35">
        <v>38.299999999999997</v>
      </c>
      <c r="BW35">
        <v>837.84562729924494</v>
      </c>
      <c r="BX35">
        <v>1.308195673254942</v>
      </c>
      <c r="BY35">
        <v>-53.770164332484633</v>
      </c>
      <c r="BZ35">
        <v>0.77933199330984837</v>
      </c>
      <c r="CA35">
        <v>0.99415245859795798</v>
      </c>
      <c r="CB35">
        <v>-7.0076224694104608E-3</v>
      </c>
      <c r="CC35">
        <v>289.99999999999989</v>
      </c>
      <c r="CD35">
        <v>770.25</v>
      </c>
      <c r="CE35">
        <v>825</v>
      </c>
      <c r="CF35">
        <v>7098.54</v>
      </c>
      <c r="CG35">
        <v>762.1</v>
      </c>
      <c r="CH35">
        <v>8.15</v>
      </c>
      <c r="CV35">
        <f t="shared" si="42"/>
        <v>1799.96</v>
      </c>
      <c r="CW35">
        <f t="shared" si="43"/>
        <v>1513.1507996512521</v>
      </c>
      <c r="CX35">
        <f t="shared" si="44"/>
        <v>0.84065801442879406</v>
      </c>
      <c r="CY35">
        <f t="shared" si="45"/>
        <v>0.19131602885758833</v>
      </c>
      <c r="CZ35">
        <v>4.8</v>
      </c>
      <c r="DA35">
        <v>0.5</v>
      </c>
      <c r="DB35" t="s">
        <v>418</v>
      </c>
      <c r="DC35">
        <v>2</v>
      </c>
      <c r="DD35">
        <v>1700151133.5</v>
      </c>
      <c r="DE35">
        <v>709.13699999999994</v>
      </c>
      <c r="DF35">
        <v>749.99099999999999</v>
      </c>
      <c r="DG35">
        <v>27.368099999999998</v>
      </c>
      <c r="DH35">
        <v>24.9924</v>
      </c>
      <c r="DI35">
        <v>709.93100000000004</v>
      </c>
      <c r="DJ35">
        <v>27.371500000000001</v>
      </c>
      <c r="DK35">
        <v>500.125</v>
      </c>
      <c r="DL35">
        <v>99.395099999999999</v>
      </c>
      <c r="DM35">
        <v>0.10033599999999999</v>
      </c>
      <c r="DN35">
        <v>29.680199999999999</v>
      </c>
      <c r="DO35">
        <v>29.982700000000001</v>
      </c>
      <c r="DP35">
        <v>999.9</v>
      </c>
      <c r="DQ35">
        <v>0</v>
      </c>
      <c r="DR35">
        <v>0</v>
      </c>
      <c r="DS35">
        <v>9975.6200000000008</v>
      </c>
      <c r="DT35">
        <v>0</v>
      </c>
      <c r="DU35">
        <v>329.32</v>
      </c>
      <c r="DV35">
        <v>-40.8536</v>
      </c>
      <c r="DW35">
        <v>729.09100000000001</v>
      </c>
      <c r="DX35">
        <v>769.21600000000001</v>
      </c>
      <c r="DY35">
        <v>2.3756900000000001</v>
      </c>
      <c r="DZ35">
        <v>749.99099999999999</v>
      </c>
      <c r="EA35">
        <v>24.9924</v>
      </c>
      <c r="EB35">
        <v>2.7202500000000001</v>
      </c>
      <c r="EC35">
        <v>2.4841199999999999</v>
      </c>
      <c r="ED35">
        <v>22.408000000000001</v>
      </c>
      <c r="EE35">
        <v>20.922799999999999</v>
      </c>
      <c r="EF35">
        <v>1799.96</v>
      </c>
      <c r="EG35">
        <v>0.97800299999999996</v>
      </c>
      <c r="EH35">
        <v>2.19974E-2</v>
      </c>
      <c r="EI35">
        <v>0</v>
      </c>
      <c r="EJ35">
        <v>567.84400000000005</v>
      </c>
      <c r="EK35">
        <v>5.0005300000000004</v>
      </c>
      <c r="EL35">
        <v>11987.8</v>
      </c>
      <c r="EM35">
        <v>16034.9</v>
      </c>
      <c r="EN35">
        <v>49</v>
      </c>
      <c r="EO35">
        <v>50.186999999999998</v>
      </c>
      <c r="EP35">
        <v>49.625</v>
      </c>
      <c r="EQ35">
        <v>49.686999999999998</v>
      </c>
      <c r="ER35">
        <v>50.125</v>
      </c>
      <c r="ES35">
        <v>1755.48</v>
      </c>
      <c r="ET35">
        <v>39.479999999999997</v>
      </c>
      <c r="EU35">
        <v>0</v>
      </c>
      <c r="EV35">
        <v>192.20000004768369</v>
      </c>
      <c r="EW35">
        <v>0</v>
      </c>
      <c r="EX35">
        <v>567.93780000000004</v>
      </c>
      <c r="EY35">
        <v>-1.0727692312705539</v>
      </c>
      <c r="EZ35">
        <v>-8.8461539237052573</v>
      </c>
      <c r="FA35">
        <v>11991.464</v>
      </c>
      <c r="FB35">
        <v>15</v>
      </c>
      <c r="FC35">
        <v>1700151098</v>
      </c>
      <c r="FD35" t="s">
        <v>500</v>
      </c>
      <c r="FE35">
        <v>1700151095.5</v>
      </c>
      <c r="FF35">
        <v>1700151098</v>
      </c>
      <c r="FG35">
        <v>21</v>
      </c>
      <c r="FH35">
        <v>-7.0000000000000007E-2</v>
      </c>
      <c r="FI35">
        <v>-5.0000000000000001E-3</v>
      </c>
      <c r="FJ35">
        <v>-0.80700000000000005</v>
      </c>
      <c r="FK35">
        <v>-3.0000000000000001E-3</v>
      </c>
      <c r="FL35">
        <v>750</v>
      </c>
      <c r="FM35">
        <v>25</v>
      </c>
      <c r="FN35">
        <v>0.06</v>
      </c>
      <c r="FO35">
        <v>0.04</v>
      </c>
      <c r="FP35">
        <v>40.692731765443988</v>
      </c>
      <c r="FQ35">
        <v>0.74752783347302287</v>
      </c>
      <c r="FR35">
        <v>7.0375927487848419E-2</v>
      </c>
      <c r="FS35">
        <v>0</v>
      </c>
      <c r="FT35">
        <v>0.16552714808271321</v>
      </c>
      <c r="FU35">
        <v>-2.7249177621710969E-3</v>
      </c>
      <c r="FV35">
        <v>6.3674527171000896E-4</v>
      </c>
      <c r="FW35">
        <v>1</v>
      </c>
      <c r="FX35">
        <v>1</v>
      </c>
      <c r="FY35">
        <v>2</v>
      </c>
      <c r="FZ35" t="s">
        <v>501</v>
      </c>
      <c r="GA35">
        <v>3.12703</v>
      </c>
      <c r="GB35">
        <v>2.7669999999999999</v>
      </c>
      <c r="GC35">
        <v>0.134127</v>
      </c>
      <c r="GD35">
        <v>0.139182</v>
      </c>
      <c r="GE35">
        <v>0.117386</v>
      </c>
      <c r="GF35">
        <v>0.11033999999999999</v>
      </c>
      <c r="GG35">
        <v>20570.099999999999</v>
      </c>
      <c r="GH35">
        <v>21265.7</v>
      </c>
      <c r="GI35">
        <v>23629.4</v>
      </c>
      <c r="GJ35">
        <v>25030.9</v>
      </c>
      <c r="GK35">
        <v>30037.5</v>
      </c>
      <c r="GL35">
        <v>31219.4</v>
      </c>
      <c r="GM35">
        <v>37669.5</v>
      </c>
      <c r="GN35">
        <v>38960.1</v>
      </c>
      <c r="GO35">
        <v>2.0321799999999999</v>
      </c>
      <c r="GP35">
        <v>1.7513700000000001</v>
      </c>
      <c r="GQ35">
        <v>-1.2669700000000001E-2</v>
      </c>
      <c r="GR35">
        <v>0</v>
      </c>
      <c r="GS35">
        <v>30.188800000000001</v>
      </c>
      <c r="GT35">
        <v>999.9</v>
      </c>
      <c r="GU35">
        <v>44.8</v>
      </c>
      <c r="GV35">
        <v>38.700000000000003</v>
      </c>
      <c r="GW35">
        <v>31.163</v>
      </c>
      <c r="GX35">
        <v>60.386299999999999</v>
      </c>
      <c r="GY35">
        <v>26.911100000000001</v>
      </c>
      <c r="GZ35">
        <v>1</v>
      </c>
      <c r="HA35">
        <v>0.71842499999999998</v>
      </c>
      <c r="HB35">
        <v>3.3187600000000002</v>
      </c>
      <c r="HC35">
        <v>20.286000000000001</v>
      </c>
      <c r="HD35">
        <v>5.2478400000000001</v>
      </c>
      <c r="HE35">
        <v>12.0099</v>
      </c>
      <c r="HF35">
        <v>4.9775999999999998</v>
      </c>
      <c r="HG35">
        <v>3.29223</v>
      </c>
      <c r="HH35">
        <v>9999</v>
      </c>
      <c r="HI35">
        <v>9999</v>
      </c>
      <c r="HJ35">
        <v>9999</v>
      </c>
      <c r="HK35">
        <v>999.9</v>
      </c>
      <c r="HL35">
        <v>1.8760699999999999</v>
      </c>
      <c r="HM35">
        <v>1.87703</v>
      </c>
      <c r="HN35">
        <v>1.88324</v>
      </c>
      <c r="HO35">
        <v>1.8864099999999999</v>
      </c>
      <c r="HP35">
        <v>1.8771500000000001</v>
      </c>
      <c r="HQ35">
        <v>1.8836900000000001</v>
      </c>
      <c r="HR35">
        <v>1.8826099999999999</v>
      </c>
      <c r="HS35">
        <v>1.88602</v>
      </c>
      <c r="HT35">
        <v>5</v>
      </c>
      <c r="HU35">
        <v>0</v>
      </c>
      <c r="HV35">
        <v>0</v>
      </c>
      <c r="HW35">
        <v>0</v>
      </c>
      <c r="HX35" t="s">
        <v>421</v>
      </c>
      <c r="HY35" t="s">
        <v>422</v>
      </c>
      <c r="HZ35" t="s">
        <v>423</v>
      </c>
      <c r="IA35" t="s">
        <v>424</v>
      </c>
      <c r="IB35" t="s">
        <v>424</v>
      </c>
      <c r="IC35" t="s">
        <v>423</v>
      </c>
      <c r="ID35">
        <v>0</v>
      </c>
      <c r="IE35">
        <v>100</v>
      </c>
      <c r="IF35">
        <v>100</v>
      </c>
      <c r="IG35">
        <v>-0.79400000000000004</v>
      </c>
      <c r="IH35">
        <v>-3.3999999999999998E-3</v>
      </c>
      <c r="II35">
        <v>-0.70563126357326278</v>
      </c>
      <c r="IJ35">
        <v>4.4610147972834149E-5</v>
      </c>
      <c r="IK35">
        <v>-2.082673137682459E-7</v>
      </c>
      <c r="IL35">
        <v>-4.0725795306076518E-11</v>
      </c>
      <c r="IM35">
        <v>-3.4095238095233071E-3</v>
      </c>
      <c r="IN35">
        <v>0</v>
      </c>
      <c r="IO35">
        <v>0</v>
      </c>
      <c r="IP35">
        <v>0</v>
      </c>
      <c r="IQ35">
        <v>3</v>
      </c>
      <c r="IR35">
        <v>2179</v>
      </c>
      <c r="IS35">
        <v>0</v>
      </c>
      <c r="IT35">
        <v>22</v>
      </c>
      <c r="IU35">
        <v>0.6</v>
      </c>
      <c r="IV35">
        <v>0.6</v>
      </c>
      <c r="IW35">
        <v>1.6906699999999999</v>
      </c>
      <c r="IX35">
        <v>2.65625</v>
      </c>
      <c r="IY35">
        <v>1.6003400000000001</v>
      </c>
      <c r="IZ35">
        <v>2.32666</v>
      </c>
      <c r="JA35">
        <v>1.5502899999999999</v>
      </c>
      <c r="JB35">
        <v>2.51709</v>
      </c>
      <c r="JC35">
        <v>45.719299999999997</v>
      </c>
      <c r="JD35">
        <v>23.973700000000001</v>
      </c>
      <c r="JE35">
        <v>18</v>
      </c>
      <c r="JF35">
        <v>544.13</v>
      </c>
      <c r="JG35">
        <v>395.10599999999999</v>
      </c>
      <c r="JH35">
        <v>26.2636</v>
      </c>
      <c r="JI35">
        <v>35.832999999999998</v>
      </c>
      <c r="JJ35">
        <v>29.9998</v>
      </c>
      <c r="JK35">
        <v>35.857799999999997</v>
      </c>
      <c r="JL35">
        <v>35.849899999999998</v>
      </c>
      <c r="JM35">
        <v>33.843600000000002</v>
      </c>
      <c r="JN35">
        <v>26.7287</v>
      </c>
      <c r="JO35">
        <v>63.371699999999997</v>
      </c>
      <c r="JP35">
        <v>26.278600000000001</v>
      </c>
      <c r="JQ35">
        <v>750</v>
      </c>
      <c r="JR35">
        <v>24.927</v>
      </c>
      <c r="JS35">
        <v>98.2483</v>
      </c>
      <c r="JT35">
        <v>98.589299999999994</v>
      </c>
    </row>
    <row r="36" spans="1:280" x14ac:dyDescent="0.25">
      <c r="A36">
        <v>20</v>
      </c>
      <c r="B36">
        <v>1700151286</v>
      </c>
      <c r="C36">
        <v>3412.5</v>
      </c>
      <c r="D36" t="s">
        <v>502</v>
      </c>
      <c r="E36" t="s">
        <v>503</v>
      </c>
      <c r="F36" t="s">
        <v>412</v>
      </c>
      <c r="G36" t="s">
        <v>481</v>
      </c>
      <c r="H36" t="s">
        <v>31</v>
      </c>
      <c r="I36">
        <v>1700151286</v>
      </c>
      <c r="J36">
        <f t="shared" si="0"/>
        <v>2.872125654028169E-3</v>
      </c>
      <c r="K36">
        <f t="shared" si="1"/>
        <v>2.872125654028169</v>
      </c>
      <c r="L36">
        <f t="shared" si="2"/>
        <v>40.700779210874835</v>
      </c>
      <c r="M36">
        <f t="shared" si="3"/>
        <v>559.41800000000001</v>
      </c>
      <c r="N36">
        <f t="shared" si="4"/>
        <v>193.70585163511612</v>
      </c>
      <c r="O36">
        <f t="shared" si="5"/>
        <v>19.272000371786337</v>
      </c>
      <c r="P36">
        <f t="shared" si="6"/>
        <v>55.657089411487398</v>
      </c>
      <c r="Q36">
        <f t="shared" si="7"/>
        <v>0.18791767596249845</v>
      </c>
      <c r="R36">
        <f t="shared" si="8"/>
        <v>3.1851485989457076</v>
      </c>
      <c r="S36">
        <f t="shared" si="9"/>
        <v>0.18196858320669221</v>
      </c>
      <c r="T36">
        <f t="shared" si="10"/>
        <v>0.11424917811769822</v>
      </c>
      <c r="U36">
        <f t="shared" si="11"/>
        <v>344.3630993025086</v>
      </c>
      <c r="V36">
        <f t="shared" si="12"/>
        <v>30.944248593261669</v>
      </c>
      <c r="W36">
        <f t="shared" si="13"/>
        <v>29.972799999999999</v>
      </c>
      <c r="X36">
        <f t="shared" si="14"/>
        <v>4.2537980068349395</v>
      </c>
      <c r="Y36">
        <f t="shared" si="15"/>
        <v>65.17760516624989</v>
      </c>
      <c r="Z36">
        <f t="shared" si="16"/>
        <v>2.7386505929273794</v>
      </c>
      <c r="AA36">
        <f t="shared" si="17"/>
        <v>4.2018275847077309</v>
      </c>
      <c r="AB36">
        <f t="shared" si="18"/>
        <v>1.51514741390756</v>
      </c>
      <c r="AC36">
        <f t="shared" si="19"/>
        <v>-126.66074134264225</v>
      </c>
      <c r="AD36">
        <f t="shared" si="20"/>
        <v>-36.713250944747827</v>
      </c>
      <c r="AE36">
        <f t="shared" si="21"/>
        <v>-2.559502401364401</v>
      </c>
      <c r="AF36">
        <f t="shared" si="22"/>
        <v>178.42960461375412</v>
      </c>
      <c r="AG36">
        <v>23</v>
      </c>
      <c r="AH36">
        <v>5</v>
      </c>
      <c r="AI36">
        <f t="shared" si="23"/>
        <v>1</v>
      </c>
      <c r="AJ36">
        <f t="shared" si="24"/>
        <v>0</v>
      </c>
      <c r="AK36">
        <f t="shared" si="25"/>
        <v>52091.757284865969</v>
      </c>
      <c r="AL36" t="s">
        <v>427</v>
      </c>
      <c r="AM36" t="s">
        <v>427</v>
      </c>
      <c r="AN36">
        <v>0</v>
      </c>
      <c r="AO36">
        <v>0</v>
      </c>
      <c r="AP36" t="e">
        <f t="shared" si="26"/>
        <v>#DIV/0!</v>
      </c>
      <c r="AQ36">
        <v>0</v>
      </c>
      <c r="AR36" t="s">
        <v>427</v>
      </c>
      <c r="AS36" t="s">
        <v>427</v>
      </c>
      <c r="AT36">
        <v>0</v>
      </c>
      <c r="AU36">
        <v>0</v>
      </c>
      <c r="AV36" t="e">
        <f t="shared" si="27"/>
        <v>#DIV/0!</v>
      </c>
      <c r="AW36">
        <v>0.5</v>
      </c>
      <c r="AX36">
        <f t="shared" si="28"/>
        <v>1513.1591996512543</v>
      </c>
      <c r="AY36">
        <f t="shared" si="29"/>
        <v>40.700779210874835</v>
      </c>
      <c r="AZ36" t="e">
        <f t="shared" si="30"/>
        <v>#DIV/0!</v>
      </c>
      <c r="BA36">
        <f t="shared" si="31"/>
        <v>2.6897883064951365E-2</v>
      </c>
      <c r="BB36" t="e">
        <f t="shared" si="32"/>
        <v>#DIV/0!</v>
      </c>
      <c r="BC36" t="e">
        <f t="shared" si="33"/>
        <v>#DIV/0!</v>
      </c>
      <c r="BD36" t="s">
        <v>427</v>
      </c>
      <c r="BE36">
        <v>0</v>
      </c>
      <c r="BF36" t="e">
        <f t="shared" si="34"/>
        <v>#DIV/0!</v>
      </c>
      <c r="BG36" t="e">
        <f t="shared" si="35"/>
        <v>#DIV/0!</v>
      </c>
      <c r="BH36" t="e">
        <f t="shared" si="36"/>
        <v>#DIV/0!</v>
      </c>
      <c r="BI36" t="e">
        <f t="shared" si="37"/>
        <v>#DIV/0!</v>
      </c>
      <c r="BJ36" t="e">
        <f t="shared" si="38"/>
        <v>#DIV/0!</v>
      </c>
      <c r="BK36" t="e">
        <f t="shared" si="39"/>
        <v>#DIV/0!</v>
      </c>
      <c r="BL36" t="e">
        <f t="shared" si="40"/>
        <v>#DIV/0!</v>
      </c>
      <c r="BM36" t="e">
        <f t="shared" si="41"/>
        <v>#DIV/0!</v>
      </c>
      <c r="BN36">
        <v>11272</v>
      </c>
      <c r="BO36">
        <v>290.00000000000011</v>
      </c>
      <c r="BP36">
        <v>761.77</v>
      </c>
      <c r="BQ36">
        <v>295</v>
      </c>
      <c r="BR36">
        <v>7106.96</v>
      </c>
      <c r="BS36">
        <v>762.19</v>
      </c>
      <c r="BT36">
        <v>-0.42</v>
      </c>
      <c r="BU36">
        <v>300.00000000000011</v>
      </c>
      <c r="BV36">
        <v>38.299999999999997</v>
      </c>
      <c r="BW36">
        <v>837.84562729924494</v>
      </c>
      <c r="BX36">
        <v>1.308195673254942</v>
      </c>
      <c r="BY36">
        <v>-53.770164332484633</v>
      </c>
      <c r="BZ36">
        <v>0.77933199330984837</v>
      </c>
      <c r="CA36">
        <v>0.99415245859795798</v>
      </c>
      <c r="CB36">
        <v>-7.0076224694104608E-3</v>
      </c>
      <c r="CC36">
        <v>289.99999999999989</v>
      </c>
      <c r="CD36">
        <v>770.25</v>
      </c>
      <c r="CE36">
        <v>825</v>
      </c>
      <c r="CF36">
        <v>7098.54</v>
      </c>
      <c r="CG36">
        <v>762.1</v>
      </c>
      <c r="CH36">
        <v>8.15</v>
      </c>
      <c r="CV36">
        <f t="shared" si="42"/>
        <v>1799.97</v>
      </c>
      <c r="CW36">
        <f t="shared" si="43"/>
        <v>1513.1591996512543</v>
      </c>
      <c r="CX36">
        <f t="shared" si="44"/>
        <v>0.84065801077309865</v>
      </c>
      <c r="CY36">
        <f t="shared" si="45"/>
        <v>0.1913160215461972</v>
      </c>
      <c r="CZ36">
        <v>4.8</v>
      </c>
      <c r="DA36">
        <v>0.5</v>
      </c>
      <c r="DB36" t="s">
        <v>418</v>
      </c>
      <c r="DC36">
        <v>2</v>
      </c>
      <c r="DD36">
        <v>1700151286</v>
      </c>
      <c r="DE36">
        <v>559.41800000000001</v>
      </c>
      <c r="DF36">
        <v>600.02800000000002</v>
      </c>
      <c r="DG36">
        <v>27.526599999999998</v>
      </c>
      <c r="DH36">
        <v>24.845600000000001</v>
      </c>
      <c r="DI36">
        <v>560.08399999999995</v>
      </c>
      <c r="DJ36">
        <v>27.530100000000001</v>
      </c>
      <c r="DK36">
        <v>500.06400000000002</v>
      </c>
      <c r="DL36">
        <v>99.391099999999994</v>
      </c>
      <c r="DM36">
        <v>9.9959300000000001E-2</v>
      </c>
      <c r="DN36">
        <v>29.759</v>
      </c>
      <c r="DO36">
        <v>29.972799999999999</v>
      </c>
      <c r="DP36">
        <v>999.9</v>
      </c>
      <c r="DQ36">
        <v>0</v>
      </c>
      <c r="DR36">
        <v>0</v>
      </c>
      <c r="DS36">
        <v>10003.1</v>
      </c>
      <c r="DT36">
        <v>0</v>
      </c>
      <c r="DU36">
        <v>336.52699999999999</v>
      </c>
      <c r="DV36">
        <v>-40.610100000000003</v>
      </c>
      <c r="DW36">
        <v>575.25300000000004</v>
      </c>
      <c r="DX36">
        <v>615.31600000000003</v>
      </c>
      <c r="DY36">
        <v>2.6810299999999998</v>
      </c>
      <c r="DZ36">
        <v>600.02800000000002</v>
      </c>
      <c r="EA36">
        <v>24.845600000000001</v>
      </c>
      <c r="EB36">
        <v>2.7359</v>
      </c>
      <c r="EC36">
        <v>2.46943</v>
      </c>
      <c r="ED36">
        <v>22.502300000000002</v>
      </c>
      <c r="EE36">
        <v>20.8264</v>
      </c>
      <c r="EF36">
        <v>1799.97</v>
      </c>
      <c r="EG36">
        <v>0.97800299999999996</v>
      </c>
      <c r="EH36">
        <v>2.19974E-2</v>
      </c>
      <c r="EI36">
        <v>0</v>
      </c>
      <c r="EJ36">
        <v>566.80499999999995</v>
      </c>
      <c r="EK36">
        <v>5.0005300000000004</v>
      </c>
      <c r="EL36">
        <v>11991.9</v>
      </c>
      <c r="EM36">
        <v>16035</v>
      </c>
      <c r="EN36">
        <v>49</v>
      </c>
      <c r="EO36">
        <v>50.186999999999998</v>
      </c>
      <c r="EP36">
        <v>49.561999999999998</v>
      </c>
      <c r="EQ36">
        <v>49.625</v>
      </c>
      <c r="ER36">
        <v>50.061999999999998</v>
      </c>
      <c r="ES36">
        <v>1755.49</v>
      </c>
      <c r="ET36">
        <v>39.479999999999997</v>
      </c>
      <c r="EU36">
        <v>0</v>
      </c>
      <c r="EV36">
        <v>150.60000014305109</v>
      </c>
      <c r="EW36">
        <v>0</v>
      </c>
      <c r="EX36">
        <v>566.80150000000003</v>
      </c>
      <c r="EY36">
        <v>-0.27552136380420972</v>
      </c>
      <c r="EZ36">
        <v>-98.625641088373953</v>
      </c>
      <c r="FA36">
        <v>12001.323076923079</v>
      </c>
      <c r="FB36">
        <v>15</v>
      </c>
      <c r="FC36">
        <v>1700151209</v>
      </c>
      <c r="FD36" t="s">
        <v>504</v>
      </c>
      <c r="FE36">
        <v>1700151209</v>
      </c>
      <c r="FF36">
        <v>1700151206</v>
      </c>
      <c r="FG36">
        <v>22</v>
      </c>
      <c r="FH36">
        <v>8.6999999999999994E-2</v>
      </c>
      <c r="FI36">
        <v>0</v>
      </c>
      <c r="FJ36">
        <v>-0.67500000000000004</v>
      </c>
      <c r="FK36">
        <v>-4.0000000000000001E-3</v>
      </c>
      <c r="FL36">
        <v>600</v>
      </c>
      <c r="FM36">
        <v>25</v>
      </c>
      <c r="FN36">
        <v>0.08</v>
      </c>
      <c r="FO36">
        <v>0.04</v>
      </c>
      <c r="FP36">
        <v>40.540359303156229</v>
      </c>
      <c r="FQ36">
        <v>0.57933699196152821</v>
      </c>
      <c r="FR36">
        <v>6.2455670350040363E-2</v>
      </c>
      <c r="FS36">
        <v>1</v>
      </c>
      <c r="FT36">
        <v>0.18455718351869491</v>
      </c>
      <c r="FU36">
        <v>3.5229116652775831E-2</v>
      </c>
      <c r="FV36">
        <v>2.735111783742806E-3</v>
      </c>
      <c r="FW36">
        <v>1</v>
      </c>
      <c r="FX36">
        <v>2</v>
      </c>
      <c r="FY36">
        <v>2</v>
      </c>
      <c r="FZ36" t="s">
        <v>420</v>
      </c>
      <c r="GA36">
        <v>3.1267900000000002</v>
      </c>
      <c r="GB36">
        <v>2.7668599999999999</v>
      </c>
      <c r="GC36">
        <v>0.11371100000000001</v>
      </c>
      <c r="GD36">
        <v>0.119422</v>
      </c>
      <c r="GE36">
        <v>0.117858</v>
      </c>
      <c r="GF36">
        <v>0.109886</v>
      </c>
      <c r="GG36">
        <v>21058</v>
      </c>
      <c r="GH36">
        <v>21758.3</v>
      </c>
      <c r="GI36">
        <v>23631.8</v>
      </c>
      <c r="GJ36">
        <v>25035</v>
      </c>
      <c r="GK36">
        <v>30024.9</v>
      </c>
      <c r="GL36">
        <v>31240.400000000001</v>
      </c>
      <c r="GM36">
        <v>37673.699999999997</v>
      </c>
      <c r="GN36">
        <v>38966.300000000003</v>
      </c>
      <c r="GO36">
        <v>2.0329299999999999</v>
      </c>
      <c r="GP36">
        <v>1.74935</v>
      </c>
      <c r="GQ36">
        <v>-1.4953299999999999E-2</v>
      </c>
      <c r="GR36">
        <v>0</v>
      </c>
      <c r="GS36">
        <v>30.216100000000001</v>
      </c>
      <c r="GT36">
        <v>999.9</v>
      </c>
      <c r="GU36">
        <v>44.3</v>
      </c>
      <c r="GV36">
        <v>38.9</v>
      </c>
      <c r="GW36">
        <v>31.1525</v>
      </c>
      <c r="GX36">
        <v>60.086399999999998</v>
      </c>
      <c r="GY36">
        <v>27.415900000000001</v>
      </c>
      <c r="GZ36">
        <v>1</v>
      </c>
      <c r="HA36">
        <v>0.71340700000000001</v>
      </c>
      <c r="HB36">
        <v>2.9514800000000001</v>
      </c>
      <c r="HC36">
        <v>20.293399999999998</v>
      </c>
      <c r="HD36">
        <v>5.2502399999999998</v>
      </c>
      <c r="HE36">
        <v>12.0099</v>
      </c>
      <c r="HF36">
        <v>4.9789500000000002</v>
      </c>
      <c r="HG36">
        <v>3.2930000000000001</v>
      </c>
      <c r="HH36">
        <v>9999</v>
      </c>
      <c r="HI36">
        <v>9999</v>
      </c>
      <c r="HJ36">
        <v>9999</v>
      </c>
      <c r="HK36">
        <v>999.9</v>
      </c>
      <c r="HL36">
        <v>1.87608</v>
      </c>
      <c r="HM36">
        <v>1.8770100000000001</v>
      </c>
      <c r="HN36">
        <v>1.88324</v>
      </c>
      <c r="HO36">
        <v>1.88636</v>
      </c>
      <c r="HP36">
        <v>1.87714</v>
      </c>
      <c r="HQ36">
        <v>1.88368</v>
      </c>
      <c r="HR36">
        <v>1.88263</v>
      </c>
      <c r="HS36">
        <v>1.8859900000000001</v>
      </c>
      <c r="HT36">
        <v>5</v>
      </c>
      <c r="HU36">
        <v>0</v>
      </c>
      <c r="HV36">
        <v>0</v>
      </c>
      <c r="HW36">
        <v>0</v>
      </c>
      <c r="HX36" t="s">
        <v>421</v>
      </c>
      <c r="HY36" t="s">
        <v>422</v>
      </c>
      <c r="HZ36" t="s">
        <v>423</v>
      </c>
      <c r="IA36" t="s">
        <v>424</v>
      </c>
      <c r="IB36" t="s">
        <v>424</v>
      </c>
      <c r="IC36" t="s">
        <v>423</v>
      </c>
      <c r="ID36">
        <v>0</v>
      </c>
      <c r="IE36">
        <v>100</v>
      </c>
      <c r="IF36">
        <v>100</v>
      </c>
      <c r="IG36">
        <v>-0.66600000000000004</v>
      </c>
      <c r="IH36">
        <v>-3.5000000000000001E-3</v>
      </c>
      <c r="II36">
        <v>-0.6182106417490264</v>
      </c>
      <c r="IJ36">
        <v>4.4610147972834149E-5</v>
      </c>
      <c r="IK36">
        <v>-2.082673137682459E-7</v>
      </c>
      <c r="IL36">
        <v>-4.0725795306076518E-11</v>
      </c>
      <c r="IM36">
        <v>-3.50499999999343E-3</v>
      </c>
      <c r="IN36">
        <v>0</v>
      </c>
      <c r="IO36">
        <v>0</v>
      </c>
      <c r="IP36">
        <v>0</v>
      </c>
      <c r="IQ36">
        <v>3</v>
      </c>
      <c r="IR36">
        <v>2179</v>
      </c>
      <c r="IS36">
        <v>0</v>
      </c>
      <c r="IT36">
        <v>22</v>
      </c>
      <c r="IU36">
        <v>1.3</v>
      </c>
      <c r="IV36">
        <v>1.3</v>
      </c>
      <c r="IW36">
        <v>1.41113</v>
      </c>
      <c r="IX36">
        <v>2.65625</v>
      </c>
      <c r="IY36">
        <v>1.6015600000000001</v>
      </c>
      <c r="IZ36">
        <v>2.32544</v>
      </c>
      <c r="JA36">
        <v>1.5502899999999999</v>
      </c>
      <c r="JB36">
        <v>2.4279799999999998</v>
      </c>
      <c r="JC36">
        <v>45.834400000000002</v>
      </c>
      <c r="JD36">
        <v>23.973700000000001</v>
      </c>
      <c r="JE36">
        <v>18</v>
      </c>
      <c r="JF36">
        <v>544.47500000000002</v>
      </c>
      <c r="JG36">
        <v>393.7</v>
      </c>
      <c r="JH36">
        <v>26.572700000000001</v>
      </c>
      <c r="JI36">
        <v>35.797600000000003</v>
      </c>
      <c r="JJ36">
        <v>29.9999</v>
      </c>
      <c r="JK36">
        <v>35.837899999999998</v>
      </c>
      <c r="JL36">
        <v>35.83</v>
      </c>
      <c r="JM36">
        <v>28.239100000000001</v>
      </c>
      <c r="JN36">
        <v>26.9589</v>
      </c>
      <c r="JO36">
        <v>62.471200000000003</v>
      </c>
      <c r="JP36">
        <v>26.590900000000001</v>
      </c>
      <c r="JQ36">
        <v>600</v>
      </c>
      <c r="JR36">
        <v>24.8216</v>
      </c>
      <c r="JS36">
        <v>98.258899999999997</v>
      </c>
      <c r="JT36">
        <v>98.605199999999996</v>
      </c>
    </row>
    <row r="37" spans="1:280" x14ac:dyDescent="0.25">
      <c r="A37">
        <v>21</v>
      </c>
      <c r="B37">
        <v>1700151387.5</v>
      </c>
      <c r="C37">
        <v>3514</v>
      </c>
      <c r="D37" t="s">
        <v>505</v>
      </c>
      <c r="E37" t="s">
        <v>506</v>
      </c>
      <c r="F37" t="s">
        <v>412</v>
      </c>
      <c r="G37" t="s">
        <v>481</v>
      </c>
      <c r="H37" t="s">
        <v>31</v>
      </c>
      <c r="I37">
        <v>1700151387.5</v>
      </c>
      <c r="J37">
        <f t="shared" si="0"/>
        <v>3.150741485004549E-3</v>
      </c>
      <c r="K37">
        <f t="shared" si="1"/>
        <v>3.150741485004549</v>
      </c>
      <c r="L37">
        <f t="shared" si="2"/>
        <v>38.719205600006177</v>
      </c>
      <c r="M37">
        <f t="shared" si="3"/>
        <v>461.42200000000003</v>
      </c>
      <c r="N37">
        <f t="shared" si="4"/>
        <v>147.1405903443883</v>
      </c>
      <c r="O37">
        <f t="shared" si="5"/>
        <v>14.638876475676055</v>
      </c>
      <c r="P37">
        <f t="shared" si="6"/>
        <v>45.906433060719401</v>
      </c>
      <c r="Q37">
        <f t="shared" si="7"/>
        <v>0.20826244831196528</v>
      </c>
      <c r="R37">
        <f t="shared" si="8"/>
        <v>3.1875063104717727</v>
      </c>
      <c r="S37">
        <f t="shared" si="9"/>
        <v>0.20098751183485841</v>
      </c>
      <c r="T37">
        <f t="shared" si="10"/>
        <v>0.1262496478658888</v>
      </c>
      <c r="U37">
        <f t="shared" si="11"/>
        <v>344.3611993025047</v>
      </c>
      <c r="V37">
        <f t="shared" si="12"/>
        <v>30.958311368182535</v>
      </c>
      <c r="W37">
        <f t="shared" si="13"/>
        <v>29.987400000000001</v>
      </c>
      <c r="X37">
        <f t="shared" si="14"/>
        <v>4.2573673136991612</v>
      </c>
      <c r="Y37">
        <f t="shared" si="15"/>
        <v>65.204255360684925</v>
      </c>
      <c r="Z37">
        <f t="shared" si="16"/>
        <v>2.7526926801364096</v>
      </c>
      <c r="AA37">
        <f t="shared" si="17"/>
        <v>4.2216457574886324</v>
      </c>
      <c r="AB37">
        <f t="shared" si="18"/>
        <v>1.5046746335627517</v>
      </c>
      <c r="AC37">
        <f t="shared" si="19"/>
        <v>-138.94769948870061</v>
      </c>
      <c r="AD37">
        <f t="shared" si="20"/>
        <v>-25.192453574808503</v>
      </c>
      <c r="AE37">
        <f t="shared" si="21"/>
        <v>-1.7558568844421638</v>
      </c>
      <c r="AF37">
        <f t="shared" si="22"/>
        <v>178.46518935455344</v>
      </c>
      <c r="AG37">
        <v>23</v>
      </c>
      <c r="AH37">
        <v>5</v>
      </c>
      <c r="AI37">
        <f t="shared" si="23"/>
        <v>1</v>
      </c>
      <c r="AJ37">
        <f t="shared" si="24"/>
        <v>0</v>
      </c>
      <c r="AK37">
        <f t="shared" si="25"/>
        <v>52136.043810157069</v>
      </c>
      <c r="AL37" t="s">
        <v>415</v>
      </c>
      <c r="AM37">
        <v>6977.87</v>
      </c>
      <c r="AN37">
        <v>273.15280000000001</v>
      </c>
      <c r="AO37">
        <v>850.46774885301022</v>
      </c>
      <c r="AP37">
        <f t="shared" si="26"/>
        <v>0.67882050745793765</v>
      </c>
      <c r="AQ37">
        <v>-1.0323826813720729</v>
      </c>
      <c r="AR37" t="s">
        <v>507</v>
      </c>
      <c r="AS37">
        <v>7106.93</v>
      </c>
      <c r="AT37">
        <v>567.68151999999998</v>
      </c>
      <c r="AU37">
        <v>820.8878787545774</v>
      </c>
      <c r="AV37">
        <f t="shared" si="27"/>
        <v>0.30845425460384834</v>
      </c>
      <c r="AW37">
        <v>0.5</v>
      </c>
      <c r="AX37">
        <f t="shared" si="28"/>
        <v>1513.1507996512521</v>
      </c>
      <c r="AY37">
        <f t="shared" si="29"/>
        <v>38.719205600006177</v>
      </c>
      <c r="AZ37">
        <f t="shared" si="30"/>
        <v>233.36890100482202</v>
      </c>
      <c r="BA37">
        <f t="shared" si="31"/>
        <v>2.6270738045765241E-2</v>
      </c>
      <c r="BB37">
        <f t="shared" si="32"/>
        <v>3.6033995462706032E-2</v>
      </c>
      <c r="BC37">
        <f t="shared" si="33"/>
        <v>270.02766709638632</v>
      </c>
      <c r="BD37" t="s">
        <v>508</v>
      </c>
      <c r="BE37">
        <v>395.13</v>
      </c>
      <c r="BF37">
        <f t="shared" si="34"/>
        <v>395.13</v>
      </c>
      <c r="BG37">
        <f t="shared" si="35"/>
        <v>0.51865533622024307</v>
      </c>
      <c r="BH37">
        <f t="shared" si="36"/>
        <v>0.59471913824649369</v>
      </c>
      <c r="BI37">
        <f t="shared" si="37"/>
        <v>6.4962481527051349E-2</v>
      </c>
      <c r="BJ37">
        <f t="shared" si="38"/>
        <v>0.46227888002044704</v>
      </c>
      <c r="BK37">
        <f t="shared" si="39"/>
        <v>5.1236972396438207E-2</v>
      </c>
      <c r="BL37">
        <f t="shared" si="40"/>
        <v>0.41394930928055762</v>
      </c>
      <c r="BM37">
        <f t="shared" si="41"/>
        <v>0.58605069071944238</v>
      </c>
      <c r="BN37">
        <v>11274</v>
      </c>
      <c r="BO37">
        <v>290.00000000000011</v>
      </c>
      <c r="BP37">
        <v>748.87</v>
      </c>
      <c r="BQ37">
        <v>285</v>
      </c>
      <c r="BR37">
        <v>7106.93</v>
      </c>
      <c r="BS37">
        <v>750.18</v>
      </c>
      <c r="BT37">
        <v>-1.31</v>
      </c>
      <c r="BU37">
        <v>300.00000000000011</v>
      </c>
      <c r="BV37">
        <v>38.299999999999997</v>
      </c>
      <c r="BW37">
        <v>820.8878787545774</v>
      </c>
      <c r="BX37">
        <v>1.12198124135424</v>
      </c>
      <c r="BY37">
        <v>-50.250254773974959</v>
      </c>
      <c r="BZ37">
        <v>0.6683990884084221</v>
      </c>
      <c r="CA37">
        <v>0.99507045286204354</v>
      </c>
      <c r="CB37">
        <v>-7.00755884315907E-3</v>
      </c>
      <c r="CC37">
        <v>289.99999999999989</v>
      </c>
      <c r="CD37">
        <v>757.75</v>
      </c>
      <c r="CE37">
        <v>845</v>
      </c>
      <c r="CF37">
        <v>7098.21</v>
      </c>
      <c r="CG37">
        <v>750.1</v>
      </c>
      <c r="CH37">
        <v>7.65</v>
      </c>
      <c r="CV37">
        <f t="shared" si="42"/>
        <v>1799.96</v>
      </c>
      <c r="CW37">
        <f t="shared" si="43"/>
        <v>1513.1507996512521</v>
      </c>
      <c r="CX37">
        <f t="shared" si="44"/>
        <v>0.84065801442879406</v>
      </c>
      <c r="CY37">
        <f t="shared" si="45"/>
        <v>0.19131602885758833</v>
      </c>
      <c r="CZ37">
        <v>4.8</v>
      </c>
      <c r="DA37">
        <v>0.5</v>
      </c>
      <c r="DB37" t="s">
        <v>418</v>
      </c>
      <c r="DC37">
        <v>2</v>
      </c>
      <c r="DD37">
        <v>1700151387.5</v>
      </c>
      <c r="DE37">
        <v>461.42200000000003</v>
      </c>
      <c r="DF37">
        <v>499.976</v>
      </c>
      <c r="DG37">
        <v>27.668299999999999</v>
      </c>
      <c r="DH37">
        <v>24.728200000000001</v>
      </c>
      <c r="DI37">
        <v>461.98500000000001</v>
      </c>
      <c r="DJ37">
        <v>27.6737</v>
      </c>
      <c r="DK37">
        <v>500.15699999999998</v>
      </c>
      <c r="DL37">
        <v>99.389099999999999</v>
      </c>
      <c r="DM37">
        <v>9.9942699999999995E-2</v>
      </c>
      <c r="DN37">
        <v>29.840800000000002</v>
      </c>
      <c r="DO37">
        <v>29.987400000000001</v>
      </c>
      <c r="DP37">
        <v>999.9</v>
      </c>
      <c r="DQ37">
        <v>0</v>
      </c>
      <c r="DR37">
        <v>0</v>
      </c>
      <c r="DS37">
        <v>10015</v>
      </c>
      <c r="DT37">
        <v>0</v>
      </c>
      <c r="DU37">
        <v>345.29</v>
      </c>
      <c r="DV37">
        <v>-38.5533</v>
      </c>
      <c r="DW37">
        <v>474.55200000000002</v>
      </c>
      <c r="DX37">
        <v>512.65300000000002</v>
      </c>
      <c r="DY37">
        <v>2.9400499999999998</v>
      </c>
      <c r="DZ37">
        <v>499.976</v>
      </c>
      <c r="EA37">
        <v>24.728200000000001</v>
      </c>
      <c r="EB37">
        <v>2.74993</v>
      </c>
      <c r="EC37">
        <v>2.4577200000000001</v>
      </c>
      <c r="ED37">
        <v>22.586500000000001</v>
      </c>
      <c r="EE37">
        <v>20.749199999999998</v>
      </c>
      <c r="EF37">
        <v>1799.96</v>
      </c>
      <c r="EG37">
        <v>0.97800299999999996</v>
      </c>
      <c r="EH37">
        <v>2.19974E-2</v>
      </c>
      <c r="EI37">
        <v>0</v>
      </c>
      <c r="EJ37">
        <v>567.27</v>
      </c>
      <c r="EK37">
        <v>5.0005300000000004</v>
      </c>
      <c r="EL37">
        <v>12003.4</v>
      </c>
      <c r="EM37">
        <v>16034.9</v>
      </c>
      <c r="EN37">
        <v>48.936999999999998</v>
      </c>
      <c r="EO37">
        <v>50.186999999999998</v>
      </c>
      <c r="EP37">
        <v>49.561999999999998</v>
      </c>
      <c r="EQ37">
        <v>49.625</v>
      </c>
      <c r="ER37">
        <v>50.061999999999998</v>
      </c>
      <c r="ES37">
        <v>1755.48</v>
      </c>
      <c r="ET37">
        <v>39.479999999999997</v>
      </c>
      <c r="EU37">
        <v>0</v>
      </c>
      <c r="EV37">
        <v>252</v>
      </c>
      <c r="EW37">
        <v>0</v>
      </c>
      <c r="EX37">
        <v>567.68151999999998</v>
      </c>
      <c r="EY37">
        <v>-0.89499999623084703</v>
      </c>
      <c r="EZ37">
        <v>-76.500000406254273</v>
      </c>
      <c r="FA37">
        <v>12015.603999999999</v>
      </c>
      <c r="FB37">
        <v>15</v>
      </c>
      <c r="FC37">
        <v>1700151352</v>
      </c>
      <c r="FD37" t="s">
        <v>509</v>
      </c>
      <c r="FE37">
        <v>1700151352</v>
      </c>
      <c r="FF37">
        <v>1700151350.5</v>
      </c>
      <c r="FG37">
        <v>23</v>
      </c>
      <c r="FH37">
        <v>8.3000000000000004E-2</v>
      </c>
      <c r="FI37">
        <v>-2E-3</v>
      </c>
      <c r="FJ37">
        <v>-0.56999999999999995</v>
      </c>
      <c r="FK37">
        <v>-5.0000000000000001E-3</v>
      </c>
      <c r="FL37">
        <v>500</v>
      </c>
      <c r="FM37">
        <v>25</v>
      </c>
      <c r="FN37">
        <v>0.06</v>
      </c>
      <c r="FO37">
        <v>0.05</v>
      </c>
      <c r="FP37">
        <v>38.659243364554918</v>
      </c>
      <c r="FQ37">
        <v>0.63925740344457216</v>
      </c>
      <c r="FR37">
        <v>8.6020910322154726E-2</v>
      </c>
      <c r="FS37">
        <v>1</v>
      </c>
      <c r="FT37">
        <v>0.20461048418384339</v>
      </c>
      <c r="FU37">
        <v>2.9835529954288311E-2</v>
      </c>
      <c r="FV37">
        <v>2.3909256710474879E-3</v>
      </c>
      <c r="FW37">
        <v>1</v>
      </c>
      <c r="FX37">
        <v>2</v>
      </c>
      <c r="FY37">
        <v>2</v>
      </c>
      <c r="FZ37" t="s">
        <v>420</v>
      </c>
      <c r="GA37">
        <v>3.1269999999999998</v>
      </c>
      <c r="GB37">
        <v>2.76694</v>
      </c>
      <c r="GC37">
        <v>9.8819599999999994E-2</v>
      </c>
      <c r="GD37">
        <v>0.104805</v>
      </c>
      <c r="GE37">
        <v>0.118284</v>
      </c>
      <c r="GF37">
        <v>0.10952000000000001</v>
      </c>
      <c r="GG37">
        <v>21412.1</v>
      </c>
      <c r="GH37">
        <v>22120.400000000001</v>
      </c>
      <c r="GI37">
        <v>23632</v>
      </c>
      <c r="GJ37">
        <v>25035.599999999999</v>
      </c>
      <c r="GK37">
        <v>30010.7</v>
      </c>
      <c r="GL37">
        <v>31254</v>
      </c>
      <c r="GM37">
        <v>37674</v>
      </c>
      <c r="GN37">
        <v>38967.199999999997</v>
      </c>
      <c r="GO37">
        <v>2.0333199999999998</v>
      </c>
      <c r="GP37">
        <v>1.74793</v>
      </c>
      <c r="GQ37">
        <v>-1.85892E-2</v>
      </c>
      <c r="GR37">
        <v>0</v>
      </c>
      <c r="GS37">
        <v>30.289899999999999</v>
      </c>
      <c r="GT37">
        <v>999.9</v>
      </c>
      <c r="GU37">
        <v>43.9</v>
      </c>
      <c r="GV37">
        <v>39.1</v>
      </c>
      <c r="GW37">
        <v>31.206600000000002</v>
      </c>
      <c r="GX37">
        <v>60.696399999999997</v>
      </c>
      <c r="GY37">
        <v>26.838899999999999</v>
      </c>
      <c r="GZ37">
        <v>1</v>
      </c>
      <c r="HA37">
        <v>0.71393799999999996</v>
      </c>
      <c r="HB37">
        <v>3.1039699999999999</v>
      </c>
      <c r="HC37">
        <v>20.289899999999999</v>
      </c>
      <c r="HD37">
        <v>5.2479899999999997</v>
      </c>
      <c r="HE37">
        <v>12.0099</v>
      </c>
      <c r="HF37">
        <v>4.9778000000000002</v>
      </c>
      <c r="HG37">
        <v>3.2923300000000002</v>
      </c>
      <c r="HH37">
        <v>9999</v>
      </c>
      <c r="HI37">
        <v>9999</v>
      </c>
      <c r="HJ37">
        <v>9999</v>
      </c>
      <c r="HK37">
        <v>999.9</v>
      </c>
      <c r="HL37">
        <v>1.87608</v>
      </c>
      <c r="HM37">
        <v>1.8769899999999999</v>
      </c>
      <c r="HN37">
        <v>1.88324</v>
      </c>
      <c r="HO37">
        <v>1.8863399999999999</v>
      </c>
      <c r="HP37">
        <v>1.87714</v>
      </c>
      <c r="HQ37">
        <v>1.88368</v>
      </c>
      <c r="HR37">
        <v>1.88263</v>
      </c>
      <c r="HS37">
        <v>1.8859999999999999</v>
      </c>
      <c r="HT37">
        <v>5</v>
      </c>
      <c r="HU37">
        <v>0</v>
      </c>
      <c r="HV37">
        <v>0</v>
      </c>
      <c r="HW37">
        <v>0</v>
      </c>
      <c r="HX37" t="s">
        <v>421</v>
      </c>
      <c r="HY37" t="s">
        <v>422</v>
      </c>
      <c r="HZ37" t="s">
        <v>423</v>
      </c>
      <c r="IA37" t="s">
        <v>424</v>
      </c>
      <c r="IB37" t="s">
        <v>424</v>
      </c>
      <c r="IC37" t="s">
        <v>423</v>
      </c>
      <c r="ID37">
        <v>0</v>
      </c>
      <c r="IE37">
        <v>100</v>
      </c>
      <c r="IF37">
        <v>100</v>
      </c>
      <c r="IG37">
        <v>-0.56299999999999994</v>
      </c>
      <c r="IH37">
        <v>-5.4000000000000003E-3</v>
      </c>
      <c r="II37">
        <v>-0.53475934152838722</v>
      </c>
      <c r="IJ37">
        <v>4.4610147972834149E-5</v>
      </c>
      <c r="IK37">
        <v>-2.082673137682459E-7</v>
      </c>
      <c r="IL37">
        <v>-4.0725795306076518E-11</v>
      </c>
      <c r="IM37">
        <v>-5.4199999999973159E-3</v>
      </c>
      <c r="IN37">
        <v>0</v>
      </c>
      <c r="IO37">
        <v>0</v>
      </c>
      <c r="IP37">
        <v>0</v>
      </c>
      <c r="IQ37">
        <v>3</v>
      </c>
      <c r="IR37">
        <v>2179</v>
      </c>
      <c r="IS37">
        <v>0</v>
      </c>
      <c r="IT37">
        <v>22</v>
      </c>
      <c r="IU37">
        <v>0.6</v>
      </c>
      <c r="IV37">
        <v>0.6</v>
      </c>
      <c r="IW37">
        <v>1.2182599999999999</v>
      </c>
      <c r="IX37">
        <v>2.67456</v>
      </c>
      <c r="IY37">
        <v>1.6015600000000001</v>
      </c>
      <c r="IZ37">
        <v>2.32666</v>
      </c>
      <c r="JA37">
        <v>1.5502899999999999</v>
      </c>
      <c r="JB37">
        <v>2.34985</v>
      </c>
      <c r="JC37">
        <v>45.920999999999999</v>
      </c>
      <c r="JD37">
        <v>23.9649</v>
      </c>
      <c r="JE37">
        <v>18</v>
      </c>
      <c r="JF37">
        <v>544.68899999999996</v>
      </c>
      <c r="JG37">
        <v>392.75900000000001</v>
      </c>
      <c r="JH37">
        <v>26.557200000000002</v>
      </c>
      <c r="JI37">
        <v>35.786700000000003</v>
      </c>
      <c r="JJ37">
        <v>30.0001</v>
      </c>
      <c r="JK37">
        <v>35.831299999999999</v>
      </c>
      <c r="JL37">
        <v>35.823399999999999</v>
      </c>
      <c r="JM37">
        <v>24.373699999999999</v>
      </c>
      <c r="JN37">
        <v>27.264800000000001</v>
      </c>
      <c r="JO37">
        <v>61.676900000000003</v>
      </c>
      <c r="JP37">
        <v>26.561199999999999</v>
      </c>
      <c r="JQ37">
        <v>500</v>
      </c>
      <c r="JR37">
        <v>24.680599999999998</v>
      </c>
      <c r="JS37">
        <v>98.259699999999995</v>
      </c>
      <c r="JT37">
        <v>98.607500000000002</v>
      </c>
    </row>
    <row r="38" spans="1:280" x14ac:dyDescent="0.25">
      <c r="A38">
        <v>22</v>
      </c>
      <c r="B38">
        <v>1700151493.5</v>
      </c>
      <c r="C38">
        <v>3620</v>
      </c>
      <c r="D38" t="s">
        <v>510</v>
      </c>
      <c r="E38" t="s">
        <v>511</v>
      </c>
      <c r="F38" t="s">
        <v>412</v>
      </c>
      <c r="G38" t="s">
        <v>481</v>
      </c>
      <c r="H38" t="s">
        <v>31</v>
      </c>
      <c r="I38">
        <v>1700151493.5</v>
      </c>
      <c r="J38">
        <f t="shared" si="0"/>
        <v>3.3083603379341795E-3</v>
      </c>
      <c r="K38">
        <f t="shared" si="1"/>
        <v>3.3083603379341797</v>
      </c>
      <c r="L38">
        <f t="shared" si="2"/>
        <v>35.104003422360279</v>
      </c>
      <c r="M38">
        <f t="shared" si="3"/>
        <v>365.15899999999999</v>
      </c>
      <c r="N38">
        <f t="shared" si="4"/>
        <v>99.312327876439412</v>
      </c>
      <c r="O38">
        <f t="shared" si="5"/>
        <v>9.8798783828990349</v>
      </c>
      <c r="P38">
        <f t="shared" si="6"/>
        <v>36.327076281100005</v>
      </c>
      <c r="Q38">
        <f t="shared" si="7"/>
        <v>0.2230692516571183</v>
      </c>
      <c r="R38">
        <f t="shared" si="8"/>
        <v>3.1862622195355756</v>
      </c>
      <c r="S38">
        <f t="shared" si="9"/>
        <v>0.21474221288827228</v>
      </c>
      <c r="T38">
        <f t="shared" si="10"/>
        <v>0.13493613591414269</v>
      </c>
      <c r="U38">
        <f t="shared" si="11"/>
        <v>344.35359930248922</v>
      </c>
      <c r="V38">
        <f t="shared" si="12"/>
        <v>30.947629952334676</v>
      </c>
      <c r="W38">
        <f t="shared" si="13"/>
        <v>29.9666</v>
      </c>
      <c r="X38">
        <f t="shared" si="14"/>
        <v>4.252283062857857</v>
      </c>
      <c r="Y38">
        <f t="shared" si="15"/>
        <v>65.601933319820887</v>
      </c>
      <c r="Z38">
        <f t="shared" si="16"/>
        <v>2.7737523729300002</v>
      </c>
      <c r="AA38">
        <f t="shared" si="17"/>
        <v>4.2281564468648707</v>
      </c>
      <c r="AB38">
        <f t="shared" si="18"/>
        <v>1.4785306899278567</v>
      </c>
      <c r="AC38">
        <f t="shared" si="19"/>
        <v>-145.89869090289733</v>
      </c>
      <c r="AD38">
        <f t="shared" si="20"/>
        <v>-17.005999109180628</v>
      </c>
      <c r="AE38">
        <f t="shared" si="21"/>
        <v>-1.185777563440384</v>
      </c>
      <c r="AF38">
        <f t="shared" si="22"/>
        <v>180.26313172697084</v>
      </c>
      <c r="AG38">
        <v>22</v>
      </c>
      <c r="AH38">
        <v>4</v>
      </c>
      <c r="AI38">
        <f t="shared" si="23"/>
        <v>1</v>
      </c>
      <c r="AJ38">
        <f t="shared" si="24"/>
        <v>0</v>
      </c>
      <c r="AK38">
        <f t="shared" si="25"/>
        <v>52100.492061280267</v>
      </c>
      <c r="AL38" t="s">
        <v>427</v>
      </c>
      <c r="AM38" t="s">
        <v>427</v>
      </c>
      <c r="AN38">
        <v>0</v>
      </c>
      <c r="AO38">
        <v>0</v>
      </c>
      <c r="AP38" t="e">
        <f t="shared" si="26"/>
        <v>#DIV/0!</v>
      </c>
      <c r="AQ38">
        <v>0</v>
      </c>
      <c r="AR38" t="s">
        <v>427</v>
      </c>
      <c r="AS38" t="s">
        <v>427</v>
      </c>
      <c r="AT38">
        <v>0</v>
      </c>
      <c r="AU38">
        <v>0</v>
      </c>
      <c r="AV38" t="e">
        <f t="shared" si="27"/>
        <v>#DIV/0!</v>
      </c>
      <c r="AW38">
        <v>0.5</v>
      </c>
      <c r="AX38">
        <f t="shared" si="28"/>
        <v>1513.1171996512446</v>
      </c>
      <c r="AY38">
        <f t="shared" si="29"/>
        <v>35.104003422360279</v>
      </c>
      <c r="AZ38" t="e">
        <f t="shared" si="30"/>
        <v>#DIV/0!</v>
      </c>
      <c r="BA38">
        <f t="shared" si="31"/>
        <v>2.3199791417645197E-2</v>
      </c>
      <c r="BB38" t="e">
        <f t="shared" si="32"/>
        <v>#DIV/0!</v>
      </c>
      <c r="BC38" t="e">
        <f t="shared" si="33"/>
        <v>#DIV/0!</v>
      </c>
      <c r="BD38" t="s">
        <v>427</v>
      </c>
      <c r="BE38">
        <v>0</v>
      </c>
      <c r="BF38" t="e">
        <f t="shared" si="34"/>
        <v>#DIV/0!</v>
      </c>
      <c r="BG38" t="e">
        <f t="shared" si="35"/>
        <v>#DIV/0!</v>
      </c>
      <c r="BH38" t="e">
        <f t="shared" si="36"/>
        <v>#DIV/0!</v>
      </c>
      <c r="BI38" t="e">
        <f t="shared" si="37"/>
        <v>#DIV/0!</v>
      </c>
      <c r="BJ38" t="e">
        <f t="shared" si="38"/>
        <v>#DIV/0!</v>
      </c>
      <c r="BK38" t="e">
        <f t="shared" si="39"/>
        <v>#DIV/0!</v>
      </c>
      <c r="BL38" t="e">
        <f t="shared" si="40"/>
        <v>#DIV/0!</v>
      </c>
      <c r="BM38" t="e">
        <f t="shared" si="41"/>
        <v>#DIV/0!</v>
      </c>
      <c r="BN38">
        <v>11274</v>
      </c>
      <c r="BO38">
        <v>290.00000000000011</v>
      </c>
      <c r="BP38">
        <v>748.87</v>
      </c>
      <c r="BQ38">
        <v>285</v>
      </c>
      <c r="BR38">
        <v>7106.93</v>
      </c>
      <c r="BS38">
        <v>750.18</v>
      </c>
      <c r="BT38">
        <v>-1.31</v>
      </c>
      <c r="BU38">
        <v>300.00000000000011</v>
      </c>
      <c r="BV38">
        <v>38.299999999999997</v>
      </c>
      <c r="BW38">
        <v>820.8878787545774</v>
      </c>
      <c r="BX38">
        <v>1.12198124135424</v>
      </c>
      <c r="BY38">
        <v>-50.250254773974959</v>
      </c>
      <c r="BZ38">
        <v>0.6683990884084221</v>
      </c>
      <c r="CA38">
        <v>0.99507045286204354</v>
      </c>
      <c r="CB38">
        <v>-7.00755884315907E-3</v>
      </c>
      <c r="CC38">
        <v>289.99999999999989</v>
      </c>
      <c r="CD38">
        <v>757.75</v>
      </c>
      <c r="CE38">
        <v>845</v>
      </c>
      <c r="CF38">
        <v>7098.21</v>
      </c>
      <c r="CG38">
        <v>750.1</v>
      </c>
      <c r="CH38">
        <v>7.65</v>
      </c>
      <c r="CV38">
        <f t="shared" si="42"/>
        <v>1799.92</v>
      </c>
      <c r="CW38">
        <f t="shared" si="43"/>
        <v>1513.1171996512446</v>
      </c>
      <c r="CX38">
        <f t="shared" si="44"/>
        <v>0.84065802905198261</v>
      </c>
      <c r="CY38">
        <f t="shared" si="45"/>
        <v>0.19131605810396529</v>
      </c>
      <c r="CZ38">
        <v>4.8</v>
      </c>
      <c r="DA38">
        <v>0.5</v>
      </c>
      <c r="DB38" t="s">
        <v>418</v>
      </c>
      <c r="DC38">
        <v>2</v>
      </c>
      <c r="DD38">
        <v>1700151493.5</v>
      </c>
      <c r="DE38">
        <v>365.15899999999999</v>
      </c>
      <c r="DF38">
        <v>400.01100000000002</v>
      </c>
      <c r="DG38">
        <v>27.881699999999999</v>
      </c>
      <c r="DH38">
        <v>24.794899999999998</v>
      </c>
      <c r="DI38">
        <v>365.815</v>
      </c>
      <c r="DJ38">
        <v>27.886399999999998</v>
      </c>
      <c r="DK38">
        <v>500.10899999999998</v>
      </c>
      <c r="DL38">
        <v>99.383399999999995</v>
      </c>
      <c r="DM38">
        <v>9.9500000000000005E-2</v>
      </c>
      <c r="DN38">
        <v>29.867599999999999</v>
      </c>
      <c r="DO38">
        <v>29.9666</v>
      </c>
      <c r="DP38">
        <v>999.9</v>
      </c>
      <c r="DQ38">
        <v>0</v>
      </c>
      <c r="DR38">
        <v>0</v>
      </c>
      <c r="DS38">
        <v>10009.4</v>
      </c>
      <c r="DT38">
        <v>0</v>
      </c>
      <c r="DU38">
        <v>356.18200000000002</v>
      </c>
      <c r="DV38">
        <v>-34.851799999999997</v>
      </c>
      <c r="DW38">
        <v>375.63200000000001</v>
      </c>
      <c r="DX38">
        <v>410.18099999999998</v>
      </c>
      <c r="DY38">
        <v>3.0867900000000001</v>
      </c>
      <c r="DZ38">
        <v>400.01100000000002</v>
      </c>
      <c r="EA38">
        <v>24.794899999999998</v>
      </c>
      <c r="EB38">
        <v>2.7709800000000002</v>
      </c>
      <c r="EC38">
        <v>2.4641999999999999</v>
      </c>
      <c r="ED38">
        <v>22.712199999999999</v>
      </c>
      <c r="EE38">
        <v>20.792000000000002</v>
      </c>
      <c r="EF38">
        <v>1799.92</v>
      </c>
      <c r="EG38">
        <v>0.97800299999999996</v>
      </c>
      <c r="EH38">
        <v>2.19974E-2</v>
      </c>
      <c r="EI38">
        <v>0</v>
      </c>
      <c r="EJ38">
        <v>570.41700000000003</v>
      </c>
      <c r="EK38">
        <v>5.0005300000000004</v>
      </c>
      <c r="EL38">
        <v>12108.9</v>
      </c>
      <c r="EM38">
        <v>16034.5</v>
      </c>
      <c r="EN38">
        <v>49</v>
      </c>
      <c r="EO38">
        <v>50.186999999999998</v>
      </c>
      <c r="EP38">
        <v>49.625</v>
      </c>
      <c r="EQ38">
        <v>49.686999999999998</v>
      </c>
      <c r="ER38">
        <v>50.125</v>
      </c>
      <c r="ES38">
        <v>1755.44</v>
      </c>
      <c r="ET38">
        <v>39.479999999999997</v>
      </c>
      <c r="EU38">
        <v>0</v>
      </c>
      <c r="EV38">
        <v>104</v>
      </c>
      <c r="EW38">
        <v>0</v>
      </c>
      <c r="EX38">
        <v>570.86128000000008</v>
      </c>
      <c r="EY38">
        <v>-1.434153829237963</v>
      </c>
      <c r="EZ38">
        <v>49.000000114326767</v>
      </c>
      <c r="FA38">
        <v>12058.116</v>
      </c>
      <c r="FB38">
        <v>15</v>
      </c>
      <c r="FC38">
        <v>1700151460.5</v>
      </c>
      <c r="FD38" t="s">
        <v>512</v>
      </c>
      <c r="FE38">
        <v>1700151460.5</v>
      </c>
      <c r="FF38">
        <v>1700151457</v>
      </c>
      <c r="FG38">
        <v>24</v>
      </c>
      <c r="FH38">
        <v>-0.108</v>
      </c>
      <c r="FI38">
        <v>1E-3</v>
      </c>
      <c r="FJ38">
        <v>-0.66100000000000003</v>
      </c>
      <c r="FK38">
        <v>-5.0000000000000001E-3</v>
      </c>
      <c r="FL38">
        <v>400</v>
      </c>
      <c r="FM38">
        <v>25</v>
      </c>
      <c r="FN38">
        <v>7.0000000000000007E-2</v>
      </c>
      <c r="FO38">
        <v>0.03</v>
      </c>
      <c r="FP38">
        <v>34.91509003870852</v>
      </c>
      <c r="FQ38">
        <v>0.53141423165009671</v>
      </c>
      <c r="FR38">
        <v>4.9274132363140273E-2</v>
      </c>
      <c r="FS38">
        <v>1</v>
      </c>
      <c r="FT38">
        <v>0.22008251492676309</v>
      </c>
      <c r="FU38">
        <v>4.2152884432809463E-2</v>
      </c>
      <c r="FV38">
        <v>3.9064493049433642E-3</v>
      </c>
      <c r="FW38">
        <v>1</v>
      </c>
      <c r="FX38">
        <v>2</v>
      </c>
      <c r="FY38">
        <v>2</v>
      </c>
      <c r="FZ38" t="s">
        <v>420</v>
      </c>
      <c r="GA38">
        <v>3.1269</v>
      </c>
      <c r="GB38">
        <v>2.7664499999999999</v>
      </c>
      <c r="GC38">
        <v>8.2670900000000005E-2</v>
      </c>
      <c r="GD38">
        <v>8.8690400000000003E-2</v>
      </c>
      <c r="GE38">
        <v>0.118907</v>
      </c>
      <c r="GF38">
        <v>0.10972</v>
      </c>
      <c r="GG38">
        <v>21795.8</v>
      </c>
      <c r="GH38">
        <v>22519.200000000001</v>
      </c>
      <c r="GI38">
        <v>23632</v>
      </c>
      <c r="GJ38">
        <v>25036.2</v>
      </c>
      <c r="GK38">
        <v>29989.5</v>
      </c>
      <c r="GL38">
        <v>31248</v>
      </c>
      <c r="GM38">
        <v>37674.1</v>
      </c>
      <c r="GN38">
        <v>38968.400000000001</v>
      </c>
      <c r="GO38">
        <v>2.0342500000000001</v>
      </c>
      <c r="GP38">
        <v>1.7464</v>
      </c>
      <c r="GQ38">
        <v>-2.4642799999999999E-2</v>
      </c>
      <c r="GR38">
        <v>0</v>
      </c>
      <c r="GS38">
        <v>30.3675</v>
      </c>
      <c r="GT38">
        <v>999.9</v>
      </c>
      <c r="GU38">
        <v>43.5</v>
      </c>
      <c r="GV38">
        <v>39.200000000000003</v>
      </c>
      <c r="GW38">
        <v>31.0867</v>
      </c>
      <c r="GX38">
        <v>60.506399999999999</v>
      </c>
      <c r="GY38">
        <v>27.4239</v>
      </c>
      <c r="GZ38">
        <v>1</v>
      </c>
      <c r="HA38">
        <v>0.71325700000000003</v>
      </c>
      <c r="HB38">
        <v>2.8029999999999999</v>
      </c>
      <c r="HC38">
        <v>20.296199999999999</v>
      </c>
      <c r="HD38">
        <v>5.2446900000000003</v>
      </c>
      <c r="HE38">
        <v>12.0099</v>
      </c>
      <c r="HF38">
        <v>4.9785000000000004</v>
      </c>
      <c r="HG38">
        <v>3.2923300000000002</v>
      </c>
      <c r="HH38">
        <v>9999</v>
      </c>
      <c r="HI38">
        <v>9999</v>
      </c>
      <c r="HJ38">
        <v>9999</v>
      </c>
      <c r="HK38">
        <v>999.9</v>
      </c>
      <c r="HL38">
        <v>1.8760699999999999</v>
      </c>
      <c r="HM38">
        <v>1.8770100000000001</v>
      </c>
      <c r="HN38">
        <v>1.88324</v>
      </c>
      <c r="HO38">
        <v>1.8864099999999999</v>
      </c>
      <c r="HP38">
        <v>1.87714</v>
      </c>
      <c r="HQ38">
        <v>1.8836900000000001</v>
      </c>
      <c r="HR38">
        <v>1.8826099999999999</v>
      </c>
      <c r="HS38">
        <v>1.8859999999999999</v>
      </c>
      <c r="HT38">
        <v>5</v>
      </c>
      <c r="HU38">
        <v>0</v>
      </c>
      <c r="HV38">
        <v>0</v>
      </c>
      <c r="HW38">
        <v>0</v>
      </c>
      <c r="HX38" t="s">
        <v>421</v>
      </c>
      <c r="HY38" t="s">
        <v>422</v>
      </c>
      <c r="HZ38" t="s">
        <v>423</v>
      </c>
      <c r="IA38" t="s">
        <v>424</v>
      </c>
      <c r="IB38" t="s">
        <v>424</v>
      </c>
      <c r="IC38" t="s">
        <v>423</v>
      </c>
      <c r="ID38">
        <v>0</v>
      </c>
      <c r="IE38">
        <v>100</v>
      </c>
      <c r="IF38">
        <v>100</v>
      </c>
      <c r="IG38">
        <v>-0.65600000000000003</v>
      </c>
      <c r="IH38">
        <v>-4.7000000000000002E-3</v>
      </c>
      <c r="II38">
        <v>-0.64302179684413086</v>
      </c>
      <c r="IJ38">
        <v>4.4610147972834149E-5</v>
      </c>
      <c r="IK38">
        <v>-2.082673137682459E-7</v>
      </c>
      <c r="IL38">
        <v>-4.0725795306076518E-11</v>
      </c>
      <c r="IM38">
        <v>-4.734999999996603E-3</v>
      </c>
      <c r="IN38">
        <v>0</v>
      </c>
      <c r="IO38">
        <v>0</v>
      </c>
      <c r="IP38">
        <v>0</v>
      </c>
      <c r="IQ38">
        <v>3</v>
      </c>
      <c r="IR38">
        <v>2179</v>
      </c>
      <c r="IS38">
        <v>0</v>
      </c>
      <c r="IT38">
        <v>22</v>
      </c>
      <c r="IU38">
        <v>0.6</v>
      </c>
      <c r="IV38">
        <v>0.6</v>
      </c>
      <c r="IW38">
        <v>1.01929</v>
      </c>
      <c r="IX38">
        <v>2.6684600000000001</v>
      </c>
      <c r="IY38">
        <v>1.6015600000000001</v>
      </c>
      <c r="IZ38">
        <v>2.3278799999999999</v>
      </c>
      <c r="JA38">
        <v>1.5502899999999999</v>
      </c>
      <c r="JB38">
        <v>2.36938</v>
      </c>
      <c r="JC38">
        <v>45.9788</v>
      </c>
      <c r="JD38">
        <v>23.973700000000001</v>
      </c>
      <c r="JE38">
        <v>18</v>
      </c>
      <c r="JF38">
        <v>545.33299999999997</v>
      </c>
      <c r="JG38">
        <v>391.839</v>
      </c>
      <c r="JH38">
        <v>26.4834</v>
      </c>
      <c r="JI38">
        <v>35.799900000000001</v>
      </c>
      <c r="JJ38">
        <v>29.998200000000001</v>
      </c>
      <c r="JK38">
        <v>35.834499999999998</v>
      </c>
      <c r="JL38">
        <v>35.83</v>
      </c>
      <c r="JM38">
        <v>20.381799999999998</v>
      </c>
      <c r="JN38">
        <v>26.8842</v>
      </c>
      <c r="JO38">
        <v>61.043399999999998</v>
      </c>
      <c r="JP38">
        <v>26.5045</v>
      </c>
      <c r="JQ38">
        <v>400</v>
      </c>
      <c r="JR38">
        <v>24.704499999999999</v>
      </c>
      <c r="JS38">
        <v>98.259900000000002</v>
      </c>
      <c r="JT38">
        <v>98.610299999999995</v>
      </c>
    </row>
    <row r="39" spans="1:280" x14ac:dyDescent="0.25">
      <c r="A39">
        <v>23</v>
      </c>
      <c r="B39">
        <v>1700151662</v>
      </c>
      <c r="C39">
        <v>3788.5</v>
      </c>
      <c r="D39" t="s">
        <v>513</v>
      </c>
      <c r="E39" t="s">
        <v>514</v>
      </c>
      <c r="F39" t="s">
        <v>412</v>
      </c>
      <c r="G39" t="s">
        <v>481</v>
      </c>
      <c r="H39" t="s">
        <v>31</v>
      </c>
      <c r="I39">
        <v>1700151662</v>
      </c>
      <c r="J39">
        <f t="shared" si="0"/>
        <v>4.2336639347674626E-3</v>
      </c>
      <c r="K39">
        <f t="shared" si="1"/>
        <v>4.2336639347674625</v>
      </c>
      <c r="L39">
        <f t="shared" si="2"/>
        <v>31.382743190878266</v>
      </c>
      <c r="M39">
        <f t="shared" si="3"/>
        <v>268.755</v>
      </c>
      <c r="N39">
        <f t="shared" si="4"/>
        <v>82.543345777012533</v>
      </c>
      <c r="O39">
        <f t="shared" si="5"/>
        <v>8.2107018349501413</v>
      </c>
      <c r="P39">
        <f t="shared" si="6"/>
        <v>26.733435031980001</v>
      </c>
      <c r="Q39">
        <f t="shared" si="7"/>
        <v>0.28789516607602228</v>
      </c>
      <c r="R39">
        <f t="shared" si="8"/>
        <v>3.1786937216010278</v>
      </c>
      <c r="S39">
        <f t="shared" si="9"/>
        <v>0.27415398842761202</v>
      </c>
      <c r="T39">
        <f t="shared" si="10"/>
        <v>0.17252616595541814</v>
      </c>
      <c r="U39">
        <f t="shared" si="11"/>
        <v>344.35169930248532</v>
      </c>
      <c r="V39">
        <f t="shared" si="12"/>
        <v>30.992407934407851</v>
      </c>
      <c r="W39">
        <f t="shared" si="13"/>
        <v>30.0075</v>
      </c>
      <c r="X39">
        <f t="shared" si="14"/>
        <v>4.2622854925660194</v>
      </c>
      <c r="Y39">
        <f t="shared" si="15"/>
        <v>64.769232729401963</v>
      </c>
      <c r="Z39">
        <f t="shared" si="16"/>
        <v>2.7805637209463998</v>
      </c>
      <c r="AA39">
        <f t="shared" si="17"/>
        <v>4.2930317432711602</v>
      </c>
      <c r="AB39">
        <f t="shared" si="18"/>
        <v>1.4817217716196196</v>
      </c>
      <c r="AC39">
        <f t="shared" si="19"/>
        <v>-186.70457952324509</v>
      </c>
      <c r="AD39">
        <f t="shared" si="20"/>
        <v>21.455490937053039</v>
      </c>
      <c r="AE39">
        <f t="shared" si="21"/>
        <v>1.5018628522519535</v>
      </c>
      <c r="AF39">
        <f t="shared" si="22"/>
        <v>180.60447356854525</v>
      </c>
      <c r="AG39">
        <v>21</v>
      </c>
      <c r="AH39">
        <v>4</v>
      </c>
      <c r="AI39">
        <f t="shared" si="23"/>
        <v>1</v>
      </c>
      <c r="AJ39">
        <f t="shared" si="24"/>
        <v>0</v>
      </c>
      <c r="AK39">
        <f t="shared" si="25"/>
        <v>51867.489001624963</v>
      </c>
      <c r="AL39" t="s">
        <v>415</v>
      </c>
      <c r="AM39">
        <v>6977.87</v>
      </c>
      <c r="AN39">
        <v>273.15280000000001</v>
      </c>
      <c r="AO39">
        <v>850.46774885301022</v>
      </c>
      <c r="AP39">
        <f t="shared" si="26"/>
        <v>0.67882050745793765</v>
      </c>
      <c r="AQ39">
        <v>-1.0323826813720729</v>
      </c>
      <c r="AR39" t="s">
        <v>515</v>
      </c>
      <c r="AS39">
        <v>7106.49</v>
      </c>
      <c r="AT39">
        <v>576.41638461538469</v>
      </c>
      <c r="AU39">
        <v>778.0754227837125</v>
      </c>
      <c r="AV39">
        <f t="shared" si="27"/>
        <v>0.25917672280002668</v>
      </c>
      <c r="AW39">
        <v>0.5</v>
      </c>
      <c r="AX39">
        <f t="shared" si="28"/>
        <v>1513.1087996512426</v>
      </c>
      <c r="AY39">
        <f t="shared" si="29"/>
        <v>31.382743190878266</v>
      </c>
      <c r="AZ39">
        <f t="shared" si="30"/>
        <v>196.0812899667456</v>
      </c>
      <c r="BA39">
        <f t="shared" si="31"/>
        <v>2.1422865216117783E-2</v>
      </c>
      <c r="BB39">
        <f t="shared" si="32"/>
        <v>9.3040242564532416E-2</v>
      </c>
      <c r="BC39">
        <f t="shared" si="33"/>
        <v>265.22711933799678</v>
      </c>
      <c r="BD39" t="s">
        <v>516</v>
      </c>
      <c r="BE39">
        <v>394.54</v>
      </c>
      <c r="BF39">
        <f t="shared" si="34"/>
        <v>394.54</v>
      </c>
      <c r="BG39">
        <f t="shared" si="35"/>
        <v>0.49292833516260126</v>
      </c>
      <c r="BH39">
        <f t="shared" si="36"/>
        <v>0.52578986500042157</v>
      </c>
      <c r="BI39">
        <f t="shared" si="37"/>
        <v>0.15878025904634466</v>
      </c>
      <c r="BJ39">
        <f t="shared" si="38"/>
        <v>0.39938602286534908</v>
      </c>
      <c r="BK39">
        <f t="shared" si="39"/>
        <v>0.12539485806339215</v>
      </c>
      <c r="BL39">
        <f t="shared" si="40"/>
        <v>0.35988764177077415</v>
      </c>
      <c r="BM39">
        <f t="shared" si="41"/>
        <v>0.64011235822922585</v>
      </c>
      <c r="BN39">
        <v>11276</v>
      </c>
      <c r="BO39">
        <v>290.00000000000011</v>
      </c>
      <c r="BP39">
        <v>720.81</v>
      </c>
      <c r="BQ39">
        <v>295</v>
      </c>
      <c r="BR39">
        <v>7106.49</v>
      </c>
      <c r="BS39">
        <v>721.89</v>
      </c>
      <c r="BT39">
        <v>-1.08</v>
      </c>
      <c r="BU39">
        <v>300.00000000000011</v>
      </c>
      <c r="BV39">
        <v>38.299999999999997</v>
      </c>
      <c r="BW39">
        <v>778.0754227837125</v>
      </c>
      <c r="BX39">
        <v>1.1566018501237549</v>
      </c>
      <c r="BY39">
        <v>-39.926706828624823</v>
      </c>
      <c r="BZ39">
        <v>0.68898113641427594</v>
      </c>
      <c r="CA39">
        <v>0.99173125284302044</v>
      </c>
      <c r="CB39">
        <v>-7.0070249165739762E-3</v>
      </c>
      <c r="CC39">
        <v>289.99999999999989</v>
      </c>
      <c r="CD39">
        <v>726.92</v>
      </c>
      <c r="CE39">
        <v>855</v>
      </c>
      <c r="CF39">
        <v>7097.54</v>
      </c>
      <c r="CG39">
        <v>721.82</v>
      </c>
      <c r="CH39">
        <v>5.0999999999999996</v>
      </c>
      <c r="CV39">
        <f t="shared" si="42"/>
        <v>1799.91</v>
      </c>
      <c r="CW39">
        <f t="shared" si="43"/>
        <v>1513.1087996512426</v>
      </c>
      <c r="CX39">
        <f t="shared" si="44"/>
        <v>0.84065803270788131</v>
      </c>
      <c r="CY39">
        <f t="shared" si="45"/>
        <v>0.19131606541576263</v>
      </c>
      <c r="CZ39">
        <v>4.8</v>
      </c>
      <c r="DA39">
        <v>0.5</v>
      </c>
      <c r="DB39" t="s">
        <v>418</v>
      </c>
      <c r="DC39">
        <v>2</v>
      </c>
      <c r="DD39">
        <v>1700151662</v>
      </c>
      <c r="DE39">
        <v>268.755</v>
      </c>
      <c r="DF39">
        <v>299.96600000000001</v>
      </c>
      <c r="DG39">
        <v>27.953399999999998</v>
      </c>
      <c r="DH39">
        <v>24.003799999999998</v>
      </c>
      <c r="DI39">
        <v>269.142</v>
      </c>
      <c r="DJ39">
        <v>27.956900000000001</v>
      </c>
      <c r="DK39">
        <v>500.14</v>
      </c>
      <c r="DL39">
        <v>99.371099999999998</v>
      </c>
      <c r="DM39">
        <v>0.100296</v>
      </c>
      <c r="DN39">
        <v>30.1327</v>
      </c>
      <c r="DO39">
        <v>30.0075</v>
      </c>
      <c r="DP39">
        <v>999.9</v>
      </c>
      <c r="DQ39">
        <v>0</v>
      </c>
      <c r="DR39">
        <v>0</v>
      </c>
      <c r="DS39">
        <v>9973.1200000000008</v>
      </c>
      <c r="DT39">
        <v>0</v>
      </c>
      <c r="DU39">
        <v>370.02199999999999</v>
      </c>
      <c r="DV39">
        <v>-31.211200000000002</v>
      </c>
      <c r="DW39">
        <v>276.483</v>
      </c>
      <c r="DX39">
        <v>307.34300000000002</v>
      </c>
      <c r="DY39">
        <v>3.94957</v>
      </c>
      <c r="DZ39">
        <v>299.96600000000001</v>
      </c>
      <c r="EA39">
        <v>24.003799999999998</v>
      </c>
      <c r="EB39">
        <v>2.7777599999999998</v>
      </c>
      <c r="EC39">
        <v>2.3852899999999999</v>
      </c>
      <c r="ED39">
        <v>22.752500000000001</v>
      </c>
      <c r="EE39">
        <v>20.264199999999999</v>
      </c>
      <c r="EF39">
        <v>1799.91</v>
      </c>
      <c r="EG39">
        <v>0.97800299999999996</v>
      </c>
      <c r="EH39">
        <v>2.19974E-2</v>
      </c>
      <c r="EI39">
        <v>0</v>
      </c>
      <c r="EJ39">
        <v>576.51199999999994</v>
      </c>
      <c r="EK39">
        <v>5.0005300000000004</v>
      </c>
      <c r="EL39">
        <v>12181.7</v>
      </c>
      <c r="EM39">
        <v>16034.5</v>
      </c>
      <c r="EN39">
        <v>49</v>
      </c>
      <c r="EO39">
        <v>50.311999999999998</v>
      </c>
      <c r="EP39">
        <v>49.625</v>
      </c>
      <c r="EQ39">
        <v>49.75</v>
      </c>
      <c r="ER39">
        <v>50.186999999999998</v>
      </c>
      <c r="ES39">
        <v>1755.43</v>
      </c>
      <c r="ET39">
        <v>39.479999999999997</v>
      </c>
      <c r="EU39">
        <v>0</v>
      </c>
      <c r="EV39">
        <v>272.60000014305109</v>
      </c>
      <c r="EW39">
        <v>0</v>
      </c>
      <c r="EX39">
        <v>576.41638461538469</v>
      </c>
      <c r="EY39">
        <v>-0.8799316053605627</v>
      </c>
      <c r="EZ39">
        <v>-247.92820544848419</v>
      </c>
      <c r="FA39">
        <v>12192.873076923081</v>
      </c>
      <c r="FB39">
        <v>15</v>
      </c>
      <c r="FC39">
        <v>1700151561.5</v>
      </c>
      <c r="FD39" t="s">
        <v>517</v>
      </c>
      <c r="FE39">
        <v>1700151557.5</v>
      </c>
      <c r="FF39">
        <v>1700151561.5</v>
      </c>
      <c r="FG39">
        <v>25</v>
      </c>
      <c r="FH39">
        <v>0.25900000000000001</v>
      </c>
      <c r="FI39">
        <v>1E-3</v>
      </c>
      <c r="FJ39">
        <v>-0.39</v>
      </c>
      <c r="FK39">
        <v>-4.0000000000000001E-3</v>
      </c>
      <c r="FL39">
        <v>300</v>
      </c>
      <c r="FM39">
        <v>25</v>
      </c>
      <c r="FN39">
        <v>0.05</v>
      </c>
      <c r="FO39">
        <v>0.04</v>
      </c>
      <c r="FP39">
        <v>31.31727986123807</v>
      </c>
      <c r="FQ39">
        <v>0.67190451693936104</v>
      </c>
      <c r="FR39">
        <v>5.450374462957306E-2</v>
      </c>
      <c r="FS39">
        <v>1</v>
      </c>
      <c r="FT39">
        <v>0.28508776648912137</v>
      </c>
      <c r="FU39">
        <v>3.089718120819112E-2</v>
      </c>
      <c r="FV39">
        <v>2.334619958861443E-3</v>
      </c>
      <c r="FW39">
        <v>1</v>
      </c>
      <c r="FX39">
        <v>2</v>
      </c>
      <c r="FY39">
        <v>2</v>
      </c>
      <c r="FZ39" t="s">
        <v>420</v>
      </c>
      <c r="GA39">
        <v>3.1270799999999999</v>
      </c>
      <c r="GB39">
        <v>2.76694</v>
      </c>
      <c r="GC39">
        <v>6.4440800000000006E-2</v>
      </c>
      <c r="GD39">
        <v>7.0591500000000001E-2</v>
      </c>
      <c r="GE39">
        <v>0.11909500000000001</v>
      </c>
      <c r="GF39">
        <v>0.107228</v>
      </c>
      <c r="GG39">
        <v>22226.799999999999</v>
      </c>
      <c r="GH39">
        <v>22965.200000000001</v>
      </c>
      <c r="GI39">
        <v>23630.2</v>
      </c>
      <c r="GJ39">
        <v>25035.1</v>
      </c>
      <c r="GK39">
        <v>29981.4</v>
      </c>
      <c r="GL39">
        <v>31333.8</v>
      </c>
      <c r="GM39">
        <v>37671.9</v>
      </c>
      <c r="GN39">
        <v>38966.400000000001</v>
      </c>
      <c r="GO39">
        <v>2.0356999999999998</v>
      </c>
      <c r="GP39">
        <v>1.74275</v>
      </c>
      <c r="GQ39">
        <v>-2.7306400000000002E-2</v>
      </c>
      <c r="GR39">
        <v>0</v>
      </c>
      <c r="GS39">
        <v>30.451699999999999</v>
      </c>
      <c r="GT39">
        <v>999.9</v>
      </c>
      <c r="GU39">
        <v>42.9</v>
      </c>
      <c r="GV39">
        <v>39.4</v>
      </c>
      <c r="GW39">
        <v>30.993600000000001</v>
      </c>
      <c r="GX39">
        <v>60.556399999999996</v>
      </c>
      <c r="GY39">
        <v>27.407900000000001</v>
      </c>
      <c r="GZ39">
        <v>1</v>
      </c>
      <c r="HA39">
        <v>0.71781499999999998</v>
      </c>
      <c r="HB39">
        <v>3.5289899999999998</v>
      </c>
      <c r="HC39">
        <v>20.279800000000002</v>
      </c>
      <c r="HD39">
        <v>5.2491899999999996</v>
      </c>
      <c r="HE39">
        <v>12.0099</v>
      </c>
      <c r="HF39">
        <v>4.9785000000000004</v>
      </c>
      <c r="HG39">
        <v>3.2923300000000002</v>
      </c>
      <c r="HH39">
        <v>9999</v>
      </c>
      <c r="HI39">
        <v>9999</v>
      </c>
      <c r="HJ39">
        <v>9999</v>
      </c>
      <c r="HK39">
        <v>999.9</v>
      </c>
      <c r="HL39">
        <v>1.8760699999999999</v>
      </c>
      <c r="HM39">
        <v>1.87706</v>
      </c>
      <c r="HN39">
        <v>1.88323</v>
      </c>
      <c r="HO39">
        <v>1.88639</v>
      </c>
      <c r="HP39">
        <v>1.87714</v>
      </c>
      <c r="HQ39">
        <v>1.8836900000000001</v>
      </c>
      <c r="HR39">
        <v>1.88262</v>
      </c>
      <c r="HS39">
        <v>1.8860300000000001</v>
      </c>
      <c r="HT39">
        <v>5</v>
      </c>
      <c r="HU39">
        <v>0</v>
      </c>
      <c r="HV39">
        <v>0</v>
      </c>
      <c r="HW39">
        <v>0</v>
      </c>
      <c r="HX39" t="s">
        <v>421</v>
      </c>
      <c r="HY39" t="s">
        <v>422</v>
      </c>
      <c r="HZ39" t="s">
        <v>423</v>
      </c>
      <c r="IA39" t="s">
        <v>424</v>
      </c>
      <c r="IB39" t="s">
        <v>424</v>
      </c>
      <c r="IC39" t="s">
        <v>423</v>
      </c>
      <c r="ID39">
        <v>0</v>
      </c>
      <c r="IE39">
        <v>100</v>
      </c>
      <c r="IF39">
        <v>100</v>
      </c>
      <c r="IG39">
        <v>-0.38700000000000001</v>
      </c>
      <c r="IH39">
        <v>-3.5000000000000001E-3</v>
      </c>
      <c r="II39">
        <v>-0.38376274144814693</v>
      </c>
      <c r="IJ39">
        <v>4.4610147972834149E-5</v>
      </c>
      <c r="IK39">
        <v>-2.082673137682459E-7</v>
      </c>
      <c r="IL39">
        <v>-4.0725795306076518E-11</v>
      </c>
      <c r="IM39">
        <v>-3.520000000001744E-3</v>
      </c>
      <c r="IN39">
        <v>0</v>
      </c>
      <c r="IO39">
        <v>0</v>
      </c>
      <c r="IP39">
        <v>0</v>
      </c>
      <c r="IQ39">
        <v>3</v>
      </c>
      <c r="IR39">
        <v>2179</v>
      </c>
      <c r="IS39">
        <v>0</v>
      </c>
      <c r="IT39">
        <v>22</v>
      </c>
      <c r="IU39">
        <v>1.7</v>
      </c>
      <c r="IV39">
        <v>1.7</v>
      </c>
      <c r="IW39">
        <v>0.81176800000000005</v>
      </c>
      <c r="IX39">
        <v>2.6721200000000001</v>
      </c>
      <c r="IY39">
        <v>1.6015600000000001</v>
      </c>
      <c r="IZ39">
        <v>2.32666</v>
      </c>
      <c r="JA39">
        <v>1.5502899999999999</v>
      </c>
      <c r="JB39">
        <v>2.4890099999999999</v>
      </c>
      <c r="JC39">
        <v>46.0657</v>
      </c>
      <c r="JD39">
        <v>23.9649</v>
      </c>
      <c r="JE39">
        <v>18</v>
      </c>
      <c r="JF39">
        <v>546.46400000000006</v>
      </c>
      <c r="JG39">
        <v>389.66699999999997</v>
      </c>
      <c r="JH39">
        <v>27.033200000000001</v>
      </c>
      <c r="JI39">
        <v>35.830399999999997</v>
      </c>
      <c r="JJ39">
        <v>30.001000000000001</v>
      </c>
      <c r="JK39">
        <v>35.854999999999997</v>
      </c>
      <c r="JL39">
        <v>35.849899999999998</v>
      </c>
      <c r="JM39">
        <v>16.217500000000001</v>
      </c>
      <c r="JN39">
        <v>28.5854</v>
      </c>
      <c r="JO39">
        <v>59.0914</v>
      </c>
      <c r="JP39">
        <v>26.774799999999999</v>
      </c>
      <c r="JQ39">
        <v>300</v>
      </c>
      <c r="JR39">
        <v>24.181999999999999</v>
      </c>
      <c r="JS39">
        <v>98.253399999999999</v>
      </c>
      <c r="JT39">
        <v>98.605500000000006</v>
      </c>
    </row>
    <row r="40" spans="1:280" x14ac:dyDescent="0.25">
      <c r="A40">
        <v>24</v>
      </c>
      <c r="B40">
        <v>1700151841</v>
      </c>
      <c r="C40">
        <v>3967.5</v>
      </c>
      <c r="D40" t="s">
        <v>518</v>
      </c>
      <c r="E40" t="s">
        <v>519</v>
      </c>
      <c r="F40" t="s">
        <v>412</v>
      </c>
      <c r="G40" t="s">
        <v>481</v>
      </c>
      <c r="H40" t="s">
        <v>31</v>
      </c>
      <c r="I40">
        <v>1700151841</v>
      </c>
      <c r="J40">
        <f t="shared" si="0"/>
        <v>5.109891268860591E-3</v>
      </c>
      <c r="K40">
        <f t="shared" si="1"/>
        <v>5.1098912688605909</v>
      </c>
      <c r="L40">
        <f t="shared" si="2"/>
        <v>24.682592884595067</v>
      </c>
      <c r="M40">
        <f t="shared" si="3"/>
        <v>175.429</v>
      </c>
      <c r="N40">
        <f t="shared" si="4"/>
        <v>56.438101186113705</v>
      </c>
      <c r="O40">
        <f t="shared" si="5"/>
        <v>5.6133350057176896</v>
      </c>
      <c r="P40">
        <f t="shared" si="6"/>
        <v>17.4481728836111</v>
      </c>
      <c r="Q40">
        <f t="shared" si="7"/>
        <v>0.35794970174574525</v>
      </c>
      <c r="R40">
        <f t="shared" si="8"/>
        <v>3.1855313570019543</v>
      </c>
      <c r="S40">
        <f t="shared" si="9"/>
        <v>0.33701139645592521</v>
      </c>
      <c r="T40">
        <f t="shared" si="10"/>
        <v>0.21241120938225005</v>
      </c>
      <c r="U40">
        <f t="shared" si="11"/>
        <v>344.34789930247757</v>
      </c>
      <c r="V40">
        <f t="shared" si="12"/>
        <v>30.912202943064791</v>
      </c>
      <c r="W40">
        <f t="shared" si="13"/>
        <v>29.965399999999999</v>
      </c>
      <c r="X40">
        <f t="shared" si="14"/>
        <v>4.2519899022123164</v>
      </c>
      <c r="Y40">
        <f t="shared" si="15"/>
        <v>64.66991843554878</v>
      </c>
      <c r="Z40">
        <f t="shared" si="16"/>
        <v>2.7973828504556297</v>
      </c>
      <c r="AA40">
        <f t="shared" si="17"/>
        <v>4.3256322539567647</v>
      </c>
      <c r="AB40">
        <f t="shared" si="18"/>
        <v>1.4546070517566867</v>
      </c>
      <c r="AC40">
        <f t="shared" si="19"/>
        <v>-225.34620495675208</v>
      </c>
      <c r="AD40">
        <f t="shared" si="20"/>
        <v>51.384119262392296</v>
      </c>
      <c r="AE40">
        <f t="shared" si="21"/>
        <v>3.5907124834014157</v>
      </c>
      <c r="AF40">
        <f t="shared" si="22"/>
        <v>173.97652609151922</v>
      </c>
      <c r="AG40">
        <v>20</v>
      </c>
      <c r="AH40">
        <v>4</v>
      </c>
      <c r="AI40">
        <f t="shared" si="23"/>
        <v>1</v>
      </c>
      <c r="AJ40">
        <f t="shared" si="24"/>
        <v>0</v>
      </c>
      <c r="AK40">
        <f t="shared" si="25"/>
        <v>52013.71518875107</v>
      </c>
      <c r="AL40" t="s">
        <v>427</v>
      </c>
      <c r="AM40" t="s">
        <v>427</v>
      </c>
      <c r="AN40">
        <v>0</v>
      </c>
      <c r="AO40">
        <v>0</v>
      </c>
      <c r="AP40" t="e">
        <f t="shared" si="26"/>
        <v>#DIV/0!</v>
      </c>
      <c r="AQ40">
        <v>0</v>
      </c>
      <c r="AR40" t="s">
        <v>427</v>
      </c>
      <c r="AS40" t="s">
        <v>427</v>
      </c>
      <c r="AT40">
        <v>0</v>
      </c>
      <c r="AU40">
        <v>0</v>
      </c>
      <c r="AV40" t="e">
        <f t="shared" si="27"/>
        <v>#DIV/0!</v>
      </c>
      <c r="AW40">
        <v>0.5</v>
      </c>
      <c r="AX40">
        <f t="shared" si="28"/>
        <v>1513.0919996512389</v>
      </c>
      <c r="AY40">
        <f t="shared" si="29"/>
        <v>24.682592884595067</v>
      </c>
      <c r="AZ40" t="e">
        <f t="shared" si="30"/>
        <v>#DIV/0!</v>
      </c>
      <c r="BA40">
        <f t="shared" si="31"/>
        <v>1.631268481380134E-2</v>
      </c>
      <c r="BB40" t="e">
        <f t="shared" si="32"/>
        <v>#DIV/0!</v>
      </c>
      <c r="BC40" t="e">
        <f t="shared" si="33"/>
        <v>#DIV/0!</v>
      </c>
      <c r="BD40" t="s">
        <v>427</v>
      </c>
      <c r="BE40">
        <v>0</v>
      </c>
      <c r="BF40" t="e">
        <f t="shared" si="34"/>
        <v>#DIV/0!</v>
      </c>
      <c r="BG40" t="e">
        <f t="shared" si="35"/>
        <v>#DIV/0!</v>
      </c>
      <c r="BH40" t="e">
        <f t="shared" si="36"/>
        <v>#DIV/0!</v>
      </c>
      <c r="BI40" t="e">
        <f t="shared" si="37"/>
        <v>#DIV/0!</v>
      </c>
      <c r="BJ40" t="e">
        <f t="shared" si="38"/>
        <v>#DIV/0!</v>
      </c>
      <c r="BK40" t="e">
        <f t="shared" si="39"/>
        <v>#DIV/0!</v>
      </c>
      <c r="BL40" t="e">
        <f t="shared" si="40"/>
        <v>#DIV/0!</v>
      </c>
      <c r="BM40" t="e">
        <f t="shared" si="41"/>
        <v>#DIV/0!</v>
      </c>
      <c r="BN40">
        <v>11276</v>
      </c>
      <c r="BO40">
        <v>290.00000000000011</v>
      </c>
      <c r="BP40">
        <v>720.81</v>
      </c>
      <c r="BQ40">
        <v>295</v>
      </c>
      <c r="BR40">
        <v>7106.49</v>
      </c>
      <c r="BS40">
        <v>721.89</v>
      </c>
      <c r="BT40">
        <v>-1.08</v>
      </c>
      <c r="BU40">
        <v>300.00000000000011</v>
      </c>
      <c r="BV40">
        <v>38.299999999999997</v>
      </c>
      <c r="BW40">
        <v>778.0754227837125</v>
      </c>
      <c r="BX40">
        <v>1.1566018501237549</v>
      </c>
      <c r="BY40">
        <v>-39.926706828624823</v>
      </c>
      <c r="BZ40">
        <v>0.68898113641427594</v>
      </c>
      <c r="CA40">
        <v>0.99173125284302044</v>
      </c>
      <c r="CB40">
        <v>-7.0070249165739762E-3</v>
      </c>
      <c r="CC40">
        <v>289.99999999999989</v>
      </c>
      <c r="CD40">
        <v>726.92</v>
      </c>
      <c r="CE40">
        <v>855</v>
      </c>
      <c r="CF40">
        <v>7097.54</v>
      </c>
      <c r="CG40">
        <v>721.82</v>
      </c>
      <c r="CH40">
        <v>5.0999999999999996</v>
      </c>
      <c r="CV40">
        <f t="shared" si="42"/>
        <v>1799.89</v>
      </c>
      <c r="CW40">
        <f t="shared" si="43"/>
        <v>1513.0919996512389</v>
      </c>
      <c r="CX40">
        <f t="shared" si="44"/>
        <v>0.84065804001980049</v>
      </c>
      <c r="CY40">
        <f t="shared" si="45"/>
        <v>0.19131608003960107</v>
      </c>
      <c r="CZ40">
        <v>4.8</v>
      </c>
      <c r="DA40">
        <v>0.5</v>
      </c>
      <c r="DB40" t="s">
        <v>418</v>
      </c>
      <c r="DC40">
        <v>2</v>
      </c>
      <c r="DD40">
        <v>1700151841</v>
      </c>
      <c r="DE40">
        <v>175.429</v>
      </c>
      <c r="DF40">
        <v>199.977</v>
      </c>
      <c r="DG40">
        <v>28.125699999999998</v>
      </c>
      <c r="DH40">
        <v>23.3597</v>
      </c>
      <c r="DI40">
        <v>175.72300000000001</v>
      </c>
      <c r="DJ40">
        <v>28.132999999999999</v>
      </c>
      <c r="DK40">
        <v>500.16</v>
      </c>
      <c r="DL40">
        <v>99.360299999999995</v>
      </c>
      <c r="DM40">
        <v>9.9725900000000006E-2</v>
      </c>
      <c r="DN40">
        <v>30.264600000000002</v>
      </c>
      <c r="DO40">
        <v>29.965399999999999</v>
      </c>
      <c r="DP40">
        <v>999.9</v>
      </c>
      <c r="DQ40">
        <v>0</v>
      </c>
      <c r="DR40">
        <v>0</v>
      </c>
      <c r="DS40">
        <v>10008.1</v>
      </c>
      <c r="DT40">
        <v>0</v>
      </c>
      <c r="DU40">
        <v>387.83499999999998</v>
      </c>
      <c r="DV40">
        <v>-24.548500000000001</v>
      </c>
      <c r="DW40">
        <v>180.506</v>
      </c>
      <c r="DX40">
        <v>204.76</v>
      </c>
      <c r="DY40">
        <v>4.7659500000000001</v>
      </c>
      <c r="DZ40">
        <v>199.977</v>
      </c>
      <c r="EA40">
        <v>23.3597</v>
      </c>
      <c r="EB40">
        <v>2.7945700000000002</v>
      </c>
      <c r="EC40">
        <v>2.3210299999999999</v>
      </c>
      <c r="ED40">
        <v>22.8521</v>
      </c>
      <c r="EE40">
        <v>19.8231</v>
      </c>
      <c r="EF40">
        <v>1799.89</v>
      </c>
      <c r="EG40">
        <v>0.97800299999999996</v>
      </c>
      <c r="EH40">
        <v>2.19974E-2</v>
      </c>
      <c r="EI40">
        <v>0</v>
      </c>
      <c r="EJ40">
        <v>588.55200000000002</v>
      </c>
      <c r="EK40">
        <v>5.0005300000000004</v>
      </c>
      <c r="EL40">
        <v>12485.1</v>
      </c>
      <c r="EM40">
        <v>16034.3</v>
      </c>
      <c r="EN40">
        <v>49.125</v>
      </c>
      <c r="EO40">
        <v>50.311999999999998</v>
      </c>
      <c r="EP40">
        <v>49.686999999999998</v>
      </c>
      <c r="EQ40">
        <v>49.811999999999998</v>
      </c>
      <c r="ER40">
        <v>50.25</v>
      </c>
      <c r="ES40">
        <v>1755.41</v>
      </c>
      <c r="ET40">
        <v>39.479999999999997</v>
      </c>
      <c r="EU40">
        <v>0</v>
      </c>
      <c r="EV40">
        <v>177</v>
      </c>
      <c r="EW40">
        <v>0</v>
      </c>
      <c r="EX40">
        <v>588.76949999999999</v>
      </c>
      <c r="EY40">
        <v>-0.59702563805855957</v>
      </c>
      <c r="EZ40">
        <v>-5.5623932047501086</v>
      </c>
      <c r="FA40">
        <v>12487.70384615384</v>
      </c>
      <c r="FB40">
        <v>15</v>
      </c>
      <c r="FC40">
        <v>1700151734.5</v>
      </c>
      <c r="FD40" t="s">
        <v>520</v>
      </c>
      <c r="FE40">
        <v>1700151731.5</v>
      </c>
      <c r="FF40">
        <v>1700151734.5</v>
      </c>
      <c r="FG40">
        <v>26</v>
      </c>
      <c r="FH40">
        <v>8.7999999999999995E-2</v>
      </c>
      <c r="FI40">
        <v>-4.0000000000000001E-3</v>
      </c>
      <c r="FJ40">
        <v>-0.29499999999999998</v>
      </c>
      <c r="FK40">
        <v>-7.0000000000000001E-3</v>
      </c>
      <c r="FL40">
        <v>200</v>
      </c>
      <c r="FM40">
        <v>24</v>
      </c>
      <c r="FN40">
        <v>0.1</v>
      </c>
      <c r="FO40">
        <v>0.02</v>
      </c>
      <c r="FP40">
        <v>24.655382278954921</v>
      </c>
      <c r="FQ40">
        <v>0.58261147461257567</v>
      </c>
      <c r="FR40">
        <v>5.4556794957569758E-2</v>
      </c>
      <c r="FS40">
        <v>1</v>
      </c>
      <c r="FT40">
        <v>0.35637880862338223</v>
      </c>
      <c r="FU40">
        <v>2.5532441254013341E-2</v>
      </c>
      <c r="FV40">
        <v>2.0710194463342811E-3</v>
      </c>
      <c r="FW40">
        <v>1</v>
      </c>
      <c r="FX40">
        <v>2</v>
      </c>
      <c r="FY40">
        <v>2</v>
      </c>
      <c r="FZ40" t="s">
        <v>420</v>
      </c>
      <c r="GA40">
        <v>3.1272700000000002</v>
      </c>
      <c r="GB40">
        <v>2.76667</v>
      </c>
      <c r="GC40">
        <v>4.4423900000000002E-2</v>
      </c>
      <c r="GD40">
        <v>4.9961400000000003E-2</v>
      </c>
      <c r="GE40">
        <v>0.119591</v>
      </c>
      <c r="GF40">
        <v>0.105169</v>
      </c>
      <c r="GG40">
        <v>22699.7</v>
      </c>
      <c r="GH40">
        <v>23473.200000000001</v>
      </c>
      <c r="GI40">
        <v>23628.400000000001</v>
      </c>
      <c r="GJ40">
        <v>25034.1</v>
      </c>
      <c r="GK40">
        <v>29961.9</v>
      </c>
      <c r="GL40">
        <v>31404.400000000001</v>
      </c>
      <c r="GM40">
        <v>37668.6</v>
      </c>
      <c r="GN40">
        <v>38964.300000000003</v>
      </c>
      <c r="GO40">
        <v>2.0373999999999999</v>
      </c>
      <c r="GP40">
        <v>1.7388300000000001</v>
      </c>
      <c r="GQ40">
        <v>-3.9674300000000003E-2</v>
      </c>
      <c r="GR40">
        <v>0</v>
      </c>
      <c r="GS40">
        <v>30.610800000000001</v>
      </c>
      <c r="GT40">
        <v>999.9</v>
      </c>
      <c r="GU40">
        <v>42</v>
      </c>
      <c r="GV40">
        <v>39.6</v>
      </c>
      <c r="GW40">
        <v>30.677299999999999</v>
      </c>
      <c r="GX40">
        <v>60.506399999999999</v>
      </c>
      <c r="GY40">
        <v>27.043299999999999</v>
      </c>
      <c r="GZ40">
        <v>1</v>
      </c>
      <c r="HA40">
        <v>0.71978200000000003</v>
      </c>
      <c r="HB40">
        <v>2.4257</v>
      </c>
      <c r="HC40">
        <v>20.301400000000001</v>
      </c>
      <c r="HD40">
        <v>5.2523299999999997</v>
      </c>
      <c r="HE40">
        <v>12.0099</v>
      </c>
      <c r="HF40">
        <v>4.9793500000000002</v>
      </c>
      <c r="HG40">
        <v>3.2930000000000001</v>
      </c>
      <c r="HH40">
        <v>9999</v>
      </c>
      <c r="HI40">
        <v>9999</v>
      </c>
      <c r="HJ40">
        <v>9999</v>
      </c>
      <c r="HK40">
        <v>999.9</v>
      </c>
      <c r="HL40">
        <v>1.87608</v>
      </c>
      <c r="HM40">
        <v>1.8770100000000001</v>
      </c>
      <c r="HN40">
        <v>1.88323</v>
      </c>
      <c r="HO40">
        <v>1.88636</v>
      </c>
      <c r="HP40">
        <v>1.87714</v>
      </c>
      <c r="HQ40">
        <v>1.8836599999999999</v>
      </c>
      <c r="HR40">
        <v>1.8826099999999999</v>
      </c>
      <c r="HS40">
        <v>1.8859900000000001</v>
      </c>
      <c r="HT40">
        <v>5</v>
      </c>
      <c r="HU40">
        <v>0</v>
      </c>
      <c r="HV40">
        <v>0</v>
      </c>
      <c r="HW40">
        <v>0</v>
      </c>
      <c r="HX40" t="s">
        <v>421</v>
      </c>
      <c r="HY40" t="s">
        <v>422</v>
      </c>
      <c r="HZ40" t="s">
        <v>423</v>
      </c>
      <c r="IA40" t="s">
        <v>424</v>
      </c>
      <c r="IB40" t="s">
        <v>424</v>
      </c>
      <c r="IC40" t="s">
        <v>423</v>
      </c>
      <c r="ID40">
        <v>0</v>
      </c>
      <c r="IE40">
        <v>100</v>
      </c>
      <c r="IF40">
        <v>100</v>
      </c>
      <c r="IG40">
        <v>-0.29399999999999998</v>
      </c>
      <c r="IH40">
        <v>-7.3000000000000001E-3</v>
      </c>
      <c r="II40">
        <v>-0.2957034510208309</v>
      </c>
      <c r="IJ40">
        <v>4.4610147972834149E-5</v>
      </c>
      <c r="IK40">
        <v>-2.082673137682459E-7</v>
      </c>
      <c r="IL40">
        <v>-4.0725795306076518E-11</v>
      </c>
      <c r="IM40">
        <v>-7.3800000000048271E-3</v>
      </c>
      <c r="IN40">
        <v>0</v>
      </c>
      <c r="IO40">
        <v>0</v>
      </c>
      <c r="IP40">
        <v>0</v>
      </c>
      <c r="IQ40">
        <v>3</v>
      </c>
      <c r="IR40">
        <v>2179</v>
      </c>
      <c r="IS40">
        <v>0</v>
      </c>
      <c r="IT40">
        <v>22</v>
      </c>
      <c r="IU40">
        <v>1.8</v>
      </c>
      <c r="IV40">
        <v>1.8</v>
      </c>
      <c r="IW40">
        <v>0.59448199999999995</v>
      </c>
      <c r="IX40">
        <v>2.6953100000000001</v>
      </c>
      <c r="IY40">
        <v>1.6015600000000001</v>
      </c>
      <c r="IZ40">
        <v>2.32544</v>
      </c>
      <c r="JA40">
        <v>1.5502899999999999</v>
      </c>
      <c r="JB40">
        <v>2.3327599999999999</v>
      </c>
      <c r="JC40">
        <v>46.152700000000003</v>
      </c>
      <c r="JD40">
        <v>23.9649</v>
      </c>
      <c r="JE40">
        <v>18</v>
      </c>
      <c r="JF40">
        <v>547.91300000000001</v>
      </c>
      <c r="JG40">
        <v>387.43299999999999</v>
      </c>
      <c r="JH40">
        <v>27.4589</v>
      </c>
      <c r="JI40">
        <v>35.882800000000003</v>
      </c>
      <c r="JJ40">
        <v>30.0002</v>
      </c>
      <c r="JK40">
        <v>35.894199999999998</v>
      </c>
      <c r="JL40">
        <v>35.886400000000002</v>
      </c>
      <c r="JM40">
        <v>11.888400000000001</v>
      </c>
      <c r="JN40">
        <v>29.9177</v>
      </c>
      <c r="JO40">
        <v>56.697400000000002</v>
      </c>
      <c r="JP40">
        <v>27.474299999999999</v>
      </c>
      <c r="JQ40">
        <v>200</v>
      </c>
      <c r="JR40">
        <v>23.485900000000001</v>
      </c>
      <c r="JS40">
        <v>98.245199999999997</v>
      </c>
      <c r="JT40">
        <v>98.600700000000003</v>
      </c>
    </row>
    <row r="41" spans="1:280" x14ac:dyDescent="0.25">
      <c r="A41">
        <v>25</v>
      </c>
      <c r="B41">
        <v>1700151948</v>
      </c>
      <c r="C41">
        <v>4074.5</v>
      </c>
      <c r="D41" t="s">
        <v>521</v>
      </c>
      <c r="E41" t="s">
        <v>522</v>
      </c>
      <c r="F41" t="s">
        <v>412</v>
      </c>
      <c r="G41" t="s">
        <v>481</v>
      </c>
      <c r="H41" t="s">
        <v>31</v>
      </c>
      <c r="I41">
        <v>1700151948</v>
      </c>
      <c r="J41">
        <f t="shared" si="0"/>
        <v>5.3504407449427383E-3</v>
      </c>
      <c r="K41">
        <f t="shared" si="1"/>
        <v>5.3504407449427385</v>
      </c>
      <c r="L41">
        <f t="shared" si="2"/>
        <v>15.813883296689617</v>
      </c>
      <c r="M41">
        <f t="shared" si="3"/>
        <v>104.277</v>
      </c>
      <c r="N41">
        <f t="shared" si="4"/>
        <v>33.643924672145012</v>
      </c>
      <c r="O41">
        <f t="shared" si="5"/>
        <v>3.3460916188816148</v>
      </c>
      <c r="P41">
        <f t="shared" si="6"/>
        <v>10.370977795910999</v>
      </c>
      <c r="Q41">
        <f t="shared" si="7"/>
        <v>0.38773947601962017</v>
      </c>
      <c r="R41">
        <f t="shared" si="8"/>
        <v>3.1810380305715791</v>
      </c>
      <c r="S41">
        <f t="shared" si="9"/>
        <v>0.36326651926950182</v>
      </c>
      <c r="T41">
        <f t="shared" si="10"/>
        <v>0.22911153293336398</v>
      </c>
      <c r="U41">
        <f t="shared" si="11"/>
        <v>344.35169930248532</v>
      </c>
      <c r="V41">
        <f t="shared" si="12"/>
        <v>30.88845997427352</v>
      </c>
      <c r="W41">
        <f t="shared" si="13"/>
        <v>29.965299999999999</v>
      </c>
      <c r="X41">
        <f t="shared" si="14"/>
        <v>4.2519654729536329</v>
      </c>
      <c r="Y41">
        <f t="shared" si="15"/>
        <v>65.51487579312527</v>
      </c>
      <c r="Z41">
        <f t="shared" si="16"/>
        <v>2.8393307891897996</v>
      </c>
      <c r="AA41">
        <f t="shared" si="17"/>
        <v>4.3338718952249646</v>
      </c>
      <c r="AB41">
        <f t="shared" si="18"/>
        <v>1.4126346837638333</v>
      </c>
      <c r="AC41">
        <f t="shared" si="19"/>
        <v>-235.95443685197475</v>
      </c>
      <c r="AD41">
        <f t="shared" si="20"/>
        <v>57.022460666138109</v>
      </c>
      <c r="AE41">
        <f t="shared" si="21"/>
        <v>3.9910011415544795</v>
      </c>
      <c r="AF41">
        <f t="shared" si="22"/>
        <v>169.41072425820315</v>
      </c>
      <c r="AG41">
        <v>20</v>
      </c>
      <c r="AH41">
        <v>4</v>
      </c>
      <c r="AI41">
        <f t="shared" si="23"/>
        <v>1</v>
      </c>
      <c r="AJ41">
        <f t="shared" si="24"/>
        <v>0</v>
      </c>
      <c r="AK41">
        <f t="shared" si="25"/>
        <v>51896.858325835456</v>
      </c>
      <c r="AL41" t="s">
        <v>415</v>
      </c>
      <c r="AM41">
        <v>6977.87</v>
      </c>
      <c r="AN41">
        <v>273.15280000000001</v>
      </c>
      <c r="AO41">
        <v>850.46774885301022</v>
      </c>
      <c r="AP41">
        <f t="shared" si="26"/>
        <v>0.67882050745793765</v>
      </c>
      <c r="AQ41">
        <v>-1.0323826813720729</v>
      </c>
      <c r="AR41" t="s">
        <v>523</v>
      </c>
      <c r="AS41">
        <v>7106.01</v>
      </c>
      <c r="AT41">
        <v>607.9991923076924</v>
      </c>
      <c r="AU41">
        <v>721.68377583565155</v>
      </c>
      <c r="AV41">
        <f t="shared" si="27"/>
        <v>0.15752686610741884</v>
      </c>
      <c r="AW41">
        <v>0.5</v>
      </c>
      <c r="AX41">
        <f t="shared" si="28"/>
        <v>1513.1087996512426</v>
      </c>
      <c r="AY41">
        <f t="shared" si="29"/>
        <v>15.813883296689617</v>
      </c>
      <c r="AZ41">
        <f t="shared" si="30"/>
        <v>119.17764364430927</v>
      </c>
      <c r="BA41">
        <f t="shared" si="31"/>
        <v>1.1133545705335E-2</v>
      </c>
      <c r="BB41">
        <f t="shared" si="32"/>
        <v>0.1784493116368554</v>
      </c>
      <c r="BC41">
        <f t="shared" si="33"/>
        <v>258.34589629612424</v>
      </c>
      <c r="BD41" t="s">
        <v>524</v>
      </c>
      <c r="BE41">
        <v>401.17</v>
      </c>
      <c r="BF41">
        <f t="shared" si="34"/>
        <v>401.17</v>
      </c>
      <c r="BG41">
        <f t="shared" si="35"/>
        <v>0.44411941430236868</v>
      </c>
      <c r="BH41">
        <f t="shared" si="36"/>
        <v>0.35469484340121687</v>
      </c>
      <c r="BI41">
        <f t="shared" si="37"/>
        <v>0.28663391558521012</v>
      </c>
      <c r="BJ41">
        <f t="shared" si="38"/>
        <v>0.25345982697439134</v>
      </c>
      <c r="BK41">
        <f t="shared" si="39"/>
        <v>0.22307403138134965</v>
      </c>
      <c r="BL41">
        <f t="shared" si="40"/>
        <v>0.23403473578177961</v>
      </c>
      <c r="BM41">
        <f t="shared" si="41"/>
        <v>0.76596526421822042</v>
      </c>
      <c r="BN41">
        <v>11278</v>
      </c>
      <c r="BO41">
        <v>290.00000000000011</v>
      </c>
      <c r="BP41">
        <v>691.7</v>
      </c>
      <c r="BQ41">
        <v>285</v>
      </c>
      <c r="BR41">
        <v>7106.01</v>
      </c>
      <c r="BS41">
        <v>692.97</v>
      </c>
      <c r="BT41">
        <v>-1.27</v>
      </c>
      <c r="BU41">
        <v>300.00000000000011</v>
      </c>
      <c r="BV41">
        <v>38.299999999999997</v>
      </c>
      <c r="BW41">
        <v>721.68377583565155</v>
      </c>
      <c r="BX41">
        <v>1.431642773185704</v>
      </c>
      <c r="BY41">
        <v>-20.405082940971109</v>
      </c>
      <c r="BZ41">
        <v>0.85276621036850564</v>
      </c>
      <c r="CA41">
        <v>0.95337641402109008</v>
      </c>
      <c r="CB41">
        <v>-7.0063982202447101E-3</v>
      </c>
      <c r="CC41">
        <v>289.99999999999989</v>
      </c>
      <c r="CD41">
        <v>696.26</v>
      </c>
      <c r="CE41">
        <v>745</v>
      </c>
      <c r="CF41">
        <v>7099.3</v>
      </c>
      <c r="CG41">
        <v>692.94</v>
      </c>
      <c r="CH41">
        <v>3.32</v>
      </c>
      <c r="CV41">
        <f t="shared" si="42"/>
        <v>1799.91</v>
      </c>
      <c r="CW41">
        <f t="shared" si="43"/>
        <v>1513.1087996512426</v>
      </c>
      <c r="CX41">
        <f t="shared" si="44"/>
        <v>0.84065803270788131</v>
      </c>
      <c r="CY41">
        <f t="shared" si="45"/>
        <v>0.19131606541576263</v>
      </c>
      <c r="CZ41">
        <v>4.8</v>
      </c>
      <c r="DA41">
        <v>0.5</v>
      </c>
      <c r="DB41" t="s">
        <v>418</v>
      </c>
      <c r="DC41">
        <v>2</v>
      </c>
      <c r="DD41">
        <v>1700151948</v>
      </c>
      <c r="DE41">
        <v>104.277</v>
      </c>
      <c r="DF41">
        <v>119.988</v>
      </c>
      <c r="DG41">
        <v>28.5486</v>
      </c>
      <c r="DH41">
        <v>23.560700000000001</v>
      </c>
      <c r="DI41">
        <v>104.485</v>
      </c>
      <c r="DJ41">
        <v>28.552</v>
      </c>
      <c r="DK41">
        <v>500.18900000000002</v>
      </c>
      <c r="DL41">
        <v>99.355999999999995</v>
      </c>
      <c r="DM41">
        <v>0.10004300000000001</v>
      </c>
      <c r="DN41">
        <v>30.297799999999999</v>
      </c>
      <c r="DO41">
        <v>29.965299999999999</v>
      </c>
      <c r="DP41">
        <v>999.9</v>
      </c>
      <c r="DQ41">
        <v>0</v>
      </c>
      <c r="DR41">
        <v>0</v>
      </c>
      <c r="DS41">
        <v>9986.25</v>
      </c>
      <c r="DT41">
        <v>0</v>
      </c>
      <c r="DU41">
        <v>384.22699999999998</v>
      </c>
      <c r="DV41">
        <v>-15.7104</v>
      </c>
      <c r="DW41">
        <v>107.342</v>
      </c>
      <c r="DX41">
        <v>122.883</v>
      </c>
      <c r="DY41">
        <v>4.9878999999999998</v>
      </c>
      <c r="DZ41">
        <v>119.988</v>
      </c>
      <c r="EA41">
        <v>23.560700000000001</v>
      </c>
      <c r="EB41">
        <v>2.8364799999999999</v>
      </c>
      <c r="EC41">
        <v>2.3409</v>
      </c>
      <c r="ED41">
        <v>23.097899999999999</v>
      </c>
      <c r="EE41">
        <v>19.960599999999999</v>
      </c>
      <c r="EF41">
        <v>1799.91</v>
      </c>
      <c r="EG41">
        <v>0.97800299999999996</v>
      </c>
      <c r="EH41">
        <v>2.19974E-2</v>
      </c>
      <c r="EI41">
        <v>0</v>
      </c>
      <c r="EJ41">
        <v>607.76</v>
      </c>
      <c r="EK41">
        <v>5.0005300000000004</v>
      </c>
      <c r="EL41">
        <v>12844.9</v>
      </c>
      <c r="EM41">
        <v>16034.5</v>
      </c>
      <c r="EN41">
        <v>49.125</v>
      </c>
      <c r="EO41">
        <v>50.375</v>
      </c>
      <c r="EP41">
        <v>49.75</v>
      </c>
      <c r="EQ41">
        <v>49.811999999999998</v>
      </c>
      <c r="ER41">
        <v>50.25</v>
      </c>
      <c r="ES41">
        <v>1755.43</v>
      </c>
      <c r="ET41">
        <v>39.479999999999997</v>
      </c>
      <c r="EU41">
        <v>0</v>
      </c>
      <c r="EV41">
        <v>283.79999995231628</v>
      </c>
      <c r="EW41">
        <v>0</v>
      </c>
      <c r="EX41">
        <v>607.9991923076924</v>
      </c>
      <c r="EY41">
        <v>-0.57958974813624975</v>
      </c>
      <c r="EZ41">
        <v>-100.2598292488791</v>
      </c>
      <c r="FA41">
        <v>12838.30769230769</v>
      </c>
      <c r="FB41">
        <v>15</v>
      </c>
      <c r="FC41">
        <v>1700151918</v>
      </c>
      <c r="FD41" t="s">
        <v>525</v>
      </c>
      <c r="FE41">
        <v>1700151906</v>
      </c>
      <c r="FF41">
        <v>1700151918</v>
      </c>
      <c r="FG41">
        <v>27</v>
      </c>
      <c r="FH41">
        <v>8.5000000000000006E-2</v>
      </c>
      <c r="FI41">
        <v>4.0000000000000001E-3</v>
      </c>
      <c r="FJ41">
        <v>-0.20799999999999999</v>
      </c>
      <c r="FK41">
        <v>-3.0000000000000001E-3</v>
      </c>
      <c r="FL41">
        <v>120</v>
      </c>
      <c r="FM41">
        <v>24</v>
      </c>
      <c r="FN41">
        <v>0.14000000000000001</v>
      </c>
      <c r="FO41">
        <v>0.03</v>
      </c>
      <c r="FP41">
        <v>15.74283493023993</v>
      </c>
      <c r="FQ41">
        <v>0.37274291175218788</v>
      </c>
      <c r="FR41">
        <v>3.1688969948616731E-2</v>
      </c>
      <c r="FS41">
        <v>1</v>
      </c>
      <c r="FT41">
        <v>0.38553557329550381</v>
      </c>
      <c r="FU41">
        <v>4.1656353323881228E-2</v>
      </c>
      <c r="FV41">
        <v>4.597925436931289E-3</v>
      </c>
      <c r="FW41">
        <v>1</v>
      </c>
      <c r="FX41">
        <v>2</v>
      </c>
      <c r="FY41">
        <v>2</v>
      </c>
      <c r="FZ41" t="s">
        <v>420</v>
      </c>
      <c r="GA41">
        <v>3.1274500000000001</v>
      </c>
      <c r="GB41">
        <v>2.7667899999999999</v>
      </c>
      <c r="GC41">
        <v>2.7347199999999999E-2</v>
      </c>
      <c r="GD41">
        <v>3.1256699999999998E-2</v>
      </c>
      <c r="GE41">
        <v>0.120806</v>
      </c>
      <c r="GF41">
        <v>0.105795</v>
      </c>
      <c r="GG41">
        <v>23102.9</v>
      </c>
      <c r="GH41">
        <v>23932.799999999999</v>
      </c>
      <c r="GI41">
        <v>23626.799999999999</v>
      </c>
      <c r="GJ41">
        <v>25032.3</v>
      </c>
      <c r="GK41">
        <v>29918.9</v>
      </c>
      <c r="GL41">
        <v>31380.9</v>
      </c>
      <c r="GM41">
        <v>37666.5</v>
      </c>
      <c r="GN41">
        <v>38962.400000000001</v>
      </c>
      <c r="GO41">
        <v>2.0369000000000002</v>
      </c>
      <c r="GP41">
        <v>1.73675</v>
      </c>
      <c r="GQ41">
        <v>-4.4479999999999999E-2</v>
      </c>
      <c r="GR41">
        <v>0</v>
      </c>
      <c r="GS41">
        <v>30.688700000000001</v>
      </c>
      <c r="GT41">
        <v>999.9</v>
      </c>
      <c r="GU41">
        <v>41.6</v>
      </c>
      <c r="GV41">
        <v>39.700000000000003</v>
      </c>
      <c r="GW41">
        <v>30.547000000000001</v>
      </c>
      <c r="GX41">
        <v>60.516399999999997</v>
      </c>
      <c r="GY41">
        <v>27.303699999999999</v>
      </c>
      <c r="GZ41">
        <v>1</v>
      </c>
      <c r="HA41">
        <v>0.72558900000000004</v>
      </c>
      <c r="HB41">
        <v>2.9498600000000001</v>
      </c>
      <c r="HC41">
        <v>20.292899999999999</v>
      </c>
      <c r="HD41">
        <v>5.2529300000000001</v>
      </c>
      <c r="HE41">
        <v>12.0099</v>
      </c>
      <c r="HF41">
        <v>4.9776999999999996</v>
      </c>
      <c r="HG41">
        <v>3.2930000000000001</v>
      </c>
      <c r="HH41">
        <v>9999</v>
      </c>
      <c r="HI41">
        <v>9999</v>
      </c>
      <c r="HJ41">
        <v>9999</v>
      </c>
      <c r="HK41">
        <v>999.9</v>
      </c>
      <c r="HL41">
        <v>1.87609</v>
      </c>
      <c r="HM41">
        <v>1.8770100000000001</v>
      </c>
      <c r="HN41">
        <v>1.88323</v>
      </c>
      <c r="HO41">
        <v>1.88632</v>
      </c>
      <c r="HP41">
        <v>1.87714</v>
      </c>
      <c r="HQ41">
        <v>1.8836599999999999</v>
      </c>
      <c r="HR41">
        <v>1.8826000000000001</v>
      </c>
      <c r="HS41">
        <v>1.8859900000000001</v>
      </c>
      <c r="HT41">
        <v>5</v>
      </c>
      <c r="HU41">
        <v>0</v>
      </c>
      <c r="HV41">
        <v>0</v>
      </c>
      <c r="HW41">
        <v>0</v>
      </c>
      <c r="HX41" t="s">
        <v>421</v>
      </c>
      <c r="HY41" t="s">
        <v>422</v>
      </c>
      <c r="HZ41" t="s">
        <v>423</v>
      </c>
      <c r="IA41" t="s">
        <v>424</v>
      </c>
      <c r="IB41" t="s">
        <v>424</v>
      </c>
      <c r="IC41" t="s">
        <v>423</v>
      </c>
      <c r="ID41">
        <v>0</v>
      </c>
      <c r="IE41">
        <v>100</v>
      </c>
      <c r="IF41">
        <v>100</v>
      </c>
      <c r="IG41">
        <v>-0.20799999999999999</v>
      </c>
      <c r="IH41">
        <v>-3.3999999999999998E-3</v>
      </c>
      <c r="II41">
        <v>-0.21037772532888169</v>
      </c>
      <c r="IJ41">
        <v>4.4610147972834149E-5</v>
      </c>
      <c r="IK41">
        <v>-2.082673137682459E-7</v>
      </c>
      <c r="IL41">
        <v>-4.0725795306076518E-11</v>
      </c>
      <c r="IM41">
        <v>-3.3428571428544269E-3</v>
      </c>
      <c r="IN41">
        <v>0</v>
      </c>
      <c r="IO41">
        <v>0</v>
      </c>
      <c r="IP41">
        <v>0</v>
      </c>
      <c r="IQ41">
        <v>3</v>
      </c>
      <c r="IR41">
        <v>2179</v>
      </c>
      <c r="IS41">
        <v>0</v>
      </c>
      <c r="IT41">
        <v>22</v>
      </c>
      <c r="IU41">
        <v>0.7</v>
      </c>
      <c r="IV41">
        <v>0.5</v>
      </c>
      <c r="IW41">
        <v>0.41626000000000002</v>
      </c>
      <c r="IX41">
        <v>2.6965300000000001</v>
      </c>
      <c r="IY41">
        <v>1.6015600000000001</v>
      </c>
      <c r="IZ41">
        <v>2.32544</v>
      </c>
      <c r="JA41">
        <v>1.5502899999999999</v>
      </c>
      <c r="JB41">
        <v>2.49146</v>
      </c>
      <c r="JC41">
        <v>46.210799999999999</v>
      </c>
      <c r="JD41">
        <v>23.973700000000001</v>
      </c>
      <c r="JE41">
        <v>18</v>
      </c>
      <c r="JF41">
        <v>547.86699999999996</v>
      </c>
      <c r="JG41">
        <v>386.34</v>
      </c>
      <c r="JH41">
        <v>27.094899999999999</v>
      </c>
      <c r="JI41">
        <v>35.922699999999999</v>
      </c>
      <c r="JJ41">
        <v>30.000299999999999</v>
      </c>
      <c r="JK41">
        <v>35.930700000000002</v>
      </c>
      <c r="JL41">
        <v>35.919600000000003</v>
      </c>
      <c r="JM41">
        <v>8.3237900000000007</v>
      </c>
      <c r="JN41">
        <v>29.593699999999998</v>
      </c>
      <c r="JO41">
        <v>55.429699999999997</v>
      </c>
      <c r="JP41">
        <v>27.099499999999999</v>
      </c>
      <c r="JQ41">
        <v>120</v>
      </c>
      <c r="JR41">
        <v>23.413799999999998</v>
      </c>
      <c r="JS41">
        <v>98.2393</v>
      </c>
      <c r="JT41">
        <v>98.595100000000002</v>
      </c>
    </row>
    <row r="42" spans="1:280" x14ac:dyDescent="0.25">
      <c r="A42">
        <v>26</v>
      </c>
      <c r="B42">
        <v>1700152066</v>
      </c>
      <c r="C42">
        <v>4192.5</v>
      </c>
      <c r="D42" t="s">
        <v>526</v>
      </c>
      <c r="E42" t="s">
        <v>527</v>
      </c>
      <c r="F42" t="s">
        <v>412</v>
      </c>
      <c r="G42" t="s">
        <v>481</v>
      </c>
      <c r="H42" t="s">
        <v>31</v>
      </c>
      <c r="I42">
        <v>1700152066</v>
      </c>
      <c r="J42">
        <f t="shared" si="0"/>
        <v>5.6917946556247056E-3</v>
      </c>
      <c r="K42">
        <f t="shared" si="1"/>
        <v>5.6917946556247054</v>
      </c>
      <c r="L42">
        <f t="shared" si="2"/>
        <v>9.7485513438861808</v>
      </c>
      <c r="M42">
        <f t="shared" si="3"/>
        <v>60.337800000000001</v>
      </c>
      <c r="N42">
        <f t="shared" si="4"/>
        <v>19.751362926429714</v>
      </c>
      <c r="O42">
        <f t="shared" si="5"/>
        <v>1.9644369990970871</v>
      </c>
      <c r="P42">
        <f t="shared" si="6"/>
        <v>6.0010950740778002</v>
      </c>
      <c r="Q42">
        <f t="shared" si="7"/>
        <v>0.4177354666962681</v>
      </c>
      <c r="R42">
        <f t="shared" si="8"/>
        <v>3.1822184833640028</v>
      </c>
      <c r="S42">
        <f t="shared" si="9"/>
        <v>0.38948723107667238</v>
      </c>
      <c r="T42">
        <f t="shared" si="10"/>
        <v>0.24580814671071174</v>
      </c>
      <c r="U42">
        <f t="shared" si="11"/>
        <v>344.40109930258609</v>
      </c>
      <c r="V42">
        <f t="shared" si="12"/>
        <v>30.950677094340868</v>
      </c>
      <c r="W42">
        <f t="shared" si="13"/>
        <v>30.0078</v>
      </c>
      <c r="X42">
        <f t="shared" si="14"/>
        <v>4.2623589357074838</v>
      </c>
      <c r="Y42">
        <f t="shared" si="15"/>
        <v>65.471086816477936</v>
      </c>
      <c r="Z42">
        <f t="shared" si="16"/>
        <v>2.8609677574154997</v>
      </c>
      <c r="AA42">
        <f t="shared" si="17"/>
        <v>4.3698186428996983</v>
      </c>
      <c r="AB42">
        <f t="shared" si="18"/>
        <v>1.4013911782919841</v>
      </c>
      <c r="AC42">
        <f t="shared" si="19"/>
        <v>-251.00814431304951</v>
      </c>
      <c r="AD42">
        <f t="shared" si="20"/>
        <v>74.491249040377255</v>
      </c>
      <c r="AE42">
        <f t="shared" si="21"/>
        <v>5.2165248120769734</v>
      </c>
      <c r="AF42">
        <f t="shared" si="22"/>
        <v>173.10072884199079</v>
      </c>
      <c r="AG42">
        <v>20</v>
      </c>
      <c r="AH42">
        <v>4</v>
      </c>
      <c r="AI42">
        <f t="shared" si="23"/>
        <v>1</v>
      </c>
      <c r="AJ42">
        <f t="shared" si="24"/>
        <v>0</v>
      </c>
      <c r="AK42">
        <f t="shared" si="25"/>
        <v>51901.401748352102</v>
      </c>
      <c r="AL42" t="s">
        <v>427</v>
      </c>
      <c r="AM42" t="s">
        <v>427</v>
      </c>
      <c r="AN42">
        <v>0</v>
      </c>
      <c r="AO42">
        <v>0</v>
      </c>
      <c r="AP42" t="e">
        <f t="shared" si="26"/>
        <v>#DIV/0!</v>
      </c>
      <c r="AQ42">
        <v>0</v>
      </c>
      <c r="AR42" t="s">
        <v>427</v>
      </c>
      <c r="AS42" t="s">
        <v>427</v>
      </c>
      <c r="AT42">
        <v>0</v>
      </c>
      <c r="AU42">
        <v>0</v>
      </c>
      <c r="AV42" t="e">
        <f t="shared" si="27"/>
        <v>#DIV/0!</v>
      </c>
      <c r="AW42">
        <v>0.5</v>
      </c>
      <c r="AX42">
        <f t="shared" si="28"/>
        <v>1513.3271996512931</v>
      </c>
      <c r="AY42">
        <f t="shared" si="29"/>
        <v>9.7485513438861808</v>
      </c>
      <c r="AZ42" t="e">
        <f t="shared" si="30"/>
        <v>#DIV/0!</v>
      </c>
      <c r="BA42">
        <f t="shared" si="31"/>
        <v>6.441800125004349E-3</v>
      </c>
      <c r="BB42" t="e">
        <f t="shared" si="32"/>
        <v>#DIV/0!</v>
      </c>
      <c r="BC42" t="e">
        <f t="shared" si="33"/>
        <v>#DIV/0!</v>
      </c>
      <c r="BD42" t="s">
        <v>427</v>
      </c>
      <c r="BE42">
        <v>0</v>
      </c>
      <c r="BF42" t="e">
        <f t="shared" si="34"/>
        <v>#DIV/0!</v>
      </c>
      <c r="BG42" t="e">
        <f t="shared" si="35"/>
        <v>#DIV/0!</v>
      </c>
      <c r="BH42" t="e">
        <f t="shared" si="36"/>
        <v>#DIV/0!</v>
      </c>
      <c r="BI42" t="e">
        <f t="shared" si="37"/>
        <v>#DIV/0!</v>
      </c>
      <c r="BJ42" t="e">
        <f t="shared" si="38"/>
        <v>#DIV/0!</v>
      </c>
      <c r="BK42" t="e">
        <f t="shared" si="39"/>
        <v>#DIV/0!</v>
      </c>
      <c r="BL42" t="e">
        <f t="shared" si="40"/>
        <v>#DIV/0!</v>
      </c>
      <c r="BM42" t="e">
        <f t="shared" si="41"/>
        <v>#DIV/0!</v>
      </c>
      <c r="BN42">
        <v>11278</v>
      </c>
      <c r="BO42">
        <v>290.00000000000011</v>
      </c>
      <c r="BP42">
        <v>691.7</v>
      </c>
      <c r="BQ42">
        <v>285</v>
      </c>
      <c r="BR42">
        <v>7106.01</v>
      </c>
      <c r="BS42">
        <v>692.97</v>
      </c>
      <c r="BT42">
        <v>-1.27</v>
      </c>
      <c r="BU42">
        <v>300.00000000000011</v>
      </c>
      <c r="BV42">
        <v>38.299999999999997</v>
      </c>
      <c r="BW42">
        <v>721.68377583565155</v>
      </c>
      <c r="BX42">
        <v>1.431642773185704</v>
      </c>
      <c r="BY42">
        <v>-20.405082940971109</v>
      </c>
      <c r="BZ42">
        <v>0.85276621036850564</v>
      </c>
      <c r="CA42">
        <v>0.95337641402109008</v>
      </c>
      <c r="CB42">
        <v>-7.0063982202447101E-3</v>
      </c>
      <c r="CC42">
        <v>289.99999999999989</v>
      </c>
      <c r="CD42">
        <v>696.26</v>
      </c>
      <c r="CE42">
        <v>745</v>
      </c>
      <c r="CF42">
        <v>7099.3</v>
      </c>
      <c r="CG42">
        <v>692.94</v>
      </c>
      <c r="CH42">
        <v>3.32</v>
      </c>
      <c r="CV42">
        <f t="shared" si="42"/>
        <v>1800.17</v>
      </c>
      <c r="CW42">
        <f t="shared" si="43"/>
        <v>1513.3271996512931</v>
      </c>
      <c r="CX42">
        <f t="shared" si="44"/>
        <v>0.84065793766771635</v>
      </c>
      <c r="CY42">
        <f t="shared" si="45"/>
        <v>0.19131587533543282</v>
      </c>
      <c r="CZ42">
        <v>4.8</v>
      </c>
      <c r="DA42">
        <v>0.5</v>
      </c>
      <c r="DB42" t="s">
        <v>418</v>
      </c>
      <c r="DC42">
        <v>2</v>
      </c>
      <c r="DD42">
        <v>1700152066</v>
      </c>
      <c r="DE42">
        <v>60.337800000000001</v>
      </c>
      <c r="DF42">
        <v>70.023099999999999</v>
      </c>
      <c r="DG42">
        <v>28.765499999999999</v>
      </c>
      <c r="DH42">
        <v>23.4602</v>
      </c>
      <c r="DI42">
        <v>60.472900000000003</v>
      </c>
      <c r="DJ42">
        <v>28.771999999999998</v>
      </c>
      <c r="DK42">
        <v>500.15499999999997</v>
      </c>
      <c r="DL42">
        <v>99.358199999999997</v>
      </c>
      <c r="DM42">
        <v>0.100101</v>
      </c>
      <c r="DN42">
        <v>30.442</v>
      </c>
      <c r="DO42">
        <v>30.0078</v>
      </c>
      <c r="DP42">
        <v>999.9</v>
      </c>
      <c r="DQ42">
        <v>0</v>
      </c>
      <c r="DR42">
        <v>0</v>
      </c>
      <c r="DS42">
        <v>9991.8799999999992</v>
      </c>
      <c r="DT42">
        <v>0</v>
      </c>
      <c r="DU42">
        <v>391.27199999999999</v>
      </c>
      <c r="DV42">
        <v>-9.6852099999999997</v>
      </c>
      <c r="DW42">
        <v>62.124899999999997</v>
      </c>
      <c r="DX42">
        <v>71.705299999999994</v>
      </c>
      <c r="DY42">
        <v>5.3052900000000003</v>
      </c>
      <c r="DZ42">
        <v>70.023099999999999</v>
      </c>
      <c r="EA42">
        <v>23.4602</v>
      </c>
      <c r="EB42">
        <v>2.8580899999999998</v>
      </c>
      <c r="EC42">
        <v>2.3309600000000001</v>
      </c>
      <c r="ED42">
        <v>23.223500000000001</v>
      </c>
      <c r="EE42">
        <v>19.891999999999999</v>
      </c>
      <c r="EF42">
        <v>1800.17</v>
      </c>
      <c r="EG42">
        <v>0.97800600000000004</v>
      </c>
      <c r="EH42">
        <v>2.19939E-2</v>
      </c>
      <c r="EI42">
        <v>0</v>
      </c>
      <c r="EJ42">
        <v>622.62900000000002</v>
      </c>
      <c r="EK42">
        <v>5.0005300000000004</v>
      </c>
      <c r="EL42">
        <v>13085.7</v>
      </c>
      <c r="EM42">
        <v>16036.8</v>
      </c>
      <c r="EN42">
        <v>49.186999999999998</v>
      </c>
      <c r="EO42">
        <v>50.436999999999998</v>
      </c>
      <c r="EP42">
        <v>49.811999999999998</v>
      </c>
      <c r="EQ42">
        <v>49.875</v>
      </c>
      <c r="ER42">
        <v>50.375</v>
      </c>
      <c r="ES42">
        <v>1755.69</v>
      </c>
      <c r="ET42">
        <v>39.479999999999997</v>
      </c>
      <c r="EU42">
        <v>0</v>
      </c>
      <c r="EV42">
        <v>115.7999999523163</v>
      </c>
      <c r="EW42">
        <v>0</v>
      </c>
      <c r="EX42">
        <v>622.38646153846162</v>
      </c>
      <c r="EY42">
        <v>-9.8666655216325727E-2</v>
      </c>
      <c r="EZ42">
        <v>-87.945299331641266</v>
      </c>
      <c r="FA42">
        <v>13102.45384615385</v>
      </c>
      <c r="FB42">
        <v>15</v>
      </c>
      <c r="FC42">
        <v>1700152035</v>
      </c>
      <c r="FD42" t="s">
        <v>528</v>
      </c>
      <c r="FE42">
        <v>1700152029.5</v>
      </c>
      <c r="FF42">
        <v>1700152035</v>
      </c>
      <c r="FG42">
        <v>28</v>
      </c>
      <c r="FH42">
        <v>7.2999999999999995E-2</v>
      </c>
      <c r="FI42">
        <v>-3.0000000000000001E-3</v>
      </c>
      <c r="FJ42">
        <v>-0.13500000000000001</v>
      </c>
      <c r="FK42">
        <v>-7.0000000000000001E-3</v>
      </c>
      <c r="FL42">
        <v>70</v>
      </c>
      <c r="FM42">
        <v>23</v>
      </c>
      <c r="FN42">
        <v>0.13</v>
      </c>
      <c r="FO42">
        <v>0.02</v>
      </c>
      <c r="FP42">
        <v>9.712391329892851</v>
      </c>
      <c r="FQ42">
        <v>0.15718253233336019</v>
      </c>
      <c r="FR42">
        <v>2.265982092237017E-2</v>
      </c>
      <c r="FS42">
        <v>1</v>
      </c>
      <c r="FT42">
        <v>0.41325075678520978</v>
      </c>
      <c r="FU42">
        <v>3.2827094259304017E-2</v>
      </c>
      <c r="FV42">
        <v>3.2805835631450481E-3</v>
      </c>
      <c r="FW42">
        <v>1</v>
      </c>
      <c r="FX42">
        <v>2</v>
      </c>
      <c r="FY42">
        <v>2</v>
      </c>
      <c r="FZ42" t="s">
        <v>420</v>
      </c>
      <c r="GA42">
        <v>3.1274999999999999</v>
      </c>
      <c r="GB42">
        <v>2.7669000000000001</v>
      </c>
      <c r="GC42">
        <v>1.60649E-2</v>
      </c>
      <c r="GD42">
        <v>1.8584199999999999E-2</v>
      </c>
      <c r="GE42">
        <v>0.12144000000000001</v>
      </c>
      <c r="GF42">
        <v>0.10546899999999999</v>
      </c>
      <c r="GG42">
        <v>23367.3</v>
      </c>
      <c r="GH42">
        <v>24243.599999999999</v>
      </c>
      <c r="GI42">
        <v>23624.1</v>
      </c>
      <c r="GJ42">
        <v>25030.799999999999</v>
      </c>
      <c r="GK42">
        <v>29894</v>
      </c>
      <c r="GL42">
        <v>31390.3</v>
      </c>
      <c r="GM42">
        <v>37662.300000000003</v>
      </c>
      <c r="GN42">
        <v>38959.800000000003</v>
      </c>
      <c r="GO42">
        <v>2.0374300000000001</v>
      </c>
      <c r="GP42">
        <v>1.73505</v>
      </c>
      <c r="GQ42">
        <v>-4.6908900000000003E-2</v>
      </c>
      <c r="GR42">
        <v>0</v>
      </c>
      <c r="GS42">
        <v>30.770700000000001</v>
      </c>
      <c r="GT42">
        <v>999.9</v>
      </c>
      <c r="GU42">
        <v>41.1</v>
      </c>
      <c r="GV42">
        <v>39.9</v>
      </c>
      <c r="GW42">
        <v>30.506399999999999</v>
      </c>
      <c r="GX42">
        <v>60.446399999999997</v>
      </c>
      <c r="GY42">
        <v>27.311699999999998</v>
      </c>
      <c r="GZ42">
        <v>1</v>
      </c>
      <c r="HA42">
        <v>0.730993</v>
      </c>
      <c r="HB42">
        <v>3.2852100000000002</v>
      </c>
      <c r="HC42">
        <v>20.286200000000001</v>
      </c>
      <c r="HD42">
        <v>5.2488900000000003</v>
      </c>
      <c r="HE42">
        <v>12.0099</v>
      </c>
      <c r="HF42">
        <v>4.9776499999999997</v>
      </c>
      <c r="HG42">
        <v>3.2930000000000001</v>
      </c>
      <c r="HH42">
        <v>9999</v>
      </c>
      <c r="HI42">
        <v>9999</v>
      </c>
      <c r="HJ42">
        <v>9999</v>
      </c>
      <c r="HK42">
        <v>999.9</v>
      </c>
      <c r="HL42">
        <v>1.87598</v>
      </c>
      <c r="HM42">
        <v>1.8769199999999999</v>
      </c>
      <c r="HN42">
        <v>1.88313</v>
      </c>
      <c r="HO42">
        <v>1.88628</v>
      </c>
      <c r="HP42">
        <v>1.87703</v>
      </c>
      <c r="HQ42">
        <v>1.88358</v>
      </c>
      <c r="HR42">
        <v>1.88252</v>
      </c>
      <c r="HS42">
        <v>1.8858900000000001</v>
      </c>
      <c r="HT42">
        <v>5</v>
      </c>
      <c r="HU42">
        <v>0</v>
      </c>
      <c r="HV42">
        <v>0</v>
      </c>
      <c r="HW42">
        <v>0</v>
      </c>
      <c r="HX42" t="s">
        <v>421</v>
      </c>
      <c r="HY42" t="s">
        <v>422</v>
      </c>
      <c r="HZ42" t="s">
        <v>423</v>
      </c>
      <c r="IA42" t="s">
        <v>424</v>
      </c>
      <c r="IB42" t="s">
        <v>424</v>
      </c>
      <c r="IC42" t="s">
        <v>423</v>
      </c>
      <c r="ID42">
        <v>0</v>
      </c>
      <c r="IE42">
        <v>100</v>
      </c>
      <c r="IF42">
        <v>100</v>
      </c>
      <c r="IG42">
        <v>-0.13500000000000001</v>
      </c>
      <c r="IH42">
        <v>-6.4999999999999997E-3</v>
      </c>
      <c r="II42">
        <v>-0.1369696297155181</v>
      </c>
      <c r="IJ42">
        <v>4.4610147972834149E-5</v>
      </c>
      <c r="IK42">
        <v>-2.082673137682459E-7</v>
      </c>
      <c r="IL42">
        <v>-4.0725795306076518E-11</v>
      </c>
      <c r="IM42">
        <v>-6.5285714285643337E-3</v>
      </c>
      <c r="IN42">
        <v>0</v>
      </c>
      <c r="IO42">
        <v>0</v>
      </c>
      <c r="IP42">
        <v>0</v>
      </c>
      <c r="IQ42">
        <v>3</v>
      </c>
      <c r="IR42">
        <v>2179</v>
      </c>
      <c r="IS42">
        <v>0</v>
      </c>
      <c r="IT42">
        <v>22</v>
      </c>
      <c r="IU42">
        <v>0.6</v>
      </c>
      <c r="IV42">
        <v>0.5</v>
      </c>
      <c r="IW42">
        <v>0.305176</v>
      </c>
      <c r="IX42">
        <v>2.7282700000000002</v>
      </c>
      <c r="IY42">
        <v>1.6015600000000001</v>
      </c>
      <c r="IZ42">
        <v>2.32544</v>
      </c>
      <c r="JA42">
        <v>1.5502899999999999</v>
      </c>
      <c r="JB42">
        <v>2.32422</v>
      </c>
      <c r="JC42">
        <v>46.24</v>
      </c>
      <c r="JD42">
        <v>23.9649</v>
      </c>
      <c r="JE42">
        <v>18</v>
      </c>
      <c r="JF42">
        <v>548.53499999999997</v>
      </c>
      <c r="JG42">
        <v>385.52300000000002</v>
      </c>
      <c r="JH42">
        <v>27.057700000000001</v>
      </c>
      <c r="JI42">
        <v>35.969200000000001</v>
      </c>
      <c r="JJ42">
        <v>30.000299999999999</v>
      </c>
      <c r="JK42">
        <v>35.970599999999997</v>
      </c>
      <c r="JL42">
        <v>35.959499999999998</v>
      </c>
      <c r="JM42">
        <v>6.0808600000000004</v>
      </c>
      <c r="JN42">
        <v>28.9329</v>
      </c>
      <c r="JO42">
        <v>53.997599999999998</v>
      </c>
      <c r="JP42">
        <v>27.049099999999999</v>
      </c>
      <c r="JQ42">
        <v>70</v>
      </c>
      <c r="JR42">
        <v>23.397600000000001</v>
      </c>
      <c r="JS42">
        <v>98.228399999999993</v>
      </c>
      <c r="JT42">
        <v>98.588899999999995</v>
      </c>
    </row>
    <row r="43" spans="1:280" x14ac:dyDescent="0.25">
      <c r="A43">
        <v>27</v>
      </c>
      <c r="B43">
        <v>1700152163.5</v>
      </c>
      <c r="C43">
        <v>4290</v>
      </c>
      <c r="D43" t="s">
        <v>529</v>
      </c>
      <c r="E43" t="s">
        <v>530</v>
      </c>
      <c r="F43" t="s">
        <v>412</v>
      </c>
      <c r="G43" t="s">
        <v>481</v>
      </c>
      <c r="H43" t="s">
        <v>31</v>
      </c>
      <c r="I43">
        <v>1700152163.5</v>
      </c>
      <c r="J43">
        <f t="shared" si="0"/>
        <v>5.9623481792111122E-3</v>
      </c>
      <c r="K43">
        <f t="shared" si="1"/>
        <v>5.9623481792111122</v>
      </c>
      <c r="L43">
        <f t="shared" si="2"/>
        <v>4.2869420560882698</v>
      </c>
      <c r="M43">
        <f t="shared" si="3"/>
        <v>25.732399999999998</v>
      </c>
      <c r="N43">
        <f t="shared" si="4"/>
        <v>8.7805029334951872</v>
      </c>
      <c r="O43">
        <f t="shared" si="5"/>
        <v>0.87324837678323708</v>
      </c>
      <c r="P43">
        <f t="shared" si="6"/>
        <v>2.5591673621583997</v>
      </c>
      <c r="Q43">
        <f t="shared" si="7"/>
        <v>0.44156050182031648</v>
      </c>
      <c r="R43">
        <f t="shared" si="8"/>
        <v>3.1803455719575573</v>
      </c>
      <c r="S43">
        <f t="shared" si="9"/>
        <v>0.4101110304780729</v>
      </c>
      <c r="T43">
        <f t="shared" si="10"/>
        <v>0.25895809836791239</v>
      </c>
      <c r="U43">
        <f t="shared" si="11"/>
        <v>344.34029930246209</v>
      </c>
      <c r="V43">
        <f t="shared" si="12"/>
        <v>30.931590658300649</v>
      </c>
      <c r="W43">
        <f t="shared" si="13"/>
        <v>30.003599999999999</v>
      </c>
      <c r="X43">
        <f t="shared" si="14"/>
        <v>4.2613308320819794</v>
      </c>
      <c r="Y43">
        <f t="shared" si="15"/>
        <v>65.442604841214859</v>
      </c>
      <c r="Z43">
        <f t="shared" si="16"/>
        <v>2.8672631702147999</v>
      </c>
      <c r="AA43">
        <f t="shared" si="17"/>
        <v>4.3813402250288132</v>
      </c>
      <c r="AB43">
        <f t="shared" si="18"/>
        <v>1.3940676618671795</v>
      </c>
      <c r="AC43">
        <f t="shared" si="19"/>
        <v>-262.93955470321004</v>
      </c>
      <c r="AD43">
        <f t="shared" si="20"/>
        <v>83.054638106272208</v>
      </c>
      <c r="AE43">
        <f t="shared" si="21"/>
        <v>5.8208371115126827</v>
      </c>
      <c r="AF43">
        <f t="shared" si="22"/>
        <v>170.27621981703692</v>
      </c>
      <c r="AG43">
        <v>19</v>
      </c>
      <c r="AH43">
        <v>4</v>
      </c>
      <c r="AI43">
        <f t="shared" si="23"/>
        <v>1</v>
      </c>
      <c r="AJ43">
        <f t="shared" si="24"/>
        <v>0</v>
      </c>
      <c r="AK43">
        <f t="shared" si="25"/>
        <v>51847.170759420573</v>
      </c>
      <c r="AL43" t="s">
        <v>415</v>
      </c>
      <c r="AM43">
        <v>6977.87</v>
      </c>
      <c r="AN43">
        <v>273.15280000000001</v>
      </c>
      <c r="AO43">
        <v>850.46774885301022</v>
      </c>
      <c r="AP43">
        <f t="shared" si="26"/>
        <v>0.67882050745793765</v>
      </c>
      <c r="AQ43">
        <v>-1.0323826813720729</v>
      </c>
      <c r="AR43" t="s">
        <v>531</v>
      </c>
      <c r="AS43">
        <v>7109.04</v>
      </c>
      <c r="AT43">
        <v>637.58231999999998</v>
      </c>
      <c r="AU43">
        <v>692.13445107066912</v>
      </c>
      <c r="AV43">
        <f t="shared" si="27"/>
        <v>7.881724567572379E-2</v>
      </c>
      <c r="AW43">
        <v>0.5</v>
      </c>
      <c r="AX43">
        <f t="shared" si="28"/>
        <v>1513.058399651231</v>
      </c>
      <c r="AY43">
        <f t="shared" si="29"/>
        <v>4.2869420560882698</v>
      </c>
      <c r="AZ43">
        <f t="shared" si="30"/>
        <v>59.627547803514268</v>
      </c>
      <c r="BA43">
        <f t="shared" si="31"/>
        <v>3.5156109894280874E-3</v>
      </c>
      <c r="BB43">
        <f t="shared" si="32"/>
        <v>0.22876089687114098</v>
      </c>
      <c r="BC43">
        <f t="shared" si="33"/>
        <v>254.4570021147938</v>
      </c>
      <c r="BD43" t="s">
        <v>532</v>
      </c>
      <c r="BE43">
        <v>419.25</v>
      </c>
      <c r="BF43">
        <f t="shared" si="34"/>
        <v>419.25</v>
      </c>
      <c r="BG43">
        <f t="shared" si="35"/>
        <v>0.39426508917240233</v>
      </c>
      <c r="BH43">
        <f t="shared" si="36"/>
        <v>0.19990926876424236</v>
      </c>
      <c r="BI43">
        <f t="shared" si="37"/>
        <v>0.3671771354576418</v>
      </c>
      <c r="BJ43">
        <f t="shared" si="38"/>
        <v>0.13020171869404346</v>
      </c>
      <c r="BK43">
        <f t="shared" si="39"/>
        <v>0.27425809447150523</v>
      </c>
      <c r="BL43">
        <f t="shared" si="40"/>
        <v>0.13145276821573193</v>
      </c>
      <c r="BM43">
        <f t="shared" si="41"/>
        <v>0.86854723178426807</v>
      </c>
      <c r="BN43">
        <v>11280</v>
      </c>
      <c r="BO43">
        <v>290.00000000000011</v>
      </c>
      <c r="BP43">
        <v>675.78</v>
      </c>
      <c r="BQ43">
        <v>215</v>
      </c>
      <c r="BR43">
        <v>7109.04</v>
      </c>
      <c r="BS43">
        <v>676.22</v>
      </c>
      <c r="BT43">
        <v>-0.44</v>
      </c>
      <c r="BU43">
        <v>300.00000000000011</v>
      </c>
      <c r="BV43">
        <v>38.299999999999997</v>
      </c>
      <c r="BW43">
        <v>692.13445107066912</v>
      </c>
      <c r="BX43">
        <v>0.990676164994994</v>
      </c>
      <c r="BY43">
        <v>-11.316032873856621</v>
      </c>
      <c r="BZ43">
        <v>0.59006908230767274</v>
      </c>
      <c r="CA43">
        <v>0.92925280426166323</v>
      </c>
      <c r="CB43">
        <v>-7.0060269187986676E-3</v>
      </c>
      <c r="CC43">
        <v>289.99999999999989</v>
      </c>
      <c r="CD43">
        <v>676.39</v>
      </c>
      <c r="CE43">
        <v>705</v>
      </c>
      <c r="CF43">
        <v>7099.9</v>
      </c>
      <c r="CG43">
        <v>676.2</v>
      </c>
      <c r="CH43">
        <v>0.19</v>
      </c>
      <c r="CV43">
        <f t="shared" si="42"/>
        <v>1799.85</v>
      </c>
      <c r="CW43">
        <f t="shared" si="43"/>
        <v>1513.058399651231</v>
      </c>
      <c r="CX43">
        <f t="shared" si="44"/>
        <v>0.84065805464412646</v>
      </c>
      <c r="CY43">
        <f t="shared" si="45"/>
        <v>0.19131610928825296</v>
      </c>
      <c r="CZ43">
        <v>4.8</v>
      </c>
      <c r="DA43">
        <v>0.5</v>
      </c>
      <c r="DB43" t="s">
        <v>418</v>
      </c>
      <c r="DC43">
        <v>2</v>
      </c>
      <c r="DD43">
        <v>1700152163.5</v>
      </c>
      <c r="DE43">
        <v>25.732399999999998</v>
      </c>
      <c r="DF43">
        <v>29.9939</v>
      </c>
      <c r="DG43">
        <v>28.830300000000001</v>
      </c>
      <c r="DH43">
        <v>23.273099999999999</v>
      </c>
      <c r="DI43">
        <v>25.825299999999999</v>
      </c>
      <c r="DJ43">
        <v>28.837</v>
      </c>
      <c r="DK43">
        <v>500.14699999999999</v>
      </c>
      <c r="DL43">
        <v>99.352999999999994</v>
      </c>
      <c r="DM43">
        <v>0.100116</v>
      </c>
      <c r="DN43">
        <v>30.488</v>
      </c>
      <c r="DO43">
        <v>30.003599999999999</v>
      </c>
      <c r="DP43">
        <v>999.9</v>
      </c>
      <c r="DQ43">
        <v>0</v>
      </c>
      <c r="DR43">
        <v>0</v>
      </c>
      <c r="DS43">
        <v>9983.1200000000008</v>
      </c>
      <c r="DT43">
        <v>0</v>
      </c>
      <c r="DU43">
        <v>359.55500000000001</v>
      </c>
      <c r="DV43">
        <v>-4.2615299999999996</v>
      </c>
      <c r="DW43">
        <v>26.496300000000002</v>
      </c>
      <c r="DX43">
        <v>30.708600000000001</v>
      </c>
      <c r="DY43">
        <v>5.5571400000000004</v>
      </c>
      <c r="DZ43">
        <v>29.9939</v>
      </c>
      <c r="EA43">
        <v>23.273099999999999</v>
      </c>
      <c r="EB43">
        <v>2.8643700000000001</v>
      </c>
      <c r="EC43">
        <v>2.3122500000000001</v>
      </c>
      <c r="ED43">
        <v>23.259799999999998</v>
      </c>
      <c r="EE43">
        <v>19.762</v>
      </c>
      <c r="EF43">
        <v>1799.85</v>
      </c>
      <c r="EG43">
        <v>0.97800299999999996</v>
      </c>
      <c r="EH43">
        <v>2.19974E-2</v>
      </c>
      <c r="EI43">
        <v>0</v>
      </c>
      <c r="EJ43">
        <v>637.57000000000005</v>
      </c>
      <c r="EK43">
        <v>5.0005300000000004</v>
      </c>
      <c r="EL43">
        <v>13050.4</v>
      </c>
      <c r="EM43">
        <v>16034</v>
      </c>
      <c r="EN43">
        <v>49.25</v>
      </c>
      <c r="EO43">
        <v>50.5</v>
      </c>
      <c r="EP43">
        <v>49.875</v>
      </c>
      <c r="EQ43">
        <v>49.936999999999998</v>
      </c>
      <c r="ER43">
        <v>50.375</v>
      </c>
      <c r="ES43">
        <v>1755.37</v>
      </c>
      <c r="ET43">
        <v>39.479999999999997</v>
      </c>
      <c r="EU43">
        <v>0</v>
      </c>
      <c r="EV43">
        <v>213.60000014305109</v>
      </c>
      <c r="EW43">
        <v>0</v>
      </c>
      <c r="EX43">
        <v>637.58231999999998</v>
      </c>
      <c r="EY43">
        <v>-0.85307692289627202</v>
      </c>
      <c r="EZ43">
        <v>-511.39999887270432</v>
      </c>
      <c r="FA43">
        <v>13123.492</v>
      </c>
      <c r="FB43">
        <v>15</v>
      </c>
      <c r="FC43">
        <v>1700152134.5</v>
      </c>
      <c r="FD43" t="s">
        <v>533</v>
      </c>
      <c r="FE43">
        <v>1700152132.5</v>
      </c>
      <c r="FF43">
        <v>1700152134.5</v>
      </c>
      <c r="FG43">
        <v>29</v>
      </c>
      <c r="FH43">
        <v>4.2999999999999997E-2</v>
      </c>
      <c r="FI43">
        <v>0</v>
      </c>
      <c r="FJ43">
        <v>-9.2999999999999999E-2</v>
      </c>
      <c r="FK43">
        <v>-7.0000000000000001E-3</v>
      </c>
      <c r="FL43">
        <v>30</v>
      </c>
      <c r="FM43">
        <v>23</v>
      </c>
      <c r="FN43">
        <v>0.42</v>
      </c>
      <c r="FO43">
        <v>0.02</v>
      </c>
      <c r="FP43">
        <v>4.2753543041200519</v>
      </c>
      <c r="FQ43">
        <v>-0.16681622168758661</v>
      </c>
      <c r="FR43">
        <v>1.652129995274975E-2</v>
      </c>
      <c r="FS43">
        <v>1</v>
      </c>
      <c r="FT43">
        <v>0.44323365526513542</v>
      </c>
      <c r="FU43">
        <v>4.7753769471442213E-2</v>
      </c>
      <c r="FV43">
        <v>5.7678865507857901E-3</v>
      </c>
      <c r="FW43">
        <v>1</v>
      </c>
      <c r="FX43">
        <v>2</v>
      </c>
      <c r="FY43">
        <v>2</v>
      </c>
      <c r="FZ43" t="s">
        <v>420</v>
      </c>
      <c r="GA43">
        <v>3.1275300000000001</v>
      </c>
      <c r="GB43">
        <v>2.7668400000000002</v>
      </c>
      <c r="GC43">
        <v>6.90407E-3</v>
      </c>
      <c r="GD43">
        <v>8.0243399999999996E-3</v>
      </c>
      <c r="GE43">
        <v>0.121616</v>
      </c>
      <c r="GF43">
        <v>0.104862</v>
      </c>
      <c r="GG43">
        <v>23583.7</v>
      </c>
      <c r="GH43">
        <v>24503.8</v>
      </c>
      <c r="GI43">
        <v>23623.599999999999</v>
      </c>
      <c r="GJ43">
        <v>25031</v>
      </c>
      <c r="GK43">
        <v>29887.599999999999</v>
      </c>
      <c r="GL43">
        <v>31411.5</v>
      </c>
      <c r="GM43">
        <v>37661.800000000003</v>
      </c>
      <c r="GN43">
        <v>38959.800000000003</v>
      </c>
      <c r="GO43">
        <v>2.0376500000000002</v>
      </c>
      <c r="GP43">
        <v>1.73325</v>
      </c>
      <c r="GQ43">
        <v>-4.7065299999999997E-2</v>
      </c>
      <c r="GR43">
        <v>0</v>
      </c>
      <c r="GS43">
        <v>30.768999999999998</v>
      </c>
      <c r="GT43">
        <v>999.9</v>
      </c>
      <c r="GU43">
        <v>40.700000000000003</v>
      </c>
      <c r="GV43">
        <v>40</v>
      </c>
      <c r="GW43">
        <v>30.371700000000001</v>
      </c>
      <c r="GX43">
        <v>60.706400000000002</v>
      </c>
      <c r="GY43">
        <v>27.4239</v>
      </c>
      <c r="GZ43">
        <v>1</v>
      </c>
      <c r="HA43">
        <v>0.73119400000000001</v>
      </c>
      <c r="HB43">
        <v>3.0872099999999998</v>
      </c>
      <c r="HC43">
        <v>20.289899999999999</v>
      </c>
      <c r="HD43">
        <v>5.2511299999999999</v>
      </c>
      <c r="HE43">
        <v>12.0099</v>
      </c>
      <c r="HF43">
        <v>4.9779999999999998</v>
      </c>
      <c r="HG43">
        <v>3.2930000000000001</v>
      </c>
      <c r="HH43">
        <v>9999</v>
      </c>
      <c r="HI43">
        <v>9999</v>
      </c>
      <c r="HJ43">
        <v>9999</v>
      </c>
      <c r="HK43">
        <v>999.9</v>
      </c>
      <c r="HL43">
        <v>1.87595</v>
      </c>
      <c r="HM43">
        <v>1.8769199999999999</v>
      </c>
      <c r="HN43">
        <v>1.8831100000000001</v>
      </c>
      <c r="HO43">
        <v>1.88629</v>
      </c>
      <c r="HP43">
        <v>1.877</v>
      </c>
      <c r="HQ43">
        <v>1.88354</v>
      </c>
      <c r="HR43">
        <v>1.8825000000000001</v>
      </c>
      <c r="HS43">
        <v>1.8858699999999999</v>
      </c>
      <c r="HT43">
        <v>5</v>
      </c>
      <c r="HU43">
        <v>0</v>
      </c>
      <c r="HV43">
        <v>0</v>
      </c>
      <c r="HW43">
        <v>0</v>
      </c>
      <c r="HX43" t="s">
        <v>421</v>
      </c>
      <c r="HY43" t="s">
        <v>422</v>
      </c>
      <c r="HZ43" t="s">
        <v>423</v>
      </c>
      <c r="IA43" t="s">
        <v>424</v>
      </c>
      <c r="IB43" t="s">
        <v>424</v>
      </c>
      <c r="IC43" t="s">
        <v>423</v>
      </c>
      <c r="ID43">
        <v>0</v>
      </c>
      <c r="IE43">
        <v>100</v>
      </c>
      <c r="IF43">
        <v>100</v>
      </c>
      <c r="IG43">
        <v>-9.2999999999999999E-2</v>
      </c>
      <c r="IH43">
        <v>-6.7000000000000002E-3</v>
      </c>
      <c r="II43">
        <v>-9.3896700694985319E-2</v>
      </c>
      <c r="IJ43">
        <v>4.4610147972834149E-5</v>
      </c>
      <c r="IK43">
        <v>-2.082673137682459E-7</v>
      </c>
      <c r="IL43">
        <v>-4.0725795306076518E-11</v>
      </c>
      <c r="IM43">
        <v>-6.6949999999970089E-3</v>
      </c>
      <c r="IN43">
        <v>0</v>
      </c>
      <c r="IO43">
        <v>0</v>
      </c>
      <c r="IP43">
        <v>0</v>
      </c>
      <c r="IQ43">
        <v>3</v>
      </c>
      <c r="IR43">
        <v>2179</v>
      </c>
      <c r="IS43">
        <v>0</v>
      </c>
      <c r="IT43">
        <v>22</v>
      </c>
      <c r="IU43">
        <v>0.5</v>
      </c>
      <c r="IV43">
        <v>0.5</v>
      </c>
      <c r="IW43">
        <v>0.21606400000000001</v>
      </c>
      <c r="IX43">
        <v>2.7453599999999998</v>
      </c>
      <c r="IY43">
        <v>1.6015600000000001</v>
      </c>
      <c r="IZ43">
        <v>2.32544</v>
      </c>
      <c r="JA43">
        <v>1.5502899999999999</v>
      </c>
      <c r="JB43">
        <v>2.3107899999999999</v>
      </c>
      <c r="JC43">
        <v>46.269100000000002</v>
      </c>
      <c r="JD43">
        <v>23.956199999999999</v>
      </c>
      <c r="JE43">
        <v>18</v>
      </c>
      <c r="JF43">
        <v>548.89599999999996</v>
      </c>
      <c r="JG43">
        <v>384.54899999999998</v>
      </c>
      <c r="JH43">
        <v>27.297999999999998</v>
      </c>
      <c r="JI43">
        <v>35.992600000000003</v>
      </c>
      <c r="JJ43">
        <v>30</v>
      </c>
      <c r="JK43">
        <v>35.997199999999999</v>
      </c>
      <c r="JL43">
        <v>35.983699999999999</v>
      </c>
      <c r="JM43">
        <v>4.3196099999999999</v>
      </c>
      <c r="JN43">
        <v>29.2302</v>
      </c>
      <c r="JO43">
        <v>52.863999999999997</v>
      </c>
      <c r="JP43">
        <v>27.292100000000001</v>
      </c>
      <c r="JQ43">
        <v>30</v>
      </c>
      <c r="JR43">
        <v>23.1737</v>
      </c>
      <c r="JS43">
        <v>98.226799999999997</v>
      </c>
      <c r="JT43">
        <v>98.589100000000002</v>
      </c>
    </row>
    <row r="44" spans="1:280" x14ac:dyDescent="0.25">
      <c r="A44">
        <v>28</v>
      </c>
      <c r="B44">
        <v>1700152263</v>
      </c>
      <c r="C44">
        <v>4389.5</v>
      </c>
      <c r="D44" t="s">
        <v>534</v>
      </c>
      <c r="E44" t="s">
        <v>535</v>
      </c>
      <c r="F44" t="s">
        <v>412</v>
      </c>
      <c r="G44" t="s">
        <v>481</v>
      </c>
      <c r="H44" t="s">
        <v>31</v>
      </c>
      <c r="I44">
        <v>1700152263</v>
      </c>
      <c r="J44">
        <f t="shared" si="0"/>
        <v>5.9946283348828984E-3</v>
      </c>
      <c r="K44">
        <f t="shared" si="1"/>
        <v>5.9946283348828988</v>
      </c>
      <c r="L44">
        <f t="shared" si="2"/>
        <v>1.2731704440890184</v>
      </c>
      <c r="M44">
        <f t="shared" si="3"/>
        <v>8.7341099999999994</v>
      </c>
      <c r="N44">
        <f t="shared" si="4"/>
        <v>3.6971666811108634</v>
      </c>
      <c r="O44">
        <f t="shared" si="5"/>
        <v>0.3676974431515142</v>
      </c>
      <c r="P44">
        <f t="shared" si="6"/>
        <v>0.86864082477318294</v>
      </c>
      <c r="Q44">
        <f t="shared" si="7"/>
        <v>0.44368807923054027</v>
      </c>
      <c r="R44">
        <f t="shared" si="8"/>
        <v>3.1872992614973281</v>
      </c>
      <c r="S44">
        <f t="shared" si="9"/>
        <v>0.41201043694983586</v>
      </c>
      <c r="T44">
        <f t="shared" si="10"/>
        <v>0.26016391347713297</v>
      </c>
      <c r="U44">
        <f t="shared" si="11"/>
        <v>344.34979930248147</v>
      </c>
      <c r="V44">
        <f t="shared" si="12"/>
        <v>30.975681297398253</v>
      </c>
      <c r="W44">
        <f t="shared" si="13"/>
        <v>30.023099999999999</v>
      </c>
      <c r="X44">
        <f t="shared" si="14"/>
        <v>4.2661059986377827</v>
      </c>
      <c r="Y44">
        <f t="shared" si="15"/>
        <v>65.330672944365446</v>
      </c>
      <c r="Z44">
        <f t="shared" si="16"/>
        <v>2.8710037699668103</v>
      </c>
      <c r="AA44">
        <f t="shared" si="17"/>
        <v>4.3945724735021656</v>
      </c>
      <c r="AB44">
        <f t="shared" si="18"/>
        <v>1.3951022286709724</v>
      </c>
      <c r="AC44">
        <f t="shared" si="19"/>
        <v>-264.3631095683358</v>
      </c>
      <c r="AD44">
        <f t="shared" si="20"/>
        <v>88.941111621953098</v>
      </c>
      <c r="AE44">
        <f t="shared" si="21"/>
        <v>6.222010098698588</v>
      </c>
      <c r="AF44">
        <f t="shared" si="22"/>
        <v>175.14981145479737</v>
      </c>
      <c r="AG44">
        <v>19</v>
      </c>
      <c r="AH44">
        <v>4</v>
      </c>
      <c r="AI44">
        <f t="shared" si="23"/>
        <v>1</v>
      </c>
      <c r="AJ44">
        <f t="shared" si="24"/>
        <v>0</v>
      </c>
      <c r="AK44">
        <f t="shared" si="25"/>
        <v>52009.956037302683</v>
      </c>
      <c r="AL44" t="s">
        <v>427</v>
      </c>
      <c r="AM44" t="s">
        <v>427</v>
      </c>
      <c r="AN44">
        <v>0</v>
      </c>
      <c r="AO44">
        <v>0</v>
      </c>
      <c r="AP44" t="e">
        <f t="shared" si="26"/>
        <v>#DIV/0!</v>
      </c>
      <c r="AQ44">
        <v>0</v>
      </c>
      <c r="AR44" t="s">
        <v>427</v>
      </c>
      <c r="AS44" t="s">
        <v>427</v>
      </c>
      <c r="AT44">
        <v>0</v>
      </c>
      <c r="AU44">
        <v>0</v>
      </c>
      <c r="AV44" t="e">
        <f t="shared" si="27"/>
        <v>#DIV/0!</v>
      </c>
      <c r="AW44">
        <v>0.5</v>
      </c>
      <c r="AX44">
        <f t="shared" si="28"/>
        <v>1513.1003996512407</v>
      </c>
      <c r="AY44">
        <f t="shared" si="29"/>
        <v>1.2731704440890184</v>
      </c>
      <c r="AZ44" t="e">
        <f t="shared" si="30"/>
        <v>#DIV/0!</v>
      </c>
      <c r="BA44">
        <f t="shared" si="31"/>
        <v>8.414315694996019E-4</v>
      </c>
      <c r="BB44" t="e">
        <f t="shared" si="32"/>
        <v>#DIV/0!</v>
      </c>
      <c r="BC44" t="e">
        <f t="shared" si="33"/>
        <v>#DIV/0!</v>
      </c>
      <c r="BD44" t="s">
        <v>427</v>
      </c>
      <c r="BE44">
        <v>0</v>
      </c>
      <c r="BF44" t="e">
        <f t="shared" si="34"/>
        <v>#DIV/0!</v>
      </c>
      <c r="BG44" t="e">
        <f t="shared" si="35"/>
        <v>#DIV/0!</v>
      </c>
      <c r="BH44" t="e">
        <f t="shared" si="36"/>
        <v>#DIV/0!</v>
      </c>
      <c r="BI44" t="e">
        <f t="shared" si="37"/>
        <v>#DIV/0!</v>
      </c>
      <c r="BJ44" t="e">
        <f t="shared" si="38"/>
        <v>#DIV/0!</v>
      </c>
      <c r="BK44" t="e">
        <f t="shared" si="39"/>
        <v>#DIV/0!</v>
      </c>
      <c r="BL44" t="e">
        <f t="shared" si="40"/>
        <v>#DIV/0!</v>
      </c>
      <c r="BM44" t="e">
        <f t="shared" si="41"/>
        <v>#DIV/0!</v>
      </c>
      <c r="BN44">
        <v>11280</v>
      </c>
      <c r="BO44">
        <v>290.00000000000011</v>
      </c>
      <c r="BP44">
        <v>675.78</v>
      </c>
      <c r="BQ44">
        <v>215</v>
      </c>
      <c r="BR44">
        <v>7109.04</v>
      </c>
      <c r="BS44">
        <v>676.22</v>
      </c>
      <c r="BT44">
        <v>-0.44</v>
      </c>
      <c r="BU44">
        <v>300.00000000000011</v>
      </c>
      <c r="BV44">
        <v>38.299999999999997</v>
      </c>
      <c r="BW44">
        <v>692.13445107066912</v>
      </c>
      <c r="BX44">
        <v>0.990676164994994</v>
      </c>
      <c r="BY44">
        <v>-11.316032873856621</v>
      </c>
      <c r="BZ44">
        <v>0.59006908230767274</v>
      </c>
      <c r="CA44">
        <v>0.92925280426166323</v>
      </c>
      <c r="CB44">
        <v>-7.0060269187986676E-3</v>
      </c>
      <c r="CC44">
        <v>289.99999999999989</v>
      </c>
      <c r="CD44">
        <v>676.39</v>
      </c>
      <c r="CE44">
        <v>705</v>
      </c>
      <c r="CF44">
        <v>7099.9</v>
      </c>
      <c r="CG44">
        <v>676.2</v>
      </c>
      <c r="CH44">
        <v>0.19</v>
      </c>
      <c r="CV44">
        <f t="shared" si="42"/>
        <v>1799.9</v>
      </c>
      <c r="CW44">
        <f t="shared" si="43"/>
        <v>1513.1003996512407</v>
      </c>
      <c r="CX44">
        <f t="shared" si="44"/>
        <v>0.84065803636382053</v>
      </c>
      <c r="CY44">
        <f t="shared" si="45"/>
        <v>0.19131607272764123</v>
      </c>
      <c r="CZ44">
        <v>4.8</v>
      </c>
      <c r="DA44">
        <v>0.5</v>
      </c>
      <c r="DB44" t="s">
        <v>418</v>
      </c>
      <c r="DC44">
        <v>2</v>
      </c>
      <c r="DD44">
        <v>1700152263</v>
      </c>
      <c r="DE44">
        <v>8.7341099999999994</v>
      </c>
      <c r="DF44">
        <v>10.006500000000001</v>
      </c>
      <c r="DG44">
        <v>28.867699999999999</v>
      </c>
      <c r="DH44">
        <v>23.279499999999999</v>
      </c>
      <c r="DI44">
        <v>8.7814200000000007</v>
      </c>
      <c r="DJ44">
        <v>28.876999999999999</v>
      </c>
      <c r="DK44">
        <v>500.04599999999999</v>
      </c>
      <c r="DL44">
        <v>99.354100000000003</v>
      </c>
      <c r="DM44">
        <v>9.9745299999999995E-2</v>
      </c>
      <c r="DN44">
        <v>30.540700000000001</v>
      </c>
      <c r="DO44">
        <v>30.023099999999999</v>
      </c>
      <c r="DP44">
        <v>999.9</v>
      </c>
      <c r="DQ44">
        <v>0</v>
      </c>
      <c r="DR44">
        <v>0</v>
      </c>
      <c r="DS44">
        <v>10017.5</v>
      </c>
      <c r="DT44">
        <v>0</v>
      </c>
      <c r="DU44">
        <v>374.10500000000002</v>
      </c>
      <c r="DV44">
        <v>-1.2723599999999999</v>
      </c>
      <c r="DW44">
        <v>8.9937400000000007</v>
      </c>
      <c r="DX44">
        <v>10.244999999999999</v>
      </c>
      <c r="DY44">
        <v>5.5881999999999996</v>
      </c>
      <c r="DZ44">
        <v>10.006500000000001</v>
      </c>
      <c r="EA44">
        <v>23.279499999999999</v>
      </c>
      <c r="EB44">
        <v>2.8681299999999998</v>
      </c>
      <c r="EC44">
        <v>2.3129200000000001</v>
      </c>
      <c r="ED44">
        <v>23.281500000000001</v>
      </c>
      <c r="EE44">
        <v>19.7666</v>
      </c>
      <c r="EF44">
        <v>1799.9</v>
      </c>
      <c r="EG44">
        <v>0.97800299999999996</v>
      </c>
      <c r="EH44">
        <v>2.19974E-2</v>
      </c>
      <c r="EI44">
        <v>0</v>
      </c>
      <c r="EJ44">
        <v>646.73400000000004</v>
      </c>
      <c r="EK44">
        <v>5.0005300000000004</v>
      </c>
      <c r="EL44">
        <v>13433</v>
      </c>
      <c r="EM44">
        <v>16034.4</v>
      </c>
      <c r="EN44">
        <v>49.25</v>
      </c>
      <c r="EO44">
        <v>50.436999999999998</v>
      </c>
      <c r="EP44">
        <v>49.875</v>
      </c>
      <c r="EQ44">
        <v>49.936999999999998</v>
      </c>
      <c r="ER44">
        <v>50.375</v>
      </c>
      <c r="ES44">
        <v>1755.42</v>
      </c>
      <c r="ET44">
        <v>39.479999999999997</v>
      </c>
      <c r="EU44">
        <v>0</v>
      </c>
      <c r="EV44">
        <v>97.400000095367432</v>
      </c>
      <c r="EW44">
        <v>0</v>
      </c>
      <c r="EX44">
        <v>646.26732000000004</v>
      </c>
      <c r="EY44">
        <v>1.07476924758603</v>
      </c>
      <c r="EZ44">
        <v>-68.207692895167824</v>
      </c>
      <c r="FA44">
        <v>13395.48</v>
      </c>
      <c r="FB44">
        <v>15</v>
      </c>
      <c r="FC44">
        <v>1700152233</v>
      </c>
      <c r="FD44" t="s">
        <v>536</v>
      </c>
      <c r="FE44">
        <v>1700152222.5</v>
      </c>
      <c r="FF44">
        <v>1700152233</v>
      </c>
      <c r="FG44">
        <v>30</v>
      </c>
      <c r="FH44">
        <v>4.5999999999999999E-2</v>
      </c>
      <c r="FI44">
        <v>-3.0000000000000001E-3</v>
      </c>
      <c r="FJ44">
        <v>-4.7E-2</v>
      </c>
      <c r="FK44">
        <v>-8.9999999999999993E-3</v>
      </c>
      <c r="FL44">
        <v>10</v>
      </c>
      <c r="FM44">
        <v>23</v>
      </c>
      <c r="FN44">
        <v>0.23</v>
      </c>
      <c r="FO44">
        <v>0.02</v>
      </c>
      <c r="FP44">
        <v>1.2713490167205539</v>
      </c>
      <c r="FQ44">
        <v>-0.1326459902185648</v>
      </c>
      <c r="FR44">
        <v>1.8805715277831269E-2</v>
      </c>
      <c r="FS44">
        <v>1</v>
      </c>
      <c r="FT44">
        <v>0.44727153492547012</v>
      </c>
      <c r="FU44">
        <v>2.7103369901080421E-2</v>
      </c>
      <c r="FV44">
        <v>4.2754445833985098E-3</v>
      </c>
      <c r="FW44">
        <v>1</v>
      </c>
      <c r="FX44">
        <v>2</v>
      </c>
      <c r="FY44">
        <v>2</v>
      </c>
      <c r="FZ44" t="s">
        <v>420</v>
      </c>
      <c r="GA44">
        <v>3.1272700000000002</v>
      </c>
      <c r="GB44">
        <v>2.7667600000000001</v>
      </c>
      <c r="GC44">
        <v>2.3501400000000001E-3</v>
      </c>
      <c r="GD44">
        <v>2.6801400000000001E-3</v>
      </c>
      <c r="GE44">
        <v>0.12173200000000001</v>
      </c>
      <c r="GF44">
        <v>0.104882</v>
      </c>
      <c r="GG44">
        <v>23692.799999999999</v>
      </c>
      <c r="GH44">
        <v>24637.1</v>
      </c>
      <c r="GI44">
        <v>23624.9</v>
      </c>
      <c r="GJ44">
        <v>25032.6</v>
      </c>
      <c r="GK44">
        <v>29885.200000000001</v>
      </c>
      <c r="GL44">
        <v>31413.7</v>
      </c>
      <c r="GM44">
        <v>37663.699999999997</v>
      </c>
      <c r="GN44">
        <v>38963.300000000003</v>
      </c>
      <c r="GO44">
        <v>2.0387499999999998</v>
      </c>
      <c r="GP44">
        <v>1.7324999999999999</v>
      </c>
      <c r="GQ44">
        <v>-4.1272499999999997E-2</v>
      </c>
      <c r="GR44">
        <v>0</v>
      </c>
      <c r="GS44">
        <v>30.694400000000002</v>
      </c>
      <c r="GT44">
        <v>999.9</v>
      </c>
      <c r="GU44">
        <v>40.200000000000003</v>
      </c>
      <c r="GV44">
        <v>40.1</v>
      </c>
      <c r="GW44">
        <v>30.158999999999999</v>
      </c>
      <c r="GX44">
        <v>60.276499999999999</v>
      </c>
      <c r="GY44">
        <v>27.692299999999999</v>
      </c>
      <c r="GZ44">
        <v>1</v>
      </c>
      <c r="HA44">
        <v>0.73016800000000004</v>
      </c>
      <c r="HB44">
        <v>3.1289600000000002</v>
      </c>
      <c r="HC44">
        <v>20.288699999999999</v>
      </c>
      <c r="HD44">
        <v>5.25143</v>
      </c>
      <c r="HE44">
        <v>12.0099</v>
      </c>
      <c r="HF44">
        <v>4.9785500000000003</v>
      </c>
      <c r="HG44">
        <v>3.2930000000000001</v>
      </c>
      <c r="HH44">
        <v>9999</v>
      </c>
      <c r="HI44">
        <v>9999</v>
      </c>
      <c r="HJ44">
        <v>9999</v>
      </c>
      <c r="HK44">
        <v>999.9</v>
      </c>
      <c r="HL44">
        <v>1.87595</v>
      </c>
      <c r="HM44">
        <v>1.8769100000000001</v>
      </c>
      <c r="HN44">
        <v>1.8831</v>
      </c>
      <c r="HO44">
        <v>1.8862399999999999</v>
      </c>
      <c r="HP44">
        <v>1.8769899999999999</v>
      </c>
      <c r="HQ44">
        <v>1.8835299999999999</v>
      </c>
      <c r="HR44">
        <v>1.88249</v>
      </c>
      <c r="HS44">
        <v>1.8858699999999999</v>
      </c>
      <c r="HT44">
        <v>5</v>
      </c>
      <c r="HU44">
        <v>0</v>
      </c>
      <c r="HV44">
        <v>0</v>
      </c>
      <c r="HW44">
        <v>0</v>
      </c>
      <c r="HX44" t="s">
        <v>421</v>
      </c>
      <c r="HY44" t="s">
        <v>422</v>
      </c>
      <c r="HZ44" t="s">
        <v>423</v>
      </c>
      <c r="IA44" t="s">
        <v>424</v>
      </c>
      <c r="IB44" t="s">
        <v>424</v>
      </c>
      <c r="IC44" t="s">
        <v>423</v>
      </c>
      <c r="ID44">
        <v>0</v>
      </c>
      <c r="IE44">
        <v>100</v>
      </c>
      <c r="IF44">
        <v>100</v>
      </c>
      <c r="IG44">
        <v>-4.7E-2</v>
      </c>
      <c r="IH44">
        <v>-9.2999999999999992E-3</v>
      </c>
      <c r="II44">
        <v>-4.7685265968901207E-2</v>
      </c>
      <c r="IJ44">
        <v>4.4610147972834149E-5</v>
      </c>
      <c r="IK44">
        <v>-2.082673137682459E-7</v>
      </c>
      <c r="IL44">
        <v>-4.0725795306076518E-11</v>
      </c>
      <c r="IM44">
        <v>-9.2299999999987392E-3</v>
      </c>
      <c r="IN44">
        <v>0</v>
      </c>
      <c r="IO44">
        <v>0</v>
      </c>
      <c r="IP44">
        <v>0</v>
      </c>
      <c r="IQ44">
        <v>3</v>
      </c>
      <c r="IR44">
        <v>2179</v>
      </c>
      <c r="IS44">
        <v>0</v>
      </c>
      <c r="IT44">
        <v>22</v>
      </c>
      <c r="IU44">
        <v>0.7</v>
      </c>
      <c r="IV44">
        <v>0.5</v>
      </c>
      <c r="IW44">
        <v>0.17333999999999999</v>
      </c>
      <c r="IX44">
        <v>2.7441399999999998</v>
      </c>
      <c r="IY44">
        <v>1.6003400000000001</v>
      </c>
      <c r="IZ44">
        <v>2.32544</v>
      </c>
      <c r="JA44">
        <v>1.5502899999999999</v>
      </c>
      <c r="JB44">
        <v>2.47803</v>
      </c>
      <c r="JC44">
        <v>46.269100000000002</v>
      </c>
      <c r="JD44">
        <v>23.9649</v>
      </c>
      <c r="JE44">
        <v>18</v>
      </c>
      <c r="JF44">
        <v>549.68899999999996</v>
      </c>
      <c r="JG44">
        <v>384.13900000000001</v>
      </c>
      <c r="JH44">
        <v>27.2928</v>
      </c>
      <c r="JI44">
        <v>35.9893</v>
      </c>
      <c r="JJ44">
        <v>30.0001</v>
      </c>
      <c r="JK44">
        <v>36.003999999999998</v>
      </c>
      <c r="JL44">
        <v>35.992899999999999</v>
      </c>
      <c r="JM44">
        <v>3.4592399999999999</v>
      </c>
      <c r="JN44">
        <v>28.1829</v>
      </c>
      <c r="JO44">
        <v>52.1721</v>
      </c>
      <c r="JP44">
        <v>27.270900000000001</v>
      </c>
      <c r="JQ44">
        <v>10</v>
      </c>
      <c r="JR44">
        <v>23.253799999999998</v>
      </c>
      <c r="JS44">
        <v>98.231899999999996</v>
      </c>
      <c r="JT44">
        <v>98.596900000000005</v>
      </c>
    </row>
    <row r="45" spans="1:280" x14ac:dyDescent="0.25">
      <c r="A45">
        <v>29</v>
      </c>
      <c r="B45">
        <v>1700153429.5999999</v>
      </c>
      <c r="C45">
        <v>5556.0999999046326</v>
      </c>
      <c r="D45" t="s">
        <v>537</v>
      </c>
      <c r="E45" t="s">
        <v>538</v>
      </c>
      <c r="F45" t="s">
        <v>412</v>
      </c>
      <c r="G45" t="s">
        <v>539</v>
      </c>
      <c r="H45" t="s">
        <v>31</v>
      </c>
      <c r="I45">
        <v>1700153429.5999999</v>
      </c>
      <c r="J45">
        <f t="shared" si="0"/>
        <v>4.3571368019313193E-3</v>
      </c>
      <c r="K45">
        <f t="shared" si="1"/>
        <v>4.3571368019313192</v>
      </c>
      <c r="L45">
        <f t="shared" si="2"/>
        <v>47.26032871623665</v>
      </c>
      <c r="M45">
        <f t="shared" si="3"/>
        <v>401.01600000000002</v>
      </c>
      <c r="N45">
        <f t="shared" si="4"/>
        <v>136.35907229980114</v>
      </c>
      <c r="O45">
        <f t="shared" si="5"/>
        <v>13.554288757280171</v>
      </c>
      <c r="P45">
        <f t="shared" si="6"/>
        <v>39.861569667611995</v>
      </c>
      <c r="Q45">
        <f t="shared" si="7"/>
        <v>0.30635857025618585</v>
      </c>
      <c r="R45">
        <f t="shared" si="8"/>
        <v>3.1341207912284954</v>
      </c>
      <c r="S45">
        <f t="shared" si="9"/>
        <v>0.2906409556780909</v>
      </c>
      <c r="T45">
        <f t="shared" si="10"/>
        <v>0.18299553874923655</v>
      </c>
      <c r="U45">
        <f t="shared" si="11"/>
        <v>344.40799930224438</v>
      </c>
      <c r="V45">
        <f t="shared" si="12"/>
        <v>31.067994046603264</v>
      </c>
      <c r="W45">
        <f t="shared" si="13"/>
        <v>30.012699999999999</v>
      </c>
      <c r="X45">
        <f t="shared" si="14"/>
        <v>4.2635586631457061</v>
      </c>
      <c r="Y45">
        <f t="shared" si="15"/>
        <v>65.485883805453298</v>
      </c>
      <c r="Z45">
        <f t="shared" si="16"/>
        <v>2.82652977507975</v>
      </c>
      <c r="AA45">
        <f t="shared" si="17"/>
        <v>4.3162428462855571</v>
      </c>
      <c r="AB45">
        <f t="shared" si="18"/>
        <v>1.4370288880659561</v>
      </c>
      <c r="AC45">
        <f t="shared" si="19"/>
        <v>-192.14973296517118</v>
      </c>
      <c r="AD45">
        <f t="shared" si="20"/>
        <v>36.158878100696448</v>
      </c>
      <c r="AE45">
        <f t="shared" si="21"/>
        <v>2.5683426631546373</v>
      </c>
      <c r="AF45">
        <f t="shared" si="22"/>
        <v>190.98548710092427</v>
      </c>
      <c r="AG45">
        <v>33</v>
      </c>
      <c r="AH45">
        <v>7</v>
      </c>
      <c r="AI45">
        <f t="shared" si="23"/>
        <v>1</v>
      </c>
      <c r="AJ45">
        <f t="shared" si="24"/>
        <v>0</v>
      </c>
      <c r="AK45">
        <f t="shared" si="25"/>
        <v>52033.367000943101</v>
      </c>
      <c r="AL45" t="s">
        <v>415</v>
      </c>
      <c r="AM45">
        <v>6977.87</v>
      </c>
      <c r="AN45">
        <v>273.15280000000001</v>
      </c>
      <c r="AO45">
        <v>850.46774885301022</v>
      </c>
      <c r="AP45">
        <f t="shared" si="26"/>
        <v>0.67882050745793765</v>
      </c>
      <c r="AQ45">
        <v>-1.0323826813720729</v>
      </c>
      <c r="AR45" t="s">
        <v>540</v>
      </c>
      <c r="AS45">
        <v>7116.1</v>
      </c>
      <c r="AT45">
        <v>547.44903846153841</v>
      </c>
      <c r="AU45">
        <v>851.26878901030807</v>
      </c>
      <c r="AV45">
        <f t="shared" si="27"/>
        <v>0.3569022551643094</v>
      </c>
      <c r="AW45">
        <v>0.5</v>
      </c>
      <c r="AX45">
        <f t="shared" si="28"/>
        <v>1513.3529996511222</v>
      </c>
      <c r="AY45">
        <f t="shared" si="29"/>
        <v>47.26032871623665</v>
      </c>
      <c r="AZ45">
        <f t="shared" si="30"/>
        <v>270.05954921757893</v>
      </c>
      <c r="BA45">
        <f t="shared" si="31"/>
        <v>3.1911068606426778E-2</v>
      </c>
      <c r="BB45">
        <f t="shared" si="32"/>
        <v>-9.4099556760344029E-4</v>
      </c>
      <c r="BC45">
        <f t="shared" si="33"/>
        <v>273.23537951312841</v>
      </c>
      <c r="BD45" t="s">
        <v>541</v>
      </c>
      <c r="BE45">
        <v>420.98</v>
      </c>
      <c r="BF45">
        <f t="shared" si="34"/>
        <v>420.98</v>
      </c>
      <c r="BG45">
        <f t="shared" si="35"/>
        <v>0.50546759679814557</v>
      </c>
      <c r="BH45">
        <f t="shared" si="36"/>
        <v>0.70608335217744034</v>
      </c>
      <c r="BI45">
        <f t="shared" si="37"/>
        <v>-1.8651059533993824E-3</v>
      </c>
      <c r="BJ45">
        <f t="shared" si="38"/>
        <v>0.52553424628314926</v>
      </c>
      <c r="BK45">
        <f t="shared" si="39"/>
        <v>-1.3875271355597624E-3</v>
      </c>
      <c r="BL45">
        <f t="shared" si="40"/>
        <v>0.54296737909156489</v>
      </c>
      <c r="BM45">
        <f t="shared" si="41"/>
        <v>0.45703262090843511</v>
      </c>
      <c r="BN45">
        <v>11282</v>
      </c>
      <c r="BO45">
        <v>290.00000000000011</v>
      </c>
      <c r="BP45">
        <v>766.6</v>
      </c>
      <c r="BQ45">
        <v>295</v>
      </c>
      <c r="BR45">
        <v>7116.1</v>
      </c>
      <c r="BS45">
        <v>769</v>
      </c>
      <c r="BT45">
        <v>-2.4</v>
      </c>
      <c r="BU45">
        <v>300.00000000000011</v>
      </c>
      <c r="BV45">
        <v>38.299999999999997</v>
      </c>
      <c r="BW45">
        <v>851.26878901030807</v>
      </c>
      <c r="BX45">
        <v>1.5178150499846219</v>
      </c>
      <c r="BY45">
        <v>-58.540430642495551</v>
      </c>
      <c r="BZ45">
        <v>0.90536913776396533</v>
      </c>
      <c r="CA45">
        <v>0.99334728852811593</v>
      </c>
      <c r="CB45">
        <v>-7.0166812013348276E-3</v>
      </c>
      <c r="CC45">
        <v>289.99999999999989</v>
      </c>
      <c r="CD45">
        <v>780.43</v>
      </c>
      <c r="CE45">
        <v>815</v>
      </c>
      <c r="CF45">
        <v>7107.84</v>
      </c>
      <c r="CG45">
        <v>768.91</v>
      </c>
      <c r="CH45">
        <v>11.52</v>
      </c>
      <c r="CV45">
        <f t="shared" si="42"/>
        <v>1800.2</v>
      </c>
      <c r="CW45">
        <f t="shared" si="43"/>
        <v>1513.3529996511222</v>
      </c>
      <c r="CX45">
        <f t="shared" si="44"/>
        <v>0.84065825999951238</v>
      </c>
      <c r="CY45">
        <f t="shared" si="45"/>
        <v>0.19131651999902477</v>
      </c>
      <c r="CZ45">
        <v>5</v>
      </c>
      <c r="DA45">
        <v>0.5</v>
      </c>
      <c r="DB45" t="s">
        <v>418</v>
      </c>
      <c r="DC45">
        <v>2</v>
      </c>
      <c r="DD45">
        <v>1700153429.5999999</v>
      </c>
      <c r="DE45">
        <v>401.01600000000002</v>
      </c>
      <c r="DF45">
        <v>450</v>
      </c>
      <c r="DG45">
        <v>28.435500000000001</v>
      </c>
      <c r="DH45">
        <v>24.2043</v>
      </c>
      <c r="DI45">
        <v>401.572</v>
      </c>
      <c r="DJ45">
        <v>28.438099999999999</v>
      </c>
      <c r="DK45">
        <v>500.24099999999999</v>
      </c>
      <c r="DL45">
        <v>99.301699999999997</v>
      </c>
      <c r="DM45">
        <v>9.97445E-2</v>
      </c>
      <c r="DN45">
        <v>30.226700000000001</v>
      </c>
      <c r="DO45">
        <v>30.012699999999999</v>
      </c>
      <c r="DP45">
        <v>999.9</v>
      </c>
      <c r="DQ45">
        <v>0</v>
      </c>
      <c r="DR45">
        <v>0</v>
      </c>
      <c r="DS45">
        <v>10016.9</v>
      </c>
      <c r="DT45">
        <v>0</v>
      </c>
      <c r="DU45">
        <v>481.44799999999998</v>
      </c>
      <c r="DV45">
        <v>-48.984299999999998</v>
      </c>
      <c r="DW45">
        <v>412.75299999999999</v>
      </c>
      <c r="DX45">
        <v>461.16199999999998</v>
      </c>
      <c r="DY45">
        <v>4.2311699999999997</v>
      </c>
      <c r="DZ45">
        <v>450</v>
      </c>
      <c r="EA45">
        <v>24.2043</v>
      </c>
      <c r="EB45">
        <v>2.82369</v>
      </c>
      <c r="EC45">
        <v>2.4035299999999999</v>
      </c>
      <c r="ED45">
        <v>23.023199999999999</v>
      </c>
      <c r="EE45">
        <v>20.387599999999999</v>
      </c>
      <c r="EF45">
        <v>1800.2</v>
      </c>
      <c r="EG45">
        <v>0.97799800000000003</v>
      </c>
      <c r="EH45">
        <v>2.2002000000000001E-2</v>
      </c>
      <c r="EI45">
        <v>0</v>
      </c>
      <c r="EJ45">
        <v>547.23199999999997</v>
      </c>
      <c r="EK45">
        <v>5.0005300000000004</v>
      </c>
      <c r="EL45">
        <v>12026.7</v>
      </c>
      <c r="EM45">
        <v>16037.1</v>
      </c>
      <c r="EN45">
        <v>49.125</v>
      </c>
      <c r="EO45">
        <v>50.561999999999998</v>
      </c>
      <c r="EP45">
        <v>49.811999999999998</v>
      </c>
      <c r="EQ45">
        <v>49.875</v>
      </c>
      <c r="ER45">
        <v>50.25</v>
      </c>
      <c r="ES45">
        <v>1755.7</v>
      </c>
      <c r="ET45">
        <v>39.5</v>
      </c>
      <c r="EU45">
        <v>0</v>
      </c>
      <c r="EV45">
        <v>1264.400000095367</v>
      </c>
      <c r="EW45">
        <v>0</v>
      </c>
      <c r="EX45">
        <v>547.44903846153841</v>
      </c>
      <c r="EY45">
        <v>0.49494018209414731</v>
      </c>
      <c r="EZ45">
        <v>203.1111116731104</v>
      </c>
      <c r="FA45">
        <v>11989.54615384615</v>
      </c>
      <c r="FB45">
        <v>15</v>
      </c>
      <c r="FC45">
        <v>1700153401.0999999</v>
      </c>
      <c r="FD45" t="s">
        <v>542</v>
      </c>
      <c r="FE45">
        <v>1700153401.0999999</v>
      </c>
      <c r="FF45">
        <v>1700153393.5999999</v>
      </c>
      <c r="FG45">
        <v>32</v>
      </c>
      <c r="FH45">
        <v>3.6999999999999998E-2</v>
      </c>
      <c r="FI45">
        <v>-2E-3</v>
      </c>
      <c r="FJ45">
        <v>-0.56399999999999995</v>
      </c>
      <c r="FK45">
        <v>-3.0000000000000001E-3</v>
      </c>
      <c r="FL45">
        <v>450</v>
      </c>
      <c r="FM45">
        <v>24</v>
      </c>
      <c r="FN45">
        <v>0.03</v>
      </c>
      <c r="FO45">
        <v>0.14000000000000001</v>
      </c>
      <c r="FP45">
        <v>47.27391004987772</v>
      </c>
      <c r="FQ45">
        <v>-0.55047324567282752</v>
      </c>
      <c r="FR45">
        <v>5.5849536833640308E-2</v>
      </c>
      <c r="FS45">
        <v>1</v>
      </c>
      <c r="FT45">
        <v>0.30155796784447542</v>
      </c>
      <c r="FU45">
        <v>4.2868882695845843E-2</v>
      </c>
      <c r="FV45">
        <v>3.188540211302712E-3</v>
      </c>
      <c r="FW45">
        <v>1</v>
      </c>
      <c r="FX45">
        <v>2</v>
      </c>
      <c r="FY45">
        <v>2</v>
      </c>
      <c r="FZ45" t="s">
        <v>420</v>
      </c>
      <c r="GA45">
        <v>3.1269100000000001</v>
      </c>
      <c r="GB45">
        <v>2.7667899999999999</v>
      </c>
      <c r="GC45">
        <v>8.8824799999999995E-2</v>
      </c>
      <c r="GD45">
        <v>9.6889600000000006E-2</v>
      </c>
      <c r="GE45">
        <v>0.12045</v>
      </c>
      <c r="GF45">
        <v>0.107804</v>
      </c>
      <c r="GG45">
        <v>21657.599999999999</v>
      </c>
      <c r="GH45">
        <v>22334.799999999999</v>
      </c>
      <c r="GI45">
        <v>23640.3</v>
      </c>
      <c r="GJ45">
        <v>25056.2</v>
      </c>
      <c r="GK45">
        <v>29948.5</v>
      </c>
      <c r="GL45">
        <v>31341.5</v>
      </c>
      <c r="GM45">
        <v>37688.400000000001</v>
      </c>
      <c r="GN45">
        <v>39001</v>
      </c>
      <c r="GO45">
        <v>2.01397</v>
      </c>
      <c r="GP45">
        <v>1.7344999999999999</v>
      </c>
      <c r="GQ45">
        <v>-1.07102E-2</v>
      </c>
      <c r="GR45">
        <v>0</v>
      </c>
      <c r="GS45">
        <v>30.186900000000001</v>
      </c>
      <c r="GT45">
        <v>999.9</v>
      </c>
      <c r="GU45">
        <v>37.799999999999997</v>
      </c>
      <c r="GV45">
        <v>40.799999999999997</v>
      </c>
      <c r="GW45">
        <v>29.4499</v>
      </c>
      <c r="GX45">
        <v>60.283700000000003</v>
      </c>
      <c r="GY45">
        <v>26.850999999999999</v>
      </c>
      <c r="GZ45">
        <v>1</v>
      </c>
      <c r="HA45">
        <v>0.70461099999999999</v>
      </c>
      <c r="HB45">
        <v>2.9977100000000001</v>
      </c>
      <c r="HC45">
        <v>20.292300000000001</v>
      </c>
      <c r="HD45">
        <v>5.2518799999999999</v>
      </c>
      <c r="HE45">
        <v>12.0099</v>
      </c>
      <c r="HF45">
        <v>4.9786999999999999</v>
      </c>
      <c r="HG45">
        <v>3.2930000000000001</v>
      </c>
      <c r="HH45">
        <v>9999</v>
      </c>
      <c r="HI45">
        <v>9999</v>
      </c>
      <c r="HJ45">
        <v>9999</v>
      </c>
      <c r="HK45">
        <v>999.9</v>
      </c>
      <c r="HL45">
        <v>1.8760699999999999</v>
      </c>
      <c r="HM45">
        <v>1.8769899999999999</v>
      </c>
      <c r="HN45">
        <v>1.88324</v>
      </c>
      <c r="HO45">
        <v>1.88632</v>
      </c>
      <c r="HP45">
        <v>1.87714</v>
      </c>
      <c r="HQ45">
        <v>1.8835900000000001</v>
      </c>
      <c r="HR45">
        <v>1.8826099999999999</v>
      </c>
      <c r="HS45">
        <v>1.8859900000000001</v>
      </c>
      <c r="HT45">
        <v>5</v>
      </c>
      <c r="HU45">
        <v>0</v>
      </c>
      <c r="HV45">
        <v>0</v>
      </c>
      <c r="HW45">
        <v>0</v>
      </c>
      <c r="HX45" t="s">
        <v>421</v>
      </c>
      <c r="HY45" t="s">
        <v>422</v>
      </c>
      <c r="HZ45" t="s">
        <v>423</v>
      </c>
      <c r="IA45" t="s">
        <v>424</v>
      </c>
      <c r="IB45" t="s">
        <v>424</v>
      </c>
      <c r="IC45" t="s">
        <v>423</v>
      </c>
      <c r="ID45">
        <v>0</v>
      </c>
      <c r="IE45">
        <v>100</v>
      </c>
      <c r="IF45">
        <v>100</v>
      </c>
      <c r="IG45">
        <v>-0.55600000000000005</v>
      </c>
      <c r="IH45">
        <v>-2.5999999999999999E-3</v>
      </c>
      <c r="II45">
        <v>-0.53766029629306933</v>
      </c>
      <c r="IJ45">
        <v>4.4610147972834149E-5</v>
      </c>
      <c r="IK45">
        <v>-2.082673137682459E-7</v>
      </c>
      <c r="IL45">
        <v>-4.0725795306076518E-11</v>
      </c>
      <c r="IM45">
        <v>-2.5800000000018031E-3</v>
      </c>
      <c r="IN45">
        <v>0</v>
      </c>
      <c r="IO45">
        <v>0</v>
      </c>
      <c r="IP45">
        <v>0</v>
      </c>
      <c r="IQ45">
        <v>3</v>
      </c>
      <c r="IR45">
        <v>2179</v>
      </c>
      <c r="IS45">
        <v>0</v>
      </c>
      <c r="IT45">
        <v>22</v>
      </c>
      <c r="IU45">
        <v>0.5</v>
      </c>
      <c r="IV45">
        <v>0.6</v>
      </c>
      <c r="IW45">
        <v>1.1230500000000001</v>
      </c>
      <c r="IX45">
        <v>2.7075200000000001</v>
      </c>
      <c r="IY45">
        <v>1.6015600000000001</v>
      </c>
      <c r="IZ45">
        <v>2.32422</v>
      </c>
      <c r="JA45">
        <v>1.5502899999999999</v>
      </c>
      <c r="JB45">
        <v>2.3034699999999999</v>
      </c>
      <c r="JC45">
        <v>46.210799999999999</v>
      </c>
      <c r="JD45">
        <v>23.973700000000001</v>
      </c>
      <c r="JE45">
        <v>18</v>
      </c>
      <c r="JF45">
        <v>531.45399999999995</v>
      </c>
      <c r="JG45">
        <v>384.036</v>
      </c>
      <c r="JH45">
        <v>27.0289</v>
      </c>
      <c r="JI45">
        <v>35.683399999999999</v>
      </c>
      <c r="JJ45">
        <v>30.0002</v>
      </c>
      <c r="JK45">
        <v>35.774900000000002</v>
      </c>
      <c r="JL45">
        <v>35.770499999999998</v>
      </c>
      <c r="JM45">
        <v>22.462299999999999</v>
      </c>
      <c r="JN45">
        <v>22.329599999999999</v>
      </c>
      <c r="JO45">
        <v>46.642099999999999</v>
      </c>
      <c r="JP45">
        <v>27.011600000000001</v>
      </c>
      <c r="JQ45">
        <v>450</v>
      </c>
      <c r="JR45">
        <v>24.0868</v>
      </c>
      <c r="JS45">
        <v>98.296199999999999</v>
      </c>
      <c r="JT45">
        <v>98.691400000000002</v>
      </c>
    </row>
    <row r="46" spans="1:280" x14ac:dyDescent="0.25">
      <c r="A46">
        <v>30</v>
      </c>
      <c r="B46">
        <v>1700153533.0999999</v>
      </c>
      <c r="C46">
        <v>5659.5999999046326</v>
      </c>
      <c r="D46" t="s">
        <v>543</v>
      </c>
      <c r="E46" t="s">
        <v>544</v>
      </c>
      <c r="F46" t="s">
        <v>412</v>
      </c>
      <c r="G46" t="s">
        <v>539</v>
      </c>
      <c r="H46" t="s">
        <v>31</v>
      </c>
      <c r="I46">
        <v>1700153533.0999999</v>
      </c>
      <c r="J46">
        <f t="shared" si="0"/>
        <v>3.4933366917498389E-3</v>
      </c>
      <c r="K46">
        <f t="shared" si="1"/>
        <v>3.493336691749839</v>
      </c>
      <c r="L46">
        <f t="shared" si="2"/>
        <v>53.069023957432016</v>
      </c>
      <c r="M46">
        <f t="shared" si="3"/>
        <v>1441.92</v>
      </c>
      <c r="N46">
        <f t="shared" si="4"/>
        <v>1036.6684410013743</v>
      </c>
      <c r="O46">
        <f t="shared" si="5"/>
        <v>103.04711230275396</v>
      </c>
      <c r="P46">
        <f t="shared" si="6"/>
        <v>143.33000436288003</v>
      </c>
      <c r="Q46">
        <f t="shared" si="7"/>
        <v>0.23469330838529207</v>
      </c>
      <c r="R46">
        <f t="shared" si="8"/>
        <v>3.1242950680480748</v>
      </c>
      <c r="S46">
        <f t="shared" si="9"/>
        <v>0.22532046358176744</v>
      </c>
      <c r="T46">
        <f t="shared" si="10"/>
        <v>0.1416362125086241</v>
      </c>
      <c r="U46">
        <f t="shared" si="11"/>
        <v>344.3281993020816</v>
      </c>
      <c r="V46">
        <f t="shared" si="12"/>
        <v>31.222963639242025</v>
      </c>
      <c r="W46">
        <f t="shared" si="13"/>
        <v>30.082999999999998</v>
      </c>
      <c r="X46">
        <f t="shared" si="14"/>
        <v>4.2808035067996828</v>
      </c>
      <c r="Y46">
        <f t="shared" si="15"/>
        <v>64.961068955278293</v>
      </c>
      <c r="Z46">
        <f t="shared" si="16"/>
        <v>2.7945335002326002</v>
      </c>
      <c r="AA46">
        <f t="shared" si="17"/>
        <v>4.3018588597371528</v>
      </c>
      <c r="AB46">
        <f t="shared" si="18"/>
        <v>1.4862700065670826</v>
      </c>
      <c r="AC46">
        <f t="shared" si="19"/>
        <v>-154.05614810616791</v>
      </c>
      <c r="AD46">
        <f t="shared" si="20"/>
        <v>14.401363133086514</v>
      </c>
      <c r="AE46">
        <f t="shared" si="21"/>
        <v>1.0261982412496473</v>
      </c>
      <c r="AF46">
        <f t="shared" si="22"/>
        <v>205.69961257024983</v>
      </c>
      <c r="AG46">
        <v>32</v>
      </c>
      <c r="AH46">
        <v>6</v>
      </c>
      <c r="AI46">
        <f t="shared" si="23"/>
        <v>1</v>
      </c>
      <c r="AJ46">
        <f t="shared" si="24"/>
        <v>0</v>
      </c>
      <c r="AK46">
        <f t="shared" si="25"/>
        <v>51794.072188915779</v>
      </c>
      <c r="AL46" t="s">
        <v>427</v>
      </c>
      <c r="AM46" t="s">
        <v>427</v>
      </c>
      <c r="AN46">
        <v>0</v>
      </c>
      <c r="AO46">
        <v>0</v>
      </c>
      <c r="AP46" t="e">
        <f t="shared" si="26"/>
        <v>#DIV/0!</v>
      </c>
      <c r="AQ46">
        <v>0</v>
      </c>
      <c r="AR46" t="s">
        <v>427</v>
      </c>
      <c r="AS46" t="s">
        <v>427</v>
      </c>
      <c r="AT46">
        <v>0</v>
      </c>
      <c r="AU46">
        <v>0</v>
      </c>
      <c r="AV46" t="e">
        <f t="shared" si="27"/>
        <v>#DIV/0!</v>
      </c>
      <c r="AW46">
        <v>0.5</v>
      </c>
      <c r="AX46">
        <f t="shared" si="28"/>
        <v>1513.0001996510407</v>
      </c>
      <c r="AY46">
        <f t="shared" si="29"/>
        <v>53.069023957432016</v>
      </c>
      <c r="AZ46" t="e">
        <f t="shared" si="30"/>
        <v>#DIV/0!</v>
      </c>
      <c r="BA46">
        <f t="shared" si="31"/>
        <v>3.507535819867829E-2</v>
      </c>
      <c r="BB46" t="e">
        <f t="shared" si="32"/>
        <v>#DIV/0!</v>
      </c>
      <c r="BC46" t="e">
        <f t="shared" si="33"/>
        <v>#DIV/0!</v>
      </c>
      <c r="BD46" t="s">
        <v>427</v>
      </c>
      <c r="BE46">
        <v>0</v>
      </c>
      <c r="BF46" t="e">
        <f t="shared" si="34"/>
        <v>#DIV/0!</v>
      </c>
      <c r="BG46" t="e">
        <f t="shared" si="35"/>
        <v>#DIV/0!</v>
      </c>
      <c r="BH46" t="e">
        <f t="shared" si="36"/>
        <v>#DIV/0!</v>
      </c>
      <c r="BI46" t="e">
        <f t="shared" si="37"/>
        <v>#DIV/0!</v>
      </c>
      <c r="BJ46" t="e">
        <f t="shared" si="38"/>
        <v>#DIV/0!</v>
      </c>
      <c r="BK46" t="e">
        <f t="shared" si="39"/>
        <v>#DIV/0!</v>
      </c>
      <c r="BL46" t="e">
        <f t="shared" si="40"/>
        <v>#DIV/0!</v>
      </c>
      <c r="BM46" t="e">
        <f t="shared" si="41"/>
        <v>#DIV/0!</v>
      </c>
      <c r="BN46">
        <v>11282</v>
      </c>
      <c r="BO46">
        <v>290.00000000000011</v>
      </c>
      <c r="BP46">
        <v>766.6</v>
      </c>
      <c r="BQ46">
        <v>295</v>
      </c>
      <c r="BR46">
        <v>7116.1</v>
      </c>
      <c r="BS46">
        <v>769</v>
      </c>
      <c r="BT46">
        <v>-2.4</v>
      </c>
      <c r="BU46">
        <v>300.00000000000011</v>
      </c>
      <c r="BV46">
        <v>38.299999999999997</v>
      </c>
      <c r="BW46">
        <v>851.26878901030807</v>
      </c>
      <c r="BX46">
        <v>1.5178150499846219</v>
      </c>
      <c r="BY46">
        <v>-58.540430642495551</v>
      </c>
      <c r="BZ46">
        <v>0.90536913776396533</v>
      </c>
      <c r="CA46">
        <v>0.99334728852811593</v>
      </c>
      <c r="CB46">
        <v>-7.0166812013348276E-3</v>
      </c>
      <c r="CC46">
        <v>289.99999999999989</v>
      </c>
      <c r="CD46">
        <v>780.43</v>
      </c>
      <c r="CE46">
        <v>815</v>
      </c>
      <c r="CF46">
        <v>7107.84</v>
      </c>
      <c r="CG46">
        <v>768.91</v>
      </c>
      <c r="CH46">
        <v>11.52</v>
      </c>
      <c r="CV46">
        <f t="shared" si="42"/>
        <v>1799.78</v>
      </c>
      <c r="CW46">
        <f t="shared" si="43"/>
        <v>1513.0001996510407</v>
      </c>
      <c r="CX46">
        <f t="shared" si="44"/>
        <v>0.84065841361224192</v>
      </c>
      <c r="CY46">
        <f t="shared" si="45"/>
        <v>0.19131682722448387</v>
      </c>
      <c r="CZ46">
        <v>5</v>
      </c>
      <c r="DA46">
        <v>0.5</v>
      </c>
      <c r="DB46" t="s">
        <v>418</v>
      </c>
      <c r="DC46">
        <v>2</v>
      </c>
      <c r="DD46">
        <v>1700153533.0999999</v>
      </c>
      <c r="DE46">
        <v>1441.92</v>
      </c>
      <c r="DF46">
        <v>1500</v>
      </c>
      <c r="DG46">
        <v>28.113399999999999</v>
      </c>
      <c r="DH46">
        <v>24.719799999999999</v>
      </c>
      <c r="DI46">
        <v>1442.57</v>
      </c>
      <c r="DJ46">
        <v>28.115400000000001</v>
      </c>
      <c r="DK46">
        <v>500.22500000000002</v>
      </c>
      <c r="DL46">
        <v>99.3018</v>
      </c>
      <c r="DM46">
        <v>0.10038900000000001</v>
      </c>
      <c r="DN46">
        <v>30.168500000000002</v>
      </c>
      <c r="DO46">
        <v>30.082999999999998</v>
      </c>
      <c r="DP46">
        <v>999.9</v>
      </c>
      <c r="DQ46">
        <v>0</v>
      </c>
      <c r="DR46">
        <v>0</v>
      </c>
      <c r="DS46">
        <v>9966.8799999999992</v>
      </c>
      <c r="DT46">
        <v>0</v>
      </c>
      <c r="DU46">
        <v>483.42500000000001</v>
      </c>
      <c r="DV46">
        <v>-58.080100000000002</v>
      </c>
      <c r="DW46">
        <v>1483.63</v>
      </c>
      <c r="DX46">
        <v>1538.02</v>
      </c>
      <c r="DY46">
        <v>3.3936000000000002</v>
      </c>
      <c r="DZ46">
        <v>1500</v>
      </c>
      <c r="EA46">
        <v>24.719799999999999</v>
      </c>
      <c r="EB46">
        <v>2.7917100000000001</v>
      </c>
      <c r="EC46">
        <v>2.45472</v>
      </c>
      <c r="ED46">
        <v>22.835100000000001</v>
      </c>
      <c r="EE46">
        <v>20.729299999999999</v>
      </c>
      <c r="EF46">
        <v>1799.78</v>
      </c>
      <c r="EG46">
        <v>0.97799400000000003</v>
      </c>
      <c r="EH46">
        <v>2.20056E-2</v>
      </c>
      <c r="EI46">
        <v>0</v>
      </c>
      <c r="EJ46">
        <v>544.30499999999995</v>
      </c>
      <c r="EK46">
        <v>5.0005300000000004</v>
      </c>
      <c r="EL46">
        <v>11723.9</v>
      </c>
      <c r="EM46">
        <v>16033.3</v>
      </c>
      <c r="EN46">
        <v>49.186999999999998</v>
      </c>
      <c r="EO46">
        <v>50.625</v>
      </c>
      <c r="EP46">
        <v>49.875</v>
      </c>
      <c r="EQ46">
        <v>49.875</v>
      </c>
      <c r="ER46">
        <v>50.311999999999998</v>
      </c>
      <c r="ES46">
        <v>1755.28</v>
      </c>
      <c r="ET46">
        <v>39.5</v>
      </c>
      <c r="EU46">
        <v>0</v>
      </c>
      <c r="EV46">
        <v>101.3999998569489</v>
      </c>
      <c r="EW46">
        <v>0</v>
      </c>
      <c r="EX46">
        <v>544.54653846153838</v>
      </c>
      <c r="EY46">
        <v>-2.1576068377879061</v>
      </c>
      <c r="EZ46">
        <v>104.26324807971601</v>
      </c>
      <c r="FA46">
        <v>11713.98076923077</v>
      </c>
      <c r="FB46">
        <v>15</v>
      </c>
      <c r="FC46">
        <v>1700153506.0999999</v>
      </c>
      <c r="FD46" t="s">
        <v>545</v>
      </c>
      <c r="FE46">
        <v>1700153506.0999999</v>
      </c>
      <c r="FF46">
        <v>1700153497.0999999</v>
      </c>
      <c r="FG46">
        <v>33</v>
      </c>
      <c r="FH46">
        <v>0.38400000000000001</v>
      </c>
      <c r="FI46">
        <v>1E-3</v>
      </c>
      <c r="FJ46">
        <v>-0.69499999999999995</v>
      </c>
      <c r="FK46">
        <v>-2E-3</v>
      </c>
      <c r="FL46">
        <v>1501</v>
      </c>
      <c r="FM46">
        <v>24</v>
      </c>
      <c r="FN46">
        <v>0.02</v>
      </c>
      <c r="FO46">
        <v>0.03</v>
      </c>
      <c r="FP46">
        <v>52.95144743172785</v>
      </c>
      <c r="FQ46">
        <v>-0.58416673974052336</v>
      </c>
      <c r="FR46">
        <v>0.17046929862967911</v>
      </c>
      <c r="FS46">
        <v>1</v>
      </c>
      <c r="FT46">
        <v>0.2382138429156582</v>
      </c>
      <c r="FU46">
        <v>-5.859652465178884E-3</v>
      </c>
      <c r="FV46">
        <v>1.624402704935286E-3</v>
      </c>
      <c r="FW46">
        <v>1</v>
      </c>
      <c r="FX46">
        <v>2</v>
      </c>
      <c r="FY46">
        <v>2</v>
      </c>
      <c r="FZ46" t="s">
        <v>420</v>
      </c>
      <c r="GA46">
        <v>3.1267999999999998</v>
      </c>
      <c r="GB46">
        <v>2.7669800000000002</v>
      </c>
      <c r="GC46">
        <v>0.21077699999999999</v>
      </c>
      <c r="GD46">
        <v>0.215562</v>
      </c>
      <c r="GE46">
        <v>0.11951000000000001</v>
      </c>
      <c r="GF46">
        <v>0.10942</v>
      </c>
      <c r="GG46">
        <v>18752.900000000001</v>
      </c>
      <c r="GH46">
        <v>19392.8</v>
      </c>
      <c r="GI46">
        <v>23639.9</v>
      </c>
      <c r="GJ46">
        <v>25055.8</v>
      </c>
      <c r="GK46">
        <v>29979.9</v>
      </c>
      <c r="GL46">
        <v>31283.7</v>
      </c>
      <c r="GM46">
        <v>37688</v>
      </c>
      <c r="GN46">
        <v>39000</v>
      </c>
      <c r="GO46">
        <v>2.0150700000000001</v>
      </c>
      <c r="GP46">
        <v>1.7388999999999999</v>
      </c>
      <c r="GQ46">
        <v>-9.4175300000000003E-3</v>
      </c>
      <c r="GR46">
        <v>0</v>
      </c>
      <c r="GS46">
        <v>30.2363</v>
      </c>
      <c r="GT46">
        <v>999.9</v>
      </c>
      <c r="GU46">
        <v>37.799999999999997</v>
      </c>
      <c r="GV46">
        <v>40.9</v>
      </c>
      <c r="GW46">
        <v>29.608499999999999</v>
      </c>
      <c r="GX46">
        <v>60.473700000000001</v>
      </c>
      <c r="GY46">
        <v>26.7468</v>
      </c>
      <c r="GZ46">
        <v>1</v>
      </c>
      <c r="HA46">
        <v>0.71014699999999997</v>
      </c>
      <c r="HB46">
        <v>4.0130400000000002</v>
      </c>
      <c r="HC46">
        <v>20.271599999999999</v>
      </c>
      <c r="HD46">
        <v>5.25143</v>
      </c>
      <c r="HE46">
        <v>12.0099</v>
      </c>
      <c r="HF46">
        <v>4.9788500000000004</v>
      </c>
      <c r="HG46">
        <v>3.2930000000000001</v>
      </c>
      <c r="HH46">
        <v>9999</v>
      </c>
      <c r="HI46">
        <v>9999</v>
      </c>
      <c r="HJ46">
        <v>9999</v>
      </c>
      <c r="HK46">
        <v>999.9</v>
      </c>
      <c r="HL46">
        <v>1.87608</v>
      </c>
      <c r="HM46">
        <v>1.877</v>
      </c>
      <c r="HN46">
        <v>1.88324</v>
      </c>
      <c r="HO46">
        <v>1.88639</v>
      </c>
      <c r="HP46">
        <v>1.87714</v>
      </c>
      <c r="HQ46">
        <v>1.88367</v>
      </c>
      <c r="HR46">
        <v>1.88263</v>
      </c>
      <c r="HS46">
        <v>1.8859999999999999</v>
      </c>
      <c r="HT46">
        <v>5</v>
      </c>
      <c r="HU46">
        <v>0</v>
      </c>
      <c r="HV46">
        <v>0</v>
      </c>
      <c r="HW46">
        <v>0</v>
      </c>
      <c r="HX46" t="s">
        <v>421</v>
      </c>
      <c r="HY46" t="s">
        <v>422</v>
      </c>
      <c r="HZ46" t="s">
        <v>423</v>
      </c>
      <c r="IA46" t="s">
        <v>424</v>
      </c>
      <c r="IB46" t="s">
        <v>424</v>
      </c>
      <c r="IC46" t="s">
        <v>423</v>
      </c>
      <c r="ID46">
        <v>0</v>
      </c>
      <c r="IE46">
        <v>100</v>
      </c>
      <c r="IF46">
        <v>100</v>
      </c>
      <c r="IG46">
        <v>-0.65</v>
      </c>
      <c r="IH46">
        <v>-2E-3</v>
      </c>
      <c r="II46">
        <v>-0.1543524667140399</v>
      </c>
      <c r="IJ46">
        <v>4.4610147972834149E-5</v>
      </c>
      <c r="IK46">
        <v>-2.082673137682459E-7</v>
      </c>
      <c r="IL46">
        <v>-4.0725795306076518E-11</v>
      </c>
      <c r="IM46">
        <v>-2.0649999999982072E-3</v>
      </c>
      <c r="IN46">
        <v>0</v>
      </c>
      <c r="IO46">
        <v>0</v>
      </c>
      <c r="IP46">
        <v>0</v>
      </c>
      <c r="IQ46">
        <v>3</v>
      </c>
      <c r="IR46">
        <v>2179</v>
      </c>
      <c r="IS46">
        <v>0</v>
      </c>
      <c r="IT46">
        <v>22</v>
      </c>
      <c r="IU46">
        <v>0.5</v>
      </c>
      <c r="IV46">
        <v>0.6</v>
      </c>
      <c r="IW46">
        <v>2.99072</v>
      </c>
      <c r="IX46">
        <v>2.6709000000000001</v>
      </c>
      <c r="IY46">
        <v>1.6015600000000001</v>
      </c>
      <c r="IZ46">
        <v>2.323</v>
      </c>
      <c r="JA46">
        <v>1.5502899999999999</v>
      </c>
      <c r="JB46">
        <v>2.36572</v>
      </c>
      <c r="JC46">
        <v>46.181800000000003</v>
      </c>
      <c r="JD46">
        <v>23.982399999999998</v>
      </c>
      <c r="JE46">
        <v>18</v>
      </c>
      <c r="JF46">
        <v>531.94799999999998</v>
      </c>
      <c r="JG46">
        <v>386.59100000000001</v>
      </c>
      <c r="JH46">
        <v>26.413399999999999</v>
      </c>
      <c r="JI46">
        <v>35.667900000000003</v>
      </c>
      <c r="JJ46">
        <v>30.000699999999998</v>
      </c>
      <c r="JK46">
        <v>35.745399999999997</v>
      </c>
      <c r="JL46">
        <v>35.7408</v>
      </c>
      <c r="JM46">
        <v>59.866500000000002</v>
      </c>
      <c r="JN46">
        <v>19.3782</v>
      </c>
      <c r="JO46">
        <v>46.827500000000001</v>
      </c>
      <c r="JP46">
        <v>26.329000000000001</v>
      </c>
      <c r="JQ46">
        <v>1500</v>
      </c>
      <c r="JR46">
        <v>24.869900000000001</v>
      </c>
      <c r="JS46">
        <v>98.294799999999995</v>
      </c>
      <c r="JT46">
        <v>98.689099999999996</v>
      </c>
    </row>
    <row r="47" spans="1:280" x14ac:dyDescent="0.25">
      <c r="A47">
        <v>31</v>
      </c>
      <c r="B47">
        <v>1700153655.0999999</v>
      </c>
      <c r="C47">
        <v>5781.5999999046326</v>
      </c>
      <c r="D47" t="s">
        <v>546</v>
      </c>
      <c r="E47" t="s">
        <v>547</v>
      </c>
      <c r="F47" t="s">
        <v>412</v>
      </c>
      <c r="G47" t="s">
        <v>539</v>
      </c>
      <c r="H47" t="s">
        <v>31</v>
      </c>
      <c r="I47">
        <v>1700153655.0999999</v>
      </c>
      <c r="J47">
        <f t="shared" si="0"/>
        <v>3.0976309021440401E-3</v>
      </c>
      <c r="K47">
        <f t="shared" si="1"/>
        <v>3.09763090214404</v>
      </c>
      <c r="L47">
        <f t="shared" si="2"/>
        <v>52.601721783183613</v>
      </c>
      <c r="M47">
        <f t="shared" si="3"/>
        <v>1193.73</v>
      </c>
      <c r="N47">
        <f t="shared" si="4"/>
        <v>747.48515584467077</v>
      </c>
      <c r="O47">
        <f t="shared" si="5"/>
        <v>74.296304182591115</v>
      </c>
      <c r="P47">
        <f t="shared" si="6"/>
        <v>118.65082068641701</v>
      </c>
      <c r="Q47">
        <f t="shared" si="7"/>
        <v>0.20559439799576601</v>
      </c>
      <c r="R47">
        <f t="shared" si="8"/>
        <v>3.131281834228302</v>
      </c>
      <c r="S47">
        <f t="shared" si="9"/>
        <v>0.19837869748872611</v>
      </c>
      <c r="T47">
        <f t="shared" si="10"/>
        <v>0.1246138897485051</v>
      </c>
      <c r="U47">
        <f t="shared" si="11"/>
        <v>344.3655993023358</v>
      </c>
      <c r="V47">
        <f t="shared" si="12"/>
        <v>31.124627251503075</v>
      </c>
      <c r="W47">
        <f t="shared" si="13"/>
        <v>30.026900000000001</v>
      </c>
      <c r="X47">
        <f t="shared" si="14"/>
        <v>4.2670370866356979</v>
      </c>
      <c r="Y47">
        <f t="shared" si="15"/>
        <v>65.107012712721087</v>
      </c>
      <c r="Z47">
        <f t="shared" si="16"/>
        <v>2.7699504376794897</v>
      </c>
      <c r="AA47">
        <f t="shared" si="17"/>
        <v>4.2544578875115198</v>
      </c>
      <c r="AB47">
        <f t="shared" si="18"/>
        <v>1.4970866489562082</v>
      </c>
      <c r="AC47">
        <f t="shared" si="19"/>
        <v>-136.60552278455216</v>
      </c>
      <c r="AD47">
        <f t="shared" si="20"/>
        <v>-8.6770224450916622</v>
      </c>
      <c r="AE47">
        <f t="shared" si="21"/>
        <v>-0.61615903161949059</v>
      </c>
      <c r="AF47">
        <f t="shared" si="22"/>
        <v>198.46689504107249</v>
      </c>
      <c r="AG47">
        <v>33</v>
      </c>
      <c r="AH47">
        <v>7</v>
      </c>
      <c r="AI47">
        <f t="shared" si="23"/>
        <v>1</v>
      </c>
      <c r="AJ47">
        <f t="shared" si="24"/>
        <v>0</v>
      </c>
      <c r="AK47">
        <f t="shared" si="25"/>
        <v>52004.255098942267</v>
      </c>
      <c r="AL47" t="s">
        <v>415</v>
      </c>
      <c r="AM47">
        <v>6977.87</v>
      </c>
      <c r="AN47">
        <v>273.15280000000001</v>
      </c>
      <c r="AO47">
        <v>850.46774885301022</v>
      </c>
      <c r="AP47">
        <f t="shared" si="26"/>
        <v>0.67882050745793765</v>
      </c>
      <c r="AQ47">
        <v>-1.0323826813720729</v>
      </c>
      <c r="AR47" t="s">
        <v>548</v>
      </c>
      <c r="AS47">
        <v>7115.55</v>
      </c>
      <c r="AT47">
        <v>544.38646153846162</v>
      </c>
      <c r="AU47">
        <v>900.16897712044909</v>
      </c>
      <c r="AV47">
        <f t="shared" si="27"/>
        <v>0.39523969901751144</v>
      </c>
      <c r="AW47">
        <v>0.5</v>
      </c>
      <c r="AX47">
        <f t="shared" si="28"/>
        <v>1513.167899651168</v>
      </c>
      <c r="AY47">
        <f t="shared" si="29"/>
        <v>52.601721783183613</v>
      </c>
      <c r="AZ47">
        <f t="shared" si="30"/>
        <v>299.0320126105438</v>
      </c>
      <c r="BA47">
        <f t="shared" si="31"/>
        <v>3.5444912938557581E-2</v>
      </c>
      <c r="BB47">
        <f t="shared" si="32"/>
        <v>-5.5213220551577041E-2</v>
      </c>
      <c r="BC47">
        <f t="shared" si="33"/>
        <v>278.08416498348635</v>
      </c>
      <c r="BD47" t="s">
        <v>549</v>
      </c>
      <c r="BE47">
        <v>429.55</v>
      </c>
      <c r="BF47">
        <f t="shared" si="34"/>
        <v>429.55</v>
      </c>
      <c r="BG47">
        <f t="shared" si="35"/>
        <v>0.52281181542815691</v>
      </c>
      <c r="BH47">
        <f t="shared" si="36"/>
        <v>0.7559884596216131</v>
      </c>
      <c r="BI47">
        <f t="shared" si="37"/>
        <v>-0.11807824308400727</v>
      </c>
      <c r="BJ47">
        <f t="shared" si="38"/>
        <v>0.56742158905039231</v>
      </c>
      <c r="BK47">
        <f t="shared" si="39"/>
        <v>-8.6090319272320207E-2</v>
      </c>
      <c r="BL47">
        <f t="shared" si="40"/>
        <v>0.59651528054674252</v>
      </c>
      <c r="BM47">
        <f t="shared" si="41"/>
        <v>0.40348471945325748</v>
      </c>
      <c r="BN47">
        <v>11284</v>
      </c>
      <c r="BO47">
        <v>290.00000000000011</v>
      </c>
      <c r="BP47">
        <v>795.95</v>
      </c>
      <c r="BQ47">
        <v>285</v>
      </c>
      <c r="BR47">
        <v>7115.55</v>
      </c>
      <c r="BS47">
        <v>799.3</v>
      </c>
      <c r="BT47">
        <v>-3.35</v>
      </c>
      <c r="BU47">
        <v>300.00000000000011</v>
      </c>
      <c r="BV47">
        <v>38.299999999999997</v>
      </c>
      <c r="BW47">
        <v>900.16897712044909</v>
      </c>
      <c r="BX47">
        <v>1.8506243208915429</v>
      </c>
      <c r="BY47">
        <v>-71.772632928732122</v>
      </c>
      <c r="BZ47">
        <v>1.103795510998369</v>
      </c>
      <c r="CA47">
        <v>0.9934211358662115</v>
      </c>
      <c r="CB47">
        <v>-7.0162700778643077E-3</v>
      </c>
      <c r="CC47">
        <v>289.99999999999989</v>
      </c>
      <c r="CD47">
        <v>809.19</v>
      </c>
      <c r="CE47">
        <v>845</v>
      </c>
      <c r="CF47">
        <v>7106.71</v>
      </c>
      <c r="CG47">
        <v>799.18</v>
      </c>
      <c r="CH47">
        <v>10.01</v>
      </c>
      <c r="CV47">
        <f t="shared" si="42"/>
        <v>1799.98</v>
      </c>
      <c r="CW47">
        <f t="shared" si="43"/>
        <v>1513.167899651168</v>
      </c>
      <c r="CX47">
        <f t="shared" si="44"/>
        <v>0.84065817378591312</v>
      </c>
      <c r="CY47">
        <f t="shared" si="45"/>
        <v>0.19131634757182625</v>
      </c>
      <c r="CZ47">
        <v>5</v>
      </c>
      <c r="DA47">
        <v>0.5</v>
      </c>
      <c r="DB47" t="s">
        <v>418</v>
      </c>
      <c r="DC47">
        <v>2</v>
      </c>
      <c r="DD47">
        <v>1700153655.0999999</v>
      </c>
      <c r="DE47">
        <v>1193.73</v>
      </c>
      <c r="DF47">
        <v>1250.02</v>
      </c>
      <c r="DG47">
        <v>27.868099999999998</v>
      </c>
      <c r="DH47">
        <v>24.857299999999999</v>
      </c>
      <c r="DI47">
        <v>1194.3699999999999</v>
      </c>
      <c r="DJ47">
        <v>27.8674</v>
      </c>
      <c r="DK47">
        <v>500.084</v>
      </c>
      <c r="DL47">
        <v>99.295100000000005</v>
      </c>
      <c r="DM47">
        <v>9.9922899999999995E-2</v>
      </c>
      <c r="DN47">
        <v>29.9755</v>
      </c>
      <c r="DO47">
        <v>30.026900000000001</v>
      </c>
      <c r="DP47">
        <v>999.9</v>
      </c>
      <c r="DQ47">
        <v>0</v>
      </c>
      <c r="DR47">
        <v>0</v>
      </c>
      <c r="DS47">
        <v>10003.1</v>
      </c>
      <c r="DT47">
        <v>0</v>
      </c>
      <c r="DU47">
        <v>471.89400000000001</v>
      </c>
      <c r="DV47">
        <v>-56.289900000000003</v>
      </c>
      <c r="DW47">
        <v>1227.95</v>
      </c>
      <c r="DX47">
        <v>1281.8800000000001</v>
      </c>
      <c r="DY47">
        <v>3.0107900000000001</v>
      </c>
      <c r="DZ47">
        <v>1250.02</v>
      </c>
      <c r="EA47">
        <v>24.857299999999999</v>
      </c>
      <c r="EB47">
        <v>2.7671700000000001</v>
      </c>
      <c r="EC47">
        <v>2.46821</v>
      </c>
      <c r="ED47">
        <v>22.689499999999999</v>
      </c>
      <c r="EE47">
        <v>20.8184</v>
      </c>
      <c r="EF47">
        <v>1799.98</v>
      </c>
      <c r="EG47">
        <v>0.97799800000000003</v>
      </c>
      <c r="EH47">
        <v>2.2002000000000001E-2</v>
      </c>
      <c r="EI47">
        <v>0</v>
      </c>
      <c r="EJ47">
        <v>544.33000000000004</v>
      </c>
      <c r="EK47">
        <v>5.0005300000000004</v>
      </c>
      <c r="EL47">
        <v>11666.2</v>
      </c>
      <c r="EM47">
        <v>16035.1</v>
      </c>
      <c r="EN47">
        <v>49.186999999999998</v>
      </c>
      <c r="EO47">
        <v>50.625</v>
      </c>
      <c r="EP47">
        <v>49.875</v>
      </c>
      <c r="EQ47">
        <v>49.936999999999998</v>
      </c>
      <c r="ER47">
        <v>50.311999999999998</v>
      </c>
      <c r="ES47">
        <v>1755.49</v>
      </c>
      <c r="ET47">
        <v>39.49</v>
      </c>
      <c r="EU47">
        <v>0</v>
      </c>
      <c r="EV47">
        <v>223.79999995231631</v>
      </c>
      <c r="EW47">
        <v>0</v>
      </c>
      <c r="EX47">
        <v>544.38646153846162</v>
      </c>
      <c r="EY47">
        <v>0.90495725002973226</v>
      </c>
      <c r="EZ47">
        <v>210.44102561792681</v>
      </c>
      <c r="FA47">
        <v>11634.461538461541</v>
      </c>
      <c r="FB47">
        <v>15</v>
      </c>
      <c r="FC47">
        <v>1700153625.0999999</v>
      </c>
      <c r="FD47" t="s">
        <v>550</v>
      </c>
      <c r="FE47">
        <v>1700153625.0999999</v>
      </c>
      <c r="FF47">
        <v>1700153620.0999999</v>
      </c>
      <c r="FG47">
        <v>34</v>
      </c>
      <c r="FH47">
        <v>-0.17</v>
      </c>
      <c r="FI47">
        <v>3.0000000000000001E-3</v>
      </c>
      <c r="FJ47">
        <v>-0.67400000000000004</v>
      </c>
      <c r="FK47">
        <v>1E-3</v>
      </c>
      <c r="FL47">
        <v>1250</v>
      </c>
      <c r="FM47">
        <v>25</v>
      </c>
      <c r="FN47">
        <v>0.04</v>
      </c>
      <c r="FO47">
        <v>0.02</v>
      </c>
      <c r="FP47">
        <v>52.501513584742568</v>
      </c>
      <c r="FQ47">
        <v>-0.12111048070525079</v>
      </c>
      <c r="FR47">
        <v>0.1089838473171808</v>
      </c>
      <c r="FS47">
        <v>1</v>
      </c>
      <c r="FT47">
        <v>0.20752751306496481</v>
      </c>
      <c r="FU47">
        <v>3.2624533278417399E-4</v>
      </c>
      <c r="FV47">
        <v>7.8201193389486313E-4</v>
      </c>
      <c r="FW47">
        <v>1</v>
      </c>
      <c r="FX47">
        <v>2</v>
      </c>
      <c r="FY47">
        <v>2</v>
      </c>
      <c r="FZ47" t="s">
        <v>420</v>
      </c>
      <c r="GA47">
        <v>3.12649</v>
      </c>
      <c r="GB47">
        <v>2.7668300000000001</v>
      </c>
      <c r="GC47">
        <v>0.18784000000000001</v>
      </c>
      <c r="GD47">
        <v>0.193055</v>
      </c>
      <c r="GE47">
        <v>0.11877500000000001</v>
      </c>
      <c r="GF47">
        <v>0.109845</v>
      </c>
      <c r="GG47">
        <v>19299.8</v>
      </c>
      <c r="GH47">
        <v>19951.7</v>
      </c>
      <c r="GI47">
        <v>23639.599999999999</v>
      </c>
      <c r="GJ47">
        <v>25055.9</v>
      </c>
      <c r="GK47">
        <v>30004.400000000001</v>
      </c>
      <c r="GL47">
        <v>31269</v>
      </c>
      <c r="GM47">
        <v>37687.300000000003</v>
      </c>
      <c r="GN47">
        <v>39000.199999999997</v>
      </c>
      <c r="GO47">
        <v>2.0139499999999999</v>
      </c>
      <c r="GP47">
        <v>1.7381800000000001</v>
      </c>
      <c r="GQ47">
        <v>-6.3553500000000001E-3</v>
      </c>
      <c r="GR47">
        <v>0</v>
      </c>
      <c r="GS47">
        <v>30.130299999999998</v>
      </c>
      <c r="GT47">
        <v>999.9</v>
      </c>
      <c r="GU47">
        <v>37.700000000000003</v>
      </c>
      <c r="GV47">
        <v>40.9</v>
      </c>
      <c r="GW47">
        <v>29.531199999999998</v>
      </c>
      <c r="GX47">
        <v>60.243699999999997</v>
      </c>
      <c r="GY47">
        <v>27.235600000000002</v>
      </c>
      <c r="GZ47">
        <v>1</v>
      </c>
      <c r="HA47">
        <v>0.707175</v>
      </c>
      <c r="HB47">
        <v>3.2052999999999998</v>
      </c>
      <c r="HC47">
        <v>20.289200000000001</v>
      </c>
      <c r="HD47">
        <v>5.2520300000000004</v>
      </c>
      <c r="HE47">
        <v>12.0099</v>
      </c>
      <c r="HF47">
        <v>4.9790999999999999</v>
      </c>
      <c r="HG47">
        <v>3.2930000000000001</v>
      </c>
      <c r="HH47">
        <v>9999</v>
      </c>
      <c r="HI47">
        <v>9999</v>
      </c>
      <c r="HJ47">
        <v>9999</v>
      </c>
      <c r="HK47">
        <v>999.9</v>
      </c>
      <c r="HL47">
        <v>1.8760699999999999</v>
      </c>
      <c r="HM47">
        <v>1.8769899999999999</v>
      </c>
      <c r="HN47">
        <v>1.88324</v>
      </c>
      <c r="HO47">
        <v>1.88632</v>
      </c>
      <c r="HP47">
        <v>1.87714</v>
      </c>
      <c r="HQ47">
        <v>1.8836599999999999</v>
      </c>
      <c r="HR47">
        <v>1.8826000000000001</v>
      </c>
      <c r="HS47">
        <v>1.8859900000000001</v>
      </c>
      <c r="HT47">
        <v>5</v>
      </c>
      <c r="HU47">
        <v>0</v>
      </c>
      <c r="HV47">
        <v>0</v>
      </c>
      <c r="HW47">
        <v>0</v>
      </c>
      <c r="HX47" t="s">
        <v>421</v>
      </c>
      <c r="HY47" t="s">
        <v>422</v>
      </c>
      <c r="HZ47" t="s">
        <v>423</v>
      </c>
      <c r="IA47" t="s">
        <v>424</v>
      </c>
      <c r="IB47" t="s">
        <v>424</v>
      </c>
      <c r="IC47" t="s">
        <v>423</v>
      </c>
      <c r="ID47">
        <v>0</v>
      </c>
      <c r="IE47">
        <v>100</v>
      </c>
      <c r="IF47">
        <v>100</v>
      </c>
      <c r="IG47">
        <v>-0.64</v>
      </c>
      <c r="IH47">
        <v>6.9999999999999999E-4</v>
      </c>
      <c r="II47">
        <v>-0.32381436360705412</v>
      </c>
      <c r="IJ47">
        <v>4.4610147972834149E-5</v>
      </c>
      <c r="IK47">
        <v>-2.082673137682459E-7</v>
      </c>
      <c r="IL47">
        <v>-4.0725795306076518E-11</v>
      </c>
      <c r="IM47">
        <v>7.6500000000123691E-4</v>
      </c>
      <c r="IN47">
        <v>0</v>
      </c>
      <c r="IO47">
        <v>0</v>
      </c>
      <c r="IP47">
        <v>0</v>
      </c>
      <c r="IQ47">
        <v>3</v>
      </c>
      <c r="IR47">
        <v>2179</v>
      </c>
      <c r="IS47">
        <v>0</v>
      </c>
      <c r="IT47">
        <v>22</v>
      </c>
      <c r="IU47">
        <v>0.5</v>
      </c>
      <c r="IV47">
        <v>0.6</v>
      </c>
      <c r="IW47">
        <v>2.5805699999999998</v>
      </c>
      <c r="IX47">
        <v>2.67334</v>
      </c>
      <c r="IY47">
        <v>1.6015600000000001</v>
      </c>
      <c r="IZ47">
        <v>2.32422</v>
      </c>
      <c r="JA47">
        <v>1.5502899999999999</v>
      </c>
      <c r="JB47">
        <v>2.36938</v>
      </c>
      <c r="JC47">
        <v>46.123699999999999</v>
      </c>
      <c r="JD47">
        <v>24.017499999999998</v>
      </c>
      <c r="JE47">
        <v>18</v>
      </c>
      <c r="JF47">
        <v>531.11</v>
      </c>
      <c r="JG47">
        <v>386.03899999999999</v>
      </c>
      <c r="JH47">
        <v>26.689</v>
      </c>
      <c r="JI47">
        <v>35.681199999999997</v>
      </c>
      <c r="JJ47">
        <v>30.0001</v>
      </c>
      <c r="JK47">
        <v>35.732300000000002</v>
      </c>
      <c r="JL47">
        <v>35.724299999999999</v>
      </c>
      <c r="JM47">
        <v>51.636400000000002</v>
      </c>
      <c r="JN47">
        <v>19.341000000000001</v>
      </c>
      <c r="JO47">
        <v>47.139800000000001</v>
      </c>
      <c r="JP47">
        <v>26.685600000000001</v>
      </c>
      <c r="JQ47">
        <v>1250</v>
      </c>
      <c r="JR47">
        <v>24.810700000000001</v>
      </c>
      <c r="JS47">
        <v>98.293199999999999</v>
      </c>
      <c r="JT47">
        <v>98.689599999999999</v>
      </c>
    </row>
    <row r="48" spans="1:280" x14ac:dyDescent="0.25">
      <c r="A48">
        <v>32</v>
      </c>
      <c r="B48">
        <v>1700153756.5999999</v>
      </c>
      <c r="C48">
        <v>5883.0999999046326</v>
      </c>
      <c r="D48" t="s">
        <v>551</v>
      </c>
      <c r="E48" t="s">
        <v>552</v>
      </c>
      <c r="F48" t="s">
        <v>412</v>
      </c>
      <c r="G48" t="s">
        <v>539</v>
      </c>
      <c r="H48" t="s">
        <v>31</v>
      </c>
      <c r="I48">
        <v>1700153756.5999999</v>
      </c>
      <c r="J48">
        <f t="shared" si="0"/>
        <v>2.9160590804297852E-3</v>
      </c>
      <c r="K48">
        <f t="shared" si="1"/>
        <v>2.9160590804297852</v>
      </c>
      <c r="L48">
        <f t="shared" si="2"/>
        <v>52.013165063659052</v>
      </c>
      <c r="M48">
        <f t="shared" si="3"/>
        <v>945.15800000000002</v>
      </c>
      <c r="N48">
        <f t="shared" si="4"/>
        <v>487.55692799762249</v>
      </c>
      <c r="O48">
        <f t="shared" si="5"/>
        <v>48.461837851245733</v>
      </c>
      <c r="P48">
        <f t="shared" si="6"/>
        <v>93.946144766978023</v>
      </c>
      <c r="Q48">
        <f t="shared" si="7"/>
        <v>0.19475146691234954</v>
      </c>
      <c r="R48">
        <f t="shared" si="8"/>
        <v>3.1313233705385581</v>
      </c>
      <c r="S48">
        <f t="shared" si="9"/>
        <v>0.18826396134175138</v>
      </c>
      <c r="T48">
        <f t="shared" si="10"/>
        <v>0.11822984923231417</v>
      </c>
      <c r="U48">
        <f t="shared" si="11"/>
        <v>344.3636993023319</v>
      </c>
      <c r="V48">
        <f t="shared" si="12"/>
        <v>31.111535628750826</v>
      </c>
      <c r="W48">
        <f t="shared" si="13"/>
        <v>29.978300000000001</v>
      </c>
      <c r="X48">
        <f t="shared" si="14"/>
        <v>4.2551423024417456</v>
      </c>
      <c r="Y48">
        <f t="shared" si="15"/>
        <v>65.322428540153965</v>
      </c>
      <c r="Z48">
        <f t="shared" si="16"/>
        <v>2.7699639466716004</v>
      </c>
      <c r="AA48">
        <f t="shared" si="17"/>
        <v>4.2404485083846692</v>
      </c>
      <c r="AB48">
        <f t="shared" si="18"/>
        <v>1.4851783557701452</v>
      </c>
      <c r="AC48">
        <f t="shared" si="19"/>
        <v>-128.59820544695353</v>
      </c>
      <c r="AD48">
        <f t="shared" si="20"/>
        <v>-10.162717514259286</v>
      </c>
      <c r="AE48">
        <f t="shared" si="21"/>
        <v>-0.72127067625509056</v>
      </c>
      <c r="AF48">
        <f t="shared" si="22"/>
        <v>204.88150566486399</v>
      </c>
      <c r="AG48">
        <v>33</v>
      </c>
      <c r="AH48">
        <v>7</v>
      </c>
      <c r="AI48">
        <f t="shared" si="23"/>
        <v>1</v>
      </c>
      <c r="AJ48">
        <f t="shared" si="24"/>
        <v>0</v>
      </c>
      <c r="AK48">
        <f t="shared" si="25"/>
        <v>52015.209444246451</v>
      </c>
      <c r="AL48" t="s">
        <v>427</v>
      </c>
      <c r="AM48" t="s">
        <v>427</v>
      </c>
      <c r="AN48">
        <v>0</v>
      </c>
      <c r="AO48">
        <v>0</v>
      </c>
      <c r="AP48" t="e">
        <f t="shared" si="26"/>
        <v>#DIV/0!</v>
      </c>
      <c r="AQ48">
        <v>0</v>
      </c>
      <c r="AR48" t="s">
        <v>427</v>
      </c>
      <c r="AS48" t="s">
        <v>427</v>
      </c>
      <c r="AT48">
        <v>0</v>
      </c>
      <c r="AU48">
        <v>0</v>
      </c>
      <c r="AV48" t="e">
        <f t="shared" si="27"/>
        <v>#DIV/0!</v>
      </c>
      <c r="AW48">
        <v>0.5</v>
      </c>
      <c r="AX48">
        <f t="shared" si="28"/>
        <v>1513.159499651166</v>
      </c>
      <c r="AY48">
        <f t="shared" si="29"/>
        <v>52.013165063659052</v>
      </c>
      <c r="AZ48" t="e">
        <f t="shared" si="30"/>
        <v>#DIV/0!</v>
      </c>
      <c r="BA48">
        <f t="shared" si="31"/>
        <v>3.4373881322920574E-2</v>
      </c>
      <c r="BB48" t="e">
        <f t="shared" si="32"/>
        <v>#DIV/0!</v>
      </c>
      <c r="BC48" t="e">
        <f t="shared" si="33"/>
        <v>#DIV/0!</v>
      </c>
      <c r="BD48" t="s">
        <v>427</v>
      </c>
      <c r="BE48">
        <v>0</v>
      </c>
      <c r="BF48" t="e">
        <f t="shared" si="34"/>
        <v>#DIV/0!</v>
      </c>
      <c r="BG48" t="e">
        <f t="shared" si="35"/>
        <v>#DIV/0!</v>
      </c>
      <c r="BH48" t="e">
        <f t="shared" si="36"/>
        <v>#DIV/0!</v>
      </c>
      <c r="BI48" t="e">
        <f t="shared" si="37"/>
        <v>#DIV/0!</v>
      </c>
      <c r="BJ48" t="e">
        <f t="shared" si="38"/>
        <v>#DIV/0!</v>
      </c>
      <c r="BK48" t="e">
        <f t="shared" si="39"/>
        <v>#DIV/0!</v>
      </c>
      <c r="BL48" t="e">
        <f t="shared" si="40"/>
        <v>#DIV/0!</v>
      </c>
      <c r="BM48" t="e">
        <f t="shared" si="41"/>
        <v>#DIV/0!</v>
      </c>
      <c r="BN48">
        <v>11284</v>
      </c>
      <c r="BO48">
        <v>290.00000000000011</v>
      </c>
      <c r="BP48">
        <v>795.95</v>
      </c>
      <c r="BQ48">
        <v>285</v>
      </c>
      <c r="BR48">
        <v>7115.55</v>
      </c>
      <c r="BS48">
        <v>799.3</v>
      </c>
      <c r="BT48">
        <v>-3.35</v>
      </c>
      <c r="BU48">
        <v>300.00000000000011</v>
      </c>
      <c r="BV48">
        <v>38.299999999999997</v>
      </c>
      <c r="BW48">
        <v>900.16897712044909</v>
      </c>
      <c r="BX48">
        <v>1.8506243208915429</v>
      </c>
      <c r="BY48">
        <v>-71.772632928732122</v>
      </c>
      <c r="BZ48">
        <v>1.103795510998369</v>
      </c>
      <c r="CA48">
        <v>0.9934211358662115</v>
      </c>
      <c r="CB48">
        <v>-7.0162700778643077E-3</v>
      </c>
      <c r="CC48">
        <v>289.99999999999989</v>
      </c>
      <c r="CD48">
        <v>809.19</v>
      </c>
      <c r="CE48">
        <v>845</v>
      </c>
      <c r="CF48">
        <v>7106.71</v>
      </c>
      <c r="CG48">
        <v>799.18</v>
      </c>
      <c r="CH48">
        <v>10.01</v>
      </c>
      <c r="CV48">
        <f t="shared" si="42"/>
        <v>1799.97</v>
      </c>
      <c r="CW48">
        <f t="shared" si="43"/>
        <v>1513.159499651166</v>
      </c>
      <c r="CX48">
        <f t="shared" si="44"/>
        <v>0.84065817744249405</v>
      </c>
      <c r="CY48">
        <f t="shared" si="45"/>
        <v>0.19131635488498802</v>
      </c>
      <c r="CZ48">
        <v>5</v>
      </c>
      <c r="DA48">
        <v>0.5</v>
      </c>
      <c r="DB48" t="s">
        <v>418</v>
      </c>
      <c r="DC48">
        <v>2</v>
      </c>
      <c r="DD48">
        <v>1700153756.5999999</v>
      </c>
      <c r="DE48">
        <v>945.15800000000002</v>
      </c>
      <c r="DF48">
        <v>999.91</v>
      </c>
      <c r="DG48">
        <v>27.867599999999999</v>
      </c>
      <c r="DH48">
        <v>25.0337</v>
      </c>
      <c r="DI48">
        <v>945.75</v>
      </c>
      <c r="DJ48">
        <v>27.8675</v>
      </c>
      <c r="DK48">
        <v>500.15800000000002</v>
      </c>
      <c r="DL48">
        <v>99.297200000000004</v>
      </c>
      <c r="DM48">
        <v>0.100091</v>
      </c>
      <c r="DN48">
        <v>29.918099999999999</v>
      </c>
      <c r="DO48">
        <v>29.978300000000001</v>
      </c>
      <c r="DP48">
        <v>999.9</v>
      </c>
      <c r="DQ48">
        <v>0</v>
      </c>
      <c r="DR48">
        <v>0</v>
      </c>
      <c r="DS48">
        <v>10003.1</v>
      </c>
      <c r="DT48">
        <v>0</v>
      </c>
      <c r="DU48">
        <v>545.89499999999998</v>
      </c>
      <c r="DV48">
        <v>-54.7515</v>
      </c>
      <c r="DW48">
        <v>972.25300000000004</v>
      </c>
      <c r="DX48">
        <v>1025.58</v>
      </c>
      <c r="DY48">
        <v>2.8338999999999999</v>
      </c>
      <c r="DZ48">
        <v>999.91</v>
      </c>
      <c r="EA48">
        <v>25.0337</v>
      </c>
      <c r="EB48">
        <v>2.7671800000000002</v>
      </c>
      <c r="EC48">
        <v>2.4857800000000001</v>
      </c>
      <c r="ED48">
        <v>22.689599999999999</v>
      </c>
      <c r="EE48">
        <v>20.933700000000002</v>
      </c>
      <c r="EF48">
        <v>1799.97</v>
      </c>
      <c r="EG48">
        <v>0.97799800000000003</v>
      </c>
      <c r="EH48">
        <v>2.2002000000000001E-2</v>
      </c>
      <c r="EI48">
        <v>0</v>
      </c>
      <c r="EJ48">
        <v>544.55100000000004</v>
      </c>
      <c r="EK48">
        <v>5.0005300000000004</v>
      </c>
      <c r="EL48">
        <v>11833.8</v>
      </c>
      <c r="EM48">
        <v>16035</v>
      </c>
      <c r="EN48">
        <v>49.25</v>
      </c>
      <c r="EO48">
        <v>50.625</v>
      </c>
      <c r="EP48">
        <v>49.936999999999998</v>
      </c>
      <c r="EQ48">
        <v>49.936999999999998</v>
      </c>
      <c r="ER48">
        <v>50.311999999999998</v>
      </c>
      <c r="ES48">
        <v>1755.48</v>
      </c>
      <c r="ET48">
        <v>39.49</v>
      </c>
      <c r="EU48">
        <v>0</v>
      </c>
      <c r="EV48">
        <v>99.599999904632568</v>
      </c>
      <c r="EW48">
        <v>0</v>
      </c>
      <c r="EX48">
        <v>544.08408000000009</v>
      </c>
      <c r="EY48">
        <v>0.62861536685185437</v>
      </c>
      <c r="EZ48">
        <v>15.24615376828474</v>
      </c>
      <c r="FA48">
        <v>11827.688</v>
      </c>
      <c r="FB48">
        <v>15</v>
      </c>
      <c r="FC48">
        <v>1700153720.0999999</v>
      </c>
      <c r="FD48" t="s">
        <v>553</v>
      </c>
      <c r="FE48">
        <v>1700153720.0999999</v>
      </c>
      <c r="FF48">
        <v>1700153719.5999999</v>
      </c>
      <c r="FG48">
        <v>35</v>
      </c>
      <c r="FH48">
        <v>-0.09</v>
      </c>
      <c r="FI48">
        <v>-1E-3</v>
      </c>
      <c r="FJ48">
        <v>-0.61799999999999999</v>
      </c>
      <c r="FK48">
        <v>0</v>
      </c>
      <c r="FL48">
        <v>1000</v>
      </c>
      <c r="FM48">
        <v>25</v>
      </c>
      <c r="FN48">
        <v>0.05</v>
      </c>
      <c r="FO48">
        <v>0.03</v>
      </c>
      <c r="FP48">
        <v>52.032341743540933</v>
      </c>
      <c r="FQ48">
        <v>0.19581758783499451</v>
      </c>
      <c r="FR48">
        <v>4.5083515816391348E-2</v>
      </c>
      <c r="FS48">
        <v>1</v>
      </c>
      <c r="FT48">
        <v>0.19694317189812191</v>
      </c>
      <c r="FU48">
        <v>-1.9818966312835681E-2</v>
      </c>
      <c r="FV48">
        <v>1.447615691421198E-3</v>
      </c>
      <c r="FW48">
        <v>1</v>
      </c>
      <c r="FX48">
        <v>2</v>
      </c>
      <c r="FY48">
        <v>2</v>
      </c>
      <c r="FZ48" t="s">
        <v>420</v>
      </c>
      <c r="GA48">
        <v>3.1266799999999999</v>
      </c>
      <c r="GB48">
        <v>2.7669999999999999</v>
      </c>
      <c r="GC48">
        <v>0.162076</v>
      </c>
      <c r="GD48">
        <v>0.167883</v>
      </c>
      <c r="GE48">
        <v>0.118779</v>
      </c>
      <c r="GF48">
        <v>0.11039499999999999</v>
      </c>
      <c r="GG48">
        <v>19913.5</v>
      </c>
      <c r="GH48">
        <v>20575.900000000001</v>
      </c>
      <c r="GI48">
        <v>23639.1</v>
      </c>
      <c r="GJ48">
        <v>25055.5</v>
      </c>
      <c r="GK48">
        <v>30004</v>
      </c>
      <c r="GL48">
        <v>31249.8</v>
      </c>
      <c r="GM48">
        <v>37686.800000000003</v>
      </c>
      <c r="GN48">
        <v>39000.199999999997</v>
      </c>
      <c r="GO48">
        <v>2.0142799999999998</v>
      </c>
      <c r="GP48">
        <v>1.7375700000000001</v>
      </c>
      <c r="GQ48">
        <v>-4.9881600000000002E-3</v>
      </c>
      <c r="GR48">
        <v>0</v>
      </c>
      <c r="GS48">
        <v>30.0595</v>
      </c>
      <c r="GT48">
        <v>999.9</v>
      </c>
      <c r="GU48">
        <v>37.799999999999997</v>
      </c>
      <c r="GV48">
        <v>40.9</v>
      </c>
      <c r="GW48">
        <v>29.605399999999999</v>
      </c>
      <c r="GX48">
        <v>60.973700000000001</v>
      </c>
      <c r="GY48">
        <v>27.3157</v>
      </c>
      <c r="GZ48">
        <v>1</v>
      </c>
      <c r="HA48">
        <v>0.70652700000000002</v>
      </c>
      <c r="HB48">
        <v>2.6036800000000002</v>
      </c>
      <c r="HC48">
        <v>20.299099999999999</v>
      </c>
      <c r="HD48">
        <v>5.2517300000000002</v>
      </c>
      <c r="HE48">
        <v>12.0099</v>
      </c>
      <c r="HF48">
        <v>4.9788500000000004</v>
      </c>
      <c r="HG48">
        <v>3.2929300000000001</v>
      </c>
      <c r="HH48">
        <v>9999</v>
      </c>
      <c r="HI48">
        <v>9999</v>
      </c>
      <c r="HJ48">
        <v>9999</v>
      </c>
      <c r="HK48">
        <v>999.9</v>
      </c>
      <c r="HL48">
        <v>1.8760699999999999</v>
      </c>
      <c r="HM48">
        <v>1.877</v>
      </c>
      <c r="HN48">
        <v>1.88324</v>
      </c>
      <c r="HO48">
        <v>1.88636</v>
      </c>
      <c r="HP48">
        <v>1.87714</v>
      </c>
      <c r="HQ48">
        <v>1.88365</v>
      </c>
      <c r="HR48">
        <v>1.8826099999999999</v>
      </c>
      <c r="HS48">
        <v>1.8859900000000001</v>
      </c>
      <c r="HT48">
        <v>5</v>
      </c>
      <c r="HU48">
        <v>0</v>
      </c>
      <c r="HV48">
        <v>0</v>
      </c>
      <c r="HW48">
        <v>0</v>
      </c>
      <c r="HX48" t="s">
        <v>421</v>
      </c>
      <c r="HY48" t="s">
        <v>422</v>
      </c>
      <c r="HZ48" t="s">
        <v>423</v>
      </c>
      <c r="IA48" t="s">
        <v>424</v>
      </c>
      <c r="IB48" t="s">
        <v>424</v>
      </c>
      <c r="IC48" t="s">
        <v>423</v>
      </c>
      <c r="ID48">
        <v>0</v>
      </c>
      <c r="IE48">
        <v>100</v>
      </c>
      <c r="IF48">
        <v>100</v>
      </c>
      <c r="IG48">
        <v>-0.59199999999999997</v>
      </c>
      <c r="IH48">
        <v>1E-4</v>
      </c>
      <c r="II48">
        <v>-0.41312374353598891</v>
      </c>
      <c r="IJ48">
        <v>4.4610147972834149E-5</v>
      </c>
      <c r="IK48">
        <v>-2.082673137682459E-7</v>
      </c>
      <c r="IL48">
        <v>-4.0725795306076518E-11</v>
      </c>
      <c r="IM48">
        <v>1.05000000001354E-4</v>
      </c>
      <c r="IN48">
        <v>0</v>
      </c>
      <c r="IO48">
        <v>0</v>
      </c>
      <c r="IP48">
        <v>0</v>
      </c>
      <c r="IQ48">
        <v>3</v>
      </c>
      <c r="IR48">
        <v>2179</v>
      </c>
      <c r="IS48">
        <v>0</v>
      </c>
      <c r="IT48">
        <v>22</v>
      </c>
      <c r="IU48">
        <v>0.6</v>
      </c>
      <c r="IV48">
        <v>0.6</v>
      </c>
      <c r="IW48">
        <v>2.1496599999999999</v>
      </c>
      <c r="IX48">
        <v>2.6660200000000001</v>
      </c>
      <c r="IY48">
        <v>1.6015600000000001</v>
      </c>
      <c r="IZ48">
        <v>2.323</v>
      </c>
      <c r="JA48">
        <v>1.5502899999999999</v>
      </c>
      <c r="JB48">
        <v>2.5158700000000001</v>
      </c>
      <c r="JC48">
        <v>46.0657</v>
      </c>
      <c r="JD48">
        <v>24.052499999999998</v>
      </c>
      <c r="JE48">
        <v>18</v>
      </c>
      <c r="JF48">
        <v>531.27300000000002</v>
      </c>
      <c r="JG48">
        <v>385.62599999999998</v>
      </c>
      <c r="JH48">
        <v>26.569900000000001</v>
      </c>
      <c r="JI48">
        <v>35.681199999999997</v>
      </c>
      <c r="JJ48">
        <v>29.9986</v>
      </c>
      <c r="JK48">
        <v>35.725700000000003</v>
      </c>
      <c r="JL48">
        <v>35.717700000000001</v>
      </c>
      <c r="JM48">
        <v>43.033700000000003</v>
      </c>
      <c r="JN48">
        <v>19.534199999999998</v>
      </c>
      <c r="JO48">
        <v>47.764499999999998</v>
      </c>
      <c r="JP48">
        <v>26.659500000000001</v>
      </c>
      <c r="JQ48">
        <v>1000</v>
      </c>
      <c r="JR48">
        <v>24.976500000000001</v>
      </c>
      <c r="JS48">
        <v>98.291499999999999</v>
      </c>
      <c r="JT48">
        <v>98.689099999999996</v>
      </c>
    </row>
    <row r="49" spans="1:280" x14ac:dyDescent="0.25">
      <c r="A49">
        <v>33</v>
      </c>
      <c r="B49">
        <v>1700153847.0999999</v>
      </c>
      <c r="C49">
        <v>5973.5999999046326</v>
      </c>
      <c r="D49" t="s">
        <v>554</v>
      </c>
      <c r="E49" t="s">
        <v>555</v>
      </c>
      <c r="F49" t="s">
        <v>412</v>
      </c>
      <c r="G49" t="s">
        <v>539</v>
      </c>
      <c r="H49" t="s">
        <v>31</v>
      </c>
      <c r="I49">
        <v>1700153847.0999999</v>
      </c>
      <c r="J49">
        <f t="shared" ref="J49:J80" si="46">(K49)/1000</f>
        <v>3.0582144817157867E-3</v>
      </c>
      <c r="K49">
        <f t="shared" ref="K49:K80" si="47">1000*DK49*AI49*(DG49-DH49)/(100*CZ49*(1000-AI49*DG49))</f>
        <v>3.0582144817157868</v>
      </c>
      <c r="L49">
        <f t="shared" ref="L49:L80" si="48">DK49*AI49*(DF49-DE49*(1000-AI49*DH49)/(1000-AI49*DG49))/(100*CZ49)</f>
        <v>50.228145432477085</v>
      </c>
      <c r="M49">
        <f t="shared" ref="M49:M80" si="49">DE49 - IF(AI49&gt;1, L49*CZ49*100/(AK49*DS49), 0)</f>
        <v>697.63300000000004</v>
      </c>
      <c r="N49">
        <f t="shared" ref="N49:N80" si="50">((T49-J49/2)*M49-L49)/(T49+J49/2)</f>
        <v>279.86366698302214</v>
      </c>
      <c r="O49">
        <f t="shared" ref="O49:O80" si="51">N49*(DL49+DM49)/1000</f>
        <v>27.81550685110874</v>
      </c>
      <c r="P49">
        <f t="shared" ref="P49:P80" si="52">(DE49 - IF(AI49&gt;1, L49*CZ49*100/(AK49*DS49), 0))*(DL49+DM49)/1000</f>
        <v>69.337387379537006</v>
      </c>
      <c r="Q49">
        <f t="shared" ref="Q49:Q80" si="53">2/((1/S49-1/R49)+SIGN(S49)*SQRT((1/S49-1/R49)*(1/S49-1/R49) + 4*DA49/((DA49+1)*(DA49+1))*(2*1/S49*1/R49-1/R49*1/R49)))</f>
        <v>0.20421984295866288</v>
      </c>
      <c r="R49">
        <f t="shared" ref="R49:R80" si="54">IF(LEFT(DB49,1)&lt;&gt;"0",IF(LEFT(DB49,1)="1",3,DC49),$D$5+$E$5*(DS49*DL49/($K$5*1000))+$F$5*(DS49*DL49/($K$5*1000))*MAX(MIN(CZ49,$J$5),$I$5)*MAX(MIN(CZ49,$J$5),$I$5)+$G$5*MAX(MIN(CZ49,$J$5),$I$5)*(DS49*DL49/($K$5*1000))+$H$5*(DS49*DL49/($K$5*1000))*(DS49*DL49/($K$5*1000)))</f>
        <v>3.1325294472171503</v>
      </c>
      <c r="S49">
        <f t="shared" ref="S49:S80" si="55">J49*(1000-(1000*0.61365*EXP(17.502*W49/(240.97+W49))/(DL49+DM49)+DG49)/2)/(1000*0.61365*EXP(17.502*W49/(240.97+W49))/(DL49+DM49)-DG49)</f>
        <v>0.19710123673787355</v>
      </c>
      <c r="T49">
        <f t="shared" ref="T49:T80" si="56">1/((DA49+1)/(Q49/1.6)+1/(R49/1.37)) + DA49/((DA49+1)/(Q49/1.6) + DA49/(R49/1.37))</f>
        <v>0.12380717916835053</v>
      </c>
      <c r="U49">
        <f t="shared" ref="U49:U80" si="57">(CV49*CY49)</f>
        <v>344.36179930232805</v>
      </c>
      <c r="V49">
        <f t="shared" ref="V49:V80" si="58">(DN49+(U49+2*0.95*0.0000000567*(((DN49+$B$7)+273)^4-(DN49+273)^4)-44100*J49)/(1.84*29.3*R49+8*0.95*0.0000000567*(DN49+273)^3))</f>
        <v>31.107809470804987</v>
      </c>
      <c r="W49">
        <f t="shared" ref="W49:W80" si="59">($C$7*DO49+$D$7*DP49+$E$7*V49)</f>
        <v>29.9803</v>
      </c>
      <c r="X49">
        <f t="shared" ref="X49:X80" si="60">0.61365*EXP(17.502*W49/(240.97+W49))</f>
        <v>4.255631228995135</v>
      </c>
      <c r="Y49">
        <f t="shared" ref="Y49:Y80" si="61">(Z49/AA49*100)</f>
        <v>65.158366945701829</v>
      </c>
      <c r="Z49">
        <f t="shared" ref="Z49:Z80" si="62">DG49*(DL49+DM49)/1000</f>
        <v>2.7679972686499998</v>
      </c>
      <c r="AA49">
        <f t="shared" ref="AA49:AA80" si="63">0.61365*EXP(17.502*DN49/(240.97+DN49))</f>
        <v>4.2481071862292747</v>
      </c>
      <c r="AB49">
        <f t="shared" ref="AB49:AB80" si="64">(X49-DG49*(DL49+DM49)/1000)</f>
        <v>1.4876339603451352</v>
      </c>
      <c r="AC49">
        <f t="shared" ref="AC49:AC80" si="65">(-J49*44100)</f>
        <v>-134.86725864366619</v>
      </c>
      <c r="AD49">
        <f t="shared" ref="AD49:AD80" si="66">2*29.3*R49*0.92*(DN49-W49)</f>
        <v>-5.2015325687977043</v>
      </c>
      <c r="AE49">
        <f t="shared" ref="AE49:AE80" si="67">2*0.95*0.0000000567*(((DN49+$B$7)+273)^4-(W49+273)^4)</f>
        <v>-0.36908323410632515</v>
      </c>
      <c r="AF49">
        <f t="shared" ref="AF49:AF80" si="68">U49+AE49+AC49+AD49</f>
        <v>203.92392485575783</v>
      </c>
      <c r="AG49">
        <v>33</v>
      </c>
      <c r="AH49">
        <v>7</v>
      </c>
      <c r="AI49">
        <f t="shared" ref="AI49:AI80" si="69">IF(AG49*$H$13&gt;=AK49,1,(AK49/(AK49-AG49*$H$13)))</f>
        <v>1</v>
      </c>
      <c r="AJ49">
        <f t="shared" ref="AJ49:AJ80" si="70">(AI49-1)*100</f>
        <v>0</v>
      </c>
      <c r="AK49">
        <f t="shared" ref="AK49:AK80" si="71">MAX(0,($B$13+$C$13*DS49)/(1+$D$13*DS49)*DL49/(DN49+273)*$E$13)</f>
        <v>52040.290423138111</v>
      </c>
      <c r="AL49" t="s">
        <v>415</v>
      </c>
      <c r="AM49">
        <v>6977.87</v>
      </c>
      <c r="AN49">
        <v>273.15280000000001</v>
      </c>
      <c r="AO49">
        <v>850.46774885301022</v>
      </c>
      <c r="AP49">
        <f t="shared" ref="AP49:AP80" si="72">1-AN49/AO49</f>
        <v>0.67882050745793765</v>
      </c>
      <c r="AQ49">
        <v>-1.0323826813720729</v>
      </c>
      <c r="AR49" t="s">
        <v>556</v>
      </c>
      <c r="AS49">
        <v>7115.22</v>
      </c>
      <c r="AT49">
        <v>543.30084615384612</v>
      </c>
      <c r="AU49">
        <v>872.60022260965411</v>
      </c>
      <c r="AV49">
        <f t="shared" ref="AV49:AV80" si="73">1-AT49/AU49</f>
        <v>0.37737714009627932</v>
      </c>
      <c r="AW49">
        <v>0.5</v>
      </c>
      <c r="AX49">
        <f t="shared" ref="AX49:AX80" si="74">CW49</f>
        <v>1513.151099651164</v>
      </c>
      <c r="AY49">
        <f t="shared" ref="AY49:AY80" si="75">L49</f>
        <v>50.228145432477085</v>
      </c>
      <c r="AZ49">
        <f t="shared" ref="AZ49:AZ80" si="76">AV49*AW49*AX49</f>
        <v>285.5143172599482</v>
      </c>
      <c r="BA49">
        <f t="shared" ref="BA49:BA80" si="77">(AY49-AQ49)/AX49</f>
        <v>3.3876675056223104E-2</v>
      </c>
      <c r="BB49">
        <f t="shared" ref="BB49:BB80" si="78">(AO49-AU49)/AU49</f>
        <v>-2.5363818600060744E-2</v>
      </c>
      <c r="BC49">
        <f t="shared" ref="BC49:BC80" si="79">AN49/(AP49+AN49/AU49)</f>
        <v>275.3962712158135</v>
      </c>
      <c r="BD49" t="s">
        <v>557</v>
      </c>
      <c r="BE49">
        <v>425.89</v>
      </c>
      <c r="BF49">
        <f t="shared" ref="BF49:BF80" si="80">IF(BE49&lt;&gt;0, BE49, BC49)</f>
        <v>425.89</v>
      </c>
      <c r="BG49">
        <f t="shared" ref="BG49:BG80" si="81">1-BF49/AU49</f>
        <v>0.51192998928386002</v>
      </c>
      <c r="BH49">
        <f t="shared" ref="BH49:BH80" si="82">(AU49-AT49)/(AU49-BF49)</f>
        <v>0.73716552652872136</v>
      </c>
      <c r="BI49">
        <f t="shared" ref="BI49:BI80" si="83">(AO49-AU49)/(AO49-BF49)</f>
        <v>-5.2128199879608393E-2</v>
      </c>
      <c r="BJ49">
        <f t="shared" ref="BJ49:BJ80" si="84">(AU49-AT49)/(AU49-AN49)</f>
        <v>0.54933821388742532</v>
      </c>
      <c r="BK49">
        <f t="shared" ref="BK49:BK80" si="85">(AO49-AU49)/(AO49-AN49)</f>
        <v>-3.83369143664406E-2</v>
      </c>
      <c r="BL49">
        <f t="shared" ref="BL49:BL80" si="86">(BH49*BF49/AT49)</f>
        <v>0.5778592621672739</v>
      </c>
      <c r="BM49">
        <f t="shared" ref="BM49:BM80" si="87">(1-BL49)</f>
        <v>0.4221407378327261</v>
      </c>
      <c r="BN49">
        <v>11286</v>
      </c>
      <c r="BO49">
        <v>290.00000000000011</v>
      </c>
      <c r="BP49">
        <v>780.81</v>
      </c>
      <c r="BQ49">
        <v>295</v>
      </c>
      <c r="BR49">
        <v>7115.22</v>
      </c>
      <c r="BS49">
        <v>783.37</v>
      </c>
      <c r="BT49">
        <v>-2.56</v>
      </c>
      <c r="BU49">
        <v>300.00000000000011</v>
      </c>
      <c r="BV49">
        <v>38.299999999999997</v>
      </c>
      <c r="BW49">
        <v>872.60022260965411</v>
      </c>
      <c r="BX49">
        <v>1.6470472087954151</v>
      </c>
      <c r="BY49">
        <v>-63.491247826372422</v>
      </c>
      <c r="BZ49">
        <v>0.98233362685754011</v>
      </c>
      <c r="CA49">
        <v>0.99334194920254715</v>
      </c>
      <c r="CB49">
        <v>-7.0159546162402737E-3</v>
      </c>
      <c r="CC49">
        <v>289.99999999999989</v>
      </c>
      <c r="CD49">
        <v>795.71</v>
      </c>
      <c r="CE49">
        <v>885</v>
      </c>
      <c r="CF49">
        <v>7105.71</v>
      </c>
      <c r="CG49">
        <v>783.25</v>
      </c>
      <c r="CH49">
        <v>12.46</v>
      </c>
      <c r="CV49">
        <f t="shared" ref="CV49:CV80" si="88">$B$11*DT49+$C$11*DU49+$F$11*EF49*(1-EI49)</f>
        <v>1799.96</v>
      </c>
      <c r="CW49">
        <f t="shared" ref="CW49:CW80" si="89">CV49*CX49</f>
        <v>1513.151099651164</v>
      </c>
      <c r="CX49">
        <f t="shared" ref="CX49:CX80" si="90">($B$11*$D$9+$C$11*$D$9+$F$11*((ES49+EK49)/MAX(ES49+EK49+ET49, 0.1)*$I$9+ET49/MAX(ES49+EK49+ET49, 0.1)*$J$9))/($B$11+$C$11+$F$11)</f>
        <v>0.8406581810991155</v>
      </c>
      <c r="CY49">
        <f t="shared" ref="CY49:CY80" si="91">($B$11*$K$9+$C$11*$K$9+$F$11*((ES49+EK49)/MAX(ES49+EK49+ET49, 0.1)*$P$9+ET49/MAX(ES49+EK49+ET49, 0.1)*$Q$9))/($B$11+$C$11+$F$11)</f>
        <v>0.19131636219823109</v>
      </c>
      <c r="CZ49">
        <v>5</v>
      </c>
      <c r="DA49">
        <v>0.5</v>
      </c>
      <c r="DB49" t="s">
        <v>418</v>
      </c>
      <c r="DC49">
        <v>2</v>
      </c>
      <c r="DD49">
        <v>1700153847.0999999</v>
      </c>
      <c r="DE49">
        <v>697.63300000000004</v>
      </c>
      <c r="DF49">
        <v>749.971</v>
      </c>
      <c r="DG49">
        <v>27.85</v>
      </c>
      <c r="DH49">
        <v>24.878299999999999</v>
      </c>
      <c r="DI49">
        <v>698.36599999999999</v>
      </c>
      <c r="DJ49">
        <v>27.851800000000001</v>
      </c>
      <c r="DK49">
        <v>500.226</v>
      </c>
      <c r="DL49">
        <v>99.289699999999996</v>
      </c>
      <c r="DM49">
        <v>9.9789000000000003E-2</v>
      </c>
      <c r="DN49">
        <v>29.9495</v>
      </c>
      <c r="DO49">
        <v>29.9803</v>
      </c>
      <c r="DP49">
        <v>999.9</v>
      </c>
      <c r="DQ49">
        <v>0</v>
      </c>
      <c r="DR49">
        <v>0</v>
      </c>
      <c r="DS49">
        <v>10010</v>
      </c>
      <c r="DT49">
        <v>0</v>
      </c>
      <c r="DU49">
        <v>568.67899999999997</v>
      </c>
      <c r="DV49">
        <v>-52.338299999999997</v>
      </c>
      <c r="DW49">
        <v>717.61800000000005</v>
      </c>
      <c r="DX49">
        <v>769.10500000000002</v>
      </c>
      <c r="DY49">
        <v>2.97166</v>
      </c>
      <c r="DZ49">
        <v>749.971</v>
      </c>
      <c r="EA49">
        <v>24.878299999999999</v>
      </c>
      <c r="EB49">
        <v>2.7652199999999998</v>
      </c>
      <c r="EC49">
        <v>2.4701599999999999</v>
      </c>
      <c r="ED49">
        <v>22.677900000000001</v>
      </c>
      <c r="EE49">
        <v>20.831199999999999</v>
      </c>
      <c r="EF49">
        <v>1799.96</v>
      </c>
      <c r="EG49">
        <v>0.97799800000000003</v>
      </c>
      <c r="EH49">
        <v>2.2002000000000001E-2</v>
      </c>
      <c r="EI49">
        <v>0</v>
      </c>
      <c r="EJ49">
        <v>542.79200000000003</v>
      </c>
      <c r="EK49">
        <v>5.0005300000000004</v>
      </c>
      <c r="EL49">
        <v>11752.5</v>
      </c>
      <c r="EM49">
        <v>16034.9</v>
      </c>
      <c r="EN49">
        <v>49.186999999999998</v>
      </c>
      <c r="EO49">
        <v>50.625</v>
      </c>
      <c r="EP49">
        <v>49.936999999999998</v>
      </c>
      <c r="EQ49">
        <v>49.936999999999998</v>
      </c>
      <c r="ER49">
        <v>50.311999999999998</v>
      </c>
      <c r="ES49">
        <v>1755.47</v>
      </c>
      <c r="ET49">
        <v>39.49</v>
      </c>
      <c r="EU49">
        <v>0</v>
      </c>
      <c r="EV49">
        <v>190.19999980926511</v>
      </c>
      <c r="EW49">
        <v>0</v>
      </c>
      <c r="EX49">
        <v>543.30084615384612</v>
      </c>
      <c r="EY49">
        <v>-1.079931615426013</v>
      </c>
      <c r="EZ49">
        <v>-105.72991500696889</v>
      </c>
      <c r="FA49">
        <v>11782.607692307691</v>
      </c>
      <c r="FB49">
        <v>15</v>
      </c>
      <c r="FC49">
        <v>1700153815.5999999</v>
      </c>
      <c r="FD49" t="s">
        <v>558</v>
      </c>
      <c r="FE49">
        <v>1700153815.0999999</v>
      </c>
      <c r="FF49">
        <v>1700153815.5999999</v>
      </c>
      <c r="FG49">
        <v>36</v>
      </c>
      <c r="FH49">
        <v>-0.23599999999999999</v>
      </c>
      <c r="FI49">
        <v>-2E-3</v>
      </c>
      <c r="FJ49">
        <v>-0.75</v>
      </c>
      <c r="FK49">
        <v>-2E-3</v>
      </c>
      <c r="FL49">
        <v>750</v>
      </c>
      <c r="FM49">
        <v>25</v>
      </c>
      <c r="FN49">
        <v>0.06</v>
      </c>
      <c r="FO49">
        <v>0.04</v>
      </c>
      <c r="FP49">
        <v>50.014845184015613</v>
      </c>
      <c r="FQ49">
        <v>0.41768385302118732</v>
      </c>
      <c r="FR49">
        <v>7.7736263429629415E-2</v>
      </c>
      <c r="FS49">
        <v>1</v>
      </c>
      <c r="FT49">
        <v>0.20611152133194671</v>
      </c>
      <c r="FU49">
        <v>3.1015753863205989E-2</v>
      </c>
      <c r="FV49">
        <v>3.9209139988517407E-3</v>
      </c>
      <c r="FW49">
        <v>1</v>
      </c>
      <c r="FX49">
        <v>2</v>
      </c>
      <c r="FY49">
        <v>2</v>
      </c>
      <c r="FZ49" t="s">
        <v>420</v>
      </c>
      <c r="GA49">
        <v>3.1267999999999998</v>
      </c>
      <c r="GB49">
        <v>2.7667600000000001</v>
      </c>
      <c r="GC49">
        <v>0.132548</v>
      </c>
      <c r="GD49">
        <v>0.13907700000000001</v>
      </c>
      <c r="GE49">
        <v>0.118726</v>
      </c>
      <c r="GF49">
        <v>0.10990800000000001</v>
      </c>
      <c r="GG49">
        <v>20617.7</v>
      </c>
      <c r="GH49">
        <v>21291.1</v>
      </c>
      <c r="GI49">
        <v>23640.2</v>
      </c>
      <c r="GJ49">
        <v>25057</v>
      </c>
      <c r="GK49">
        <v>30007.3</v>
      </c>
      <c r="GL49">
        <v>31268.5</v>
      </c>
      <c r="GM49">
        <v>37688.699999999997</v>
      </c>
      <c r="GN49">
        <v>39002.1</v>
      </c>
      <c r="GO49">
        <v>2.0147300000000001</v>
      </c>
      <c r="GP49">
        <v>1.73675</v>
      </c>
      <c r="GQ49">
        <v>-8.1956399999999995E-4</v>
      </c>
      <c r="GR49">
        <v>0</v>
      </c>
      <c r="GS49">
        <v>29.993600000000001</v>
      </c>
      <c r="GT49">
        <v>999.9</v>
      </c>
      <c r="GU49">
        <v>37.799999999999997</v>
      </c>
      <c r="GV49">
        <v>40.9</v>
      </c>
      <c r="GW49">
        <v>29.612100000000002</v>
      </c>
      <c r="GX49">
        <v>60.453699999999998</v>
      </c>
      <c r="GY49">
        <v>26.770800000000001</v>
      </c>
      <c r="GZ49">
        <v>1</v>
      </c>
      <c r="HA49">
        <v>0.70563500000000001</v>
      </c>
      <c r="HB49">
        <v>2.9188299999999998</v>
      </c>
      <c r="HC49">
        <v>20.293700000000001</v>
      </c>
      <c r="HD49">
        <v>5.2518799999999999</v>
      </c>
      <c r="HE49">
        <v>12.0101</v>
      </c>
      <c r="HF49">
        <v>4.9791499999999997</v>
      </c>
      <c r="HG49">
        <v>3.2930000000000001</v>
      </c>
      <c r="HH49">
        <v>9999</v>
      </c>
      <c r="HI49">
        <v>9999</v>
      </c>
      <c r="HJ49">
        <v>9999</v>
      </c>
      <c r="HK49">
        <v>999.9</v>
      </c>
      <c r="HL49">
        <v>1.8760699999999999</v>
      </c>
      <c r="HM49">
        <v>1.8769800000000001</v>
      </c>
      <c r="HN49">
        <v>1.88324</v>
      </c>
      <c r="HO49">
        <v>1.8863099999999999</v>
      </c>
      <c r="HP49">
        <v>1.87714</v>
      </c>
      <c r="HQ49">
        <v>1.8836200000000001</v>
      </c>
      <c r="HR49">
        <v>1.8825700000000001</v>
      </c>
      <c r="HS49">
        <v>1.8859900000000001</v>
      </c>
      <c r="HT49">
        <v>5</v>
      </c>
      <c r="HU49">
        <v>0</v>
      </c>
      <c r="HV49">
        <v>0</v>
      </c>
      <c r="HW49">
        <v>0</v>
      </c>
      <c r="HX49" t="s">
        <v>421</v>
      </c>
      <c r="HY49" t="s">
        <v>422</v>
      </c>
      <c r="HZ49" t="s">
        <v>423</v>
      </c>
      <c r="IA49" t="s">
        <v>424</v>
      </c>
      <c r="IB49" t="s">
        <v>424</v>
      </c>
      <c r="IC49" t="s">
        <v>423</v>
      </c>
      <c r="ID49">
        <v>0</v>
      </c>
      <c r="IE49">
        <v>100</v>
      </c>
      <c r="IF49">
        <v>100</v>
      </c>
      <c r="IG49">
        <v>-0.73299999999999998</v>
      </c>
      <c r="IH49">
        <v>-1.8E-3</v>
      </c>
      <c r="II49">
        <v>-0.64939791772290245</v>
      </c>
      <c r="IJ49">
        <v>4.4610147972834149E-5</v>
      </c>
      <c r="IK49">
        <v>-2.082673137682459E-7</v>
      </c>
      <c r="IL49">
        <v>-4.0725795306076518E-11</v>
      </c>
      <c r="IM49">
        <v>-1.8095238095234829E-3</v>
      </c>
      <c r="IN49">
        <v>0</v>
      </c>
      <c r="IO49">
        <v>0</v>
      </c>
      <c r="IP49">
        <v>0</v>
      </c>
      <c r="IQ49">
        <v>3</v>
      </c>
      <c r="IR49">
        <v>2179</v>
      </c>
      <c r="IS49">
        <v>0</v>
      </c>
      <c r="IT49">
        <v>22</v>
      </c>
      <c r="IU49">
        <v>0.5</v>
      </c>
      <c r="IV49">
        <v>0.5</v>
      </c>
      <c r="IW49">
        <v>1.70044</v>
      </c>
      <c r="IX49">
        <v>2.67578</v>
      </c>
      <c r="IY49">
        <v>1.6015600000000001</v>
      </c>
      <c r="IZ49">
        <v>2.323</v>
      </c>
      <c r="JA49">
        <v>1.5502899999999999</v>
      </c>
      <c r="JB49">
        <v>2.32178</v>
      </c>
      <c r="JC49">
        <v>45.9788</v>
      </c>
      <c r="JD49">
        <v>24.043700000000001</v>
      </c>
      <c r="JE49">
        <v>18</v>
      </c>
      <c r="JF49">
        <v>531.46600000000001</v>
      </c>
      <c r="JG49">
        <v>385.03300000000002</v>
      </c>
      <c r="JH49">
        <v>26.7608</v>
      </c>
      <c r="JI49">
        <v>35.664700000000003</v>
      </c>
      <c r="JJ49">
        <v>29.9998</v>
      </c>
      <c r="JK49">
        <v>35.712499999999999</v>
      </c>
      <c r="JL49">
        <v>35.704500000000003</v>
      </c>
      <c r="JM49">
        <v>34.020000000000003</v>
      </c>
      <c r="JN49">
        <v>20.847899999999999</v>
      </c>
      <c r="JO49">
        <v>48.145800000000001</v>
      </c>
      <c r="JP49">
        <v>26.782599999999999</v>
      </c>
      <c r="JQ49">
        <v>750</v>
      </c>
      <c r="JR49">
        <v>24.887599999999999</v>
      </c>
      <c r="JS49">
        <v>98.296400000000006</v>
      </c>
      <c r="JT49">
        <v>98.694299999999998</v>
      </c>
    </row>
    <row r="50" spans="1:280" x14ac:dyDescent="0.25">
      <c r="A50">
        <v>34</v>
      </c>
      <c r="B50">
        <v>1700153998.0999999</v>
      </c>
      <c r="C50">
        <v>6124.5999999046326</v>
      </c>
      <c r="D50" t="s">
        <v>559</v>
      </c>
      <c r="E50" t="s">
        <v>560</v>
      </c>
      <c r="F50" t="s">
        <v>412</v>
      </c>
      <c r="G50" t="s">
        <v>539</v>
      </c>
      <c r="H50" t="s">
        <v>31</v>
      </c>
      <c r="I50">
        <v>1700153998.0999999</v>
      </c>
      <c r="J50">
        <f t="shared" si="46"/>
        <v>3.3753371395225016E-3</v>
      </c>
      <c r="K50">
        <f t="shared" si="47"/>
        <v>3.3753371395225016</v>
      </c>
      <c r="L50">
        <f t="shared" si="48"/>
        <v>48.810580464963181</v>
      </c>
      <c r="M50">
        <f t="shared" si="49"/>
        <v>549.37800000000004</v>
      </c>
      <c r="N50">
        <f t="shared" si="50"/>
        <v>189.50683131001807</v>
      </c>
      <c r="O50">
        <f t="shared" si="51"/>
        <v>18.83358640511895</v>
      </c>
      <c r="P50">
        <f t="shared" si="52"/>
        <v>54.598338015292804</v>
      </c>
      <c r="Q50">
        <f t="shared" si="53"/>
        <v>0.23032605722481514</v>
      </c>
      <c r="R50">
        <f t="shared" si="54"/>
        <v>3.1304219536601181</v>
      </c>
      <c r="S50">
        <f t="shared" si="55"/>
        <v>0.22130851021281311</v>
      </c>
      <c r="T50">
        <f t="shared" si="56"/>
        <v>0.13909859284826873</v>
      </c>
      <c r="U50">
        <f t="shared" si="57"/>
        <v>344.36179930232805</v>
      </c>
      <c r="V50">
        <f t="shared" si="58"/>
        <v>31.120301017961236</v>
      </c>
      <c r="W50">
        <f t="shared" si="59"/>
        <v>29.951899999999998</v>
      </c>
      <c r="X50">
        <f t="shared" si="60"/>
        <v>4.248693058485661</v>
      </c>
      <c r="Y50">
        <f t="shared" si="61"/>
        <v>65.260902278061067</v>
      </c>
      <c r="Z50">
        <f t="shared" si="62"/>
        <v>2.7865945110259198</v>
      </c>
      <c r="AA50">
        <f t="shared" si="63"/>
        <v>4.2699294887969952</v>
      </c>
      <c r="AB50">
        <f t="shared" si="64"/>
        <v>1.4620985474597412</v>
      </c>
      <c r="AC50">
        <f t="shared" si="65"/>
        <v>-148.85236785294231</v>
      </c>
      <c r="AD50">
        <f t="shared" si="66"/>
        <v>14.649002366144906</v>
      </c>
      <c r="AE50">
        <f t="shared" si="67"/>
        <v>1.0404568190453642</v>
      </c>
      <c r="AF50">
        <f t="shared" si="68"/>
        <v>211.198890634576</v>
      </c>
      <c r="AG50">
        <v>32</v>
      </c>
      <c r="AH50">
        <v>6</v>
      </c>
      <c r="AI50">
        <f t="shared" si="69"/>
        <v>1</v>
      </c>
      <c r="AJ50">
        <f t="shared" si="70"/>
        <v>0</v>
      </c>
      <c r="AK50">
        <f t="shared" si="71"/>
        <v>51971.307451421009</v>
      </c>
      <c r="AL50" t="s">
        <v>427</v>
      </c>
      <c r="AM50" t="s">
        <v>427</v>
      </c>
      <c r="AN50">
        <v>0</v>
      </c>
      <c r="AO50">
        <v>0</v>
      </c>
      <c r="AP50" t="e">
        <f t="shared" si="72"/>
        <v>#DIV/0!</v>
      </c>
      <c r="AQ50">
        <v>0</v>
      </c>
      <c r="AR50" t="s">
        <v>427</v>
      </c>
      <c r="AS50" t="s">
        <v>427</v>
      </c>
      <c r="AT50">
        <v>0</v>
      </c>
      <c r="AU50">
        <v>0</v>
      </c>
      <c r="AV50" t="e">
        <f t="shared" si="73"/>
        <v>#DIV/0!</v>
      </c>
      <c r="AW50">
        <v>0.5</v>
      </c>
      <c r="AX50">
        <f t="shared" si="74"/>
        <v>1513.151099651164</v>
      </c>
      <c r="AY50">
        <f t="shared" si="75"/>
        <v>48.810580464963181</v>
      </c>
      <c r="AZ50" t="e">
        <f t="shared" si="76"/>
        <v>#DIV/0!</v>
      </c>
      <c r="BA50">
        <f t="shared" si="77"/>
        <v>3.2257571947848292E-2</v>
      </c>
      <c r="BB50" t="e">
        <f t="shared" si="78"/>
        <v>#DIV/0!</v>
      </c>
      <c r="BC50" t="e">
        <f t="shared" si="79"/>
        <v>#DIV/0!</v>
      </c>
      <c r="BD50" t="s">
        <v>427</v>
      </c>
      <c r="BE50">
        <v>0</v>
      </c>
      <c r="BF50" t="e">
        <f t="shared" si="80"/>
        <v>#DIV/0!</v>
      </c>
      <c r="BG50" t="e">
        <f t="shared" si="81"/>
        <v>#DIV/0!</v>
      </c>
      <c r="BH50" t="e">
        <f t="shared" si="82"/>
        <v>#DIV/0!</v>
      </c>
      <c r="BI50" t="e">
        <f t="shared" si="83"/>
        <v>#DIV/0!</v>
      </c>
      <c r="BJ50" t="e">
        <f t="shared" si="84"/>
        <v>#DIV/0!</v>
      </c>
      <c r="BK50" t="e">
        <f t="shared" si="85"/>
        <v>#DIV/0!</v>
      </c>
      <c r="BL50" t="e">
        <f t="shared" si="86"/>
        <v>#DIV/0!</v>
      </c>
      <c r="BM50" t="e">
        <f t="shared" si="87"/>
        <v>#DIV/0!</v>
      </c>
      <c r="BN50">
        <v>11286</v>
      </c>
      <c r="BO50">
        <v>290.00000000000011</v>
      </c>
      <c r="BP50">
        <v>780.81</v>
      </c>
      <c r="BQ50">
        <v>295</v>
      </c>
      <c r="BR50">
        <v>7115.22</v>
      </c>
      <c r="BS50">
        <v>783.37</v>
      </c>
      <c r="BT50">
        <v>-2.56</v>
      </c>
      <c r="BU50">
        <v>300.00000000000011</v>
      </c>
      <c r="BV50">
        <v>38.299999999999997</v>
      </c>
      <c r="BW50">
        <v>872.60022260965411</v>
      </c>
      <c r="BX50">
        <v>1.6470472087954151</v>
      </c>
      <c r="BY50">
        <v>-63.491247826372422</v>
      </c>
      <c r="BZ50">
        <v>0.98233362685754011</v>
      </c>
      <c r="CA50">
        <v>0.99334194920254715</v>
      </c>
      <c r="CB50">
        <v>-7.0159546162402737E-3</v>
      </c>
      <c r="CC50">
        <v>289.99999999999989</v>
      </c>
      <c r="CD50">
        <v>795.71</v>
      </c>
      <c r="CE50">
        <v>885</v>
      </c>
      <c r="CF50">
        <v>7105.71</v>
      </c>
      <c r="CG50">
        <v>783.25</v>
      </c>
      <c r="CH50">
        <v>12.46</v>
      </c>
      <c r="CV50">
        <f t="shared" si="88"/>
        <v>1799.96</v>
      </c>
      <c r="CW50">
        <f t="shared" si="89"/>
        <v>1513.151099651164</v>
      </c>
      <c r="CX50">
        <f t="shared" si="90"/>
        <v>0.8406581810991155</v>
      </c>
      <c r="CY50">
        <f t="shared" si="91"/>
        <v>0.19131636219823109</v>
      </c>
      <c r="CZ50">
        <v>5</v>
      </c>
      <c r="DA50">
        <v>0.5</v>
      </c>
      <c r="DB50" t="s">
        <v>418</v>
      </c>
      <c r="DC50">
        <v>2</v>
      </c>
      <c r="DD50">
        <v>1700153998.0999999</v>
      </c>
      <c r="DE50">
        <v>549.37800000000004</v>
      </c>
      <c r="DF50">
        <v>600.02599999999995</v>
      </c>
      <c r="DG50">
        <v>28.039200000000001</v>
      </c>
      <c r="DH50">
        <v>24.759599999999999</v>
      </c>
      <c r="DI50">
        <v>549.89</v>
      </c>
      <c r="DJ50">
        <v>28.040900000000001</v>
      </c>
      <c r="DK50">
        <v>500.16699999999997</v>
      </c>
      <c r="DL50">
        <v>99.282399999999996</v>
      </c>
      <c r="DM50">
        <v>9.9697599999999997E-2</v>
      </c>
      <c r="DN50">
        <v>30.038699999999999</v>
      </c>
      <c r="DO50">
        <v>29.951899999999998</v>
      </c>
      <c r="DP50">
        <v>999.9</v>
      </c>
      <c r="DQ50">
        <v>0</v>
      </c>
      <c r="DR50">
        <v>0</v>
      </c>
      <c r="DS50">
        <v>10000</v>
      </c>
      <c r="DT50">
        <v>0</v>
      </c>
      <c r="DU50">
        <v>485.005</v>
      </c>
      <c r="DV50">
        <v>-50.647799999999997</v>
      </c>
      <c r="DW50">
        <v>565.22699999999998</v>
      </c>
      <c r="DX50">
        <v>615.26</v>
      </c>
      <c r="DY50">
        <v>3.2796500000000002</v>
      </c>
      <c r="DZ50">
        <v>600.02599999999995</v>
      </c>
      <c r="EA50">
        <v>24.759599999999999</v>
      </c>
      <c r="EB50">
        <v>2.7837999999999998</v>
      </c>
      <c r="EC50">
        <v>2.4581900000000001</v>
      </c>
      <c r="ED50">
        <v>22.788399999999999</v>
      </c>
      <c r="EE50">
        <v>20.752300000000002</v>
      </c>
      <c r="EF50">
        <v>1799.96</v>
      </c>
      <c r="EG50">
        <v>0.97799800000000003</v>
      </c>
      <c r="EH50">
        <v>2.2002000000000001E-2</v>
      </c>
      <c r="EI50">
        <v>0</v>
      </c>
      <c r="EJ50">
        <v>542.93200000000002</v>
      </c>
      <c r="EK50">
        <v>5.0005300000000004</v>
      </c>
      <c r="EL50">
        <v>12171.8</v>
      </c>
      <c r="EM50">
        <v>16034.9</v>
      </c>
      <c r="EN50">
        <v>49.25</v>
      </c>
      <c r="EO50">
        <v>50.75</v>
      </c>
      <c r="EP50">
        <v>49.936999999999998</v>
      </c>
      <c r="EQ50">
        <v>50</v>
      </c>
      <c r="ER50">
        <v>50.375</v>
      </c>
      <c r="ES50">
        <v>1755.47</v>
      </c>
      <c r="ET50">
        <v>39.49</v>
      </c>
      <c r="EU50">
        <v>0</v>
      </c>
      <c r="EV50">
        <v>148.79999995231631</v>
      </c>
      <c r="EW50">
        <v>0</v>
      </c>
      <c r="EX50">
        <v>542.649</v>
      </c>
      <c r="EY50">
        <v>0.42576923676088069</v>
      </c>
      <c r="EZ50">
        <v>184.45384617952601</v>
      </c>
      <c r="FA50">
        <v>12160.64</v>
      </c>
      <c r="FB50">
        <v>15</v>
      </c>
      <c r="FC50">
        <v>1700153915.5999999</v>
      </c>
      <c r="FD50" t="s">
        <v>561</v>
      </c>
      <c r="FE50">
        <v>1700153913.5999999</v>
      </c>
      <c r="FF50">
        <v>1700153915.5999999</v>
      </c>
      <c r="FG50">
        <v>37</v>
      </c>
      <c r="FH50">
        <v>0.182</v>
      </c>
      <c r="FI50">
        <v>0</v>
      </c>
      <c r="FJ50">
        <v>-0.52400000000000002</v>
      </c>
      <c r="FK50">
        <v>-2E-3</v>
      </c>
      <c r="FL50">
        <v>600</v>
      </c>
      <c r="FM50">
        <v>25</v>
      </c>
      <c r="FN50">
        <v>0.04</v>
      </c>
      <c r="FO50">
        <v>0.04</v>
      </c>
      <c r="FP50">
        <v>48.669860087384322</v>
      </c>
      <c r="FQ50">
        <v>0.63781824320854219</v>
      </c>
      <c r="FR50">
        <v>5.8565452329661913E-2</v>
      </c>
      <c r="FS50">
        <v>1</v>
      </c>
      <c r="FT50">
        <v>0.22648576999539149</v>
      </c>
      <c r="FU50">
        <v>2.2906055664806961E-2</v>
      </c>
      <c r="FV50">
        <v>1.929746474311706E-3</v>
      </c>
      <c r="FW50">
        <v>1</v>
      </c>
      <c r="FX50">
        <v>2</v>
      </c>
      <c r="FY50">
        <v>2</v>
      </c>
      <c r="FZ50" t="s">
        <v>420</v>
      </c>
      <c r="GA50">
        <v>3.1265700000000001</v>
      </c>
      <c r="GB50">
        <v>2.7665799999999998</v>
      </c>
      <c r="GC50">
        <v>0.112154</v>
      </c>
      <c r="GD50">
        <v>0.119335</v>
      </c>
      <c r="GE50">
        <v>0.119284</v>
      </c>
      <c r="GF50">
        <v>0.109539</v>
      </c>
      <c r="GG50">
        <v>21104.7</v>
      </c>
      <c r="GH50">
        <v>21782.6</v>
      </c>
      <c r="GI50">
        <v>23642</v>
      </c>
      <c r="GJ50">
        <v>25059.7</v>
      </c>
      <c r="GK50">
        <v>29990.1</v>
      </c>
      <c r="GL50">
        <v>31285.1</v>
      </c>
      <c r="GM50">
        <v>37690.9</v>
      </c>
      <c r="GN50">
        <v>39006.6</v>
      </c>
      <c r="GO50">
        <v>2.0155699999999999</v>
      </c>
      <c r="GP50">
        <v>1.7369699999999999</v>
      </c>
      <c r="GQ50">
        <v>-5.4314699999999999E-3</v>
      </c>
      <c r="GR50">
        <v>0</v>
      </c>
      <c r="GS50">
        <v>30.040299999999998</v>
      </c>
      <c r="GT50">
        <v>999.9</v>
      </c>
      <c r="GU50">
        <v>37.9</v>
      </c>
      <c r="GV50">
        <v>41</v>
      </c>
      <c r="GW50">
        <v>29.849799999999998</v>
      </c>
      <c r="GX50">
        <v>60.473700000000001</v>
      </c>
      <c r="GY50">
        <v>27.1875</v>
      </c>
      <c r="GZ50">
        <v>1</v>
      </c>
      <c r="HA50">
        <v>0.70144099999999998</v>
      </c>
      <c r="HB50">
        <v>2.5690200000000001</v>
      </c>
      <c r="HC50">
        <v>20.299700000000001</v>
      </c>
      <c r="HD50">
        <v>5.2482899999999999</v>
      </c>
      <c r="HE50">
        <v>12.0099</v>
      </c>
      <c r="HF50">
        <v>4.9791499999999997</v>
      </c>
      <c r="HG50">
        <v>3.2930000000000001</v>
      </c>
      <c r="HH50">
        <v>9999</v>
      </c>
      <c r="HI50">
        <v>9999</v>
      </c>
      <c r="HJ50">
        <v>9999</v>
      </c>
      <c r="HK50">
        <v>999.9</v>
      </c>
      <c r="HL50">
        <v>1.8760699999999999</v>
      </c>
      <c r="HM50">
        <v>1.8769800000000001</v>
      </c>
      <c r="HN50">
        <v>1.8832100000000001</v>
      </c>
      <c r="HO50">
        <v>1.8863000000000001</v>
      </c>
      <c r="HP50">
        <v>1.87714</v>
      </c>
      <c r="HQ50">
        <v>1.8836200000000001</v>
      </c>
      <c r="HR50">
        <v>1.88256</v>
      </c>
      <c r="HS50">
        <v>1.8859900000000001</v>
      </c>
      <c r="HT50">
        <v>5</v>
      </c>
      <c r="HU50">
        <v>0</v>
      </c>
      <c r="HV50">
        <v>0</v>
      </c>
      <c r="HW50">
        <v>0</v>
      </c>
      <c r="HX50" t="s">
        <v>421</v>
      </c>
      <c r="HY50" t="s">
        <v>422</v>
      </c>
      <c r="HZ50" t="s">
        <v>423</v>
      </c>
      <c r="IA50" t="s">
        <v>424</v>
      </c>
      <c r="IB50" t="s">
        <v>424</v>
      </c>
      <c r="IC50" t="s">
        <v>423</v>
      </c>
      <c r="ID50">
        <v>0</v>
      </c>
      <c r="IE50">
        <v>100</v>
      </c>
      <c r="IF50">
        <v>100</v>
      </c>
      <c r="IG50">
        <v>-0.51200000000000001</v>
      </c>
      <c r="IH50">
        <v>-1.6999999999999999E-3</v>
      </c>
      <c r="II50">
        <v>-0.46688109404667949</v>
      </c>
      <c r="IJ50">
        <v>4.4610147972834149E-5</v>
      </c>
      <c r="IK50">
        <v>-2.082673137682459E-7</v>
      </c>
      <c r="IL50">
        <v>-4.0725795306076518E-11</v>
      </c>
      <c r="IM50">
        <v>-1.674999999998761E-3</v>
      </c>
      <c r="IN50">
        <v>0</v>
      </c>
      <c r="IO50">
        <v>0</v>
      </c>
      <c r="IP50">
        <v>0</v>
      </c>
      <c r="IQ50">
        <v>3</v>
      </c>
      <c r="IR50">
        <v>2179</v>
      </c>
      <c r="IS50">
        <v>0</v>
      </c>
      <c r="IT50">
        <v>22</v>
      </c>
      <c r="IU50">
        <v>1.4</v>
      </c>
      <c r="IV50">
        <v>1.4</v>
      </c>
      <c r="IW50">
        <v>1.4184600000000001</v>
      </c>
      <c r="IX50">
        <v>2.67456</v>
      </c>
      <c r="IY50">
        <v>1.6015600000000001</v>
      </c>
      <c r="IZ50">
        <v>2.32178</v>
      </c>
      <c r="JA50">
        <v>1.5490699999999999</v>
      </c>
      <c r="JB50">
        <v>2.3962400000000001</v>
      </c>
      <c r="JC50">
        <v>45.863199999999999</v>
      </c>
      <c r="JD50">
        <v>24.078700000000001</v>
      </c>
      <c r="JE50">
        <v>18</v>
      </c>
      <c r="JF50">
        <v>531.82100000000003</v>
      </c>
      <c r="JG50">
        <v>385.01299999999998</v>
      </c>
      <c r="JH50">
        <v>27.055900000000001</v>
      </c>
      <c r="JI50">
        <v>35.631799999999998</v>
      </c>
      <c r="JJ50">
        <v>30.0001</v>
      </c>
      <c r="JK50">
        <v>35.686100000000003</v>
      </c>
      <c r="JL50">
        <v>35.678199999999997</v>
      </c>
      <c r="JM50">
        <v>28.382400000000001</v>
      </c>
      <c r="JN50">
        <v>22.171199999999999</v>
      </c>
      <c r="JO50">
        <v>48.742800000000003</v>
      </c>
      <c r="JP50">
        <v>27.061399999999999</v>
      </c>
      <c r="JQ50">
        <v>600</v>
      </c>
      <c r="JR50">
        <v>24.7042</v>
      </c>
      <c r="JS50">
        <v>98.302800000000005</v>
      </c>
      <c r="JT50">
        <v>98.705399999999997</v>
      </c>
    </row>
    <row r="51" spans="1:280" x14ac:dyDescent="0.25">
      <c r="A51">
        <v>35</v>
      </c>
      <c r="B51">
        <v>1700154099.5999999</v>
      </c>
      <c r="C51">
        <v>6226.0999999046326</v>
      </c>
      <c r="D51" t="s">
        <v>562</v>
      </c>
      <c r="E51" t="s">
        <v>563</v>
      </c>
      <c r="F51" t="s">
        <v>412</v>
      </c>
      <c r="G51" t="s">
        <v>539</v>
      </c>
      <c r="H51" t="s">
        <v>31</v>
      </c>
      <c r="I51">
        <v>1700154099.5999999</v>
      </c>
      <c r="J51">
        <f t="shared" si="46"/>
        <v>3.649335728772218E-3</v>
      </c>
      <c r="K51">
        <f t="shared" si="47"/>
        <v>3.6493357287722179</v>
      </c>
      <c r="L51">
        <f t="shared" si="48"/>
        <v>45.835928160037582</v>
      </c>
      <c r="M51">
        <f t="shared" si="49"/>
        <v>452.51100000000002</v>
      </c>
      <c r="N51">
        <f t="shared" si="50"/>
        <v>142.92548825056053</v>
      </c>
      <c r="O51">
        <f t="shared" si="51"/>
        <v>14.203779633749878</v>
      </c>
      <c r="P51">
        <f t="shared" si="52"/>
        <v>44.970051210040801</v>
      </c>
      <c r="Q51">
        <f t="shared" si="53"/>
        <v>0.25176599336857114</v>
      </c>
      <c r="R51">
        <f t="shared" si="54"/>
        <v>3.1265470022694721</v>
      </c>
      <c r="S51">
        <f t="shared" si="55"/>
        <v>0.24102087817715004</v>
      </c>
      <c r="T51">
        <f t="shared" si="56"/>
        <v>0.1515652386969826</v>
      </c>
      <c r="U51">
        <f t="shared" si="57"/>
        <v>344.3636993023319</v>
      </c>
      <c r="V51">
        <f t="shared" si="58"/>
        <v>31.131886344599785</v>
      </c>
      <c r="W51">
        <f t="shared" si="59"/>
        <v>29.976199999999999</v>
      </c>
      <c r="X51">
        <f t="shared" si="60"/>
        <v>4.2546289822490992</v>
      </c>
      <c r="Y51">
        <f t="shared" si="61"/>
        <v>65.362615423399177</v>
      </c>
      <c r="Z51">
        <f t="shared" si="62"/>
        <v>2.80334993750136</v>
      </c>
      <c r="AA51">
        <f t="shared" si="63"/>
        <v>4.2889194677142433</v>
      </c>
      <c r="AB51">
        <f t="shared" si="64"/>
        <v>1.4512790447477393</v>
      </c>
      <c r="AC51">
        <f t="shared" si="65"/>
        <v>-160.93570563885481</v>
      </c>
      <c r="AD51">
        <f t="shared" si="66"/>
        <v>23.564464597692158</v>
      </c>
      <c r="AE51">
        <f t="shared" si="67"/>
        <v>1.6766018599060097</v>
      </c>
      <c r="AF51">
        <f t="shared" si="68"/>
        <v>208.66906012107523</v>
      </c>
      <c r="AG51">
        <v>32</v>
      </c>
      <c r="AH51">
        <v>6</v>
      </c>
      <c r="AI51">
        <f t="shared" si="69"/>
        <v>1</v>
      </c>
      <c r="AJ51">
        <f t="shared" si="70"/>
        <v>0</v>
      </c>
      <c r="AK51">
        <f t="shared" si="71"/>
        <v>51859.67143646763</v>
      </c>
      <c r="AL51" t="s">
        <v>415</v>
      </c>
      <c r="AM51">
        <v>6977.87</v>
      </c>
      <c r="AN51">
        <v>273.15280000000001</v>
      </c>
      <c r="AO51">
        <v>850.46774885301022</v>
      </c>
      <c r="AP51">
        <f t="shared" si="72"/>
        <v>0.67882050745793765</v>
      </c>
      <c r="AQ51">
        <v>-1.0323826813720729</v>
      </c>
      <c r="AR51" t="s">
        <v>564</v>
      </c>
      <c r="AS51">
        <v>7114.91</v>
      </c>
      <c r="AT51">
        <v>543.18920000000003</v>
      </c>
      <c r="AU51">
        <v>832.7861163580792</v>
      </c>
      <c r="AV51">
        <f t="shared" si="73"/>
        <v>0.34774464976017805</v>
      </c>
      <c r="AW51">
        <v>0.5</v>
      </c>
      <c r="AX51">
        <f t="shared" si="74"/>
        <v>1513.159499651166</v>
      </c>
      <c r="AY51">
        <f t="shared" si="75"/>
        <v>45.835928160037582</v>
      </c>
      <c r="AZ51">
        <f t="shared" si="76"/>
        <v>263.09656011874051</v>
      </c>
      <c r="BA51">
        <f t="shared" si="77"/>
        <v>3.097380735620691E-2</v>
      </c>
      <c r="BB51">
        <f t="shared" si="78"/>
        <v>2.1231901141983402E-2</v>
      </c>
      <c r="BC51">
        <f t="shared" si="79"/>
        <v>271.30271860125907</v>
      </c>
      <c r="BD51" t="s">
        <v>565</v>
      </c>
      <c r="BE51">
        <v>415.72</v>
      </c>
      <c r="BF51">
        <f t="shared" si="80"/>
        <v>415.72</v>
      </c>
      <c r="BG51">
        <f t="shared" si="81"/>
        <v>0.5008082005281056</v>
      </c>
      <c r="BH51">
        <f t="shared" si="82"/>
        <v>0.69436692409085765</v>
      </c>
      <c r="BI51">
        <f t="shared" si="83"/>
        <v>4.0671015644313885E-2</v>
      </c>
      <c r="BJ51">
        <f t="shared" si="84"/>
        <v>0.51747619002150647</v>
      </c>
      <c r="BK51">
        <f t="shared" si="85"/>
        <v>3.0627359520241575E-2</v>
      </c>
      <c r="BL51">
        <f t="shared" si="86"/>
        <v>0.53142112855530144</v>
      </c>
      <c r="BM51">
        <f t="shared" si="87"/>
        <v>0.46857887144469856</v>
      </c>
      <c r="BN51">
        <v>11288</v>
      </c>
      <c r="BO51">
        <v>290.00000000000011</v>
      </c>
      <c r="BP51">
        <v>754.23</v>
      </c>
      <c r="BQ51">
        <v>295</v>
      </c>
      <c r="BR51">
        <v>7114.91</v>
      </c>
      <c r="BS51">
        <v>756.7</v>
      </c>
      <c r="BT51">
        <v>-2.4700000000000002</v>
      </c>
      <c r="BU51">
        <v>300.00000000000011</v>
      </c>
      <c r="BV51">
        <v>38.299999999999997</v>
      </c>
      <c r="BW51">
        <v>832.7861163580792</v>
      </c>
      <c r="BX51">
        <v>1.5664026307387</v>
      </c>
      <c r="BY51">
        <v>-54.134093455497073</v>
      </c>
      <c r="BZ51">
        <v>0.93419393684558483</v>
      </c>
      <c r="CA51">
        <v>0.99173040932873868</v>
      </c>
      <c r="CB51">
        <v>-7.0154302558398194E-3</v>
      </c>
      <c r="CC51">
        <v>289.99999999999989</v>
      </c>
      <c r="CD51">
        <v>768.79</v>
      </c>
      <c r="CE51">
        <v>805</v>
      </c>
      <c r="CF51">
        <v>7106.81</v>
      </c>
      <c r="CG51">
        <v>756.61</v>
      </c>
      <c r="CH51">
        <v>12.18</v>
      </c>
      <c r="CV51">
        <f t="shared" si="88"/>
        <v>1799.97</v>
      </c>
      <c r="CW51">
        <f t="shared" si="89"/>
        <v>1513.159499651166</v>
      </c>
      <c r="CX51">
        <f t="shared" si="90"/>
        <v>0.84065817744249405</v>
      </c>
      <c r="CY51">
        <f t="shared" si="91"/>
        <v>0.19131635488498802</v>
      </c>
      <c r="CZ51">
        <v>5</v>
      </c>
      <c r="DA51">
        <v>0.5</v>
      </c>
      <c r="DB51" t="s">
        <v>418</v>
      </c>
      <c r="DC51">
        <v>2</v>
      </c>
      <c r="DD51">
        <v>1700154099.5999999</v>
      </c>
      <c r="DE51">
        <v>452.51100000000002</v>
      </c>
      <c r="DF51">
        <v>499.98500000000001</v>
      </c>
      <c r="DG51">
        <v>28.2087</v>
      </c>
      <c r="DH51">
        <v>24.6633</v>
      </c>
      <c r="DI51">
        <v>452.983</v>
      </c>
      <c r="DJ51">
        <v>28.211200000000002</v>
      </c>
      <c r="DK51">
        <v>500.14</v>
      </c>
      <c r="DL51">
        <v>99.278999999999996</v>
      </c>
      <c r="DM51">
        <v>9.9912799999999996E-2</v>
      </c>
      <c r="DN51">
        <v>30.116</v>
      </c>
      <c r="DO51">
        <v>29.976199999999999</v>
      </c>
      <c r="DP51">
        <v>999.9</v>
      </c>
      <c r="DQ51">
        <v>0</v>
      </c>
      <c r="DR51">
        <v>0</v>
      </c>
      <c r="DS51">
        <v>9980.6200000000008</v>
      </c>
      <c r="DT51">
        <v>0</v>
      </c>
      <c r="DU51">
        <v>194.88900000000001</v>
      </c>
      <c r="DV51">
        <v>-47.4741</v>
      </c>
      <c r="DW51">
        <v>465.64600000000002</v>
      </c>
      <c r="DX51">
        <v>512.62800000000004</v>
      </c>
      <c r="DY51">
        <v>3.54541</v>
      </c>
      <c r="DZ51">
        <v>499.98500000000001</v>
      </c>
      <c r="EA51">
        <v>24.6633</v>
      </c>
      <c r="EB51">
        <v>2.8005300000000002</v>
      </c>
      <c r="EC51">
        <v>2.44855</v>
      </c>
      <c r="ED51">
        <v>22.8872</v>
      </c>
      <c r="EE51">
        <v>20.688500000000001</v>
      </c>
      <c r="EF51">
        <v>1799.97</v>
      </c>
      <c r="EG51">
        <v>0.97799800000000003</v>
      </c>
      <c r="EH51">
        <v>2.2002000000000001E-2</v>
      </c>
      <c r="EI51">
        <v>0</v>
      </c>
      <c r="EJ51">
        <v>543.29200000000003</v>
      </c>
      <c r="EK51">
        <v>5.0005300000000004</v>
      </c>
      <c r="EL51">
        <v>12169</v>
      </c>
      <c r="EM51">
        <v>16035</v>
      </c>
      <c r="EN51">
        <v>49.25</v>
      </c>
      <c r="EO51">
        <v>50.75</v>
      </c>
      <c r="EP51">
        <v>50</v>
      </c>
      <c r="EQ51">
        <v>50.061999999999998</v>
      </c>
      <c r="ER51">
        <v>50.375</v>
      </c>
      <c r="ES51">
        <v>1755.48</v>
      </c>
      <c r="ET51">
        <v>39.49</v>
      </c>
      <c r="EU51">
        <v>0</v>
      </c>
      <c r="EV51">
        <v>250.79999995231631</v>
      </c>
      <c r="EW51">
        <v>0</v>
      </c>
      <c r="EX51">
        <v>543.18920000000003</v>
      </c>
      <c r="EY51">
        <v>-0.86561537213790696</v>
      </c>
      <c r="EZ51">
        <v>-42.053845164103038</v>
      </c>
      <c r="FA51">
        <v>12171.644</v>
      </c>
      <c r="FB51">
        <v>15</v>
      </c>
      <c r="FC51">
        <v>1700154068.5999999</v>
      </c>
      <c r="FD51" t="s">
        <v>566</v>
      </c>
      <c r="FE51">
        <v>1700154068.5999999</v>
      </c>
      <c r="FF51">
        <v>1700154066.5999999</v>
      </c>
      <c r="FG51">
        <v>38</v>
      </c>
      <c r="FH51">
        <v>2.1000000000000001E-2</v>
      </c>
      <c r="FI51">
        <v>-1E-3</v>
      </c>
      <c r="FJ51">
        <v>-0.48099999999999998</v>
      </c>
      <c r="FK51">
        <v>-2E-3</v>
      </c>
      <c r="FL51">
        <v>500</v>
      </c>
      <c r="FM51">
        <v>25</v>
      </c>
      <c r="FN51">
        <v>0.05</v>
      </c>
      <c r="FO51">
        <v>0.03</v>
      </c>
      <c r="FP51">
        <v>45.786741180941711</v>
      </c>
      <c r="FQ51">
        <v>0.31051412965085501</v>
      </c>
      <c r="FR51">
        <v>3.4630529333223317E-2</v>
      </c>
      <c r="FS51">
        <v>1</v>
      </c>
      <c r="FT51">
        <v>0.2476116170800339</v>
      </c>
      <c r="FU51">
        <v>4.8612631634823197E-2</v>
      </c>
      <c r="FV51">
        <v>3.8493247746447991E-3</v>
      </c>
      <c r="FW51">
        <v>1</v>
      </c>
      <c r="FX51">
        <v>2</v>
      </c>
      <c r="FY51">
        <v>2</v>
      </c>
      <c r="FZ51" t="s">
        <v>420</v>
      </c>
      <c r="GA51">
        <v>3.1264799999999999</v>
      </c>
      <c r="GB51">
        <v>2.7666200000000001</v>
      </c>
      <c r="GC51">
        <v>9.7316299999999994E-2</v>
      </c>
      <c r="GD51">
        <v>0.104731</v>
      </c>
      <c r="GE51">
        <v>0.119783</v>
      </c>
      <c r="GF51">
        <v>0.109238</v>
      </c>
      <c r="GG51">
        <v>21458.1</v>
      </c>
      <c r="GH51">
        <v>22145</v>
      </c>
      <c r="GI51">
        <v>23642.6</v>
      </c>
      <c r="GJ51">
        <v>25060.6</v>
      </c>
      <c r="GK51">
        <v>29974.1</v>
      </c>
      <c r="GL51">
        <v>31297</v>
      </c>
      <c r="GM51">
        <v>37692.1</v>
      </c>
      <c r="GN51">
        <v>39008.300000000003</v>
      </c>
      <c r="GO51">
        <v>2.0165299999999999</v>
      </c>
      <c r="GP51">
        <v>1.73645</v>
      </c>
      <c r="GQ51">
        <v>-9.2163699999999998E-3</v>
      </c>
      <c r="GR51">
        <v>0</v>
      </c>
      <c r="GS51">
        <v>30.126100000000001</v>
      </c>
      <c r="GT51">
        <v>999.9</v>
      </c>
      <c r="GU51">
        <v>38</v>
      </c>
      <c r="GV51">
        <v>41</v>
      </c>
      <c r="GW51">
        <v>29.927600000000002</v>
      </c>
      <c r="GX51">
        <v>60.963700000000003</v>
      </c>
      <c r="GY51">
        <v>26.887</v>
      </c>
      <c r="GZ51">
        <v>1</v>
      </c>
      <c r="HA51">
        <v>0.70255100000000004</v>
      </c>
      <c r="HB51">
        <v>2.9262299999999999</v>
      </c>
      <c r="HC51">
        <v>20.293900000000001</v>
      </c>
      <c r="HD51">
        <v>5.2526299999999999</v>
      </c>
      <c r="HE51">
        <v>12.0099</v>
      </c>
      <c r="HF51">
        <v>4.9791999999999996</v>
      </c>
      <c r="HG51">
        <v>3.2930000000000001</v>
      </c>
      <c r="HH51">
        <v>9999</v>
      </c>
      <c r="HI51">
        <v>9999</v>
      </c>
      <c r="HJ51">
        <v>9999</v>
      </c>
      <c r="HK51">
        <v>999.9</v>
      </c>
      <c r="HL51">
        <v>1.8760699999999999</v>
      </c>
      <c r="HM51">
        <v>1.8769800000000001</v>
      </c>
      <c r="HN51">
        <v>1.8832199999999999</v>
      </c>
      <c r="HO51">
        <v>1.88632</v>
      </c>
      <c r="HP51">
        <v>1.87714</v>
      </c>
      <c r="HQ51">
        <v>1.8836299999999999</v>
      </c>
      <c r="HR51">
        <v>1.88259</v>
      </c>
      <c r="HS51">
        <v>1.8859900000000001</v>
      </c>
      <c r="HT51">
        <v>5</v>
      </c>
      <c r="HU51">
        <v>0</v>
      </c>
      <c r="HV51">
        <v>0</v>
      </c>
      <c r="HW51">
        <v>0</v>
      </c>
      <c r="HX51" t="s">
        <v>421</v>
      </c>
      <c r="HY51" t="s">
        <v>422</v>
      </c>
      <c r="HZ51" t="s">
        <v>423</v>
      </c>
      <c r="IA51" t="s">
        <v>424</v>
      </c>
      <c r="IB51" t="s">
        <v>424</v>
      </c>
      <c r="IC51" t="s">
        <v>423</v>
      </c>
      <c r="ID51">
        <v>0</v>
      </c>
      <c r="IE51">
        <v>100</v>
      </c>
      <c r="IF51">
        <v>100</v>
      </c>
      <c r="IG51">
        <v>-0.47199999999999998</v>
      </c>
      <c r="IH51">
        <v>-2.5000000000000001E-3</v>
      </c>
      <c r="II51">
        <v>-0.44601521875630029</v>
      </c>
      <c r="IJ51">
        <v>4.4610147972834149E-5</v>
      </c>
      <c r="IK51">
        <v>-2.082673137682459E-7</v>
      </c>
      <c r="IL51">
        <v>-4.0725795306076518E-11</v>
      </c>
      <c r="IM51">
        <v>-2.479999999998483E-3</v>
      </c>
      <c r="IN51">
        <v>0</v>
      </c>
      <c r="IO51">
        <v>0</v>
      </c>
      <c r="IP51">
        <v>0</v>
      </c>
      <c r="IQ51">
        <v>3</v>
      </c>
      <c r="IR51">
        <v>2179</v>
      </c>
      <c r="IS51">
        <v>0</v>
      </c>
      <c r="IT51">
        <v>22</v>
      </c>
      <c r="IU51">
        <v>0.5</v>
      </c>
      <c r="IV51">
        <v>0.6</v>
      </c>
      <c r="IW51">
        <v>1.2231399999999999</v>
      </c>
      <c r="IX51">
        <v>2.677</v>
      </c>
      <c r="IY51">
        <v>1.6015600000000001</v>
      </c>
      <c r="IZ51">
        <v>2.323</v>
      </c>
      <c r="JA51">
        <v>1.5502899999999999</v>
      </c>
      <c r="JB51">
        <v>2.34009</v>
      </c>
      <c r="JC51">
        <v>45.776800000000001</v>
      </c>
      <c r="JD51">
        <v>24.087499999999999</v>
      </c>
      <c r="JE51">
        <v>18</v>
      </c>
      <c r="JF51">
        <v>532.36900000000003</v>
      </c>
      <c r="JG51">
        <v>384.62700000000001</v>
      </c>
      <c r="JH51">
        <v>26.902999999999999</v>
      </c>
      <c r="JI51">
        <v>35.622</v>
      </c>
      <c r="JJ51">
        <v>30</v>
      </c>
      <c r="JK51">
        <v>35.676299999999998</v>
      </c>
      <c r="JL51">
        <v>35.668300000000002</v>
      </c>
      <c r="JM51">
        <v>24.489699999999999</v>
      </c>
      <c r="JN51">
        <v>22.895299999999999</v>
      </c>
      <c r="JO51">
        <v>48.805</v>
      </c>
      <c r="JP51">
        <v>26.912600000000001</v>
      </c>
      <c r="JQ51">
        <v>500</v>
      </c>
      <c r="JR51">
        <v>24.5289</v>
      </c>
      <c r="JS51">
        <v>98.305700000000002</v>
      </c>
      <c r="JT51">
        <v>98.709400000000002</v>
      </c>
    </row>
    <row r="52" spans="1:280" x14ac:dyDescent="0.25">
      <c r="A52">
        <v>36</v>
      </c>
      <c r="B52">
        <v>1700154290.5999999</v>
      </c>
      <c r="C52">
        <v>6417.0999999046326</v>
      </c>
      <c r="D52" t="s">
        <v>567</v>
      </c>
      <c r="E52" t="s">
        <v>568</v>
      </c>
      <c r="F52" t="s">
        <v>412</v>
      </c>
      <c r="G52" t="s">
        <v>539</v>
      </c>
      <c r="H52" t="s">
        <v>31</v>
      </c>
      <c r="I52">
        <v>1700154290.5999999</v>
      </c>
      <c r="J52">
        <f t="shared" si="46"/>
        <v>4.2097260033343385E-3</v>
      </c>
      <c r="K52">
        <f t="shared" si="47"/>
        <v>4.2097260033343389</v>
      </c>
      <c r="L52">
        <f t="shared" si="48"/>
        <v>42.180729562107992</v>
      </c>
      <c r="M52">
        <f t="shared" si="49"/>
        <v>356.30399999999997</v>
      </c>
      <c r="N52">
        <f t="shared" si="50"/>
        <v>109.54751288000874</v>
      </c>
      <c r="O52">
        <f t="shared" si="51"/>
        <v>10.885409191239253</v>
      </c>
      <c r="P52">
        <f t="shared" si="52"/>
        <v>35.404864378103994</v>
      </c>
      <c r="Q52">
        <f t="shared" si="53"/>
        <v>0.29223122512416039</v>
      </c>
      <c r="R52">
        <f t="shared" si="54"/>
        <v>3.1347911643715416</v>
      </c>
      <c r="S52">
        <f t="shared" si="55"/>
        <v>0.27789624954379866</v>
      </c>
      <c r="T52">
        <f t="shared" si="56"/>
        <v>0.17491448220711459</v>
      </c>
      <c r="U52">
        <f t="shared" si="57"/>
        <v>344.39219930239005</v>
      </c>
      <c r="V52">
        <f t="shared" si="58"/>
        <v>31.145027653909398</v>
      </c>
      <c r="W52">
        <f t="shared" si="59"/>
        <v>29.986599999999999</v>
      </c>
      <c r="X52">
        <f t="shared" si="60"/>
        <v>4.2571716676707947</v>
      </c>
      <c r="Y52">
        <f t="shared" si="61"/>
        <v>64.842226328213897</v>
      </c>
      <c r="Z52">
        <f t="shared" si="62"/>
        <v>2.8053990820414501</v>
      </c>
      <c r="AA52">
        <f t="shared" si="63"/>
        <v>4.3265002466776439</v>
      </c>
      <c r="AB52">
        <f t="shared" si="64"/>
        <v>1.4517725856293446</v>
      </c>
      <c r="AC52">
        <f t="shared" si="65"/>
        <v>-185.64891674704432</v>
      </c>
      <c r="AD52">
        <f t="shared" si="66"/>
        <v>47.574305442888196</v>
      </c>
      <c r="AE52">
        <f t="shared" si="67"/>
        <v>3.3787068515585856</v>
      </c>
      <c r="AF52">
        <f t="shared" si="68"/>
        <v>209.69629484979254</v>
      </c>
      <c r="AG52">
        <v>32</v>
      </c>
      <c r="AH52">
        <v>6</v>
      </c>
      <c r="AI52">
        <f t="shared" si="69"/>
        <v>1</v>
      </c>
      <c r="AJ52">
        <f t="shared" si="70"/>
        <v>0</v>
      </c>
      <c r="AK52">
        <f t="shared" si="71"/>
        <v>52042.531311290943</v>
      </c>
      <c r="AL52" t="s">
        <v>415</v>
      </c>
      <c r="AM52">
        <v>6977.87</v>
      </c>
      <c r="AN52">
        <v>273.15280000000001</v>
      </c>
      <c r="AO52">
        <v>850.46774885301022</v>
      </c>
      <c r="AP52">
        <f t="shared" si="72"/>
        <v>0.67882050745793765</v>
      </c>
      <c r="AQ52">
        <v>-1.0323826813720729</v>
      </c>
      <c r="AR52" t="s">
        <v>569</v>
      </c>
      <c r="AS52">
        <v>7114.33</v>
      </c>
      <c r="AT52">
        <v>545.99588461538463</v>
      </c>
      <c r="AU52">
        <v>808.74538175109251</v>
      </c>
      <c r="AV52">
        <f t="shared" si="73"/>
        <v>0.324885313801488</v>
      </c>
      <c r="AW52">
        <v>0.5</v>
      </c>
      <c r="AX52">
        <f t="shared" si="74"/>
        <v>1513.2854996511949</v>
      </c>
      <c r="AY52">
        <f t="shared" si="75"/>
        <v>42.180729562107992</v>
      </c>
      <c r="AZ52">
        <f t="shared" si="76"/>
        <v>245.82211721271</v>
      </c>
      <c r="BA52">
        <f t="shared" si="77"/>
        <v>2.8555822581687644E-2</v>
      </c>
      <c r="BB52">
        <f t="shared" si="78"/>
        <v>5.1589001981786405E-2</v>
      </c>
      <c r="BC52">
        <f t="shared" si="79"/>
        <v>268.70061104485626</v>
      </c>
      <c r="BD52" t="s">
        <v>570</v>
      </c>
      <c r="BE52">
        <v>416.21</v>
      </c>
      <c r="BF52">
        <f t="shared" si="80"/>
        <v>416.21</v>
      </c>
      <c r="BG52">
        <f t="shared" si="81"/>
        <v>0.48536336727039653</v>
      </c>
      <c r="BH52">
        <f t="shared" si="82"/>
        <v>0.66936513076499649</v>
      </c>
      <c r="BI52">
        <f t="shared" si="83"/>
        <v>9.6077426855634779E-2</v>
      </c>
      <c r="BJ52">
        <f t="shared" si="84"/>
        <v>0.49057717766863368</v>
      </c>
      <c r="BK52">
        <f t="shared" si="85"/>
        <v>7.2269680847187989E-2</v>
      </c>
      <c r="BL52">
        <f t="shared" si="86"/>
        <v>0.51025377466343103</v>
      </c>
      <c r="BM52">
        <f t="shared" si="87"/>
        <v>0.48974622533656897</v>
      </c>
      <c r="BN52">
        <v>11290</v>
      </c>
      <c r="BO52">
        <v>290.00000000000011</v>
      </c>
      <c r="BP52">
        <v>736.03</v>
      </c>
      <c r="BQ52">
        <v>295</v>
      </c>
      <c r="BR52">
        <v>7114.33</v>
      </c>
      <c r="BS52">
        <v>738.51</v>
      </c>
      <c r="BT52">
        <v>-2.48</v>
      </c>
      <c r="BU52">
        <v>300.00000000000011</v>
      </c>
      <c r="BV52">
        <v>38.299999999999997</v>
      </c>
      <c r="BW52">
        <v>808.74538175109251</v>
      </c>
      <c r="BX52">
        <v>1.4929574604309981</v>
      </c>
      <c r="BY52">
        <v>-49.970050500693972</v>
      </c>
      <c r="BZ52">
        <v>0.89031997915306971</v>
      </c>
      <c r="CA52">
        <v>0.99118976481377596</v>
      </c>
      <c r="CB52">
        <v>-7.0149179087875416E-3</v>
      </c>
      <c r="CC52">
        <v>289.99999999999989</v>
      </c>
      <c r="CD52">
        <v>748.99</v>
      </c>
      <c r="CE52">
        <v>845</v>
      </c>
      <c r="CF52">
        <v>7105.46</v>
      </c>
      <c r="CG52">
        <v>738.42</v>
      </c>
      <c r="CH52">
        <v>10.57</v>
      </c>
      <c r="CV52">
        <f t="shared" si="88"/>
        <v>1800.12</v>
      </c>
      <c r="CW52">
        <f t="shared" si="89"/>
        <v>1513.2854996511949</v>
      </c>
      <c r="CX52">
        <f t="shared" si="90"/>
        <v>0.84065812259804618</v>
      </c>
      <c r="CY52">
        <f t="shared" si="91"/>
        <v>0.19131624519609253</v>
      </c>
      <c r="CZ52">
        <v>5</v>
      </c>
      <c r="DA52">
        <v>0.5</v>
      </c>
      <c r="DB52" t="s">
        <v>418</v>
      </c>
      <c r="DC52">
        <v>2</v>
      </c>
      <c r="DD52">
        <v>1700154290.5999999</v>
      </c>
      <c r="DE52">
        <v>356.30399999999997</v>
      </c>
      <c r="DF52">
        <v>399.97</v>
      </c>
      <c r="DG52">
        <v>28.232700000000001</v>
      </c>
      <c r="DH52">
        <v>24.1432</v>
      </c>
      <c r="DI52">
        <v>356.82</v>
      </c>
      <c r="DJ52">
        <v>28.2333</v>
      </c>
      <c r="DK52">
        <v>500.16800000000001</v>
      </c>
      <c r="DL52">
        <v>99.267200000000003</v>
      </c>
      <c r="DM52">
        <v>9.9813499999999999E-2</v>
      </c>
      <c r="DN52">
        <v>30.2681</v>
      </c>
      <c r="DO52">
        <v>29.986599999999999</v>
      </c>
      <c r="DP52">
        <v>999.9</v>
      </c>
      <c r="DQ52">
        <v>0</v>
      </c>
      <c r="DR52">
        <v>0</v>
      </c>
      <c r="DS52">
        <v>10023.799999999999</v>
      </c>
      <c r="DT52">
        <v>0</v>
      </c>
      <c r="DU52">
        <v>161.46700000000001</v>
      </c>
      <c r="DV52">
        <v>-43.665799999999997</v>
      </c>
      <c r="DW52">
        <v>366.65600000000001</v>
      </c>
      <c r="DX52">
        <v>409.86500000000001</v>
      </c>
      <c r="DY52">
        <v>4.0895299999999999</v>
      </c>
      <c r="DZ52">
        <v>399.97</v>
      </c>
      <c r="EA52">
        <v>24.1432</v>
      </c>
      <c r="EB52">
        <v>2.8025799999999998</v>
      </c>
      <c r="EC52">
        <v>2.39662</v>
      </c>
      <c r="ED52">
        <v>22.8993</v>
      </c>
      <c r="EE52">
        <v>20.341000000000001</v>
      </c>
      <c r="EF52">
        <v>1800.12</v>
      </c>
      <c r="EG52">
        <v>0.97800200000000004</v>
      </c>
      <c r="EH52">
        <v>2.1998400000000001E-2</v>
      </c>
      <c r="EI52">
        <v>0</v>
      </c>
      <c r="EJ52">
        <v>545.80200000000002</v>
      </c>
      <c r="EK52">
        <v>5.0005300000000004</v>
      </c>
      <c r="EL52">
        <v>11830.1</v>
      </c>
      <c r="EM52">
        <v>16036.4</v>
      </c>
      <c r="EN52">
        <v>49.311999999999998</v>
      </c>
      <c r="EO52">
        <v>50.686999999999998</v>
      </c>
      <c r="EP52">
        <v>50.061999999999998</v>
      </c>
      <c r="EQ52">
        <v>50.061999999999998</v>
      </c>
      <c r="ER52">
        <v>50.436999999999998</v>
      </c>
      <c r="ES52">
        <v>1755.63</v>
      </c>
      <c r="ET52">
        <v>39.49</v>
      </c>
      <c r="EU52">
        <v>0</v>
      </c>
      <c r="EV52">
        <v>189</v>
      </c>
      <c r="EW52">
        <v>0</v>
      </c>
      <c r="EX52">
        <v>545.99588461538463</v>
      </c>
      <c r="EY52">
        <v>-0.65801710422796156</v>
      </c>
      <c r="EZ52">
        <v>-49.162393524361242</v>
      </c>
      <c r="FA52">
        <v>11832.50769230769</v>
      </c>
      <c r="FB52">
        <v>15</v>
      </c>
      <c r="FC52">
        <v>1700154171.0999999</v>
      </c>
      <c r="FD52" t="s">
        <v>571</v>
      </c>
      <c r="FE52">
        <v>1700154169.0999999</v>
      </c>
      <c r="FF52">
        <v>1700154171.0999999</v>
      </c>
      <c r="FG52">
        <v>39</v>
      </c>
      <c r="FH52">
        <v>-5.8000000000000003E-2</v>
      </c>
      <c r="FI52">
        <v>2E-3</v>
      </c>
      <c r="FJ52">
        <v>-0.52200000000000002</v>
      </c>
      <c r="FK52">
        <v>-1E-3</v>
      </c>
      <c r="FL52">
        <v>400</v>
      </c>
      <c r="FM52">
        <v>24</v>
      </c>
      <c r="FN52">
        <v>0.08</v>
      </c>
      <c r="FO52">
        <v>0.02</v>
      </c>
      <c r="FP52">
        <v>42.004866825015732</v>
      </c>
      <c r="FQ52">
        <v>0.66930010618095315</v>
      </c>
      <c r="FR52">
        <v>6.3955760294535646E-2</v>
      </c>
      <c r="FS52">
        <v>1</v>
      </c>
      <c r="FT52">
        <v>0.29926971654857248</v>
      </c>
      <c r="FU52">
        <v>-2.2165160078924911E-2</v>
      </c>
      <c r="FV52">
        <v>2.6046653818392021E-3</v>
      </c>
      <c r="FW52">
        <v>1</v>
      </c>
      <c r="FX52">
        <v>2</v>
      </c>
      <c r="FY52">
        <v>2</v>
      </c>
      <c r="FZ52" t="s">
        <v>420</v>
      </c>
      <c r="GA52">
        <v>3.1265200000000002</v>
      </c>
      <c r="GB52">
        <v>2.7669100000000002</v>
      </c>
      <c r="GC52">
        <v>8.1015000000000004E-2</v>
      </c>
      <c r="GD52">
        <v>8.8616399999999998E-2</v>
      </c>
      <c r="GE52">
        <v>0.11984</v>
      </c>
      <c r="GF52">
        <v>0.10760400000000001</v>
      </c>
      <c r="GG52">
        <v>21847</v>
      </c>
      <c r="GH52">
        <v>22545.1</v>
      </c>
      <c r="GI52">
        <v>23644.2</v>
      </c>
      <c r="GJ52">
        <v>25062.2</v>
      </c>
      <c r="GK52">
        <v>29974.3</v>
      </c>
      <c r="GL52">
        <v>31358</v>
      </c>
      <c r="GM52">
        <v>37694.699999999997</v>
      </c>
      <c r="GN52">
        <v>39012.699999999997</v>
      </c>
      <c r="GO52">
        <v>2.0168499999999998</v>
      </c>
      <c r="GP52">
        <v>1.7356499999999999</v>
      </c>
      <c r="GQ52">
        <v>-1.25095E-2</v>
      </c>
      <c r="GR52">
        <v>0</v>
      </c>
      <c r="GS52">
        <v>30.190200000000001</v>
      </c>
      <c r="GT52">
        <v>999.9</v>
      </c>
      <c r="GU52">
        <v>37.9</v>
      </c>
      <c r="GV52">
        <v>40.9</v>
      </c>
      <c r="GW52">
        <v>29.695799999999998</v>
      </c>
      <c r="GX52">
        <v>59.983699999999999</v>
      </c>
      <c r="GY52">
        <v>26.8309</v>
      </c>
      <c r="GZ52">
        <v>1</v>
      </c>
      <c r="HA52">
        <v>0.69919699999999996</v>
      </c>
      <c r="HB52">
        <v>2.3186399999999998</v>
      </c>
      <c r="HC52">
        <v>20.303000000000001</v>
      </c>
      <c r="HD52">
        <v>5.2512800000000004</v>
      </c>
      <c r="HE52">
        <v>12.0099</v>
      </c>
      <c r="HF52">
        <v>4.9777500000000003</v>
      </c>
      <c r="HG52">
        <v>3.2930000000000001</v>
      </c>
      <c r="HH52">
        <v>9999</v>
      </c>
      <c r="HI52">
        <v>9999</v>
      </c>
      <c r="HJ52">
        <v>9999</v>
      </c>
      <c r="HK52">
        <v>999.9</v>
      </c>
      <c r="HL52">
        <v>1.8760699999999999</v>
      </c>
      <c r="HM52">
        <v>1.8769800000000001</v>
      </c>
      <c r="HN52">
        <v>1.8832</v>
      </c>
      <c r="HO52">
        <v>1.8863300000000001</v>
      </c>
      <c r="HP52">
        <v>1.87713</v>
      </c>
      <c r="HQ52">
        <v>1.8836299999999999</v>
      </c>
      <c r="HR52">
        <v>1.88256</v>
      </c>
      <c r="HS52">
        <v>1.8859900000000001</v>
      </c>
      <c r="HT52">
        <v>5</v>
      </c>
      <c r="HU52">
        <v>0</v>
      </c>
      <c r="HV52">
        <v>0</v>
      </c>
      <c r="HW52">
        <v>0</v>
      </c>
      <c r="HX52" t="s">
        <v>421</v>
      </c>
      <c r="HY52" t="s">
        <v>422</v>
      </c>
      <c r="HZ52" t="s">
        <v>423</v>
      </c>
      <c r="IA52" t="s">
        <v>424</v>
      </c>
      <c r="IB52" t="s">
        <v>424</v>
      </c>
      <c r="IC52" t="s">
        <v>423</v>
      </c>
      <c r="ID52">
        <v>0</v>
      </c>
      <c r="IE52">
        <v>100</v>
      </c>
      <c r="IF52">
        <v>100</v>
      </c>
      <c r="IG52">
        <v>-0.51600000000000001</v>
      </c>
      <c r="IH52">
        <v>-5.9999999999999995E-4</v>
      </c>
      <c r="II52">
        <v>-0.50409664949766131</v>
      </c>
      <c r="IJ52">
        <v>4.4610147972834149E-5</v>
      </c>
      <c r="IK52">
        <v>-2.082673137682459E-7</v>
      </c>
      <c r="IL52">
        <v>-4.0725795306076518E-11</v>
      </c>
      <c r="IM52">
        <v>-6.199999999978445E-4</v>
      </c>
      <c r="IN52">
        <v>0</v>
      </c>
      <c r="IO52">
        <v>0</v>
      </c>
      <c r="IP52">
        <v>0</v>
      </c>
      <c r="IQ52">
        <v>3</v>
      </c>
      <c r="IR52">
        <v>2179</v>
      </c>
      <c r="IS52">
        <v>0</v>
      </c>
      <c r="IT52">
        <v>22</v>
      </c>
      <c r="IU52">
        <v>2</v>
      </c>
      <c r="IV52">
        <v>2</v>
      </c>
      <c r="IW52">
        <v>1.02295</v>
      </c>
      <c r="IX52">
        <v>2.67822</v>
      </c>
      <c r="IY52">
        <v>1.6015600000000001</v>
      </c>
      <c r="IZ52">
        <v>2.32422</v>
      </c>
      <c r="JA52">
        <v>1.5502899999999999</v>
      </c>
      <c r="JB52">
        <v>2.34619</v>
      </c>
      <c r="JC52">
        <v>45.633099999999999</v>
      </c>
      <c r="JD52">
        <v>24.105</v>
      </c>
      <c r="JE52">
        <v>18</v>
      </c>
      <c r="JF52">
        <v>532.42899999999997</v>
      </c>
      <c r="JG52">
        <v>384.03100000000001</v>
      </c>
      <c r="JH52">
        <v>27.503499999999999</v>
      </c>
      <c r="JI52">
        <v>35.612099999999998</v>
      </c>
      <c r="JJ52">
        <v>30.0001</v>
      </c>
      <c r="JK52">
        <v>35.656599999999997</v>
      </c>
      <c r="JL52">
        <v>35.651899999999998</v>
      </c>
      <c r="JM52">
        <v>20.4693</v>
      </c>
      <c r="JN52">
        <v>23.960999999999999</v>
      </c>
      <c r="JO52">
        <v>48.411200000000001</v>
      </c>
      <c r="JP52">
        <v>27.505400000000002</v>
      </c>
      <c r="JQ52">
        <v>400</v>
      </c>
      <c r="JR52">
        <v>24.212399999999999</v>
      </c>
      <c r="JS52">
        <v>98.312399999999997</v>
      </c>
      <c r="JT52">
        <v>98.718599999999995</v>
      </c>
    </row>
    <row r="53" spans="1:280" x14ac:dyDescent="0.25">
      <c r="A53">
        <v>37</v>
      </c>
      <c r="B53">
        <v>1700154473</v>
      </c>
      <c r="C53">
        <v>6599.5</v>
      </c>
      <c r="D53" t="s">
        <v>572</v>
      </c>
      <c r="E53" t="s">
        <v>573</v>
      </c>
      <c r="F53" t="s">
        <v>412</v>
      </c>
      <c r="G53" t="s">
        <v>539</v>
      </c>
      <c r="H53" t="s">
        <v>31</v>
      </c>
      <c r="I53">
        <v>1700154473</v>
      </c>
      <c r="J53">
        <f t="shared" si="46"/>
        <v>5.0281875779054509E-3</v>
      </c>
      <c r="K53">
        <f t="shared" si="47"/>
        <v>5.0281875779054506</v>
      </c>
      <c r="L53">
        <f t="shared" si="48"/>
        <v>36.512139780703031</v>
      </c>
      <c r="M53">
        <f t="shared" si="49"/>
        <v>262.13799999999998</v>
      </c>
      <c r="N53">
        <f t="shared" si="50"/>
        <v>86.741033087735318</v>
      </c>
      <c r="O53">
        <f t="shared" si="51"/>
        <v>8.6190093946437241</v>
      </c>
      <c r="P53">
        <f t="shared" si="52"/>
        <v>26.047302000747997</v>
      </c>
      <c r="Q53">
        <f t="shared" si="53"/>
        <v>0.35963962786659409</v>
      </c>
      <c r="R53">
        <f t="shared" si="54"/>
        <v>3.1292137069391579</v>
      </c>
      <c r="S53">
        <f t="shared" si="55"/>
        <v>0.33815350776397168</v>
      </c>
      <c r="T53">
        <f t="shared" si="56"/>
        <v>0.21316933268057722</v>
      </c>
      <c r="U53">
        <f t="shared" si="57"/>
        <v>344.34659930229708</v>
      </c>
      <c r="V53">
        <f t="shared" si="58"/>
        <v>31.040669709854338</v>
      </c>
      <c r="W53">
        <f t="shared" si="59"/>
        <v>29.9726</v>
      </c>
      <c r="X53">
        <f t="shared" si="60"/>
        <v>4.2537491303334081</v>
      </c>
      <c r="Y53">
        <f t="shared" si="61"/>
        <v>65.033336615255891</v>
      </c>
      <c r="Z53">
        <f t="shared" si="62"/>
        <v>2.8288972926508</v>
      </c>
      <c r="AA53">
        <f t="shared" si="63"/>
        <v>4.3499187338131771</v>
      </c>
      <c r="AB53">
        <f t="shared" si="64"/>
        <v>1.424851837682608</v>
      </c>
      <c r="AC53">
        <f t="shared" si="65"/>
        <v>-221.74307218563038</v>
      </c>
      <c r="AD53">
        <f t="shared" si="66"/>
        <v>65.74323540290618</v>
      </c>
      <c r="AE53">
        <f t="shared" si="67"/>
        <v>4.6792359913693984</v>
      </c>
      <c r="AF53">
        <f t="shared" si="68"/>
        <v>193.02599851094229</v>
      </c>
      <c r="AG53">
        <v>31</v>
      </c>
      <c r="AH53">
        <v>6</v>
      </c>
      <c r="AI53">
        <f t="shared" si="69"/>
        <v>1</v>
      </c>
      <c r="AJ53">
        <f t="shared" si="70"/>
        <v>0</v>
      </c>
      <c r="AK53">
        <f t="shared" si="71"/>
        <v>51884.85856638314</v>
      </c>
      <c r="AL53" t="s">
        <v>415</v>
      </c>
      <c r="AM53">
        <v>6977.87</v>
      </c>
      <c r="AN53">
        <v>273.15280000000001</v>
      </c>
      <c r="AO53">
        <v>850.46774885301022</v>
      </c>
      <c r="AP53">
        <f t="shared" si="72"/>
        <v>0.67882050745793765</v>
      </c>
      <c r="AQ53">
        <v>-1.0323826813720729</v>
      </c>
      <c r="AR53" t="s">
        <v>574</v>
      </c>
      <c r="AS53">
        <v>7114.3</v>
      </c>
      <c r="AT53">
        <v>552.23957692307692</v>
      </c>
      <c r="AU53">
        <v>779.66548223895438</v>
      </c>
      <c r="AV53">
        <f t="shared" si="73"/>
        <v>0.29169677316325671</v>
      </c>
      <c r="AW53">
        <v>0.5</v>
      </c>
      <c r="AX53">
        <f t="shared" si="74"/>
        <v>1513.0838996511486</v>
      </c>
      <c r="AY53">
        <f t="shared" si="75"/>
        <v>36.512139780703031</v>
      </c>
      <c r="AZ53">
        <f t="shared" si="76"/>
        <v>220.68084552675847</v>
      </c>
      <c r="BA53">
        <f t="shared" si="77"/>
        <v>2.4813245630814811E-2</v>
      </c>
      <c r="BB53">
        <f t="shared" si="78"/>
        <v>9.0811082736065168E-2</v>
      </c>
      <c r="BC53">
        <f t="shared" si="79"/>
        <v>265.41162990199723</v>
      </c>
      <c r="BD53" t="s">
        <v>575</v>
      </c>
      <c r="BE53">
        <v>419.56</v>
      </c>
      <c r="BF53">
        <f t="shared" si="80"/>
        <v>419.56</v>
      </c>
      <c r="BG53">
        <f t="shared" si="81"/>
        <v>0.46187177763063791</v>
      </c>
      <c r="BH53">
        <f t="shared" si="82"/>
        <v>0.63155357675161683</v>
      </c>
      <c r="BI53">
        <f t="shared" si="83"/>
        <v>0.16430956928140011</v>
      </c>
      <c r="BJ53">
        <f t="shared" si="84"/>
        <v>0.44900337798173068</v>
      </c>
      <c r="BK53">
        <f t="shared" si="85"/>
        <v>0.12264062580524439</v>
      </c>
      <c r="BL53">
        <f t="shared" si="86"/>
        <v>0.4798182342132597</v>
      </c>
      <c r="BM53">
        <f t="shared" si="87"/>
        <v>0.52018176578674025</v>
      </c>
      <c r="BN53">
        <v>11292</v>
      </c>
      <c r="BO53">
        <v>290.00000000000011</v>
      </c>
      <c r="BP53">
        <v>715.58</v>
      </c>
      <c r="BQ53">
        <v>285</v>
      </c>
      <c r="BR53">
        <v>7114.3</v>
      </c>
      <c r="BS53">
        <v>717.97</v>
      </c>
      <c r="BT53">
        <v>-2.39</v>
      </c>
      <c r="BU53">
        <v>300.00000000000011</v>
      </c>
      <c r="BV53">
        <v>38.299999999999997</v>
      </c>
      <c r="BW53">
        <v>779.66548223895438</v>
      </c>
      <c r="BX53">
        <v>1.2032340747659951</v>
      </c>
      <c r="BY53">
        <v>-43.894911924161057</v>
      </c>
      <c r="BZ53">
        <v>0.71754323740600534</v>
      </c>
      <c r="CA53">
        <v>0.99257342685190253</v>
      </c>
      <c r="CB53">
        <v>-7.0147724137931038E-3</v>
      </c>
      <c r="CC53">
        <v>289.99999999999989</v>
      </c>
      <c r="CD53">
        <v>726.34</v>
      </c>
      <c r="CE53">
        <v>885</v>
      </c>
      <c r="CF53">
        <v>7104.75</v>
      </c>
      <c r="CG53">
        <v>717.88</v>
      </c>
      <c r="CH53">
        <v>8.4600000000000009</v>
      </c>
      <c r="CV53">
        <f t="shared" si="88"/>
        <v>1799.88</v>
      </c>
      <c r="CW53">
        <f t="shared" si="89"/>
        <v>1513.0838996511486</v>
      </c>
      <c r="CX53">
        <f t="shared" si="90"/>
        <v>0.84065821035355048</v>
      </c>
      <c r="CY53">
        <f t="shared" si="91"/>
        <v>0.19131642070710106</v>
      </c>
      <c r="CZ53">
        <v>5</v>
      </c>
      <c r="DA53">
        <v>0.5</v>
      </c>
      <c r="DB53" t="s">
        <v>418</v>
      </c>
      <c r="DC53">
        <v>2</v>
      </c>
      <c r="DD53">
        <v>1700154473</v>
      </c>
      <c r="DE53">
        <v>262.13799999999998</v>
      </c>
      <c r="DF53">
        <v>299.95400000000001</v>
      </c>
      <c r="DG53">
        <v>28.469799999999999</v>
      </c>
      <c r="DH53">
        <v>23.586600000000001</v>
      </c>
      <c r="DI53">
        <v>262.35599999999999</v>
      </c>
      <c r="DJ53">
        <v>28.4725</v>
      </c>
      <c r="DK53">
        <v>500.18799999999999</v>
      </c>
      <c r="DL53">
        <v>99.264799999999994</v>
      </c>
      <c r="DM53">
        <v>0.100046</v>
      </c>
      <c r="DN53">
        <v>30.362300000000001</v>
      </c>
      <c r="DO53">
        <v>29.9726</v>
      </c>
      <c r="DP53">
        <v>999.9</v>
      </c>
      <c r="DQ53">
        <v>0</v>
      </c>
      <c r="DR53">
        <v>0</v>
      </c>
      <c r="DS53">
        <v>9995.6200000000008</v>
      </c>
      <c r="DT53">
        <v>0</v>
      </c>
      <c r="DU53">
        <v>164.31</v>
      </c>
      <c r="DV53">
        <v>-37.816600000000001</v>
      </c>
      <c r="DW53">
        <v>269.81900000000002</v>
      </c>
      <c r="DX53">
        <v>307.2</v>
      </c>
      <c r="DY53">
        <v>4.8832399999999998</v>
      </c>
      <c r="DZ53">
        <v>299.95400000000001</v>
      </c>
      <c r="EA53">
        <v>23.586600000000001</v>
      </c>
      <c r="EB53">
        <v>2.82605</v>
      </c>
      <c r="EC53">
        <v>2.34131</v>
      </c>
      <c r="ED53">
        <v>23.036999999999999</v>
      </c>
      <c r="EE53">
        <v>19.9635</v>
      </c>
      <c r="EF53">
        <v>1799.88</v>
      </c>
      <c r="EG53">
        <v>0.97799800000000003</v>
      </c>
      <c r="EH53">
        <v>2.2002000000000001E-2</v>
      </c>
      <c r="EI53">
        <v>0</v>
      </c>
      <c r="EJ53">
        <v>552.16</v>
      </c>
      <c r="EK53">
        <v>5.0005300000000004</v>
      </c>
      <c r="EL53">
        <v>12203.2</v>
      </c>
      <c r="EM53">
        <v>16034.2</v>
      </c>
      <c r="EN53">
        <v>49.311999999999998</v>
      </c>
      <c r="EO53">
        <v>50.561999999999998</v>
      </c>
      <c r="EP53">
        <v>50</v>
      </c>
      <c r="EQ53">
        <v>50</v>
      </c>
      <c r="ER53">
        <v>50.5</v>
      </c>
      <c r="ES53">
        <v>1755.39</v>
      </c>
      <c r="ET53">
        <v>39.49</v>
      </c>
      <c r="EU53">
        <v>0</v>
      </c>
      <c r="EV53">
        <v>180.79999995231631</v>
      </c>
      <c r="EW53">
        <v>0</v>
      </c>
      <c r="EX53">
        <v>552.23957692307692</v>
      </c>
      <c r="EY53">
        <v>-0.53801709175055556</v>
      </c>
      <c r="EZ53">
        <v>-883.85641132279056</v>
      </c>
      <c r="FA53">
        <v>12311.47692307692</v>
      </c>
      <c r="FB53">
        <v>15</v>
      </c>
      <c r="FC53">
        <v>1700154362.0999999</v>
      </c>
      <c r="FD53" t="s">
        <v>576</v>
      </c>
      <c r="FE53">
        <v>1700154360.0999999</v>
      </c>
      <c r="FF53">
        <v>1700154362.0999999</v>
      </c>
      <c r="FG53">
        <v>40</v>
      </c>
      <c r="FH53">
        <v>0.28999999999999998</v>
      </c>
      <c r="FI53">
        <v>-2E-3</v>
      </c>
      <c r="FJ53">
        <v>-0.221</v>
      </c>
      <c r="FK53">
        <v>-3.0000000000000001E-3</v>
      </c>
      <c r="FL53">
        <v>300</v>
      </c>
      <c r="FM53">
        <v>24</v>
      </c>
      <c r="FN53">
        <v>0.06</v>
      </c>
      <c r="FO53">
        <v>0.02</v>
      </c>
      <c r="FP53">
        <v>36.381286064165913</v>
      </c>
      <c r="FQ53">
        <v>0.63232308095522249</v>
      </c>
      <c r="FR53">
        <v>5.1042503404233247E-2</v>
      </c>
      <c r="FS53">
        <v>1</v>
      </c>
      <c r="FT53">
        <v>0.35608834225554342</v>
      </c>
      <c r="FU53">
        <v>4.4877389571495431E-2</v>
      </c>
      <c r="FV53">
        <v>3.442255741614355E-3</v>
      </c>
      <c r="FW53">
        <v>1</v>
      </c>
      <c r="FX53">
        <v>2</v>
      </c>
      <c r="FY53">
        <v>2</v>
      </c>
      <c r="FZ53" t="s">
        <v>420</v>
      </c>
      <c r="GA53">
        <v>3.1265900000000002</v>
      </c>
      <c r="GB53">
        <v>2.76688</v>
      </c>
      <c r="GC53">
        <v>6.30439E-2</v>
      </c>
      <c r="GD53">
        <v>7.05514E-2</v>
      </c>
      <c r="GE53">
        <v>0.12053899999999999</v>
      </c>
      <c r="GF53">
        <v>0.105847</v>
      </c>
      <c r="GG53">
        <v>22273.599999999999</v>
      </c>
      <c r="GH53">
        <v>22992.6</v>
      </c>
      <c r="GI53">
        <v>23643.9</v>
      </c>
      <c r="GJ53">
        <v>25063</v>
      </c>
      <c r="GK53">
        <v>29950.2</v>
      </c>
      <c r="GL53">
        <v>31420.400000000001</v>
      </c>
      <c r="GM53">
        <v>37694.199999999997</v>
      </c>
      <c r="GN53">
        <v>39013.5</v>
      </c>
      <c r="GO53">
        <v>2.0186999999999999</v>
      </c>
      <c r="GP53">
        <v>1.7344200000000001</v>
      </c>
      <c r="GQ53">
        <v>-2.1994099999999999E-2</v>
      </c>
      <c r="GR53">
        <v>0</v>
      </c>
      <c r="GS53">
        <v>30.330400000000001</v>
      </c>
      <c r="GT53">
        <v>999.9</v>
      </c>
      <c r="GU53">
        <v>37.700000000000003</v>
      </c>
      <c r="GV53">
        <v>41</v>
      </c>
      <c r="GW53">
        <v>29.6968</v>
      </c>
      <c r="GX53">
        <v>60.883699999999997</v>
      </c>
      <c r="GY53">
        <v>26.822900000000001</v>
      </c>
      <c r="GZ53">
        <v>1</v>
      </c>
      <c r="HA53">
        <v>0.69992600000000005</v>
      </c>
      <c r="HB53">
        <v>2.3319299999999998</v>
      </c>
      <c r="HC53">
        <v>20.302499999999998</v>
      </c>
      <c r="HD53">
        <v>5.25143</v>
      </c>
      <c r="HE53">
        <v>12.0099</v>
      </c>
      <c r="HF53">
        <v>4.97865</v>
      </c>
      <c r="HG53">
        <v>3.2930000000000001</v>
      </c>
      <c r="HH53">
        <v>9999</v>
      </c>
      <c r="HI53">
        <v>9999</v>
      </c>
      <c r="HJ53">
        <v>9999</v>
      </c>
      <c r="HK53">
        <v>999.9</v>
      </c>
      <c r="HL53">
        <v>1.8760699999999999</v>
      </c>
      <c r="HM53">
        <v>1.8769800000000001</v>
      </c>
      <c r="HN53">
        <v>1.88314</v>
      </c>
      <c r="HO53">
        <v>1.88629</v>
      </c>
      <c r="HP53">
        <v>1.87706</v>
      </c>
      <c r="HQ53">
        <v>1.8835500000000001</v>
      </c>
      <c r="HR53">
        <v>1.8825400000000001</v>
      </c>
      <c r="HS53">
        <v>1.88598</v>
      </c>
      <c r="HT53">
        <v>5</v>
      </c>
      <c r="HU53">
        <v>0</v>
      </c>
      <c r="HV53">
        <v>0</v>
      </c>
      <c r="HW53">
        <v>0</v>
      </c>
      <c r="HX53" t="s">
        <v>421</v>
      </c>
      <c r="HY53" t="s">
        <v>422</v>
      </c>
      <c r="HZ53" t="s">
        <v>423</v>
      </c>
      <c r="IA53" t="s">
        <v>424</v>
      </c>
      <c r="IB53" t="s">
        <v>424</v>
      </c>
      <c r="IC53" t="s">
        <v>423</v>
      </c>
      <c r="ID53">
        <v>0</v>
      </c>
      <c r="IE53">
        <v>100</v>
      </c>
      <c r="IF53">
        <v>100</v>
      </c>
      <c r="IG53">
        <v>-0.218</v>
      </c>
      <c r="IH53">
        <v>-2.7000000000000001E-3</v>
      </c>
      <c r="II53">
        <v>-0.214624672020405</v>
      </c>
      <c r="IJ53">
        <v>4.4610147972834149E-5</v>
      </c>
      <c r="IK53">
        <v>-2.082673137682459E-7</v>
      </c>
      <c r="IL53">
        <v>-4.0725795306076518E-11</v>
      </c>
      <c r="IM53">
        <v>-2.739999999999299E-3</v>
      </c>
      <c r="IN53">
        <v>0</v>
      </c>
      <c r="IO53">
        <v>0</v>
      </c>
      <c r="IP53">
        <v>0</v>
      </c>
      <c r="IQ53">
        <v>3</v>
      </c>
      <c r="IR53">
        <v>2179</v>
      </c>
      <c r="IS53">
        <v>0</v>
      </c>
      <c r="IT53">
        <v>22</v>
      </c>
      <c r="IU53">
        <v>1.9</v>
      </c>
      <c r="IV53">
        <v>1.8</v>
      </c>
      <c r="IW53">
        <v>0.81420899999999996</v>
      </c>
      <c r="IX53">
        <v>2.6879900000000001</v>
      </c>
      <c r="IY53">
        <v>1.6015600000000001</v>
      </c>
      <c r="IZ53">
        <v>2.323</v>
      </c>
      <c r="JA53">
        <v>1.5502899999999999</v>
      </c>
      <c r="JB53">
        <v>2.3706100000000001</v>
      </c>
      <c r="JC53">
        <v>45.547199999999997</v>
      </c>
      <c r="JD53">
        <v>24.113800000000001</v>
      </c>
      <c r="JE53">
        <v>18</v>
      </c>
      <c r="JF53">
        <v>533.64400000000001</v>
      </c>
      <c r="JG53">
        <v>383.25200000000001</v>
      </c>
      <c r="JH53">
        <v>27.600999999999999</v>
      </c>
      <c r="JI53">
        <v>35.622</v>
      </c>
      <c r="JJ53">
        <v>30.0001</v>
      </c>
      <c r="JK53">
        <v>35.656599999999997</v>
      </c>
      <c r="JL53">
        <v>35.648600000000002</v>
      </c>
      <c r="JM53">
        <v>16.278400000000001</v>
      </c>
      <c r="JN53">
        <v>25.718299999999999</v>
      </c>
      <c r="JO53">
        <v>47.715299999999999</v>
      </c>
      <c r="JP53">
        <v>27.623100000000001</v>
      </c>
      <c r="JQ53">
        <v>300</v>
      </c>
      <c r="JR53">
        <v>23.555099999999999</v>
      </c>
      <c r="JS53">
        <v>98.311099999999996</v>
      </c>
      <c r="JT53">
        <v>98.721199999999996</v>
      </c>
    </row>
    <row r="54" spans="1:280" x14ac:dyDescent="0.25">
      <c r="A54">
        <v>38</v>
      </c>
      <c r="B54">
        <v>1700154654.5</v>
      </c>
      <c r="C54">
        <v>6781</v>
      </c>
      <c r="D54" t="s">
        <v>577</v>
      </c>
      <c r="E54" t="s">
        <v>578</v>
      </c>
      <c r="F54" t="s">
        <v>412</v>
      </c>
      <c r="G54" t="s">
        <v>539</v>
      </c>
      <c r="H54" t="s">
        <v>31</v>
      </c>
      <c r="I54">
        <v>1700154654.5</v>
      </c>
      <c r="J54">
        <f t="shared" si="46"/>
        <v>5.8871221428319952E-3</v>
      </c>
      <c r="K54">
        <f t="shared" si="47"/>
        <v>5.8871221428319949</v>
      </c>
      <c r="L54">
        <f t="shared" si="48"/>
        <v>28.264547964699265</v>
      </c>
      <c r="M54">
        <f t="shared" si="49"/>
        <v>170.73699999999999</v>
      </c>
      <c r="N54">
        <f t="shared" si="50"/>
        <v>57.378376505393426</v>
      </c>
      <c r="O54">
        <f t="shared" si="51"/>
        <v>5.7008374339633452</v>
      </c>
      <c r="P54">
        <f t="shared" si="52"/>
        <v>16.963600928498</v>
      </c>
      <c r="Q54">
        <f t="shared" si="53"/>
        <v>0.43538419452083926</v>
      </c>
      <c r="R54">
        <f t="shared" si="54"/>
        <v>3.1209026750908415</v>
      </c>
      <c r="S54">
        <f t="shared" si="55"/>
        <v>0.40423739315659019</v>
      </c>
      <c r="T54">
        <f t="shared" si="56"/>
        <v>0.25526085810444482</v>
      </c>
      <c r="U54">
        <f t="shared" si="57"/>
        <v>344.35039930230477</v>
      </c>
      <c r="V54">
        <f t="shared" si="58"/>
        <v>31.03200792245741</v>
      </c>
      <c r="W54">
        <f t="shared" si="59"/>
        <v>29.9359</v>
      </c>
      <c r="X54">
        <f t="shared" si="60"/>
        <v>4.2447885732113848</v>
      </c>
      <c r="Y54">
        <f t="shared" si="61"/>
        <v>64.761696956625016</v>
      </c>
      <c r="Z54">
        <f t="shared" si="62"/>
        <v>2.8494859456891999</v>
      </c>
      <c r="AA54">
        <f t="shared" si="63"/>
        <v>4.3999556521776757</v>
      </c>
      <c r="AB54">
        <f t="shared" si="64"/>
        <v>1.3953026275221849</v>
      </c>
      <c r="AC54">
        <f t="shared" si="65"/>
        <v>-259.62208649889101</v>
      </c>
      <c r="AD54">
        <f t="shared" si="66"/>
        <v>105.36072056320944</v>
      </c>
      <c r="AE54">
        <f t="shared" si="67"/>
        <v>7.5250312815475979</v>
      </c>
      <c r="AF54">
        <f t="shared" si="68"/>
        <v>197.61406464817077</v>
      </c>
      <c r="AG54">
        <v>31</v>
      </c>
      <c r="AH54">
        <v>6</v>
      </c>
      <c r="AI54">
        <f t="shared" si="69"/>
        <v>1</v>
      </c>
      <c r="AJ54">
        <f t="shared" si="70"/>
        <v>0</v>
      </c>
      <c r="AK54">
        <f t="shared" si="71"/>
        <v>51640.073438576408</v>
      </c>
      <c r="AL54" t="s">
        <v>427</v>
      </c>
      <c r="AM54" t="s">
        <v>427</v>
      </c>
      <c r="AN54">
        <v>0</v>
      </c>
      <c r="AO54">
        <v>0</v>
      </c>
      <c r="AP54" t="e">
        <f t="shared" si="72"/>
        <v>#DIV/0!</v>
      </c>
      <c r="AQ54">
        <v>0</v>
      </c>
      <c r="AR54" t="s">
        <v>427</v>
      </c>
      <c r="AS54" t="s">
        <v>427</v>
      </c>
      <c r="AT54">
        <v>0</v>
      </c>
      <c r="AU54">
        <v>0</v>
      </c>
      <c r="AV54" t="e">
        <f t="shared" si="73"/>
        <v>#DIV/0!</v>
      </c>
      <c r="AW54">
        <v>0.5</v>
      </c>
      <c r="AX54">
        <f t="shared" si="74"/>
        <v>1513.1006996511521</v>
      </c>
      <c r="AY54">
        <f t="shared" si="75"/>
        <v>28.264547964699265</v>
      </c>
      <c r="AZ54" t="e">
        <f t="shared" si="76"/>
        <v>#DIV/0!</v>
      </c>
      <c r="BA54">
        <f t="shared" si="77"/>
        <v>1.8679885595992193E-2</v>
      </c>
      <c r="BB54" t="e">
        <f t="shared" si="78"/>
        <v>#DIV/0!</v>
      </c>
      <c r="BC54" t="e">
        <f t="shared" si="79"/>
        <v>#DIV/0!</v>
      </c>
      <c r="BD54" t="s">
        <v>427</v>
      </c>
      <c r="BE54">
        <v>0</v>
      </c>
      <c r="BF54" t="e">
        <f t="shared" si="80"/>
        <v>#DIV/0!</v>
      </c>
      <c r="BG54" t="e">
        <f t="shared" si="81"/>
        <v>#DIV/0!</v>
      </c>
      <c r="BH54" t="e">
        <f t="shared" si="82"/>
        <v>#DIV/0!</v>
      </c>
      <c r="BI54" t="e">
        <f t="shared" si="83"/>
        <v>#DIV/0!</v>
      </c>
      <c r="BJ54" t="e">
        <f t="shared" si="84"/>
        <v>#DIV/0!</v>
      </c>
      <c r="BK54" t="e">
        <f t="shared" si="85"/>
        <v>#DIV/0!</v>
      </c>
      <c r="BL54" t="e">
        <f t="shared" si="86"/>
        <v>#DIV/0!</v>
      </c>
      <c r="BM54" t="e">
        <f t="shared" si="87"/>
        <v>#DIV/0!</v>
      </c>
      <c r="BN54">
        <v>11292</v>
      </c>
      <c r="BO54">
        <v>290.00000000000011</v>
      </c>
      <c r="BP54">
        <v>715.58</v>
      </c>
      <c r="BQ54">
        <v>285</v>
      </c>
      <c r="BR54">
        <v>7114.3</v>
      </c>
      <c r="BS54">
        <v>717.97</v>
      </c>
      <c r="BT54">
        <v>-2.39</v>
      </c>
      <c r="BU54">
        <v>300.00000000000011</v>
      </c>
      <c r="BV54">
        <v>38.299999999999997</v>
      </c>
      <c r="BW54">
        <v>779.66548223895438</v>
      </c>
      <c r="BX54">
        <v>1.2032340747659951</v>
      </c>
      <c r="BY54">
        <v>-43.894911924161057</v>
      </c>
      <c r="BZ54">
        <v>0.71754323740600534</v>
      </c>
      <c r="CA54">
        <v>0.99257342685190253</v>
      </c>
      <c r="CB54">
        <v>-7.0147724137931038E-3</v>
      </c>
      <c r="CC54">
        <v>289.99999999999989</v>
      </c>
      <c r="CD54">
        <v>726.34</v>
      </c>
      <c r="CE54">
        <v>885</v>
      </c>
      <c r="CF54">
        <v>7104.75</v>
      </c>
      <c r="CG54">
        <v>717.88</v>
      </c>
      <c r="CH54">
        <v>8.4600000000000009</v>
      </c>
      <c r="CV54">
        <f t="shared" si="88"/>
        <v>1799.9</v>
      </c>
      <c r="CW54">
        <f t="shared" si="89"/>
        <v>1513.1006996511521</v>
      </c>
      <c r="CX54">
        <f t="shared" si="90"/>
        <v>0.84065820303969785</v>
      </c>
      <c r="CY54">
        <f t="shared" si="91"/>
        <v>0.19131640607939593</v>
      </c>
      <c r="CZ54">
        <v>5</v>
      </c>
      <c r="DA54">
        <v>0.5</v>
      </c>
      <c r="DB54" t="s">
        <v>418</v>
      </c>
      <c r="DC54">
        <v>2</v>
      </c>
      <c r="DD54">
        <v>1700154654.5</v>
      </c>
      <c r="DE54">
        <v>170.73699999999999</v>
      </c>
      <c r="DF54">
        <v>199.994</v>
      </c>
      <c r="DG54">
        <v>28.6798</v>
      </c>
      <c r="DH54">
        <v>22.963999999999999</v>
      </c>
      <c r="DI54">
        <v>170.89699999999999</v>
      </c>
      <c r="DJ54">
        <v>28.683900000000001</v>
      </c>
      <c r="DK54">
        <v>500.21699999999998</v>
      </c>
      <c r="DL54">
        <v>99.254599999999996</v>
      </c>
      <c r="DM54">
        <v>0.100554</v>
      </c>
      <c r="DN54">
        <v>30.562100000000001</v>
      </c>
      <c r="DO54">
        <v>29.9359</v>
      </c>
      <c r="DP54">
        <v>999.9</v>
      </c>
      <c r="DQ54">
        <v>0</v>
      </c>
      <c r="DR54">
        <v>0</v>
      </c>
      <c r="DS54">
        <v>9954.3799999999992</v>
      </c>
      <c r="DT54">
        <v>0</v>
      </c>
      <c r="DU54">
        <v>166.52699999999999</v>
      </c>
      <c r="DV54">
        <v>-29.256699999999999</v>
      </c>
      <c r="DW54">
        <v>175.77799999999999</v>
      </c>
      <c r="DX54">
        <v>204.69399999999999</v>
      </c>
      <c r="DY54">
        <v>5.7158199999999999</v>
      </c>
      <c r="DZ54">
        <v>199.994</v>
      </c>
      <c r="EA54">
        <v>22.963999999999999</v>
      </c>
      <c r="EB54">
        <v>2.8466</v>
      </c>
      <c r="EC54">
        <v>2.27928</v>
      </c>
      <c r="ED54">
        <v>23.1568</v>
      </c>
      <c r="EE54">
        <v>19.5307</v>
      </c>
      <c r="EF54">
        <v>1799.9</v>
      </c>
      <c r="EG54">
        <v>0.97799800000000003</v>
      </c>
      <c r="EH54">
        <v>2.2002000000000001E-2</v>
      </c>
      <c r="EI54">
        <v>0</v>
      </c>
      <c r="EJ54">
        <v>566.63199999999995</v>
      </c>
      <c r="EK54">
        <v>5.0005300000000004</v>
      </c>
      <c r="EL54">
        <v>11999</v>
      </c>
      <c r="EM54">
        <v>16034.4</v>
      </c>
      <c r="EN54">
        <v>49.25</v>
      </c>
      <c r="EO54">
        <v>50.436999999999998</v>
      </c>
      <c r="EP54">
        <v>49.875</v>
      </c>
      <c r="EQ54">
        <v>49.875</v>
      </c>
      <c r="ER54">
        <v>50.436999999999998</v>
      </c>
      <c r="ES54">
        <v>1755.41</v>
      </c>
      <c r="ET54">
        <v>39.49</v>
      </c>
      <c r="EU54">
        <v>0</v>
      </c>
      <c r="EV54">
        <v>179.4000000953674</v>
      </c>
      <c r="EW54">
        <v>0</v>
      </c>
      <c r="EX54">
        <v>566.75536</v>
      </c>
      <c r="EY54">
        <v>-1.243076922129257</v>
      </c>
      <c r="EZ54">
        <v>-236.7153849296057</v>
      </c>
      <c r="FA54">
        <v>12032.736000000001</v>
      </c>
      <c r="FB54">
        <v>15</v>
      </c>
      <c r="FC54">
        <v>1700154552.5</v>
      </c>
      <c r="FD54" t="s">
        <v>579</v>
      </c>
      <c r="FE54">
        <v>1700154550.5</v>
      </c>
      <c r="FF54">
        <v>1700154552.5</v>
      </c>
      <c r="FG54">
        <v>41</v>
      </c>
      <c r="FH54">
        <v>5.2999999999999999E-2</v>
      </c>
      <c r="FI54">
        <v>-1E-3</v>
      </c>
      <c r="FJ54">
        <v>-0.161</v>
      </c>
      <c r="FK54">
        <v>-4.0000000000000001E-3</v>
      </c>
      <c r="FL54">
        <v>200</v>
      </c>
      <c r="FM54">
        <v>24</v>
      </c>
      <c r="FN54">
        <v>0.04</v>
      </c>
      <c r="FO54">
        <v>0.02</v>
      </c>
      <c r="FP54">
        <v>28.16648895071026</v>
      </c>
      <c r="FQ54">
        <v>0.65161066371248821</v>
      </c>
      <c r="FR54">
        <v>6.2687163024168435E-2</v>
      </c>
      <c r="FS54">
        <v>1</v>
      </c>
      <c r="FT54">
        <v>0.43358365113976721</v>
      </c>
      <c r="FU54">
        <v>3.0862902420240049E-2</v>
      </c>
      <c r="FV54">
        <v>2.8077274880016411E-3</v>
      </c>
      <c r="FW54">
        <v>1</v>
      </c>
      <c r="FX54">
        <v>2</v>
      </c>
      <c r="FY54">
        <v>2</v>
      </c>
      <c r="FZ54" t="s">
        <v>420</v>
      </c>
      <c r="GA54">
        <v>3.1267100000000001</v>
      </c>
      <c r="GB54">
        <v>2.7670400000000002</v>
      </c>
      <c r="GC54">
        <v>4.3303000000000001E-2</v>
      </c>
      <c r="GD54">
        <v>4.99456E-2</v>
      </c>
      <c r="GE54">
        <v>0.121142</v>
      </c>
      <c r="GF54">
        <v>0.103852</v>
      </c>
      <c r="GG54">
        <v>22741.8</v>
      </c>
      <c r="GH54">
        <v>23502.5</v>
      </c>
      <c r="GI54">
        <v>23643.5</v>
      </c>
      <c r="GJ54">
        <v>25063.7</v>
      </c>
      <c r="GK54">
        <v>29929.5</v>
      </c>
      <c r="GL54">
        <v>31490.400000000001</v>
      </c>
      <c r="GM54">
        <v>37694</v>
      </c>
      <c r="GN54">
        <v>39013.4</v>
      </c>
      <c r="GO54">
        <v>2.0179800000000001</v>
      </c>
      <c r="GP54">
        <v>1.73295</v>
      </c>
      <c r="GQ54">
        <v>-2.9318E-2</v>
      </c>
      <c r="GR54">
        <v>0</v>
      </c>
      <c r="GS54">
        <v>30.4129</v>
      </c>
      <c r="GT54">
        <v>999.9</v>
      </c>
      <c r="GU54">
        <v>37.4</v>
      </c>
      <c r="GV54">
        <v>41</v>
      </c>
      <c r="GW54">
        <v>29.463000000000001</v>
      </c>
      <c r="GX54">
        <v>60.393700000000003</v>
      </c>
      <c r="GY54">
        <v>26.826899999999998</v>
      </c>
      <c r="GZ54">
        <v>1</v>
      </c>
      <c r="HA54">
        <v>0.69919500000000001</v>
      </c>
      <c r="HB54">
        <v>1.8574900000000001</v>
      </c>
      <c r="HC54">
        <v>20.3081</v>
      </c>
      <c r="HD54">
        <v>5.2515799999999997</v>
      </c>
      <c r="HE54">
        <v>12.0101</v>
      </c>
      <c r="HF54">
        <v>4.9786999999999999</v>
      </c>
      <c r="HG54">
        <v>3.2930000000000001</v>
      </c>
      <c r="HH54">
        <v>9999</v>
      </c>
      <c r="HI54">
        <v>9999</v>
      </c>
      <c r="HJ54">
        <v>9999</v>
      </c>
      <c r="HK54">
        <v>999.9</v>
      </c>
      <c r="HL54">
        <v>1.8760699999999999</v>
      </c>
      <c r="HM54">
        <v>1.8769800000000001</v>
      </c>
      <c r="HN54">
        <v>1.88314</v>
      </c>
      <c r="HO54">
        <v>1.88629</v>
      </c>
      <c r="HP54">
        <v>1.8771</v>
      </c>
      <c r="HQ54">
        <v>1.8835500000000001</v>
      </c>
      <c r="HR54">
        <v>1.88252</v>
      </c>
      <c r="HS54">
        <v>1.88598</v>
      </c>
      <c r="HT54">
        <v>5</v>
      </c>
      <c r="HU54">
        <v>0</v>
      </c>
      <c r="HV54">
        <v>0</v>
      </c>
      <c r="HW54">
        <v>0</v>
      </c>
      <c r="HX54" t="s">
        <v>421</v>
      </c>
      <c r="HY54" t="s">
        <v>422</v>
      </c>
      <c r="HZ54" t="s">
        <v>423</v>
      </c>
      <c r="IA54" t="s">
        <v>424</v>
      </c>
      <c r="IB54" t="s">
        <v>424</v>
      </c>
      <c r="IC54" t="s">
        <v>423</v>
      </c>
      <c r="ID54">
        <v>0</v>
      </c>
      <c r="IE54">
        <v>100</v>
      </c>
      <c r="IF54">
        <v>100</v>
      </c>
      <c r="IG54">
        <v>-0.16</v>
      </c>
      <c r="IH54">
        <v>-4.1000000000000003E-3</v>
      </c>
      <c r="II54">
        <v>-0.16170886563234771</v>
      </c>
      <c r="IJ54">
        <v>4.4610147972834149E-5</v>
      </c>
      <c r="IK54">
        <v>-2.082673137682459E-7</v>
      </c>
      <c r="IL54">
        <v>-4.0725795306076518E-11</v>
      </c>
      <c r="IM54">
        <v>-4.1250000000019327E-3</v>
      </c>
      <c r="IN54">
        <v>0</v>
      </c>
      <c r="IO54">
        <v>0</v>
      </c>
      <c r="IP54">
        <v>0</v>
      </c>
      <c r="IQ54">
        <v>3</v>
      </c>
      <c r="IR54">
        <v>2179</v>
      </c>
      <c r="IS54">
        <v>0</v>
      </c>
      <c r="IT54">
        <v>22</v>
      </c>
      <c r="IU54">
        <v>1.7</v>
      </c>
      <c r="IV54">
        <v>1.7</v>
      </c>
      <c r="IW54">
        <v>0.59692400000000001</v>
      </c>
      <c r="IX54">
        <v>2.6965300000000001</v>
      </c>
      <c r="IY54">
        <v>1.6015600000000001</v>
      </c>
      <c r="IZ54">
        <v>2.32422</v>
      </c>
      <c r="JA54">
        <v>1.5502899999999999</v>
      </c>
      <c r="JB54">
        <v>2.3742700000000001</v>
      </c>
      <c r="JC54">
        <v>45.461399999999998</v>
      </c>
      <c r="JD54">
        <v>24.1313</v>
      </c>
      <c r="JE54">
        <v>18</v>
      </c>
      <c r="JF54">
        <v>533.24400000000003</v>
      </c>
      <c r="JG54">
        <v>382.38</v>
      </c>
      <c r="JH54">
        <v>28.0853</v>
      </c>
      <c r="JI54">
        <v>35.635100000000001</v>
      </c>
      <c r="JJ54">
        <v>30</v>
      </c>
      <c r="JK54">
        <v>35.666499999999999</v>
      </c>
      <c r="JL54">
        <v>35.655099999999997</v>
      </c>
      <c r="JM54">
        <v>11.926299999999999</v>
      </c>
      <c r="JN54">
        <v>26.834399999999999</v>
      </c>
      <c r="JO54">
        <v>46.517400000000002</v>
      </c>
      <c r="JP54">
        <v>28.089500000000001</v>
      </c>
      <c r="JQ54">
        <v>200</v>
      </c>
      <c r="JR54">
        <v>23.059100000000001</v>
      </c>
      <c r="JS54">
        <v>98.310199999999995</v>
      </c>
      <c r="JT54">
        <v>98.721999999999994</v>
      </c>
    </row>
    <row r="55" spans="1:280" x14ac:dyDescent="0.25">
      <c r="A55">
        <v>39</v>
      </c>
      <c r="B55">
        <v>1700154759.5</v>
      </c>
      <c r="C55">
        <v>6886</v>
      </c>
      <c r="D55" t="s">
        <v>580</v>
      </c>
      <c r="E55" t="s">
        <v>581</v>
      </c>
      <c r="F55" t="s">
        <v>412</v>
      </c>
      <c r="G55" t="s">
        <v>539</v>
      </c>
      <c r="H55" t="s">
        <v>31</v>
      </c>
      <c r="I55">
        <v>1700154759.5</v>
      </c>
      <c r="J55">
        <f t="shared" si="46"/>
        <v>6.1495563415727098E-3</v>
      </c>
      <c r="K55">
        <f t="shared" si="47"/>
        <v>6.1495563415727101</v>
      </c>
      <c r="L55">
        <f t="shared" si="48"/>
        <v>18.008617029422325</v>
      </c>
      <c r="M55">
        <f t="shared" si="49"/>
        <v>101.383</v>
      </c>
      <c r="N55">
        <f t="shared" si="50"/>
        <v>33.860622671340536</v>
      </c>
      <c r="O55">
        <f t="shared" si="51"/>
        <v>3.3639575447448622</v>
      </c>
      <c r="P55">
        <f t="shared" si="52"/>
        <v>10.072115656854999</v>
      </c>
      <c r="Q55">
        <f t="shared" si="53"/>
        <v>0.46747288817828653</v>
      </c>
      <c r="R55">
        <f t="shared" si="54"/>
        <v>3.126034392300165</v>
      </c>
      <c r="S55">
        <f t="shared" si="55"/>
        <v>0.43182127607442217</v>
      </c>
      <c r="T55">
        <f t="shared" si="56"/>
        <v>0.27286452131966149</v>
      </c>
      <c r="U55">
        <f t="shared" si="57"/>
        <v>344.37509930235512</v>
      </c>
      <c r="V55">
        <f t="shared" si="58"/>
        <v>31.043116425585115</v>
      </c>
      <c r="W55">
        <f t="shared" si="59"/>
        <v>29.9602</v>
      </c>
      <c r="X55">
        <f t="shared" si="60"/>
        <v>4.2507197429482471</v>
      </c>
      <c r="Y55">
        <f t="shared" si="61"/>
        <v>65.324637798123803</v>
      </c>
      <c r="Z55">
        <f t="shared" si="62"/>
        <v>2.8867410892634999</v>
      </c>
      <c r="AA55">
        <f t="shared" si="63"/>
        <v>4.4190694147965264</v>
      </c>
      <c r="AB55">
        <f t="shared" si="64"/>
        <v>1.3639786536847471</v>
      </c>
      <c r="AC55">
        <f t="shared" si="65"/>
        <v>-271.19543466335648</v>
      </c>
      <c r="AD55">
        <f t="shared" si="66"/>
        <v>114.2133002250638</v>
      </c>
      <c r="AE55">
        <f t="shared" si="67"/>
        <v>8.1479401244272704</v>
      </c>
      <c r="AF55">
        <f t="shared" si="68"/>
        <v>195.54090498848973</v>
      </c>
      <c r="AG55">
        <v>31</v>
      </c>
      <c r="AH55">
        <v>6</v>
      </c>
      <c r="AI55">
        <f t="shared" si="69"/>
        <v>1</v>
      </c>
      <c r="AJ55">
        <f t="shared" si="70"/>
        <v>0</v>
      </c>
      <c r="AK55">
        <f t="shared" si="71"/>
        <v>51756.877421612538</v>
      </c>
      <c r="AL55" t="s">
        <v>415</v>
      </c>
      <c r="AM55">
        <v>6977.87</v>
      </c>
      <c r="AN55">
        <v>273.15280000000001</v>
      </c>
      <c r="AO55">
        <v>850.46774885301022</v>
      </c>
      <c r="AP55">
        <f t="shared" si="72"/>
        <v>0.67882050745793765</v>
      </c>
      <c r="AQ55">
        <v>-1.0323826813720729</v>
      </c>
      <c r="AR55" t="s">
        <v>582</v>
      </c>
      <c r="AS55">
        <v>7115.19</v>
      </c>
      <c r="AT55">
        <v>590.40503846153842</v>
      </c>
      <c r="AU55">
        <v>716.5172581795415</v>
      </c>
      <c r="AV55">
        <f t="shared" si="73"/>
        <v>0.17600723259397399</v>
      </c>
      <c r="AW55">
        <v>0.5</v>
      </c>
      <c r="AX55">
        <f t="shared" si="74"/>
        <v>1513.2098996511775</v>
      </c>
      <c r="AY55">
        <f t="shared" si="75"/>
        <v>18.008617029422325</v>
      </c>
      <c r="AZ55">
        <f t="shared" si="76"/>
        <v>133.16794338570443</v>
      </c>
      <c r="BA55">
        <f t="shared" si="77"/>
        <v>1.2583184735431414E-2</v>
      </c>
      <c r="BB55">
        <f t="shared" si="78"/>
        <v>0.18694663547085708</v>
      </c>
      <c r="BC55">
        <f t="shared" si="79"/>
        <v>257.68076422700892</v>
      </c>
      <c r="BD55" t="s">
        <v>583</v>
      </c>
      <c r="BE55">
        <v>437.43</v>
      </c>
      <c r="BF55">
        <f t="shared" si="80"/>
        <v>437.43</v>
      </c>
      <c r="BG55">
        <f t="shared" si="81"/>
        <v>0.38950528405780438</v>
      </c>
      <c r="BH55">
        <f t="shared" si="82"/>
        <v>0.45187379940102096</v>
      </c>
      <c r="BI55">
        <f t="shared" si="83"/>
        <v>0.324305686454674</v>
      </c>
      <c r="BJ55">
        <f t="shared" si="84"/>
        <v>0.28444368372652379</v>
      </c>
      <c r="BK55">
        <f t="shared" si="85"/>
        <v>0.23202324994285528</v>
      </c>
      <c r="BL55">
        <f t="shared" si="86"/>
        <v>0.33479246143808994</v>
      </c>
      <c r="BM55">
        <f t="shared" si="87"/>
        <v>0.66520753856191006</v>
      </c>
      <c r="BN55">
        <v>11294</v>
      </c>
      <c r="BO55">
        <v>290.00000000000011</v>
      </c>
      <c r="BP55">
        <v>686.72</v>
      </c>
      <c r="BQ55">
        <v>275</v>
      </c>
      <c r="BR55">
        <v>7115.19</v>
      </c>
      <c r="BS55">
        <v>688.02</v>
      </c>
      <c r="BT55">
        <v>-1.3</v>
      </c>
      <c r="BU55">
        <v>300.00000000000011</v>
      </c>
      <c r="BV55">
        <v>38.299999999999997</v>
      </c>
      <c r="BW55">
        <v>716.5172581795415</v>
      </c>
      <c r="BX55">
        <v>1.3150968684732769</v>
      </c>
      <c r="BY55">
        <v>-20.27969037498266</v>
      </c>
      <c r="BZ55">
        <v>0.78430365852500095</v>
      </c>
      <c r="CA55">
        <v>0.95980368099397118</v>
      </c>
      <c r="CB55">
        <v>-7.0151114571746307E-3</v>
      </c>
      <c r="CC55">
        <v>289.99999999999989</v>
      </c>
      <c r="CD55">
        <v>693.43</v>
      </c>
      <c r="CE55">
        <v>885</v>
      </c>
      <c r="CF55">
        <v>7105.19</v>
      </c>
      <c r="CG55">
        <v>687.98</v>
      </c>
      <c r="CH55">
        <v>5.45</v>
      </c>
      <c r="CV55">
        <f t="shared" si="88"/>
        <v>1800.03</v>
      </c>
      <c r="CW55">
        <f t="shared" si="89"/>
        <v>1513.2098996511775</v>
      </c>
      <c r="CX55">
        <f t="shared" si="90"/>
        <v>0.840658155503618</v>
      </c>
      <c r="CY55">
        <f t="shared" si="91"/>
        <v>0.19131631100723606</v>
      </c>
      <c r="CZ55">
        <v>5</v>
      </c>
      <c r="DA55">
        <v>0.5</v>
      </c>
      <c r="DB55" t="s">
        <v>418</v>
      </c>
      <c r="DC55">
        <v>2</v>
      </c>
      <c r="DD55">
        <v>1700154759.5</v>
      </c>
      <c r="DE55">
        <v>101.383</v>
      </c>
      <c r="DF55">
        <v>120.008</v>
      </c>
      <c r="DG55">
        <v>29.057099999999998</v>
      </c>
      <c r="DH55">
        <v>23.0885</v>
      </c>
      <c r="DI55">
        <v>101.474</v>
      </c>
      <c r="DJ55">
        <v>29.064</v>
      </c>
      <c r="DK55">
        <v>500.19</v>
      </c>
      <c r="DL55">
        <v>99.246799999999993</v>
      </c>
      <c r="DM55">
        <v>0.100385</v>
      </c>
      <c r="DN55">
        <v>30.637899999999998</v>
      </c>
      <c r="DO55">
        <v>29.9602</v>
      </c>
      <c r="DP55">
        <v>999.9</v>
      </c>
      <c r="DQ55">
        <v>0</v>
      </c>
      <c r="DR55">
        <v>0</v>
      </c>
      <c r="DS55">
        <v>9981.25</v>
      </c>
      <c r="DT55">
        <v>0</v>
      </c>
      <c r="DU55">
        <v>173.22200000000001</v>
      </c>
      <c r="DV55">
        <v>-18.6251</v>
      </c>
      <c r="DW55">
        <v>104.417</v>
      </c>
      <c r="DX55">
        <v>122.845</v>
      </c>
      <c r="DY55">
        <v>5.9685600000000001</v>
      </c>
      <c r="DZ55">
        <v>120.008</v>
      </c>
      <c r="EA55">
        <v>23.0885</v>
      </c>
      <c r="EB55">
        <v>2.8838200000000001</v>
      </c>
      <c r="EC55">
        <v>2.2914599999999998</v>
      </c>
      <c r="ED55">
        <v>23.3719</v>
      </c>
      <c r="EE55">
        <v>19.616499999999998</v>
      </c>
      <c r="EF55">
        <v>1800.03</v>
      </c>
      <c r="EG55">
        <v>0.97799800000000003</v>
      </c>
      <c r="EH55">
        <v>2.2002000000000001E-2</v>
      </c>
      <c r="EI55">
        <v>0</v>
      </c>
      <c r="EJ55">
        <v>590.25199999999995</v>
      </c>
      <c r="EK55">
        <v>5.0005300000000004</v>
      </c>
      <c r="EL55">
        <v>12418.7</v>
      </c>
      <c r="EM55">
        <v>16035.5</v>
      </c>
      <c r="EN55">
        <v>49.186999999999998</v>
      </c>
      <c r="EO55">
        <v>50.375</v>
      </c>
      <c r="EP55">
        <v>49.811999999999998</v>
      </c>
      <c r="EQ55">
        <v>49.811999999999998</v>
      </c>
      <c r="ER55">
        <v>50.375</v>
      </c>
      <c r="ES55">
        <v>1755.54</v>
      </c>
      <c r="ET55">
        <v>39.49</v>
      </c>
      <c r="EU55">
        <v>0</v>
      </c>
      <c r="EV55">
        <v>284.40000009536737</v>
      </c>
      <c r="EW55">
        <v>0</v>
      </c>
      <c r="EX55">
        <v>590.40503846153842</v>
      </c>
      <c r="EY55">
        <v>-2.514153844081751</v>
      </c>
      <c r="EZ55">
        <v>45.435897495731027</v>
      </c>
      <c r="FA55">
        <v>12414.54615384615</v>
      </c>
      <c r="FB55">
        <v>15</v>
      </c>
      <c r="FC55">
        <v>1700154719.5</v>
      </c>
      <c r="FD55" t="s">
        <v>584</v>
      </c>
      <c r="FE55">
        <v>1700154719.5</v>
      </c>
      <c r="FF55">
        <v>1700154717.5</v>
      </c>
      <c r="FG55">
        <v>42</v>
      </c>
      <c r="FH55">
        <v>6.9000000000000006E-2</v>
      </c>
      <c r="FI55">
        <v>-3.0000000000000001E-3</v>
      </c>
      <c r="FJ55">
        <v>-9.0999999999999998E-2</v>
      </c>
      <c r="FK55">
        <v>-7.0000000000000001E-3</v>
      </c>
      <c r="FL55">
        <v>120</v>
      </c>
      <c r="FM55">
        <v>23</v>
      </c>
      <c r="FN55">
        <v>0.13</v>
      </c>
      <c r="FO55">
        <v>0.02</v>
      </c>
      <c r="FP55">
        <v>17.92821610577554</v>
      </c>
      <c r="FQ55">
        <v>0.68996997284231543</v>
      </c>
      <c r="FR55">
        <v>5.9664180539202367E-2</v>
      </c>
      <c r="FS55">
        <v>1</v>
      </c>
      <c r="FT55">
        <v>0.46758684092275038</v>
      </c>
      <c r="FU55">
        <v>4.8595597016321018E-2</v>
      </c>
      <c r="FV55">
        <v>4.4302366120803349E-3</v>
      </c>
      <c r="FW55">
        <v>1</v>
      </c>
      <c r="FX55">
        <v>2</v>
      </c>
      <c r="FY55">
        <v>2</v>
      </c>
      <c r="FZ55" t="s">
        <v>420</v>
      </c>
      <c r="GA55">
        <v>3.1266600000000002</v>
      </c>
      <c r="GB55">
        <v>2.7671000000000001</v>
      </c>
      <c r="GC55">
        <v>2.6584400000000001E-2</v>
      </c>
      <c r="GD55">
        <v>3.1252599999999998E-2</v>
      </c>
      <c r="GE55">
        <v>0.122236</v>
      </c>
      <c r="GF55">
        <v>0.10424</v>
      </c>
      <c r="GG55">
        <v>23137.8</v>
      </c>
      <c r="GH55">
        <v>23963.7</v>
      </c>
      <c r="GI55">
        <v>23643</v>
      </c>
      <c r="GJ55">
        <v>25063.3</v>
      </c>
      <c r="GK55">
        <v>29891.5</v>
      </c>
      <c r="GL55">
        <v>31476.400000000001</v>
      </c>
      <c r="GM55">
        <v>37693.1</v>
      </c>
      <c r="GN55">
        <v>39012.800000000003</v>
      </c>
      <c r="GO55">
        <v>2.0188000000000001</v>
      </c>
      <c r="GP55">
        <v>1.73295</v>
      </c>
      <c r="GQ55">
        <v>-3.31551E-2</v>
      </c>
      <c r="GR55">
        <v>0</v>
      </c>
      <c r="GS55">
        <v>30.499500000000001</v>
      </c>
      <c r="GT55">
        <v>999.9</v>
      </c>
      <c r="GU55">
        <v>37.200000000000003</v>
      </c>
      <c r="GV55">
        <v>40.9</v>
      </c>
      <c r="GW55">
        <v>29.1511</v>
      </c>
      <c r="GX55">
        <v>60.453699999999998</v>
      </c>
      <c r="GY55">
        <v>26.935099999999998</v>
      </c>
      <c r="GZ55">
        <v>1</v>
      </c>
      <c r="HA55">
        <v>0.70241900000000002</v>
      </c>
      <c r="HB55">
        <v>2.4196800000000001</v>
      </c>
      <c r="HC55">
        <v>20.301500000000001</v>
      </c>
      <c r="HD55">
        <v>5.2512800000000004</v>
      </c>
      <c r="HE55">
        <v>12.0099</v>
      </c>
      <c r="HF55">
        <v>4.9790000000000001</v>
      </c>
      <c r="HG55">
        <v>3.2930000000000001</v>
      </c>
      <c r="HH55">
        <v>9999</v>
      </c>
      <c r="HI55">
        <v>9999</v>
      </c>
      <c r="HJ55">
        <v>9999</v>
      </c>
      <c r="HK55">
        <v>999.9</v>
      </c>
      <c r="HL55">
        <v>1.8760600000000001</v>
      </c>
      <c r="HM55">
        <v>1.87697</v>
      </c>
      <c r="HN55">
        <v>1.8831100000000001</v>
      </c>
      <c r="HO55">
        <v>1.88629</v>
      </c>
      <c r="HP55">
        <v>1.87706</v>
      </c>
      <c r="HQ55">
        <v>1.88354</v>
      </c>
      <c r="HR55">
        <v>1.8825099999999999</v>
      </c>
      <c r="HS55">
        <v>1.8859900000000001</v>
      </c>
      <c r="HT55">
        <v>5</v>
      </c>
      <c r="HU55">
        <v>0</v>
      </c>
      <c r="HV55">
        <v>0</v>
      </c>
      <c r="HW55">
        <v>0</v>
      </c>
      <c r="HX55" t="s">
        <v>421</v>
      </c>
      <c r="HY55" t="s">
        <v>422</v>
      </c>
      <c r="HZ55" t="s">
        <v>423</v>
      </c>
      <c r="IA55" t="s">
        <v>424</v>
      </c>
      <c r="IB55" t="s">
        <v>424</v>
      </c>
      <c r="IC55" t="s">
        <v>423</v>
      </c>
      <c r="ID55">
        <v>0</v>
      </c>
      <c r="IE55">
        <v>100</v>
      </c>
      <c r="IF55">
        <v>100</v>
      </c>
      <c r="IG55">
        <v>-9.0999999999999998E-2</v>
      </c>
      <c r="IH55">
        <v>-6.8999999999999999E-3</v>
      </c>
      <c r="II55">
        <v>-9.2833649365086646E-2</v>
      </c>
      <c r="IJ55">
        <v>4.4610147972834149E-5</v>
      </c>
      <c r="IK55">
        <v>-2.082673137682459E-7</v>
      </c>
      <c r="IL55">
        <v>-4.0725795306076518E-11</v>
      </c>
      <c r="IM55">
        <v>-6.879999999998887E-3</v>
      </c>
      <c r="IN55">
        <v>0</v>
      </c>
      <c r="IO55">
        <v>0</v>
      </c>
      <c r="IP55">
        <v>0</v>
      </c>
      <c r="IQ55">
        <v>3</v>
      </c>
      <c r="IR55">
        <v>2179</v>
      </c>
      <c r="IS55">
        <v>0</v>
      </c>
      <c r="IT55">
        <v>22</v>
      </c>
      <c r="IU55">
        <v>0.7</v>
      </c>
      <c r="IV55">
        <v>0.7</v>
      </c>
      <c r="IW55">
        <v>0.41748000000000002</v>
      </c>
      <c r="IX55">
        <v>2.7160600000000001</v>
      </c>
      <c r="IY55">
        <v>1.6015600000000001</v>
      </c>
      <c r="IZ55">
        <v>2.32178</v>
      </c>
      <c r="JA55">
        <v>1.5502899999999999</v>
      </c>
      <c r="JB55">
        <v>2.3132299999999999</v>
      </c>
      <c r="JC55">
        <v>45.4328</v>
      </c>
      <c r="JD55">
        <v>24.1313</v>
      </c>
      <c r="JE55">
        <v>18</v>
      </c>
      <c r="JF55">
        <v>533.86199999999997</v>
      </c>
      <c r="JG55">
        <v>382.43900000000002</v>
      </c>
      <c r="JH55">
        <v>27.680599999999998</v>
      </c>
      <c r="JI55">
        <v>35.644199999999998</v>
      </c>
      <c r="JJ55">
        <v>29.9999</v>
      </c>
      <c r="JK55">
        <v>35.676299999999998</v>
      </c>
      <c r="JL55">
        <v>35.664999999999999</v>
      </c>
      <c r="JM55">
        <v>8.3428000000000004</v>
      </c>
      <c r="JN55">
        <v>25.851199999999999</v>
      </c>
      <c r="JO55">
        <v>45.873600000000003</v>
      </c>
      <c r="JP55">
        <v>27.678899999999999</v>
      </c>
      <c r="JQ55">
        <v>120</v>
      </c>
      <c r="JR55">
        <v>23.166599999999999</v>
      </c>
      <c r="JS55">
        <v>98.307900000000004</v>
      </c>
      <c r="JT55">
        <v>98.720399999999998</v>
      </c>
    </row>
    <row r="56" spans="1:280" x14ac:dyDescent="0.25">
      <c r="A56">
        <v>40</v>
      </c>
      <c r="B56">
        <v>1700154881.5</v>
      </c>
      <c r="C56">
        <v>7008</v>
      </c>
      <c r="D56" t="s">
        <v>585</v>
      </c>
      <c r="E56" t="s">
        <v>586</v>
      </c>
      <c r="F56" t="s">
        <v>412</v>
      </c>
      <c r="G56" t="s">
        <v>539</v>
      </c>
      <c r="H56" t="s">
        <v>31</v>
      </c>
      <c r="I56">
        <v>1700154881.5</v>
      </c>
      <c r="J56">
        <f t="shared" si="46"/>
        <v>6.5468095976316644E-3</v>
      </c>
      <c r="K56">
        <f t="shared" si="47"/>
        <v>6.5468095976316647</v>
      </c>
      <c r="L56">
        <f t="shared" si="48"/>
        <v>11.018594672122127</v>
      </c>
      <c r="M56">
        <f t="shared" si="49"/>
        <v>58.593400000000003</v>
      </c>
      <c r="N56">
        <f t="shared" si="50"/>
        <v>20.276461071204153</v>
      </c>
      <c r="O56">
        <f t="shared" si="51"/>
        <v>2.0143313661933986</v>
      </c>
      <c r="P56">
        <f t="shared" si="52"/>
        <v>5.8208640579560003</v>
      </c>
      <c r="Q56">
        <f t="shared" si="53"/>
        <v>0.50704094438087255</v>
      </c>
      <c r="R56">
        <f t="shared" si="54"/>
        <v>3.1228916251212384</v>
      </c>
      <c r="S56">
        <f t="shared" si="55"/>
        <v>0.46534835033891486</v>
      </c>
      <c r="T56">
        <f t="shared" si="56"/>
        <v>0.29430241478292662</v>
      </c>
      <c r="U56">
        <f t="shared" si="57"/>
        <v>344.33009930208544</v>
      </c>
      <c r="V56">
        <f t="shared" si="58"/>
        <v>31.082921668246694</v>
      </c>
      <c r="W56">
        <f t="shared" si="59"/>
        <v>30.000699999999998</v>
      </c>
      <c r="X56">
        <f t="shared" si="60"/>
        <v>4.260621077143453</v>
      </c>
      <c r="Y56">
        <f t="shared" si="61"/>
        <v>65.415958329435085</v>
      </c>
      <c r="Z56">
        <f t="shared" si="62"/>
        <v>2.9134620008480008</v>
      </c>
      <c r="AA56">
        <f t="shared" si="63"/>
        <v>4.4537480994710679</v>
      </c>
      <c r="AB56">
        <f t="shared" si="64"/>
        <v>1.3471590762954522</v>
      </c>
      <c r="AC56">
        <f t="shared" si="65"/>
        <v>-288.71430325555639</v>
      </c>
      <c r="AD56">
        <f t="shared" si="66"/>
        <v>130.31167196919716</v>
      </c>
      <c r="AE56">
        <f t="shared" si="67"/>
        <v>9.3139140780566567</v>
      </c>
      <c r="AF56">
        <f t="shared" si="68"/>
        <v>195.24138209378287</v>
      </c>
      <c r="AG56">
        <v>31</v>
      </c>
      <c r="AH56">
        <v>6</v>
      </c>
      <c r="AI56">
        <f t="shared" si="69"/>
        <v>1</v>
      </c>
      <c r="AJ56">
        <f t="shared" si="70"/>
        <v>0</v>
      </c>
      <c r="AK56">
        <f t="shared" si="71"/>
        <v>51653.99321339262</v>
      </c>
      <c r="AL56" t="s">
        <v>427</v>
      </c>
      <c r="AM56" t="s">
        <v>427</v>
      </c>
      <c r="AN56">
        <v>0</v>
      </c>
      <c r="AO56">
        <v>0</v>
      </c>
      <c r="AP56" t="e">
        <f t="shared" si="72"/>
        <v>#DIV/0!</v>
      </c>
      <c r="AQ56">
        <v>0</v>
      </c>
      <c r="AR56" t="s">
        <v>427</v>
      </c>
      <c r="AS56" t="s">
        <v>427</v>
      </c>
      <c r="AT56">
        <v>0</v>
      </c>
      <c r="AU56">
        <v>0</v>
      </c>
      <c r="AV56" t="e">
        <f t="shared" si="73"/>
        <v>#DIV/0!</v>
      </c>
      <c r="AW56">
        <v>0.5</v>
      </c>
      <c r="AX56">
        <f t="shared" si="74"/>
        <v>1513.0085996510425</v>
      </c>
      <c r="AY56">
        <f t="shared" si="75"/>
        <v>11.018594672122127</v>
      </c>
      <c r="AZ56" t="e">
        <f t="shared" si="76"/>
        <v>#DIV/0!</v>
      </c>
      <c r="BA56">
        <f t="shared" si="77"/>
        <v>7.2825724022080483E-3</v>
      </c>
      <c r="BB56" t="e">
        <f t="shared" si="78"/>
        <v>#DIV/0!</v>
      </c>
      <c r="BC56" t="e">
        <f t="shared" si="79"/>
        <v>#DIV/0!</v>
      </c>
      <c r="BD56" t="s">
        <v>427</v>
      </c>
      <c r="BE56">
        <v>0</v>
      </c>
      <c r="BF56" t="e">
        <f t="shared" si="80"/>
        <v>#DIV/0!</v>
      </c>
      <c r="BG56" t="e">
        <f t="shared" si="81"/>
        <v>#DIV/0!</v>
      </c>
      <c r="BH56" t="e">
        <f t="shared" si="82"/>
        <v>#DIV/0!</v>
      </c>
      <c r="BI56" t="e">
        <f t="shared" si="83"/>
        <v>#DIV/0!</v>
      </c>
      <c r="BJ56" t="e">
        <f t="shared" si="84"/>
        <v>#DIV/0!</v>
      </c>
      <c r="BK56" t="e">
        <f t="shared" si="85"/>
        <v>#DIV/0!</v>
      </c>
      <c r="BL56" t="e">
        <f t="shared" si="86"/>
        <v>#DIV/0!</v>
      </c>
      <c r="BM56" t="e">
        <f t="shared" si="87"/>
        <v>#DIV/0!</v>
      </c>
      <c r="BN56">
        <v>11294</v>
      </c>
      <c r="BO56">
        <v>290.00000000000011</v>
      </c>
      <c r="BP56">
        <v>686.72</v>
      </c>
      <c r="BQ56">
        <v>275</v>
      </c>
      <c r="BR56">
        <v>7115.19</v>
      </c>
      <c r="BS56">
        <v>688.02</v>
      </c>
      <c r="BT56">
        <v>-1.3</v>
      </c>
      <c r="BU56">
        <v>300.00000000000011</v>
      </c>
      <c r="BV56">
        <v>38.299999999999997</v>
      </c>
      <c r="BW56">
        <v>716.5172581795415</v>
      </c>
      <c r="BX56">
        <v>1.3150968684732769</v>
      </c>
      <c r="BY56">
        <v>-20.27969037498266</v>
      </c>
      <c r="BZ56">
        <v>0.78430365852500095</v>
      </c>
      <c r="CA56">
        <v>0.95980368099397118</v>
      </c>
      <c r="CB56">
        <v>-7.0151114571746307E-3</v>
      </c>
      <c r="CC56">
        <v>289.99999999999989</v>
      </c>
      <c r="CD56">
        <v>693.43</v>
      </c>
      <c r="CE56">
        <v>885</v>
      </c>
      <c r="CF56">
        <v>7105.19</v>
      </c>
      <c r="CG56">
        <v>687.98</v>
      </c>
      <c r="CH56">
        <v>5.45</v>
      </c>
      <c r="CV56">
        <f t="shared" si="88"/>
        <v>1799.79</v>
      </c>
      <c r="CW56">
        <f t="shared" si="89"/>
        <v>1513.0085996510425</v>
      </c>
      <c r="CX56">
        <f t="shared" si="90"/>
        <v>0.84065840995396268</v>
      </c>
      <c r="CY56">
        <f t="shared" si="91"/>
        <v>0.19131681990792562</v>
      </c>
      <c r="CZ56">
        <v>5</v>
      </c>
      <c r="DA56">
        <v>0.5</v>
      </c>
      <c r="DB56" t="s">
        <v>418</v>
      </c>
      <c r="DC56">
        <v>2</v>
      </c>
      <c r="DD56">
        <v>1700154881.5</v>
      </c>
      <c r="DE56">
        <v>58.593400000000003</v>
      </c>
      <c r="DF56">
        <v>69.994500000000002</v>
      </c>
      <c r="DG56">
        <v>29.327200000000001</v>
      </c>
      <c r="DH56">
        <v>22.972999999999999</v>
      </c>
      <c r="DI56">
        <v>58.633200000000002</v>
      </c>
      <c r="DJ56">
        <v>29.334399999999999</v>
      </c>
      <c r="DK56">
        <v>500.048</v>
      </c>
      <c r="DL56">
        <v>99.243300000000005</v>
      </c>
      <c r="DM56">
        <v>0.10004</v>
      </c>
      <c r="DN56">
        <v>30.774699999999999</v>
      </c>
      <c r="DO56">
        <v>30.000699999999998</v>
      </c>
      <c r="DP56">
        <v>999.9</v>
      </c>
      <c r="DQ56">
        <v>0</v>
      </c>
      <c r="DR56">
        <v>0</v>
      </c>
      <c r="DS56">
        <v>9965.6200000000008</v>
      </c>
      <c r="DT56">
        <v>0</v>
      </c>
      <c r="DU56">
        <v>182.90899999999999</v>
      </c>
      <c r="DV56">
        <v>-11.4011</v>
      </c>
      <c r="DW56">
        <v>60.363700000000001</v>
      </c>
      <c r="DX56">
        <v>71.640299999999996</v>
      </c>
      <c r="DY56">
        <v>6.3542399999999999</v>
      </c>
      <c r="DZ56">
        <v>69.994500000000002</v>
      </c>
      <c r="EA56">
        <v>22.972999999999999</v>
      </c>
      <c r="EB56">
        <v>2.9105300000000001</v>
      </c>
      <c r="EC56">
        <v>2.2799200000000002</v>
      </c>
      <c r="ED56">
        <v>23.524799999999999</v>
      </c>
      <c r="EE56">
        <v>19.5352</v>
      </c>
      <c r="EF56">
        <v>1799.79</v>
      </c>
      <c r="EG56">
        <v>0.97799400000000003</v>
      </c>
      <c r="EH56">
        <v>2.20056E-2</v>
      </c>
      <c r="EI56">
        <v>0</v>
      </c>
      <c r="EJ56">
        <v>609</v>
      </c>
      <c r="EK56">
        <v>5.0005300000000004</v>
      </c>
      <c r="EL56">
        <v>12817.5</v>
      </c>
      <c r="EM56">
        <v>16033.4</v>
      </c>
      <c r="EN56">
        <v>49.186999999999998</v>
      </c>
      <c r="EO56">
        <v>50.311999999999998</v>
      </c>
      <c r="EP56">
        <v>49.811999999999998</v>
      </c>
      <c r="EQ56">
        <v>49.811999999999998</v>
      </c>
      <c r="ER56">
        <v>50.375</v>
      </c>
      <c r="ES56">
        <v>1755.29</v>
      </c>
      <c r="ET56">
        <v>39.5</v>
      </c>
      <c r="EU56">
        <v>0</v>
      </c>
      <c r="EV56">
        <v>120.19999980926509</v>
      </c>
      <c r="EW56">
        <v>0</v>
      </c>
      <c r="EX56">
        <v>609.0856</v>
      </c>
      <c r="EY56">
        <v>0.32015387559582342</v>
      </c>
      <c r="EZ56">
        <v>-67.900000808484108</v>
      </c>
      <c r="FA56">
        <v>12775.835999999999</v>
      </c>
      <c r="FB56">
        <v>15</v>
      </c>
      <c r="FC56">
        <v>1700154848</v>
      </c>
      <c r="FD56" t="s">
        <v>587</v>
      </c>
      <c r="FE56">
        <v>1700154842</v>
      </c>
      <c r="FF56">
        <v>1700154848</v>
      </c>
      <c r="FG56">
        <v>43</v>
      </c>
      <c r="FH56">
        <v>5.0999999999999997E-2</v>
      </c>
      <c r="FI56">
        <v>0</v>
      </c>
      <c r="FJ56">
        <v>-0.04</v>
      </c>
      <c r="FK56">
        <v>-7.0000000000000001E-3</v>
      </c>
      <c r="FL56">
        <v>70</v>
      </c>
      <c r="FM56">
        <v>23</v>
      </c>
      <c r="FN56">
        <v>0.15</v>
      </c>
      <c r="FO56">
        <v>0.02</v>
      </c>
      <c r="FP56">
        <v>11.04000069084641</v>
      </c>
      <c r="FQ56">
        <v>0.27347004195140218</v>
      </c>
      <c r="FR56">
        <v>2.4724241771979232E-2</v>
      </c>
      <c r="FS56">
        <v>1</v>
      </c>
      <c r="FT56">
        <v>0.50679718015569963</v>
      </c>
      <c r="FU56">
        <v>4.0866173728242743E-2</v>
      </c>
      <c r="FV56">
        <v>3.328436007093412E-3</v>
      </c>
      <c r="FW56">
        <v>1</v>
      </c>
      <c r="FX56">
        <v>2</v>
      </c>
      <c r="FY56">
        <v>2</v>
      </c>
      <c r="FZ56" t="s">
        <v>420</v>
      </c>
      <c r="GA56">
        <v>3.1263800000000002</v>
      </c>
      <c r="GB56">
        <v>2.76661</v>
      </c>
      <c r="GC56">
        <v>1.55798E-2</v>
      </c>
      <c r="GD56">
        <v>1.8572100000000001E-2</v>
      </c>
      <c r="GE56">
        <v>0.12300999999999999</v>
      </c>
      <c r="GF56">
        <v>0.103863</v>
      </c>
      <c r="GG56">
        <v>23396.7</v>
      </c>
      <c r="GH56">
        <v>24275.3</v>
      </c>
      <c r="GI56">
        <v>23641</v>
      </c>
      <c r="GJ56">
        <v>25061.9</v>
      </c>
      <c r="GK56">
        <v>29862.5</v>
      </c>
      <c r="GL56">
        <v>31488.1</v>
      </c>
      <c r="GM56">
        <v>37689.800000000003</v>
      </c>
      <c r="GN56">
        <v>39010.9</v>
      </c>
      <c r="GO56">
        <v>2.0178500000000001</v>
      </c>
      <c r="GP56">
        <v>1.73207</v>
      </c>
      <c r="GQ56">
        <v>-3.7699900000000001E-2</v>
      </c>
      <c r="GR56">
        <v>0</v>
      </c>
      <c r="GS56">
        <v>30.613800000000001</v>
      </c>
      <c r="GT56">
        <v>999.9</v>
      </c>
      <c r="GU56">
        <v>37</v>
      </c>
      <c r="GV56">
        <v>41</v>
      </c>
      <c r="GW56">
        <v>29.15</v>
      </c>
      <c r="GX56">
        <v>60.643700000000003</v>
      </c>
      <c r="GY56">
        <v>27.0473</v>
      </c>
      <c r="GZ56">
        <v>1</v>
      </c>
      <c r="HA56">
        <v>0.70711900000000005</v>
      </c>
      <c r="HB56">
        <v>2.8907099999999999</v>
      </c>
      <c r="HC56">
        <v>20.293099999999999</v>
      </c>
      <c r="HD56">
        <v>5.2481400000000002</v>
      </c>
      <c r="HE56">
        <v>12.0099</v>
      </c>
      <c r="HF56">
        <v>4.9774500000000002</v>
      </c>
      <c r="HG56">
        <v>3.2922500000000001</v>
      </c>
      <c r="HH56">
        <v>9999</v>
      </c>
      <c r="HI56">
        <v>9999</v>
      </c>
      <c r="HJ56">
        <v>9999</v>
      </c>
      <c r="HK56">
        <v>999.9</v>
      </c>
      <c r="HL56">
        <v>1.8760600000000001</v>
      </c>
      <c r="HM56">
        <v>1.87696</v>
      </c>
      <c r="HN56">
        <v>1.88313</v>
      </c>
      <c r="HO56">
        <v>1.88629</v>
      </c>
      <c r="HP56">
        <v>1.8770800000000001</v>
      </c>
      <c r="HQ56">
        <v>1.88354</v>
      </c>
      <c r="HR56">
        <v>1.8825099999999999</v>
      </c>
      <c r="HS56">
        <v>1.8859900000000001</v>
      </c>
      <c r="HT56">
        <v>5</v>
      </c>
      <c r="HU56">
        <v>0</v>
      </c>
      <c r="HV56">
        <v>0</v>
      </c>
      <c r="HW56">
        <v>0</v>
      </c>
      <c r="HX56" t="s">
        <v>421</v>
      </c>
      <c r="HY56" t="s">
        <v>422</v>
      </c>
      <c r="HZ56" t="s">
        <v>423</v>
      </c>
      <c r="IA56" t="s">
        <v>424</v>
      </c>
      <c r="IB56" t="s">
        <v>424</v>
      </c>
      <c r="IC56" t="s">
        <v>423</v>
      </c>
      <c r="ID56">
        <v>0</v>
      </c>
      <c r="IE56">
        <v>100</v>
      </c>
      <c r="IF56">
        <v>100</v>
      </c>
      <c r="IG56">
        <v>-0.04</v>
      </c>
      <c r="IH56">
        <v>-7.1999999999999998E-3</v>
      </c>
      <c r="II56">
        <v>-4.171974102433533E-2</v>
      </c>
      <c r="IJ56">
        <v>4.4610147972834149E-5</v>
      </c>
      <c r="IK56">
        <v>-2.082673137682459E-7</v>
      </c>
      <c r="IL56">
        <v>-4.0725795306076518E-11</v>
      </c>
      <c r="IM56">
        <v>-7.1750000000001526E-3</v>
      </c>
      <c r="IN56">
        <v>0</v>
      </c>
      <c r="IO56">
        <v>0</v>
      </c>
      <c r="IP56">
        <v>0</v>
      </c>
      <c r="IQ56">
        <v>3</v>
      </c>
      <c r="IR56">
        <v>2179</v>
      </c>
      <c r="IS56">
        <v>0</v>
      </c>
      <c r="IT56">
        <v>22</v>
      </c>
      <c r="IU56">
        <v>0.7</v>
      </c>
      <c r="IV56">
        <v>0.6</v>
      </c>
      <c r="IW56">
        <v>0.305176</v>
      </c>
      <c r="IX56">
        <v>2.7136200000000001</v>
      </c>
      <c r="IY56">
        <v>1.6015600000000001</v>
      </c>
      <c r="IZ56">
        <v>2.323</v>
      </c>
      <c r="JA56">
        <v>1.5502899999999999</v>
      </c>
      <c r="JB56">
        <v>2.4890099999999999</v>
      </c>
      <c r="JC56">
        <v>45.404299999999999</v>
      </c>
      <c r="JD56">
        <v>24.148800000000001</v>
      </c>
      <c r="JE56">
        <v>18</v>
      </c>
      <c r="JF56">
        <v>533.39</v>
      </c>
      <c r="JG56">
        <v>382.01799999999997</v>
      </c>
      <c r="JH56">
        <v>27.617799999999999</v>
      </c>
      <c r="JI56">
        <v>35.671300000000002</v>
      </c>
      <c r="JJ56">
        <v>30.0002</v>
      </c>
      <c r="JK56">
        <v>35.695999999999998</v>
      </c>
      <c r="JL56">
        <v>35.684800000000003</v>
      </c>
      <c r="JM56">
        <v>6.0877999999999997</v>
      </c>
      <c r="JN56">
        <v>25.629300000000001</v>
      </c>
      <c r="JO56">
        <v>44.907299999999999</v>
      </c>
      <c r="JP56">
        <v>27.620699999999999</v>
      </c>
      <c r="JQ56">
        <v>70</v>
      </c>
      <c r="JR56">
        <v>22.986999999999998</v>
      </c>
      <c r="JS56">
        <v>98.299400000000006</v>
      </c>
      <c r="JT56">
        <v>98.715299999999999</v>
      </c>
    </row>
    <row r="57" spans="1:280" x14ac:dyDescent="0.25">
      <c r="A57">
        <v>41</v>
      </c>
      <c r="B57">
        <v>1700154985</v>
      </c>
      <c r="C57">
        <v>7111.5</v>
      </c>
      <c r="D57" t="s">
        <v>588</v>
      </c>
      <c r="E57" t="s">
        <v>589</v>
      </c>
      <c r="F57" t="s">
        <v>412</v>
      </c>
      <c r="G57" t="s">
        <v>539</v>
      </c>
      <c r="H57" t="s">
        <v>31</v>
      </c>
      <c r="I57">
        <v>1700154985</v>
      </c>
      <c r="J57">
        <f t="shared" si="46"/>
        <v>6.8949431624709618E-3</v>
      </c>
      <c r="K57">
        <f t="shared" si="47"/>
        <v>6.8949431624709616</v>
      </c>
      <c r="L57">
        <f t="shared" si="48"/>
        <v>4.7658199656081353</v>
      </c>
      <c r="M57">
        <f t="shared" si="49"/>
        <v>25.089200000000002</v>
      </c>
      <c r="N57">
        <f t="shared" si="50"/>
        <v>9.4256329567951003</v>
      </c>
      <c r="O57">
        <f t="shared" si="51"/>
        <v>0.93630118791200401</v>
      </c>
      <c r="P57">
        <f t="shared" si="52"/>
        <v>2.4922514881960001</v>
      </c>
      <c r="Q57">
        <f t="shared" si="53"/>
        <v>0.53975246478722605</v>
      </c>
      <c r="R57">
        <f t="shared" si="54"/>
        <v>3.122245660927355</v>
      </c>
      <c r="S57">
        <f t="shared" si="55"/>
        <v>0.49276469587910171</v>
      </c>
      <c r="T57">
        <f t="shared" si="56"/>
        <v>0.31185801151704345</v>
      </c>
      <c r="U57">
        <f t="shared" si="57"/>
        <v>344.39659930222115</v>
      </c>
      <c r="V57">
        <f t="shared" si="58"/>
        <v>31.033443838409017</v>
      </c>
      <c r="W57">
        <f t="shared" si="59"/>
        <v>29.998899999999999</v>
      </c>
      <c r="X57">
        <f t="shared" si="60"/>
        <v>4.2601805914156641</v>
      </c>
      <c r="Y57">
        <f t="shared" si="61"/>
        <v>65.441800301955396</v>
      </c>
      <c r="Z57">
        <f t="shared" si="62"/>
        <v>2.9204774555629998</v>
      </c>
      <c r="AA57">
        <f t="shared" si="63"/>
        <v>4.46270952523862</v>
      </c>
      <c r="AB57">
        <f t="shared" si="64"/>
        <v>1.3397031358526643</v>
      </c>
      <c r="AC57">
        <f t="shared" si="65"/>
        <v>-304.06699346496941</v>
      </c>
      <c r="AD57">
        <f t="shared" si="66"/>
        <v>136.5127980463235</v>
      </c>
      <c r="AE57">
        <f t="shared" si="67"/>
        <v>9.7607660862963908</v>
      </c>
      <c r="AF57">
        <f t="shared" si="68"/>
        <v>186.6031699698716</v>
      </c>
      <c r="AG57">
        <v>30</v>
      </c>
      <c r="AH57">
        <v>6</v>
      </c>
      <c r="AI57">
        <f t="shared" si="69"/>
        <v>1</v>
      </c>
      <c r="AJ57">
        <f t="shared" si="70"/>
        <v>0</v>
      </c>
      <c r="AK57">
        <f t="shared" si="71"/>
        <v>51631.512019325703</v>
      </c>
      <c r="AL57" t="s">
        <v>415</v>
      </c>
      <c r="AM57">
        <v>6977.87</v>
      </c>
      <c r="AN57">
        <v>273.15280000000001</v>
      </c>
      <c r="AO57">
        <v>850.46774885301022</v>
      </c>
      <c r="AP57">
        <f t="shared" si="72"/>
        <v>0.67882050745793765</v>
      </c>
      <c r="AQ57">
        <v>-1.0323826813720729</v>
      </c>
      <c r="AR57" t="s">
        <v>590</v>
      </c>
      <c r="AS57">
        <v>7115.92</v>
      </c>
      <c r="AT57">
        <v>628.98155999999994</v>
      </c>
      <c r="AU57">
        <v>686.96873490084499</v>
      </c>
      <c r="AV57">
        <f t="shared" si="73"/>
        <v>8.4410209598861474E-2</v>
      </c>
      <c r="AW57">
        <v>0.5</v>
      </c>
      <c r="AX57">
        <f t="shared" si="74"/>
        <v>1513.3025996511105</v>
      </c>
      <c r="AY57">
        <f t="shared" si="75"/>
        <v>4.7658199656081353</v>
      </c>
      <c r="AZ57">
        <f t="shared" si="76"/>
        <v>63.869094811526097</v>
      </c>
      <c r="BA57">
        <f t="shared" si="77"/>
        <v>3.8314892529207139E-3</v>
      </c>
      <c r="BB57">
        <f t="shared" si="78"/>
        <v>0.2380006623966143</v>
      </c>
      <c r="BC57">
        <f t="shared" si="79"/>
        <v>253.75549357760372</v>
      </c>
      <c r="BD57" t="s">
        <v>591</v>
      </c>
      <c r="BE57">
        <v>463.77</v>
      </c>
      <c r="BF57">
        <f t="shared" si="80"/>
        <v>463.77</v>
      </c>
      <c r="BG57">
        <f t="shared" si="81"/>
        <v>0.32490377445352125</v>
      </c>
      <c r="BH57">
        <f t="shared" si="82"/>
        <v>0.25980064325456675</v>
      </c>
      <c r="BI57">
        <f t="shared" si="83"/>
        <v>0.42280829003303488</v>
      </c>
      <c r="BJ57">
        <f t="shared" si="84"/>
        <v>0.14012794097631701</v>
      </c>
      <c r="BK57">
        <f t="shared" si="85"/>
        <v>0.28320592473311063</v>
      </c>
      <c r="BL57">
        <f t="shared" si="86"/>
        <v>0.19156005833012088</v>
      </c>
      <c r="BM57">
        <f t="shared" si="87"/>
        <v>0.80843994166987909</v>
      </c>
      <c r="BN57">
        <v>11296</v>
      </c>
      <c r="BO57">
        <v>290.00000000000011</v>
      </c>
      <c r="BP57">
        <v>672.35</v>
      </c>
      <c r="BQ57">
        <v>265</v>
      </c>
      <c r="BR57">
        <v>7115.92</v>
      </c>
      <c r="BS57">
        <v>671.6</v>
      </c>
      <c r="BT57">
        <v>0.75</v>
      </c>
      <c r="BU57">
        <v>300.00000000000011</v>
      </c>
      <c r="BV57">
        <v>38.299999999999997</v>
      </c>
      <c r="BW57">
        <v>686.96873490084499</v>
      </c>
      <c r="BX57">
        <v>0.81791094592266755</v>
      </c>
      <c r="BY57">
        <v>-10.935806641043531</v>
      </c>
      <c r="BZ57">
        <v>0.48780782326778582</v>
      </c>
      <c r="CA57">
        <v>0.94722743813747023</v>
      </c>
      <c r="CB57">
        <v>-7.0153595105672964E-3</v>
      </c>
      <c r="CC57">
        <v>289.99999999999989</v>
      </c>
      <c r="CD57">
        <v>672.49</v>
      </c>
      <c r="CE57">
        <v>735</v>
      </c>
      <c r="CF57">
        <v>7108.48</v>
      </c>
      <c r="CG57">
        <v>671.58</v>
      </c>
      <c r="CH57">
        <v>0.91</v>
      </c>
      <c r="CV57">
        <f t="shared" si="88"/>
        <v>1800.14</v>
      </c>
      <c r="CW57">
        <f t="shared" si="89"/>
        <v>1513.3025996511105</v>
      </c>
      <c r="CX57">
        <f t="shared" si="90"/>
        <v>0.84065828193979941</v>
      </c>
      <c r="CY57">
        <f t="shared" si="91"/>
        <v>0.19131656387959889</v>
      </c>
      <c r="CZ57">
        <v>5</v>
      </c>
      <c r="DA57">
        <v>0.5</v>
      </c>
      <c r="DB57" t="s">
        <v>418</v>
      </c>
      <c r="DC57">
        <v>2</v>
      </c>
      <c r="DD57">
        <v>1700154985</v>
      </c>
      <c r="DE57">
        <v>25.089200000000002</v>
      </c>
      <c r="DF57">
        <v>30.027100000000001</v>
      </c>
      <c r="DG57">
        <v>29.400099999999998</v>
      </c>
      <c r="DH57">
        <v>22.709099999999999</v>
      </c>
      <c r="DI57">
        <v>25.030899999999999</v>
      </c>
      <c r="DJ57">
        <v>29.406600000000001</v>
      </c>
      <c r="DK57">
        <v>500.09199999999998</v>
      </c>
      <c r="DL57">
        <v>99.235500000000002</v>
      </c>
      <c r="DM57">
        <v>0.10013</v>
      </c>
      <c r="DN57">
        <v>30.809899999999999</v>
      </c>
      <c r="DO57">
        <v>29.998899999999999</v>
      </c>
      <c r="DP57">
        <v>999.9</v>
      </c>
      <c r="DQ57">
        <v>0</v>
      </c>
      <c r="DR57">
        <v>0</v>
      </c>
      <c r="DS57">
        <v>9963.1200000000008</v>
      </c>
      <c r="DT57">
        <v>0</v>
      </c>
      <c r="DU57">
        <v>183.56299999999999</v>
      </c>
      <c r="DV57">
        <v>-4.9378399999999996</v>
      </c>
      <c r="DW57">
        <v>25.8492</v>
      </c>
      <c r="DX57">
        <v>30.724799999999998</v>
      </c>
      <c r="DY57">
        <v>6.6909999999999998</v>
      </c>
      <c r="DZ57">
        <v>30.027100000000001</v>
      </c>
      <c r="EA57">
        <v>22.709099999999999</v>
      </c>
      <c r="EB57">
        <v>2.9175399999999998</v>
      </c>
      <c r="EC57">
        <v>2.2535500000000002</v>
      </c>
      <c r="ED57">
        <v>23.564599999999999</v>
      </c>
      <c r="EE57">
        <v>19.348199999999999</v>
      </c>
      <c r="EF57">
        <v>1800.14</v>
      </c>
      <c r="EG57">
        <v>0.97799800000000003</v>
      </c>
      <c r="EH57">
        <v>2.2002000000000001E-2</v>
      </c>
      <c r="EI57">
        <v>0</v>
      </c>
      <c r="EJ57">
        <v>628.63300000000004</v>
      </c>
      <c r="EK57">
        <v>5.0005300000000004</v>
      </c>
      <c r="EL57">
        <v>13042.3</v>
      </c>
      <c r="EM57">
        <v>16036.5</v>
      </c>
      <c r="EN57">
        <v>49.125</v>
      </c>
      <c r="EO57">
        <v>50.311999999999998</v>
      </c>
      <c r="EP57">
        <v>49.75</v>
      </c>
      <c r="EQ57">
        <v>49.75</v>
      </c>
      <c r="ER57">
        <v>50.311999999999998</v>
      </c>
      <c r="ES57">
        <v>1755.64</v>
      </c>
      <c r="ET57">
        <v>39.5</v>
      </c>
      <c r="EU57">
        <v>0</v>
      </c>
      <c r="EV57">
        <v>223.39999985694891</v>
      </c>
      <c r="EW57">
        <v>0</v>
      </c>
      <c r="EX57">
        <v>628.98155999999994</v>
      </c>
      <c r="EY57">
        <v>-0.88169231426312944</v>
      </c>
      <c r="EZ57">
        <v>-373.47692442516791</v>
      </c>
      <c r="FA57">
        <v>13074.843999999999</v>
      </c>
      <c r="FB57">
        <v>15</v>
      </c>
      <c r="FC57">
        <v>1700154953</v>
      </c>
      <c r="FD57" t="s">
        <v>592</v>
      </c>
      <c r="FE57">
        <v>1700154943</v>
      </c>
      <c r="FF57">
        <v>1700154953</v>
      </c>
      <c r="FG57">
        <v>44</v>
      </c>
      <c r="FH57">
        <v>9.9000000000000005E-2</v>
      </c>
      <c r="FI57">
        <v>1E-3</v>
      </c>
      <c r="FJ57">
        <v>5.8999999999999997E-2</v>
      </c>
      <c r="FK57">
        <v>-6.0000000000000001E-3</v>
      </c>
      <c r="FL57">
        <v>30</v>
      </c>
      <c r="FM57">
        <v>23</v>
      </c>
      <c r="FN57">
        <v>0.38</v>
      </c>
      <c r="FO57">
        <v>0.01</v>
      </c>
      <c r="FP57">
        <v>4.7538910756780686</v>
      </c>
      <c r="FQ57">
        <v>-9.2553935257940548E-2</v>
      </c>
      <c r="FR57">
        <v>1.5086532173111971E-2</v>
      </c>
      <c r="FS57">
        <v>1</v>
      </c>
      <c r="FT57">
        <v>0.5364153107653522</v>
      </c>
      <c r="FU57">
        <v>4.919444909290998E-2</v>
      </c>
      <c r="FV57">
        <v>3.7670600053454741E-3</v>
      </c>
      <c r="FW57">
        <v>1</v>
      </c>
      <c r="FX57">
        <v>2</v>
      </c>
      <c r="FY57">
        <v>2</v>
      </c>
      <c r="FZ57" t="s">
        <v>420</v>
      </c>
      <c r="GA57">
        <v>3.1265999999999998</v>
      </c>
      <c r="GB57">
        <v>2.76668</v>
      </c>
      <c r="GC57">
        <v>6.69055E-3</v>
      </c>
      <c r="GD57">
        <v>8.0310599999999996E-3</v>
      </c>
      <c r="GE57">
        <v>0.12320200000000001</v>
      </c>
      <c r="GF57">
        <v>0.103002</v>
      </c>
      <c r="GG57">
        <v>23605.7</v>
      </c>
      <c r="GH57">
        <v>24534.1</v>
      </c>
      <c r="GI57">
        <v>23639.4</v>
      </c>
      <c r="GJ57">
        <v>25060.7</v>
      </c>
      <c r="GK57">
        <v>29854.3</v>
      </c>
      <c r="GL57">
        <v>31516.9</v>
      </c>
      <c r="GM57">
        <v>37687.599999999999</v>
      </c>
      <c r="GN57">
        <v>39009.1</v>
      </c>
      <c r="GO57">
        <v>2.0192700000000001</v>
      </c>
      <c r="GP57">
        <v>1.7309000000000001</v>
      </c>
      <c r="GQ57">
        <v>-4.1108600000000002E-2</v>
      </c>
      <c r="GR57">
        <v>0</v>
      </c>
      <c r="GS57">
        <v>30.6675</v>
      </c>
      <c r="GT57">
        <v>999.9</v>
      </c>
      <c r="GU57">
        <v>36.799999999999997</v>
      </c>
      <c r="GV57">
        <v>41</v>
      </c>
      <c r="GW57">
        <v>28.994399999999999</v>
      </c>
      <c r="GX57">
        <v>61.043700000000001</v>
      </c>
      <c r="GY57">
        <v>27.548100000000002</v>
      </c>
      <c r="GZ57">
        <v>1</v>
      </c>
      <c r="HA57">
        <v>0.709314</v>
      </c>
      <c r="HB57">
        <v>2.6638600000000001</v>
      </c>
      <c r="HC57">
        <v>20.296900000000001</v>
      </c>
      <c r="HD57">
        <v>5.2481400000000002</v>
      </c>
      <c r="HE57">
        <v>12.0099</v>
      </c>
      <c r="HF57">
        <v>4.9786000000000001</v>
      </c>
      <c r="HG57">
        <v>3.2926199999999999</v>
      </c>
      <c r="HH57">
        <v>9999</v>
      </c>
      <c r="HI57">
        <v>9999</v>
      </c>
      <c r="HJ57">
        <v>9999</v>
      </c>
      <c r="HK57">
        <v>999.9</v>
      </c>
      <c r="HL57">
        <v>1.8760699999999999</v>
      </c>
      <c r="HM57">
        <v>1.87696</v>
      </c>
      <c r="HN57">
        <v>1.88314</v>
      </c>
      <c r="HO57">
        <v>1.88629</v>
      </c>
      <c r="HP57">
        <v>1.87707</v>
      </c>
      <c r="HQ57">
        <v>1.88354</v>
      </c>
      <c r="HR57">
        <v>1.8825000000000001</v>
      </c>
      <c r="HS57">
        <v>1.8859900000000001</v>
      </c>
      <c r="HT57">
        <v>5</v>
      </c>
      <c r="HU57">
        <v>0</v>
      </c>
      <c r="HV57">
        <v>0</v>
      </c>
      <c r="HW57">
        <v>0</v>
      </c>
      <c r="HX57" t="s">
        <v>421</v>
      </c>
      <c r="HY57" t="s">
        <v>422</v>
      </c>
      <c r="HZ57" t="s">
        <v>423</v>
      </c>
      <c r="IA57" t="s">
        <v>424</v>
      </c>
      <c r="IB57" t="s">
        <v>424</v>
      </c>
      <c r="IC57" t="s">
        <v>423</v>
      </c>
      <c r="ID57">
        <v>0</v>
      </c>
      <c r="IE57">
        <v>100</v>
      </c>
      <c r="IF57">
        <v>100</v>
      </c>
      <c r="IG57">
        <v>5.8000000000000003E-2</v>
      </c>
      <c r="IH57">
        <v>-6.4999999999999997E-3</v>
      </c>
      <c r="II57">
        <v>5.7367550266980857E-2</v>
      </c>
      <c r="IJ57">
        <v>4.4610147972834149E-5</v>
      </c>
      <c r="IK57">
        <v>-2.082673137682459E-7</v>
      </c>
      <c r="IL57">
        <v>-4.0725795306076518E-11</v>
      </c>
      <c r="IM57">
        <v>-6.4250000000001251E-3</v>
      </c>
      <c r="IN57">
        <v>0</v>
      </c>
      <c r="IO57">
        <v>0</v>
      </c>
      <c r="IP57">
        <v>0</v>
      </c>
      <c r="IQ57">
        <v>3</v>
      </c>
      <c r="IR57">
        <v>2179</v>
      </c>
      <c r="IS57">
        <v>0</v>
      </c>
      <c r="IT57">
        <v>22</v>
      </c>
      <c r="IU57">
        <v>0.7</v>
      </c>
      <c r="IV57">
        <v>0.5</v>
      </c>
      <c r="IW57">
        <v>0.21728500000000001</v>
      </c>
      <c r="IX57">
        <v>2.7404799999999998</v>
      </c>
      <c r="IY57">
        <v>1.6015600000000001</v>
      </c>
      <c r="IZ57">
        <v>2.32422</v>
      </c>
      <c r="JA57">
        <v>1.5502899999999999</v>
      </c>
      <c r="JB57">
        <v>2.4621599999999999</v>
      </c>
      <c r="JC57">
        <v>45.375799999999998</v>
      </c>
      <c r="JD57">
        <v>24.157499999999999</v>
      </c>
      <c r="JE57">
        <v>18</v>
      </c>
      <c r="JF57">
        <v>534.529</v>
      </c>
      <c r="JG57">
        <v>381.452</v>
      </c>
      <c r="JH57">
        <v>27.830400000000001</v>
      </c>
      <c r="JI57">
        <v>35.707500000000003</v>
      </c>
      <c r="JJ57">
        <v>30.0001</v>
      </c>
      <c r="JK57">
        <v>35.7224</v>
      </c>
      <c r="JL57">
        <v>35.711100000000002</v>
      </c>
      <c r="JM57">
        <v>4.3168800000000003</v>
      </c>
      <c r="JN57">
        <v>26.2925</v>
      </c>
      <c r="JO57">
        <v>44.232199999999999</v>
      </c>
      <c r="JP57">
        <v>27.830300000000001</v>
      </c>
      <c r="JQ57">
        <v>30</v>
      </c>
      <c r="JR57">
        <v>22.700500000000002</v>
      </c>
      <c r="JS57">
        <v>98.293400000000005</v>
      </c>
      <c r="JT57">
        <v>98.710800000000006</v>
      </c>
    </row>
    <row r="58" spans="1:280" x14ac:dyDescent="0.25">
      <c r="A58">
        <v>42</v>
      </c>
      <c r="B58">
        <v>1700155091.5</v>
      </c>
      <c r="C58">
        <v>7218</v>
      </c>
      <c r="D58" t="s">
        <v>593</v>
      </c>
      <c r="E58" t="s">
        <v>594</v>
      </c>
      <c r="F58" t="s">
        <v>412</v>
      </c>
      <c r="G58" t="s">
        <v>539</v>
      </c>
      <c r="H58" t="s">
        <v>31</v>
      </c>
      <c r="I58">
        <v>1700155091.5</v>
      </c>
      <c r="J58">
        <f t="shared" si="46"/>
        <v>6.9995481367885236E-3</v>
      </c>
      <c r="K58">
        <f t="shared" si="47"/>
        <v>6.9995481367885235</v>
      </c>
      <c r="L58">
        <f t="shared" si="48"/>
        <v>1.362302163691079</v>
      </c>
      <c r="M58">
        <f t="shared" si="49"/>
        <v>8.5396000000000001</v>
      </c>
      <c r="N58">
        <f t="shared" si="50"/>
        <v>4.1082471151450601</v>
      </c>
      <c r="O58">
        <f t="shared" si="51"/>
        <v>0.40810098475963591</v>
      </c>
      <c r="P58">
        <f t="shared" si="52"/>
        <v>0.84829833059599991</v>
      </c>
      <c r="Q58">
        <f t="shared" si="53"/>
        <v>0.55014866499950577</v>
      </c>
      <c r="R58">
        <f t="shared" si="54"/>
        <v>3.1231369994520559</v>
      </c>
      <c r="S58">
        <f t="shared" si="55"/>
        <v>0.50143340180590701</v>
      </c>
      <c r="T58">
        <f t="shared" si="56"/>
        <v>0.31741249401574634</v>
      </c>
      <c r="U58">
        <f t="shared" si="57"/>
        <v>344.34149930210867</v>
      </c>
      <c r="V58">
        <f t="shared" si="58"/>
        <v>31.055509577214305</v>
      </c>
      <c r="W58">
        <f t="shared" si="59"/>
        <v>30.028700000000001</v>
      </c>
      <c r="X58">
        <f t="shared" si="60"/>
        <v>4.2674781901277026</v>
      </c>
      <c r="Y58">
        <f t="shared" si="61"/>
        <v>65.499376920923623</v>
      </c>
      <c r="Z58">
        <f t="shared" si="62"/>
        <v>2.9310676181629995</v>
      </c>
      <c r="AA58">
        <f t="shared" si="63"/>
        <v>4.4749549628565655</v>
      </c>
      <c r="AB58">
        <f t="shared" si="64"/>
        <v>1.336410571964703</v>
      </c>
      <c r="AC58">
        <f t="shared" si="65"/>
        <v>-308.68007283237387</v>
      </c>
      <c r="AD58">
        <f t="shared" si="66"/>
        <v>139.61618673946961</v>
      </c>
      <c r="AE58">
        <f t="shared" si="67"/>
        <v>9.9836515216405282</v>
      </c>
      <c r="AF58">
        <f t="shared" si="68"/>
        <v>185.26126473084494</v>
      </c>
      <c r="AG58">
        <v>30</v>
      </c>
      <c r="AH58">
        <v>6</v>
      </c>
      <c r="AI58">
        <f t="shared" si="69"/>
        <v>1</v>
      </c>
      <c r="AJ58">
        <f t="shared" si="70"/>
        <v>0</v>
      </c>
      <c r="AK58">
        <f t="shared" si="71"/>
        <v>51645.922445447053</v>
      </c>
      <c r="AL58" t="s">
        <v>427</v>
      </c>
      <c r="AM58" t="s">
        <v>427</v>
      </c>
      <c r="AN58">
        <v>0</v>
      </c>
      <c r="AO58">
        <v>0</v>
      </c>
      <c r="AP58" t="e">
        <f t="shared" si="72"/>
        <v>#DIV/0!</v>
      </c>
      <c r="AQ58">
        <v>0</v>
      </c>
      <c r="AR58" t="s">
        <v>427</v>
      </c>
      <c r="AS58" t="s">
        <v>427</v>
      </c>
      <c r="AT58">
        <v>0</v>
      </c>
      <c r="AU58">
        <v>0</v>
      </c>
      <c r="AV58" t="e">
        <f t="shared" si="73"/>
        <v>#DIV/0!</v>
      </c>
      <c r="AW58">
        <v>0.5</v>
      </c>
      <c r="AX58">
        <f t="shared" si="74"/>
        <v>1513.0589996510541</v>
      </c>
      <c r="AY58">
        <f t="shared" si="75"/>
        <v>1.362302163691079</v>
      </c>
      <c r="AZ58" t="e">
        <f t="shared" si="76"/>
        <v>#DIV/0!</v>
      </c>
      <c r="BA58">
        <f t="shared" si="77"/>
        <v>9.0036288340722794E-4</v>
      </c>
      <c r="BB58" t="e">
        <f t="shared" si="78"/>
        <v>#DIV/0!</v>
      </c>
      <c r="BC58" t="e">
        <f t="shared" si="79"/>
        <v>#DIV/0!</v>
      </c>
      <c r="BD58" t="s">
        <v>427</v>
      </c>
      <c r="BE58">
        <v>0</v>
      </c>
      <c r="BF58" t="e">
        <f t="shared" si="80"/>
        <v>#DIV/0!</v>
      </c>
      <c r="BG58" t="e">
        <f t="shared" si="81"/>
        <v>#DIV/0!</v>
      </c>
      <c r="BH58" t="e">
        <f t="shared" si="82"/>
        <v>#DIV/0!</v>
      </c>
      <c r="BI58" t="e">
        <f t="shared" si="83"/>
        <v>#DIV/0!</v>
      </c>
      <c r="BJ58" t="e">
        <f t="shared" si="84"/>
        <v>#DIV/0!</v>
      </c>
      <c r="BK58" t="e">
        <f t="shared" si="85"/>
        <v>#DIV/0!</v>
      </c>
      <c r="BL58" t="e">
        <f t="shared" si="86"/>
        <v>#DIV/0!</v>
      </c>
      <c r="BM58" t="e">
        <f t="shared" si="87"/>
        <v>#DIV/0!</v>
      </c>
      <c r="BN58">
        <v>11296</v>
      </c>
      <c r="BO58">
        <v>290.00000000000011</v>
      </c>
      <c r="BP58">
        <v>672.35</v>
      </c>
      <c r="BQ58">
        <v>265</v>
      </c>
      <c r="BR58">
        <v>7115.92</v>
      </c>
      <c r="BS58">
        <v>671.6</v>
      </c>
      <c r="BT58">
        <v>0.75</v>
      </c>
      <c r="BU58">
        <v>300.00000000000011</v>
      </c>
      <c r="BV58">
        <v>38.299999999999997</v>
      </c>
      <c r="BW58">
        <v>686.96873490084499</v>
      </c>
      <c r="BX58">
        <v>0.81791094592266755</v>
      </c>
      <c r="BY58">
        <v>-10.935806641043531</v>
      </c>
      <c r="BZ58">
        <v>0.48780782326778582</v>
      </c>
      <c r="CA58">
        <v>0.94722743813747023</v>
      </c>
      <c r="CB58">
        <v>-7.0153595105672964E-3</v>
      </c>
      <c r="CC58">
        <v>289.99999999999989</v>
      </c>
      <c r="CD58">
        <v>672.49</v>
      </c>
      <c r="CE58">
        <v>735</v>
      </c>
      <c r="CF58">
        <v>7108.48</v>
      </c>
      <c r="CG58">
        <v>671.58</v>
      </c>
      <c r="CH58">
        <v>0.91</v>
      </c>
      <c r="CV58">
        <f t="shared" si="88"/>
        <v>1799.85</v>
      </c>
      <c r="CW58">
        <f t="shared" si="89"/>
        <v>1513.0589996510541</v>
      </c>
      <c r="CX58">
        <f t="shared" si="90"/>
        <v>0.8406583880051417</v>
      </c>
      <c r="CY58">
        <f t="shared" si="91"/>
        <v>0.19131677601028346</v>
      </c>
      <c r="CZ58">
        <v>5</v>
      </c>
      <c r="DA58">
        <v>0.5</v>
      </c>
      <c r="DB58" t="s">
        <v>418</v>
      </c>
      <c r="DC58">
        <v>2</v>
      </c>
      <c r="DD58">
        <v>1700155091.5</v>
      </c>
      <c r="DE58">
        <v>8.5396000000000001</v>
      </c>
      <c r="DF58">
        <v>9.9616299999999995</v>
      </c>
      <c r="DG58">
        <v>29.5063</v>
      </c>
      <c r="DH58">
        <v>22.7135</v>
      </c>
      <c r="DI58">
        <v>8.4941600000000008</v>
      </c>
      <c r="DJ58">
        <v>29.511900000000001</v>
      </c>
      <c r="DK58">
        <v>500.01600000000002</v>
      </c>
      <c r="DL58">
        <v>99.236999999999995</v>
      </c>
      <c r="DM58">
        <v>0.10001</v>
      </c>
      <c r="DN58">
        <v>30.857900000000001</v>
      </c>
      <c r="DO58">
        <v>30.028700000000001</v>
      </c>
      <c r="DP58">
        <v>999.9</v>
      </c>
      <c r="DQ58">
        <v>0</v>
      </c>
      <c r="DR58">
        <v>0</v>
      </c>
      <c r="DS58">
        <v>9967.5</v>
      </c>
      <c r="DT58">
        <v>0</v>
      </c>
      <c r="DU58">
        <v>192.93600000000001</v>
      </c>
      <c r="DV58">
        <v>-1.4220299999999999</v>
      </c>
      <c r="DW58">
        <v>8.7992299999999997</v>
      </c>
      <c r="DX58">
        <v>10.193199999999999</v>
      </c>
      <c r="DY58">
        <v>6.7927999999999997</v>
      </c>
      <c r="DZ58">
        <v>9.9616299999999995</v>
      </c>
      <c r="EA58">
        <v>22.7135</v>
      </c>
      <c r="EB58">
        <v>2.9281199999999998</v>
      </c>
      <c r="EC58">
        <v>2.2540200000000001</v>
      </c>
      <c r="ED58">
        <v>23.624700000000001</v>
      </c>
      <c r="EE58">
        <v>19.351500000000001</v>
      </c>
      <c r="EF58">
        <v>1799.85</v>
      </c>
      <c r="EG58">
        <v>0.97799400000000003</v>
      </c>
      <c r="EH58">
        <v>2.20056E-2</v>
      </c>
      <c r="EI58">
        <v>0</v>
      </c>
      <c r="EJ58">
        <v>640.72799999999995</v>
      </c>
      <c r="EK58">
        <v>5.0005300000000004</v>
      </c>
      <c r="EL58">
        <v>13224.1</v>
      </c>
      <c r="EM58">
        <v>16033.9</v>
      </c>
      <c r="EN58">
        <v>49.186999999999998</v>
      </c>
      <c r="EO58">
        <v>50.311999999999998</v>
      </c>
      <c r="EP58">
        <v>49.75</v>
      </c>
      <c r="EQ58">
        <v>49.811999999999998</v>
      </c>
      <c r="ER58">
        <v>50.375</v>
      </c>
      <c r="ES58">
        <v>1755.35</v>
      </c>
      <c r="ET58">
        <v>39.5</v>
      </c>
      <c r="EU58">
        <v>0</v>
      </c>
      <c r="EV58">
        <v>104.5999999046326</v>
      </c>
      <c r="EW58">
        <v>0</v>
      </c>
      <c r="EX58">
        <v>640.39839999999992</v>
      </c>
      <c r="EY58">
        <v>0.91999998719042164</v>
      </c>
      <c r="EZ58">
        <v>-10.49999975702252</v>
      </c>
      <c r="FA58">
        <v>13232.16</v>
      </c>
      <c r="FB58">
        <v>15</v>
      </c>
      <c r="FC58">
        <v>1700155059</v>
      </c>
      <c r="FD58" t="s">
        <v>595</v>
      </c>
      <c r="FE58">
        <v>1700155046</v>
      </c>
      <c r="FF58">
        <v>1700155059</v>
      </c>
      <c r="FG58">
        <v>45</v>
      </c>
      <c r="FH58">
        <v>-1.2E-2</v>
      </c>
      <c r="FI58">
        <v>1E-3</v>
      </c>
      <c r="FJ58">
        <v>4.4999999999999998E-2</v>
      </c>
      <c r="FK58">
        <v>-6.0000000000000001E-3</v>
      </c>
      <c r="FL58">
        <v>10</v>
      </c>
      <c r="FM58">
        <v>23</v>
      </c>
      <c r="FN58">
        <v>0.44</v>
      </c>
      <c r="FO58">
        <v>0.02</v>
      </c>
      <c r="FP58">
        <v>1.4424267830014319</v>
      </c>
      <c r="FQ58">
        <v>0.29045924385616262</v>
      </c>
      <c r="FR58">
        <v>4.4578821656925532E-2</v>
      </c>
      <c r="FS58">
        <v>1</v>
      </c>
      <c r="FT58">
        <v>0.5439863194180552</v>
      </c>
      <c r="FU58">
        <v>4.1989978077955202E-2</v>
      </c>
      <c r="FV58">
        <v>3.9349725443381433E-3</v>
      </c>
      <c r="FW58">
        <v>1</v>
      </c>
      <c r="FX58">
        <v>2</v>
      </c>
      <c r="FY58">
        <v>2</v>
      </c>
      <c r="FZ58" t="s">
        <v>420</v>
      </c>
      <c r="GA58">
        <v>3.1265100000000001</v>
      </c>
      <c r="GB58">
        <v>2.7665999999999999</v>
      </c>
      <c r="GC58">
        <v>2.2725100000000002E-3</v>
      </c>
      <c r="GD58">
        <v>2.6672599999999999E-3</v>
      </c>
      <c r="GE58">
        <v>0.123499</v>
      </c>
      <c r="GF58">
        <v>0.10301</v>
      </c>
      <c r="GG58">
        <v>23708.400000000001</v>
      </c>
      <c r="GH58">
        <v>24663.9</v>
      </c>
      <c r="GI58">
        <v>23637.599999999999</v>
      </c>
      <c r="GJ58">
        <v>25058.400000000001</v>
      </c>
      <c r="GK58">
        <v>29842</v>
      </c>
      <c r="GL58">
        <v>31514.2</v>
      </c>
      <c r="GM58">
        <v>37684.800000000003</v>
      </c>
      <c r="GN58">
        <v>39006.1</v>
      </c>
      <c r="GO58">
        <v>2.0187200000000001</v>
      </c>
      <c r="GP58">
        <v>1.7302</v>
      </c>
      <c r="GQ58">
        <v>-4.4442700000000002E-2</v>
      </c>
      <c r="GR58">
        <v>0</v>
      </c>
      <c r="GS58">
        <v>30.7515</v>
      </c>
      <c r="GT58">
        <v>999.9</v>
      </c>
      <c r="GU58">
        <v>36.700000000000003</v>
      </c>
      <c r="GV58">
        <v>41</v>
      </c>
      <c r="GW58">
        <v>28.913799999999998</v>
      </c>
      <c r="GX58">
        <v>61.063699999999997</v>
      </c>
      <c r="GY58">
        <v>27.644200000000001</v>
      </c>
      <c r="GZ58">
        <v>1</v>
      </c>
      <c r="HA58">
        <v>0.714723</v>
      </c>
      <c r="HB58">
        <v>3.1878600000000001</v>
      </c>
      <c r="HC58">
        <v>20.287400000000002</v>
      </c>
      <c r="HD58">
        <v>5.2490399999999999</v>
      </c>
      <c r="HE58">
        <v>12.0099</v>
      </c>
      <c r="HF58">
        <v>4.9781000000000004</v>
      </c>
      <c r="HG58">
        <v>3.2922500000000001</v>
      </c>
      <c r="HH58">
        <v>9999</v>
      </c>
      <c r="HI58">
        <v>9999</v>
      </c>
      <c r="HJ58">
        <v>9999</v>
      </c>
      <c r="HK58">
        <v>999.9</v>
      </c>
      <c r="HL58">
        <v>1.87599</v>
      </c>
      <c r="HM58">
        <v>1.87686</v>
      </c>
      <c r="HN58">
        <v>1.8830899999999999</v>
      </c>
      <c r="HO58">
        <v>1.88626</v>
      </c>
      <c r="HP58">
        <v>1.8769800000000001</v>
      </c>
      <c r="HQ58">
        <v>1.88354</v>
      </c>
      <c r="HR58">
        <v>1.8824799999999999</v>
      </c>
      <c r="HS58">
        <v>1.88592</v>
      </c>
      <c r="HT58">
        <v>5</v>
      </c>
      <c r="HU58">
        <v>0</v>
      </c>
      <c r="HV58">
        <v>0</v>
      </c>
      <c r="HW58">
        <v>0</v>
      </c>
      <c r="HX58" t="s">
        <v>421</v>
      </c>
      <c r="HY58" t="s">
        <v>422</v>
      </c>
      <c r="HZ58" t="s">
        <v>423</v>
      </c>
      <c r="IA58" t="s">
        <v>424</v>
      </c>
      <c r="IB58" t="s">
        <v>424</v>
      </c>
      <c r="IC58" t="s">
        <v>423</v>
      </c>
      <c r="ID58">
        <v>0</v>
      </c>
      <c r="IE58">
        <v>100</v>
      </c>
      <c r="IF58">
        <v>100</v>
      </c>
      <c r="IG58">
        <v>4.4999999999999998E-2</v>
      </c>
      <c r="IH58">
        <v>-5.5999999999999999E-3</v>
      </c>
      <c r="II58">
        <v>4.507143100685447E-2</v>
      </c>
      <c r="IJ58">
        <v>4.4610147972834149E-5</v>
      </c>
      <c r="IK58">
        <v>-2.082673137682459E-7</v>
      </c>
      <c r="IL58">
        <v>-4.0725795306076518E-11</v>
      </c>
      <c r="IM58">
        <v>-5.6142857142837954E-3</v>
      </c>
      <c r="IN58">
        <v>0</v>
      </c>
      <c r="IO58">
        <v>0</v>
      </c>
      <c r="IP58">
        <v>0</v>
      </c>
      <c r="IQ58">
        <v>3</v>
      </c>
      <c r="IR58">
        <v>2179</v>
      </c>
      <c r="IS58">
        <v>0</v>
      </c>
      <c r="IT58">
        <v>22</v>
      </c>
      <c r="IU58">
        <v>0.8</v>
      </c>
      <c r="IV58">
        <v>0.5</v>
      </c>
      <c r="IW58">
        <v>0.17333999999999999</v>
      </c>
      <c r="IX58">
        <v>2.7477999999999998</v>
      </c>
      <c r="IY58">
        <v>1.6015600000000001</v>
      </c>
      <c r="IZ58">
        <v>2.323</v>
      </c>
      <c r="JA58">
        <v>1.5502899999999999</v>
      </c>
      <c r="JB58">
        <v>2.5134300000000001</v>
      </c>
      <c r="JC58">
        <v>45.404299999999999</v>
      </c>
      <c r="JD58">
        <v>24.1663</v>
      </c>
      <c r="JE58">
        <v>18</v>
      </c>
      <c r="JF58">
        <v>534.42100000000005</v>
      </c>
      <c r="JG58">
        <v>381.19799999999998</v>
      </c>
      <c r="JH58">
        <v>27.595099999999999</v>
      </c>
      <c r="JI58">
        <v>35.743699999999997</v>
      </c>
      <c r="JJ58">
        <v>30.000499999999999</v>
      </c>
      <c r="JK58">
        <v>35.755299999999998</v>
      </c>
      <c r="JL58">
        <v>35.7408</v>
      </c>
      <c r="JM58">
        <v>3.4519199999999999</v>
      </c>
      <c r="JN58">
        <v>25.851299999999998</v>
      </c>
      <c r="JO58">
        <v>43.658799999999999</v>
      </c>
      <c r="JP58">
        <v>27.5883</v>
      </c>
      <c r="JQ58">
        <v>10</v>
      </c>
      <c r="JR58">
        <v>22.799499999999998</v>
      </c>
      <c r="JS58">
        <v>98.286000000000001</v>
      </c>
      <c r="JT58">
        <v>98.702699999999993</v>
      </c>
    </row>
    <row r="59" spans="1:280" x14ac:dyDescent="0.25">
      <c r="A59">
        <v>43</v>
      </c>
      <c r="B59">
        <v>1700157046.5999999</v>
      </c>
      <c r="C59">
        <v>9173.0999999046326</v>
      </c>
      <c r="D59" t="s">
        <v>596</v>
      </c>
      <c r="E59" t="s">
        <v>597</v>
      </c>
      <c r="F59" t="s">
        <v>412</v>
      </c>
      <c r="G59" t="s">
        <v>598</v>
      </c>
      <c r="H59" t="s">
        <v>413</v>
      </c>
      <c r="I59">
        <v>1700157046.5999999</v>
      </c>
      <c r="J59">
        <f t="shared" si="46"/>
        <v>3.6109682996279847E-3</v>
      </c>
      <c r="K59">
        <f t="shared" si="47"/>
        <v>3.6109682996279848</v>
      </c>
      <c r="L59">
        <f t="shared" si="48"/>
        <v>39.56517180883548</v>
      </c>
      <c r="M59">
        <f t="shared" si="49"/>
        <v>401.6</v>
      </c>
      <c r="N59">
        <f t="shared" si="50"/>
        <v>125.06456987426141</v>
      </c>
      <c r="O59">
        <f t="shared" si="51"/>
        <v>12.412729596696133</v>
      </c>
      <c r="P59">
        <f t="shared" si="52"/>
        <v>39.859028108800004</v>
      </c>
      <c r="Q59">
        <f t="shared" si="53"/>
        <v>0.24367250689397704</v>
      </c>
      <c r="R59">
        <f t="shared" si="54"/>
        <v>2.9280571603561025</v>
      </c>
      <c r="S59">
        <f t="shared" si="55"/>
        <v>0.23294128539203987</v>
      </c>
      <c r="T59">
        <f t="shared" si="56"/>
        <v>0.14651307546230047</v>
      </c>
      <c r="U59">
        <f t="shared" si="57"/>
        <v>344.39339930203676</v>
      </c>
      <c r="V59">
        <f t="shared" si="58"/>
        <v>31.10400045320522</v>
      </c>
      <c r="W59">
        <f t="shared" si="59"/>
        <v>30.016999999999999</v>
      </c>
      <c r="X59">
        <f t="shared" si="60"/>
        <v>4.264611727617984</v>
      </c>
      <c r="Y59">
        <f t="shared" si="61"/>
        <v>65.215046163595005</v>
      </c>
      <c r="Z59">
        <f t="shared" si="62"/>
        <v>2.7806733884855999</v>
      </c>
      <c r="AA59">
        <f t="shared" si="63"/>
        <v>4.2638525188039429</v>
      </c>
      <c r="AB59">
        <f t="shared" si="64"/>
        <v>1.4839383391323842</v>
      </c>
      <c r="AC59">
        <f t="shared" si="65"/>
        <v>-159.24370201359412</v>
      </c>
      <c r="AD59">
        <f t="shared" si="66"/>
        <v>-0.4893579946502476</v>
      </c>
      <c r="AE59">
        <f t="shared" si="67"/>
        <v>-3.7166585394331306E-2</v>
      </c>
      <c r="AF59">
        <f t="shared" si="68"/>
        <v>184.62317270839804</v>
      </c>
      <c r="AG59">
        <v>0</v>
      </c>
      <c r="AH59">
        <v>0</v>
      </c>
      <c r="AI59">
        <f t="shared" si="69"/>
        <v>1</v>
      </c>
      <c r="AJ59">
        <f t="shared" si="70"/>
        <v>0</v>
      </c>
      <c r="AK59">
        <f t="shared" si="71"/>
        <v>51781.949705255087</v>
      </c>
      <c r="AL59" t="s">
        <v>415</v>
      </c>
      <c r="AM59">
        <v>6977.87</v>
      </c>
      <c r="AN59">
        <v>273.15280000000001</v>
      </c>
      <c r="AO59">
        <v>850.46774885301022</v>
      </c>
      <c r="AP59">
        <f t="shared" si="72"/>
        <v>0.67882050745793765</v>
      </c>
      <c r="AQ59">
        <v>-1.0323826813720729</v>
      </c>
      <c r="AR59" t="s">
        <v>599</v>
      </c>
      <c r="AS59">
        <v>7104.44</v>
      </c>
      <c r="AT59">
        <v>704.27359999999999</v>
      </c>
      <c r="AU59">
        <v>1023.006340350659</v>
      </c>
      <c r="AV59">
        <f t="shared" si="73"/>
        <v>0.3115647750935796</v>
      </c>
      <c r="AW59">
        <v>0.5</v>
      </c>
      <c r="AX59">
        <f t="shared" si="74"/>
        <v>1513.2860996510183</v>
      </c>
      <c r="AY59">
        <f t="shared" si="75"/>
        <v>39.56517180883548</v>
      </c>
      <c r="AZ59">
        <f t="shared" si="76"/>
        <v>235.7433216450049</v>
      </c>
      <c r="BA59">
        <f t="shared" si="77"/>
        <v>2.6827415185780024E-2</v>
      </c>
      <c r="BB59">
        <f t="shared" si="78"/>
        <v>-0.16865837941777292</v>
      </c>
      <c r="BC59">
        <f t="shared" si="79"/>
        <v>288.79681142821022</v>
      </c>
      <c r="BD59" t="s">
        <v>600</v>
      </c>
      <c r="BE59">
        <v>497.62</v>
      </c>
      <c r="BF59">
        <f t="shared" si="80"/>
        <v>497.62</v>
      </c>
      <c r="BG59">
        <f t="shared" si="81"/>
        <v>0.51357095222945603</v>
      </c>
      <c r="BH59">
        <f t="shared" si="82"/>
        <v>0.6066635461780886</v>
      </c>
      <c r="BI59">
        <f t="shared" si="83"/>
        <v>-0.48898878357170739</v>
      </c>
      <c r="BJ59">
        <f t="shared" si="84"/>
        <v>0.4250599926508421</v>
      </c>
      <c r="BK59">
        <f t="shared" si="85"/>
        <v>-0.29886389022221338</v>
      </c>
      <c r="BL59">
        <f t="shared" si="86"/>
        <v>0.4286514698962739</v>
      </c>
      <c r="BM59">
        <f t="shared" si="87"/>
        <v>0.5713485301037261</v>
      </c>
      <c r="BN59">
        <v>11298</v>
      </c>
      <c r="BO59">
        <v>290.00000000000011</v>
      </c>
      <c r="BP59">
        <v>933.43</v>
      </c>
      <c r="BQ59">
        <v>285</v>
      </c>
      <c r="BR59">
        <v>7104.44</v>
      </c>
      <c r="BS59">
        <v>935.16</v>
      </c>
      <c r="BT59">
        <v>-1.73</v>
      </c>
      <c r="BU59">
        <v>300.00000000000011</v>
      </c>
      <c r="BV59">
        <v>38.299999999999997</v>
      </c>
      <c r="BW59">
        <v>1023.006340350659</v>
      </c>
      <c r="BX59">
        <v>1.524390290350071</v>
      </c>
      <c r="BY59">
        <v>-62.408702016212899</v>
      </c>
      <c r="BZ59">
        <v>0.90780716497310565</v>
      </c>
      <c r="CA59">
        <v>0.99411034930378051</v>
      </c>
      <c r="CB59">
        <v>-7.0051770856507318E-3</v>
      </c>
      <c r="CC59">
        <v>289.99999999999989</v>
      </c>
      <c r="CD59">
        <v>944.63</v>
      </c>
      <c r="CE59">
        <v>845</v>
      </c>
      <c r="CF59">
        <v>7095.74</v>
      </c>
      <c r="CG59">
        <v>935.05</v>
      </c>
      <c r="CH59">
        <v>9.58</v>
      </c>
      <c r="CV59">
        <f t="shared" si="88"/>
        <v>1800.12</v>
      </c>
      <c r="CW59">
        <f t="shared" si="89"/>
        <v>1513.2860996510183</v>
      </c>
      <c r="CX59">
        <f t="shared" si="90"/>
        <v>0.84065845590906074</v>
      </c>
      <c r="CY59">
        <f t="shared" si="91"/>
        <v>0.19131691181812144</v>
      </c>
      <c r="CZ59">
        <v>5.9</v>
      </c>
      <c r="DA59">
        <v>0.5</v>
      </c>
      <c r="DB59" t="s">
        <v>418</v>
      </c>
      <c r="DC59">
        <v>2</v>
      </c>
      <c r="DD59">
        <v>1700157046.5999999</v>
      </c>
      <c r="DE59">
        <v>401.6</v>
      </c>
      <c r="DF59">
        <v>449.995</v>
      </c>
      <c r="DG59">
        <v>28.0167</v>
      </c>
      <c r="DH59">
        <v>23.875399999999999</v>
      </c>
      <c r="DI59">
        <v>402.17200000000003</v>
      </c>
      <c r="DJ59">
        <v>28.017499999999998</v>
      </c>
      <c r="DK59">
        <v>500.03199999999998</v>
      </c>
      <c r="DL59">
        <v>99.150400000000005</v>
      </c>
      <c r="DM59">
        <v>0.10016799999999999</v>
      </c>
      <c r="DN59">
        <v>30.0139</v>
      </c>
      <c r="DO59">
        <v>30.016999999999999</v>
      </c>
      <c r="DP59">
        <v>999.9</v>
      </c>
      <c r="DQ59">
        <v>0</v>
      </c>
      <c r="DR59">
        <v>0</v>
      </c>
      <c r="DS59">
        <v>9975</v>
      </c>
      <c r="DT59">
        <v>0</v>
      </c>
      <c r="DU59">
        <v>416.93799999999999</v>
      </c>
      <c r="DV59">
        <v>-48.395600000000002</v>
      </c>
      <c r="DW59">
        <v>413.17599999999999</v>
      </c>
      <c r="DX59">
        <v>461.00200000000001</v>
      </c>
      <c r="DY59">
        <v>4.1413500000000001</v>
      </c>
      <c r="DZ59">
        <v>449.995</v>
      </c>
      <c r="EA59">
        <v>23.875399999999999</v>
      </c>
      <c r="EB59">
        <v>2.7778700000000001</v>
      </c>
      <c r="EC59">
        <v>2.3672499999999999</v>
      </c>
      <c r="ED59">
        <v>22.7532</v>
      </c>
      <c r="EE59">
        <v>20.141500000000001</v>
      </c>
      <c r="EF59">
        <v>1800.12</v>
      </c>
      <c r="EG59">
        <v>0.977993</v>
      </c>
      <c r="EH59">
        <v>2.2007200000000001E-2</v>
      </c>
      <c r="EI59">
        <v>0</v>
      </c>
      <c r="EJ59">
        <v>703.947</v>
      </c>
      <c r="EK59">
        <v>5.0005300000000004</v>
      </c>
      <c r="EL59">
        <v>14449</v>
      </c>
      <c r="EM59">
        <v>16036.3</v>
      </c>
      <c r="EN59">
        <v>48.811999999999998</v>
      </c>
      <c r="EO59">
        <v>50.125</v>
      </c>
      <c r="EP59">
        <v>49.436999999999998</v>
      </c>
      <c r="EQ59">
        <v>49.561999999999998</v>
      </c>
      <c r="ER59">
        <v>49.936999999999998</v>
      </c>
      <c r="ES59">
        <v>1755.61</v>
      </c>
      <c r="ET59">
        <v>39.51</v>
      </c>
      <c r="EU59">
        <v>0</v>
      </c>
      <c r="EV59">
        <v>2059.3999998569489</v>
      </c>
      <c r="EW59">
        <v>0</v>
      </c>
      <c r="EX59">
        <v>704.27359999999999</v>
      </c>
      <c r="EY59">
        <v>-1.0973076919306941</v>
      </c>
      <c r="EZ59">
        <v>66.223076961669165</v>
      </c>
      <c r="FA59">
        <v>14431.32</v>
      </c>
      <c r="FB59">
        <v>15</v>
      </c>
      <c r="FC59">
        <v>1700157013.0999999</v>
      </c>
      <c r="FD59" t="s">
        <v>601</v>
      </c>
      <c r="FE59">
        <v>1700157013.0999999</v>
      </c>
      <c r="FF59">
        <v>1700157010.0999999</v>
      </c>
      <c r="FG59">
        <v>48</v>
      </c>
      <c r="FH59">
        <v>5.6000000000000001E-2</v>
      </c>
      <c r="FI59">
        <v>-8.0000000000000002E-3</v>
      </c>
      <c r="FJ59">
        <v>-0.57899999999999996</v>
      </c>
      <c r="FK59">
        <v>-1E-3</v>
      </c>
      <c r="FL59">
        <v>450</v>
      </c>
      <c r="FM59">
        <v>24</v>
      </c>
      <c r="FN59">
        <v>0.03</v>
      </c>
      <c r="FO59">
        <v>0.02</v>
      </c>
      <c r="FP59">
        <v>39.70875590851437</v>
      </c>
      <c r="FQ59">
        <v>-0.69819001539523939</v>
      </c>
      <c r="FR59">
        <v>6.4762808016428183E-2</v>
      </c>
      <c r="FS59">
        <v>1</v>
      </c>
      <c r="FT59">
        <v>0.24774191777735821</v>
      </c>
      <c r="FU59">
        <v>-1.4220384989407449E-2</v>
      </c>
      <c r="FV59">
        <v>1.473956617058361E-3</v>
      </c>
      <c r="FW59">
        <v>1</v>
      </c>
      <c r="FX59">
        <v>2</v>
      </c>
      <c r="FY59">
        <v>2</v>
      </c>
      <c r="FZ59" t="s">
        <v>420</v>
      </c>
      <c r="GA59">
        <v>3.1261700000000001</v>
      </c>
      <c r="GB59">
        <v>2.7668200000000001</v>
      </c>
      <c r="GC59">
        <v>8.8822100000000001E-2</v>
      </c>
      <c r="GD59">
        <v>9.6775399999999998E-2</v>
      </c>
      <c r="GE59">
        <v>0.119073</v>
      </c>
      <c r="GF59">
        <v>0.106645</v>
      </c>
      <c r="GG59">
        <v>21662.7</v>
      </c>
      <c r="GH59">
        <v>22353.200000000001</v>
      </c>
      <c r="GI59">
        <v>23645.599999999999</v>
      </c>
      <c r="GJ59">
        <v>25073.3</v>
      </c>
      <c r="GK59">
        <v>30003.8</v>
      </c>
      <c r="GL59">
        <v>31403.7</v>
      </c>
      <c r="GM59">
        <v>37699</v>
      </c>
      <c r="GN59">
        <v>39027.5</v>
      </c>
      <c r="GO59">
        <v>2.1365699999999999</v>
      </c>
      <c r="GP59">
        <v>1.7391300000000001</v>
      </c>
      <c r="GQ59">
        <v>-3.9786099999999996E-3</v>
      </c>
      <c r="GR59">
        <v>0</v>
      </c>
      <c r="GS59">
        <v>30.081800000000001</v>
      </c>
      <c r="GT59">
        <v>999.9</v>
      </c>
      <c r="GU59">
        <v>37.1</v>
      </c>
      <c r="GV59">
        <v>40.700000000000003</v>
      </c>
      <c r="GW59">
        <v>28.794699999999999</v>
      </c>
      <c r="GX59">
        <v>60.623800000000003</v>
      </c>
      <c r="GY59">
        <v>26.911100000000001</v>
      </c>
      <c r="GZ59">
        <v>1</v>
      </c>
      <c r="HA59">
        <v>0.70190300000000005</v>
      </c>
      <c r="HB59">
        <v>3.2153</v>
      </c>
      <c r="HC59">
        <v>20.288399999999999</v>
      </c>
      <c r="HD59">
        <v>5.2481400000000002</v>
      </c>
      <c r="HE59">
        <v>12.0099</v>
      </c>
      <c r="HF59">
        <v>4.9779999999999998</v>
      </c>
      <c r="HG59">
        <v>3.2923300000000002</v>
      </c>
      <c r="HH59">
        <v>9999</v>
      </c>
      <c r="HI59">
        <v>9999</v>
      </c>
      <c r="HJ59">
        <v>9999</v>
      </c>
      <c r="HK59">
        <v>999.9</v>
      </c>
      <c r="HL59">
        <v>1.8760600000000001</v>
      </c>
      <c r="HM59">
        <v>1.87696</v>
      </c>
      <c r="HN59">
        <v>1.8831500000000001</v>
      </c>
      <c r="HO59">
        <v>1.88629</v>
      </c>
      <c r="HP59">
        <v>1.8771100000000001</v>
      </c>
      <c r="HQ59">
        <v>1.8835599999999999</v>
      </c>
      <c r="HR59">
        <v>1.8825499999999999</v>
      </c>
      <c r="HS59">
        <v>1.8859900000000001</v>
      </c>
      <c r="HT59">
        <v>5</v>
      </c>
      <c r="HU59">
        <v>0</v>
      </c>
      <c r="HV59">
        <v>0</v>
      </c>
      <c r="HW59">
        <v>0</v>
      </c>
      <c r="HX59" t="s">
        <v>421</v>
      </c>
      <c r="HY59" t="s">
        <v>422</v>
      </c>
      <c r="HZ59" t="s">
        <v>423</v>
      </c>
      <c r="IA59" t="s">
        <v>424</v>
      </c>
      <c r="IB59" t="s">
        <v>424</v>
      </c>
      <c r="IC59" t="s">
        <v>423</v>
      </c>
      <c r="ID59">
        <v>0</v>
      </c>
      <c r="IE59">
        <v>100</v>
      </c>
      <c r="IF59">
        <v>100</v>
      </c>
      <c r="IG59">
        <v>-0.57199999999999995</v>
      </c>
      <c r="IH59">
        <v>-8.0000000000000004E-4</v>
      </c>
      <c r="II59">
        <v>-0.5533380638585873</v>
      </c>
      <c r="IJ59">
        <v>4.4610147972834149E-5</v>
      </c>
      <c r="IK59">
        <v>-2.082673137682459E-7</v>
      </c>
      <c r="IL59">
        <v>-4.0725795306076518E-11</v>
      </c>
      <c r="IM59">
        <v>-7.8999999999851411E-4</v>
      </c>
      <c r="IN59">
        <v>0</v>
      </c>
      <c r="IO59">
        <v>0</v>
      </c>
      <c r="IP59">
        <v>0</v>
      </c>
      <c r="IQ59">
        <v>3</v>
      </c>
      <c r="IR59">
        <v>2179</v>
      </c>
      <c r="IS59">
        <v>0</v>
      </c>
      <c r="IT59">
        <v>22</v>
      </c>
      <c r="IU59">
        <v>0.6</v>
      </c>
      <c r="IV59">
        <v>0.6</v>
      </c>
      <c r="IW59">
        <v>1.1267100000000001</v>
      </c>
      <c r="IX59">
        <v>2.6928700000000001</v>
      </c>
      <c r="IY59">
        <v>1.6015600000000001</v>
      </c>
      <c r="IZ59">
        <v>2.32178</v>
      </c>
      <c r="JA59">
        <v>1.5502899999999999</v>
      </c>
      <c r="JB59">
        <v>2.4401899999999999</v>
      </c>
      <c r="JC59">
        <v>44.417700000000004</v>
      </c>
      <c r="JD59">
        <v>24.2013</v>
      </c>
      <c r="JE59">
        <v>18</v>
      </c>
      <c r="JF59">
        <v>615.27499999999998</v>
      </c>
      <c r="JG59">
        <v>386.041</v>
      </c>
      <c r="JH59">
        <v>26.728200000000001</v>
      </c>
      <c r="JI59">
        <v>35.604500000000002</v>
      </c>
      <c r="JJ59">
        <v>30.000399999999999</v>
      </c>
      <c r="JK59">
        <v>35.636099999999999</v>
      </c>
      <c r="JL59">
        <v>35.627699999999997</v>
      </c>
      <c r="JM59">
        <v>22.535299999999999</v>
      </c>
      <c r="JN59">
        <v>22.130700000000001</v>
      </c>
      <c r="JO59">
        <v>45.673400000000001</v>
      </c>
      <c r="JP59">
        <v>26.721800000000002</v>
      </c>
      <c r="JQ59">
        <v>450</v>
      </c>
      <c r="JR59">
        <v>23.8155</v>
      </c>
      <c r="JS59">
        <v>98.321399999999997</v>
      </c>
      <c r="JT59">
        <v>98.758600000000001</v>
      </c>
    </row>
    <row r="60" spans="1:280" x14ac:dyDescent="0.25">
      <c r="A60">
        <v>44</v>
      </c>
      <c r="B60">
        <v>1700157228.0999999</v>
      </c>
      <c r="C60">
        <v>9354.5999999046326</v>
      </c>
      <c r="D60" t="s">
        <v>602</v>
      </c>
      <c r="E60" t="s">
        <v>603</v>
      </c>
      <c r="F60" t="s">
        <v>412</v>
      </c>
      <c r="G60" t="s">
        <v>598</v>
      </c>
      <c r="H60" t="s">
        <v>413</v>
      </c>
      <c r="I60">
        <v>1700157228.0999999</v>
      </c>
      <c r="J60">
        <f t="shared" si="46"/>
        <v>2.2828496523340674E-3</v>
      </c>
      <c r="K60">
        <f t="shared" si="47"/>
        <v>2.2828496523340673</v>
      </c>
      <c r="L60">
        <f t="shared" si="48"/>
        <v>42.53752923323335</v>
      </c>
      <c r="M60">
        <f t="shared" si="49"/>
        <v>1446</v>
      </c>
      <c r="N60">
        <f t="shared" si="50"/>
        <v>944.30598538309221</v>
      </c>
      <c r="O60">
        <f t="shared" si="51"/>
        <v>93.718223545996068</v>
      </c>
      <c r="P60">
        <f t="shared" si="52"/>
        <v>143.50915205999999</v>
      </c>
      <c r="Q60">
        <f t="shared" si="53"/>
        <v>0.14782379893159922</v>
      </c>
      <c r="R60">
        <f t="shared" si="54"/>
        <v>2.9266348118315153</v>
      </c>
      <c r="S60">
        <f t="shared" si="55"/>
        <v>0.14379755359056703</v>
      </c>
      <c r="T60">
        <f t="shared" si="56"/>
        <v>9.0226079060660519E-2</v>
      </c>
      <c r="U60">
        <f t="shared" si="57"/>
        <v>344.3243993020738</v>
      </c>
      <c r="V60">
        <f t="shared" si="58"/>
        <v>31.161471893301695</v>
      </c>
      <c r="W60">
        <f t="shared" si="59"/>
        <v>29.975899999999999</v>
      </c>
      <c r="X60">
        <f t="shared" si="60"/>
        <v>4.2545556551987351</v>
      </c>
      <c r="Y60">
        <f t="shared" si="61"/>
        <v>65.201690741743931</v>
      </c>
      <c r="Z60">
        <f t="shared" si="62"/>
        <v>2.7344646695249999</v>
      </c>
      <c r="AA60">
        <f t="shared" si="63"/>
        <v>4.1938554635889522</v>
      </c>
      <c r="AB60">
        <f t="shared" si="64"/>
        <v>1.5200909856737352</v>
      </c>
      <c r="AC60">
        <f t="shared" si="65"/>
        <v>-100.67366966793237</v>
      </c>
      <c r="AD60">
        <f t="shared" si="66"/>
        <v>-39.429405920267655</v>
      </c>
      <c r="AE60">
        <f t="shared" si="67"/>
        <v>-2.9912299610403346</v>
      </c>
      <c r="AF60">
        <f t="shared" si="68"/>
        <v>201.23009375283345</v>
      </c>
      <c r="AG60">
        <v>0</v>
      </c>
      <c r="AH60">
        <v>0</v>
      </c>
      <c r="AI60">
        <f t="shared" si="69"/>
        <v>1</v>
      </c>
      <c r="AJ60">
        <f t="shared" si="70"/>
        <v>0</v>
      </c>
      <c r="AK60">
        <f t="shared" si="71"/>
        <v>51791.021471541855</v>
      </c>
      <c r="AL60" t="s">
        <v>427</v>
      </c>
      <c r="AM60" t="s">
        <v>427</v>
      </c>
      <c r="AN60">
        <v>0</v>
      </c>
      <c r="AO60">
        <v>0</v>
      </c>
      <c r="AP60" t="e">
        <f t="shared" si="72"/>
        <v>#DIV/0!</v>
      </c>
      <c r="AQ60">
        <v>0</v>
      </c>
      <c r="AR60" t="s">
        <v>427</v>
      </c>
      <c r="AS60" t="s">
        <v>427</v>
      </c>
      <c r="AT60">
        <v>0</v>
      </c>
      <c r="AU60">
        <v>0</v>
      </c>
      <c r="AV60" t="e">
        <f t="shared" si="73"/>
        <v>#DIV/0!</v>
      </c>
      <c r="AW60">
        <v>0.5</v>
      </c>
      <c r="AX60">
        <f t="shared" si="74"/>
        <v>1512.9833996510367</v>
      </c>
      <c r="AY60">
        <f t="shared" si="75"/>
        <v>42.53752923323335</v>
      </c>
      <c r="AZ60" t="e">
        <f t="shared" si="76"/>
        <v>#DIV/0!</v>
      </c>
      <c r="BA60">
        <f t="shared" si="77"/>
        <v>2.8115000629249768E-2</v>
      </c>
      <c r="BB60" t="e">
        <f t="shared" si="78"/>
        <v>#DIV/0!</v>
      </c>
      <c r="BC60" t="e">
        <f t="shared" si="79"/>
        <v>#DIV/0!</v>
      </c>
      <c r="BD60" t="s">
        <v>427</v>
      </c>
      <c r="BE60">
        <v>0</v>
      </c>
      <c r="BF60" t="e">
        <f t="shared" si="80"/>
        <v>#DIV/0!</v>
      </c>
      <c r="BG60" t="e">
        <f t="shared" si="81"/>
        <v>#DIV/0!</v>
      </c>
      <c r="BH60" t="e">
        <f t="shared" si="82"/>
        <v>#DIV/0!</v>
      </c>
      <c r="BI60" t="e">
        <f t="shared" si="83"/>
        <v>#DIV/0!</v>
      </c>
      <c r="BJ60" t="e">
        <f t="shared" si="84"/>
        <v>#DIV/0!</v>
      </c>
      <c r="BK60" t="e">
        <f t="shared" si="85"/>
        <v>#DIV/0!</v>
      </c>
      <c r="BL60" t="e">
        <f t="shared" si="86"/>
        <v>#DIV/0!</v>
      </c>
      <c r="BM60" t="e">
        <f t="shared" si="87"/>
        <v>#DIV/0!</v>
      </c>
      <c r="BN60">
        <v>11298</v>
      </c>
      <c r="BO60">
        <v>290.00000000000011</v>
      </c>
      <c r="BP60">
        <v>933.43</v>
      </c>
      <c r="BQ60">
        <v>285</v>
      </c>
      <c r="BR60">
        <v>7104.44</v>
      </c>
      <c r="BS60">
        <v>935.16</v>
      </c>
      <c r="BT60">
        <v>-1.73</v>
      </c>
      <c r="BU60">
        <v>300.00000000000011</v>
      </c>
      <c r="BV60">
        <v>38.299999999999997</v>
      </c>
      <c r="BW60">
        <v>1023.006340350659</v>
      </c>
      <c r="BX60">
        <v>1.524390290350071</v>
      </c>
      <c r="BY60">
        <v>-62.408702016212899</v>
      </c>
      <c r="BZ60">
        <v>0.90780716497310565</v>
      </c>
      <c r="CA60">
        <v>0.99411034930378051</v>
      </c>
      <c r="CB60">
        <v>-7.0051770856507318E-3</v>
      </c>
      <c r="CC60">
        <v>289.99999999999989</v>
      </c>
      <c r="CD60">
        <v>944.63</v>
      </c>
      <c r="CE60">
        <v>845</v>
      </c>
      <c r="CF60">
        <v>7095.74</v>
      </c>
      <c r="CG60">
        <v>935.05</v>
      </c>
      <c r="CH60">
        <v>9.58</v>
      </c>
      <c r="CV60">
        <f t="shared" si="88"/>
        <v>1799.76</v>
      </c>
      <c r="CW60">
        <f t="shared" si="89"/>
        <v>1512.9833996510367</v>
      </c>
      <c r="CX60">
        <f t="shared" si="90"/>
        <v>0.84065842092892207</v>
      </c>
      <c r="CY60">
        <f t="shared" si="91"/>
        <v>0.19131684185784428</v>
      </c>
      <c r="CZ60">
        <v>5.9</v>
      </c>
      <c r="DA60">
        <v>0.5</v>
      </c>
      <c r="DB60" t="s">
        <v>418</v>
      </c>
      <c r="DC60">
        <v>2</v>
      </c>
      <c r="DD60">
        <v>1700157228.0999999</v>
      </c>
      <c r="DE60">
        <v>1446</v>
      </c>
      <c r="DF60">
        <v>1500.07</v>
      </c>
      <c r="DG60">
        <v>27.552499999999998</v>
      </c>
      <c r="DH60">
        <v>24.933900000000001</v>
      </c>
      <c r="DI60">
        <v>1446.68</v>
      </c>
      <c r="DJ60">
        <v>27.552099999999999</v>
      </c>
      <c r="DK60">
        <v>500.18</v>
      </c>
      <c r="DL60">
        <v>99.145099999999999</v>
      </c>
      <c r="DM60">
        <v>0.10051</v>
      </c>
      <c r="DN60">
        <v>29.725999999999999</v>
      </c>
      <c r="DO60">
        <v>29.975899999999999</v>
      </c>
      <c r="DP60">
        <v>999.9</v>
      </c>
      <c r="DQ60">
        <v>0</v>
      </c>
      <c r="DR60">
        <v>0</v>
      </c>
      <c r="DS60">
        <v>9967.5</v>
      </c>
      <c r="DT60">
        <v>0</v>
      </c>
      <c r="DU60">
        <v>321.66000000000003</v>
      </c>
      <c r="DV60">
        <v>-54.067300000000003</v>
      </c>
      <c r="DW60">
        <v>1486.97</v>
      </c>
      <c r="DX60">
        <v>1538.43</v>
      </c>
      <c r="DY60">
        <v>2.6185999999999998</v>
      </c>
      <c r="DZ60">
        <v>1500.07</v>
      </c>
      <c r="EA60">
        <v>24.933900000000001</v>
      </c>
      <c r="EB60">
        <v>2.73169</v>
      </c>
      <c r="EC60">
        <v>2.47207</v>
      </c>
      <c r="ED60">
        <v>22.477</v>
      </c>
      <c r="EE60">
        <v>20.843800000000002</v>
      </c>
      <c r="EF60">
        <v>1799.76</v>
      </c>
      <c r="EG60">
        <v>0.977989</v>
      </c>
      <c r="EH60">
        <v>2.2010800000000001E-2</v>
      </c>
      <c r="EI60">
        <v>0</v>
      </c>
      <c r="EJ60">
        <v>696.94200000000001</v>
      </c>
      <c r="EK60">
        <v>5.0005300000000004</v>
      </c>
      <c r="EL60">
        <v>14489.1</v>
      </c>
      <c r="EM60">
        <v>16033.1</v>
      </c>
      <c r="EN60">
        <v>48.811999999999998</v>
      </c>
      <c r="EO60">
        <v>50.125</v>
      </c>
      <c r="EP60">
        <v>49.5</v>
      </c>
      <c r="EQ60">
        <v>49.561999999999998</v>
      </c>
      <c r="ER60">
        <v>50</v>
      </c>
      <c r="ES60">
        <v>1755.26</v>
      </c>
      <c r="ET60">
        <v>39.5</v>
      </c>
      <c r="EU60">
        <v>0</v>
      </c>
      <c r="EV60">
        <v>179.5999999046326</v>
      </c>
      <c r="EW60">
        <v>0</v>
      </c>
      <c r="EX60">
        <v>696.76744000000008</v>
      </c>
      <c r="EY60">
        <v>-1.267692295847656</v>
      </c>
      <c r="EZ60">
        <v>1231.4307675470709</v>
      </c>
      <c r="FA60">
        <v>14361.02</v>
      </c>
      <c r="FB60">
        <v>15</v>
      </c>
      <c r="FC60">
        <v>1700157197.5999999</v>
      </c>
      <c r="FD60" t="s">
        <v>604</v>
      </c>
      <c r="FE60">
        <v>1700157193.0999999</v>
      </c>
      <c r="FF60">
        <v>1700157197.5999999</v>
      </c>
      <c r="FG60">
        <v>49</v>
      </c>
      <c r="FH60">
        <v>0.375</v>
      </c>
      <c r="FI60">
        <v>1E-3</v>
      </c>
      <c r="FJ60">
        <v>-0.71799999999999997</v>
      </c>
      <c r="FK60">
        <v>0</v>
      </c>
      <c r="FL60">
        <v>1500</v>
      </c>
      <c r="FM60">
        <v>25</v>
      </c>
      <c r="FN60">
        <v>0.08</v>
      </c>
      <c r="FO60">
        <v>0.04</v>
      </c>
      <c r="FP60">
        <v>42.379420785993041</v>
      </c>
      <c r="FQ60">
        <v>-0.66843992760606208</v>
      </c>
      <c r="FR60">
        <v>0.1107044878448913</v>
      </c>
      <c r="FS60">
        <v>1</v>
      </c>
      <c r="FT60">
        <v>0.15145447975984561</v>
      </c>
      <c r="FU60">
        <v>3.1613226540169069E-3</v>
      </c>
      <c r="FV60">
        <v>1.674912297657091E-3</v>
      </c>
      <c r="FW60">
        <v>1</v>
      </c>
      <c r="FX60">
        <v>2</v>
      </c>
      <c r="FY60">
        <v>2</v>
      </c>
      <c r="FZ60" t="s">
        <v>420</v>
      </c>
      <c r="GA60">
        <v>3.1265999999999998</v>
      </c>
      <c r="GB60">
        <v>2.7671100000000002</v>
      </c>
      <c r="GC60">
        <v>0.21082999999999999</v>
      </c>
      <c r="GD60">
        <v>0.215284</v>
      </c>
      <c r="GE60">
        <v>0.117688</v>
      </c>
      <c r="GF60">
        <v>0.10994</v>
      </c>
      <c r="GG60">
        <v>18755.5</v>
      </c>
      <c r="GH60">
        <v>19413.7</v>
      </c>
      <c r="GI60">
        <v>23644.6</v>
      </c>
      <c r="GJ60">
        <v>25073.5</v>
      </c>
      <c r="GK60">
        <v>30050.1</v>
      </c>
      <c r="GL60">
        <v>31288.1</v>
      </c>
      <c r="GM60">
        <v>37698.1</v>
      </c>
      <c r="GN60">
        <v>39028.199999999997</v>
      </c>
      <c r="GO60">
        <v>2.1353800000000001</v>
      </c>
      <c r="GP60">
        <v>1.7439199999999999</v>
      </c>
      <c r="GQ60">
        <v>3.4049200000000001E-3</v>
      </c>
      <c r="GR60">
        <v>0</v>
      </c>
      <c r="GS60">
        <v>29.920500000000001</v>
      </c>
      <c r="GT60">
        <v>999.9</v>
      </c>
      <c r="GU60">
        <v>37.799999999999997</v>
      </c>
      <c r="GV60">
        <v>40.700000000000003</v>
      </c>
      <c r="GW60">
        <v>29.3385</v>
      </c>
      <c r="GX60">
        <v>60.783799999999999</v>
      </c>
      <c r="GY60">
        <v>27.119399999999999</v>
      </c>
      <c r="GZ60">
        <v>1</v>
      </c>
      <c r="HA60">
        <v>0.70196599999999998</v>
      </c>
      <c r="HB60">
        <v>3.0194200000000002</v>
      </c>
      <c r="HC60">
        <v>20.2928</v>
      </c>
      <c r="HD60">
        <v>5.2521800000000001</v>
      </c>
      <c r="HE60">
        <v>12.0099</v>
      </c>
      <c r="HF60">
        <v>4.9791499999999997</v>
      </c>
      <c r="HG60">
        <v>3.2930000000000001</v>
      </c>
      <c r="HH60">
        <v>9999</v>
      </c>
      <c r="HI60">
        <v>9999</v>
      </c>
      <c r="HJ60">
        <v>9999</v>
      </c>
      <c r="HK60">
        <v>999.9</v>
      </c>
      <c r="HL60">
        <v>1.8760600000000001</v>
      </c>
      <c r="HM60">
        <v>1.87697</v>
      </c>
      <c r="HN60">
        <v>1.8831500000000001</v>
      </c>
      <c r="HO60">
        <v>1.88629</v>
      </c>
      <c r="HP60">
        <v>1.87704</v>
      </c>
      <c r="HQ60">
        <v>1.88358</v>
      </c>
      <c r="HR60">
        <v>1.88256</v>
      </c>
      <c r="HS60">
        <v>1.88598</v>
      </c>
      <c r="HT60">
        <v>5</v>
      </c>
      <c r="HU60">
        <v>0</v>
      </c>
      <c r="HV60">
        <v>0</v>
      </c>
      <c r="HW60">
        <v>0</v>
      </c>
      <c r="HX60" t="s">
        <v>421</v>
      </c>
      <c r="HY60" t="s">
        <v>422</v>
      </c>
      <c r="HZ60" t="s">
        <v>423</v>
      </c>
      <c r="IA60" t="s">
        <v>424</v>
      </c>
      <c r="IB60" t="s">
        <v>424</v>
      </c>
      <c r="IC60" t="s">
        <v>423</v>
      </c>
      <c r="ID60">
        <v>0</v>
      </c>
      <c r="IE60">
        <v>100</v>
      </c>
      <c r="IF60">
        <v>100</v>
      </c>
      <c r="IG60">
        <v>-0.68</v>
      </c>
      <c r="IH60">
        <v>4.0000000000000002E-4</v>
      </c>
      <c r="II60">
        <v>-0.1781803113500742</v>
      </c>
      <c r="IJ60">
        <v>4.4610147972834149E-5</v>
      </c>
      <c r="IK60">
        <v>-2.082673137682459E-7</v>
      </c>
      <c r="IL60">
        <v>-4.0725795306076518E-11</v>
      </c>
      <c r="IM60">
        <v>3.3333333333729342E-4</v>
      </c>
      <c r="IN60">
        <v>0</v>
      </c>
      <c r="IO60">
        <v>0</v>
      </c>
      <c r="IP60">
        <v>0</v>
      </c>
      <c r="IQ60">
        <v>3</v>
      </c>
      <c r="IR60">
        <v>2179</v>
      </c>
      <c r="IS60">
        <v>0</v>
      </c>
      <c r="IT60">
        <v>22</v>
      </c>
      <c r="IU60">
        <v>0.6</v>
      </c>
      <c r="IV60">
        <v>0.5</v>
      </c>
      <c r="IW60">
        <v>3.0004900000000001</v>
      </c>
      <c r="IX60">
        <v>2.67456</v>
      </c>
      <c r="IY60">
        <v>1.6015600000000001</v>
      </c>
      <c r="IZ60">
        <v>2.323</v>
      </c>
      <c r="JA60">
        <v>1.5502899999999999</v>
      </c>
      <c r="JB60">
        <v>2.32178</v>
      </c>
      <c r="JC60">
        <v>44.417700000000004</v>
      </c>
      <c r="JD60">
        <v>24.192599999999999</v>
      </c>
      <c r="JE60">
        <v>18</v>
      </c>
      <c r="JF60">
        <v>614.46299999999997</v>
      </c>
      <c r="JG60">
        <v>389.084</v>
      </c>
      <c r="JH60">
        <v>26.514700000000001</v>
      </c>
      <c r="JI60">
        <v>35.6252</v>
      </c>
      <c r="JJ60">
        <v>30.0001</v>
      </c>
      <c r="JK60">
        <v>35.6434</v>
      </c>
      <c r="JL60">
        <v>35.635399999999997</v>
      </c>
      <c r="JM60">
        <v>60.039900000000003</v>
      </c>
      <c r="JN60">
        <v>20.813300000000002</v>
      </c>
      <c r="JO60">
        <v>48.258000000000003</v>
      </c>
      <c r="JP60">
        <v>26.5213</v>
      </c>
      <c r="JQ60">
        <v>1500</v>
      </c>
      <c r="JR60">
        <v>24.891500000000001</v>
      </c>
      <c r="JS60">
        <v>98.318600000000004</v>
      </c>
      <c r="JT60">
        <v>98.76</v>
      </c>
    </row>
    <row r="61" spans="1:280" x14ac:dyDescent="0.25">
      <c r="A61">
        <v>45</v>
      </c>
      <c r="B61">
        <v>1700157327.5999999</v>
      </c>
      <c r="C61">
        <v>9454.0999999046326</v>
      </c>
      <c r="D61" t="s">
        <v>605</v>
      </c>
      <c r="E61" t="s">
        <v>606</v>
      </c>
      <c r="F61" t="s">
        <v>412</v>
      </c>
      <c r="G61" t="s">
        <v>598</v>
      </c>
      <c r="H61" t="s">
        <v>413</v>
      </c>
      <c r="I61">
        <v>1700157327.5999999</v>
      </c>
      <c r="J61">
        <f t="shared" si="46"/>
        <v>2.045172467338814E-3</v>
      </c>
      <c r="K61">
        <f t="shared" si="47"/>
        <v>2.0451724673388139</v>
      </c>
      <c r="L61">
        <f t="shared" si="48"/>
        <v>42.36000177920905</v>
      </c>
      <c r="M61">
        <f t="shared" si="49"/>
        <v>1197.0899999999999</v>
      </c>
      <c r="N61">
        <f t="shared" si="50"/>
        <v>642.83643656017932</v>
      </c>
      <c r="O61">
        <f t="shared" si="51"/>
        <v>63.793953357921666</v>
      </c>
      <c r="P61">
        <f t="shared" si="52"/>
        <v>118.79709873615001</v>
      </c>
      <c r="Q61">
        <f t="shared" si="53"/>
        <v>0.13041811404451414</v>
      </c>
      <c r="R61">
        <f t="shared" si="54"/>
        <v>2.9260638226992648</v>
      </c>
      <c r="S61">
        <f t="shared" si="55"/>
        <v>0.12727273794927274</v>
      </c>
      <c r="T61">
        <f t="shared" si="56"/>
        <v>7.9821742506493654E-2</v>
      </c>
      <c r="U61">
        <f t="shared" si="57"/>
        <v>344.36999930216683</v>
      </c>
      <c r="V61">
        <f t="shared" si="58"/>
        <v>31.247539582467212</v>
      </c>
      <c r="W61">
        <f t="shared" si="59"/>
        <v>30.0169</v>
      </c>
      <c r="X61">
        <f t="shared" si="60"/>
        <v>4.2645872351723311</v>
      </c>
      <c r="Y61">
        <f t="shared" si="61"/>
        <v>64.912655872870133</v>
      </c>
      <c r="Z61">
        <f t="shared" si="62"/>
        <v>2.72607431545</v>
      </c>
      <c r="AA61">
        <f t="shared" si="63"/>
        <v>4.1996037271821862</v>
      </c>
      <c r="AB61">
        <f t="shared" si="64"/>
        <v>1.5385129197223311</v>
      </c>
      <c r="AC61">
        <f t="shared" si="65"/>
        <v>-90.192105809641703</v>
      </c>
      <c r="AD61">
        <f t="shared" si="66"/>
        <v>-42.13501239538067</v>
      </c>
      <c r="AE61">
        <f t="shared" si="67"/>
        <v>-3.1981352330953889</v>
      </c>
      <c r="AF61">
        <f t="shared" si="68"/>
        <v>208.84474586404906</v>
      </c>
      <c r="AG61">
        <v>0</v>
      </c>
      <c r="AH61">
        <v>0</v>
      </c>
      <c r="AI61">
        <f t="shared" si="69"/>
        <v>1</v>
      </c>
      <c r="AJ61">
        <f t="shared" si="70"/>
        <v>0</v>
      </c>
      <c r="AK61">
        <f t="shared" si="71"/>
        <v>51770.72143240572</v>
      </c>
      <c r="AL61" t="s">
        <v>415</v>
      </c>
      <c r="AM61">
        <v>6977.87</v>
      </c>
      <c r="AN61">
        <v>273.15280000000001</v>
      </c>
      <c r="AO61">
        <v>850.46774885301022</v>
      </c>
      <c r="AP61">
        <f t="shared" si="72"/>
        <v>0.67882050745793765</v>
      </c>
      <c r="AQ61">
        <v>-1.0323826813720729</v>
      </c>
      <c r="AR61" t="s">
        <v>607</v>
      </c>
      <c r="AS61">
        <v>7104.53</v>
      </c>
      <c r="AT61">
        <v>695.70252000000005</v>
      </c>
      <c r="AU61">
        <v>1043.5240562358611</v>
      </c>
      <c r="AV61">
        <f t="shared" si="73"/>
        <v>0.33331434398407878</v>
      </c>
      <c r="AW61">
        <v>0.5</v>
      </c>
      <c r="AX61">
        <f t="shared" si="74"/>
        <v>1513.1849996510834</v>
      </c>
      <c r="AY61">
        <f t="shared" si="75"/>
        <v>42.36000177920905</v>
      </c>
      <c r="AZ61">
        <f t="shared" si="76"/>
        <v>252.18313274262468</v>
      </c>
      <c r="BA61">
        <f t="shared" si="77"/>
        <v>2.8676192580938033E-2</v>
      </c>
      <c r="BB61">
        <f t="shared" si="78"/>
        <v>-0.18500417525517548</v>
      </c>
      <c r="BC61">
        <f t="shared" si="79"/>
        <v>290.40875681133417</v>
      </c>
      <c r="BD61" t="s">
        <v>608</v>
      </c>
      <c r="BE61">
        <v>500.89</v>
      </c>
      <c r="BF61">
        <f t="shared" si="80"/>
        <v>500.89</v>
      </c>
      <c r="BG61">
        <f t="shared" si="81"/>
        <v>0.52000148247010125</v>
      </c>
      <c r="BH61">
        <f t="shared" si="82"/>
        <v>0.64098729565303414</v>
      </c>
      <c r="BI61">
        <f t="shared" si="83"/>
        <v>-0.55225570854061068</v>
      </c>
      <c r="BJ61">
        <f t="shared" si="84"/>
        <v>0.45149859034897599</v>
      </c>
      <c r="BK61">
        <f t="shared" si="85"/>
        <v>-0.33440379080155219</v>
      </c>
      <c r="BL61">
        <f t="shared" si="86"/>
        <v>0.46149628223230849</v>
      </c>
      <c r="BM61">
        <f t="shared" si="87"/>
        <v>0.53850371776769146</v>
      </c>
      <c r="BN61">
        <v>11300</v>
      </c>
      <c r="BO61">
        <v>290.00000000000011</v>
      </c>
      <c r="BP61">
        <v>941.26</v>
      </c>
      <c r="BQ61">
        <v>275</v>
      </c>
      <c r="BR61">
        <v>7104.53</v>
      </c>
      <c r="BS61">
        <v>943.8</v>
      </c>
      <c r="BT61">
        <v>-2.54</v>
      </c>
      <c r="BU61">
        <v>300.00000000000011</v>
      </c>
      <c r="BV61">
        <v>38.299999999999997</v>
      </c>
      <c r="BW61">
        <v>1043.5240562358611</v>
      </c>
      <c r="BX61">
        <v>1.791454305606949</v>
      </c>
      <c r="BY61">
        <v>-70.846905451320097</v>
      </c>
      <c r="BZ61">
        <v>1.066789910762836</v>
      </c>
      <c r="CA61">
        <v>0.99369150681858209</v>
      </c>
      <c r="CB61">
        <v>-7.0048787541713044E-3</v>
      </c>
      <c r="CC61">
        <v>289.99999999999989</v>
      </c>
      <c r="CD61">
        <v>950.89</v>
      </c>
      <c r="CE61">
        <v>875</v>
      </c>
      <c r="CF61">
        <v>7094.82</v>
      </c>
      <c r="CG61">
        <v>943.67</v>
      </c>
      <c r="CH61">
        <v>7.22</v>
      </c>
      <c r="CV61">
        <f t="shared" si="88"/>
        <v>1800</v>
      </c>
      <c r="CW61">
        <f t="shared" si="89"/>
        <v>1513.1849996510834</v>
      </c>
      <c r="CX61">
        <f t="shared" si="90"/>
        <v>0.84065833313949079</v>
      </c>
      <c r="CY61">
        <f t="shared" si="91"/>
        <v>0.19131666627898158</v>
      </c>
      <c r="CZ61">
        <v>5.9</v>
      </c>
      <c r="DA61">
        <v>0.5</v>
      </c>
      <c r="DB61" t="s">
        <v>418</v>
      </c>
      <c r="DC61">
        <v>2</v>
      </c>
      <c r="DD61">
        <v>1700157327.5999999</v>
      </c>
      <c r="DE61">
        <v>1197.0899999999999</v>
      </c>
      <c r="DF61">
        <v>1249.95</v>
      </c>
      <c r="DG61">
        <v>27.47</v>
      </c>
      <c r="DH61">
        <v>25.1236</v>
      </c>
      <c r="DI61">
        <v>1197.8</v>
      </c>
      <c r="DJ61">
        <v>27.468599999999999</v>
      </c>
      <c r="DK61">
        <v>500.13</v>
      </c>
      <c r="DL61">
        <v>99.137900000000002</v>
      </c>
      <c r="DM61">
        <v>0.10033499999999999</v>
      </c>
      <c r="DN61">
        <v>29.7498</v>
      </c>
      <c r="DO61">
        <v>30.0169</v>
      </c>
      <c r="DP61">
        <v>999.9</v>
      </c>
      <c r="DQ61">
        <v>0</v>
      </c>
      <c r="DR61">
        <v>0</v>
      </c>
      <c r="DS61">
        <v>9965</v>
      </c>
      <c r="DT61">
        <v>0</v>
      </c>
      <c r="DU61">
        <v>287.93599999999998</v>
      </c>
      <c r="DV61">
        <v>-52.8628</v>
      </c>
      <c r="DW61">
        <v>1230.9100000000001</v>
      </c>
      <c r="DX61">
        <v>1282.17</v>
      </c>
      <c r="DY61">
        <v>2.3464499999999999</v>
      </c>
      <c r="DZ61">
        <v>1249.95</v>
      </c>
      <c r="EA61">
        <v>25.1236</v>
      </c>
      <c r="EB61">
        <v>2.7233200000000002</v>
      </c>
      <c r="EC61">
        <v>2.4906999999999999</v>
      </c>
      <c r="ED61">
        <v>22.426500000000001</v>
      </c>
      <c r="EE61">
        <v>20.965800000000002</v>
      </c>
      <c r="EF61">
        <v>1800</v>
      </c>
      <c r="EG61">
        <v>0.977993</v>
      </c>
      <c r="EH61">
        <v>2.2007200000000001E-2</v>
      </c>
      <c r="EI61">
        <v>0</v>
      </c>
      <c r="EJ61">
        <v>695.596</v>
      </c>
      <c r="EK61">
        <v>5.0005300000000004</v>
      </c>
      <c r="EL61">
        <v>14017.4</v>
      </c>
      <c r="EM61">
        <v>16035.2</v>
      </c>
      <c r="EN61">
        <v>48.811999999999998</v>
      </c>
      <c r="EO61">
        <v>50.125</v>
      </c>
      <c r="EP61">
        <v>49.436999999999998</v>
      </c>
      <c r="EQ61">
        <v>49.561999999999998</v>
      </c>
      <c r="ER61">
        <v>49.936999999999998</v>
      </c>
      <c r="ES61">
        <v>1755.5</v>
      </c>
      <c r="ET61">
        <v>39.5</v>
      </c>
      <c r="EU61">
        <v>0</v>
      </c>
      <c r="EV61">
        <v>279.19999980926508</v>
      </c>
      <c r="EW61">
        <v>0</v>
      </c>
      <c r="EX61">
        <v>695.70252000000005</v>
      </c>
      <c r="EY61">
        <v>0.39992307269226213</v>
      </c>
      <c r="EZ61">
        <v>-2578.3769282792832</v>
      </c>
      <c r="FA61">
        <v>14181.668</v>
      </c>
      <c r="FB61">
        <v>15</v>
      </c>
      <c r="FC61">
        <v>1700157293.0999999</v>
      </c>
      <c r="FD61" t="s">
        <v>609</v>
      </c>
      <c r="FE61">
        <v>1700157293.0999999</v>
      </c>
      <c r="FF61">
        <v>1700157282.5999999</v>
      </c>
      <c r="FG61">
        <v>50</v>
      </c>
      <c r="FH61">
        <v>-0.21199999999999999</v>
      </c>
      <c r="FI61">
        <v>1E-3</v>
      </c>
      <c r="FJ61">
        <v>-0.74</v>
      </c>
      <c r="FK61">
        <v>1E-3</v>
      </c>
      <c r="FL61">
        <v>1250</v>
      </c>
      <c r="FM61">
        <v>25</v>
      </c>
      <c r="FN61">
        <v>0.09</v>
      </c>
      <c r="FO61">
        <v>0.04</v>
      </c>
      <c r="FP61">
        <v>42.367674588952461</v>
      </c>
      <c r="FQ61">
        <v>-0.69883021830566272</v>
      </c>
      <c r="FR61">
        <v>0.1168035244260875</v>
      </c>
      <c r="FS61">
        <v>1</v>
      </c>
      <c r="FT61">
        <v>0.13378326005654931</v>
      </c>
      <c r="FU61">
        <v>-1.5485947155830491E-2</v>
      </c>
      <c r="FV61">
        <v>1.4468827984826149E-3</v>
      </c>
      <c r="FW61">
        <v>1</v>
      </c>
      <c r="FX61">
        <v>2</v>
      </c>
      <c r="FY61">
        <v>2</v>
      </c>
      <c r="FZ61" t="s">
        <v>420</v>
      </c>
      <c r="GA61">
        <v>3.1264699999999999</v>
      </c>
      <c r="GB61">
        <v>2.7669199999999998</v>
      </c>
      <c r="GC61">
        <v>0.18790299999999999</v>
      </c>
      <c r="GD61">
        <v>0.19279099999999999</v>
      </c>
      <c r="GE61">
        <v>0.11743199999999999</v>
      </c>
      <c r="GF61">
        <v>0.11051900000000001</v>
      </c>
      <c r="GG61">
        <v>19303</v>
      </c>
      <c r="GH61">
        <v>19972.599999999999</v>
      </c>
      <c r="GI61">
        <v>23645.1</v>
      </c>
      <c r="GJ61">
        <v>25073.599999999999</v>
      </c>
      <c r="GK61">
        <v>30059.200000000001</v>
      </c>
      <c r="GL61">
        <v>31268.1</v>
      </c>
      <c r="GM61">
        <v>37698.6</v>
      </c>
      <c r="GN61">
        <v>39028.5</v>
      </c>
      <c r="GO61">
        <v>2.1350500000000001</v>
      </c>
      <c r="GP61">
        <v>1.7435700000000001</v>
      </c>
      <c r="GQ61">
        <v>7.49528E-3</v>
      </c>
      <c r="GR61">
        <v>0</v>
      </c>
      <c r="GS61">
        <v>29.8949</v>
      </c>
      <c r="GT61">
        <v>999.9</v>
      </c>
      <c r="GU61">
        <v>38.200000000000003</v>
      </c>
      <c r="GV61">
        <v>40.700000000000003</v>
      </c>
      <c r="GW61">
        <v>29.652799999999999</v>
      </c>
      <c r="GX61">
        <v>60.153799999999997</v>
      </c>
      <c r="GY61">
        <v>27.171500000000002</v>
      </c>
      <c r="GZ61">
        <v>1</v>
      </c>
      <c r="HA61">
        <v>0.70405499999999999</v>
      </c>
      <c r="HB61">
        <v>3.3802300000000001</v>
      </c>
      <c r="HC61">
        <v>20.285499999999999</v>
      </c>
      <c r="HD61">
        <v>5.2487399999999997</v>
      </c>
      <c r="HE61">
        <v>12.0099</v>
      </c>
      <c r="HF61">
        <v>4.9771000000000001</v>
      </c>
      <c r="HG61">
        <v>3.2923300000000002</v>
      </c>
      <c r="HH61">
        <v>9999</v>
      </c>
      <c r="HI61">
        <v>9999</v>
      </c>
      <c r="HJ61">
        <v>9999</v>
      </c>
      <c r="HK61">
        <v>999.9</v>
      </c>
      <c r="HL61">
        <v>1.87605</v>
      </c>
      <c r="HM61">
        <v>1.8769499999999999</v>
      </c>
      <c r="HN61">
        <v>1.8831199999999999</v>
      </c>
      <c r="HO61">
        <v>1.88629</v>
      </c>
      <c r="HP61">
        <v>1.87707</v>
      </c>
      <c r="HQ61">
        <v>1.8835599999999999</v>
      </c>
      <c r="HR61">
        <v>1.88256</v>
      </c>
      <c r="HS61">
        <v>1.88595</v>
      </c>
      <c r="HT61">
        <v>5</v>
      </c>
      <c r="HU61">
        <v>0</v>
      </c>
      <c r="HV61">
        <v>0</v>
      </c>
      <c r="HW61">
        <v>0</v>
      </c>
      <c r="HX61" t="s">
        <v>421</v>
      </c>
      <c r="HY61" t="s">
        <v>422</v>
      </c>
      <c r="HZ61" t="s">
        <v>423</v>
      </c>
      <c r="IA61" t="s">
        <v>424</v>
      </c>
      <c r="IB61" t="s">
        <v>424</v>
      </c>
      <c r="IC61" t="s">
        <v>423</v>
      </c>
      <c r="ID61">
        <v>0</v>
      </c>
      <c r="IE61">
        <v>100</v>
      </c>
      <c r="IF61">
        <v>100</v>
      </c>
      <c r="IG61">
        <v>-0.71</v>
      </c>
      <c r="IH61">
        <v>1.4E-3</v>
      </c>
      <c r="II61">
        <v>-0.38990147004246878</v>
      </c>
      <c r="IJ61">
        <v>4.4610147972834149E-5</v>
      </c>
      <c r="IK61">
        <v>-2.082673137682459E-7</v>
      </c>
      <c r="IL61">
        <v>-4.0725795306076518E-11</v>
      </c>
      <c r="IM61">
        <v>1.419999999999533E-3</v>
      </c>
      <c r="IN61">
        <v>0</v>
      </c>
      <c r="IO61">
        <v>0</v>
      </c>
      <c r="IP61">
        <v>0</v>
      </c>
      <c r="IQ61">
        <v>3</v>
      </c>
      <c r="IR61">
        <v>2179</v>
      </c>
      <c r="IS61">
        <v>0</v>
      </c>
      <c r="IT61">
        <v>22</v>
      </c>
      <c r="IU61">
        <v>0.6</v>
      </c>
      <c r="IV61">
        <v>0.8</v>
      </c>
      <c r="IW61">
        <v>2.5878899999999998</v>
      </c>
      <c r="IX61">
        <v>2.677</v>
      </c>
      <c r="IY61">
        <v>1.6015600000000001</v>
      </c>
      <c r="IZ61">
        <v>2.32178</v>
      </c>
      <c r="JA61">
        <v>1.5502899999999999</v>
      </c>
      <c r="JB61">
        <v>2.3999000000000001</v>
      </c>
      <c r="JC61">
        <v>44.389899999999997</v>
      </c>
      <c r="JD61">
        <v>24.192599999999999</v>
      </c>
      <c r="JE61">
        <v>18</v>
      </c>
      <c r="JF61">
        <v>614.255</v>
      </c>
      <c r="JG61">
        <v>388.86599999999999</v>
      </c>
      <c r="JH61">
        <v>26.341699999999999</v>
      </c>
      <c r="JI61">
        <v>35.6252</v>
      </c>
      <c r="JJ61">
        <v>30.0002</v>
      </c>
      <c r="JK61">
        <v>35.646799999999999</v>
      </c>
      <c r="JL61">
        <v>35.635399999999997</v>
      </c>
      <c r="JM61">
        <v>51.781199999999998</v>
      </c>
      <c r="JN61">
        <v>21.615100000000002</v>
      </c>
      <c r="JO61">
        <v>49.211399999999998</v>
      </c>
      <c r="JP61">
        <v>26.331399999999999</v>
      </c>
      <c r="JQ61">
        <v>1250</v>
      </c>
      <c r="JR61">
        <v>25.1296</v>
      </c>
      <c r="JS61">
        <v>98.3202</v>
      </c>
      <c r="JT61">
        <v>98.7607</v>
      </c>
    </row>
    <row r="62" spans="1:280" x14ac:dyDescent="0.25">
      <c r="A62">
        <v>46</v>
      </c>
      <c r="B62">
        <v>1700157427.5999999</v>
      </c>
      <c r="C62">
        <v>9554.0999999046326</v>
      </c>
      <c r="D62" t="s">
        <v>610</v>
      </c>
      <c r="E62" t="s">
        <v>611</v>
      </c>
      <c r="F62" t="s">
        <v>412</v>
      </c>
      <c r="G62" t="s">
        <v>598</v>
      </c>
      <c r="H62" t="s">
        <v>413</v>
      </c>
      <c r="I62">
        <v>1700157427.5999999</v>
      </c>
      <c r="J62">
        <f t="shared" si="46"/>
        <v>1.6915033190869752E-3</v>
      </c>
      <c r="K62">
        <f t="shared" si="47"/>
        <v>1.6915033190869753</v>
      </c>
      <c r="L62">
        <f t="shared" si="48"/>
        <v>37.676752971263511</v>
      </c>
      <c r="M62">
        <f t="shared" si="49"/>
        <v>953.63400000000001</v>
      </c>
      <c r="N62">
        <f t="shared" si="50"/>
        <v>370.90995185356371</v>
      </c>
      <c r="O62">
        <f t="shared" si="51"/>
        <v>36.806719783687107</v>
      </c>
      <c r="P62">
        <f t="shared" si="52"/>
        <v>94.632509154282005</v>
      </c>
      <c r="Q62">
        <f t="shared" si="53"/>
        <v>0.10839793178039749</v>
      </c>
      <c r="R62">
        <f t="shared" si="54"/>
        <v>2.9300739683642494</v>
      </c>
      <c r="S62">
        <f t="shared" si="55"/>
        <v>0.10621838346341525</v>
      </c>
      <c r="T62">
        <f t="shared" si="56"/>
        <v>6.6578663331451196E-2</v>
      </c>
      <c r="U62">
        <f t="shared" si="57"/>
        <v>344.3946993022173</v>
      </c>
      <c r="V62">
        <f t="shared" si="58"/>
        <v>31.262349759886281</v>
      </c>
      <c r="W62">
        <f t="shared" si="59"/>
        <v>29.971699999999998</v>
      </c>
      <c r="X62">
        <f t="shared" si="60"/>
        <v>4.2535291921332545</v>
      </c>
      <c r="Y62">
        <f t="shared" si="61"/>
        <v>65.261094044421142</v>
      </c>
      <c r="Z62">
        <f t="shared" si="62"/>
        <v>2.7288537939989004</v>
      </c>
      <c r="AA62">
        <f t="shared" si="63"/>
        <v>4.1814404645767302</v>
      </c>
      <c r="AB62">
        <f t="shared" si="64"/>
        <v>1.5246753981343542</v>
      </c>
      <c r="AC62">
        <f t="shared" si="65"/>
        <v>-74.5952963717356</v>
      </c>
      <c r="AD62">
        <f t="shared" si="66"/>
        <v>-46.94753912094518</v>
      </c>
      <c r="AE62">
        <f t="shared" si="67"/>
        <v>-3.5564160691850577</v>
      </c>
      <c r="AF62">
        <f t="shared" si="68"/>
        <v>219.29544774035151</v>
      </c>
      <c r="AG62">
        <v>0</v>
      </c>
      <c r="AH62">
        <v>0</v>
      </c>
      <c r="AI62">
        <f t="shared" si="69"/>
        <v>1</v>
      </c>
      <c r="AJ62">
        <f t="shared" si="70"/>
        <v>0</v>
      </c>
      <c r="AK62">
        <f t="shared" si="71"/>
        <v>51896.489061044267</v>
      </c>
      <c r="AL62" t="s">
        <v>427</v>
      </c>
      <c r="AM62" t="s">
        <v>427</v>
      </c>
      <c r="AN62">
        <v>0</v>
      </c>
      <c r="AO62">
        <v>0</v>
      </c>
      <c r="AP62" t="e">
        <f t="shared" si="72"/>
        <v>#DIV/0!</v>
      </c>
      <c r="AQ62">
        <v>0</v>
      </c>
      <c r="AR62" t="s">
        <v>427</v>
      </c>
      <c r="AS62" t="s">
        <v>427</v>
      </c>
      <c r="AT62">
        <v>0</v>
      </c>
      <c r="AU62">
        <v>0</v>
      </c>
      <c r="AV62" t="e">
        <f t="shared" si="73"/>
        <v>#DIV/0!</v>
      </c>
      <c r="AW62">
        <v>0.5</v>
      </c>
      <c r="AX62">
        <f t="shared" si="74"/>
        <v>1513.2941996511088</v>
      </c>
      <c r="AY62">
        <f t="shared" si="75"/>
        <v>37.676752971263511</v>
      </c>
      <c r="AZ62" t="e">
        <f t="shared" si="76"/>
        <v>#DIV/0!</v>
      </c>
      <c r="BA62">
        <f t="shared" si="77"/>
        <v>2.4897176622992356E-2</v>
      </c>
      <c r="BB62" t="e">
        <f t="shared" si="78"/>
        <v>#DIV/0!</v>
      </c>
      <c r="BC62" t="e">
        <f t="shared" si="79"/>
        <v>#DIV/0!</v>
      </c>
      <c r="BD62" t="s">
        <v>427</v>
      </c>
      <c r="BE62">
        <v>0</v>
      </c>
      <c r="BF62" t="e">
        <f t="shared" si="80"/>
        <v>#DIV/0!</v>
      </c>
      <c r="BG62" t="e">
        <f t="shared" si="81"/>
        <v>#DIV/0!</v>
      </c>
      <c r="BH62" t="e">
        <f t="shared" si="82"/>
        <v>#DIV/0!</v>
      </c>
      <c r="BI62" t="e">
        <f t="shared" si="83"/>
        <v>#DIV/0!</v>
      </c>
      <c r="BJ62" t="e">
        <f t="shared" si="84"/>
        <v>#DIV/0!</v>
      </c>
      <c r="BK62" t="e">
        <f t="shared" si="85"/>
        <v>#DIV/0!</v>
      </c>
      <c r="BL62" t="e">
        <f t="shared" si="86"/>
        <v>#DIV/0!</v>
      </c>
      <c r="BM62" t="e">
        <f t="shared" si="87"/>
        <v>#DIV/0!</v>
      </c>
      <c r="BN62">
        <v>11300</v>
      </c>
      <c r="BO62">
        <v>290.00000000000011</v>
      </c>
      <c r="BP62">
        <v>941.26</v>
      </c>
      <c r="BQ62">
        <v>275</v>
      </c>
      <c r="BR62">
        <v>7104.53</v>
      </c>
      <c r="BS62">
        <v>943.8</v>
      </c>
      <c r="BT62">
        <v>-2.54</v>
      </c>
      <c r="BU62">
        <v>300.00000000000011</v>
      </c>
      <c r="BV62">
        <v>38.299999999999997</v>
      </c>
      <c r="BW62">
        <v>1043.5240562358611</v>
      </c>
      <c r="BX62">
        <v>1.791454305606949</v>
      </c>
      <c r="BY62">
        <v>-70.846905451320097</v>
      </c>
      <c r="BZ62">
        <v>1.066789910762836</v>
      </c>
      <c r="CA62">
        <v>0.99369150681858209</v>
      </c>
      <c r="CB62">
        <v>-7.0048787541713044E-3</v>
      </c>
      <c r="CC62">
        <v>289.99999999999989</v>
      </c>
      <c r="CD62">
        <v>950.89</v>
      </c>
      <c r="CE62">
        <v>875</v>
      </c>
      <c r="CF62">
        <v>7094.82</v>
      </c>
      <c r="CG62">
        <v>943.67</v>
      </c>
      <c r="CH62">
        <v>7.22</v>
      </c>
      <c r="CV62">
        <f t="shared" si="88"/>
        <v>1800.13</v>
      </c>
      <c r="CW62">
        <f t="shared" si="89"/>
        <v>1513.2941996511088</v>
      </c>
      <c r="CX62">
        <f t="shared" si="90"/>
        <v>0.84065828559665612</v>
      </c>
      <c r="CY62">
        <f t="shared" si="91"/>
        <v>0.1913165711933123</v>
      </c>
      <c r="CZ62">
        <v>5.9</v>
      </c>
      <c r="DA62">
        <v>0.5</v>
      </c>
      <c r="DB62" t="s">
        <v>418</v>
      </c>
      <c r="DC62">
        <v>2</v>
      </c>
      <c r="DD62">
        <v>1700157427.5999999</v>
      </c>
      <c r="DE62">
        <v>953.63400000000001</v>
      </c>
      <c r="DF62">
        <v>999.98199999999997</v>
      </c>
      <c r="DG62">
        <v>27.499300000000002</v>
      </c>
      <c r="DH62">
        <v>25.558800000000002</v>
      </c>
      <c r="DI62">
        <v>954.31799999999998</v>
      </c>
      <c r="DJ62">
        <v>27.494700000000002</v>
      </c>
      <c r="DK62">
        <v>500.15100000000001</v>
      </c>
      <c r="DL62">
        <v>99.133300000000006</v>
      </c>
      <c r="DM62">
        <v>0.100273</v>
      </c>
      <c r="DN62">
        <v>29.674499999999998</v>
      </c>
      <c r="DO62">
        <v>29.971699999999998</v>
      </c>
      <c r="DP62">
        <v>999.9</v>
      </c>
      <c r="DQ62">
        <v>0</v>
      </c>
      <c r="DR62">
        <v>0</v>
      </c>
      <c r="DS62">
        <v>9988.1200000000008</v>
      </c>
      <c r="DT62">
        <v>0</v>
      </c>
      <c r="DU62">
        <v>444.87400000000002</v>
      </c>
      <c r="DV62">
        <v>-46.348199999999999</v>
      </c>
      <c r="DW62">
        <v>980.59900000000005</v>
      </c>
      <c r="DX62">
        <v>1026.21</v>
      </c>
      <c r="DY62">
        <v>1.9404999999999999</v>
      </c>
      <c r="DZ62">
        <v>999.98199999999997</v>
      </c>
      <c r="EA62">
        <v>25.558800000000002</v>
      </c>
      <c r="EB62">
        <v>2.7261000000000002</v>
      </c>
      <c r="EC62">
        <v>2.5337299999999998</v>
      </c>
      <c r="ED62">
        <v>22.443300000000001</v>
      </c>
      <c r="EE62">
        <v>21.244800000000001</v>
      </c>
      <c r="EF62">
        <v>1800.13</v>
      </c>
      <c r="EG62">
        <v>0.97799599999999998</v>
      </c>
      <c r="EH62">
        <v>2.2003600000000002E-2</v>
      </c>
      <c r="EI62">
        <v>0</v>
      </c>
      <c r="EJ62">
        <v>699.68</v>
      </c>
      <c r="EK62">
        <v>5.0005300000000004</v>
      </c>
      <c r="EL62">
        <v>14203.3</v>
      </c>
      <c r="EM62">
        <v>16036.4</v>
      </c>
      <c r="EN62">
        <v>48.875</v>
      </c>
      <c r="EO62">
        <v>50.125</v>
      </c>
      <c r="EP62">
        <v>49.5</v>
      </c>
      <c r="EQ62">
        <v>49.561999999999998</v>
      </c>
      <c r="ER62">
        <v>50</v>
      </c>
      <c r="ES62">
        <v>1755.63</v>
      </c>
      <c r="ET62">
        <v>39.5</v>
      </c>
      <c r="EU62">
        <v>0</v>
      </c>
      <c r="EV62">
        <v>97.799999952316284</v>
      </c>
      <c r="EW62">
        <v>0</v>
      </c>
      <c r="EX62">
        <v>699.88126923076913</v>
      </c>
      <c r="EY62">
        <v>-4.2902905900792634</v>
      </c>
      <c r="EZ62">
        <v>75.384615729024887</v>
      </c>
      <c r="FA62">
        <v>14201.23846153846</v>
      </c>
      <c r="FB62">
        <v>15</v>
      </c>
      <c r="FC62">
        <v>1700157400.5999999</v>
      </c>
      <c r="FD62" t="s">
        <v>612</v>
      </c>
      <c r="FE62">
        <v>1700157400.5999999</v>
      </c>
      <c r="FF62">
        <v>1700157392.0999999</v>
      </c>
      <c r="FG62">
        <v>51</v>
      </c>
      <c r="FH62">
        <v>-0.112</v>
      </c>
      <c r="FI62">
        <v>3.0000000000000001E-3</v>
      </c>
      <c r="FJ62">
        <v>-0.70699999999999996</v>
      </c>
      <c r="FK62">
        <v>5.0000000000000001E-3</v>
      </c>
      <c r="FL62">
        <v>1000</v>
      </c>
      <c r="FM62">
        <v>25</v>
      </c>
      <c r="FN62">
        <v>0.1</v>
      </c>
      <c r="FO62">
        <v>0.05</v>
      </c>
      <c r="FP62">
        <v>37.464116256385331</v>
      </c>
      <c r="FQ62">
        <v>0.61056331373552664</v>
      </c>
      <c r="FR62">
        <v>0.12630038377630731</v>
      </c>
      <c r="FS62">
        <v>1</v>
      </c>
      <c r="FT62">
        <v>0.10744397452111221</v>
      </c>
      <c r="FU62">
        <v>1.4686258341332321E-2</v>
      </c>
      <c r="FV62">
        <v>1.713031492531304E-3</v>
      </c>
      <c r="FW62">
        <v>1</v>
      </c>
      <c r="FX62">
        <v>2</v>
      </c>
      <c r="FY62">
        <v>2</v>
      </c>
      <c r="FZ62" t="s">
        <v>420</v>
      </c>
      <c r="GA62">
        <v>3.1265200000000002</v>
      </c>
      <c r="GB62">
        <v>2.7670400000000002</v>
      </c>
      <c r="GC62">
        <v>0.162775</v>
      </c>
      <c r="GD62">
        <v>0.16766</v>
      </c>
      <c r="GE62">
        <v>0.117504</v>
      </c>
      <c r="GF62">
        <v>0.11185100000000001</v>
      </c>
      <c r="GG62">
        <v>19901.8</v>
      </c>
      <c r="GH62">
        <v>20595.7</v>
      </c>
      <c r="GI62">
        <v>23644.799999999999</v>
      </c>
      <c r="GJ62">
        <v>25072.7</v>
      </c>
      <c r="GK62">
        <v>30056.6</v>
      </c>
      <c r="GL62">
        <v>31221.7</v>
      </c>
      <c r="GM62">
        <v>37698.400000000001</v>
      </c>
      <c r="GN62">
        <v>39029</v>
      </c>
      <c r="GO62">
        <v>2.1360000000000001</v>
      </c>
      <c r="GP62">
        <v>1.7434700000000001</v>
      </c>
      <c r="GQ62">
        <v>7.1451099999999997E-3</v>
      </c>
      <c r="GR62">
        <v>0</v>
      </c>
      <c r="GS62">
        <v>29.855399999999999</v>
      </c>
      <c r="GT62">
        <v>999.9</v>
      </c>
      <c r="GU62">
        <v>38.700000000000003</v>
      </c>
      <c r="GV62">
        <v>40.700000000000003</v>
      </c>
      <c r="GW62">
        <v>30.041499999999999</v>
      </c>
      <c r="GX62">
        <v>60.533799999999999</v>
      </c>
      <c r="GY62">
        <v>27.2075</v>
      </c>
      <c r="GZ62">
        <v>1</v>
      </c>
      <c r="HA62">
        <v>0.70531200000000005</v>
      </c>
      <c r="HB62">
        <v>2.7492899999999998</v>
      </c>
      <c r="HC62">
        <v>20.2958</v>
      </c>
      <c r="HD62">
        <v>5.2515799999999997</v>
      </c>
      <c r="HE62">
        <v>12.0099</v>
      </c>
      <c r="HF62">
        <v>4.9789500000000002</v>
      </c>
      <c r="HG62">
        <v>3.2930000000000001</v>
      </c>
      <c r="HH62">
        <v>9999</v>
      </c>
      <c r="HI62">
        <v>9999</v>
      </c>
      <c r="HJ62">
        <v>9999</v>
      </c>
      <c r="HK62">
        <v>999.9</v>
      </c>
      <c r="HL62">
        <v>1.87602</v>
      </c>
      <c r="HM62">
        <v>1.87687</v>
      </c>
      <c r="HN62">
        <v>1.8831100000000001</v>
      </c>
      <c r="HO62">
        <v>1.88628</v>
      </c>
      <c r="HP62">
        <v>1.87703</v>
      </c>
      <c r="HQ62">
        <v>1.88354</v>
      </c>
      <c r="HR62">
        <v>1.88249</v>
      </c>
      <c r="HS62">
        <v>1.8859399999999999</v>
      </c>
      <c r="HT62">
        <v>5</v>
      </c>
      <c r="HU62">
        <v>0</v>
      </c>
      <c r="HV62">
        <v>0</v>
      </c>
      <c r="HW62">
        <v>0</v>
      </c>
      <c r="HX62" t="s">
        <v>421</v>
      </c>
      <c r="HY62" t="s">
        <v>422</v>
      </c>
      <c r="HZ62" t="s">
        <v>423</v>
      </c>
      <c r="IA62" t="s">
        <v>424</v>
      </c>
      <c r="IB62" t="s">
        <v>424</v>
      </c>
      <c r="IC62" t="s">
        <v>423</v>
      </c>
      <c r="ID62">
        <v>0</v>
      </c>
      <c r="IE62">
        <v>100</v>
      </c>
      <c r="IF62">
        <v>100</v>
      </c>
      <c r="IG62">
        <v>-0.68400000000000005</v>
      </c>
      <c r="IH62">
        <v>4.5999999999999999E-3</v>
      </c>
      <c r="II62">
        <v>-0.50232646130066128</v>
      </c>
      <c r="IJ62">
        <v>4.4610147972834149E-5</v>
      </c>
      <c r="IK62">
        <v>-2.082673137682459E-7</v>
      </c>
      <c r="IL62">
        <v>-4.0725795306076518E-11</v>
      </c>
      <c r="IM62">
        <v>4.6349999999932834E-3</v>
      </c>
      <c r="IN62">
        <v>0</v>
      </c>
      <c r="IO62">
        <v>0</v>
      </c>
      <c r="IP62">
        <v>0</v>
      </c>
      <c r="IQ62">
        <v>3</v>
      </c>
      <c r="IR62">
        <v>2179</v>
      </c>
      <c r="IS62">
        <v>0</v>
      </c>
      <c r="IT62">
        <v>22</v>
      </c>
      <c r="IU62">
        <v>0.5</v>
      </c>
      <c r="IV62">
        <v>0.6</v>
      </c>
      <c r="IW62">
        <v>2.1557599999999999</v>
      </c>
      <c r="IX62">
        <v>2.677</v>
      </c>
      <c r="IY62">
        <v>1.6015600000000001</v>
      </c>
      <c r="IZ62">
        <v>2.323</v>
      </c>
      <c r="JA62">
        <v>1.5502899999999999</v>
      </c>
      <c r="JB62">
        <v>2.32544</v>
      </c>
      <c r="JC62">
        <v>44.389899999999997</v>
      </c>
      <c r="JD62">
        <v>24.2013</v>
      </c>
      <c r="JE62">
        <v>18</v>
      </c>
      <c r="JF62">
        <v>614.98</v>
      </c>
      <c r="JG62">
        <v>388.82299999999998</v>
      </c>
      <c r="JH62">
        <v>26.0334</v>
      </c>
      <c r="JI62">
        <v>35.6252</v>
      </c>
      <c r="JJ62">
        <v>29.998799999999999</v>
      </c>
      <c r="JK62">
        <v>35.65</v>
      </c>
      <c r="JL62">
        <v>35.6387</v>
      </c>
      <c r="JM62">
        <v>43.148000000000003</v>
      </c>
      <c r="JN62">
        <v>21.091899999999999</v>
      </c>
      <c r="JO62">
        <v>50.334800000000001</v>
      </c>
      <c r="JP62">
        <v>26.2989</v>
      </c>
      <c r="JQ62">
        <v>1000</v>
      </c>
      <c r="JR62">
        <v>25.5015</v>
      </c>
      <c r="JS62">
        <v>98.319299999999998</v>
      </c>
      <c r="JT62">
        <v>98.759900000000002</v>
      </c>
    </row>
    <row r="63" spans="1:280" x14ac:dyDescent="0.25">
      <c r="A63">
        <v>47</v>
      </c>
      <c r="B63">
        <v>1700157564.5999999</v>
      </c>
      <c r="C63">
        <v>9691.0999999046326</v>
      </c>
      <c r="D63" t="s">
        <v>613</v>
      </c>
      <c r="E63" t="s">
        <v>614</v>
      </c>
      <c r="F63" t="s">
        <v>412</v>
      </c>
      <c r="G63" t="s">
        <v>598</v>
      </c>
      <c r="H63" t="s">
        <v>413</v>
      </c>
      <c r="I63">
        <v>1700157564.5999999</v>
      </c>
      <c r="J63">
        <f t="shared" si="46"/>
        <v>2.4751214239133392E-3</v>
      </c>
      <c r="K63">
        <f t="shared" si="47"/>
        <v>2.4751214239133392</v>
      </c>
      <c r="L63">
        <f t="shared" si="48"/>
        <v>39.186973824642806</v>
      </c>
      <c r="M63">
        <f t="shared" si="49"/>
        <v>701.649</v>
      </c>
      <c r="N63">
        <f t="shared" si="50"/>
        <v>287.15278055729698</v>
      </c>
      <c r="O63">
        <f t="shared" si="51"/>
        <v>28.490575261888001</v>
      </c>
      <c r="P63">
        <f t="shared" si="52"/>
        <v>69.615845624519991</v>
      </c>
      <c r="Q63">
        <f t="shared" si="53"/>
        <v>0.16002595690216392</v>
      </c>
      <c r="R63">
        <f t="shared" si="54"/>
        <v>2.9358672423678849</v>
      </c>
      <c r="S63">
        <f t="shared" si="55"/>
        <v>0.15533331204428827</v>
      </c>
      <c r="T63">
        <f t="shared" si="56"/>
        <v>9.7493473196223923E-2</v>
      </c>
      <c r="U63">
        <f t="shared" si="57"/>
        <v>344.33389930209319</v>
      </c>
      <c r="V63">
        <f t="shared" si="58"/>
        <v>31.235398287480837</v>
      </c>
      <c r="W63">
        <f t="shared" si="59"/>
        <v>29.9772</v>
      </c>
      <c r="X63">
        <f t="shared" si="60"/>
        <v>4.2548734137049777</v>
      </c>
      <c r="Y63">
        <f t="shared" si="61"/>
        <v>64.607293791308734</v>
      </c>
      <c r="Z63">
        <f t="shared" si="62"/>
        <v>2.7295621705320001</v>
      </c>
      <c r="AA63">
        <f t="shared" si="63"/>
        <v>4.224851422114809</v>
      </c>
      <c r="AB63">
        <f t="shared" si="64"/>
        <v>1.5253112431729776</v>
      </c>
      <c r="AC63">
        <f t="shared" si="65"/>
        <v>-109.15285479457826</v>
      </c>
      <c r="AD63">
        <f t="shared" si="66"/>
        <v>-19.499908091730308</v>
      </c>
      <c r="AE63">
        <f t="shared" si="67"/>
        <v>-1.4756124015395156</v>
      </c>
      <c r="AF63">
        <f t="shared" si="68"/>
        <v>214.20552401424507</v>
      </c>
      <c r="AG63">
        <v>0</v>
      </c>
      <c r="AH63">
        <v>0</v>
      </c>
      <c r="AI63">
        <f t="shared" si="69"/>
        <v>1</v>
      </c>
      <c r="AJ63">
        <f t="shared" si="70"/>
        <v>0</v>
      </c>
      <c r="AK63">
        <f t="shared" si="71"/>
        <v>52028.683848006505</v>
      </c>
      <c r="AL63" t="s">
        <v>415</v>
      </c>
      <c r="AM63">
        <v>6977.87</v>
      </c>
      <c r="AN63">
        <v>273.15280000000001</v>
      </c>
      <c r="AO63">
        <v>850.46774885301022</v>
      </c>
      <c r="AP63">
        <f t="shared" si="72"/>
        <v>0.67882050745793765</v>
      </c>
      <c r="AQ63">
        <v>-1.0323826813720729</v>
      </c>
      <c r="AR63" t="s">
        <v>615</v>
      </c>
      <c r="AS63">
        <v>7103.24</v>
      </c>
      <c r="AT63">
        <v>697.88055999999995</v>
      </c>
      <c r="AU63">
        <v>1001.306867721345</v>
      </c>
      <c r="AV63">
        <f t="shared" si="73"/>
        <v>0.30303028722038683</v>
      </c>
      <c r="AW63">
        <v>0.5</v>
      </c>
      <c r="AX63">
        <f t="shared" si="74"/>
        <v>1513.0253996510464</v>
      </c>
      <c r="AY63">
        <f t="shared" si="75"/>
        <v>39.186973824642806</v>
      </c>
      <c r="AZ63">
        <f t="shared" si="76"/>
        <v>229.24626071399859</v>
      </c>
      <c r="BA63">
        <f t="shared" si="77"/>
        <v>2.6582076226407559E-2</v>
      </c>
      <c r="BB63">
        <f t="shared" si="78"/>
        <v>-0.15064224937515561</v>
      </c>
      <c r="BC63">
        <f t="shared" si="79"/>
        <v>287.04075038107277</v>
      </c>
      <c r="BD63" t="s">
        <v>616</v>
      </c>
      <c r="BE63">
        <v>495.39</v>
      </c>
      <c r="BF63">
        <f t="shared" si="80"/>
        <v>495.39</v>
      </c>
      <c r="BG63">
        <f t="shared" si="81"/>
        <v>0.50525656422655962</v>
      </c>
      <c r="BH63">
        <f t="shared" si="82"/>
        <v>0.59975527024426045</v>
      </c>
      <c r="BI63">
        <f t="shared" si="83"/>
        <v>-0.42480588928926927</v>
      </c>
      <c r="BJ63">
        <f t="shared" si="84"/>
        <v>0.41670619058803687</v>
      </c>
      <c r="BK63">
        <f t="shared" si="85"/>
        <v>-0.26127700169208656</v>
      </c>
      <c r="BL63">
        <f t="shared" si="86"/>
        <v>0.42573583555086303</v>
      </c>
      <c r="BM63">
        <f t="shared" si="87"/>
        <v>0.57426416444913697</v>
      </c>
      <c r="BN63">
        <v>11302</v>
      </c>
      <c r="BO63">
        <v>290.00000000000011</v>
      </c>
      <c r="BP63">
        <v>913.42</v>
      </c>
      <c r="BQ63">
        <v>295</v>
      </c>
      <c r="BR63">
        <v>7103.24</v>
      </c>
      <c r="BS63">
        <v>915.56</v>
      </c>
      <c r="BT63">
        <v>-2.14</v>
      </c>
      <c r="BU63">
        <v>300.00000000000011</v>
      </c>
      <c r="BV63">
        <v>38.299999999999997</v>
      </c>
      <c r="BW63">
        <v>1001.306867721345</v>
      </c>
      <c r="BX63">
        <v>1.3571251347554261</v>
      </c>
      <c r="BY63">
        <v>-60.905286353471709</v>
      </c>
      <c r="BZ63">
        <v>0.80805717546242162</v>
      </c>
      <c r="CA63">
        <v>0.99509547462387316</v>
      </c>
      <c r="CB63">
        <v>-7.0040149054505074E-3</v>
      </c>
      <c r="CC63">
        <v>289.99999999999989</v>
      </c>
      <c r="CD63">
        <v>923.08</v>
      </c>
      <c r="CE63">
        <v>895</v>
      </c>
      <c r="CF63">
        <v>7093.83</v>
      </c>
      <c r="CG63">
        <v>915.45</v>
      </c>
      <c r="CH63">
        <v>7.63</v>
      </c>
      <c r="CV63">
        <f t="shared" si="88"/>
        <v>1799.81</v>
      </c>
      <c r="CW63">
        <f t="shared" si="89"/>
        <v>1513.0253996510464</v>
      </c>
      <c r="CX63">
        <f t="shared" si="90"/>
        <v>0.84065840263752645</v>
      </c>
      <c r="CY63">
        <f t="shared" si="91"/>
        <v>0.19131680527505304</v>
      </c>
      <c r="CZ63">
        <v>5.9</v>
      </c>
      <c r="DA63">
        <v>0.5</v>
      </c>
      <c r="DB63" t="s">
        <v>418</v>
      </c>
      <c r="DC63">
        <v>2</v>
      </c>
      <c r="DD63">
        <v>1700157564.5999999</v>
      </c>
      <c r="DE63">
        <v>701.649</v>
      </c>
      <c r="DF63">
        <v>749.92200000000003</v>
      </c>
      <c r="DG63">
        <v>27.510899999999999</v>
      </c>
      <c r="DH63">
        <v>24.671600000000002</v>
      </c>
      <c r="DI63">
        <v>702.40099999999995</v>
      </c>
      <c r="DJ63">
        <v>27.509399999999999</v>
      </c>
      <c r="DK63">
        <v>500.17500000000001</v>
      </c>
      <c r="DL63">
        <v>99.117599999999996</v>
      </c>
      <c r="DM63">
        <v>9.9879999999999997E-2</v>
      </c>
      <c r="DN63">
        <v>29.853999999999999</v>
      </c>
      <c r="DO63">
        <v>29.9772</v>
      </c>
      <c r="DP63">
        <v>999.9</v>
      </c>
      <c r="DQ63">
        <v>0</v>
      </c>
      <c r="DR63">
        <v>0</v>
      </c>
      <c r="DS63">
        <v>10022.5</v>
      </c>
      <c r="DT63">
        <v>0</v>
      </c>
      <c r="DU63">
        <v>252.773</v>
      </c>
      <c r="DV63">
        <v>-48.273099999999999</v>
      </c>
      <c r="DW63">
        <v>721.49800000000005</v>
      </c>
      <c r="DX63">
        <v>768.89200000000005</v>
      </c>
      <c r="DY63">
        <v>2.83935</v>
      </c>
      <c r="DZ63">
        <v>749.92200000000003</v>
      </c>
      <c r="EA63">
        <v>24.671600000000002</v>
      </c>
      <c r="EB63">
        <v>2.72682</v>
      </c>
      <c r="EC63">
        <v>2.4453900000000002</v>
      </c>
      <c r="ED63">
        <v>22.447600000000001</v>
      </c>
      <c r="EE63">
        <v>20.6675</v>
      </c>
      <c r="EF63">
        <v>1799.81</v>
      </c>
      <c r="EG63">
        <v>0.977993</v>
      </c>
      <c r="EH63">
        <v>2.2007100000000002E-2</v>
      </c>
      <c r="EI63">
        <v>0</v>
      </c>
      <c r="EJ63">
        <v>697.99199999999996</v>
      </c>
      <c r="EK63">
        <v>5.0005300000000004</v>
      </c>
      <c r="EL63">
        <v>13798.1</v>
      </c>
      <c r="EM63">
        <v>16033.5</v>
      </c>
      <c r="EN63">
        <v>48.75</v>
      </c>
      <c r="EO63">
        <v>50.061999999999998</v>
      </c>
      <c r="EP63">
        <v>49.436999999999998</v>
      </c>
      <c r="EQ63">
        <v>49.5</v>
      </c>
      <c r="ER63">
        <v>49.875</v>
      </c>
      <c r="ES63">
        <v>1755.31</v>
      </c>
      <c r="ET63">
        <v>39.5</v>
      </c>
      <c r="EU63">
        <v>0</v>
      </c>
      <c r="EV63">
        <v>235.20000004768369</v>
      </c>
      <c r="EW63">
        <v>0</v>
      </c>
      <c r="EX63">
        <v>697.88055999999995</v>
      </c>
      <c r="EY63">
        <v>-0.65184613722995266</v>
      </c>
      <c r="EZ63">
        <v>-1468.753846183758</v>
      </c>
      <c r="FA63">
        <v>13985.3</v>
      </c>
      <c r="FB63">
        <v>15</v>
      </c>
      <c r="FC63">
        <v>1700157498.0999999</v>
      </c>
      <c r="FD63" t="s">
        <v>617</v>
      </c>
      <c r="FE63">
        <v>1700157493.0999999</v>
      </c>
      <c r="FF63">
        <v>1700157498.0999999</v>
      </c>
      <c r="FG63">
        <v>52</v>
      </c>
      <c r="FH63">
        <v>-0.16400000000000001</v>
      </c>
      <c r="FI63">
        <v>-3.0000000000000001E-3</v>
      </c>
      <c r="FJ63">
        <v>-0.76800000000000002</v>
      </c>
      <c r="FK63">
        <v>2E-3</v>
      </c>
      <c r="FL63">
        <v>750</v>
      </c>
      <c r="FM63">
        <v>26</v>
      </c>
      <c r="FN63">
        <v>0.03</v>
      </c>
      <c r="FO63">
        <v>0.03</v>
      </c>
      <c r="FP63">
        <v>39.196165556122992</v>
      </c>
      <c r="FQ63">
        <v>0.56984838489370104</v>
      </c>
      <c r="FR63">
        <v>6.2092816534371063E-2</v>
      </c>
      <c r="FS63">
        <v>1</v>
      </c>
      <c r="FT63">
        <v>0.1635675985740454</v>
      </c>
      <c r="FU63">
        <v>-1.289401960754571E-2</v>
      </c>
      <c r="FV63">
        <v>9.5084405648526282E-4</v>
      </c>
      <c r="FW63">
        <v>1</v>
      </c>
      <c r="FX63">
        <v>2</v>
      </c>
      <c r="FY63">
        <v>2</v>
      </c>
      <c r="FZ63" t="s">
        <v>420</v>
      </c>
      <c r="GA63">
        <v>3.1265100000000001</v>
      </c>
      <c r="GB63">
        <v>2.7669700000000002</v>
      </c>
      <c r="GC63">
        <v>0.13286300000000001</v>
      </c>
      <c r="GD63">
        <v>0.13885700000000001</v>
      </c>
      <c r="GE63">
        <v>0.117533</v>
      </c>
      <c r="GF63">
        <v>0.109101</v>
      </c>
      <c r="GG63">
        <v>20615.8</v>
      </c>
      <c r="GH63">
        <v>21313.1</v>
      </c>
      <c r="GI63">
        <v>23646.400000000001</v>
      </c>
      <c r="GJ63">
        <v>25076.1</v>
      </c>
      <c r="GK63">
        <v>30057.7</v>
      </c>
      <c r="GL63">
        <v>31321.599999999999</v>
      </c>
      <c r="GM63">
        <v>37700.9</v>
      </c>
      <c r="GN63">
        <v>39032.9</v>
      </c>
      <c r="GO63">
        <v>2.1374499999999999</v>
      </c>
      <c r="GP63">
        <v>1.7418800000000001</v>
      </c>
      <c r="GQ63">
        <v>1.5344500000000001E-2</v>
      </c>
      <c r="GR63">
        <v>0</v>
      </c>
      <c r="GS63">
        <v>29.727499999999999</v>
      </c>
      <c r="GT63">
        <v>999.9</v>
      </c>
      <c r="GU63">
        <v>39</v>
      </c>
      <c r="GV63">
        <v>40.6</v>
      </c>
      <c r="GW63">
        <v>30.1189</v>
      </c>
      <c r="GX63">
        <v>59.793799999999997</v>
      </c>
      <c r="GY63">
        <v>27.235600000000002</v>
      </c>
      <c r="GZ63">
        <v>1</v>
      </c>
      <c r="HA63">
        <v>0.69818899999999995</v>
      </c>
      <c r="HB63">
        <v>2.3796499999999998</v>
      </c>
      <c r="HC63">
        <v>20.302499999999998</v>
      </c>
      <c r="HD63">
        <v>5.25143</v>
      </c>
      <c r="HE63">
        <v>12.0099</v>
      </c>
      <c r="HF63">
        <v>4.9776499999999997</v>
      </c>
      <c r="HG63">
        <v>3.2930000000000001</v>
      </c>
      <c r="HH63">
        <v>9999</v>
      </c>
      <c r="HI63">
        <v>9999</v>
      </c>
      <c r="HJ63">
        <v>9999</v>
      </c>
      <c r="HK63">
        <v>999.9</v>
      </c>
      <c r="HL63">
        <v>1.87598</v>
      </c>
      <c r="HM63">
        <v>1.8768499999999999</v>
      </c>
      <c r="HN63">
        <v>1.8830899999999999</v>
      </c>
      <c r="HO63">
        <v>1.88628</v>
      </c>
      <c r="HP63">
        <v>1.877</v>
      </c>
      <c r="HQ63">
        <v>1.88354</v>
      </c>
      <c r="HR63">
        <v>1.8824799999999999</v>
      </c>
      <c r="HS63">
        <v>1.8859300000000001</v>
      </c>
      <c r="HT63">
        <v>5</v>
      </c>
      <c r="HU63">
        <v>0</v>
      </c>
      <c r="HV63">
        <v>0</v>
      </c>
      <c r="HW63">
        <v>0</v>
      </c>
      <c r="HX63" t="s">
        <v>421</v>
      </c>
      <c r="HY63" t="s">
        <v>422</v>
      </c>
      <c r="HZ63" t="s">
        <v>423</v>
      </c>
      <c r="IA63" t="s">
        <v>424</v>
      </c>
      <c r="IB63" t="s">
        <v>424</v>
      </c>
      <c r="IC63" t="s">
        <v>423</v>
      </c>
      <c r="ID63">
        <v>0</v>
      </c>
      <c r="IE63">
        <v>100</v>
      </c>
      <c r="IF63">
        <v>100</v>
      </c>
      <c r="IG63">
        <v>-0.752</v>
      </c>
      <c r="IH63">
        <v>1.5E-3</v>
      </c>
      <c r="II63">
        <v>-0.66636753229373802</v>
      </c>
      <c r="IJ63">
        <v>4.4610147972834149E-5</v>
      </c>
      <c r="IK63">
        <v>-2.082673137682459E-7</v>
      </c>
      <c r="IL63">
        <v>-4.0725795306076518E-11</v>
      </c>
      <c r="IM63">
        <v>1.530000000002474E-3</v>
      </c>
      <c r="IN63">
        <v>0</v>
      </c>
      <c r="IO63">
        <v>0</v>
      </c>
      <c r="IP63">
        <v>0</v>
      </c>
      <c r="IQ63">
        <v>3</v>
      </c>
      <c r="IR63">
        <v>2179</v>
      </c>
      <c r="IS63">
        <v>0</v>
      </c>
      <c r="IT63">
        <v>22</v>
      </c>
      <c r="IU63">
        <v>1.2</v>
      </c>
      <c r="IV63">
        <v>1.1000000000000001</v>
      </c>
      <c r="IW63">
        <v>1.7028799999999999</v>
      </c>
      <c r="IX63">
        <v>2.68188</v>
      </c>
      <c r="IY63">
        <v>1.6015600000000001</v>
      </c>
      <c r="IZ63">
        <v>2.32422</v>
      </c>
      <c r="JA63">
        <v>1.5502899999999999</v>
      </c>
      <c r="JB63">
        <v>2.3168899999999999</v>
      </c>
      <c r="JC63">
        <v>44.362099999999998</v>
      </c>
      <c r="JD63">
        <v>24.2013</v>
      </c>
      <c r="JE63">
        <v>18</v>
      </c>
      <c r="JF63">
        <v>615.89400000000001</v>
      </c>
      <c r="JG63">
        <v>387.74299999999999</v>
      </c>
      <c r="JH63">
        <v>27.0594</v>
      </c>
      <c r="JI63">
        <v>35.595700000000001</v>
      </c>
      <c r="JJ63">
        <v>29.9999</v>
      </c>
      <c r="JK63">
        <v>35.633600000000001</v>
      </c>
      <c r="JL63">
        <v>35.625599999999999</v>
      </c>
      <c r="JM63">
        <v>34.088299999999997</v>
      </c>
      <c r="JN63">
        <v>24.939399999999999</v>
      </c>
      <c r="JO63">
        <v>50.884300000000003</v>
      </c>
      <c r="JP63">
        <v>27.059200000000001</v>
      </c>
      <c r="JQ63">
        <v>750</v>
      </c>
      <c r="JR63">
        <v>24.816400000000002</v>
      </c>
      <c r="JS63">
        <v>98.325800000000001</v>
      </c>
      <c r="JT63">
        <v>98.771100000000004</v>
      </c>
    </row>
    <row r="64" spans="1:280" x14ac:dyDescent="0.25">
      <c r="A64">
        <v>48</v>
      </c>
      <c r="B64">
        <v>1700157768</v>
      </c>
      <c r="C64">
        <v>9894.5</v>
      </c>
      <c r="D64" t="s">
        <v>618</v>
      </c>
      <c r="E64" t="s">
        <v>619</v>
      </c>
      <c r="F64" t="s">
        <v>412</v>
      </c>
      <c r="G64" t="s">
        <v>598</v>
      </c>
      <c r="H64" t="s">
        <v>413</v>
      </c>
      <c r="I64">
        <v>1700157768</v>
      </c>
      <c r="J64">
        <f t="shared" si="46"/>
        <v>3.4205955160789493E-3</v>
      </c>
      <c r="K64">
        <f t="shared" si="47"/>
        <v>3.4205955160789494</v>
      </c>
      <c r="L64">
        <f t="shared" si="48"/>
        <v>40.444368711231569</v>
      </c>
      <c r="M64">
        <f t="shared" si="49"/>
        <v>550.11500000000001</v>
      </c>
      <c r="N64">
        <f t="shared" si="50"/>
        <v>248.27872088537836</v>
      </c>
      <c r="O64">
        <f t="shared" si="51"/>
        <v>24.630848771628195</v>
      </c>
      <c r="P64">
        <f t="shared" si="52"/>
        <v>54.574952390945001</v>
      </c>
      <c r="Q64">
        <f t="shared" si="53"/>
        <v>0.22987092860462205</v>
      </c>
      <c r="R64">
        <f t="shared" si="54"/>
        <v>2.9320303317075931</v>
      </c>
      <c r="S64">
        <f t="shared" si="55"/>
        <v>0.22030762743897619</v>
      </c>
      <c r="T64">
        <f t="shared" si="56"/>
        <v>0.13851833790403112</v>
      </c>
      <c r="U64">
        <f t="shared" si="57"/>
        <v>344.37189930217079</v>
      </c>
      <c r="V64">
        <f t="shared" si="58"/>
        <v>31.18464225173097</v>
      </c>
      <c r="W64">
        <f t="shared" si="59"/>
        <v>29.996300000000002</v>
      </c>
      <c r="X64">
        <f t="shared" si="60"/>
        <v>4.2595444043198469</v>
      </c>
      <c r="Y64">
        <f t="shared" si="61"/>
        <v>64.931942316739764</v>
      </c>
      <c r="Z64">
        <f t="shared" si="62"/>
        <v>2.7738220669242999</v>
      </c>
      <c r="AA64">
        <f t="shared" si="63"/>
        <v>4.2718914111540371</v>
      </c>
      <c r="AB64">
        <f t="shared" si="64"/>
        <v>1.485722337395547</v>
      </c>
      <c r="AC64">
        <f t="shared" si="65"/>
        <v>-150.84826225908168</v>
      </c>
      <c r="AD64">
        <f t="shared" si="66"/>
        <v>7.9668096098481609</v>
      </c>
      <c r="AE64">
        <f t="shared" si="67"/>
        <v>0.60429294179780646</v>
      </c>
      <c r="AF64">
        <f t="shared" si="68"/>
        <v>202.09473959473505</v>
      </c>
      <c r="AG64">
        <v>0</v>
      </c>
      <c r="AH64">
        <v>0</v>
      </c>
      <c r="AI64">
        <f t="shared" si="69"/>
        <v>1</v>
      </c>
      <c r="AJ64">
        <f t="shared" si="70"/>
        <v>0</v>
      </c>
      <c r="AK64">
        <f t="shared" si="71"/>
        <v>51887.260932424848</v>
      </c>
      <c r="AL64" t="s">
        <v>415</v>
      </c>
      <c r="AM64">
        <v>6977.87</v>
      </c>
      <c r="AN64">
        <v>273.15280000000001</v>
      </c>
      <c r="AO64">
        <v>850.46774885301022</v>
      </c>
      <c r="AP64">
        <f t="shared" si="72"/>
        <v>0.67882050745793765</v>
      </c>
      <c r="AQ64">
        <v>-1.0323826813720729</v>
      </c>
      <c r="AR64" t="s">
        <v>620</v>
      </c>
      <c r="AS64">
        <v>7104</v>
      </c>
      <c r="AT64">
        <v>696.10934615384622</v>
      </c>
      <c r="AU64">
        <v>1010.875148526694</v>
      </c>
      <c r="AV64">
        <f t="shared" si="73"/>
        <v>0.31137950401847858</v>
      </c>
      <c r="AW64">
        <v>0.5</v>
      </c>
      <c r="AX64">
        <f t="shared" si="74"/>
        <v>1513.1933996510854</v>
      </c>
      <c r="AY64">
        <f t="shared" si="75"/>
        <v>40.444368711231569</v>
      </c>
      <c r="AZ64">
        <f t="shared" si="76"/>
        <v>235.58870513369521</v>
      </c>
      <c r="BA64">
        <f t="shared" si="77"/>
        <v>2.741007950614073E-2</v>
      </c>
      <c r="BB64">
        <f t="shared" si="78"/>
        <v>-0.15868171248197221</v>
      </c>
      <c r="BC64">
        <f t="shared" si="79"/>
        <v>287.82172392894779</v>
      </c>
      <c r="BD64" t="s">
        <v>621</v>
      </c>
      <c r="BE64">
        <v>501</v>
      </c>
      <c r="BF64">
        <f t="shared" si="80"/>
        <v>501</v>
      </c>
      <c r="BG64">
        <f t="shared" si="81"/>
        <v>0.50438983416479721</v>
      </c>
      <c r="BH64">
        <f t="shared" si="82"/>
        <v>0.61733897657569115</v>
      </c>
      <c r="BI64">
        <f t="shared" si="83"/>
        <v>-0.45900487298229298</v>
      </c>
      <c r="BJ64">
        <f t="shared" si="84"/>
        <v>0.42667245068753423</v>
      </c>
      <c r="BK64">
        <f t="shared" si="85"/>
        <v>-0.27785076411476228</v>
      </c>
      <c r="BL64">
        <f t="shared" si="86"/>
        <v>0.44430782171407046</v>
      </c>
      <c r="BM64">
        <f t="shared" si="87"/>
        <v>0.55569217828592954</v>
      </c>
      <c r="BN64">
        <v>11304</v>
      </c>
      <c r="BO64">
        <v>290.00000000000011</v>
      </c>
      <c r="BP64">
        <v>916.82</v>
      </c>
      <c r="BQ64">
        <v>295</v>
      </c>
      <c r="BR64">
        <v>7104</v>
      </c>
      <c r="BS64">
        <v>919.13</v>
      </c>
      <c r="BT64">
        <v>-2.31</v>
      </c>
      <c r="BU64">
        <v>300.00000000000011</v>
      </c>
      <c r="BV64">
        <v>38.299999999999997</v>
      </c>
      <c r="BW64">
        <v>1010.875148526694</v>
      </c>
      <c r="BX64">
        <v>1.293949987618539</v>
      </c>
      <c r="BY64">
        <v>-65.173940895580799</v>
      </c>
      <c r="BZ64">
        <v>0.77052855216539184</v>
      </c>
      <c r="CA64">
        <v>0.99610155727475169</v>
      </c>
      <c r="CB64">
        <v>-7.0047001112347124E-3</v>
      </c>
      <c r="CC64">
        <v>289.99999999999989</v>
      </c>
      <c r="CD64">
        <v>923.99</v>
      </c>
      <c r="CE64">
        <v>795</v>
      </c>
      <c r="CF64">
        <v>7096.24</v>
      </c>
      <c r="CG64">
        <v>919.03</v>
      </c>
      <c r="CH64">
        <v>4.96</v>
      </c>
      <c r="CV64">
        <f t="shared" si="88"/>
        <v>1800.01</v>
      </c>
      <c r="CW64">
        <f t="shared" si="89"/>
        <v>1513.1933996510854</v>
      </c>
      <c r="CX64">
        <f t="shared" si="90"/>
        <v>0.84065832948210584</v>
      </c>
      <c r="CY64">
        <f t="shared" si="91"/>
        <v>0.19131665896421174</v>
      </c>
      <c r="CZ64">
        <v>5.9</v>
      </c>
      <c r="DA64">
        <v>0.5</v>
      </c>
      <c r="DB64" t="s">
        <v>418</v>
      </c>
      <c r="DC64">
        <v>2</v>
      </c>
      <c r="DD64">
        <v>1700157768</v>
      </c>
      <c r="DE64">
        <v>550.11500000000001</v>
      </c>
      <c r="DF64">
        <v>600.04899999999998</v>
      </c>
      <c r="DG64">
        <v>27.960100000000001</v>
      </c>
      <c r="DH64">
        <v>24.037500000000001</v>
      </c>
      <c r="DI64">
        <v>550.65099999999995</v>
      </c>
      <c r="DJ64">
        <v>27.961300000000001</v>
      </c>
      <c r="DK64">
        <v>500.108</v>
      </c>
      <c r="DL64">
        <v>99.106399999999994</v>
      </c>
      <c r="DM64">
        <v>0.10004300000000001</v>
      </c>
      <c r="DN64">
        <v>30.046700000000001</v>
      </c>
      <c r="DO64">
        <v>29.996300000000002</v>
      </c>
      <c r="DP64">
        <v>999.9</v>
      </c>
      <c r="DQ64">
        <v>0</v>
      </c>
      <c r="DR64">
        <v>0</v>
      </c>
      <c r="DS64">
        <v>10001.9</v>
      </c>
      <c r="DT64">
        <v>0</v>
      </c>
      <c r="DU64">
        <v>497.52</v>
      </c>
      <c r="DV64">
        <v>-49.933900000000001</v>
      </c>
      <c r="DW64">
        <v>565.93799999999999</v>
      </c>
      <c r="DX64">
        <v>614.82799999999997</v>
      </c>
      <c r="DY64">
        <v>3.92259</v>
      </c>
      <c r="DZ64">
        <v>600.04899999999998</v>
      </c>
      <c r="EA64">
        <v>24.037500000000001</v>
      </c>
      <c r="EB64">
        <v>2.7710300000000001</v>
      </c>
      <c r="EC64">
        <v>2.3822700000000001</v>
      </c>
      <c r="ED64">
        <v>22.712499999999999</v>
      </c>
      <c r="EE64">
        <v>20.2438</v>
      </c>
      <c r="EF64">
        <v>1800.01</v>
      </c>
      <c r="EG64">
        <v>0.977993</v>
      </c>
      <c r="EH64">
        <v>2.2007200000000001E-2</v>
      </c>
      <c r="EI64">
        <v>0</v>
      </c>
      <c r="EJ64">
        <v>695.49800000000005</v>
      </c>
      <c r="EK64">
        <v>5.0005300000000004</v>
      </c>
      <c r="EL64">
        <v>14296</v>
      </c>
      <c r="EM64">
        <v>16035.3</v>
      </c>
      <c r="EN64">
        <v>48.75</v>
      </c>
      <c r="EO64">
        <v>50</v>
      </c>
      <c r="EP64">
        <v>49.375</v>
      </c>
      <c r="EQ64">
        <v>49.436999999999998</v>
      </c>
      <c r="ER64">
        <v>49.875</v>
      </c>
      <c r="ES64">
        <v>1755.51</v>
      </c>
      <c r="ET64">
        <v>39.5</v>
      </c>
      <c r="EU64">
        <v>0</v>
      </c>
      <c r="EV64">
        <v>201.5999999046326</v>
      </c>
      <c r="EW64">
        <v>0</v>
      </c>
      <c r="EX64">
        <v>696.10934615384622</v>
      </c>
      <c r="EY64">
        <v>-2.9444444335343318</v>
      </c>
      <c r="EZ64">
        <v>2107.6717919633011</v>
      </c>
      <c r="FA64">
        <v>13983.45384615385</v>
      </c>
      <c r="FB64">
        <v>15</v>
      </c>
      <c r="FC64">
        <v>1700157678.0999999</v>
      </c>
      <c r="FD64" t="s">
        <v>622</v>
      </c>
      <c r="FE64">
        <v>1700157678.0999999</v>
      </c>
      <c r="FF64">
        <v>1700157677.0999999</v>
      </c>
      <c r="FG64">
        <v>53</v>
      </c>
      <c r="FH64">
        <v>0.17599999999999999</v>
      </c>
      <c r="FI64">
        <v>-3.0000000000000001E-3</v>
      </c>
      <c r="FJ64">
        <v>-0.54800000000000004</v>
      </c>
      <c r="FK64">
        <v>-1E-3</v>
      </c>
      <c r="FL64">
        <v>600</v>
      </c>
      <c r="FM64">
        <v>25</v>
      </c>
      <c r="FN64">
        <v>0.05</v>
      </c>
      <c r="FO64">
        <v>0.06</v>
      </c>
      <c r="FP64">
        <v>40.310454989511207</v>
      </c>
      <c r="FQ64">
        <v>0.69541481415833295</v>
      </c>
      <c r="FR64">
        <v>6.5113761233671991E-2</v>
      </c>
      <c r="FS64">
        <v>1</v>
      </c>
      <c r="FT64">
        <v>0.22493921245780199</v>
      </c>
      <c r="FU64">
        <v>4.6082155266524441E-2</v>
      </c>
      <c r="FV64">
        <v>3.3572567067843028E-3</v>
      </c>
      <c r="FW64">
        <v>1</v>
      </c>
      <c r="FX64">
        <v>2</v>
      </c>
      <c r="FY64">
        <v>2</v>
      </c>
      <c r="FZ64" t="s">
        <v>420</v>
      </c>
      <c r="GA64">
        <v>3.1261700000000001</v>
      </c>
      <c r="GB64">
        <v>2.76694</v>
      </c>
      <c r="GC64">
        <v>0.112097</v>
      </c>
      <c r="GD64">
        <v>0.11915000000000001</v>
      </c>
      <c r="GE64">
        <v>0.11887</v>
      </c>
      <c r="GF64">
        <v>0.107122</v>
      </c>
      <c r="GG64">
        <v>21113.1</v>
      </c>
      <c r="GH64">
        <v>21805.1</v>
      </c>
      <c r="GI64">
        <v>23649.599999999999</v>
      </c>
      <c r="GJ64">
        <v>25079.8</v>
      </c>
      <c r="GK64">
        <v>30016</v>
      </c>
      <c r="GL64">
        <v>31395.599999999999</v>
      </c>
      <c r="GM64">
        <v>37705.599999999999</v>
      </c>
      <c r="GN64">
        <v>39038.300000000003</v>
      </c>
      <c r="GO64">
        <v>2.1388199999999999</v>
      </c>
      <c r="GP64">
        <v>1.7417499999999999</v>
      </c>
      <c r="GQ64">
        <v>1.25691E-2</v>
      </c>
      <c r="GR64">
        <v>0</v>
      </c>
      <c r="GS64">
        <v>29.791799999999999</v>
      </c>
      <c r="GT64">
        <v>999.9</v>
      </c>
      <c r="GU64">
        <v>39.1</v>
      </c>
      <c r="GV64">
        <v>40.5</v>
      </c>
      <c r="GW64">
        <v>30.0398</v>
      </c>
      <c r="GX64">
        <v>60.573700000000002</v>
      </c>
      <c r="GY64">
        <v>26.654599999999999</v>
      </c>
      <c r="GZ64">
        <v>1</v>
      </c>
      <c r="HA64">
        <v>0.69251799999999997</v>
      </c>
      <c r="HB64">
        <v>2.2958099999999999</v>
      </c>
      <c r="HC64">
        <v>20.3034</v>
      </c>
      <c r="HD64">
        <v>5.2475399999999999</v>
      </c>
      <c r="HE64">
        <v>12.0099</v>
      </c>
      <c r="HF64">
        <v>4.9777500000000003</v>
      </c>
      <c r="HG64">
        <v>3.2922500000000001</v>
      </c>
      <c r="HH64">
        <v>9999</v>
      </c>
      <c r="HI64">
        <v>9999</v>
      </c>
      <c r="HJ64">
        <v>9999</v>
      </c>
      <c r="HK64">
        <v>999.9</v>
      </c>
      <c r="HL64">
        <v>1.8760699999999999</v>
      </c>
      <c r="HM64">
        <v>1.8769499999999999</v>
      </c>
      <c r="HN64">
        <v>1.8832199999999999</v>
      </c>
      <c r="HO64">
        <v>1.88629</v>
      </c>
      <c r="HP64">
        <v>1.8771100000000001</v>
      </c>
      <c r="HQ64">
        <v>1.8835900000000001</v>
      </c>
      <c r="HR64">
        <v>1.88256</v>
      </c>
      <c r="HS64">
        <v>1.8859900000000001</v>
      </c>
      <c r="HT64">
        <v>5</v>
      </c>
      <c r="HU64">
        <v>0</v>
      </c>
      <c r="HV64">
        <v>0</v>
      </c>
      <c r="HW64">
        <v>0</v>
      </c>
      <c r="HX64" t="s">
        <v>421</v>
      </c>
      <c r="HY64" t="s">
        <v>422</v>
      </c>
      <c r="HZ64" t="s">
        <v>423</v>
      </c>
      <c r="IA64" t="s">
        <v>424</v>
      </c>
      <c r="IB64" t="s">
        <v>424</v>
      </c>
      <c r="IC64" t="s">
        <v>423</v>
      </c>
      <c r="ID64">
        <v>0</v>
      </c>
      <c r="IE64">
        <v>100</v>
      </c>
      <c r="IF64">
        <v>100</v>
      </c>
      <c r="IG64">
        <v>-0.53600000000000003</v>
      </c>
      <c r="IH64">
        <v>-1.1999999999999999E-3</v>
      </c>
      <c r="II64">
        <v>-0.49056386145861569</v>
      </c>
      <c r="IJ64">
        <v>4.4610147972834149E-5</v>
      </c>
      <c r="IK64">
        <v>-2.082673137682459E-7</v>
      </c>
      <c r="IL64">
        <v>-4.0725795306076518E-11</v>
      </c>
      <c r="IM64">
        <v>-1.175000000003479E-3</v>
      </c>
      <c r="IN64">
        <v>0</v>
      </c>
      <c r="IO64">
        <v>0</v>
      </c>
      <c r="IP64">
        <v>0</v>
      </c>
      <c r="IQ64">
        <v>3</v>
      </c>
      <c r="IR64">
        <v>2179</v>
      </c>
      <c r="IS64">
        <v>0</v>
      </c>
      <c r="IT64">
        <v>22</v>
      </c>
      <c r="IU64">
        <v>1.5</v>
      </c>
      <c r="IV64">
        <v>1.5</v>
      </c>
      <c r="IW64">
        <v>1.4209000000000001</v>
      </c>
      <c r="IX64">
        <v>2.6696800000000001</v>
      </c>
      <c r="IY64">
        <v>1.6003400000000001</v>
      </c>
      <c r="IZ64">
        <v>2.32544</v>
      </c>
      <c r="JA64">
        <v>1.5502899999999999</v>
      </c>
      <c r="JB64">
        <v>2.5097700000000001</v>
      </c>
      <c r="JC64">
        <v>44.250900000000001</v>
      </c>
      <c r="JD64">
        <v>24.210100000000001</v>
      </c>
      <c r="JE64">
        <v>18</v>
      </c>
      <c r="JF64">
        <v>616.42600000000004</v>
      </c>
      <c r="JG64">
        <v>387.34300000000002</v>
      </c>
      <c r="JH64">
        <v>27.412099999999999</v>
      </c>
      <c r="JI64">
        <v>35.533499999999997</v>
      </c>
      <c r="JJ64">
        <v>30.000299999999999</v>
      </c>
      <c r="JK64">
        <v>35.581200000000003</v>
      </c>
      <c r="JL64">
        <v>35.573099999999997</v>
      </c>
      <c r="JM64">
        <v>28.416</v>
      </c>
      <c r="JN64">
        <v>28.180800000000001</v>
      </c>
      <c r="JO64">
        <v>50.969900000000003</v>
      </c>
      <c r="JP64">
        <v>27.412099999999999</v>
      </c>
      <c r="JQ64">
        <v>600</v>
      </c>
      <c r="JR64">
        <v>24.113099999999999</v>
      </c>
      <c r="JS64">
        <v>98.338499999999996</v>
      </c>
      <c r="JT64">
        <v>98.785200000000003</v>
      </c>
    </row>
    <row r="65" spans="1:280" x14ac:dyDescent="0.25">
      <c r="A65">
        <v>49</v>
      </c>
      <c r="B65">
        <v>1700157940.5</v>
      </c>
      <c r="C65">
        <v>10067</v>
      </c>
      <c r="D65" t="s">
        <v>623</v>
      </c>
      <c r="E65" t="s">
        <v>624</v>
      </c>
      <c r="F65" t="s">
        <v>412</v>
      </c>
      <c r="G65" t="s">
        <v>598</v>
      </c>
      <c r="H65" t="s">
        <v>413</v>
      </c>
      <c r="I65">
        <v>1700157940.5</v>
      </c>
      <c r="J65">
        <f t="shared" si="46"/>
        <v>3.333962224155856E-3</v>
      </c>
      <c r="K65">
        <f t="shared" si="47"/>
        <v>3.3339622241558562</v>
      </c>
      <c r="L65">
        <f t="shared" si="48"/>
        <v>39.081181485463624</v>
      </c>
      <c r="M65">
        <f t="shared" si="49"/>
        <v>452.12299999999999</v>
      </c>
      <c r="N65">
        <f t="shared" si="50"/>
        <v>153.3570896387383</v>
      </c>
      <c r="O65">
        <f t="shared" si="51"/>
        <v>15.213863443642717</v>
      </c>
      <c r="P65">
        <f t="shared" si="52"/>
        <v>44.853078510643201</v>
      </c>
      <c r="Q65">
        <f t="shared" si="53"/>
        <v>0.22241175677959094</v>
      </c>
      <c r="R65">
        <f t="shared" si="54"/>
        <v>2.9369796452321042</v>
      </c>
      <c r="S65">
        <f t="shared" si="55"/>
        <v>0.21346047247413041</v>
      </c>
      <c r="T65">
        <f t="shared" si="56"/>
        <v>0.13418701387368465</v>
      </c>
      <c r="U65">
        <f t="shared" si="57"/>
        <v>344.35669930213976</v>
      </c>
      <c r="V65">
        <f t="shared" si="58"/>
        <v>31.118070775645723</v>
      </c>
      <c r="W65">
        <f t="shared" si="59"/>
        <v>29.961099999999998</v>
      </c>
      <c r="X65">
        <f t="shared" si="60"/>
        <v>4.2509395545392374</v>
      </c>
      <c r="Y65">
        <f t="shared" si="61"/>
        <v>64.843532083938641</v>
      </c>
      <c r="Z65">
        <f t="shared" si="62"/>
        <v>2.7562059652915205</v>
      </c>
      <c r="AA65">
        <f t="shared" si="63"/>
        <v>4.2505487852260542</v>
      </c>
      <c r="AB65">
        <f t="shared" si="64"/>
        <v>1.4947335892477169</v>
      </c>
      <c r="AC65">
        <f t="shared" si="65"/>
        <v>-147.02773408527324</v>
      </c>
      <c r="AD65">
        <f t="shared" si="66"/>
        <v>-0.25334151461397725</v>
      </c>
      <c r="AE65">
        <f t="shared" si="67"/>
        <v>-1.9172281648133636E-2</v>
      </c>
      <c r="AF65">
        <f t="shared" si="68"/>
        <v>197.05645142060442</v>
      </c>
      <c r="AG65">
        <v>0</v>
      </c>
      <c r="AH65">
        <v>0</v>
      </c>
      <c r="AI65">
        <f t="shared" si="69"/>
        <v>1</v>
      </c>
      <c r="AJ65">
        <f t="shared" si="70"/>
        <v>0</v>
      </c>
      <c r="AK65">
        <f t="shared" si="71"/>
        <v>52041.673937649852</v>
      </c>
      <c r="AL65" t="s">
        <v>427</v>
      </c>
      <c r="AM65" t="s">
        <v>427</v>
      </c>
      <c r="AN65">
        <v>0</v>
      </c>
      <c r="AO65">
        <v>0</v>
      </c>
      <c r="AP65" t="e">
        <f t="shared" si="72"/>
        <v>#DIV/0!</v>
      </c>
      <c r="AQ65">
        <v>0</v>
      </c>
      <c r="AR65" t="s">
        <v>427</v>
      </c>
      <c r="AS65" t="s">
        <v>427</v>
      </c>
      <c r="AT65">
        <v>0</v>
      </c>
      <c r="AU65">
        <v>0</v>
      </c>
      <c r="AV65" t="e">
        <f t="shared" si="73"/>
        <v>#DIV/0!</v>
      </c>
      <c r="AW65">
        <v>0.5</v>
      </c>
      <c r="AX65">
        <f t="shared" si="74"/>
        <v>1513.1261996510698</v>
      </c>
      <c r="AY65">
        <f t="shared" si="75"/>
        <v>39.081181485463624</v>
      </c>
      <c r="AZ65" t="e">
        <f t="shared" si="76"/>
        <v>#DIV/0!</v>
      </c>
      <c r="BA65">
        <f t="shared" si="77"/>
        <v>2.5828104420157306E-2</v>
      </c>
      <c r="BB65" t="e">
        <f t="shared" si="78"/>
        <v>#DIV/0!</v>
      </c>
      <c r="BC65" t="e">
        <f t="shared" si="79"/>
        <v>#DIV/0!</v>
      </c>
      <c r="BD65" t="s">
        <v>427</v>
      </c>
      <c r="BE65">
        <v>0</v>
      </c>
      <c r="BF65" t="e">
        <f t="shared" si="80"/>
        <v>#DIV/0!</v>
      </c>
      <c r="BG65" t="e">
        <f t="shared" si="81"/>
        <v>#DIV/0!</v>
      </c>
      <c r="BH65" t="e">
        <f t="shared" si="82"/>
        <v>#DIV/0!</v>
      </c>
      <c r="BI65" t="e">
        <f t="shared" si="83"/>
        <v>#DIV/0!</v>
      </c>
      <c r="BJ65" t="e">
        <f t="shared" si="84"/>
        <v>#DIV/0!</v>
      </c>
      <c r="BK65" t="e">
        <f t="shared" si="85"/>
        <v>#DIV/0!</v>
      </c>
      <c r="BL65" t="e">
        <f t="shared" si="86"/>
        <v>#DIV/0!</v>
      </c>
      <c r="BM65" t="e">
        <f t="shared" si="87"/>
        <v>#DIV/0!</v>
      </c>
      <c r="BN65">
        <v>11304</v>
      </c>
      <c r="BO65">
        <v>290.00000000000011</v>
      </c>
      <c r="BP65">
        <v>916.82</v>
      </c>
      <c r="BQ65">
        <v>295</v>
      </c>
      <c r="BR65">
        <v>7104</v>
      </c>
      <c r="BS65">
        <v>919.13</v>
      </c>
      <c r="BT65">
        <v>-2.31</v>
      </c>
      <c r="BU65">
        <v>300.00000000000011</v>
      </c>
      <c r="BV65">
        <v>38.299999999999997</v>
      </c>
      <c r="BW65">
        <v>1010.875148526694</v>
      </c>
      <c r="BX65">
        <v>1.293949987618539</v>
      </c>
      <c r="BY65">
        <v>-65.173940895580799</v>
      </c>
      <c r="BZ65">
        <v>0.77052855216539184</v>
      </c>
      <c r="CA65">
        <v>0.99610155727475169</v>
      </c>
      <c r="CB65">
        <v>-7.0047001112347124E-3</v>
      </c>
      <c r="CC65">
        <v>289.99999999999989</v>
      </c>
      <c r="CD65">
        <v>923.99</v>
      </c>
      <c r="CE65">
        <v>795</v>
      </c>
      <c r="CF65">
        <v>7096.24</v>
      </c>
      <c r="CG65">
        <v>919.03</v>
      </c>
      <c r="CH65">
        <v>4.96</v>
      </c>
      <c r="CV65">
        <f t="shared" si="88"/>
        <v>1799.93</v>
      </c>
      <c r="CW65">
        <f t="shared" si="89"/>
        <v>1513.1261996510698</v>
      </c>
      <c r="CX65">
        <f t="shared" si="90"/>
        <v>0.8406583587423232</v>
      </c>
      <c r="CY65">
        <f t="shared" si="91"/>
        <v>0.19131671748464649</v>
      </c>
      <c r="CZ65">
        <v>5.9</v>
      </c>
      <c r="DA65">
        <v>0.5</v>
      </c>
      <c r="DB65" t="s">
        <v>418</v>
      </c>
      <c r="DC65">
        <v>2</v>
      </c>
      <c r="DD65">
        <v>1700157940.5</v>
      </c>
      <c r="DE65">
        <v>452.12299999999999</v>
      </c>
      <c r="DF65">
        <v>499.99900000000002</v>
      </c>
      <c r="DG65">
        <v>27.782800000000002</v>
      </c>
      <c r="DH65">
        <v>23.959499999999998</v>
      </c>
      <c r="DI65">
        <v>452.62799999999999</v>
      </c>
      <c r="DJ65">
        <v>27.782800000000002</v>
      </c>
      <c r="DK65">
        <v>500.19299999999998</v>
      </c>
      <c r="DL65">
        <v>99.105800000000002</v>
      </c>
      <c r="DM65">
        <v>9.96784E-2</v>
      </c>
      <c r="DN65">
        <v>29.959499999999998</v>
      </c>
      <c r="DO65">
        <v>29.961099999999998</v>
      </c>
      <c r="DP65">
        <v>999.9</v>
      </c>
      <c r="DQ65">
        <v>0</v>
      </c>
      <c r="DR65">
        <v>0</v>
      </c>
      <c r="DS65">
        <v>10030</v>
      </c>
      <c r="DT65">
        <v>0</v>
      </c>
      <c r="DU65">
        <v>189.613</v>
      </c>
      <c r="DV65">
        <v>-47.875999999999998</v>
      </c>
      <c r="DW65">
        <v>465.04399999999998</v>
      </c>
      <c r="DX65">
        <v>512.27300000000002</v>
      </c>
      <c r="DY65">
        <v>3.8232300000000001</v>
      </c>
      <c r="DZ65">
        <v>499.99900000000002</v>
      </c>
      <c r="EA65">
        <v>23.959499999999998</v>
      </c>
      <c r="EB65">
        <v>2.7534299999999998</v>
      </c>
      <c r="EC65">
        <v>2.37453</v>
      </c>
      <c r="ED65">
        <v>22.607500000000002</v>
      </c>
      <c r="EE65">
        <v>20.191099999999999</v>
      </c>
      <c r="EF65">
        <v>1799.93</v>
      </c>
      <c r="EG65">
        <v>0.977993</v>
      </c>
      <c r="EH65">
        <v>2.2007200000000001E-2</v>
      </c>
      <c r="EI65">
        <v>0</v>
      </c>
      <c r="EJ65">
        <v>694.84299999999996</v>
      </c>
      <c r="EK65">
        <v>5.0005300000000004</v>
      </c>
      <c r="EL65">
        <v>13700.6</v>
      </c>
      <c r="EM65">
        <v>16034.6</v>
      </c>
      <c r="EN65">
        <v>48.75</v>
      </c>
      <c r="EO65">
        <v>50</v>
      </c>
      <c r="EP65">
        <v>49.375</v>
      </c>
      <c r="EQ65">
        <v>49.5</v>
      </c>
      <c r="ER65">
        <v>49.875</v>
      </c>
      <c r="ES65">
        <v>1755.43</v>
      </c>
      <c r="ET65">
        <v>39.5</v>
      </c>
      <c r="EU65">
        <v>0</v>
      </c>
      <c r="EV65">
        <v>170.5999999046326</v>
      </c>
      <c r="EW65">
        <v>0</v>
      </c>
      <c r="EX65">
        <v>694.75012000000004</v>
      </c>
      <c r="EY65">
        <v>0.57884616598276328</v>
      </c>
      <c r="EZ65">
        <v>-81.976923360504358</v>
      </c>
      <c r="FA65">
        <v>13707.284</v>
      </c>
      <c r="FB65">
        <v>15</v>
      </c>
      <c r="FC65">
        <v>1700157880.5</v>
      </c>
      <c r="FD65" t="s">
        <v>625</v>
      </c>
      <c r="FE65">
        <v>1700157880.5</v>
      </c>
      <c r="FF65">
        <v>1700157878.5</v>
      </c>
      <c r="FG65">
        <v>54</v>
      </c>
      <c r="FH65">
        <v>1.2E-2</v>
      </c>
      <c r="FI65">
        <v>1E-3</v>
      </c>
      <c r="FJ65">
        <v>-0.51300000000000001</v>
      </c>
      <c r="FK65">
        <v>0</v>
      </c>
      <c r="FL65">
        <v>500</v>
      </c>
      <c r="FM65">
        <v>25</v>
      </c>
      <c r="FN65">
        <v>0.06</v>
      </c>
      <c r="FO65">
        <v>0.03</v>
      </c>
      <c r="FP65">
        <v>39.064286729342747</v>
      </c>
      <c r="FQ65">
        <v>0.55981709859475126</v>
      </c>
      <c r="FR65">
        <v>5.0249250746986253E-2</v>
      </c>
      <c r="FS65">
        <v>1</v>
      </c>
      <c r="FT65">
        <v>0.22437305726165571</v>
      </c>
      <c r="FU65">
        <v>-1.831545872561563E-2</v>
      </c>
      <c r="FV65">
        <v>1.478490680437992E-3</v>
      </c>
      <c r="FW65">
        <v>1</v>
      </c>
      <c r="FX65">
        <v>2</v>
      </c>
      <c r="FY65">
        <v>2</v>
      </c>
      <c r="FZ65" t="s">
        <v>420</v>
      </c>
      <c r="GA65">
        <v>3.12643</v>
      </c>
      <c r="GB65">
        <v>2.7668200000000001</v>
      </c>
      <c r="GC65">
        <v>9.7113400000000002E-2</v>
      </c>
      <c r="GD65">
        <v>0.104572</v>
      </c>
      <c r="GE65">
        <v>0.118344</v>
      </c>
      <c r="GF65">
        <v>0.106877</v>
      </c>
      <c r="GG65">
        <v>21469.200000000001</v>
      </c>
      <c r="GH65">
        <v>22166.2</v>
      </c>
      <c r="GI65">
        <v>23649.3</v>
      </c>
      <c r="GJ65">
        <v>25079.8</v>
      </c>
      <c r="GK65">
        <v>30033.4</v>
      </c>
      <c r="GL65">
        <v>31404.9</v>
      </c>
      <c r="GM65">
        <v>37705</v>
      </c>
      <c r="GN65">
        <v>39039.1</v>
      </c>
      <c r="GO65">
        <v>2.1392000000000002</v>
      </c>
      <c r="GP65">
        <v>1.7412000000000001</v>
      </c>
      <c r="GQ65">
        <v>6.0126199999999998E-3</v>
      </c>
      <c r="GR65">
        <v>0</v>
      </c>
      <c r="GS65">
        <v>29.863299999999999</v>
      </c>
      <c r="GT65">
        <v>999.9</v>
      </c>
      <c r="GU65">
        <v>39</v>
      </c>
      <c r="GV65">
        <v>40.5</v>
      </c>
      <c r="GW65">
        <v>29.962700000000002</v>
      </c>
      <c r="GX65">
        <v>60.443800000000003</v>
      </c>
      <c r="GY65">
        <v>27.159500000000001</v>
      </c>
      <c r="GZ65">
        <v>1</v>
      </c>
      <c r="HA65">
        <v>0.69381099999999996</v>
      </c>
      <c r="HB65">
        <v>2.3013300000000001</v>
      </c>
      <c r="HC65">
        <v>20.304200000000002</v>
      </c>
      <c r="HD65">
        <v>5.2518799999999999</v>
      </c>
      <c r="HE65">
        <v>12.0099</v>
      </c>
      <c r="HF65">
        <v>4.9791499999999997</v>
      </c>
      <c r="HG65">
        <v>3.2930000000000001</v>
      </c>
      <c r="HH65">
        <v>9999</v>
      </c>
      <c r="HI65">
        <v>9999</v>
      </c>
      <c r="HJ65">
        <v>9999</v>
      </c>
      <c r="HK65">
        <v>999.9</v>
      </c>
      <c r="HL65">
        <v>1.8760699999999999</v>
      </c>
      <c r="HM65">
        <v>1.8769400000000001</v>
      </c>
      <c r="HN65">
        <v>1.8831500000000001</v>
      </c>
      <c r="HO65">
        <v>1.88629</v>
      </c>
      <c r="HP65">
        <v>1.8771100000000001</v>
      </c>
      <c r="HQ65">
        <v>1.8836200000000001</v>
      </c>
      <c r="HR65">
        <v>1.8825700000000001</v>
      </c>
      <c r="HS65">
        <v>1.8859900000000001</v>
      </c>
      <c r="HT65">
        <v>5</v>
      </c>
      <c r="HU65">
        <v>0</v>
      </c>
      <c r="HV65">
        <v>0</v>
      </c>
      <c r="HW65">
        <v>0</v>
      </c>
      <c r="HX65" t="s">
        <v>421</v>
      </c>
      <c r="HY65" t="s">
        <v>422</v>
      </c>
      <c r="HZ65" t="s">
        <v>423</v>
      </c>
      <c r="IA65" t="s">
        <v>424</v>
      </c>
      <c r="IB65" t="s">
        <v>424</v>
      </c>
      <c r="IC65" t="s">
        <v>423</v>
      </c>
      <c r="ID65">
        <v>0</v>
      </c>
      <c r="IE65">
        <v>100</v>
      </c>
      <c r="IF65">
        <v>100</v>
      </c>
      <c r="IG65">
        <v>-0.505</v>
      </c>
      <c r="IH65">
        <v>0</v>
      </c>
      <c r="II65">
        <v>-0.47856765880674568</v>
      </c>
      <c r="IJ65">
        <v>4.4610147972834149E-5</v>
      </c>
      <c r="IK65">
        <v>-2.082673137682459E-7</v>
      </c>
      <c r="IL65">
        <v>-4.0725795306076518E-11</v>
      </c>
      <c r="IM65">
        <v>-3.0000000002416979E-5</v>
      </c>
      <c r="IN65">
        <v>0</v>
      </c>
      <c r="IO65">
        <v>0</v>
      </c>
      <c r="IP65">
        <v>0</v>
      </c>
      <c r="IQ65">
        <v>3</v>
      </c>
      <c r="IR65">
        <v>2179</v>
      </c>
      <c r="IS65">
        <v>0</v>
      </c>
      <c r="IT65">
        <v>22</v>
      </c>
      <c r="IU65">
        <v>1</v>
      </c>
      <c r="IV65">
        <v>1</v>
      </c>
      <c r="IW65">
        <v>1.22559</v>
      </c>
      <c r="IX65">
        <v>2.68066</v>
      </c>
      <c r="IY65">
        <v>1.6015600000000001</v>
      </c>
      <c r="IZ65">
        <v>2.32178</v>
      </c>
      <c r="JA65">
        <v>1.5502899999999999</v>
      </c>
      <c r="JB65">
        <v>2.4011200000000001</v>
      </c>
      <c r="JC65">
        <v>44.223199999999999</v>
      </c>
      <c r="JD65">
        <v>24.2013</v>
      </c>
      <c r="JE65">
        <v>18</v>
      </c>
      <c r="JF65">
        <v>616.67100000000005</v>
      </c>
      <c r="JG65">
        <v>386.98</v>
      </c>
      <c r="JH65">
        <v>27.2516</v>
      </c>
      <c r="JI65">
        <v>35.553100000000001</v>
      </c>
      <c r="JJ65">
        <v>29.9998</v>
      </c>
      <c r="JK65">
        <v>35.5779</v>
      </c>
      <c r="JL65">
        <v>35.569800000000001</v>
      </c>
      <c r="JM65">
        <v>24.518999999999998</v>
      </c>
      <c r="JN65">
        <v>26.977900000000002</v>
      </c>
      <c r="JO65">
        <v>50.359699999999997</v>
      </c>
      <c r="JP65">
        <v>27.283300000000001</v>
      </c>
      <c r="JQ65">
        <v>500</v>
      </c>
      <c r="JR65">
        <v>24.054300000000001</v>
      </c>
      <c r="JS65">
        <v>98.337000000000003</v>
      </c>
      <c r="JT65">
        <v>98.786500000000004</v>
      </c>
    </row>
    <row r="66" spans="1:280" x14ac:dyDescent="0.25">
      <c r="A66">
        <v>50</v>
      </c>
      <c r="B66">
        <v>1700158133</v>
      </c>
      <c r="C66">
        <v>10259.5</v>
      </c>
      <c r="D66" t="s">
        <v>626</v>
      </c>
      <c r="E66" t="s">
        <v>627</v>
      </c>
      <c r="F66" t="s">
        <v>412</v>
      </c>
      <c r="G66" t="s">
        <v>598</v>
      </c>
      <c r="H66" t="s">
        <v>413</v>
      </c>
      <c r="I66">
        <v>1700158133</v>
      </c>
      <c r="J66">
        <f t="shared" si="46"/>
        <v>3.4563580851915627E-3</v>
      </c>
      <c r="K66">
        <f t="shared" si="47"/>
        <v>3.4563580851915625</v>
      </c>
      <c r="L66">
        <f t="shared" si="48"/>
        <v>34.479151206297622</v>
      </c>
      <c r="M66">
        <f t="shared" si="49"/>
        <v>357.827</v>
      </c>
      <c r="N66">
        <f t="shared" si="50"/>
        <v>104.92670519465507</v>
      </c>
      <c r="O66">
        <f t="shared" si="51"/>
        <v>10.408594639273725</v>
      </c>
      <c r="P66">
        <f t="shared" si="52"/>
        <v>35.495979665785995</v>
      </c>
      <c r="Q66">
        <f t="shared" si="53"/>
        <v>0.23156548153729911</v>
      </c>
      <c r="R66">
        <f t="shared" si="54"/>
        <v>2.9288012595542878</v>
      </c>
      <c r="S66">
        <f t="shared" si="55"/>
        <v>0.22185364912544955</v>
      </c>
      <c r="T66">
        <f t="shared" si="56"/>
        <v>0.13949715831154882</v>
      </c>
      <c r="U66">
        <f t="shared" si="57"/>
        <v>344.36239930215135</v>
      </c>
      <c r="V66">
        <f t="shared" si="58"/>
        <v>31.285183240326703</v>
      </c>
      <c r="W66">
        <f t="shared" si="59"/>
        <v>30.022200000000002</v>
      </c>
      <c r="X66">
        <f t="shared" si="60"/>
        <v>4.2658855037314201</v>
      </c>
      <c r="Y66">
        <f t="shared" si="61"/>
        <v>64.561468020209574</v>
      </c>
      <c r="Z66">
        <f t="shared" si="62"/>
        <v>2.7752726136142001</v>
      </c>
      <c r="AA66">
        <f t="shared" si="63"/>
        <v>4.2986516551102287</v>
      </c>
      <c r="AB66">
        <f t="shared" si="64"/>
        <v>1.49061289011722</v>
      </c>
      <c r="AC66">
        <f t="shared" si="65"/>
        <v>-152.42539155694791</v>
      </c>
      <c r="AD66">
        <f t="shared" si="66"/>
        <v>21.047741216228353</v>
      </c>
      <c r="AE66">
        <f t="shared" si="67"/>
        <v>1.5993249087616783</v>
      </c>
      <c r="AF66">
        <f t="shared" si="68"/>
        <v>214.58407387019346</v>
      </c>
      <c r="AG66">
        <v>0</v>
      </c>
      <c r="AH66">
        <v>0</v>
      </c>
      <c r="AI66">
        <f t="shared" si="69"/>
        <v>1</v>
      </c>
      <c r="AJ66">
        <f t="shared" si="70"/>
        <v>0</v>
      </c>
      <c r="AK66">
        <f t="shared" si="71"/>
        <v>51777.611475922888</v>
      </c>
      <c r="AL66" t="s">
        <v>415</v>
      </c>
      <c r="AM66">
        <v>6977.87</v>
      </c>
      <c r="AN66">
        <v>273.15280000000001</v>
      </c>
      <c r="AO66">
        <v>850.46774885301022</v>
      </c>
      <c r="AP66">
        <f t="shared" si="72"/>
        <v>0.67882050745793765</v>
      </c>
      <c r="AQ66">
        <v>-1.0323826813720729</v>
      </c>
      <c r="AR66" t="s">
        <v>628</v>
      </c>
      <c r="AS66">
        <v>7103.93</v>
      </c>
      <c r="AT66">
        <v>699.56653846153847</v>
      </c>
      <c r="AU66">
        <v>967.47519569552639</v>
      </c>
      <c r="AV66">
        <f t="shared" si="73"/>
        <v>0.27691527227360702</v>
      </c>
      <c r="AW66">
        <v>0.5</v>
      </c>
      <c r="AX66">
        <f t="shared" si="74"/>
        <v>1513.1513996510757</v>
      </c>
      <c r="AY66">
        <f t="shared" si="75"/>
        <v>34.479151206297622</v>
      </c>
      <c r="AZ66">
        <f t="shared" si="76"/>
        <v>209.5073659127836</v>
      </c>
      <c r="BA66">
        <f t="shared" si="77"/>
        <v>2.3468592697239981E-2</v>
      </c>
      <c r="BB66">
        <f t="shared" si="78"/>
        <v>-0.12094103018155261</v>
      </c>
      <c r="BC66">
        <f t="shared" si="79"/>
        <v>284.19188675790787</v>
      </c>
      <c r="BD66" t="s">
        <v>629</v>
      </c>
      <c r="BE66">
        <v>494.99</v>
      </c>
      <c r="BF66">
        <f t="shared" si="80"/>
        <v>494.99</v>
      </c>
      <c r="BG66">
        <f t="shared" si="81"/>
        <v>0.48836931199652378</v>
      </c>
      <c r="BH66">
        <f t="shared" si="82"/>
        <v>0.56702021497120225</v>
      </c>
      <c r="BI66">
        <f t="shared" si="83"/>
        <v>-0.3291554737815634</v>
      </c>
      <c r="BJ66">
        <f t="shared" si="84"/>
        <v>0.38585628073485184</v>
      </c>
      <c r="BK66">
        <f t="shared" si="85"/>
        <v>-0.20267524178090762</v>
      </c>
      <c r="BL66">
        <f t="shared" si="86"/>
        <v>0.40120463283711838</v>
      </c>
      <c r="BM66">
        <f t="shared" si="87"/>
        <v>0.59879536716288162</v>
      </c>
      <c r="BN66">
        <v>11306</v>
      </c>
      <c r="BO66">
        <v>290.00000000000011</v>
      </c>
      <c r="BP66">
        <v>890.13</v>
      </c>
      <c r="BQ66">
        <v>295</v>
      </c>
      <c r="BR66">
        <v>7103.93</v>
      </c>
      <c r="BS66">
        <v>891.95</v>
      </c>
      <c r="BT66">
        <v>-1.82</v>
      </c>
      <c r="BU66">
        <v>300.00000000000011</v>
      </c>
      <c r="BV66">
        <v>38.299999999999997</v>
      </c>
      <c r="BW66">
        <v>967.47519569552639</v>
      </c>
      <c r="BX66">
        <v>0.93342496398900709</v>
      </c>
      <c r="BY66">
        <v>-53.649303948731131</v>
      </c>
      <c r="BZ66">
        <v>0.5558347574067658</v>
      </c>
      <c r="CA66">
        <v>0.99700347489278174</v>
      </c>
      <c r="CB66">
        <v>-7.0045339265850963E-3</v>
      </c>
      <c r="CC66">
        <v>289.99999999999989</v>
      </c>
      <c r="CD66">
        <v>898.87</v>
      </c>
      <c r="CE66">
        <v>865</v>
      </c>
      <c r="CF66">
        <v>7094.92</v>
      </c>
      <c r="CG66">
        <v>891.86</v>
      </c>
      <c r="CH66">
        <v>7.01</v>
      </c>
      <c r="CV66">
        <f t="shared" si="88"/>
        <v>1799.96</v>
      </c>
      <c r="CW66">
        <f t="shared" si="89"/>
        <v>1513.1513996510757</v>
      </c>
      <c r="CX66">
        <f t="shared" si="90"/>
        <v>0.84065834776943693</v>
      </c>
      <c r="CY66">
        <f t="shared" si="91"/>
        <v>0.19131669553887384</v>
      </c>
      <c r="CZ66">
        <v>5.9</v>
      </c>
      <c r="DA66">
        <v>0.5</v>
      </c>
      <c r="DB66" t="s">
        <v>418</v>
      </c>
      <c r="DC66">
        <v>2</v>
      </c>
      <c r="DD66">
        <v>1700158133</v>
      </c>
      <c r="DE66">
        <v>357.827</v>
      </c>
      <c r="DF66">
        <v>399.97500000000002</v>
      </c>
      <c r="DG66">
        <v>27.976900000000001</v>
      </c>
      <c r="DH66">
        <v>24.0122</v>
      </c>
      <c r="DI66">
        <v>358.35599999999999</v>
      </c>
      <c r="DJ66">
        <v>27.978300000000001</v>
      </c>
      <c r="DK66">
        <v>499.96199999999999</v>
      </c>
      <c r="DL66">
        <v>99.099000000000004</v>
      </c>
      <c r="DM66">
        <v>9.9718000000000001E-2</v>
      </c>
      <c r="DN66">
        <v>30.1555</v>
      </c>
      <c r="DO66">
        <v>30.022200000000002</v>
      </c>
      <c r="DP66">
        <v>999.9</v>
      </c>
      <c r="DQ66">
        <v>0</v>
      </c>
      <c r="DR66">
        <v>0</v>
      </c>
      <c r="DS66">
        <v>9984.3799999999992</v>
      </c>
      <c r="DT66">
        <v>0</v>
      </c>
      <c r="DU66">
        <v>180.072</v>
      </c>
      <c r="DV66">
        <v>-42.147199999999998</v>
      </c>
      <c r="DW66">
        <v>368.12599999999998</v>
      </c>
      <c r="DX66">
        <v>409.815</v>
      </c>
      <c r="DY66">
        <v>3.9647700000000001</v>
      </c>
      <c r="DZ66">
        <v>399.97500000000002</v>
      </c>
      <c r="EA66">
        <v>24.0122</v>
      </c>
      <c r="EB66">
        <v>2.7724799999999998</v>
      </c>
      <c r="EC66">
        <v>2.3795799999999998</v>
      </c>
      <c r="ED66">
        <v>22.7212</v>
      </c>
      <c r="EE66">
        <v>20.2255</v>
      </c>
      <c r="EF66">
        <v>1799.96</v>
      </c>
      <c r="EG66">
        <v>0.977993</v>
      </c>
      <c r="EH66">
        <v>2.2007200000000001E-2</v>
      </c>
      <c r="EI66">
        <v>0</v>
      </c>
      <c r="EJ66">
        <v>699.34100000000001</v>
      </c>
      <c r="EK66">
        <v>5.0005300000000004</v>
      </c>
      <c r="EL66">
        <v>13764.4</v>
      </c>
      <c r="EM66">
        <v>16034.9</v>
      </c>
      <c r="EN66">
        <v>48.561999999999998</v>
      </c>
      <c r="EO66">
        <v>49.686999999999998</v>
      </c>
      <c r="EP66">
        <v>49.125</v>
      </c>
      <c r="EQ66">
        <v>49.186999999999998</v>
      </c>
      <c r="ER66">
        <v>49.75</v>
      </c>
      <c r="ES66">
        <v>1755.46</v>
      </c>
      <c r="ET66">
        <v>39.5</v>
      </c>
      <c r="EU66">
        <v>0</v>
      </c>
      <c r="EV66">
        <v>363.20000004768372</v>
      </c>
      <c r="EW66">
        <v>0</v>
      </c>
      <c r="EX66">
        <v>699.56653846153847</v>
      </c>
      <c r="EY66">
        <v>0.40806837215191399</v>
      </c>
      <c r="EZ66">
        <v>145.73333351444839</v>
      </c>
      <c r="FA66">
        <v>13749.00384615385</v>
      </c>
      <c r="FB66">
        <v>15</v>
      </c>
      <c r="FC66">
        <v>1700158051.5</v>
      </c>
      <c r="FD66" t="s">
        <v>630</v>
      </c>
      <c r="FE66">
        <v>1700158051.5</v>
      </c>
      <c r="FF66">
        <v>1700158047</v>
      </c>
      <c r="FG66">
        <v>55</v>
      </c>
      <c r="FH66">
        <v>-3.6999999999999998E-2</v>
      </c>
      <c r="FI66">
        <v>-1E-3</v>
      </c>
      <c r="FJ66">
        <v>-0.53400000000000003</v>
      </c>
      <c r="FK66">
        <v>-1E-3</v>
      </c>
      <c r="FL66">
        <v>400</v>
      </c>
      <c r="FM66">
        <v>24</v>
      </c>
      <c r="FN66">
        <v>0.06</v>
      </c>
      <c r="FO66">
        <v>0.03</v>
      </c>
      <c r="FP66">
        <v>34.412894192405894</v>
      </c>
      <c r="FQ66">
        <v>0.67971161295784654</v>
      </c>
      <c r="FR66">
        <v>5.5051347574169178E-2</v>
      </c>
      <c r="FS66">
        <v>1</v>
      </c>
      <c r="FT66">
        <v>0.23442436052075169</v>
      </c>
      <c r="FU66">
        <v>-1.7089402674058541E-4</v>
      </c>
      <c r="FV66">
        <v>4.2540529194403791E-4</v>
      </c>
      <c r="FW66">
        <v>1</v>
      </c>
      <c r="FX66">
        <v>2</v>
      </c>
      <c r="FY66">
        <v>2</v>
      </c>
      <c r="FZ66" t="s">
        <v>420</v>
      </c>
      <c r="GA66">
        <v>3.1255299999999999</v>
      </c>
      <c r="GB66">
        <v>2.7664499999999999</v>
      </c>
      <c r="GC66">
        <v>8.1186499999999995E-2</v>
      </c>
      <c r="GD66">
        <v>8.8505100000000003E-2</v>
      </c>
      <c r="GE66">
        <v>0.118933</v>
      </c>
      <c r="GF66">
        <v>0.107054</v>
      </c>
      <c r="GG66">
        <v>21854.799999999999</v>
      </c>
      <c r="GH66">
        <v>22572.400000000001</v>
      </c>
      <c r="GI66">
        <v>23656.400000000001</v>
      </c>
      <c r="GJ66">
        <v>25088.6</v>
      </c>
      <c r="GK66">
        <v>30022.3</v>
      </c>
      <c r="GL66">
        <v>31410</v>
      </c>
      <c r="GM66">
        <v>37716</v>
      </c>
      <c r="GN66">
        <v>39053.1</v>
      </c>
      <c r="GO66">
        <v>2.1394299999999999</v>
      </c>
      <c r="GP66">
        <v>1.7436700000000001</v>
      </c>
      <c r="GQ66">
        <v>2.5339400000000002E-2</v>
      </c>
      <c r="GR66">
        <v>0</v>
      </c>
      <c r="GS66">
        <v>29.6097</v>
      </c>
      <c r="GT66">
        <v>999.9</v>
      </c>
      <c r="GU66">
        <v>38.799999999999997</v>
      </c>
      <c r="GV66">
        <v>40.4</v>
      </c>
      <c r="GW66">
        <v>29.650500000000001</v>
      </c>
      <c r="GX66">
        <v>60.823700000000002</v>
      </c>
      <c r="GY66">
        <v>27.1434</v>
      </c>
      <c r="GZ66">
        <v>1</v>
      </c>
      <c r="HA66">
        <v>0.68396599999999996</v>
      </c>
      <c r="HB66">
        <v>3.3569499999999999</v>
      </c>
      <c r="HC66">
        <v>20.283899999999999</v>
      </c>
      <c r="HD66">
        <v>5.2479899999999997</v>
      </c>
      <c r="HE66">
        <v>12.0099</v>
      </c>
      <c r="HF66">
        <v>4.97715</v>
      </c>
      <c r="HG66">
        <v>3.2924000000000002</v>
      </c>
      <c r="HH66">
        <v>9999</v>
      </c>
      <c r="HI66">
        <v>9999</v>
      </c>
      <c r="HJ66">
        <v>9999</v>
      </c>
      <c r="HK66">
        <v>999.9</v>
      </c>
      <c r="HL66">
        <v>1.8760699999999999</v>
      </c>
      <c r="HM66">
        <v>1.87693</v>
      </c>
      <c r="HN66">
        <v>1.88314</v>
      </c>
      <c r="HO66">
        <v>1.88629</v>
      </c>
      <c r="HP66">
        <v>1.8770899999999999</v>
      </c>
      <c r="HQ66">
        <v>1.88358</v>
      </c>
      <c r="HR66">
        <v>1.8825400000000001</v>
      </c>
      <c r="HS66">
        <v>1.8859900000000001</v>
      </c>
      <c r="HT66">
        <v>5</v>
      </c>
      <c r="HU66">
        <v>0</v>
      </c>
      <c r="HV66">
        <v>0</v>
      </c>
      <c r="HW66">
        <v>0</v>
      </c>
      <c r="HX66" t="s">
        <v>421</v>
      </c>
      <c r="HY66" t="s">
        <v>422</v>
      </c>
      <c r="HZ66" t="s">
        <v>423</v>
      </c>
      <c r="IA66" t="s">
        <v>424</v>
      </c>
      <c r="IB66" t="s">
        <v>424</v>
      </c>
      <c r="IC66" t="s">
        <v>423</v>
      </c>
      <c r="ID66">
        <v>0</v>
      </c>
      <c r="IE66">
        <v>100</v>
      </c>
      <c r="IF66">
        <v>100</v>
      </c>
      <c r="IG66">
        <v>-0.52900000000000003</v>
      </c>
      <c r="IH66">
        <v>-1.4E-3</v>
      </c>
      <c r="II66">
        <v>-0.51607297562063847</v>
      </c>
      <c r="IJ66">
        <v>4.4610147972834149E-5</v>
      </c>
      <c r="IK66">
        <v>-2.082673137682459E-7</v>
      </c>
      <c r="IL66">
        <v>-4.0725795306076518E-11</v>
      </c>
      <c r="IM66">
        <v>-1.3300000000029399E-3</v>
      </c>
      <c r="IN66">
        <v>0</v>
      </c>
      <c r="IO66">
        <v>0</v>
      </c>
      <c r="IP66">
        <v>0</v>
      </c>
      <c r="IQ66">
        <v>3</v>
      </c>
      <c r="IR66">
        <v>2179</v>
      </c>
      <c r="IS66">
        <v>0</v>
      </c>
      <c r="IT66">
        <v>22</v>
      </c>
      <c r="IU66">
        <v>1.4</v>
      </c>
      <c r="IV66">
        <v>1.4</v>
      </c>
      <c r="IW66">
        <v>1.02417</v>
      </c>
      <c r="IX66">
        <v>2.68188</v>
      </c>
      <c r="IY66">
        <v>1.6015600000000001</v>
      </c>
      <c r="IZ66">
        <v>2.32422</v>
      </c>
      <c r="JA66">
        <v>1.5502899999999999</v>
      </c>
      <c r="JB66">
        <v>2.4584999999999999</v>
      </c>
      <c r="JC66">
        <v>44.112400000000001</v>
      </c>
      <c r="JD66">
        <v>24.2013</v>
      </c>
      <c r="JE66">
        <v>18</v>
      </c>
      <c r="JF66">
        <v>616.13800000000003</v>
      </c>
      <c r="JG66">
        <v>388.05700000000002</v>
      </c>
      <c r="JH66">
        <v>27.502300000000002</v>
      </c>
      <c r="JI66">
        <v>35.434600000000003</v>
      </c>
      <c r="JJ66">
        <v>30.0014</v>
      </c>
      <c r="JK66">
        <v>35.500900000000001</v>
      </c>
      <c r="JL66">
        <v>35.4938</v>
      </c>
      <c r="JM66">
        <v>20.491399999999999</v>
      </c>
      <c r="JN66">
        <v>25.480799999999999</v>
      </c>
      <c r="JO66">
        <v>49.698</v>
      </c>
      <c r="JP66">
        <v>27.2088</v>
      </c>
      <c r="JQ66">
        <v>400</v>
      </c>
      <c r="JR66">
        <v>24.096499999999999</v>
      </c>
      <c r="JS66">
        <v>98.366200000000006</v>
      </c>
      <c r="JT66">
        <v>98.821399999999997</v>
      </c>
    </row>
    <row r="67" spans="1:280" x14ac:dyDescent="0.25">
      <c r="A67">
        <v>51</v>
      </c>
      <c r="B67">
        <v>1700158365</v>
      </c>
      <c r="C67">
        <v>10491.5</v>
      </c>
      <c r="D67" t="s">
        <v>631</v>
      </c>
      <c r="E67" t="s">
        <v>632</v>
      </c>
      <c r="F67" t="s">
        <v>412</v>
      </c>
      <c r="G67" t="s">
        <v>598</v>
      </c>
      <c r="H67" t="s">
        <v>413</v>
      </c>
      <c r="I67">
        <v>1700158365</v>
      </c>
      <c r="J67">
        <f t="shared" si="46"/>
        <v>4.8162515745221422E-3</v>
      </c>
      <c r="K67">
        <f t="shared" si="47"/>
        <v>4.8162515745221421</v>
      </c>
      <c r="L67">
        <f t="shared" si="48"/>
        <v>33.781628686896312</v>
      </c>
      <c r="M67">
        <f t="shared" si="49"/>
        <v>258.60000000000002</v>
      </c>
      <c r="N67">
        <f t="shared" si="50"/>
        <v>87.372064773835362</v>
      </c>
      <c r="O67">
        <f t="shared" si="51"/>
        <v>8.6663519703970984</v>
      </c>
      <c r="P67">
        <f t="shared" si="52"/>
        <v>25.650287942100004</v>
      </c>
      <c r="Q67">
        <f t="shared" si="53"/>
        <v>0.34129436844711825</v>
      </c>
      <c r="R67">
        <f t="shared" si="54"/>
        <v>2.930286962868633</v>
      </c>
      <c r="S67">
        <f t="shared" si="55"/>
        <v>0.32064851054629956</v>
      </c>
      <c r="T67">
        <f t="shared" si="56"/>
        <v>0.20215610783386234</v>
      </c>
      <c r="U67">
        <f t="shared" si="57"/>
        <v>344.37439930199798</v>
      </c>
      <c r="V67">
        <f t="shared" si="58"/>
        <v>31.247643304152639</v>
      </c>
      <c r="W67">
        <f t="shared" si="59"/>
        <v>30.0151</v>
      </c>
      <c r="X67">
        <f t="shared" si="60"/>
        <v>4.2641463921126581</v>
      </c>
      <c r="Y67">
        <f t="shared" si="61"/>
        <v>64.597591237455447</v>
      </c>
      <c r="Z67">
        <f t="shared" si="62"/>
        <v>2.8275524488749499</v>
      </c>
      <c r="AA67">
        <f t="shared" si="63"/>
        <v>4.3771793881308962</v>
      </c>
      <c r="AB67">
        <f t="shared" si="64"/>
        <v>1.4365939432377082</v>
      </c>
      <c r="AC67">
        <f t="shared" si="65"/>
        <v>-212.39669443642649</v>
      </c>
      <c r="AD67">
        <f t="shared" si="66"/>
        <v>72.085192907653706</v>
      </c>
      <c r="AE67">
        <f t="shared" si="67"/>
        <v>5.4830321623092289</v>
      </c>
      <c r="AF67">
        <f t="shared" si="68"/>
        <v>209.54592993553439</v>
      </c>
      <c r="AG67">
        <v>0</v>
      </c>
      <c r="AH67">
        <v>0</v>
      </c>
      <c r="AI67">
        <f t="shared" si="69"/>
        <v>1</v>
      </c>
      <c r="AJ67">
        <f t="shared" si="70"/>
        <v>0</v>
      </c>
      <c r="AK67">
        <f t="shared" si="71"/>
        <v>51765.267034424949</v>
      </c>
      <c r="AL67" t="s">
        <v>415</v>
      </c>
      <c r="AM67">
        <v>6977.87</v>
      </c>
      <c r="AN67">
        <v>273.15280000000001</v>
      </c>
      <c r="AO67">
        <v>850.46774885301022</v>
      </c>
      <c r="AP67">
        <f t="shared" si="72"/>
        <v>0.67882050745793765</v>
      </c>
      <c r="AQ67">
        <v>-1.0323826813720729</v>
      </c>
      <c r="AR67" t="s">
        <v>633</v>
      </c>
      <c r="AS67">
        <v>7105.77</v>
      </c>
      <c r="AT67">
        <v>699.27491999999995</v>
      </c>
      <c r="AU67">
        <v>959.72165175056307</v>
      </c>
      <c r="AV67">
        <f t="shared" si="73"/>
        <v>0.27137736371321819</v>
      </c>
      <c r="AW67">
        <v>0.5</v>
      </c>
      <c r="AX67">
        <f t="shared" si="74"/>
        <v>1513.2020996509989</v>
      </c>
      <c r="AY67">
        <f t="shared" si="75"/>
        <v>33.781628686896312</v>
      </c>
      <c r="AZ67">
        <f t="shared" si="76"/>
        <v>205.32439828429727</v>
      </c>
      <c r="BA67">
        <f t="shared" si="77"/>
        <v>2.300684844165746E-2</v>
      </c>
      <c r="BB67">
        <f t="shared" si="78"/>
        <v>-0.11383915607016912</v>
      </c>
      <c r="BC67">
        <f t="shared" si="79"/>
        <v>283.51905103333962</v>
      </c>
      <c r="BD67" t="s">
        <v>634</v>
      </c>
      <c r="BE67">
        <v>497.79</v>
      </c>
      <c r="BF67">
        <f t="shared" si="80"/>
        <v>497.79</v>
      </c>
      <c r="BG67">
        <f t="shared" si="81"/>
        <v>0.48131836028496899</v>
      </c>
      <c r="BH67">
        <f t="shared" si="82"/>
        <v>0.56382092624213787</v>
      </c>
      <c r="BI67">
        <f t="shared" si="83"/>
        <v>-0.30978394087200528</v>
      </c>
      <c r="BJ67">
        <f t="shared" si="84"/>
        <v>0.37934539425506286</v>
      </c>
      <c r="BK67">
        <f t="shared" si="85"/>
        <v>-0.18924488810590268</v>
      </c>
      <c r="BL67">
        <f t="shared" si="86"/>
        <v>0.40136491506670058</v>
      </c>
      <c r="BM67">
        <f t="shared" si="87"/>
        <v>0.59863508493329942</v>
      </c>
      <c r="BN67">
        <v>11308</v>
      </c>
      <c r="BO67">
        <v>290.00000000000011</v>
      </c>
      <c r="BP67">
        <v>883.6</v>
      </c>
      <c r="BQ67">
        <v>275</v>
      </c>
      <c r="BR67">
        <v>7105.77</v>
      </c>
      <c r="BS67">
        <v>885.66</v>
      </c>
      <c r="BT67">
        <v>-2.06</v>
      </c>
      <c r="BU67">
        <v>300.00000000000011</v>
      </c>
      <c r="BV67">
        <v>38.299999999999997</v>
      </c>
      <c r="BW67">
        <v>959.72165175056307</v>
      </c>
      <c r="BX67">
        <v>1.2132234220172919</v>
      </c>
      <c r="BY67">
        <v>-52.623416532285717</v>
      </c>
      <c r="BZ67">
        <v>0.7225943515356501</v>
      </c>
      <c r="CA67">
        <v>0.99474827148318423</v>
      </c>
      <c r="CB67">
        <v>-7.0059753058954377E-3</v>
      </c>
      <c r="CC67">
        <v>289.99999999999989</v>
      </c>
      <c r="CD67">
        <v>892</v>
      </c>
      <c r="CE67">
        <v>895</v>
      </c>
      <c r="CF67">
        <v>7096.02</v>
      </c>
      <c r="CG67">
        <v>885.56</v>
      </c>
      <c r="CH67">
        <v>6.44</v>
      </c>
      <c r="CV67">
        <f t="shared" si="88"/>
        <v>1800.02</v>
      </c>
      <c r="CW67">
        <f t="shared" si="89"/>
        <v>1513.2020996509989</v>
      </c>
      <c r="CX67">
        <f t="shared" si="90"/>
        <v>0.84065849248952729</v>
      </c>
      <c r="CY67">
        <f t="shared" si="91"/>
        <v>0.19131698497905467</v>
      </c>
      <c r="CZ67">
        <v>5.9</v>
      </c>
      <c r="DA67">
        <v>0.5</v>
      </c>
      <c r="DB67" t="s">
        <v>418</v>
      </c>
      <c r="DC67">
        <v>2</v>
      </c>
      <c r="DD67">
        <v>1700158365</v>
      </c>
      <c r="DE67">
        <v>258.60000000000002</v>
      </c>
      <c r="DF67">
        <v>299.92099999999999</v>
      </c>
      <c r="DG67">
        <v>28.506699999999999</v>
      </c>
      <c r="DH67">
        <v>22.986999999999998</v>
      </c>
      <c r="DI67">
        <v>258.83300000000003</v>
      </c>
      <c r="DJ67">
        <v>28.5091</v>
      </c>
      <c r="DK67">
        <v>500.13299999999998</v>
      </c>
      <c r="DL67">
        <v>99.089399999999998</v>
      </c>
      <c r="DM67">
        <v>9.9648500000000001E-2</v>
      </c>
      <c r="DN67">
        <v>30.471399999999999</v>
      </c>
      <c r="DO67">
        <v>30.0151</v>
      </c>
      <c r="DP67">
        <v>999.9</v>
      </c>
      <c r="DQ67">
        <v>0</v>
      </c>
      <c r="DR67">
        <v>0</v>
      </c>
      <c r="DS67">
        <v>9993.75</v>
      </c>
      <c r="DT67">
        <v>0</v>
      </c>
      <c r="DU67">
        <v>231.91300000000001</v>
      </c>
      <c r="DV67">
        <v>-41.320399999999999</v>
      </c>
      <c r="DW67">
        <v>266.18799999999999</v>
      </c>
      <c r="DX67">
        <v>306.97699999999998</v>
      </c>
      <c r="DY67">
        <v>5.5196500000000004</v>
      </c>
      <c r="DZ67">
        <v>299.92099999999999</v>
      </c>
      <c r="EA67">
        <v>22.986999999999998</v>
      </c>
      <c r="EB67">
        <v>2.8247100000000001</v>
      </c>
      <c r="EC67">
        <v>2.2777699999999999</v>
      </c>
      <c r="ED67">
        <v>23.029199999999999</v>
      </c>
      <c r="EE67">
        <v>19.52</v>
      </c>
      <c r="EF67">
        <v>1800.02</v>
      </c>
      <c r="EG67">
        <v>0.977989</v>
      </c>
      <c r="EH67">
        <v>2.2010800000000001E-2</v>
      </c>
      <c r="EI67">
        <v>0</v>
      </c>
      <c r="EJ67">
        <v>699.13900000000001</v>
      </c>
      <c r="EK67">
        <v>5.0005300000000004</v>
      </c>
      <c r="EL67">
        <v>13800.2</v>
      </c>
      <c r="EM67">
        <v>16035.4</v>
      </c>
      <c r="EN67">
        <v>48.436999999999998</v>
      </c>
      <c r="EO67">
        <v>49.561999999999998</v>
      </c>
      <c r="EP67">
        <v>49</v>
      </c>
      <c r="EQ67">
        <v>49.061999999999998</v>
      </c>
      <c r="ER67">
        <v>49.625</v>
      </c>
      <c r="ES67">
        <v>1755.51</v>
      </c>
      <c r="ET67">
        <v>39.51</v>
      </c>
      <c r="EU67">
        <v>0</v>
      </c>
      <c r="EV67">
        <v>229.79999995231631</v>
      </c>
      <c r="EW67">
        <v>0</v>
      </c>
      <c r="EX67">
        <v>699.27491999999995</v>
      </c>
      <c r="EY67">
        <v>-1.6396153842168411</v>
      </c>
      <c r="EZ67">
        <v>-21.961538351528521</v>
      </c>
      <c r="FA67">
        <v>13803.3</v>
      </c>
      <c r="FB67">
        <v>15</v>
      </c>
      <c r="FC67">
        <v>1700158218</v>
      </c>
      <c r="FD67" t="s">
        <v>635</v>
      </c>
      <c r="FE67">
        <v>1700158211.5</v>
      </c>
      <c r="FF67">
        <v>1700158218</v>
      </c>
      <c r="FG67">
        <v>56</v>
      </c>
      <c r="FH67">
        <v>0.28599999999999998</v>
      </c>
      <c r="FI67">
        <v>-1E-3</v>
      </c>
      <c r="FJ67">
        <v>-0.23599999999999999</v>
      </c>
      <c r="FK67">
        <v>-2E-3</v>
      </c>
      <c r="FL67">
        <v>300</v>
      </c>
      <c r="FM67">
        <v>24</v>
      </c>
      <c r="FN67">
        <v>0.08</v>
      </c>
      <c r="FO67">
        <v>0.03</v>
      </c>
      <c r="FP67">
        <v>33.756249931379543</v>
      </c>
      <c r="FQ67">
        <v>0.46785610198438049</v>
      </c>
      <c r="FR67">
        <v>4.9825135422486393E-2</v>
      </c>
      <c r="FS67">
        <v>1</v>
      </c>
      <c r="FT67">
        <v>0.34697450200104352</v>
      </c>
      <c r="FU67">
        <v>-2.1391889883413551E-2</v>
      </c>
      <c r="FV67">
        <v>1.7749087528926E-3</v>
      </c>
      <c r="FW67">
        <v>1</v>
      </c>
      <c r="FX67">
        <v>2</v>
      </c>
      <c r="FY67">
        <v>2</v>
      </c>
      <c r="FZ67" t="s">
        <v>420</v>
      </c>
      <c r="GA67">
        <v>3.1255700000000002</v>
      </c>
      <c r="GB67">
        <v>2.76647</v>
      </c>
      <c r="GC67">
        <v>6.2270600000000002E-2</v>
      </c>
      <c r="GD67">
        <v>7.0472699999999999E-2</v>
      </c>
      <c r="GE67">
        <v>0.120513</v>
      </c>
      <c r="GF67">
        <v>0.103825</v>
      </c>
      <c r="GG67">
        <v>22310.400000000001</v>
      </c>
      <c r="GH67">
        <v>23025.200000000001</v>
      </c>
      <c r="GI67">
        <v>23662.3</v>
      </c>
      <c r="GJ67">
        <v>25094.9</v>
      </c>
      <c r="GK67">
        <v>29976</v>
      </c>
      <c r="GL67">
        <v>31531</v>
      </c>
      <c r="GM67">
        <v>37725.4</v>
      </c>
      <c r="GN67">
        <v>39062.1</v>
      </c>
      <c r="GO67">
        <v>2.1423999999999999</v>
      </c>
      <c r="GP67">
        <v>1.7446999999999999</v>
      </c>
      <c r="GQ67">
        <v>1.13472E-2</v>
      </c>
      <c r="GR67">
        <v>0</v>
      </c>
      <c r="GS67">
        <v>29.830400000000001</v>
      </c>
      <c r="GT67">
        <v>999.9</v>
      </c>
      <c r="GU67">
        <v>38.299999999999997</v>
      </c>
      <c r="GV67">
        <v>40.299999999999997</v>
      </c>
      <c r="GW67">
        <v>29.118500000000001</v>
      </c>
      <c r="GX67">
        <v>60.2438</v>
      </c>
      <c r="GY67">
        <v>27.027200000000001</v>
      </c>
      <c r="GZ67">
        <v>1</v>
      </c>
      <c r="HA67">
        <v>0.67329499999999998</v>
      </c>
      <c r="HB67">
        <v>2.46834</v>
      </c>
      <c r="HC67">
        <v>20.3018</v>
      </c>
      <c r="HD67">
        <v>5.2529300000000001</v>
      </c>
      <c r="HE67">
        <v>12.0099</v>
      </c>
      <c r="HF67">
        <v>4.9793500000000002</v>
      </c>
      <c r="HG67">
        <v>3.2930000000000001</v>
      </c>
      <c r="HH67">
        <v>9999</v>
      </c>
      <c r="HI67">
        <v>9999</v>
      </c>
      <c r="HJ67">
        <v>9999</v>
      </c>
      <c r="HK67">
        <v>999.9</v>
      </c>
      <c r="HL67">
        <v>1.8760699999999999</v>
      </c>
      <c r="HM67">
        <v>1.87693</v>
      </c>
      <c r="HN67">
        <v>1.8832100000000001</v>
      </c>
      <c r="HO67">
        <v>1.88629</v>
      </c>
      <c r="HP67">
        <v>1.87713</v>
      </c>
      <c r="HQ67">
        <v>1.8836200000000001</v>
      </c>
      <c r="HR67">
        <v>1.8825700000000001</v>
      </c>
      <c r="HS67">
        <v>1.88598</v>
      </c>
      <c r="HT67">
        <v>5</v>
      </c>
      <c r="HU67">
        <v>0</v>
      </c>
      <c r="HV67">
        <v>0</v>
      </c>
      <c r="HW67">
        <v>0</v>
      </c>
      <c r="HX67" t="s">
        <v>421</v>
      </c>
      <c r="HY67" t="s">
        <v>422</v>
      </c>
      <c r="HZ67" t="s">
        <v>423</v>
      </c>
      <c r="IA67" t="s">
        <v>424</v>
      </c>
      <c r="IB67" t="s">
        <v>424</v>
      </c>
      <c r="IC67" t="s">
        <v>423</v>
      </c>
      <c r="ID67">
        <v>0</v>
      </c>
      <c r="IE67">
        <v>100</v>
      </c>
      <c r="IF67">
        <v>100</v>
      </c>
      <c r="IG67">
        <v>-0.23300000000000001</v>
      </c>
      <c r="IH67">
        <v>-2.3999999999999998E-3</v>
      </c>
      <c r="II67">
        <v>-0.22967756537945461</v>
      </c>
      <c r="IJ67">
        <v>4.4610147972834149E-5</v>
      </c>
      <c r="IK67">
        <v>-2.082673137682459E-7</v>
      </c>
      <c r="IL67">
        <v>-4.0725795306076518E-11</v>
      </c>
      <c r="IM67">
        <v>-2.3952380952394492E-3</v>
      </c>
      <c r="IN67">
        <v>0</v>
      </c>
      <c r="IO67">
        <v>0</v>
      </c>
      <c r="IP67">
        <v>0</v>
      </c>
      <c r="IQ67">
        <v>3</v>
      </c>
      <c r="IR67">
        <v>2179</v>
      </c>
      <c r="IS67">
        <v>0</v>
      </c>
      <c r="IT67">
        <v>22</v>
      </c>
      <c r="IU67">
        <v>2.6</v>
      </c>
      <c r="IV67">
        <v>2.5</v>
      </c>
      <c r="IW67">
        <v>0.81542999999999999</v>
      </c>
      <c r="IX67">
        <v>2.6867700000000001</v>
      </c>
      <c r="IY67">
        <v>1.6015600000000001</v>
      </c>
      <c r="IZ67">
        <v>2.32178</v>
      </c>
      <c r="JA67">
        <v>1.5502899999999999</v>
      </c>
      <c r="JB67">
        <v>2.4377399999999998</v>
      </c>
      <c r="JC67">
        <v>43.974299999999999</v>
      </c>
      <c r="JD67">
        <v>24.210100000000001</v>
      </c>
      <c r="JE67">
        <v>18</v>
      </c>
      <c r="JF67">
        <v>617.17999999999995</v>
      </c>
      <c r="JG67">
        <v>387.93900000000002</v>
      </c>
      <c r="JH67">
        <v>27.599599999999999</v>
      </c>
      <c r="JI67">
        <v>35.292499999999997</v>
      </c>
      <c r="JJ67">
        <v>29.998999999999999</v>
      </c>
      <c r="JK67">
        <v>35.375799999999998</v>
      </c>
      <c r="JL67">
        <v>35.370800000000003</v>
      </c>
      <c r="JM67">
        <v>16.2912</v>
      </c>
      <c r="JN67">
        <v>26.053899999999999</v>
      </c>
      <c r="JO67">
        <v>48.213700000000003</v>
      </c>
      <c r="JP67">
        <v>27.624199999999998</v>
      </c>
      <c r="JQ67">
        <v>300</v>
      </c>
      <c r="JR67">
        <v>23.211099999999998</v>
      </c>
      <c r="JS67">
        <v>98.390600000000006</v>
      </c>
      <c r="JT67">
        <v>98.844999999999999</v>
      </c>
    </row>
    <row r="68" spans="1:280" x14ac:dyDescent="0.25">
      <c r="A68">
        <v>52</v>
      </c>
      <c r="B68">
        <v>1700158468.5</v>
      </c>
      <c r="C68">
        <v>10595</v>
      </c>
      <c r="D68" t="s">
        <v>636</v>
      </c>
      <c r="E68" t="s">
        <v>637</v>
      </c>
      <c r="F68" t="s">
        <v>412</v>
      </c>
      <c r="G68" t="s">
        <v>598</v>
      </c>
      <c r="H68" t="s">
        <v>413</v>
      </c>
      <c r="I68">
        <v>1700158468.5</v>
      </c>
      <c r="J68">
        <f t="shared" si="46"/>
        <v>4.8892118860621621E-3</v>
      </c>
      <c r="K68">
        <f t="shared" si="47"/>
        <v>4.8892118860621618</v>
      </c>
      <c r="L68">
        <f t="shared" si="48"/>
        <v>24.286673161335294</v>
      </c>
      <c r="M68">
        <f t="shared" si="49"/>
        <v>170.40100000000001</v>
      </c>
      <c r="N68">
        <f t="shared" si="50"/>
        <v>53.353146458861417</v>
      </c>
      <c r="O68">
        <f t="shared" si="51"/>
        <v>5.2921355176318139</v>
      </c>
      <c r="P68">
        <f t="shared" si="52"/>
        <v>16.902193107492</v>
      </c>
      <c r="Q68">
        <f t="shared" si="53"/>
        <v>0.35915840432531121</v>
      </c>
      <c r="R68">
        <f t="shared" si="54"/>
        <v>2.9321902298259364</v>
      </c>
      <c r="S68">
        <f t="shared" si="55"/>
        <v>0.33638588186863738</v>
      </c>
      <c r="T68">
        <f t="shared" si="56"/>
        <v>0.21216676022869768</v>
      </c>
      <c r="U68">
        <f t="shared" si="57"/>
        <v>344.32069930260002</v>
      </c>
      <c r="V68">
        <f t="shared" si="58"/>
        <v>31.146289707105907</v>
      </c>
      <c r="W68">
        <f t="shared" si="59"/>
        <v>29.9818</v>
      </c>
      <c r="X68">
        <f t="shared" si="60"/>
        <v>4.2559979560397858</v>
      </c>
      <c r="Y68">
        <f t="shared" si="61"/>
        <v>65.78446484647607</v>
      </c>
      <c r="Z68">
        <f t="shared" si="62"/>
        <v>2.8660654499940001</v>
      </c>
      <c r="AA68">
        <f t="shared" si="63"/>
        <v>4.3567511823386509</v>
      </c>
      <c r="AB68">
        <f t="shared" si="64"/>
        <v>1.3899325060457857</v>
      </c>
      <c r="AC68">
        <f t="shared" si="65"/>
        <v>-215.61424417534136</v>
      </c>
      <c r="AD68">
        <f t="shared" si="66"/>
        <v>64.480929761546562</v>
      </c>
      <c r="AE68">
        <f t="shared" si="67"/>
        <v>4.8986556135082795</v>
      </c>
      <c r="AF68">
        <f t="shared" si="68"/>
        <v>198.08604050231349</v>
      </c>
      <c r="AG68">
        <v>0</v>
      </c>
      <c r="AH68">
        <v>0</v>
      </c>
      <c r="AI68">
        <f t="shared" si="69"/>
        <v>1</v>
      </c>
      <c r="AJ68">
        <f t="shared" si="70"/>
        <v>0</v>
      </c>
      <c r="AK68">
        <f t="shared" si="71"/>
        <v>51832.758728845889</v>
      </c>
      <c r="AL68" t="s">
        <v>427</v>
      </c>
      <c r="AM68" t="s">
        <v>427</v>
      </c>
      <c r="AN68">
        <v>0</v>
      </c>
      <c r="AO68">
        <v>0</v>
      </c>
      <c r="AP68" t="e">
        <f t="shared" si="72"/>
        <v>#DIV/0!</v>
      </c>
      <c r="AQ68">
        <v>0</v>
      </c>
      <c r="AR68" t="s">
        <v>427</v>
      </c>
      <c r="AS68" t="s">
        <v>427</v>
      </c>
      <c r="AT68">
        <v>0</v>
      </c>
      <c r="AU68">
        <v>0</v>
      </c>
      <c r="AV68" t="e">
        <f t="shared" si="73"/>
        <v>#DIV/0!</v>
      </c>
      <c r="AW68">
        <v>0.5</v>
      </c>
      <c r="AX68">
        <f t="shared" si="74"/>
        <v>1512.9740996512999</v>
      </c>
      <c r="AY68">
        <f t="shared" si="75"/>
        <v>24.286673161335294</v>
      </c>
      <c r="AZ68" t="e">
        <f t="shared" si="76"/>
        <v>#DIV/0!</v>
      </c>
      <c r="BA68">
        <f t="shared" si="77"/>
        <v>1.6052272915268492E-2</v>
      </c>
      <c r="BB68" t="e">
        <f t="shared" si="78"/>
        <v>#DIV/0!</v>
      </c>
      <c r="BC68" t="e">
        <f t="shared" si="79"/>
        <v>#DIV/0!</v>
      </c>
      <c r="BD68" t="s">
        <v>427</v>
      </c>
      <c r="BE68">
        <v>0</v>
      </c>
      <c r="BF68" t="e">
        <f t="shared" si="80"/>
        <v>#DIV/0!</v>
      </c>
      <c r="BG68" t="e">
        <f t="shared" si="81"/>
        <v>#DIV/0!</v>
      </c>
      <c r="BH68" t="e">
        <f t="shared" si="82"/>
        <v>#DIV/0!</v>
      </c>
      <c r="BI68" t="e">
        <f t="shared" si="83"/>
        <v>#DIV/0!</v>
      </c>
      <c r="BJ68" t="e">
        <f t="shared" si="84"/>
        <v>#DIV/0!</v>
      </c>
      <c r="BK68" t="e">
        <f t="shared" si="85"/>
        <v>#DIV/0!</v>
      </c>
      <c r="BL68" t="e">
        <f t="shared" si="86"/>
        <v>#DIV/0!</v>
      </c>
      <c r="BM68" t="e">
        <f t="shared" si="87"/>
        <v>#DIV/0!</v>
      </c>
      <c r="BN68">
        <v>11308</v>
      </c>
      <c r="BO68">
        <v>290.00000000000011</v>
      </c>
      <c r="BP68">
        <v>883.6</v>
      </c>
      <c r="BQ68">
        <v>275</v>
      </c>
      <c r="BR68">
        <v>7105.77</v>
      </c>
      <c r="BS68">
        <v>885.66</v>
      </c>
      <c r="BT68">
        <v>-2.06</v>
      </c>
      <c r="BU68">
        <v>300.00000000000011</v>
      </c>
      <c r="BV68">
        <v>38.299999999999997</v>
      </c>
      <c r="BW68">
        <v>959.72165175056307</v>
      </c>
      <c r="BX68">
        <v>1.2132234220172919</v>
      </c>
      <c r="BY68">
        <v>-52.623416532285717</v>
      </c>
      <c r="BZ68">
        <v>0.7225943515356501</v>
      </c>
      <c r="CA68">
        <v>0.99474827148318423</v>
      </c>
      <c r="CB68">
        <v>-7.0059753058954377E-3</v>
      </c>
      <c r="CC68">
        <v>289.99999999999989</v>
      </c>
      <c r="CD68">
        <v>892</v>
      </c>
      <c r="CE68">
        <v>895</v>
      </c>
      <c r="CF68">
        <v>7096.02</v>
      </c>
      <c r="CG68">
        <v>885.56</v>
      </c>
      <c r="CH68">
        <v>6.44</v>
      </c>
      <c r="CV68">
        <f t="shared" si="88"/>
        <v>1799.75</v>
      </c>
      <c r="CW68">
        <f t="shared" si="89"/>
        <v>1512.9740996512999</v>
      </c>
      <c r="CX68">
        <f t="shared" si="90"/>
        <v>0.84065792451801635</v>
      </c>
      <c r="CY68">
        <f t="shared" si="91"/>
        <v>0.1913158490360328</v>
      </c>
      <c r="CZ68">
        <v>5.9</v>
      </c>
      <c r="DA68">
        <v>0.5</v>
      </c>
      <c r="DB68" t="s">
        <v>418</v>
      </c>
      <c r="DC68">
        <v>2</v>
      </c>
      <c r="DD68">
        <v>1700158468.5</v>
      </c>
      <c r="DE68">
        <v>170.40100000000001</v>
      </c>
      <c r="DF68">
        <v>200.03299999999999</v>
      </c>
      <c r="DG68">
        <v>28.894500000000001</v>
      </c>
      <c r="DH68">
        <v>23.293700000000001</v>
      </c>
      <c r="DI68">
        <v>170.565</v>
      </c>
      <c r="DJ68">
        <v>28.900500000000001</v>
      </c>
      <c r="DK68">
        <v>500.15800000000002</v>
      </c>
      <c r="DL68">
        <v>99.090599999999995</v>
      </c>
      <c r="DM68">
        <v>0.100092</v>
      </c>
      <c r="DN68">
        <v>30.389700000000001</v>
      </c>
      <c r="DO68">
        <v>29.9818</v>
      </c>
      <c r="DP68">
        <v>999.9</v>
      </c>
      <c r="DQ68">
        <v>0</v>
      </c>
      <c r="DR68">
        <v>0</v>
      </c>
      <c r="DS68">
        <v>10004.4</v>
      </c>
      <c r="DT68">
        <v>0</v>
      </c>
      <c r="DU68">
        <v>224.71299999999999</v>
      </c>
      <c r="DV68">
        <v>-29.631799999999998</v>
      </c>
      <c r="DW68">
        <v>175.471</v>
      </c>
      <c r="DX68">
        <v>204.804</v>
      </c>
      <c r="DY68">
        <v>5.6007300000000004</v>
      </c>
      <c r="DZ68">
        <v>200.03299999999999</v>
      </c>
      <c r="EA68">
        <v>23.293700000000001</v>
      </c>
      <c r="EB68">
        <v>2.8631700000000002</v>
      </c>
      <c r="EC68">
        <v>2.3081900000000002</v>
      </c>
      <c r="ED68">
        <v>23.2529</v>
      </c>
      <c r="EE68">
        <v>19.733699999999999</v>
      </c>
      <c r="EF68">
        <v>1799.75</v>
      </c>
      <c r="EG68">
        <v>0.97800600000000004</v>
      </c>
      <c r="EH68">
        <v>2.19939E-2</v>
      </c>
      <c r="EI68">
        <v>0</v>
      </c>
      <c r="EJ68">
        <v>714.07600000000002</v>
      </c>
      <c r="EK68">
        <v>5.0005300000000004</v>
      </c>
      <c r="EL68">
        <v>14070.3</v>
      </c>
      <c r="EM68">
        <v>16033.1</v>
      </c>
      <c r="EN68">
        <v>48.375</v>
      </c>
      <c r="EO68">
        <v>49.436999999999998</v>
      </c>
      <c r="EP68">
        <v>48.936999999999998</v>
      </c>
      <c r="EQ68">
        <v>48.936999999999998</v>
      </c>
      <c r="ER68">
        <v>49.561999999999998</v>
      </c>
      <c r="ES68">
        <v>1755.28</v>
      </c>
      <c r="ET68">
        <v>39.47</v>
      </c>
      <c r="EU68">
        <v>0</v>
      </c>
      <c r="EV68">
        <v>101.3999998569489</v>
      </c>
      <c r="EW68">
        <v>0</v>
      </c>
      <c r="EX68">
        <v>714.25051999999994</v>
      </c>
      <c r="EY68">
        <v>-1.8236923327981771</v>
      </c>
      <c r="EZ68">
        <v>-1683.3846195892879</v>
      </c>
      <c r="FA68">
        <v>14283.832</v>
      </c>
      <c r="FB68">
        <v>15</v>
      </c>
      <c r="FC68">
        <v>1700158437.5</v>
      </c>
      <c r="FD68" t="s">
        <v>638</v>
      </c>
      <c r="FE68">
        <v>1700158435.5</v>
      </c>
      <c r="FF68">
        <v>1700158437.5</v>
      </c>
      <c r="FG68">
        <v>57</v>
      </c>
      <c r="FH68">
        <v>6.5000000000000002E-2</v>
      </c>
      <c r="FI68">
        <v>-4.0000000000000001E-3</v>
      </c>
      <c r="FJ68">
        <v>-0.16500000000000001</v>
      </c>
      <c r="FK68">
        <v>-6.0000000000000001E-3</v>
      </c>
      <c r="FL68">
        <v>200</v>
      </c>
      <c r="FM68">
        <v>23</v>
      </c>
      <c r="FN68">
        <v>0.05</v>
      </c>
      <c r="FO68">
        <v>0.01</v>
      </c>
      <c r="FP68">
        <v>24.19690101262648</v>
      </c>
      <c r="FQ68">
        <v>0.13078322430688519</v>
      </c>
      <c r="FR68">
        <v>4.0605911422352363E-2</v>
      </c>
      <c r="FS68">
        <v>1</v>
      </c>
      <c r="FT68">
        <v>0.35819341810849548</v>
      </c>
      <c r="FU68">
        <v>4.7342641101598908E-2</v>
      </c>
      <c r="FV68">
        <v>4.6275191287256951E-3</v>
      </c>
      <c r="FW68">
        <v>1</v>
      </c>
      <c r="FX68">
        <v>2</v>
      </c>
      <c r="FY68">
        <v>2</v>
      </c>
      <c r="FZ68" t="s">
        <v>420</v>
      </c>
      <c r="GA68">
        <v>3.1254599999999999</v>
      </c>
      <c r="GB68">
        <v>2.7669999999999999</v>
      </c>
      <c r="GC68">
        <v>4.3201900000000001E-2</v>
      </c>
      <c r="GD68">
        <v>4.9924499999999997E-2</v>
      </c>
      <c r="GE68">
        <v>0.121671</v>
      </c>
      <c r="GF68">
        <v>0.104819</v>
      </c>
      <c r="GG68">
        <v>22768.400000000001</v>
      </c>
      <c r="GH68">
        <v>23540.3</v>
      </c>
      <c r="GI68">
        <v>23667.1</v>
      </c>
      <c r="GJ68">
        <v>25101.599999999999</v>
      </c>
      <c r="GK68">
        <v>29942.400000000001</v>
      </c>
      <c r="GL68">
        <v>31503.4</v>
      </c>
      <c r="GM68">
        <v>37732.6</v>
      </c>
      <c r="GN68">
        <v>39071.1</v>
      </c>
      <c r="GO68">
        <v>2.1425200000000002</v>
      </c>
      <c r="GP68">
        <v>1.7463</v>
      </c>
      <c r="GQ68">
        <v>1.39028E-2</v>
      </c>
      <c r="GR68">
        <v>0</v>
      </c>
      <c r="GS68">
        <v>29.755500000000001</v>
      </c>
      <c r="GT68">
        <v>999.9</v>
      </c>
      <c r="GU68">
        <v>38.1</v>
      </c>
      <c r="GV68">
        <v>40.299999999999997</v>
      </c>
      <c r="GW68">
        <v>28.965800000000002</v>
      </c>
      <c r="GX68">
        <v>60.623800000000003</v>
      </c>
      <c r="GY68">
        <v>26.710699999999999</v>
      </c>
      <c r="GZ68">
        <v>1</v>
      </c>
      <c r="HA68">
        <v>0.66698400000000002</v>
      </c>
      <c r="HB68">
        <v>2.1312199999999999</v>
      </c>
      <c r="HC68">
        <v>20.305399999999999</v>
      </c>
      <c r="HD68">
        <v>5.2526299999999999</v>
      </c>
      <c r="HE68">
        <v>12.0099</v>
      </c>
      <c r="HF68">
        <v>4.9793000000000003</v>
      </c>
      <c r="HG68">
        <v>3.2930000000000001</v>
      </c>
      <c r="HH68">
        <v>9999</v>
      </c>
      <c r="HI68">
        <v>9999</v>
      </c>
      <c r="HJ68">
        <v>9999</v>
      </c>
      <c r="HK68">
        <v>999.9</v>
      </c>
      <c r="HL68">
        <v>1.8760699999999999</v>
      </c>
      <c r="HM68">
        <v>1.8769199999999999</v>
      </c>
      <c r="HN68">
        <v>1.8832100000000001</v>
      </c>
      <c r="HO68">
        <v>1.88629</v>
      </c>
      <c r="HP68">
        <v>1.8770899999999999</v>
      </c>
      <c r="HQ68">
        <v>1.8836599999999999</v>
      </c>
      <c r="HR68">
        <v>1.8825499999999999</v>
      </c>
      <c r="HS68">
        <v>1.8859900000000001</v>
      </c>
      <c r="HT68">
        <v>5</v>
      </c>
      <c r="HU68">
        <v>0</v>
      </c>
      <c r="HV68">
        <v>0</v>
      </c>
      <c r="HW68">
        <v>0</v>
      </c>
      <c r="HX68" t="s">
        <v>421</v>
      </c>
      <c r="HY68" t="s">
        <v>422</v>
      </c>
      <c r="HZ68" t="s">
        <v>423</v>
      </c>
      <c r="IA68" t="s">
        <v>424</v>
      </c>
      <c r="IB68" t="s">
        <v>424</v>
      </c>
      <c r="IC68" t="s">
        <v>423</v>
      </c>
      <c r="ID68">
        <v>0</v>
      </c>
      <c r="IE68">
        <v>100</v>
      </c>
      <c r="IF68">
        <v>100</v>
      </c>
      <c r="IG68">
        <v>-0.16400000000000001</v>
      </c>
      <c r="IH68">
        <v>-6.0000000000000001E-3</v>
      </c>
      <c r="II68">
        <v>-0.1652603234493836</v>
      </c>
      <c r="IJ68">
        <v>4.4610147972834149E-5</v>
      </c>
      <c r="IK68">
        <v>-2.082673137682459E-7</v>
      </c>
      <c r="IL68">
        <v>-4.0725795306076518E-11</v>
      </c>
      <c r="IM68">
        <v>-6.0199999999994702E-3</v>
      </c>
      <c r="IN68">
        <v>0</v>
      </c>
      <c r="IO68">
        <v>0</v>
      </c>
      <c r="IP68">
        <v>0</v>
      </c>
      <c r="IQ68">
        <v>3</v>
      </c>
      <c r="IR68">
        <v>2179</v>
      </c>
      <c r="IS68">
        <v>0</v>
      </c>
      <c r="IT68">
        <v>22</v>
      </c>
      <c r="IU68">
        <v>0.6</v>
      </c>
      <c r="IV68">
        <v>0.5</v>
      </c>
      <c r="IW68">
        <v>0.59692400000000001</v>
      </c>
      <c r="IX68">
        <v>2.6879900000000001</v>
      </c>
      <c r="IY68">
        <v>1.6015600000000001</v>
      </c>
      <c r="IZ68">
        <v>2.323</v>
      </c>
      <c r="JA68">
        <v>1.5502899999999999</v>
      </c>
      <c r="JB68">
        <v>2.4267599999999998</v>
      </c>
      <c r="JC68">
        <v>43.8917</v>
      </c>
      <c r="JD68">
        <v>24.218800000000002</v>
      </c>
      <c r="JE68">
        <v>18</v>
      </c>
      <c r="JF68">
        <v>616.75800000000004</v>
      </c>
      <c r="JG68">
        <v>388.565</v>
      </c>
      <c r="JH68">
        <v>27.366499999999998</v>
      </c>
      <c r="JI68">
        <v>35.2331</v>
      </c>
      <c r="JJ68">
        <v>29.999400000000001</v>
      </c>
      <c r="JK68">
        <v>35.319400000000002</v>
      </c>
      <c r="JL68">
        <v>35.310499999999998</v>
      </c>
      <c r="JM68">
        <v>11.9415</v>
      </c>
      <c r="JN68">
        <v>25.133199999999999</v>
      </c>
      <c r="JO68">
        <v>48.153599999999997</v>
      </c>
      <c r="JP68">
        <v>27.6128</v>
      </c>
      <c r="JQ68">
        <v>200</v>
      </c>
      <c r="JR68">
        <v>23.1736</v>
      </c>
      <c r="JS68">
        <v>98.41</v>
      </c>
      <c r="JT68">
        <v>98.869299999999996</v>
      </c>
    </row>
    <row r="69" spans="1:280" x14ac:dyDescent="0.25">
      <c r="A69">
        <v>53</v>
      </c>
      <c r="B69">
        <v>1700158597.5</v>
      </c>
      <c r="C69">
        <v>10724</v>
      </c>
      <c r="D69" t="s">
        <v>639</v>
      </c>
      <c r="E69" t="s">
        <v>640</v>
      </c>
      <c r="F69" t="s">
        <v>412</v>
      </c>
      <c r="G69" t="s">
        <v>598</v>
      </c>
      <c r="H69" t="s">
        <v>413</v>
      </c>
      <c r="I69">
        <v>1700158597.5</v>
      </c>
      <c r="J69">
        <f t="shared" si="46"/>
        <v>5.590139494298452E-3</v>
      </c>
      <c r="K69">
        <f t="shared" si="47"/>
        <v>5.5901394942984517</v>
      </c>
      <c r="L69">
        <f t="shared" si="48"/>
        <v>15.891373803570765</v>
      </c>
      <c r="M69">
        <f t="shared" si="49"/>
        <v>100.569</v>
      </c>
      <c r="N69">
        <f t="shared" si="50"/>
        <v>33.901885425978456</v>
      </c>
      <c r="O69">
        <f t="shared" si="51"/>
        <v>3.3623761273928356</v>
      </c>
      <c r="P69">
        <f t="shared" si="52"/>
        <v>9.9743952440076011</v>
      </c>
      <c r="Q69">
        <f t="shared" si="53"/>
        <v>0.41663420477598728</v>
      </c>
      <c r="R69">
        <f t="shared" si="54"/>
        <v>2.9355261436127158</v>
      </c>
      <c r="S69">
        <f t="shared" si="55"/>
        <v>0.38635151399339618</v>
      </c>
      <c r="T69">
        <f t="shared" si="56"/>
        <v>0.24400680022285237</v>
      </c>
      <c r="U69">
        <f t="shared" si="57"/>
        <v>344.36689930251634</v>
      </c>
      <c r="V69">
        <f t="shared" si="58"/>
        <v>31.095394101889973</v>
      </c>
      <c r="W69">
        <f t="shared" si="59"/>
        <v>29.979700000000001</v>
      </c>
      <c r="X69">
        <f t="shared" si="60"/>
        <v>4.2554845458885309</v>
      </c>
      <c r="Y69">
        <f t="shared" si="61"/>
        <v>65.427732148908575</v>
      </c>
      <c r="Z69">
        <f t="shared" si="62"/>
        <v>2.8720136936570801</v>
      </c>
      <c r="AA69">
        <f t="shared" si="63"/>
        <v>4.3895968870212307</v>
      </c>
      <c r="AB69">
        <f t="shared" si="64"/>
        <v>1.3834708522314507</v>
      </c>
      <c r="AC69">
        <f t="shared" si="65"/>
        <v>-246.52515169856173</v>
      </c>
      <c r="AD69">
        <f t="shared" si="66"/>
        <v>85.650358247947636</v>
      </c>
      <c r="AE69">
        <f t="shared" si="67"/>
        <v>6.5036700846706088</v>
      </c>
      <c r="AF69">
        <f t="shared" si="68"/>
        <v>189.99577593657284</v>
      </c>
      <c r="AG69">
        <v>0</v>
      </c>
      <c r="AH69">
        <v>0</v>
      </c>
      <c r="AI69">
        <f t="shared" si="69"/>
        <v>1</v>
      </c>
      <c r="AJ69">
        <f t="shared" si="70"/>
        <v>0</v>
      </c>
      <c r="AK69">
        <f t="shared" si="71"/>
        <v>51903.945192135026</v>
      </c>
      <c r="AL69" t="s">
        <v>415</v>
      </c>
      <c r="AM69">
        <v>6977.87</v>
      </c>
      <c r="AN69">
        <v>273.15280000000001</v>
      </c>
      <c r="AO69">
        <v>850.46774885301022</v>
      </c>
      <c r="AP69">
        <f t="shared" si="72"/>
        <v>0.67882050745793765</v>
      </c>
      <c r="AQ69">
        <v>-1.0323826813720729</v>
      </c>
      <c r="AR69" t="s">
        <v>641</v>
      </c>
      <c r="AS69">
        <v>7107.22</v>
      </c>
      <c r="AT69">
        <v>739.01742307692314</v>
      </c>
      <c r="AU69">
        <v>877.26261040087513</v>
      </c>
      <c r="AV69">
        <f t="shared" si="73"/>
        <v>0.15758700494573596</v>
      </c>
      <c r="AW69">
        <v>0.5</v>
      </c>
      <c r="AX69">
        <f t="shared" si="74"/>
        <v>1513.1759996512581</v>
      </c>
      <c r="AY69">
        <f t="shared" si="75"/>
        <v>15.891373803570765</v>
      </c>
      <c r="AZ69">
        <f t="shared" si="76"/>
        <v>119.22843687040589</v>
      </c>
      <c r="BA69">
        <f t="shared" si="77"/>
        <v>1.1184261770503405E-2</v>
      </c>
      <c r="BB69">
        <f t="shared" si="78"/>
        <v>-3.0543717730795224E-2</v>
      </c>
      <c r="BC69">
        <f t="shared" si="79"/>
        <v>275.8589809509769</v>
      </c>
      <c r="BD69" t="s">
        <v>642</v>
      </c>
      <c r="BE69">
        <v>506.65</v>
      </c>
      <c r="BF69">
        <f t="shared" si="80"/>
        <v>506.65</v>
      </c>
      <c r="BG69">
        <f t="shared" si="81"/>
        <v>0.4224648423480849</v>
      </c>
      <c r="BH69">
        <f t="shared" si="82"/>
        <v>0.37301803404481659</v>
      </c>
      <c r="BI69">
        <f t="shared" si="83"/>
        <v>-7.7933328448730882E-2</v>
      </c>
      <c r="BJ69">
        <f t="shared" si="84"/>
        <v>0.2288411559352351</v>
      </c>
      <c r="BK69">
        <f t="shared" si="85"/>
        <v>-4.6412900966967915E-2</v>
      </c>
      <c r="BL69">
        <f t="shared" si="86"/>
        <v>0.25573089489817707</v>
      </c>
      <c r="BM69">
        <f t="shared" si="87"/>
        <v>0.74426910510182287</v>
      </c>
      <c r="BN69">
        <v>11310</v>
      </c>
      <c r="BO69">
        <v>290.00000000000011</v>
      </c>
      <c r="BP69">
        <v>839.82</v>
      </c>
      <c r="BQ69">
        <v>255</v>
      </c>
      <c r="BR69">
        <v>7107.22</v>
      </c>
      <c r="BS69">
        <v>842.74</v>
      </c>
      <c r="BT69">
        <v>-2.92</v>
      </c>
      <c r="BU69">
        <v>300.00000000000011</v>
      </c>
      <c r="BV69">
        <v>38.299999999999997</v>
      </c>
      <c r="BW69">
        <v>877.26261040087513</v>
      </c>
      <c r="BX69">
        <v>1.2582993626783561</v>
      </c>
      <c r="BY69">
        <v>-24.53326390405871</v>
      </c>
      <c r="BZ69">
        <v>0.74950704041378047</v>
      </c>
      <c r="CA69">
        <v>0.97453199618729169</v>
      </c>
      <c r="CB69">
        <v>-7.0062255839821999E-3</v>
      </c>
      <c r="CC69">
        <v>289.99999999999989</v>
      </c>
      <c r="CD69">
        <v>845.15</v>
      </c>
      <c r="CE69">
        <v>785</v>
      </c>
      <c r="CF69">
        <v>7098.43</v>
      </c>
      <c r="CG69">
        <v>842.7</v>
      </c>
      <c r="CH69">
        <v>2.4500000000000002</v>
      </c>
      <c r="CV69">
        <f t="shared" si="88"/>
        <v>1799.99</v>
      </c>
      <c r="CW69">
        <f t="shared" si="89"/>
        <v>1513.1759996512581</v>
      </c>
      <c r="CX69">
        <f t="shared" si="90"/>
        <v>0.84065800346182928</v>
      </c>
      <c r="CY69">
        <f t="shared" si="91"/>
        <v>0.19131600692365866</v>
      </c>
      <c r="CZ69">
        <v>5.9</v>
      </c>
      <c r="DA69">
        <v>0.5</v>
      </c>
      <c r="DB69" t="s">
        <v>418</v>
      </c>
      <c r="DC69">
        <v>2</v>
      </c>
      <c r="DD69">
        <v>1700158597.5</v>
      </c>
      <c r="DE69">
        <v>100.569</v>
      </c>
      <c r="DF69">
        <v>119.97799999999999</v>
      </c>
      <c r="DG69">
        <v>28.957699999999999</v>
      </c>
      <c r="DH69">
        <v>22.554400000000001</v>
      </c>
      <c r="DI69">
        <v>100.68899999999999</v>
      </c>
      <c r="DJ69">
        <v>28.9605</v>
      </c>
      <c r="DK69">
        <v>500.16</v>
      </c>
      <c r="DL69">
        <v>99.079700000000003</v>
      </c>
      <c r="DM69">
        <v>9.9920400000000006E-2</v>
      </c>
      <c r="DN69">
        <v>30.520900000000001</v>
      </c>
      <c r="DO69">
        <v>29.979700000000001</v>
      </c>
      <c r="DP69">
        <v>999.9</v>
      </c>
      <c r="DQ69">
        <v>0</v>
      </c>
      <c r="DR69">
        <v>0</v>
      </c>
      <c r="DS69">
        <v>10024.4</v>
      </c>
      <c r="DT69">
        <v>0</v>
      </c>
      <c r="DU69">
        <v>651.22799999999995</v>
      </c>
      <c r="DV69">
        <v>-19.409099999999999</v>
      </c>
      <c r="DW69">
        <v>103.568</v>
      </c>
      <c r="DX69">
        <v>122.746</v>
      </c>
      <c r="DY69">
        <v>6.4032600000000004</v>
      </c>
      <c r="DZ69">
        <v>119.97799999999999</v>
      </c>
      <c r="EA69">
        <v>22.554400000000001</v>
      </c>
      <c r="EB69">
        <v>2.8691200000000001</v>
      </c>
      <c r="EC69">
        <v>2.23468</v>
      </c>
      <c r="ED69">
        <v>23.287199999999999</v>
      </c>
      <c r="EE69">
        <v>19.213200000000001</v>
      </c>
      <c r="EF69">
        <v>1799.99</v>
      </c>
      <c r="EG69">
        <v>0.97800600000000004</v>
      </c>
      <c r="EH69">
        <v>2.19939E-2</v>
      </c>
      <c r="EI69">
        <v>0</v>
      </c>
      <c r="EJ69">
        <v>739.48299999999995</v>
      </c>
      <c r="EK69">
        <v>5.0005300000000004</v>
      </c>
      <c r="EL69">
        <v>15078.7</v>
      </c>
      <c r="EM69">
        <v>16035.2</v>
      </c>
      <c r="EN69">
        <v>48.186999999999998</v>
      </c>
      <c r="EO69">
        <v>49.375</v>
      </c>
      <c r="EP69">
        <v>48.811999999999998</v>
      </c>
      <c r="EQ69">
        <v>48.811999999999998</v>
      </c>
      <c r="ER69">
        <v>49.436999999999998</v>
      </c>
      <c r="ES69">
        <v>1755.51</v>
      </c>
      <c r="ET69">
        <v>39.479999999999997</v>
      </c>
      <c r="EU69">
        <v>0</v>
      </c>
      <c r="EV69">
        <v>230.39999985694891</v>
      </c>
      <c r="EW69">
        <v>0</v>
      </c>
      <c r="EX69">
        <v>739.01742307692314</v>
      </c>
      <c r="EY69">
        <v>1.8574017090181469</v>
      </c>
      <c r="EZ69">
        <v>459.09743634456203</v>
      </c>
      <c r="FA69">
        <v>15034.315384615389</v>
      </c>
      <c r="FB69">
        <v>15</v>
      </c>
      <c r="FC69">
        <v>1700158561.5</v>
      </c>
      <c r="FD69" t="s">
        <v>643</v>
      </c>
      <c r="FE69">
        <v>1700158555.5</v>
      </c>
      <c r="FF69">
        <v>1700158561.5</v>
      </c>
      <c r="FG69">
        <v>58</v>
      </c>
      <c r="FH69">
        <v>4.2000000000000003E-2</v>
      </c>
      <c r="FI69">
        <v>3.0000000000000001E-3</v>
      </c>
      <c r="FJ69">
        <v>-0.12</v>
      </c>
      <c r="FK69">
        <v>-3.0000000000000001E-3</v>
      </c>
      <c r="FL69">
        <v>120</v>
      </c>
      <c r="FM69">
        <v>23</v>
      </c>
      <c r="FN69">
        <v>7.0000000000000007E-2</v>
      </c>
      <c r="FO69">
        <v>0.02</v>
      </c>
      <c r="FP69">
        <v>15.83498610154245</v>
      </c>
      <c r="FQ69">
        <v>0.35369623490216773</v>
      </c>
      <c r="FR69">
        <v>3.3065479002835248E-2</v>
      </c>
      <c r="FS69">
        <v>1</v>
      </c>
      <c r="FT69">
        <v>0.41960982851465323</v>
      </c>
      <c r="FU69">
        <v>3.6301082923412761E-2</v>
      </c>
      <c r="FV69">
        <v>4.3810733279223508E-3</v>
      </c>
      <c r="FW69">
        <v>1</v>
      </c>
      <c r="FX69">
        <v>2</v>
      </c>
      <c r="FY69">
        <v>2</v>
      </c>
      <c r="FZ69" t="s">
        <v>420</v>
      </c>
      <c r="GA69">
        <v>3.1251500000000001</v>
      </c>
      <c r="GB69">
        <v>2.76701</v>
      </c>
      <c r="GC69">
        <v>2.63818E-2</v>
      </c>
      <c r="GD69">
        <v>3.1237600000000001E-2</v>
      </c>
      <c r="GE69">
        <v>0.12186</v>
      </c>
      <c r="GF69">
        <v>0.102465</v>
      </c>
      <c r="GG69">
        <v>23175.599999999999</v>
      </c>
      <c r="GH69">
        <v>24010.799999999999</v>
      </c>
      <c r="GI69">
        <v>23674.5</v>
      </c>
      <c r="GJ69">
        <v>25109.7</v>
      </c>
      <c r="GK69">
        <v>29945</v>
      </c>
      <c r="GL69">
        <v>31596.2</v>
      </c>
      <c r="GM69">
        <v>37743.9</v>
      </c>
      <c r="GN69">
        <v>39083.300000000003</v>
      </c>
      <c r="GO69">
        <v>2.14425</v>
      </c>
      <c r="GP69">
        <v>1.7475000000000001</v>
      </c>
      <c r="GQ69">
        <v>1.5936800000000001E-2</v>
      </c>
      <c r="GR69">
        <v>0</v>
      </c>
      <c r="GS69">
        <v>29.720300000000002</v>
      </c>
      <c r="GT69">
        <v>999.9</v>
      </c>
      <c r="GU69">
        <v>37.799999999999997</v>
      </c>
      <c r="GV69">
        <v>40.200000000000003</v>
      </c>
      <c r="GW69">
        <v>28.586300000000001</v>
      </c>
      <c r="GX69">
        <v>60.323799999999999</v>
      </c>
      <c r="GY69">
        <v>26.6907</v>
      </c>
      <c r="GZ69">
        <v>1</v>
      </c>
      <c r="HA69">
        <v>0.653138</v>
      </c>
      <c r="HB69">
        <v>2.0269599999999999</v>
      </c>
      <c r="HC69">
        <v>20.307700000000001</v>
      </c>
      <c r="HD69">
        <v>5.25068</v>
      </c>
      <c r="HE69">
        <v>12.0099</v>
      </c>
      <c r="HF69">
        <v>4.9790000000000001</v>
      </c>
      <c r="HG69">
        <v>3.2926199999999999</v>
      </c>
      <c r="HH69">
        <v>9999</v>
      </c>
      <c r="HI69">
        <v>9999</v>
      </c>
      <c r="HJ69">
        <v>9999</v>
      </c>
      <c r="HK69">
        <v>999.9</v>
      </c>
      <c r="HL69">
        <v>1.8760600000000001</v>
      </c>
      <c r="HM69">
        <v>1.8769499999999999</v>
      </c>
      <c r="HN69">
        <v>1.88323</v>
      </c>
      <c r="HO69">
        <v>1.88629</v>
      </c>
      <c r="HP69">
        <v>1.8770899999999999</v>
      </c>
      <c r="HQ69">
        <v>1.88364</v>
      </c>
      <c r="HR69">
        <v>1.8825799999999999</v>
      </c>
      <c r="HS69">
        <v>1.8859900000000001</v>
      </c>
      <c r="HT69">
        <v>5</v>
      </c>
      <c r="HU69">
        <v>0</v>
      </c>
      <c r="HV69">
        <v>0</v>
      </c>
      <c r="HW69">
        <v>0</v>
      </c>
      <c r="HX69" t="s">
        <v>421</v>
      </c>
      <c r="HY69" t="s">
        <v>422</v>
      </c>
      <c r="HZ69" t="s">
        <v>423</v>
      </c>
      <c r="IA69" t="s">
        <v>424</v>
      </c>
      <c r="IB69" t="s">
        <v>424</v>
      </c>
      <c r="IC69" t="s">
        <v>423</v>
      </c>
      <c r="ID69">
        <v>0</v>
      </c>
      <c r="IE69">
        <v>100</v>
      </c>
      <c r="IF69">
        <v>100</v>
      </c>
      <c r="IG69">
        <v>-0.12</v>
      </c>
      <c r="IH69">
        <v>-2.8E-3</v>
      </c>
      <c r="II69">
        <v>-0.1226642629335689</v>
      </c>
      <c r="IJ69">
        <v>4.4610147972834149E-5</v>
      </c>
      <c r="IK69">
        <v>-2.082673137682459E-7</v>
      </c>
      <c r="IL69">
        <v>-4.0725795306076518E-11</v>
      </c>
      <c r="IM69">
        <v>-2.8190476190488312E-3</v>
      </c>
      <c r="IN69">
        <v>0</v>
      </c>
      <c r="IO69">
        <v>0</v>
      </c>
      <c r="IP69">
        <v>0</v>
      </c>
      <c r="IQ69">
        <v>3</v>
      </c>
      <c r="IR69">
        <v>2179</v>
      </c>
      <c r="IS69">
        <v>0</v>
      </c>
      <c r="IT69">
        <v>22</v>
      </c>
      <c r="IU69">
        <v>0.7</v>
      </c>
      <c r="IV69">
        <v>0.6</v>
      </c>
      <c r="IW69">
        <v>0.41748000000000002</v>
      </c>
      <c r="IX69">
        <v>2.7063000000000001</v>
      </c>
      <c r="IY69">
        <v>1.6015600000000001</v>
      </c>
      <c r="IZ69">
        <v>2.323</v>
      </c>
      <c r="JA69">
        <v>1.5502899999999999</v>
      </c>
      <c r="JB69">
        <v>2.4841299999999999</v>
      </c>
      <c r="JC69">
        <v>43.754300000000001</v>
      </c>
      <c r="JD69">
        <v>24.218800000000002</v>
      </c>
      <c r="JE69">
        <v>18</v>
      </c>
      <c r="JF69">
        <v>617.101</v>
      </c>
      <c r="JG69">
        <v>388.68900000000002</v>
      </c>
      <c r="JH69">
        <v>27.791699999999999</v>
      </c>
      <c r="JI69">
        <v>35.116300000000003</v>
      </c>
      <c r="JJ69">
        <v>29.998999999999999</v>
      </c>
      <c r="JK69">
        <v>35.218499999999999</v>
      </c>
      <c r="JL69">
        <v>35.209400000000002</v>
      </c>
      <c r="JM69">
        <v>8.3508600000000008</v>
      </c>
      <c r="JN69">
        <v>27.040900000000001</v>
      </c>
      <c r="JO69">
        <v>47.292200000000001</v>
      </c>
      <c r="JP69">
        <v>27.827200000000001</v>
      </c>
      <c r="JQ69">
        <v>120</v>
      </c>
      <c r="JR69">
        <v>22.483799999999999</v>
      </c>
      <c r="JS69">
        <v>98.439899999999994</v>
      </c>
      <c r="JT69">
        <v>98.900499999999994</v>
      </c>
    </row>
    <row r="70" spans="1:280" x14ac:dyDescent="0.25">
      <c r="A70">
        <v>54</v>
      </c>
      <c r="B70">
        <v>1700158711</v>
      </c>
      <c r="C70">
        <v>10837.5</v>
      </c>
      <c r="D70" t="s">
        <v>644</v>
      </c>
      <c r="E70" t="s">
        <v>645</v>
      </c>
      <c r="F70" t="s">
        <v>412</v>
      </c>
      <c r="G70" t="s">
        <v>598</v>
      </c>
      <c r="H70" t="s">
        <v>413</v>
      </c>
      <c r="I70">
        <v>1700158711</v>
      </c>
      <c r="J70">
        <f t="shared" si="46"/>
        <v>5.7039097140441242E-3</v>
      </c>
      <c r="K70">
        <f t="shared" si="47"/>
        <v>5.7039097140441246</v>
      </c>
      <c r="L70">
        <f t="shared" si="48"/>
        <v>9.5966497106710715</v>
      </c>
      <c r="M70">
        <f t="shared" si="49"/>
        <v>58.2911</v>
      </c>
      <c r="N70">
        <f t="shared" si="50"/>
        <v>19.222157987474766</v>
      </c>
      <c r="O70">
        <f t="shared" si="51"/>
        <v>1.9062297371903723</v>
      </c>
      <c r="P70">
        <f t="shared" si="52"/>
        <v>5.7806323465836407</v>
      </c>
      <c r="Q70">
        <f t="shared" si="53"/>
        <v>0.42996665311751103</v>
      </c>
      <c r="R70">
        <f t="shared" si="54"/>
        <v>2.9320080146362306</v>
      </c>
      <c r="S70">
        <f t="shared" si="55"/>
        <v>0.39775951249399405</v>
      </c>
      <c r="T70">
        <f t="shared" si="56"/>
        <v>0.25129203703864217</v>
      </c>
      <c r="U70">
        <f t="shared" si="57"/>
        <v>344.35359930248922</v>
      </c>
      <c r="V70">
        <f t="shared" si="58"/>
        <v>31.116744659785176</v>
      </c>
      <c r="W70">
        <f t="shared" si="59"/>
        <v>30.010999999999999</v>
      </c>
      <c r="X70">
        <f t="shared" si="60"/>
        <v>4.2631423978423246</v>
      </c>
      <c r="Y70">
        <f t="shared" si="61"/>
        <v>65.702000080411551</v>
      </c>
      <c r="Z70">
        <f t="shared" si="62"/>
        <v>2.8923639997688801</v>
      </c>
      <c r="AA70">
        <f t="shared" si="63"/>
        <v>4.4022465012160445</v>
      </c>
      <c r="AB70">
        <f t="shared" si="64"/>
        <v>1.3707783980734445</v>
      </c>
      <c r="AC70">
        <f t="shared" si="65"/>
        <v>-251.54241838934587</v>
      </c>
      <c r="AD70">
        <f t="shared" si="66"/>
        <v>88.551047090855647</v>
      </c>
      <c r="AE70">
        <f t="shared" si="67"/>
        <v>6.7347134932541568</v>
      </c>
      <c r="AF70">
        <f t="shared" si="68"/>
        <v>188.09694149725317</v>
      </c>
      <c r="AG70">
        <v>0</v>
      </c>
      <c r="AH70">
        <v>0</v>
      </c>
      <c r="AI70">
        <f t="shared" si="69"/>
        <v>1</v>
      </c>
      <c r="AJ70">
        <f t="shared" si="70"/>
        <v>0</v>
      </c>
      <c r="AK70">
        <f t="shared" si="71"/>
        <v>51796.172982694341</v>
      </c>
      <c r="AL70" t="s">
        <v>427</v>
      </c>
      <c r="AM70" t="s">
        <v>427</v>
      </c>
      <c r="AN70">
        <v>0</v>
      </c>
      <c r="AO70">
        <v>0</v>
      </c>
      <c r="AP70" t="e">
        <f t="shared" si="72"/>
        <v>#DIV/0!</v>
      </c>
      <c r="AQ70">
        <v>0</v>
      </c>
      <c r="AR70" t="s">
        <v>427</v>
      </c>
      <c r="AS70" t="s">
        <v>427</v>
      </c>
      <c r="AT70">
        <v>0</v>
      </c>
      <c r="AU70">
        <v>0</v>
      </c>
      <c r="AV70" t="e">
        <f t="shared" si="73"/>
        <v>#DIV/0!</v>
      </c>
      <c r="AW70">
        <v>0.5</v>
      </c>
      <c r="AX70">
        <f t="shared" si="74"/>
        <v>1513.1171996512446</v>
      </c>
      <c r="AY70">
        <f t="shared" si="75"/>
        <v>9.5966497106710715</v>
      </c>
      <c r="AZ70" t="e">
        <f t="shared" si="76"/>
        <v>#DIV/0!</v>
      </c>
      <c r="BA70">
        <f t="shared" si="77"/>
        <v>6.3423042926767231E-3</v>
      </c>
      <c r="BB70" t="e">
        <f t="shared" si="78"/>
        <v>#DIV/0!</v>
      </c>
      <c r="BC70" t="e">
        <f t="shared" si="79"/>
        <v>#DIV/0!</v>
      </c>
      <c r="BD70" t="s">
        <v>427</v>
      </c>
      <c r="BE70">
        <v>0</v>
      </c>
      <c r="BF70" t="e">
        <f t="shared" si="80"/>
        <v>#DIV/0!</v>
      </c>
      <c r="BG70" t="e">
        <f t="shared" si="81"/>
        <v>#DIV/0!</v>
      </c>
      <c r="BH70" t="e">
        <f t="shared" si="82"/>
        <v>#DIV/0!</v>
      </c>
      <c r="BI70" t="e">
        <f t="shared" si="83"/>
        <v>#DIV/0!</v>
      </c>
      <c r="BJ70" t="e">
        <f t="shared" si="84"/>
        <v>#DIV/0!</v>
      </c>
      <c r="BK70" t="e">
        <f t="shared" si="85"/>
        <v>#DIV/0!</v>
      </c>
      <c r="BL70" t="e">
        <f t="shared" si="86"/>
        <v>#DIV/0!</v>
      </c>
      <c r="BM70" t="e">
        <f t="shared" si="87"/>
        <v>#DIV/0!</v>
      </c>
      <c r="BN70">
        <v>11310</v>
      </c>
      <c r="BO70">
        <v>290.00000000000011</v>
      </c>
      <c r="BP70">
        <v>839.82</v>
      </c>
      <c r="BQ70">
        <v>255</v>
      </c>
      <c r="BR70">
        <v>7107.22</v>
      </c>
      <c r="BS70">
        <v>842.74</v>
      </c>
      <c r="BT70">
        <v>-2.92</v>
      </c>
      <c r="BU70">
        <v>300.00000000000011</v>
      </c>
      <c r="BV70">
        <v>38.299999999999997</v>
      </c>
      <c r="BW70">
        <v>877.26261040087513</v>
      </c>
      <c r="BX70">
        <v>1.2582993626783561</v>
      </c>
      <c r="BY70">
        <v>-24.53326390405871</v>
      </c>
      <c r="BZ70">
        <v>0.74950704041378047</v>
      </c>
      <c r="CA70">
        <v>0.97453199618729169</v>
      </c>
      <c r="CB70">
        <v>-7.0062255839821999E-3</v>
      </c>
      <c r="CC70">
        <v>289.99999999999989</v>
      </c>
      <c r="CD70">
        <v>845.15</v>
      </c>
      <c r="CE70">
        <v>785</v>
      </c>
      <c r="CF70">
        <v>7098.43</v>
      </c>
      <c r="CG70">
        <v>842.7</v>
      </c>
      <c r="CH70">
        <v>2.4500000000000002</v>
      </c>
      <c r="CV70">
        <f t="shared" si="88"/>
        <v>1799.92</v>
      </c>
      <c r="CW70">
        <f t="shared" si="89"/>
        <v>1513.1171996512446</v>
      </c>
      <c r="CX70">
        <f t="shared" si="90"/>
        <v>0.84065802905198261</v>
      </c>
      <c r="CY70">
        <f t="shared" si="91"/>
        <v>0.19131605810396529</v>
      </c>
      <c r="CZ70">
        <v>5.9</v>
      </c>
      <c r="DA70">
        <v>0.5</v>
      </c>
      <c r="DB70" t="s">
        <v>418</v>
      </c>
      <c r="DC70">
        <v>2</v>
      </c>
      <c r="DD70">
        <v>1700158711</v>
      </c>
      <c r="DE70">
        <v>58.2911</v>
      </c>
      <c r="DF70">
        <v>70.004599999999996</v>
      </c>
      <c r="DG70">
        <v>29.1662</v>
      </c>
      <c r="DH70">
        <v>22.633500000000002</v>
      </c>
      <c r="DI70">
        <v>58.335599999999999</v>
      </c>
      <c r="DJ70">
        <v>29.166899999999998</v>
      </c>
      <c r="DK70">
        <v>500.12299999999999</v>
      </c>
      <c r="DL70">
        <v>99.0685</v>
      </c>
      <c r="DM70">
        <v>9.9852399999999994E-2</v>
      </c>
      <c r="DN70">
        <v>30.571200000000001</v>
      </c>
      <c r="DO70">
        <v>30.010999999999999</v>
      </c>
      <c r="DP70">
        <v>999.9</v>
      </c>
      <c r="DQ70">
        <v>0</v>
      </c>
      <c r="DR70">
        <v>0</v>
      </c>
      <c r="DS70">
        <v>10005.6</v>
      </c>
      <c r="DT70">
        <v>0</v>
      </c>
      <c r="DU70">
        <v>162.416</v>
      </c>
      <c r="DV70">
        <v>-11.7135</v>
      </c>
      <c r="DW70">
        <v>60.042299999999997</v>
      </c>
      <c r="DX70">
        <v>71.625699999999995</v>
      </c>
      <c r="DY70">
        <v>6.5327799999999998</v>
      </c>
      <c r="DZ70">
        <v>70.004599999999996</v>
      </c>
      <c r="EA70">
        <v>22.633500000000002</v>
      </c>
      <c r="EB70">
        <v>2.8894600000000001</v>
      </c>
      <c r="EC70">
        <v>2.2422599999999999</v>
      </c>
      <c r="ED70">
        <v>23.404299999999999</v>
      </c>
      <c r="EE70">
        <v>19.267499999999998</v>
      </c>
      <c r="EF70">
        <v>1799.92</v>
      </c>
      <c r="EG70">
        <v>0.97800600000000004</v>
      </c>
      <c r="EH70">
        <v>2.19939E-2</v>
      </c>
      <c r="EI70">
        <v>0</v>
      </c>
      <c r="EJ70">
        <v>756.76599999999996</v>
      </c>
      <c r="EK70">
        <v>5.0005300000000004</v>
      </c>
      <c r="EL70">
        <v>14735.5</v>
      </c>
      <c r="EM70">
        <v>16034.6</v>
      </c>
      <c r="EN70">
        <v>48.186999999999998</v>
      </c>
      <c r="EO70">
        <v>49.25</v>
      </c>
      <c r="EP70">
        <v>48.75</v>
      </c>
      <c r="EQ70">
        <v>48.811999999999998</v>
      </c>
      <c r="ER70">
        <v>49.375</v>
      </c>
      <c r="ES70">
        <v>1755.44</v>
      </c>
      <c r="ET70">
        <v>39.479999999999997</v>
      </c>
      <c r="EU70">
        <v>0</v>
      </c>
      <c r="EV70">
        <v>111.2000000476837</v>
      </c>
      <c r="EW70">
        <v>0</v>
      </c>
      <c r="EX70">
        <v>756.90492307692307</v>
      </c>
      <c r="EY70">
        <v>-1.3108376105178761</v>
      </c>
      <c r="EZ70">
        <v>38.601709312810158</v>
      </c>
      <c r="FA70">
        <v>14719.303846153851</v>
      </c>
      <c r="FB70">
        <v>15</v>
      </c>
      <c r="FC70">
        <v>1700158680</v>
      </c>
      <c r="FD70" t="s">
        <v>646</v>
      </c>
      <c r="FE70">
        <v>1700158667</v>
      </c>
      <c r="FF70">
        <v>1700158680</v>
      </c>
      <c r="FG70">
        <v>59</v>
      </c>
      <c r="FH70">
        <v>7.5999999999999998E-2</v>
      </c>
      <c r="FI70">
        <v>2E-3</v>
      </c>
      <c r="FJ70">
        <v>-4.3999999999999997E-2</v>
      </c>
      <c r="FK70">
        <v>-1E-3</v>
      </c>
      <c r="FL70">
        <v>70</v>
      </c>
      <c r="FM70">
        <v>22</v>
      </c>
      <c r="FN70">
        <v>0.14000000000000001</v>
      </c>
      <c r="FO70">
        <v>0.01</v>
      </c>
      <c r="FP70">
        <v>9.6189568877508922</v>
      </c>
      <c r="FQ70">
        <v>3.1789070946840123E-2</v>
      </c>
      <c r="FR70">
        <v>1.845612949670785E-2</v>
      </c>
      <c r="FS70">
        <v>1</v>
      </c>
      <c r="FT70">
        <v>0.43040564259421288</v>
      </c>
      <c r="FU70">
        <v>3.7165486298815401E-2</v>
      </c>
      <c r="FV70">
        <v>3.5464645677023821E-3</v>
      </c>
      <c r="FW70">
        <v>1</v>
      </c>
      <c r="FX70">
        <v>2</v>
      </c>
      <c r="FY70">
        <v>2</v>
      </c>
      <c r="FZ70" t="s">
        <v>420</v>
      </c>
      <c r="GA70">
        <v>3.1247799999999999</v>
      </c>
      <c r="GB70">
        <v>2.7667799999999998</v>
      </c>
      <c r="GC70">
        <v>1.5503599999999999E-2</v>
      </c>
      <c r="GD70">
        <v>1.85763E-2</v>
      </c>
      <c r="GE70">
        <v>0.12247</v>
      </c>
      <c r="GF70">
        <v>0.102729</v>
      </c>
      <c r="GG70">
        <v>23439.1</v>
      </c>
      <c r="GH70">
        <v>24330.7</v>
      </c>
      <c r="GI70">
        <v>23679.4</v>
      </c>
      <c r="GJ70">
        <v>25116.1</v>
      </c>
      <c r="GK70">
        <v>29930.400000000001</v>
      </c>
      <c r="GL70">
        <v>31594.6</v>
      </c>
      <c r="GM70">
        <v>37751.599999999999</v>
      </c>
      <c r="GN70">
        <v>39092.6</v>
      </c>
      <c r="GO70">
        <v>2.1448</v>
      </c>
      <c r="GP70">
        <v>1.7495499999999999</v>
      </c>
      <c r="GQ70">
        <v>1.29975E-2</v>
      </c>
      <c r="GR70">
        <v>0</v>
      </c>
      <c r="GS70">
        <v>29.799399999999999</v>
      </c>
      <c r="GT70">
        <v>999.9</v>
      </c>
      <c r="GU70">
        <v>37.700000000000003</v>
      </c>
      <c r="GV70">
        <v>40.1</v>
      </c>
      <c r="GW70">
        <v>28.363399999999999</v>
      </c>
      <c r="GX70">
        <v>60.443800000000003</v>
      </c>
      <c r="GY70">
        <v>26.678699999999999</v>
      </c>
      <c r="GZ70">
        <v>1</v>
      </c>
      <c r="HA70">
        <v>0.64633399999999996</v>
      </c>
      <c r="HB70">
        <v>2.4216600000000001</v>
      </c>
      <c r="HC70">
        <v>20.3034</v>
      </c>
      <c r="HD70">
        <v>5.2505300000000004</v>
      </c>
      <c r="HE70">
        <v>12.0099</v>
      </c>
      <c r="HF70">
        <v>4.9788500000000004</v>
      </c>
      <c r="HG70">
        <v>3.2930000000000001</v>
      </c>
      <c r="HH70">
        <v>9999</v>
      </c>
      <c r="HI70">
        <v>9999</v>
      </c>
      <c r="HJ70">
        <v>9999</v>
      </c>
      <c r="HK70">
        <v>999.9</v>
      </c>
      <c r="HL70">
        <v>1.8760600000000001</v>
      </c>
      <c r="HM70">
        <v>1.8769100000000001</v>
      </c>
      <c r="HN70">
        <v>1.88323</v>
      </c>
      <c r="HO70">
        <v>1.88629</v>
      </c>
      <c r="HP70">
        <v>1.8771</v>
      </c>
      <c r="HQ70">
        <v>1.88361</v>
      </c>
      <c r="HR70">
        <v>1.88256</v>
      </c>
      <c r="HS70">
        <v>1.8859900000000001</v>
      </c>
      <c r="HT70">
        <v>5</v>
      </c>
      <c r="HU70">
        <v>0</v>
      </c>
      <c r="HV70">
        <v>0</v>
      </c>
      <c r="HW70">
        <v>0</v>
      </c>
      <c r="HX70" t="s">
        <v>421</v>
      </c>
      <c r="HY70" t="s">
        <v>422</v>
      </c>
      <c r="HZ70" t="s">
        <v>423</v>
      </c>
      <c r="IA70" t="s">
        <v>424</v>
      </c>
      <c r="IB70" t="s">
        <v>424</v>
      </c>
      <c r="IC70" t="s">
        <v>423</v>
      </c>
      <c r="ID70">
        <v>0</v>
      </c>
      <c r="IE70">
        <v>100</v>
      </c>
      <c r="IF70">
        <v>100</v>
      </c>
      <c r="IG70">
        <v>-4.3999999999999997E-2</v>
      </c>
      <c r="IH70">
        <v>-6.9999999999999999E-4</v>
      </c>
      <c r="II70">
        <v>-4.6453650358974488E-2</v>
      </c>
      <c r="IJ70">
        <v>4.4610147972834149E-5</v>
      </c>
      <c r="IK70">
        <v>-2.082673137682459E-7</v>
      </c>
      <c r="IL70">
        <v>-4.0725795306076518E-11</v>
      </c>
      <c r="IM70">
        <v>-6.5000000000026148E-4</v>
      </c>
      <c r="IN70">
        <v>0</v>
      </c>
      <c r="IO70">
        <v>0</v>
      </c>
      <c r="IP70">
        <v>0</v>
      </c>
      <c r="IQ70">
        <v>3</v>
      </c>
      <c r="IR70">
        <v>2179</v>
      </c>
      <c r="IS70">
        <v>0</v>
      </c>
      <c r="IT70">
        <v>22</v>
      </c>
      <c r="IU70">
        <v>0.7</v>
      </c>
      <c r="IV70">
        <v>0.5</v>
      </c>
      <c r="IW70">
        <v>0.305176</v>
      </c>
      <c r="IX70">
        <v>2.7355999999999998</v>
      </c>
      <c r="IY70">
        <v>1.6015600000000001</v>
      </c>
      <c r="IZ70">
        <v>2.323</v>
      </c>
      <c r="JA70">
        <v>1.5502899999999999</v>
      </c>
      <c r="JB70">
        <v>2.33887</v>
      </c>
      <c r="JC70">
        <v>43.6721</v>
      </c>
      <c r="JD70">
        <v>24.2013</v>
      </c>
      <c r="JE70">
        <v>18</v>
      </c>
      <c r="JF70">
        <v>616.68299999999999</v>
      </c>
      <c r="JG70">
        <v>389.416</v>
      </c>
      <c r="JH70">
        <v>27.6919</v>
      </c>
      <c r="JI70">
        <v>35.018900000000002</v>
      </c>
      <c r="JJ70">
        <v>29.9999</v>
      </c>
      <c r="JK70">
        <v>35.128700000000002</v>
      </c>
      <c r="JL70">
        <v>35.120399999999997</v>
      </c>
      <c r="JM70">
        <v>6.0965199999999999</v>
      </c>
      <c r="JN70">
        <v>25.852499999999999</v>
      </c>
      <c r="JO70">
        <v>46.677999999999997</v>
      </c>
      <c r="JP70">
        <v>27.683399999999999</v>
      </c>
      <c r="JQ70">
        <v>70</v>
      </c>
      <c r="JR70">
        <v>22.482199999999999</v>
      </c>
      <c r="JS70">
        <v>98.460099999999997</v>
      </c>
      <c r="JT70">
        <v>98.924800000000005</v>
      </c>
    </row>
    <row r="71" spans="1:280" x14ac:dyDescent="0.25">
      <c r="A71">
        <v>55</v>
      </c>
      <c r="B71">
        <v>1700158808.5</v>
      </c>
      <c r="C71">
        <v>10935</v>
      </c>
      <c r="D71" t="s">
        <v>647</v>
      </c>
      <c r="E71" t="s">
        <v>648</v>
      </c>
      <c r="F71" t="s">
        <v>412</v>
      </c>
      <c r="G71" t="s">
        <v>598</v>
      </c>
      <c r="H71" t="s">
        <v>413</v>
      </c>
      <c r="I71">
        <v>1700158808.5</v>
      </c>
      <c r="J71">
        <f t="shared" si="46"/>
        <v>5.9482547951954061E-3</v>
      </c>
      <c r="K71">
        <f t="shared" si="47"/>
        <v>5.9482547951954059</v>
      </c>
      <c r="L71">
        <f t="shared" si="48"/>
        <v>4.0697789308774839</v>
      </c>
      <c r="M71">
        <f t="shared" si="49"/>
        <v>25.067299999999999</v>
      </c>
      <c r="N71">
        <f t="shared" si="50"/>
        <v>9.0382131303854596</v>
      </c>
      <c r="O71">
        <f t="shared" si="51"/>
        <v>0.89632595542708449</v>
      </c>
      <c r="P71">
        <f t="shared" si="52"/>
        <v>2.4859417783522799</v>
      </c>
      <c r="Q71">
        <f t="shared" si="53"/>
        <v>0.44631806678827091</v>
      </c>
      <c r="R71">
        <f t="shared" si="54"/>
        <v>2.9350374859029706</v>
      </c>
      <c r="S71">
        <f t="shared" si="55"/>
        <v>0.41175303006596198</v>
      </c>
      <c r="T71">
        <f t="shared" si="56"/>
        <v>0.26022774134407067</v>
      </c>
      <c r="U71">
        <f t="shared" si="57"/>
        <v>344.40869930260158</v>
      </c>
      <c r="V71">
        <f t="shared" si="58"/>
        <v>31.043170002808438</v>
      </c>
      <c r="W71">
        <f t="shared" si="59"/>
        <v>30.037700000000001</v>
      </c>
      <c r="X71">
        <f t="shared" si="60"/>
        <v>4.2696843037231922</v>
      </c>
      <c r="Y71">
        <f t="shared" si="61"/>
        <v>65.657902426809045</v>
      </c>
      <c r="Z71">
        <f t="shared" si="62"/>
        <v>2.88875334223476</v>
      </c>
      <c r="AA71">
        <f t="shared" si="63"/>
        <v>4.3997039738741961</v>
      </c>
      <c r="AB71">
        <f t="shared" si="64"/>
        <v>1.3809309614884322</v>
      </c>
      <c r="AC71">
        <f t="shared" si="65"/>
        <v>-262.31803646811738</v>
      </c>
      <c r="AD71">
        <f t="shared" si="66"/>
        <v>82.819540007996309</v>
      </c>
      <c r="AE71">
        <f t="shared" si="67"/>
        <v>6.2928205356857729</v>
      </c>
      <c r="AF71">
        <f t="shared" si="68"/>
        <v>171.20302337816628</v>
      </c>
      <c r="AG71">
        <v>0</v>
      </c>
      <c r="AH71">
        <v>0</v>
      </c>
      <c r="AI71">
        <f t="shared" si="69"/>
        <v>1</v>
      </c>
      <c r="AJ71">
        <f t="shared" si="70"/>
        <v>0</v>
      </c>
      <c r="AK71">
        <f t="shared" si="71"/>
        <v>51883.13897747088</v>
      </c>
      <c r="AL71" t="s">
        <v>415</v>
      </c>
      <c r="AM71">
        <v>6977.87</v>
      </c>
      <c r="AN71">
        <v>273.15280000000001</v>
      </c>
      <c r="AO71">
        <v>850.46774885301022</v>
      </c>
      <c r="AP71">
        <f t="shared" si="72"/>
        <v>0.67882050745793765</v>
      </c>
      <c r="AQ71">
        <v>-1.0323826813720729</v>
      </c>
      <c r="AR71" t="s">
        <v>649</v>
      </c>
      <c r="AS71">
        <v>7107.46</v>
      </c>
      <c r="AT71">
        <v>775.66195999999991</v>
      </c>
      <c r="AU71">
        <v>838.41391141466806</v>
      </c>
      <c r="AV71">
        <f t="shared" si="73"/>
        <v>7.4846028388037888E-2</v>
      </c>
      <c r="AW71">
        <v>0.5</v>
      </c>
      <c r="AX71">
        <f t="shared" si="74"/>
        <v>1513.3607996513008</v>
      </c>
      <c r="AY71">
        <f t="shared" si="75"/>
        <v>4.0697789308774839</v>
      </c>
      <c r="AZ71">
        <f t="shared" si="76"/>
        <v>56.634522686022493</v>
      </c>
      <c r="BA71">
        <f t="shared" si="77"/>
        <v>3.3714112414073133E-3</v>
      </c>
      <c r="BB71">
        <f t="shared" si="78"/>
        <v>1.437695304697836E-2</v>
      </c>
      <c r="BC71">
        <f t="shared" si="79"/>
        <v>271.89729182782793</v>
      </c>
      <c r="BD71" t="s">
        <v>650</v>
      </c>
      <c r="BE71">
        <v>537.91999999999996</v>
      </c>
      <c r="BF71">
        <f t="shared" si="80"/>
        <v>537.91999999999996</v>
      </c>
      <c r="BG71">
        <f t="shared" si="81"/>
        <v>0.35840759238791775</v>
      </c>
      <c r="BH71">
        <f t="shared" si="82"/>
        <v>0.2088293606990036</v>
      </c>
      <c r="BI71">
        <f t="shared" si="83"/>
        <v>3.8566387000314055E-2</v>
      </c>
      <c r="BJ71">
        <f t="shared" si="84"/>
        <v>0.11101409622469882</v>
      </c>
      <c r="BK71">
        <f t="shared" si="85"/>
        <v>2.08791361843138E-2</v>
      </c>
      <c r="BL71">
        <f t="shared" si="86"/>
        <v>0.14482273915715554</v>
      </c>
      <c r="BM71">
        <f t="shared" si="87"/>
        <v>0.85517726084284451</v>
      </c>
      <c r="BN71">
        <v>11312</v>
      </c>
      <c r="BO71">
        <v>290.00000000000011</v>
      </c>
      <c r="BP71">
        <v>817.81</v>
      </c>
      <c r="BQ71">
        <v>245</v>
      </c>
      <c r="BR71">
        <v>7107.46</v>
      </c>
      <c r="BS71">
        <v>818.37</v>
      </c>
      <c r="BT71">
        <v>-0.56000000000000005</v>
      </c>
      <c r="BU71">
        <v>300.00000000000011</v>
      </c>
      <c r="BV71">
        <v>38.299999999999997</v>
      </c>
      <c r="BW71">
        <v>838.41391141466806</v>
      </c>
      <c r="BX71">
        <v>1.1431795150408079</v>
      </c>
      <c r="BY71">
        <v>-14.245967204919859</v>
      </c>
      <c r="BZ71">
        <v>0.68091390880083769</v>
      </c>
      <c r="CA71">
        <v>0.93987843892785972</v>
      </c>
      <c r="CB71">
        <v>-7.0060578420467149E-3</v>
      </c>
      <c r="CC71">
        <v>289.99999999999989</v>
      </c>
      <c r="CD71">
        <v>817.31</v>
      </c>
      <c r="CE71">
        <v>655</v>
      </c>
      <c r="CF71">
        <v>7101.54</v>
      </c>
      <c r="CG71">
        <v>818.35</v>
      </c>
      <c r="CH71">
        <v>-1.04</v>
      </c>
      <c r="CV71">
        <f t="shared" si="88"/>
        <v>1800.21</v>
      </c>
      <c r="CW71">
        <f t="shared" si="89"/>
        <v>1513.3607996513008</v>
      </c>
      <c r="CX71">
        <f t="shared" si="90"/>
        <v>0.84065792304858922</v>
      </c>
      <c r="CY71">
        <f t="shared" si="91"/>
        <v>0.19131584609717842</v>
      </c>
      <c r="CZ71">
        <v>5.9</v>
      </c>
      <c r="DA71">
        <v>0.5</v>
      </c>
      <c r="DB71" t="s">
        <v>418</v>
      </c>
      <c r="DC71">
        <v>2</v>
      </c>
      <c r="DD71">
        <v>1700158808.5</v>
      </c>
      <c r="DE71">
        <v>25.067299999999999</v>
      </c>
      <c r="DF71">
        <v>30.044499999999999</v>
      </c>
      <c r="DG71">
        <v>29.129100000000001</v>
      </c>
      <c r="DH71">
        <v>22.316099999999999</v>
      </c>
      <c r="DI71">
        <v>25.0321</v>
      </c>
      <c r="DJ71">
        <v>29.132000000000001</v>
      </c>
      <c r="DK71">
        <v>500.10899999999998</v>
      </c>
      <c r="DL71">
        <v>99.071100000000001</v>
      </c>
      <c r="DM71">
        <v>9.96036E-2</v>
      </c>
      <c r="DN71">
        <v>30.5611</v>
      </c>
      <c r="DO71">
        <v>30.037700000000001</v>
      </c>
      <c r="DP71">
        <v>999.9</v>
      </c>
      <c r="DQ71">
        <v>0</v>
      </c>
      <c r="DR71">
        <v>0</v>
      </c>
      <c r="DS71">
        <v>10022.5</v>
      </c>
      <c r="DT71">
        <v>0</v>
      </c>
      <c r="DU71">
        <v>313.065</v>
      </c>
      <c r="DV71">
        <v>-4.9772100000000004</v>
      </c>
      <c r="DW71">
        <v>25.819400000000002</v>
      </c>
      <c r="DX71">
        <v>30.7303</v>
      </c>
      <c r="DY71">
        <v>6.8129799999999996</v>
      </c>
      <c r="DZ71">
        <v>30.044499999999999</v>
      </c>
      <c r="EA71">
        <v>22.316099999999999</v>
      </c>
      <c r="EB71">
        <v>2.88585</v>
      </c>
      <c r="EC71">
        <v>2.21088</v>
      </c>
      <c r="ED71">
        <v>23.383600000000001</v>
      </c>
      <c r="EE71">
        <v>19.041399999999999</v>
      </c>
      <c r="EF71">
        <v>1800.21</v>
      </c>
      <c r="EG71">
        <v>0.97801000000000005</v>
      </c>
      <c r="EH71">
        <v>2.1990300000000001E-2</v>
      </c>
      <c r="EI71">
        <v>0</v>
      </c>
      <c r="EJ71">
        <v>775.39200000000005</v>
      </c>
      <c r="EK71">
        <v>5.0005300000000004</v>
      </c>
      <c r="EL71">
        <v>15175.2</v>
      </c>
      <c r="EM71">
        <v>16037.2</v>
      </c>
      <c r="EN71">
        <v>48.125</v>
      </c>
      <c r="EO71">
        <v>49.311999999999998</v>
      </c>
      <c r="EP71">
        <v>48.75</v>
      </c>
      <c r="EQ71">
        <v>48.75</v>
      </c>
      <c r="ER71">
        <v>49.375</v>
      </c>
      <c r="ES71">
        <v>1755.73</v>
      </c>
      <c r="ET71">
        <v>39.479999999999997</v>
      </c>
      <c r="EU71">
        <v>0</v>
      </c>
      <c r="EV71">
        <v>209</v>
      </c>
      <c r="EW71">
        <v>0</v>
      </c>
      <c r="EX71">
        <v>775.66195999999991</v>
      </c>
      <c r="EY71">
        <v>-0.88299999144207408</v>
      </c>
      <c r="EZ71">
        <v>-279.26923019871811</v>
      </c>
      <c r="FA71">
        <v>15224.392</v>
      </c>
      <c r="FB71">
        <v>15</v>
      </c>
      <c r="FC71">
        <v>1700158778.5</v>
      </c>
      <c r="FD71" t="s">
        <v>651</v>
      </c>
      <c r="FE71">
        <v>1700158766</v>
      </c>
      <c r="FF71">
        <v>1700158778.5</v>
      </c>
      <c r="FG71">
        <v>60</v>
      </c>
      <c r="FH71">
        <v>8.1000000000000003E-2</v>
      </c>
      <c r="FI71">
        <v>-2E-3</v>
      </c>
      <c r="FJ71">
        <v>3.5000000000000003E-2</v>
      </c>
      <c r="FK71">
        <v>-3.0000000000000001E-3</v>
      </c>
      <c r="FL71">
        <v>30</v>
      </c>
      <c r="FM71">
        <v>22</v>
      </c>
      <c r="FN71">
        <v>0.42</v>
      </c>
      <c r="FO71">
        <v>0.02</v>
      </c>
      <c r="FP71">
        <v>4.0761470502027359</v>
      </c>
      <c r="FQ71">
        <v>-2.5455956799609339E-2</v>
      </c>
      <c r="FR71">
        <v>1.4546365088613769E-2</v>
      </c>
      <c r="FS71">
        <v>1</v>
      </c>
      <c r="FT71">
        <v>0.44274633113008</v>
      </c>
      <c r="FU71">
        <v>4.3657575356615498E-2</v>
      </c>
      <c r="FV71">
        <v>3.7371820985464231E-3</v>
      </c>
      <c r="FW71">
        <v>1</v>
      </c>
      <c r="FX71">
        <v>2</v>
      </c>
      <c r="FY71">
        <v>2</v>
      </c>
      <c r="FZ71" t="s">
        <v>420</v>
      </c>
      <c r="GA71">
        <v>3.1246499999999999</v>
      </c>
      <c r="GB71">
        <v>2.76667</v>
      </c>
      <c r="GC71">
        <v>6.6941400000000003E-3</v>
      </c>
      <c r="GD71">
        <v>8.0395799999999993E-3</v>
      </c>
      <c r="GE71">
        <v>0.12238599999999999</v>
      </c>
      <c r="GF71">
        <v>0.101719</v>
      </c>
      <c r="GG71">
        <v>23650.1</v>
      </c>
      <c r="GH71">
        <v>24592.3</v>
      </c>
      <c r="GI71">
        <v>23681</v>
      </c>
      <c r="GJ71">
        <v>25116.9</v>
      </c>
      <c r="GK71">
        <v>29935.3</v>
      </c>
      <c r="GL71">
        <v>31630.400000000001</v>
      </c>
      <c r="GM71">
        <v>37754.1</v>
      </c>
      <c r="GN71">
        <v>39092.9</v>
      </c>
      <c r="GO71">
        <v>2.1453799999999998</v>
      </c>
      <c r="GP71">
        <v>1.7502800000000001</v>
      </c>
      <c r="GQ71">
        <v>8.0652499999999995E-3</v>
      </c>
      <c r="GR71">
        <v>0</v>
      </c>
      <c r="GS71">
        <v>29.906500000000001</v>
      </c>
      <c r="GT71">
        <v>999.9</v>
      </c>
      <c r="GU71">
        <v>37.6</v>
      </c>
      <c r="GV71">
        <v>40.1</v>
      </c>
      <c r="GW71">
        <v>28.285799999999998</v>
      </c>
      <c r="GX71">
        <v>59.893799999999999</v>
      </c>
      <c r="GY71">
        <v>27.2196</v>
      </c>
      <c r="GZ71">
        <v>1</v>
      </c>
      <c r="HA71">
        <v>0.64466500000000004</v>
      </c>
      <c r="HB71">
        <v>2.62947</v>
      </c>
      <c r="HC71">
        <v>20.3001</v>
      </c>
      <c r="HD71">
        <v>5.2524800000000003</v>
      </c>
      <c r="HE71">
        <v>12.0099</v>
      </c>
      <c r="HF71">
        <v>4.9787499999999998</v>
      </c>
      <c r="HG71">
        <v>3.2930000000000001</v>
      </c>
      <c r="HH71">
        <v>9999</v>
      </c>
      <c r="HI71">
        <v>9999</v>
      </c>
      <c r="HJ71">
        <v>9999</v>
      </c>
      <c r="HK71">
        <v>999.9</v>
      </c>
      <c r="HL71">
        <v>1.8760600000000001</v>
      </c>
      <c r="HM71">
        <v>1.87687</v>
      </c>
      <c r="HN71">
        <v>1.88323</v>
      </c>
      <c r="HO71">
        <v>1.88629</v>
      </c>
      <c r="HP71">
        <v>1.8771199999999999</v>
      </c>
      <c r="HQ71">
        <v>1.88358</v>
      </c>
      <c r="HR71">
        <v>1.8826099999999999</v>
      </c>
      <c r="HS71">
        <v>1.8859900000000001</v>
      </c>
      <c r="HT71">
        <v>5</v>
      </c>
      <c r="HU71">
        <v>0</v>
      </c>
      <c r="HV71">
        <v>0</v>
      </c>
      <c r="HW71">
        <v>0</v>
      </c>
      <c r="HX71" t="s">
        <v>421</v>
      </c>
      <c r="HY71" t="s">
        <v>422</v>
      </c>
      <c r="HZ71" t="s">
        <v>423</v>
      </c>
      <c r="IA71" t="s">
        <v>424</v>
      </c>
      <c r="IB71" t="s">
        <v>424</v>
      </c>
      <c r="IC71" t="s">
        <v>423</v>
      </c>
      <c r="ID71">
        <v>0</v>
      </c>
      <c r="IE71">
        <v>100</v>
      </c>
      <c r="IF71">
        <v>100</v>
      </c>
      <c r="IG71">
        <v>3.5000000000000003E-2</v>
      </c>
      <c r="IH71">
        <v>-2.8999999999999998E-3</v>
      </c>
      <c r="II71">
        <v>3.4175674366267547E-2</v>
      </c>
      <c r="IJ71">
        <v>4.4610147972834149E-5</v>
      </c>
      <c r="IK71">
        <v>-2.082673137682459E-7</v>
      </c>
      <c r="IL71">
        <v>-4.0725795306076518E-11</v>
      </c>
      <c r="IM71">
        <v>-2.8350000000010311E-3</v>
      </c>
      <c r="IN71">
        <v>0</v>
      </c>
      <c r="IO71">
        <v>0</v>
      </c>
      <c r="IP71">
        <v>0</v>
      </c>
      <c r="IQ71">
        <v>3</v>
      </c>
      <c r="IR71">
        <v>2179</v>
      </c>
      <c r="IS71">
        <v>0</v>
      </c>
      <c r="IT71">
        <v>22</v>
      </c>
      <c r="IU71">
        <v>0.7</v>
      </c>
      <c r="IV71">
        <v>0.5</v>
      </c>
      <c r="IW71">
        <v>0.21606400000000001</v>
      </c>
      <c r="IX71">
        <v>2.7429199999999998</v>
      </c>
      <c r="IY71">
        <v>1.6015600000000001</v>
      </c>
      <c r="IZ71">
        <v>2.323</v>
      </c>
      <c r="JA71">
        <v>1.5502899999999999</v>
      </c>
      <c r="JB71">
        <v>2.3864700000000001</v>
      </c>
      <c r="JC71">
        <v>43.6173</v>
      </c>
      <c r="JD71">
        <v>24.2013</v>
      </c>
      <c r="JE71">
        <v>18</v>
      </c>
      <c r="JF71">
        <v>616.62</v>
      </c>
      <c r="JG71">
        <v>389.52699999999999</v>
      </c>
      <c r="JH71">
        <v>27.646599999999999</v>
      </c>
      <c r="JI71">
        <v>34.982999999999997</v>
      </c>
      <c r="JJ71">
        <v>30.000399999999999</v>
      </c>
      <c r="JK71">
        <v>35.075899999999997</v>
      </c>
      <c r="JL71">
        <v>35.065399999999997</v>
      </c>
      <c r="JM71">
        <v>4.3238000000000003</v>
      </c>
      <c r="JN71">
        <v>26.809699999999999</v>
      </c>
      <c r="JO71">
        <v>46.3857</v>
      </c>
      <c r="JP71">
        <v>27.632100000000001</v>
      </c>
      <c r="JQ71">
        <v>30</v>
      </c>
      <c r="JR71">
        <v>22.2606</v>
      </c>
      <c r="JS71">
        <v>98.466700000000003</v>
      </c>
      <c r="JT71">
        <v>98.926400000000001</v>
      </c>
    </row>
    <row r="72" spans="1:280" x14ac:dyDescent="0.25">
      <c r="A72">
        <v>56</v>
      </c>
      <c r="B72">
        <v>1700158924.5</v>
      </c>
      <c r="C72">
        <v>11051</v>
      </c>
      <c r="D72" t="s">
        <v>652</v>
      </c>
      <c r="E72" t="s">
        <v>653</v>
      </c>
      <c r="F72" t="s">
        <v>412</v>
      </c>
      <c r="G72" t="s">
        <v>598</v>
      </c>
      <c r="H72" t="s">
        <v>413</v>
      </c>
      <c r="I72">
        <v>1700158924.5</v>
      </c>
      <c r="J72">
        <f t="shared" si="46"/>
        <v>6.1988288377850861E-3</v>
      </c>
      <c r="K72">
        <f t="shared" si="47"/>
        <v>6.1988288377850864</v>
      </c>
      <c r="L72">
        <f t="shared" si="48"/>
        <v>1.2980632625706423</v>
      </c>
      <c r="M72">
        <f t="shared" si="49"/>
        <v>8.3669700000000002</v>
      </c>
      <c r="N72">
        <f t="shared" si="50"/>
        <v>3.4809165666340549</v>
      </c>
      <c r="O72">
        <f t="shared" si="51"/>
        <v>0.3451922717649597</v>
      </c>
      <c r="P72">
        <f t="shared" si="52"/>
        <v>0.82972783943571593</v>
      </c>
      <c r="Q72">
        <f t="shared" si="53"/>
        <v>0.4702734283916053</v>
      </c>
      <c r="R72">
        <f t="shared" si="54"/>
        <v>2.929889376781535</v>
      </c>
      <c r="S72">
        <f t="shared" si="55"/>
        <v>0.43200715759876984</v>
      </c>
      <c r="T72">
        <f t="shared" si="56"/>
        <v>0.2731825984369462</v>
      </c>
      <c r="U72">
        <f t="shared" si="57"/>
        <v>344.3592993025008</v>
      </c>
      <c r="V72">
        <f t="shared" si="58"/>
        <v>30.99426393977404</v>
      </c>
      <c r="W72">
        <f t="shared" si="59"/>
        <v>29.9925</v>
      </c>
      <c r="X72">
        <f t="shared" si="60"/>
        <v>4.2586147413460793</v>
      </c>
      <c r="Y72">
        <f t="shared" si="61"/>
        <v>65.55820032651468</v>
      </c>
      <c r="Z72">
        <f t="shared" si="62"/>
        <v>2.8869416155273195</v>
      </c>
      <c r="AA72">
        <f t="shared" si="63"/>
        <v>4.4036315840715821</v>
      </c>
      <c r="AB72">
        <f t="shared" si="64"/>
        <v>1.3716731258187598</v>
      </c>
      <c r="AC72">
        <f t="shared" si="65"/>
        <v>-273.36835174632228</v>
      </c>
      <c r="AD72">
        <f t="shared" si="66"/>
        <v>92.278009750547014</v>
      </c>
      <c r="AE72">
        <f t="shared" si="67"/>
        <v>7.0227900032364534</v>
      </c>
      <c r="AF72">
        <f t="shared" si="68"/>
        <v>170.29174730996203</v>
      </c>
      <c r="AG72">
        <v>0</v>
      </c>
      <c r="AH72">
        <v>0</v>
      </c>
      <c r="AI72">
        <f t="shared" si="69"/>
        <v>1</v>
      </c>
      <c r="AJ72">
        <f t="shared" si="70"/>
        <v>0</v>
      </c>
      <c r="AK72">
        <f t="shared" si="71"/>
        <v>51735.665801417861</v>
      </c>
      <c r="AL72" t="s">
        <v>427</v>
      </c>
      <c r="AM72" t="s">
        <v>427</v>
      </c>
      <c r="AN72">
        <v>0</v>
      </c>
      <c r="AO72">
        <v>0</v>
      </c>
      <c r="AP72" t="e">
        <f t="shared" si="72"/>
        <v>#DIV/0!</v>
      </c>
      <c r="AQ72">
        <v>0</v>
      </c>
      <c r="AR72" t="s">
        <v>427</v>
      </c>
      <c r="AS72" t="s">
        <v>427</v>
      </c>
      <c r="AT72">
        <v>0</v>
      </c>
      <c r="AU72">
        <v>0</v>
      </c>
      <c r="AV72" t="e">
        <f t="shared" si="73"/>
        <v>#DIV/0!</v>
      </c>
      <c r="AW72">
        <v>0.5</v>
      </c>
      <c r="AX72">
        <f t="shared" si="74"/>
        <v>1513.1423996512503</v>
      </c>
      <c r="AY72">
        <f t="shared" si="75"/>
        <v>1.2980632625706423</v>
      </c>
      <c r="AZ72" t="e">
        <f t="shared" si="76"/>
        <v>#DIV/0!</v>
      </c>
      <c r="BA72">
        <f t="shared" si="77"/>
        <v>8.5785928863656223E-4</v>
      </c>
      <c r="BB72" t="e">
        <f t="shared" si="78"/>
        <v>#DIV/0!</v>
      </c>
      <c r="BC72" t="e">
        <f t="shared" si="79"/>
        <v>#DIV/0!</v>
      </c>
      <c r="BD72" t="s">
        <v>427</v>
      </c>
      <c r="BE72">
        <v>0</v>
      </c>
      <c r="BF72" t="e">
        <f t="shared" si="80"/>
        <v>#DIV/0!</v>
      </c>
      <c r="BG72" t="e">
        <f t="shared" si="81"/>
        <v>#DIV/0!</v>
      </c>
      <c r="BH72" t="e">
        <f t="shared" si="82"/>
        <v>#DIV/0!</v>
      </c>
      <c r="BI72" t="e">
        <f t="shared" si="83"/>
        <v>#DIV/0!</v>
      </c>
      <c r="BJ72" t="e">
        <f t="shared" si="84"/>
        <v>#DIV/0!</v>
      </c>
      <c r="BK72" t="e">
        <f t="shared" si="85"/>
        <v>#DIV/0!</v>
      </c>
      <c r="BL72" t="e">
        <f t="shared" si="86"/>
        <v>#DIV/0!</v>
      </c>
      <c r="BM72" t="e">
        <f t="shared" si="87"/>
        <v>#DIV/0!</v>
      </c>
      <c r="BN72">
        <v>11312</v>
      </c>
      <c r="BO72">
        <v>290.00000000000011</v>
      </c>
      <c r="BP72">
        <v>817.81</v>
      </c>
      <c r="BQ72">
        <v>245</v>
      </c>
      <c r="BR72">
        <v>7107.46</v>
      </c>
      <c r="BS72">
        <v>818.37</v>
      </c>
      <c r="BT72">
        <v>-0.56000000000000005</v>
      </c>
      <c r="BU72">
        <v>300.00000000000011</v>
      </c>
      <c r="BV72">
        <v>38.299999999999997</v>
      </c>
      <c r="BW72">
        <v>838.41391141466806</v>
      </c>
      <c r="BX72">
        <v>1.1431795150408079</v>
      </c>
      <c r="BY72">
        <v>-14.245967204919859</v>
      </c>
      <c r="BZ72">
        <v>0.68091390880083769</v>
      </c>
      <c r="CA72">
        <v>0.93987843892785972</v>
      </c>
      <c r="CB72">
        <v>-7.0060578420467149E-3</v>
      </c>
      <c r="CC72">
        <v>289.99999999999989</v>
      </c>
      <c r="CD72">
        <v>817.31</v>
      </c>
      <c r="CE72">
        <v>655</v>
      </c>
      <c r="CF72">
        <v>7101.54</v>
      </c>
      <c r="CG72">
        <v>818.35</v>
      </c>
      <c r="CH72">
        <v>-1.04</v>
      </c>
      <c r="CV72">
        <f t="shared" si="88"/>
        <v>1799.95</v>
      </c>
      <c r="CW72">
        <f t="shared" si="89"/>
        <v>1513.1423996512503</v>
      </c>
      <c r="CX72">
        <f t="shared" si="90"/>
        <v>0.84065801808453033</v>
      </c>
      <c r="CY72">
        <f t="shared" si="91"/>
        <v>0.1913160361690607</v>
      </c>
      <c r="CZ72">
        <v>5.9</v>
      </c>
      <c r="DA72">
        <v>0.5</v>
      </c>
      <c r="DB72" t="s">
        <v>418</v>
      </c>
      <c r="DC72">
        <v>2</v>
      </c>
      <c r="DD72">
        <v>1700158924.5</v>
      </c>
      <c r="DE72">
        <v>8.3669700000000002</v>
      </c>
      <c r="DF72">
        <v>9.9595099999999999</v>
      </c>
      <c r="DG72">
        <v>29.111899999999999</v>
      </c>
      <c r="DH72">
        <v>22.011900000000001</v>
      </c>
      <c r="DI72">
        <v>8.38551</v>
      </c>
      <c r="DJ72">
        <v>29.1159</v>
      </c>
      <c r="DK72">
        <v>500.11799999999999</v>
      </c>
      <c r="DL72">
        <v>99.067099999999996</v>
      </c>
      <c r="DM72">
        <v>9.9962800000000004E-2</v>
      </c>
      <c r="DN72">
        <v>30.576699999999999</v>
      </c>
      <c r="DO72">
        <v>29.9925</v>
      </c>
      <c r="DP72">
        <v>999.9</v>
      </c>
      <c r="DQ72">
        <v>0</v>
      </c>
      <c r="DR72">
        <v>0</v>
      </c>
      <c r="DS72">
        <v>9993.75</v>
      </c>
      <c r="DT72">
        <v>0</v>
      </c>
      <c r="DU72">
        <v>262.315</v>
      </c>
      <c r="DV72">
        <v>-1.5925400000000001</v>
      </c>
      <c r="DW72">
        <v>8.6178600000000003</v>
      </c>
      <c r="DX72">
        <v>10.1837</v>
      </c>
      <c r="DY72">
        <v>7.1000699999999997</v>
      </c>
      <c r="DZ72">
        <v>9.9595099999999999</v>
      </c>
      <c r="EA72">
        <v>22.011900000000001</v>
      </c>
      <c r="EB72">
        <v>2.8840300000000001</v>
      </c>
      <c r="EC72">
        <v>2.18065</v>
      </c>
      <c r="ED72">
        <v>23.373100000000001</v>
      </c>
      <c r="EE72">
        <v>18.820900000000002</v>
      </c>
      <c r="EF72">
        <v>1799.95</v>
      </c>
      <c r="EG72">
        <v>0.97800600000000004</v>
      </c>
      <c r="EH72">
        <v>2.19939E-2</v>
      </c>
      <c r="EI72">
        <v>0</v>
      </c>
      <c r="EJ72">
        <v>785.62300000000005</v>
      </c>
      <c r="EK72">
        <v>5.0005300000000004</v>
      </c>
      <c r="EL72">
        <v>15315</v>
      </c>
      <c r="EM72">
        <v>16034.9</v>
      </c>
      <c r="EN72">
        <v>48.25</v>
      </c>
      <c r="EO72">
        <v>49.436999999999998</v>
      </c>
      <c r="EP72">
        <v>48.811999999999998</v>
      </c>
      <c r="EQ72">
        <v>48.875</v>
      </c>
      <c r="ER72">
        <v>49.5</v>
      </c>
      <c r="ES72">
        <v>1755.47</v>
      </c>
      <c r="ET72">
        <v>39.479999999999997</v>
      </c>
      <c r="EU72">
        <v>0</v>
      </c>
      <c r="EV72">
        <v>114.19999980926509</v>
      </c>
      <c r="EW72">
        <v>0</v>
      </c>
      <c r="EX72">
        <v>785.78284615384609</v>
      </c>
      <c r="EY72">
        <v>-0.73073504707534087</v>
      </c>
      <c r="EZ72">
        <v>-782.65982885299206</v>
      </c>
      <c r="FA72">
        <v>15410.18461538462</v>
      </c>
      <c r="FB72">
        <v>15</v>
      </c>
      <c r="FC72">
        <v>1700158890</v>
      </c>
      <c r="FD72" t="s">
        <v>654</v>
      </c>
      <c r="FE72">
        <v>1700158877</v>
      </c>
      <c r="FF72">
        <v>1700158890</v>
      </c>
      <c r="FG72">
        <v>61</v>
      </c>
      <c r="FH72">
        <v>-5.2999999999999999E-2</v>
      </c>
      <c r="FI72">
        <v>-1E-3</v>
      </c>
      <c r="FJ72">
        <v>-1.7999999999999999E-2</v>
      </c>
      <c r="FK72">
        <v>-4.0000000000000001E-3</v>
      </c>
      <c r="FL72">
        <v>10</v>
      </c>
      <c r="FM72">
        <v>22</v>
      </c>
      <c r="FN72">
        <v>0.24</v>
      </c>
      <c r="FO72">
        <v>0.02</v>
      </c>
      <c r="FP72">
        <v>1.2872648356139309</v>
      </c>
      <c r="FQ72">
        <v>-0.24597437591951149</v>
      </c>
      <c r="FR72">
        <v>2.3435842311939011E-2</v>
      </c>
      <c r="FS72">
        <v>1</v>
      </c>
      <c r="FT72">
        <v>0.46837662100565097</v>
      </c>
      <c r="FU72">
        <v>4.4709578988179198E-2</v>
      </c>
      <c r="FV72">
        <v>3.6817938864683228E-3</v>
      </c>
      <c r="FW72">
        <v>1</v>
      </c>
      <c r="FX72">
        <v>2</v>
      </c>
      <c r="FY72">
        <v>2</v>
      </c>
      <c r="FZ72" t="s">
        <v>420</v>
      </c>
      <c r="GA72">
        <v>3.1247400000000001</v>
      </c>
      <c r="GB72">
        <v>2.7667899999999999</v>
      </c>
      <c r="GC72">
        <v>2.2447700000000001E-3</v>
      </c>
      <c r="GD72">
        <v>2.6682099999999999E-3</v>
      </c>
      <c r="GE72">
        <v>0.122338</v>
      </c>
      <c r="GF72">
        <v>0.10073</v>
      </c>
      <c r="GG72">
        <v>23753</v>
      </c>
      <c r="GH72">
        <v>24722.3</v>
      </c>
      <c r="GI72">
        <v>23678.400000000001</v>
      </c>
      <c r="GJ72">
        <v>25114.1</v>
      </c>
      <c r="GK72">
        <v>29933.8</v>
      </c>
      <c r="GL72">
        <v>31662</v>
      </c>
      <c r="GM72">
        <v>37750.199999999997</v>
      </c>
      <c r="GN72">
        <v>39088.9</v>
      </c>
      <c r="GO72">
        <v>2.1458200000000001</v>
      </c>
      <c r="GP72">
        <v>1.7493000000000001</v>
      </c>
      <c r="GQ72">
        <v>-2.8535700000000002E-3</v>
      </c>
      <c r="GR72">
        <v>0</v>
      </c>
      <c r="GS72">
        <v>30.038900000000002</v>
      </c>
      <c r="GT72">
        <v>999.9</v>
      </c>
      <c r="GU72">
        <v>37.5</v>
      </c>
      <c r="GV72">
        <v>40</v>
      </c>
      <c r="GW72">
        <v>28.065899999999999</v>
      </c>
      <c r="GX72">
        <v>60.7438</v>
      </c>
      <c r="GY72">
        <v>27.279599999999999</v>
      </c>
      <c r="GZ72">
        <v>1</v>
      </c>
      <c r="HA72">
        <v>0.64838200000000001</v>
      </c>
      <c r="HB72">
        <v>2.3980700000000001</v>
      </c>
      <c r="HC72">
        <v>20.303100000000001</v>
      </c>
      <c r="HD72">
        <v>5.2487399999999997</v>
      </c>
      <c r="HE72">
        <v>12.0105</v>
      </c>
      <c r="HF72">
        <v>4.9779499999999999</v>
      </c>
      <c r="HG72">
        <v>3.29223</v>
      </c>
      <c r="HH72">
        <v>9999</v>
      </c>
      <c r="HI72">
        <v>9999</v>
      </c>
      <c r="HJ72">
        <v>9999</v>
      </c>
      <c r="HK72">
        <v>999.9</v>
      </c>
      <c r="HL72">
        <v>1.8760699999999999</v>
      </c>
      <c r="HM72">
        <v>1.87693</v>
      </c>
      <c r="HN72">
        <v>1.88323</v>
      </c>
      <c r="HO72">
        <v>1.88629</v>
      </c>
      <c r="HP72">
        <v>1.87713</v>
      </c>
      <c r="HQ72">
        <v>1.88367</v>
      </c>
      <c r="HR72">
        <v>1.8826000000000001</v>
      </c>
      <c r="HS72">
        <v>1.8859900000000001</v>
      </c>
      <c r="HT72">
        <v>5</v>
      </c>
      <c r="HU72">
        <v>0</v>
      </c>
      <c r="HV72">
        <v>0</v>
      </c>
      <c r="HW72">
        <v>0</v>
      </c>
      <c r="HX72" t="s">
        <v>421</v>
      </c>
      <c r="HY72" t="s">
        <v>422</v>
      </c>
      <c r="HZ72" t="s">
        <v>423</v>
      </c>
      <c r="IA72" t="s">
        <v>424</v>
      </c>
      <c r="IB72" t="s">
        <v>424</v>
      </c>
      <c r="IC72" t="s">
        <v>423</v>
      </c>
      <c r="ID72">
        <v>0</v>
      </c>
      <c r="IE72">
        <v>100</v>
      </c>
      <c r="IF72">
        <v>100</v>
      </c>
      <c r="IG72">
        <v>-1.9E-2</v>
      </c>
      <c r="IH72">
        <v>-4.0000000000000001E-3</v>
      </c>
      <c r="II72">
        <v>-1.8899007579828039E-2</v>
      </c>
      <c r="IJ72">
        <v>4.4610147972834149E-5</v>
      </c>
      <c r="IK72">
        <v>-2.082673137682459E-7</v>
      </c>
      <c r="IL72">
        <v>-4.0725795306076518E-11</v>
      </c>
      <c r="IM72">
        <v>-4.0050000000029229E-3</v>
      </c>
      <c r="IN72">
        <v>0</v>
      </c>
      <c r="IO72">
        <v>0</v>
      </c>
      <c r="IP72">
        <v>0</v>
      </c>
      <c r="IQ72">
        <v>3</v>
      </c>
      <c r="IR72">
        <v>2179</v>
      </c>
      <c r="IS72">
        <v>0</v>
      </c>
      <c r="IT72">
        <v>22</v>
      </c>
      <c r="IU72">
        <v>0.8</v>
      </c>
      <c r="IV72">
        <v>0.6</v>
      </c>
      <c r="IW72">
        <v>0.17333999999999999</v>
      </c>
      <c r="IX72">
        <v>2.7502399999999998</v>
      </c>
      <c r="IY72">
        <v>1.6015600000000001</v>
      </c>
      <c r="IZ72">
        <v>2.32178</v>
      </c>
      <c r="JA72">
        <v>1.5502899999999999</v>
      </c>
      <c r="JB72">
        <v>2.5146500000000001</v>
      </c>
      <c r="JC72">
        <v>43.535400000000003</v>
      </c>
      <c r="JD72">
        <v>24.218800000000002</v>
      </c>
      <c r="JE72">
        <v>18</v>
      </c>
      <c r="JF72">
        <v>616.83199999999999</v>
      </c>
      <c r="JG72">
        <v>388.851</v>
      </c>
      <c r="JH72">
        <v>27.7971</v>
      </c>
      <c r="JI72">
        <v>35.006500000000003</v>
      </c>
      <c r="JJ72">
        <v>30.000299999999999</v>
      </c>
      <c r="JK72">
        <v>35.063099999999999</v>
      </c>
      <c r="JL72">
        <v>35.054600000000001</v>
      </c>
      <c r="JM72">
        <v>3.45919</v>
      </c>
      <c r="JN72">
        <v>27.611799999999999</v>
      </c>
      <c r="JO72">
        <v>45.768700000000003</v>
      </c>
      <c r="JP72">
        <v>27.795300000000001</v>
      </c>
      <c r="JQ72">
        <v>10</v>
      </c>
      <c r="JR72">
        <v>21.892199999999999</v>
      </c>
      <c r="JS72">
        <v>98.456299999999999</v>
      </c>
      <c r="JT72">
        <v>98.915999999999997</v>
      </c>
    </row>
    <row r="73" spans="1:280" x14ac:dyDescent="0.25">
      <c r="A73">
        <v>57</v>
      </c>
      <c r="B73">
        <v>1700160637.5999999</v>
      </c>
      <c r="C73">
        <v>12764.099999904631</v>
      </c>
      <c r="D73" t="s">
        <v>655</v>
      </c>
      <c r="E73" t="s">
        <v>656</v>
      </c>
      <c r="F73" t="s">
        <v>412</v>
      </c>
      <c r="G73" t="s">
        <v>413</v>
      </c>
      <c r="H73" t="s">
        <v>657</v>
      </c>
      <c r="I73">
        <v>1700160637.5999999</v>
      </c>
      <c r="J73">
        <f t="shared" si="46"/>
        <v>4.566116053394082E-3</v>
      </c>
      <c r="K73">
        <f t="shared" si="47"/>
        <v>4.5661160533940821</v>
      </c>
      <c r="L73">
        <f t="shared" si="48"/>
        <v>47.544958243257824</v>
      </c>
      <c r="M73">
        <f t="shared" si="49"/>
        <v>402.60700000000003</v>
      </c>
      <c r="N73">
        <f t="shared" si="50"/>
        <v>142.28125600429689</v>
      </c>
      <c r="O73">
        <f t="shared" si="51"/>
        <v>14.099340148401168</v>
      </c>
      <c r="P73">
        <f t="shared" si="52"/>
        <v>39.896281481771005</v>
      </c>
      <c r="Q73">
        <f t="shared" si="53"/>
        <v>0.31390843617347941</v>
      </c>
      <c r="R73">
        <f t="shared" si="54"/>
        <v>3.1767155601627115</v>
      </c>
      <c r="S73">
        <f t="shared" si="55"/>
        <v>0.29763763094457535</v>
      </c>
      <c r="T73">
        <f t="shared" si="56"/>
        <v>0.18741507851250655</v>
      </c>
      <c r="U73">
        <f t="shared" si="57"/>
        <v>344.36689930251634</v>
      </c>
      <c r="V73">
        <f t="shared" si="58"/>
        <v>30.908494307002179</v>
      </c>
      <c r="W73">
        <f t="shared" si="59"/>
        <v>30.0471</v>
      </c>
      <c r="X73">
        <f t="shared" si="60"/>
        <v>4.2719895278903852</v>
      </c>
      <c r="Y73">
        <f t="shared" si="61"/>
        <v>65.379759438895661</v>
      </c>
      <c r="Z73">
        <f t="shared" si="62"/>
        <v>2.8060491334304003</v>
      </c>
      <c r="AA73">
        <f t="shared" si="63"/>
        <v>4.2919233070182088</v>
      </c>
      <c r="AB73">
        <f t="shared" si="64"/>
        <v>1.4659403944599849</v>
      </c>
      <c r="AC73">
        <f t="shared" si="65"/>
        <v>-201.36571795467901</v>
      </c>
      <c r="AD73">
        <f t="shared" si="66"/>
        <v>13.889436540566686</v>
      </c>
      <c r="AE73">
        <f t="shared" si="67"/>
        <v>0.97302104692799007</v>
      </c>
      <c r="AF73">
        <f t="shared" si="68"/>
        <v>157.86363893533203</v>
      </c>
      <c r="AG73">
        <v>0</v>
      </c>
      <c r="AH73">
        <v>0</v>
      </c>
      <c r="AI73">
        <f t="shared" si="69"/>
        <v>1</v>
      </c>
      <c r="AJ73">
        <f t="shared" si="70"/>
        <v>0</v>
      </c>
      <c r="AK73">
        <f t="shared" si="71"/>
        <v>51811.419766657658</v>
      </c>
      <c r="AL73" t="s">
        <v>415</v>
      </c>
      <c r="AM73">
        <v>6977.87</v>
      </c>
      <c r="AN73">
        <v>273.15280000000001</v>
      </c>
      <c r="AO73">
        <v>850.46774885301022</v>
      </c>
      <c r="AP73">
        <f t="shared" si="72"/>
        <v>0.67882050745793765</v>
      </c>
      <c r="AQ73">
        <v>-1.0323826813720729</v>
      </c>
      <c r="AR73" t="s">
        <v>658</v>
      </c>
      <c r="AS73">
        <v>7119.38</v>
      </c>
      <c r="AT73">
        <v>523.0788</v>
      </c>
      <c r="AU73">
        <v>824.6799755604269</v>
      </c>
      <c r="AV73">
        <f t="shared" si="73"/>
        <v>0.36571904799248711</v>
      </c>
      <c r="AW73">
        <v>0.5</v>
      </c>
      <c r="AX73">
        <f t="shared" si="74"/>
        <v>1513.1759996512581</v>
      </c>
      <c r="AY73">
        <f t="shared" si="75"/>
        <v>47.544958243257824</v>
      </c>
      <c r="AZ73">
        <f t="shared" si="76"/>
        <v>276.69864301876908</v>
      </c>
      <c r="BA73">
        <f t="shared" si="77"/>
        <v>3.2102902065473893E-2</v>
      </c>
      <c r="BB73">
        <f t="shared" si="78"/>
        <v>3.1270036931670075E-2</v>
      </c>
      <c r="BC73">
        <f t="shared" si="79"/>
        <v>270.43672430886886</v>
      </c>
      <c r="BD73" t="s">
        <v>659</v>
      </c>
      <c r="BE73">
        <v>400.59</v>
      </c>
      <c r="BF73">
        <f t="shared" si="80"/>
        <v>400.59</v>
      </c>
      <c r="BG73">
        <f t="shared" si="81"/>
        <v>0.51424793632491017</v>
      </c>
      <c r="BH73">
        <f t="shared" si="82"/>
        <v>0.71117261180688518</v>
      </c>
      <c r="BI73">
        <f t="shared" si="83"/>
        <v>5.7321735423302815E-2</v>
      </c>
      <c r="BJ73">
        <f t="shared" si="84"/>
        <v>0.54684735208914936</v>
      </c>
      <c r="BK73">
        <f t="shared" si="85"/>
        <v>4.4668466222497087E-2</v>
      </c>
      <c r="BL73">
        <f t="shared" si="86"/>
        <v>0.54463808619986154</v>
      </c>
      <c r="BM73">
        <f t="shared" si="87"/>
        <v>0.45536191380013846</v>
      </c>
      <c r="BN73">
        <v>11314</v>
      </c>
      <c r="BO73">
        <v>290.00000000000011</v>
      </c>
      <c r="BP73">
        <v>738.53</v>
      </c>
      <c r="BQ73">
        <v>295</v>
      </c>
      <c r="BR73">
        <v>7119.38</v>
      </c>
      <c r="BS73">
        <v>741.16</v>
      </c>
      <c r="BT73">
        <v>-2.63</v>
      </c>
      <c r="BU73">
        <v>300.00000000000011</v>
      </c>
      <c r="BV73">
        <v>38.299999999999997</v>
      </c>
      <c r="BW73">
        <v>824.6799755604269</v>
      </c>
      <c r="BX73">
        <v>1.530230330727582</v>
      </c>
      <c r="BY73">
        <v>-59.458643238284637</v>
      </c>
      <c r="BZ73">
        <v>0.91319509888438255</v>
      </c>
      <c r="CA73">
        <v>0.99343860448068666</v>
      </c>
      <c r="CB73">
        <v>-7.0199944382647438E-3</v>
      </c>
      <c r="CC73">
        <v>289.99999999999989</v>
      </c>
      <c r="CD73">
        <v>750.11</v>
      </c>
      <c r="CE73">
        <v>775</v>
      </c>
      <c r="CF73">
        <v>7112.03</v>
      </c>
      <c r="CG73">
        <v>741.08</v>
      </c>
      <c r="CH73">
        <v>9.0299999999999994</v>
      </c>
      <c r="CV73">
        <f t="shared" si="88"/>
        <v>1799.99</v>
      </c>
      <c r="CW73">
        <f t="shared" si="89"/>
        <v>1513.1759996512581</v>
      </c>
      <c r="CX73">
        <f t="shared" si="90"/>
        <v>0.84065800346182928</v>
      </c>
      <c r="CY73">
        <f t="shared" si="91"/>
        <v>0.19131600692365866</v>
      </c>
      <c r="CZ73">
        <v>4.8</v>
      </c>
      <c r="DA73">
        <v>0.5</v>
      </c>
      <c r="DB73" t="s">
        <v>418</v>
      </c>
      <c r="DC73">
        <v>2</v>
      </c>
      <c r="DD73">
        <v>1700160637.5999999</v>
      </c>
      <c r="DE73">
        <v>402.60700000000003</v>
      </c>
      <c r="DF73">
        <v>450</v>
      </c>
      <c r="DG73">
        <v>28.316800000000001</v>
      </c>
      <c r="DH73">
        <v>24.058800000000002</v>
      </c>
      <c r="DI73">
        <v>402.899</v>
      </c>
      <c r="DJ73">
        <v>28.313300000000002</v>
      </c>
      <c r="DK73">
        <v>500.15800000000002</v>
      </c>
      <c r="DL73">
        <v>98.994799999999998</v>
      </c>
      <c r="DM73">
        <v>0.100053</v>
      </c>
      <c r="DN73">
        <v>30.1282</v>
      </c>
      <c r="DO73">
        <v>30.0471</v>
      </c>
      <c r="DP73">
        <v>999.9</v>
      </c>
      <c r="DQ73">
        <v>0</v>
      </c>
      <c r="DR73">
        <v>0</v>
      </c>
      <c r="DS73">
        <v>10001.200000000001</v>
      </c>
      <c r="DT73">
        <v>0</v>
      </c>
      <c r="DU73">
        <v>542.20600000000002</v>
      </c>
      <c r="DV73">
        <v>-47.392400000000002</v>
      </c>
      <c r="DW73">
        <v>414.34</v>
      </c>
      <c r="DX73">
        <v>461.09300000000002</v>
      </c>
      <c r="DY73">
        <v>4.2580099999999996</v>
      </c>
      <c r="DZ73">
        <v>450</v>
      </c>
      <c r="EA73">
        <v>24.058800000000002</v>
      </c>
      <c r="EB73">
        <v>2.80322</v>
      </c>
      <c r="EC73">
        <v>2.3816999999999999</v>
      </c>
      <c r="ED73">
        <v>22.902999999999999</v>
      </c>
      <c r="EE73">
        <v>20.239899999999999</v>
      </c>
      <c r="EF73">
        <v>1799.99</v>
      </c>
      <c r="EG73">
        <v>0.97800799999999999</v>
      </c>
      <c r="EH73">
        <v>2.1992299999999999E-2</v>
      </c>
      <c r="EI73">
        <v>0</v>
      </c>
      <c r="EJ73">
        <v>523.50300000000004</v>
      </c>
      <c r="EK73">
        <v>5.0005300000000004</v>
      </c>
      <c r="EL73">
        <v>11017.5</v>
      </c>
      <c r="EM73">
        <v>16035.2</v>
      </c>
      <c r="EN73">
        <v>48.625</v>
      </c>
      <c r="EO73">
        <v>50.061999999999998</v>
      </c>
      <c r="EP73">
        <v>49.311999999999998</v>
      </c>
      <c r="EQ73">
        <v>49.436999999999998</v>
      </c>
      <c r="ER73">
        <v>49.811999999999998</v>
      </c>
      <c r="ES73">
        <v>1755.51</v>
      </c>
      <c r="ET73">
        <v>39.479999999999997</v>
      </c>
      <c r="EU73">
        <v>0</v>
      </c>
      <c r="EV73">
        <v>1827.1999998092649</v>
      </c>
      <c r="EW73">
        <v>0</v>
      </c>
      <c r="EX73">
        <v>523.0788</v>
      </c>
      <c r="EY73">
        <v>1.361923076867124</v>
      </c>
      <c r="EZ73">
        <v>85.869230946127104</v>
      </c>
      <c r="FA73">
        <v>11009.392</v>
      </c>
      <c r="FB73">
        <v>15</v>
      </c>
      <c r="FC73">
        <v>1700160606.5999999</v>
      </c>
      <c r="FD73" t="s">
        <v>660</v>
      </c>
      <c r="FE73">
        <v>1700160606.5999999</v>
      </c>
      <c r="FF73">
        <v>1700160600.5999999</v>
      </c>
      <c r="FG73">
        <v>63</v>
      </c>
      <c r="FH73">
        <v>0.25900000000000001</v>
      </c>
      <c r="FI73">
        <v>2E-3</v>
      </c>
      <c r="FJ73">
        <v>-0.29899999999999999</v>
      </c>
      <c r="FK73">
        <v>3.0000000000000001E-3</v>
      </c>
      <c r="FL73">
        <v>450</v>
      </c>
      <c r="FM73">
        <v>24</v>
      </c>
      <c r="FN73">
        <v>0.04</v>
      </c>
      <c r="FO73">
        <v>0.03</v>
      </c>
      <c r="FP73">
        <v>47.565008783449983</v>
      </c>
      <c r="FQ73">
        <v>-0.52206564623079943</v>
      </c>
      <c r="FR73">
        <v>4.8405713594983232E-2</v>
      </c>
      <c r="FS73">
        <v>1</v>
      </c>
      <c r="FT73">
        <v>0.32020880227560861</v>
      </c>
      <c r="FU73">
        <v>-1.5446750426149449E-2</v>
      </c>
      <c r="FV73">
        <v>1.972645411490032E-3</v>
      </c>
      <c r="FW73">
        <v>1</v>
      </c>
      <c r="FX73">
        <v>2</v>
      </c>
      <c r="FY73">
        <v>2</v>
      </c>
      <c r="FZ73" t="s">
        <v>420</v>
      </c>
      <c r="GA73">
        <v>3.1259399999999999</v>
      </c>
      <c r="GB73">
        <v>2.76694</v>
      </c>
      <c r="GC73">
        <v>8.8862700000000003E-2</v>
      </c>
      <c r="GD73">
        <v>9.6684300000000001E-2</v>
      </c>
      <c r="GE73">
        <v>0.11981899999999999</v>
      </c>
      <c r="GF73">
        <v>0.107114</v>
      </c>
      <c r="GG73">
        <v>21661.599999999999</v>
      </c>
      <c r="GH73">
        <v>22380.3</v>
      </c>
      <c r="GI73">
        <v>23644.6</v>
      </c>
      <c r="GJ73">
        <v>25100.2</v>
      </c>
      <c r="GK73">
        <v>29974</v>
      </c>
      <c r="GL73">
        <v>31419.8</v>
      </c>
      <c r="GM73">
        <v>37693.300000000003</v>
      </c>
      <c r="GN73">
        <v>39067.9</v>
      </c>
      <c r="GO73">
        <v>2.0966499999999999</v>
      </c>
      <c r="GP73">
        <v>1.7448300000000001</v>
      </c>
      <c r="GQ73">
        <v>-2.72505E-2</v>
      </c>
      <c r="GR73">
        <v>0</v>
      </c>
      <c r="GS73">
        <v>30.490300000000001</v>
      </c>
      <c r="GT73">
        <v>999.9</v>
      </c>
      <c r="GU73">
        <v>40.299999999999997</v>
      </c>
      <c r="GV73">
        <v>39.799999999999997</v>
      </c>
      <c r="GW73">
        <v>29.8597</v>
      </c>
      <c r="GX73">
        <v>60.492899999999999</v>
      </c>
      <c r="GY73">
        <v>26.526399999999999</v>
      </c>
      <c r="GZ73">
        <v>1</v>
      </c>
      <c r="HA73">
        <v>0.68773899999999999</v>
      </c>
      <c r="HB73">
        <v>3.6795399999999998</v>
      </c>
      <c r="HC73">
        <v>20.280100000000001</v>
      </c>
      <c r="HD73">
        <v>5.2511299999999999</v>
      </c>
      <c r="HE73">
        <v>12.0099</v>
      </c>
      <c r="HF73">
        <v>4.9790999999999999</v>
      </c>
      <c r="HG73">
        <v>3.2930000000000001</v>
      </c>
      <c r="HH73">
        <v>9999</v>
      </c>
      <c r="HI73">
        <v>9999</v>
      </c>
      <c r="HJ73">
        <v>9999</v>
      </c>
      <c r="HK73">
        <v>999.9</v>
      </c>
      <c r="HL73">
        <v>1.8760699999999999</v>
      </c>
      <c r="HM73">
        <v>1.8769499999999999</v>
      </c>
      <c r="HN73">
        <v>1.8832100000000001</v>
      </c>
      <c r="HO73">
        <v>1.88629</v>
      </c>
      <c r="HP73">
        <v>1.8771</v>
      </c>
      <c r="HQ73">
        <v>1.88364</v>
      </c>
      <c r="HR73">
        <v>1.8825799999999999</v>
      </c>
      <c r="HS73">
        <v>1.8859900000000001</v>
      </c>
      <c r="HT73">
        <v>5</v>
      </c>
      <c r="HU73">
        <v>0</v>
      </c>
      <c r="HV73">
        <v>0</v>
      </c>
      <c r="HW73">
        <v>0</v>
      </c>
      <c r="HX73" t="s">
        <v>421</v>
      </c>
      <c r="HY73" t="s">
        <v>422</v>
      </c>
      <c r="HZ73" t="s">
        <v>423</v>
      </c>
      <c r="IA73" t="s">
        <v>424</v>
      </c>
      <c r="IB73" t="s">
        <v>424</v>
      </c>
      <c r="IC73" t="s">
        <v>423</v>
      </c>
      <c r="ID73">
        <v>0</v>
      </c>
      <c r="IE73">
        <v>100</v>
      </c>
      <c r="IF73">
        <v>100</v>
      </c>
      <c r="IG73">
        <v>-0.29199999999999998</v>
      </c>
      <c r="IH73">
        <v>3.5000000000000001E-3</v>
      </c>
      <c r="II73">
        <v>-0.27313447346924707</v>
      </c>
      <c r="IJ73">
        <v>4.4610147972834149E-5</v>
      </c>
      <c r="IK73">
        <v>-2.082673137682459E-7</v>
      </c>
      <c r="IL73">
        <v>-4.0725795306076518E-11</v>
      </c>
      <c r="IM73">
        <v>3.4799999999961528E-3</v>
      </c>
      <c r="IN73">
        <v>0</v>
      </c>
      <c r="IO73">
        <v>0</v>
      </c>
      <c r="IP73">
        <v>0</v>
      </c>
      <c r="IQ73">
        <v>3</v>
      </c>
      <c r="IR73">
        <v>2179</v>
      </c>
      <c r="IS73">
        <v>0</v>
      </c>
      <c r="IT73">
        <v>22</v>
      </c>
      <c r="IU73">
        <v>0.5</v>
      </c>
      <c r="IV73">
        <v>0.6</v>
      </c>
      <c r="IW73">
        <v>1.1218300000000001</v>
      </c>
      <c r="IX73">
        <v>2.7026400000000002</v>
      </c>
      <c r="IY73">
        <v>1.6015600000000001</v>
      </c>
      <c r="IZ73">
        <v>2.32544</v>
      </c>
      <c r="JA73">
        <v>1.5502899999999999</v>
      </c>
      <c r="JB73">
        <v>2.4706999999999999</v>
      </c>
      <c r="JC73">
        <v>43.809199999999997</v>
      </c>
      <c r="JD73">
        <v>24.192599999999999</v>
      </c>
      <c r="JE73">
        <v>18</v>
      </c>
      <c r="JF73">
        <v>584.61500000000001</v>
      </c>
      <c r="JG73">
        <v>388.17899999999997</v>
      </c>
      <c r="JH73">
        <v>26.573399999999999</v>
      </c>
      <c r="JI73">
        <v>35.403399999999998</v>
      </c>
      <c r="JJ73">
        <v>30.000699999999998</v>
      </c>
      <c r="JK73">
        <v>35.408299999999997</v>
      </c>
      <c r="JL73">
        <v>35.397199999999998</v>
      </c>
      <c r="JM73">
        <v>22.436</v>
      </c>
      <c r="JN73">
        <v>25.298400000000001</v>
      </c>
      <c r="JO73">
        <v>47.891599999999997</v>
      </c>
      <c r="JP73">
        <v>26.5275</v>
      </c>
      <c r="JQ73">
        <v>450</v>
      </c>
      <c r="JR73">
        <v>24.0061</v>
      </c>
      <c r="JS73">
        <v>98.3108</v>
      </c>
      <c r="JT73">
        <v>98.862099999999998</v>
      </c>
    </row>
    <row r="74" spans="1:280" x14ac:dyDescent="0.25">
      <c r="A74">
        <v>58</v>
      </c>
      <c r="B74">
        <v>1700160754.5999999</v>
      </c>
      <c r="C74">
        <v>12881.099999904631</v>
      </c>
      <c r="D74" t="s">
        <v>661</v>
      </c>
      <c r="E74" t="s">
        <v>662</v>
      </c>
      <c r="F74" t="s">
        <v>412</v>
      </c>
      <c r="G74" t="s">
        <v>413</v>
      </c>
      <c r="H74" t="s">
        <v>657</v>
      </c>
      <c r="I74">
        <v>1700160754.5999999</v>
      </c>
      <c r="J74">
        <f t="shared" si="46"/>
        <v>3.3353663183768108E-3</v>
      </c>
      <c r="K74">
        <f t="shared" si="47"/>
        <v>3.3353663183768107</v>
      </c>
      <c r="L74">
        <f t="shared" si="48"/>
        <v>50.203284766423948</v>
      </c>
      <c r="M74">
        <f t="shared" si="49"/>
        <v>1447.33</v>
      </c>
      <c r="N74">
        <f t="shared" si="50"/>
        <v>1031.2903354563105</v>
      </c>
      <c r="O74">
        <f t="shared" si="51"/>
        <v>102.19401931944125</v>
      </c>
      <c r="P74">
        <f t="shared" si="52"/>
        <v>143.42078549215</v>
      </c>
      <c r="Q74">
        <f t="shared" si="53"/>
        <v>0.21571107534905323</v>
      </c>
      <c r="R74">
        <f t="shared" si="54"/>
        <v>3.1719009163836751</v>
      </c>
      <c r="S74">
        <f t="shared" si="55"/>
        <v>0.20788007639647818</v>
      </c>
      <c r="T74">
        <f t="shared" si="56"/>
        <v>0.13060494656797395</v>
      </c>
      <c r="U74">
        <f t="shared" si="57"/>
        <v>344.32449930260776</v>
      </c>
      <c r="V74">
        <f t="shared" si="58"/>
        <v>30.932741045534438</v>
      </c>
      <c r="W74">
        <f t="shared" si="59"/>
        <v>30.087399999999999</v>
      </c>
      <c r="X74">
        <f t="shared" si="60"/>
        <v>4.281884861039952</v>
      </c>
      <c r="Y74">
        <f t="shared" si="61"/>
        <v>65.049333378402309</v>
      </c>
      <c r="Z74">
        <f t="shared" si="62"/>
        <v>2.7483641102605003</v>
      </c>
      <c r="AA74">
        <f t="shared" si="63"/>
        <v>4.2250457729871416</v>
      </c>
      <c r="AB74">
        <f t="shared" si="64"/>
        <v>1.5335207507794517</v>
      </c>
      <c r="AC74">
        <f t="shared" si="65"/>
        <v>-147.08965464041736</v>
      </c>
      <c r="AD74">
        <f t="shared" si="66"/>
        <v>-39.775419264667889</v>
      </c>
      <c r="AE74">
        <f t="shared" si="67"/>
        <v>-2.7874689391036456</v>
      </c>
      <c r="AF74">
        <f t="shared" si="68"/>
        <v>154.67195645841889</v>
      </c>
      <c r="AG74">
        <v>0</v>
      </c>
      <c r="AH74">
        <v>0</v>
      </c>
      <c r="AI74">
        <f t="shared" si="69"/>
        <v>1</v>
      </c>
      <c r="AJ74">
        <f t="shared" si="70"/>
        <v>0</v>
      </c>
      <c r="AK74">
        <f t="shared" si="71"/>
        <v>51739.243253353605</v>
      </c>
      <c r="AL74" t="s">
        <v>427</v>
      </c>
      <c r="AM74" t="s">
        <v>427</v>
      </c>
      <c r="AN74">
        <v>0</v>
      </c>
      <c r="AO74">
        <v>0</v>
      </c>
      <c r="AP74" t="e">
        <f t="shared" si="72"/>
        <v>#DIV/0!</v>
      </c>
      <c r="AQ74">
        <v>0</v>
      </c>
      <c r="AR74" t="s">
        <v>427</v>
      </c>
      <c r="AS74" t="s">
        <v>427</v>
      </c>
      <c r="AT74">
        <v>0</v>
      </c>
      <c r="AU74">
        <v>0</v>
      </c>
      <c r="AV74" t="e">
        <f t="shared" si="73"/>
        <v>#DIV/0!</v>
      </c>
      <c r="AW74">
        <v>0.5</v>
      </c>
      <c r="AX74">
        <f t="shared" si="74"/>
        <v>1512.9908996513036</v>
      </c>
      <c r="AY74">
        <f t="shared" si="75"/>
        <v>50.203284766423948</v>
      </c>
      <c r="AZ74" t="e">
        <f t="shared" si="76"/>
        <v>#DIV/0!</v>
      </c>
      <c r="BA74">
        <f t="shared" si="77"/>
        <v>3.3181484950103937E-2</v>
      </c>
      <c r="BB74" t="e">
        <f t="shared" si="78"/>
        <v>#DIV/0!</v>
      </c>
      <c r="BC74" t="e">
        <f t="shared" si="79"/>
        <v>#DIV/0!</v>
      </c>
      <c r="BD74" t="s">
        <v>427</v>
      </c>
      <c r="BE74">
        <v>0</v>
      </c>
      <c r="BF74" t="e">
        <f t="shared" si="80"/>
        <v>#DIV/0!</v>
      </c>
      <c r="BG74" t="e">
        <f t="shared" si="81"/>
        <v>#DIV/0!</v>
      </c>
      <c r="BH74" t="e">
        <f t="shared" si="82"/>
        <v>#DIV/0!</v>
      </c>
      <c r="BI74" t="e">
        <f t="shared" si="83"/>
        <v>#DIV/0!</v>
      </c>
      <c r="BJ74" t="e">
        <f t="shared" si="84"/>
        <v>#DIV/0!</v>
      </c>
      <c r="BK74" t="e">
        <f t="shared" si="85"/>
        <v>#DIV/0!</v>
      </c>
      <c r="BL74" t="e">
        <f t="shared" si="86"/>
        <v>#DIV/0!</v>
      </c>
      <c r="BM74" t="e">
        <f t="shared" si="87"/>
        <v>#DIV/0!</v>
      </c>
      <c r="BN74">
        <v>11314</v>
      </c>
      <c r="BO74">
        <v>290.00000000000011</v>
      </c>
      <c r="BP74">
        <v>738.53</v>
      </c>
      <c r="BQ74">
        <v>295</v>
      </c>
      <c r="BR74">
        <v>7119.38</v>
      </c>
      <c r="BS74">
        <v>741.16</v>
      </c>
      <c r="BT74">
        <v>-2.63</v>
      </c>
      <c r="BU74">
        <v>300.00000000000011</v>
      </c>
      <c r="BV74">
        <v>38.299999999999997</v>
      </c>
      <c r="BW74">
        <v>824.6799755604269</v>
      </c>
      <c r="BX74">
        <v>1.530230330727582</v>
      </c>
      <c r="BY74">
        <v>-59.458643238284637</v>
      </c>
      <c r="BZ74">
        <v>0.91319509888438255</v>
      </c>
      <c r="CA74">
        <v>0.99343860448068666</v>
      </c>
      <c r="CB74">
        <v>-7.0199944382647438E-3</v>
      </c>
      <c r="CC74">
        <v>289.99999999999989</v>
      </c>
      <c r="CD74">
        <v>750.11</v>
      </c>
      <c r="CE74">
        <v>775</v>
      </c>
      <c r="CF74">
        <v>7112.03</v>
      </c>
      <c r="CG74">
        <v>741.08</v>
      </c>
      <c r="CH74">
        <v>9.0299999999999994</v>
      </c>
      <c r="CV74">
        <f t="shared" si="88"/>
        <v>1799.77</v>
      </c>
      <c r="CW74">
        <f t="shared" si="89"/>
        <v>1512.9908996513036</v>
      </c>
      <c r="CX74">
        <f t="shared" si="90"/>
        <v>0.84065791720681182</v>
      </c>
      <c r="CY74">
        <f t="shared" si="91"/>
        <v>0.19131583441362382</v>
      </c>
      <c r="CZ74">
        <v>4.8</v>
      </c>
      <c r="DA74">
        <v>0.5</v>
      </c>
      <c r="DB74" t="s">
        <v>418</v>
      </c>
      <c r="DC74">
        <v>2</v>
      </c>
      <c r="DD74">
        <v>1700160754.5999999</v>
      </c>
      <c r="DE74">
        <v>1447.33</v>
      </c>
      <c r="DF74">
        <v>1500.14</v>
      </c>
      <c r="DG74">
        <v>27.735099999999999</v>
      </c>
      <c r="DH74">
        <v>24.623100000000001</v>
      </c>
      <c r="DI74">
        <v>1447.55</v>
      </c>
      <c r="DJ74">
        <v>27.732299999999999</v>
      </c>
      <c r="DK74">
        <v>500.18400000000003</v>
      </c>
      <c r="DL74">
        <v>98.992800000000003</v>
      </c>
      <c r="DM74">
        <v>0.10055500000000001</v>
      </c>
      <c r="DN74">
        <v>29.854800000000001</v>
      </c>
      <c r="DO74">
        <v>30.087399999999999</v>
      </c>
      <c r="DP74">
        <v>999.9</v>
      </c>
      <c r="DQ74">
        <v>0</v>
      </c>
      <c r="DR74">
        <v>0</v>
      </c>
      <c r="DS74">
        <v>9977.5</v>
      </c>
      <c r="DT74">
        <v>0</v>
      </c>
      <c r="DU74">
        <v>531.91300000000001</v>
      </c>
      <c r="DV74">
        <v>-52.802500000000002</v>
      </c>
      <c r="DW74">
        <v>1488.62</v>
      </c>
      <c r="DX74">
        <v>1538.01</v>
      </c>
      <c r="DY74">
        <v>3.11205</v>
      </c>
      <c r="DZ74">
        <v>1500.14</v>
      </c>
      <c r="EA74">
        <v>24.623100000000001</v>
      </c>
      <c r="EB74">
        <v>2.7455699999999998</v>
      </c>
      <c r="EC74">
        <v>2.4375</v>
      </c>
      <c r="ED74">
        <v>22.560500000000001</v>
      </c>
      <c r="EE74">
        <v>20.615100000000002</v>
      </c>
      <c r="EF74">
        <v>1799.77</v>
      </c>
      <c r="EG74">
        <v>0.97800799999999999</v>
      </c>
      <c r="EH74">
        <v>2.1992299999999999E-2</v>
      </c>
      <c r="EI74">
        <v>0</v>
      </c>
      <c r="EJ74">
        <v>520.22799999999995</v>
      </c>
      <c r="EK74">
        <v>5.0005300000000004</v>
      </c>
      <c r="EL74">
        <v>10897.5</v>
      </c>
      <c r="EM74">
        <v>16033.3</v>
      </c>
      <c r="EN74">
        <v>48.875</v>
      </c>
      <c r="EO74">
        <v>50.25</v>
      </c>
      <c r="EP74">
        <v>49.5</v>
      </c>
      <c r="EQ74">
        <v>49.625</v>
      </c>
      <c r="ER74">
        <v>50</v>
      </c>
      <c r="ES74">
        <v>1755.3</v>
      </c>
      <c r="ET74">
        <v>39.47</v>
      </c>
      <c r="EU74">
        <v>0</v>
      </c>
      <c r="EV74">
        <v>114.7999999523163</v>
      </c>
      <c r="EW74">
        <v>0</v>
      </c>
      <c r="EX74">
        <v>520.73412000000008</v>
      </c>
      <c r="EY74">
        <v>-1.770461542674667</v>
      </c>
      <c r="EZ74">
        <v>44.823077143255922</v>
      </c>
      <c r="FA74">
        <v>10898.62</v>
      </c>
      <c r="FB74">
        <v>15</v>
      </c>
      <c r="FC74">
        <v>1700160723.0999999</v>
      </c>
      <c r="FD74" t="s">
        <v>663</v>
      </c>
      <c r="FE74">
        <v>1700160722.5999999</v>
      </c>
      <c r="FF74">
        <v>1700160723.0999999</v>
      </c>
      <c r="FG74">
        <v>64</v>
      </c>
      <c r="FH74">
        <v>0.55000000000000004</v>
      </c>
      <c r="FI74">
        <v>-1E-3</v>
      </c>
      <c r="FJ74">
        <v>-0.26300000000000001</v>
      </c>
      <c r="FK74">
        <v>3.0000000000000001E-3</v>
      </c>
      <c r="FL74">
        <v>1500</v>
      </c>
      <c r="FM74">
        <v>24</v>
      </c>
      <c r="FN74">
        <v>0.04</v>
      </c>
      <c r="FO74">
        <v>0.02</v>
      </c>
      <c r="FP74">
        <v>50.160292982948228</v>
      </c>
      <c r="FQ74">
        <v>-0.1154494435289232</v>
      </c>
      <c r="FR74">
        <v>9.4863736995830006E-2</v>
      </c>
      <c r="FS74">
        <v>1</v>
      </c>
      <c r="FT74">
        <v>0.2211064930462999</v>
      </c>
      <c r="FU74">
        <v>-3.521311519986766E-2</v>
      </c>
      <c r="FV74">
        <v>2.5639350242752539E-3</v>
      </c>
      <c r="FW74">
        <v>1</v>
      </c>
      <c r="FX74">
        <v>2</v>
      </c>
      <c r="FY74">
        <v>2</v>
      </c>
      <c r="FZ74" t="s">
        <v>420</v>
      </c>
      <c r="GA74">
        <v>3.1262699999999999</v>
      </c>
      <c r="GB74">
        <v>2.7672300000000001</v>
      </c>
      <c r="GC74">
        <v>0.210669</v>
      </c>
      <c r="GD74">
        <v>0.21503</v>
      </c>
      <c r="GE74">
        <v>0.11809</v>
      </c>
      <c r="GF74">
        <v>0.10885599999999999</v>
      </c>
      <c r="GG74">
        <v>18755.900000000001</v>
      </c>
      <c r="GH74">
        <v>19437</v>
      </c>
      <c r="GI74">
        <v>23639.7</v>
      </c>
      <c r="GJ74">
        <v>25094.799999999999</v>
      </c>
      <c r="GK74">
        <v>30027</v>
      </c>
      <c r="GL74">
        <v>31351.200000000001</v>
      </c>
      <c r="GM74">
        <v>37686.300000000003</v>
      </c>
      <c r="GN74">
        <v>39059.199999999997</v>
      </c>
      <c r="GO74">
        <v>2.0956199999999998</v>
      </c>
      <c r="GP74">
        <v>1.74743</v>
      </c>
      <c r="GQ74">
        <v>-3.17208E-2</v>
      </c>
      <c r="GR74">
        <v>0</v>
      </c>
      <c r="GS74">
        <v>30.603300000000001</v>
      </c>
      <c r="GT74">
        <v>999.9</v>
      </c>
      <c r="GU74">
        <v>40.200000000000003</v>
      </c>
      <c r="GV74">
        <v>39.799999999999997</v>
      </c>
      <c r="GW74">
        <v>29.786200000000001</v>
      </c>
      <c r="GX74">
        <v>61.093000000000004</v>
      </c>
      <c r="GY74">
        <v>26.863</v>
      </c>
      <c r="GZ74">
        <v>1</v>
      </c>
      <c r="HA74">
        <v>0.70194100000000004</v>
      </c>
      <c r="HB74">
        <v>4.9273999999999996</v>
      </c>
      <c r="HC74">
        <v>20.249199999999998</v>
      </c>
      <c r="HD74">
        <v>5.2527799999999996</v>
      </c>
      <c r="HE74">
        <v>12.010199999999999</v>
      </c>
      <c r="HF74">
        <v>4.9793000000000003</v>
      </c>
      <c r="HG74">
        <v>3.2930000000000001</v>
      </c>
      <c r="HH74">
        <v>9999</v>
      </c>
      <c r="HI74">
        <v>9999</v>
      </c>
      <c r="HJ74">
        <v>9999</v>
      </c>
      <c r="HK74">
        <v>999.9</v>
      </c>
      <c r="HL74">
        <v>1.8760600000000001</v>
      </c>
      <c r="HM74">
        <v>1.8769800000000001</v>
      </c>
      <c r="HN74">
        <v>1.88317</v>
      </c>
      <c r="HO74">
        <v>1.8863000000000001</v>
      </c>
      <c r="HP74">
        <v>1.8770899999999999</v>
      </c>
      <c r="HQ74">
        <v>1.88364</v>
      </c>
      <c r="HR74">
        <v>1.88256</v>
      </c>
      <c r="HS74">
        <v>1.8859900000000001</v>
      </c>
      <c r="HT74">
        <v>5</v>
      </c>
      <c r="HU74">
        <v>0</v>
      </c>
      <c r="HV74">
        <v>0</v>
      </c>
      <c r="HW74">
        <v>0</v>
      </c>
      <c r="HX74" t="s">
        <v>421</v>
      </c>
      <c r="HY74" t="s">
        <v>422</v>
      </c>
      <c r="HZ74" t="s">
        <v>423</v>
      </c>
      <c r="IA74" t="s">
        <v>424</v>
      </c>
      <c r="IB74" t="s">
        <v>424</v>
      </c>
      <c r="IC74" t="s">
        <v>423</v>
      </c>
      <c r="ID74">
        <v>0</v>
      </c>
      <c r="IE74">
        <v>100</v>
      </c>
      <c r="IF74">
        <v>100</v>
      </c>
      <c r="IG74">
        <v>-0.22</v>
      </c>
      <c r="IH74">
        <v>2.8E-3</v>
      </c>
      <c r="II74">
        <v>0.27629813688994231</v>
      </c>
      <c r="IJ74">
        <v>4.4610147972834149E-5</v>
      </c>
      <c r="IK74">
        <v>-2.082673137682459E-7</v>
      </c>
      <c r="IL74">
        <v>-4.0725795306076518E-11</v>
      </c>
      <c r="IM74">
        <v>2.795000000002545E-3</v>
      </c>
      <c r="IN74">
        <v>0</v>
      </c>
      <c r="IO74">
        <v>0</v>
      </c>
      <c r="IP74">
        <v>0</v>
      </c>
      <c r="IQ74">
        <v>3</v>
      </c>
      <c r="IR74">
        <v>2179</v>
      </c>
      <c r="IS74">
        <v>0</v>
      </c>
      <c r="IT74">
        <v>22</v>
      </c>
      <c r="IU74">
        <v>0.5</v>
      </c>
      <c r="IV74">
        <v>0.5</v>
      </c>
      <c r="IW74">
        <v>2.98706</v>
      </c>
      <c r="IX74">
        <v>2.65991</v>
      </c>
      <c r="IY74">
        <v>1.6003400000000001</v>
      </c>
      <c r="IZ74">
        <v>2.32422</v>
      </c>
      <c r="JA74">
        <v>1.5502899999999999</v>
      </c>
      <c r="JB74">
        <v>2.4853499999999999</v>
      </c>
      <c r="JC74">
        <v>43.919199999999996</v>
      </c>
      <c r="JD74">
        <v>24.183800000000002</v>
      </c>
      <c r="JE74">
        <v>18</v>
      </c>
      <c r="JF74">
        <v>584.44299999999998</v>
      </c>
      <c r="JG74">
        <v>390.197</v>
      </c>
      <c r="JH74">
        <v>25.592099999999999</v>
      </c>
      <c r="JI74">
        <v>35.499600000000001</v>
      </c>
      <c r="JJ74">
        <v>30.001000000000001</v>
      </c>
      <c r="JK74">
        <v>35.4724</v>
      </c>
      <c r="JL74">
        <v>35.460700000000003</v>
      </c>
      <c r="JM74">
        <v>59.799199999999999</v>
      </c>
      <c r="JN74">
        <v>22.7072</v>
      </c>
      <c r="JO74">
        <v>47.4345</v>
      </c>
      <c r="JP74">
        <v>25.569600000000001</v>
      </c>
      <c r="JQ74">
        <v>1500</v>
      </c>
      <c r="JR74">
        <v>24.607600000000001</v>
      </c>
      <c r="JS74">
        <v>98.291799999999995</v>
      </c>
      <c r="JT74">
        <v>98.840599999999995</v>
      </c>
    </row>
    <row r="75" spans="1:280" x14ac:dyDescent="0.25">
      <c r="A75">
        <v>59</v>
      </c>
      <c r="B75">
        <v>1700160946.5999999</v>
      </c>
      <c r="C75">
        <v>13073.099999904631</v>
      </c>
      <c r="D75" t="s">
        <v>664</v>
      </c>
      <c r="E75" t="s">
        <v>665</v>
      </c>
      <c r="F75" t="s">
        <v>412</v>
      </c>
      <c r="G75" t="s">
        <v>413</v>
      </c>
      <c r="H75" t="s">
        <v>657</v>
      </c>
      <c r="I75">
        <v>1700160946.5999999</v>
      </c>
      <c r="J75">
        <f t="shared" si="46"/>
        <v>1.8958449552853812E-3</v>
      </c>
      <c r="K75">
        <f t="shared" si="47"/>
        <v>1.8958449552853813</v>
      </c>
      <c r="L75">
        <f t="shared" si="48"/>
        <v>44.193096824464753</v>
      </c>
      <c r="M75">
        <f t="shared" si="49"/>
        <v>1205.3800000000001</v>
      </c>
      <c r="N75">
        <f t="shared" si="50"/>
        <v>562.28631916350128</v>
      </c>
      <c r="O75">
        <f t="shared" si="51"/>
        <v>55.723004546823041</v>
      </c>
      <c r="P75">
        <f t="shared" si="52"/>
        <v>119.45408047731401</v>
      </c>
      <c r="Q75">
        <f t="shared" si="53"/>
        <v>0.11609889091037599</v>
      </c>
      <c r="R75">
        <f t="shared" si="54"/>
        <v>3.1807446917719355</v>
      </c>
      <c r="S75">
        <f t="shared" si="55"/>
        <v>0.11379503024123461</v>
      </c>
      <c r="T75">
        <f t="shared" si="56"/>
        <v>7.1325078799885602E-2</v>
      </c>
      <c r="U75">
        <f t="shared" si="57"/>
        <v>344.37379930217463</v>
      </c>
      <c r="V75">
        <f t="shared" si="58"/>
        <v>30.807188266867993</v>
      </c>
      <c r="W75">
        <f t="shared" si="59"/>
        <v>29.992899999999999</v>
      </c>
      <c r="X75">
        <f t="shared" si="60"/>
        <v>4.2587125922785471</v>
      </c>
      <c r="Y75">
        <f t="shared" si="61"/>
        <v>64.813942794537994</v>
      </c>
      <c r="Z75">
        <f t="shared" si="62"/>
        <v>2.66535472304962</v>
      </c>
      <c r="AA75">
        <f t="shared" si="63"/>
        <v>4.1123168999282589</v>
      </c>
      <c r="AB75">
        <f t="shared" si="64"/>
        <v>1.5933578692289272</v>
      </c>
      <c r="AC75">
        <f t="shared" si="65"/>
        <v>-83.606762528085312</v>
      </c>
      <c r="AD75">
        <f t="shared" si="66"/>
        <v>-104.19143503313816</v>
      </c>
      <c r="AE75">
        <f t="shared" si="67"/>
        <v>-7.2611465151112151</v>
      </c>
      <c r="AF75">
        <f t="shared" si="68"/>
        <v>149.31445522583996</v>
      </c>
      <c r="AG75">
        <v>0</v>
      </c>
      <c r="AH75">
        <v>0</v>
      </c>
      <c r="AI75">
        <f t="shared" si="69"/>
        <v>1</v>
      </c>
      <c r="AJ75">
        <f t="shared" si="70"/>
        <v>0</v>
      </c>
      <c r="AK75">
        <f t="shared" si="71"/>
        <v>52038.569834273723</v>
      </c>
      <c r="AL75" t="s">
        <v>415</v>
      </c>
      <c r="AM75">
        <v>6977.87</v>
      </c>
      <c r="AN75">
        <v>273.15280000000001</v>
      </c>
      <c r="AO75">
        <v>850.46774885301022</v>
      </c>
      <c r="AP75">
        <f t="shared" si="72"/>
        <v>0.67882050745793765</v>
      </c>
      <c r="AQ75">
        <v>-1.0323826813720729</v>
      </c>
      <c r="AR75" t="s">
        <v>666</v>
      </c>
      <c r="AS75">
        <v>7116.98</v>
      </c>
      <c r="AT75">
        <v>524.41052000000002</v>
      </c>
      <c r="AU75">
        <v>816.75304395847411</v>
      </c>
      <c r="AV75">
        <f t="shared" si="73"/>
        <v>0.35793257964685044</v>
      </c>
      <c r="AW75">
        <v>0.5</v>
      </c>
      <c r="AX75">
        <f t="shared" si="74"/>
        <v>1513.2017996510872</v>
      </c>
      <c r="AY75">
        <f t="shared" si="75"/>
        <v>44.193096824464753</v>
      </c>
      <c r="AZ75">
        <f t="shared" si="76"/>
        <v>270.81211183768511</v>
      </c>
      <c r="BA75">
        <f t="shared" si="77"/>
        <v>2.9887275785863376E-2</v>
      </c>
      <c r="BB75">
        <f t="shared" si="78"/>
        <v>4.1278946119544864E-2</v>
      </c>
      <c r="BC75">
        <f t="shared" si="79"/>
        <v>269.57873830570384</v>
      </c>
      <c r="BD75" t="s">
        <v>667</v>
      </c>
      <c r="BE75">
        <v>396.85</v>
      </c>
      <c r="BF75">
        <f t="shared" si="80"/>
        <v>396.85</v>
      </c>
      <c r="BG75">
        <f t="shared" si="81"/>
        <v>0.51411261588126145</v>
      </c>
      <c r="BH75">
        <f t="shared" si="82"/>
        <v>0.69621434796596771</v>
      </c>
      <c r="BI75">
        <f t="shared" si="83"/>
        <v>7.4324042610292546E-2</v>
      </c>
      <c r="BJ75">
        <f t="shared" si="84"/>
        <v>0.5377895378222205</v>
      </c>
      <c r="BK75">
        <f t="shared" si="85"/>
        <v>5.8399154502268374E-2</v>
      </c>
      <c r="BL75">
        <f t="shared" si="86"/>
        <v>0.52686331309733114</v>
      </c>
      <c r="BM75">
        <f t="shared" si="87"/>
        <v>0.47313668690266886</v>
      </c>
      <c r="BN75">
        <v>11316</v>
      </c>
      <c r="BO75">
        <v>290.00000000000011</v>
      </c>
      <c r="BP75">
        <v>733.15</v>
      </c>
      <c r="BQ75">
        <v>295</v>
      </c>
      <c r="BR75">
        <v>7116.98</v>
      </c>
      <c r="BS75">
        <v>735.45</v>
      </c>
      <c r="BT75">
        <v>-2.2999999999999998</v>
      </c>
      <c r="BU75">
        <v>300.00000000000011</v>
      </c>
      <c r="BV75">
        <v>38.299999999999997</v>
      </c>
      <c r="BW75">
        <v>816.75304395847411</v>
      </c>
      <c r="BX75">
        <v>1.6510797662794341</v>
      </c>
      <c r="BY75">
        <v>-57.86152796267146</v>
      </c>
      <c r="BZ75">
        <v>0.98497431019374115</v>
      </c>
      <c r="CA75">
        <v>0.99195143506115069</v>
      </c>
      <c r="CB75">
        <v>-7.0177281423804234E-3</v>
      </c>
      <c r="CC75">
        <v>289.99999999999989</v>
      </c>
      <c r="CD75">
        <v>743.17</v>
      </c>
      <c r="CE75">
        <v>795</v>
      </c>
      <c r="CF75">
        <v>7109.08</v>
      </c>
      <c r="CG75">
        <v>735.36</v>
      </c>
      <c r="CH75">
        <v>7.81</v>
      </c>
      <c r="CV75">
        <f t="shared" si="88"/>
        <v>1800.02</v>
      </c>
      <c r="CW75">
        <f t="shared" si="89"/>
        <v>1513.2017996510872</v>
      </c>
      <c r="CX75">
        <f t="shared" si="90"/>
        <v>0.84065832582476152</v>
      </c>
      <c r="CY75">
        <f t="shared" si="91"/>
        <v>0.19131665164952313</v>
      </c>
      <c r="CZ75">
        <v>4.8</v>
      </c>
      <c r="DA75">
        <v>0.5</v>
      </c>
      <c r="DB75" t="s">
        <v>418</v>
      </c>
      <c r="DC75">
        <v>2</v>
      </c>
      <c r="DD75">
        <v>1700160946.5999999</v>
      </c>
      <c r="DE75">
        <v>1205.3800000000001</v>
      </c>
      <c r="DF75">
        <v>1249.98</v>
      </c>
      <c r="DG75">
        <v>26.895399999999999</v>
      </c>
      <c r="DH75">
        <v>25.1251</v>
      </c>
      <c r="DI75">
        <v>1205.77</v>
      </c>
      <c r="DJ75">
        <v>26.8903</v>
      </c>
      <c r="DK75">
        <v>500.21499999999997</v>
      </c>
      <c r="DL75">
        <v>99.001000000000005</v>
      </c>
      <c r="DM75">
        <v>9.9765300000000001E-2</v>
      </c>
      <c r="DN75">
        <v>29.385300000000001</v>
      </c>
      <c r="DO75">
        <v>29.992899999999999</v>
      </c>
      <c r="DP75">
        <v>999.9</v>
      </c>
      <c r="DQ75">
        <v>0</v>
      </c>
      <c r="DR75">
        <v>0</v>
      </c>
      <c r="DS75">
        <v>10020.6</v>
      </c>
      <c r="DT75">
        <v>0</v>
      </c>
      <c r="DU75">
        <v>263.60300000000001</v>
      </c>
      <c r="DV75">
        <v>-44.5944</v>
      </c>
      <c r="DW75">
        <v>1238.7</v>
      </c>
      <c r="DX75">
        <v>1282.19</v>
      </c>
      <c r="DY75">
        <v>1.77033</v>
      </c>
      <c r="DZ75">
        <v>1249.98</v>
      </c>
      <c r="EA75">
        <v>25.1251</v>
      </c>
      <c r="EB75">
        <v>2.6626699999999999</v>
      </c>
      <c r="EC75">
        <v>2.4874100000000001</v>
      </c>
      <c r="ED75">
        <v>22.0565</v>
      </c>
      <c r="EE75">
        <v>20.944299999999998</v>
      </c>
      <c r="EF75">
        <v>1800.02</v>
      </c>
      <c r="EG75">
        <v>0.97799400000000003</v>
      </c>
      <c r="EH75">
        <v>2.20056E-2</v>
      </c>
      <c r="EI75">
        <v>0</v>
      </c>
      <c r="EJ75">
        <v>524.53700000000003</v>
      </c>
      <c r="EK75">
        <v>5.0005300000000004</v>
      </c>
      <c r="EL75">
        <v>10311.9</v>
      </c>
      <c r="EM75">
        <v>16035.4</v>
      </c>
      <c r="EN75">
        <v>49.061999999999998</v>
      </c>
      <c r="EO75">
        <v>50.436999999999998</v>
      </c>
      <c r="EP75">
        <v>49.75</v>
      </c>
      <c r="EQ75">
        <v>49.875</v>
      </c>
      <c r="ER75">
        <v>50.125</v>
      </c>
      <c r="ES75">
        <v>1755.52</v>
      </c>
      <c r="ET75">
        <v>39.5</v>
      </c>
      <c r="EU75">
        <v>0</v>
      </c>
      <c r="EV75">
        <v>306.79999995231628</v>
      </c>
      <c r="EW75">
        <v>0</v>
      </c>
      <c r="EX75">
        <v>524.41052000000002</v>
      </c>
      <c r="EY75">
        <v>1.023153855099864</v>
      </c>
      <c r="EZ75">
        <v>-157.16923105643659</v>
      </c>
      <c r="FA75">
        <v>10325.495999999999</v>
      </c>
      <c r="FB75">
        <v>15</v>
      </c>
      <c r="FC75">
        <v>1700160814.0999999</v>
      </c>
      <c r="FD75" t="s">
        <v>668</v>
      </c>
      <c r="FE75">
        <v>1700160814.0999999</v>
      </c>
      <c r="FF75">
        <v>1700160811.0999999</v>
      </c>
      <c r="FG75">
        <v>65</v>
      </c>
      <c r="FH75">
        <v>-0.34100000000000003</v>
      </c>
      <c r="FI75">
        <v>2E-3</v>
      </c>
      <c r="FJ75">
        <v>-0.41499999999999998</v>
      </c>
      <c r="FK75">
        <v>5.0000000000000001E-3</v>
      </c>
      <c r="FL75">
        <v>1250</v>
      </c>
      <c r="FM75">
        <v>25</v>
      </c>
      <c r="FN75">
        <v>7.0000000000000007E-2</v>
      </c>
      <c r="FO75">
        <v>0.04</v>
      </c>
      <c r="FP75">
        <v>44.187047385701653</v>
      </c>
      <c r="FQ75">
        <v>-0.61120667636781467</v>
      </c>
      <c r="FR75">
        <v>7.2614570477042922E-2</v>
      </c>
      <c r="FS75">
        <v>1</v>
      </c>
      <c r="FT75">
        <v>0.12037809802164109</v>
      </c>
      <c r="FU75">
        <v>-3.4541131879337668E-2</v>
      </c>
      <c r="FV75">
        <v>2.584965246334248E-3</v>
      </c>
      <c r="FW75">
        <v>1</v>
      </c>
      <c r="FX75">
        <v>2</v>
      </c>
      <c r="FY75">
        <v>2</v>
      </c>
      <c r="FZ75" t="s">
        <v>420</v>
      </c>
      <c r="GA75">
        <v>3.1269</v>
      </c>
      <c r="GB75">
        <v>2.7668200000000001</v>
      </c>
      <c r="GC75">
        <v>0.188414</v>
      </c>
      <c r="GD75">
        <v>0.19254299999999999</v>
      </c>
      <c r="GE75">
        <v>0.11555799999999999</v>
      </c>
      <c r="GF75">
        <v>0.11038100000000001</v>
      </c>
      <c r="GG75">
        <v>19277.900000000001</v>
      </c>
      <c r="GH75">
        <v>19986.7</v>
      </c>
      <c r="GI75">
        <v>23629.5</v>
      </c>
      <c r="GJ75">
        <v>25084</v>
      </c>
      <c r="GK75">
        <v>30100.400000000001</v>
      </c>
      <c r="GL75">
        <v>31285.5</v>
      </c>
      <c r="GM75">
        <v>37670.400000000001</v>
      </c>
      <c r="GN75">
        <v>39044.300000000003</v>
      </c>
      <c r="GO75">
        <v>2.09293</v>
      </c>
      <c r="GP75">
        <v>1.7432799999999999</v>
      </c>
      <c r="GQ75">
        <v>-1.9185199999999999E-2</v>
      </c>
      <c r="GR75">
        <v>0</v>
      </c>
      <c r="GS75">
        <v>30.305099999999999</v>
      </c>
      <c r="GT75">
        <v>999.9</v>
      </c>
      <c r="GU75">
        <v>40.200000000000003</v>
      </c>
      <c r="GV75">
        <v>39.9</v>
      </c>
      <c r="GW75">
        <v>29.943999999999999</v>
      </c>
      <c r="GX75">
        <v>60.613</v>
      </c>
      <c r="GY75">
        <v>26.133800000000001</v>
      </c>
      <c r="GZ75">
        <v>1</v>
      </c>
      <c r="HA75">
        <v>0.71363799999999999</v>
      </c>
      <c r="HB75">
        <v>3.89242</v>
      </c>
      <c r="HC75">
        <v>20.276299999999999</v>
      </c>
      <c r="HD75">
        <v>5.25143</v>
      </c>
      <c r="HE75">
        <v>12.0099</v>
      </c>
      <c r="HF75">
        <v>4.9787499999999998</v>
      </c>
      <c r="HG75">
        <v>3.2930000000000001</v>
      </c>
      <c r="HH75">
        <v>9999</v>
      </c>
      <c r="HI75">
        <v>9999</v>
      </c>
      <c r="HJ75">
        <v>9999</v>
      </c>
      <c r="HK75">
        <v>999.9</v>
      </c>
      <c r="HL75">
        <v>1.8760600000000001</v>
      </c>
      <c r="HM75">
        <v>1.8769100000000001</v>
      </c>
      <c r="HN75">
        <v>1.8832100000000001</v>
      </c>
      <c r="HO75">
        <v>1.88629</v>
      </c>
      <c r="HP75">
        <v>1.87714</v>
      </c>
      <c r="HQ75">
        <v>1.8835999999999999</v>
      </c>
      <c r="HR75">
        <v>1.8826000000000001</v>
      </c>
      <c r="HS75">
        <v>1.8859900000000001</v>
      </c>
      <c r="HT75">
        <v>5</v>
      </c>
      <c r="HU75">
        <v>0</v>
      </c>
      <c r="HV75">
        <v>0</v>
      </c>
      <c r="HW75">
        <v>0</v>
      </c>
      <c r="HX75" t="s">
        <v>421</v>
      </c>
      <c r="HY75" t="s">
        <v>422</v>
      </c>
      <c r="HZ75" t="s">
        <v>423</v>
      </c>
      <c r="IA75" t="s">
        <v>424</v>
      </c>
      <c r="IB75" t="s">
        <v>424</v>
      </c>
      <c r="IC75" t="s">
        <v>423</v>
      </c>
      <c r="ID75">
        <v>0</v>
      </c>
      <c r="IE75">
        <v>100</v>
      </c>
      <c r="IF75">
        <v>100</v>
      </c>
      <c r="IG75">
        <v>-0.39</v>
      </c>
      <c r="IH75">
        <v>5.1000000000000004E-3</v>
      </c>
      <c r="II75">
        <v>-6.5650352531188241E-2</v>
      </c>
      <c r="IJ75">
        <v>4.4610147972834149E-5</v>
      </c>
      <c r="IK75">
        <v>-2.082673137682459E-7</v>
      </c>
      <c r="IL75">
        <v>-4.0725795306076518E-11</v>
      </c>
      <c r="IM75">
        <v>5.0549999999986994E-3</v>
      </c>
      <c r="IN75">
        <v>0</v>
      </c>
      <c r="IO75">
        <v>0</v>
      </c>
      <c r="IP75">
        <v>0</v>
      </c>
      <c r="IQ75">
        <v>3</v>
      </c>
      <c r="IR75">
        <v>2179</v>
      </c>
      <c r="IS75">
        <v>0</v>
      </c>
      <c r="IT75">
        <v>22</v>
      </c>
      <c r="IU75">
        <v>2.2000000000000002</v>
      </c>
      <c r="IV75">
        <v>2.2999999999999998</v>
      </c>
      <c r="IW75">
        <v>2.5769000000000002</v>
      </c>
      <c r="IX75">
        <v>2.6684600000000001</v>
      </c>
      <c r="IY75">
        <v>1.6003400000000001</v>
      </c>
      <c r="IZ75">
        <v>2.32544</v>
      </c>
      <c r="JA75">
        <v>1.5502899999999999</v>
      </c>
      <c r="JB75">
        <v>2.5061</v>
      </c>
      <c r="JC75">
        <v>44.084699999999998</v>
      </c>
      <c r="JD75">
        <v>24.192599999999999</v>
      </c>
      <c r="JE75">
        <v>18</v>
      </c>
      <c r="JF75">
        <v>583.87699999999995</v>
      </c>
      <c r="JG75">
        <v>388.553</v>
      </c>
      <c r="JH75">
        <v>25.682500000000001</v>
      </c>
      <c r="JI75">
        <v>35.701999999999998</v>
      </c>
      <c r="JJ75">
        <v>30.0002</v>
      </c>
      <c r="JK75">
        <v>35.628399999999999</v>
      </c>
      <c r="JL75">
        <v>35.615200000000002</v>
      </c>
      <c r="JM75">
        <v>51.575000000000003</v>
      </c>
      <c r="JN75">
        <v>20.938500000000001</v>
      </c>
      <c r="JO75">
        <v>47.439399999999999</v>
      </c>
      <c r="JP75">
        <v>25.704599999999999</v>
      </c>
      <c r="JQ75">
        <v>1250</v>
      </c>
      <c r="JR75">
        <v>25.220800000000001</v>
      </c>
      <c r="JS75">
        <v>98.25</v>
      </c>
      <c r="JT75">
        <v>98.801000000000002</v>
      </c>
    </row>
    <row r="76" spans="1:280" x14ac:dyDescent="0.25">
      <c r="A76">
        <v>60</v>
      </c>
      <c r="B76">
        <v>1700161176.5</v>
      </c>
      <c r="C76">
        <v>13303</v>
      </c>
      <c r="D76" t="s">
        <v>669</v>
      </c>
      <c r="E76" t="s">
        <v>670</v>
      </c>
      <c r="F76" t="s">
        <v>412</v>
      </c>
      <c r="G76" t="s">
        <v>413</v>
      </c>
      <c r="H76" t="s">
        <v>657</v>
      </c>
      <c r="I76">
        <v>1700161176.5</v>
      </c>
      <c r="J76">
        <f t="shared" si="46"/>
        <v>2.2481439095344584E-3</v>
      </c>
      <c r="K76">
        <f t="shared" si="47"/>
        <v>2.2481439095344582</v>
      </c>
      <c r="L76">
        <f t="shared" si="48"/>
        <v>47.851966554900926</v>
      </c>
      <c r="M76">
        <f t="shared" si="49"/>
        <v>951.90599999999995</v>
      </c>
      <c r="N76">
        <f t="shared" si="50"/>
        <v>384.65205768240196</v>
      </c>
      <c r="O76">
        <f t="shared" si="51"/>
        <v>38.115672828076256</v>
      </c>
      <c r="P76">
        <f t="shared" si="52"/>
        <v>94.325603969705995</v>
      </c>
      <c r="Q76">
        <f t="shared" si="53"/>
        <v>0.14217544447714653</v>
      </c>
      <c r="R76">
        <f t="shared" si="54"/>
        <v>3.1687184471737515</v>
      </c>
      <c r="S76">
        <f t="shared" si="55"/>
        <v>0.13872423881825205</v>
      </c>
      <c r="T76">
        <f t="shared" si="56"/>
        <v>8.7005748751283279E-2</v>
      </c>
      <c r="U76">
        <f t="shared" si="57"/>
        <v>344.38139930219018</v>
      </c>
      <c r="V76">
        <f t="shared" si="58"/>
        <v>31.05407430941986</v>
      </c>
      <c r="W76">
        <f t="shared" si="59"/>
        <v>30.011700000000001</v>
      </c>
      <c r="X76">
        <f t="shared" si="60"/>
        <v>4.2633137969128736</v>
      </c>
      <c r="Y76">
        <f t="shared" si="61"/>
        <v>64.764205103027521</v>
      </c>
      <c r="Z76">
        <f t="shared" si="62"/>
        <v>2.7139918248288</v>
      </c>
      <c r="AA76">
        <f t="shared" si="63"/>
        <v>4.1905738216216122</v>
      </c>
      <c r="AB76">
        <f t="shared" si="64"/>
        <v>1.5493219720840736</v>
      </c>
      <c r="AC76">
        <f t="shared" si="65"/>
        <v>-99.143146410469612</v>
      </c>
      <c r="AD76">
        <f t="shared" si="66"/>
        <v>-51.130002312962972</v>
      </c>
      <c r="AE76">
        <f t="shared" si="67"/>
        <v>-3.5829277198536276</v>
      </c>
      <c r="AF76">
        <f t="shared" si="68"/>
        <v>190.52532285890396</v>
      </c>
      <c r="AG76">
        <v>0</v>
      </c>
      <c r="AH76">
        <v>0</v>
      </c>
      <c r="AI76">
        <f t="shared" si="69"/>
        <v>1</v>
      </c>
      <c r="AJ76">
        <f t="shared" si="70"/>
        <v>0</v>
      </c>
      <c r="AK76">
        <f t="shared" si="71"/>
        <v>51684.960158957292</v>
      </c>
      <c r="AL76" t="s">
        <v>415</v>
      </c>
      <c r="AM76">
        <v>6977.87</v>
      </c>
      <c r="AN76">
        <v>273.15280000000001</v>
      </c>
      <c r="AO76">
        <v>850.46774885301022</v>
      </c>
      <c r="AP76">
        <f t="shared" si="72"/>
        <v>0.67882050745793765</v>
      </c>
      <c r="AQ76">
        <v>-1.0323826813720729</v>
      </c>
      <c r="AR76" t="s">
        <v>671</v>
      </c>
      <c r="AS76">
        <v>7116.93</v>
      </c>
      <c r="AT76">
        <v>518.02616</v>
      </c>
      <c r="AU76">
        <v>820.87803079064327</v>
      </c>
      <c r="AV76">
        <f t="shared" si="73"/>
        <v>0.36893650387859211</v>
      </c>
      <c r="AW76">
        <v>0.5</v>
      </c>
      <c r="AX76">
        <f t="shared" si="74"/>
        <v>1513.2353996510947</v>
      </c>
      <c r="AY76">
        <f t="shared" si="75"/>
        <v>47.851966554900926</v>
      </c>
      <c r="AZ76">
        <f t="shared" si="76"/>
        <v>279.14388894629951</v>
      </c>
      <c r="BA76">
        <f t="shared" si="77"/>
        <v>3.2304523967351159E-2</v>
      </c>
      <c r="BB76">
        <f t="shared" si="78"/>
        <v>3.6046424623968912E-2</v>
      </c>
      <c r="BC76">
        <f t="shared" si="79"/>
        <v>270.02660148515662</v>
      </c>
      <c r="BD76" t="s">
        <v>672</v>
      </c>
      <c r="BE76">
        <v>398.44</v>
      </c>
      <c r="BF76">
        <f t="shared" si="80"/>
        <v>398.44</v>
      </c>
      <c r="BG76">
        <f t="shared" si="81"/>
        <v>0.51461729385517185</v>
      </c>
      <c r="BH76">
        <f t="shared" si="82"/>
        <v>0.71691431338182265</v>
      </c>
      <c r="BI76">
        <f t="shared" si="83"/>
        <v>6.545995934419703E-2</v>
      </c>
      <c r="BJ76">
        <f t="shared" si="84"/>
        <v>0.5529266386970626</v>
      </c>
      <c r="BK76">
        <f t="shared" si="85"/>
        <v>5.125403061388728E-2</v>
      </c>
      <c r="BL76">
        <f t="shared" si="86"/>
        <v>0.55141489191173942</v>
      </c>
      <c r="BM76">
        <f t="shared" si="87"/>
        <v>0.44858510808826058</v>
      </c>
      <c r="BN76">
        <v>11318</v>
      </c>
      <c r="BO76">
        <v>290.00000000000011</v>
      </c>
      <c r="BP76">
        <v>730.13</v>
      </c>
      <c r="BQ76">
        <v>295</v>
      </c>
      <c r="BR76">
        <v>7116.93</v>
      </c>
      <c r="BS76">
        <v>732.92</v>
      </c>
      <c r="BT76">
        <v>-2.79</v>
      </c>
      <c r="BU76">
        <v>300.00000000000011</v>
      </c>
      <c r="BV76">
        <v>38.299999999999997</v>
      </c>
      <c r="BW76">
        <v>820.87803079064327</v>
      </c>
      <c r="BX76">
        <v>1.384136239323903</v>
      </c>
      <c r="BY76">
        <v>-62.601713663495133</v>
      </c>
      <c r="BZ76">
        <v>0.82572507565466979</v>
      </c>
      <c r="CA76">
        <v>0.9951521850279389</v>
      </c>
      <c r="CB76">
        <v>-7.0176338153503911E-3</v>
      </c>
      <c r="CC76">
        <v>289.99999999999989</v>
      </c>
      <c r="CD76">
        <v>739.02</v>
      </c>
      <c r="CE76">
        <v>855</v>
      </c>
      <c r="CF76">
        <v>7107.91</v>
      </c>
      <c r="CG76">
        <v>732.8</v>
      </c>
      <c r="CH76">
        <v>6.22</v>
      </c>
      <c r="CV76">
        <f t="shared" si="88"/>
        <v>1800.06</v>
      </c>
      <c r="CW76">
        <f t="shared" si="89"/>
        <v>1513.2353996510947</v>
      </c>
      <c r="CX76">
        <f t="shared" si="90"/>
        <v>0.8406583111957906</v>
      </c>
      <c r="CY76">
        <f t="shared" si="91"/>
        <v>0.19131662239158148</v>
      </c>
      <c r="CZ76">
        <v>4.8</v>
      </c>
      <c r="DA76">
        <v>0.5</v>
      </c>
      <c r="DB76" t="s">
        <v>418</v>
      </c>
      <c r="DC76">
        <v>2</v>
      </c>
      <c r="DD76">
        <v>1700161176.5</v>
      </c>
      <c r="DE76">
        <v>951.90599999999995</v>
      </c>
      <c r="DF76">
        <v>999.88900000000001</v>
      </c>
      <c r="DG76">
        <v>27.3888</v>
      </c>
      <c r="DH76">
        <v>25.290099999999999</v>
      </c>
      <c r="DI76">
        <v>952.20899999999995</v>
      </c>
      <c r="DJ76">
        <v>27.380500000000001</v>
      </c>
      <c r="DK76">
        <v>500.09699999999998</v>
      </c>
      <c r="DL76">
        <v>98.991200000000006</v>
      </c>
      <c r="DM76">
        <v>0.100101</v>
      </c>
      <c r="DN76">
        <v>29.712399999999999</v>
      </c>
      <c r="DO76">
        <v>30.011700000000001</v>
      </c>
      <c r="DP76">
        <v>999.9</v>
      </c>
      <c r="DQ76">
        <v>0</v>
      </c>
      <c r="DR76">
        <v>0</v>
      </c>
      <c r="DS76">
        <v>9961.8799999999992</v>
      </c>
      <c r="DT76">
        <v>0</v>
      </c>
      <c r="DU76">
        <v>533.09699999999998</v>
      </c>
      <c r="DV76">
        <v>-47.983199999999997</v>
      </c>
      <c r="DW76">
        <v>978.71199999999999</v>
      </c>
      <c r="DX76">
        <v>1025.83</v>
      </c>
      <c r="DY76">
        <v>2.0987100000000001</v>
      </c>
      <c r="DZ76">
        <v>999.88900000000001</v>
      </c>
      <c r="EA76">
        <v>25.290099999999999</v>
      </c>
      <c r="EB76">
        <v>2.7112500000000002</v>
      </c>
      <c r="EC76">
        <v>2.5034999999999998</v>
      </c>
      <c r="ED76">
        <v>22.3535</v>
      </c>
      <c r="EE76">
        <v>21.049199999999999</v>
      </c>
      <c r="EF76">
        <v>1800.06</v>
      </c>
      <c r="EG76">
        <v>0.97799400000000003</v>
      </c>
      <c r="EH76">
        <v>2.20056E-2</v>
      </c>
      <c r="EI76">
        <v>0</v>
      </c>
      <c r="EJ76">
        <v>517.87599999999998</v>
      </c>
      <c r="EK76">
        <v>5.0005300000000004</v>
      </c>
      <c r="EL76">
        <v>10681.3</v>
      </c>
      <c r="EM76">
        <v>16035.8</v>
      </c>
      <c r="EN76">
        <v>49.061999999999998</v>
      </c>
      <c r="EO76">
        <v>50.375</v>
      </c>
      <c r="EP76">
        <v>49.75</v>
      </c>
      <c r="EQ76">
        <v>49.75</v>
      </c>
      <c r="ER76">
        <v>50.125</v>
      </c>
      <c r="ES76">
        <v>1755.56</v>
      </c>
      <c r="ET76">
        <v>39.5</v>
      </c>
      <c r="EU76">
        <v>0</v>
      </c>
      <c r="EV76">
        <v>228.20000004768369</v>
      </c>
      <c r="EW76">
        <v>0</v>
      </c>
      <c r="EX76">
        <v>518.02616</v>
      </c>
      <c r="EY76">
        <v>-1.4106923024474891</v>
      </c>
      <c r="EZ76">
        <v>2127.2846155930861</v>
      </c>
      <c r="FA76">
        <v>10416.388000000001</v>
      </c>
      <c r="FB76">
        <v>15</v>
      </c>
      <c r="FC76">
        <v>1700161023.0999999</v>
      </c>
      <c r="FD76" t="s">
        <v>673</v>
      </c>
      <c r="FE76">
        <v>1700161023.0999999</v>
      </c>
      <c r="FF76">
        <v>1700161023.0999999</v>
      </c>
      <c r="FG76">
        <v>66</v>
      </c>
      <c r="FH76">
        <v>-5.6000000000000001E-2</v>
      </c>
      <c r="FI76">
        <v>3.0000000000000001E-3</v>
      </c>
      <c r="FJ76">
        <v>-0.32500000000000001</v>
      </c>
      <c r="FK76">
        <v>8.0000000000000002E-3</v>
      </c>
      <c r="FL76">
        <v>1000</v>
      </c>
      <c r="FM76">
        <v>25</v>
      </c>
      <c r="FN76">
        <v>0.13</v>
      </c>
      <c r="FO76">
        <v>0.1</v>
      </c>
      <c r="FP76">
        <v>47.796297470873469</v>
      </c>
      <c r="FQ76">
        <v>0.50134313796113639</v>
      </c>
      <c r="FR76">
        <v>7.560132484905964E-2</v>
      </c>
      <c r="FS76">
        <v>1</v>
      </c>
      <c r="FT76">
        <v>0.142423149821854</v>
      </c>
      <c r="FU76">
        <v>-1.803635880096879E-2</v>
      </c>
      <c r="FV76">
        <v>1.416141718770973E-3</v>
      </c>
      <c r="FW76">
        <v>1</v>
      </c>
      <c r="FX76">
        <v>2</v>
      </c>
      <c r="FY76">
        <v>2</v>
      </c>
      <c r="FZ76" t="s">
        <v>420</v>
      </c>
      <c r="GA76">
        <v>3.12669</v>
      </c>
      <c r="GB76">
        <v>2.7666400000000002</v>
      </c>
      <c r="GC76">
        <v>0.16229099999999999</v>
      </c>
      <c r="GD76">
        <v>0.16738700000000001</v>
      </c>
      <c r="GE76">
        <v>0.116983</v>
      </c>
      <c r="GF76">
        <v>0.11085399999999999</v>
      </c>
      <c r="GG76">
        <v>19898.7</v>
      </c>
      <c r="GH76">
        <v>20610.5</v>
      </c>
      <c r="GI76">
        <v>23627.8</v>
      </c>
      <c r="GJ76">
        <v>25083</v>
      </c>
      <c r="GK76">
        <v>30049.9</v>
      </c>
      <c r="GL76">
        <v>31267.599999999999</v>
      </c>
      <c r="GM76">
        <v>37667.699999999997</v>
      </c>
      <c r="GN76">
        <v>39042.699999999997</v>
      </c>
      <c r="GO76">
        <v>2.0919300000000001</v>
      </c>
      <c r="GP76">
        <v>1.7419800000000001</v>
      </c>
      <c r="GQ76">
        <v>-7.0296200000000003E-3</v>
      </c>
      <c r="GR76">
        <v>0</v>
      </c>
      <c r="GS76">
        <v>30.126100000000001</v>
      </c>
      <c r="GT76">
        <v>999.9</v>
      </c>
      <c r="GU76">
        <v>40.299999999999997</v>
      </c>
      <c r="GV76">
        <v>40</v>
      </c>
      <c r="GW76">
        <v>30.182400000000001</v>
      </c>
      <c r="GX76">
        <v>60.503</v>
      </c>
      <c r="GY76">
        <v>26.806899999999999</v>
      </c>
      <c r="GZ76">
        <v>1</v>
      </c>
      <c r="HA76">
        <v>0.71345800000000004</v>
      </c>
      <c r="HB76">
        <v>3.38998</v>
      </c>
      <c r="HC76">
        <v>20.286100000000001</v>
      </c>
      <c r="HD76">
        <v>5.2475399999999999</v>
      </c>
      <c r="HE76">
        <v>12.0099</v>
      </c>
      <c r="HF76">
        <v>4.9790999999999999</v>
      </c>
      <c r="HG76">
        <v>3.2930000000000001</v>
      </c>
      <c r="HH76">
        <v>9999</v>
      </c>
      <c r="HI76">
        <v>9999</v>
      </c>
      <c r="HJ76">
        <v>9999</v>
      </c>
      <c r="HK76">
        <v>999.9</v>
      </c>
      <c r="HL76">
        <v>1.8760699999999999</v>
      </c>
      <c r="HM76">
        <v>1.8769800000000001</v>
      </c>
      <c r="HN76">
        <v>1.8832199999999999</v>
      </c>
      <c r="HO76">
        <v>1.88629</v>
      </c>
      <c r="HP76">
        <v>1.87713</v>
      </c>
      <c r="HQ76">
        <v>1.8836299999999999</v>
      </c>
      <c r="HR76">
        <v>1.88259</v>
      </c>
      <c r="HS76">
        <v>1.8859900000000001</v>
      </c>
      <c r="HT76">
        <v>5</v>
      </c>
      <c r="HU76">
        <v>0</v>
      </c>
      <c r="HV76">
        <v>0</v>
      </c>
      <c r="HW76">
        <v>0</v>
      </c>
      <c r="HX76" t="s">
        <v>421</v>
      </c>
      <c r="HY76" t="s">
        <v>422</v>
      </c>
      <c r="HZ76" t="s">
        <v>423</v>
      </c>
      <c r="IA76" t="s">
        <v>424</v>
      </c>
      <c r="IB76" t="s">
        <v>424</v>
      </c>
      <c r="IC76" t="s">
        <v>423</v>
      </c>
      <c r="ID76">
        <v>0</v>
      </c>
      <c r="IE76">
        <v>100</v>
      </c>
      <c r="IF76">
        <v>100</v>
      </c>
      <c r="IG76">
        <v>-0.30299999999999999</v>
      </c>
      <c r="IH76">
        <v>8.3000000000000001E-3</v>
      </c>
      <c r="II76">
        <v>-0.1207610388442171</v>
      </c>
      <c r="IJ76">
        <v>4.4610147972834149E-5</v>
      </c>
      <c r="IK76">
        <v>-2.082673137682459E-7</v>
      </c>
      <c r="IL76">
        <v>-4.0725795306076518E-11</v>
      </c>
      <c r="IM76">
        <v>8.2550000000018997E-3</v>
      </c>
      <c r="IN76">
        <v>0</v>
      </c>
      <c r="IO76">
        <v>0</v>
      </c>
      <c r="IP76">
        <v>0</v>
      </c>
      <c r="IQ76">
        <v>3</v>
      </c>
      <c r="IR76">
        <v>2179</v>
      </c>
      <c r="IS76">
        <v>0</v>
      </c>
      <c r="IT76">
        <v>22</v>
      </c>
      <c r="IU76">
        <v>2.6</v>
      </c>
      <c r="IV76">
        <v>2.6</v>
      </c>
      <c r="IW76">
        <v>2.1459999999999999</v>
      </c>
      <c r="IX76">
        <v>2.67456</v>
      </c>
      <c r="IY76">
        <v>1.6015600000000001</v>
      </c>
      <c r="IZ76">
        <v>2.323</v>
      </c>
      <c r="JA76">
        <v>1.5502899999999999</v>
      </c>
      <c r="JB76">
        <v>2.2961399999999998</v>
      </c>
      <c r="JC76">
        <v>44.14</v>
      </c>
      <c r="JD76">
        <v>24.183800000000002</v>
      </c>
      <c r="JE76">
        <v>18</v>
      </c>
      <c r="JF76">
        <v>583.91999999999996</v>
      </c>
      <c r="JG76">
        <v>388.29399999999998</v>
      </c>
      <c r="JH76">
        <v>26.212800000000001</v>
      </c>
      <c r="JI76">
        <v>35.730499999999999</v>
      </c>
      <c r="JJ76">
        <v>29.999400000000001</v>
      </c>
      <c r="JK76">
        <v>35.715800000000002</v>
      </c>
      <c r="JL76">
        <v>35.705300000000001</v>
      </c>
      <c r="JM76">
        <v>42.964300000000001</v>
      </c>
      <c r="JN76">
        <v>21.590199999999999</v>
      </c>
      <c r="JO76">
        <v>48.269100000000002</v>
      </c>
      <c r="JP76">
        <v>26.232800000000001</v>
      </c>
      <c r="JQ76">
        <v>1000</v>
      </c>
      <c r="JR76">
        <v>25.343599999999999</v>
      </c>
      <c r="JS76">
        <v>98.242999999999995</v>
      </c>
      <c r="JT76">
        <v>98.796800000000005</v>
      </c>
    </row>
    <row r="77" spans="1:280" x14ac:dyDescent="0.25">
      <c r="A77">
        <v>61</v>
      </c>
      <c r="B77">
        <v>1700161337.5</v>
      </c>
      <c r="C77">
        <v>13464</v>
      </c>
      <c r="D77" t="s">
        <v>674</v>
      </c>
      <c r="E77" t="s">
        <v>675</v>
      </c>
      <c r="F77" t="s">
        <v>412</v>
      </c>
      <c r="G77" t="s">
        <v>413</v>
      </c>
      <c r="H77" t="s">
        <v>657</v>
      </c>
      <c r="I77">
        <v>1700161337.5</v>
      </c>
      <c r="J77">
        <f t="shared" si="46"/>
        <v>2.4798862690742795E-3</v>
      </c>
      <c r="K77">
        <f t="shared" si="47"/>
        <v>2.4798862690742793</v>
      </c>
      <c r="L77">
        <f t="shared" si="48"/>
        <v>46.280155235990591</v>
      </c>
      <c r="M77">
        <f t="shared" si="49"/>
        <v>703.86300000000006</v>
      </c>
      <c r="N77">
        <f t="shared" si="50"/>
        <v>217.39314447667556</v>
      </c>
      <c r="O77">
        <f t="shared" si="51"/>
        <v>21.539086513703559</v>
      </c>
      <c r="P77">
        <f t="shared" si="52"/>
        <v>69.738013529775898</v>
      </c>
      <c r="Q77">
        <f t="shared" si="53"/>
        <v>0.15968403662529507</v>
      </c>
      <c r="R77">
        <f t="shared" si="54"/>
        <v>3.1862110500688097</v>
      </c>
      <c r="S77">
        <f t="shared" si="55"/>
        <v>0.15536757843327542</v>
      </c>
      <c r="T77">
        <f t="shared" si="56"/>
        <v>9.7482834607438187E-2</v>
      </c>
      <c r="U77">
        <f t="shared" si="57"/>
        <v>344.37189930217079</v>
      </c>
      <c r="V77">
        <f t="shared" si="58"/>
        <v>30.915973506403734</v>
      </c>
      <c r="W77">
        <f t="shared" si="59"/>
        <v>29.957000000000001</v>
      </c>
      <c r="X77">
        <f t="shared" si="60"/>
        <v>4.2499382708481281</v>
      </c>
      <c r="Y77">
        <f t="shared" si="61"/>
        <v>65.290339121633849</v>
      </c>
      <c r="Z77">
        <f t="shared" si="62"/>
        <v>2.7241561701616401</v>
      </c>
      <c r="AA77">
        <f t="shared" si="63"/>
        <v>4.1723725237306901</v>
      </c>
      <c r="AB77">
        <f t="shared" si="64"/>
        <v>1.525782100686488</v>
      </c>
      <c r="AC77">
        <f t="shared" si="65"/>
        <v>-109.36298446617573</v>
      </c>
      <c r="AD77">
        <f t="shared" si="66"/>
        <v>-55.002358244045325</v>
      </c>
      <c r="AE77">
        <f t="shared" si="67"/>
        <v>-3.8306491259491193</v>
      </c>
      <c r="AF77">
        <f t="shared" si="68"/>
        <v>176.17590746600064</v>
      </c>
      <c r="AG77">
        <v>0</v>
      </c>
      <c r="AH77">
        <v>0</v>
      </c>
      <c r="AI77">
        <f t="shared" si="69"/>
        <v>1</v>
      </c>
      <c r="AJ77">
        <f t="shared" si="70"/>
        <v>0</v>
      </c>
      <c r="AK77">
        <f t="shared" si="71"/>
        <v>52130.126554995222</v>
      </c>
      <c r="AL77" t="s">
        <v>427</v>
      </c>
      <c r="AM77" t="s">
        <v>427</v>
      </c>
      <c r="AN77">
        <v>0</v>
      </c>
      <c r="AO77">
        <v>0</v>
      </c>
      <c r="AP77" t="e">
        <f t="shared" si="72"/>
        <v>#DIV/0!</v>
      </c>
      <c r="AQ77">
        <v>0</v>
      </c>
      <c r="AR77" t="s">
        <v>427</v>
      </c>
      <c r="AS77" t="s">
        <v>427</v>
      </c>
      <c r="AT77">
        <v>0</v>
      </c>
      <c r="AU77">
        <v>0</v>
      </c>
      <c r="AV77" t="e">
        <f t="shared" si="73"/>
        <v>#DIV/0!</v>
      </c>
      <c r="AW77">
        <v>0.5</v>
      </c>
      <c r="AX77">
        <f t="shared" si="74"/>
        <v>1513.1933996510854</v>
      </c>
      <c r="AY77">
        <f t="shared" si="75"/>
        <v>46.280155235990591</v>
      </c>
      <c r="AZ77" t="e">
        <f t="shared" si="76"/>
        <v>#DIV/0!</v>
      </c>
      <c r="BA77">
        <f t="shared" si="77"/>
        <v>3.0584428432388049E-2</v>
      </c>
      <c r="BB77" t="e">
        <f t="shared" si="78"/>
        <v>#DIV/0!</v>
      </c>
      <c r="BC77" t="e">
        <f t="shared" si="79"/>
        <v>#DIV/0!</v>
      </c>
      <c r="BD77" t="s">
        <v>427</v>
      </c>
      <c r="BE77">
        <v>0</v>
      </c>
      <c r="BF77" t="e">
        <f t="shared" si="80"/>
        <v>#DIV/0!</v>
      </c>
      <c r="BG77" t="e">
        <f t="shared" si="81"/>
        <v>#DIV/0!</v>
      </c>
      <c r="BH77" t="e">
        <f t="shared" si="82"/>
        <v>#DIV/0!</v>
      </c>
      <c r="BI77" t="e">
        <f t="shared" si="83"/>
        <v>#DIV/0!</v>
      </c>
      <c r="BJ77" t="e">
        <f t="shared" si="84"/>
        <v>#DIV/0!</v>
      </c>
      <c r="BK77" t="e">
        <f t="shared" si="85"/>
        <v>#DIV/0!</v>
      </c>
      <c r="BL77" t="e">
        <f t="shared" si="86"/>
        <v>#DIV/0!</v>
      </c>
      <c r="BM77" t="e">
        <f t="shared" si="87"/>
        <v>#DIV/0!</v>
      </c>
      <c r="BN77">
        <v>11318</v>
      </c>
      <c r="BO77">
        <v>290.00000000000011</v>
      </c>
      <c r="BP77">
        <v>730.13</v>
      </c>
      <c r="BQ77">
        <v>295</v>
      </c>
      <c r="BR77">
        <v>7116.93</v>
      </c>
      <c r="BS77">
        <v>732.92</v>
      </c>
      <c r="BT77">
        <v>-2.79</v>
      </c>
      <c r="BU77">
        <v>300.00000000000011</v>
      </c>
      <c r="BV77">
        <v>38.299999999999997</v>
      </c>
      <c r="BW77">
        <v>820.87803079064327</v>
      </c>
      <c r="BX77">
        <v>1.384136239323903</v>
      </c>
      <c r="BY77">
        <v>-62.601713663495133</v>
      </c>
      <c r="BZ77">
        <v>0.82572507565466979</v>
      </c>
      <c r="CA77">
        <v>0.9951521850279389</v>
      </c>
      <c r="CB77">
        <v>-7.0176338153503911E-3</v>
      </c>
      <c r="CC77">
        <v>289.99999999999989</v>
      </c>
      <c r="CD77">
        <v>739.02</v>
      </c>
      <c r="CE77">
        <v>855</v>
      </c>
      <c r="CF77">
        <v>7107.91</v>
      </c>
      <c r="CG77">
        <v>732.8</v>
      </c>
      <c r="CH77">
        <v>6.22</v>
      </c>
      <c r="CV77">
        <f t="shared" si="88"/>
        <v>1800.01</v>
      </c>
      <c r="CW77">
        <f t="shared" si="89"/>
        <v>1513.1933996510854</v>
      </c>
      <c r="CX77">
        <f t="shared" si="90"/>
        <v>0.84065832948210584</v>
      </c>
      <c r="CY77">
        <f t="shared" si="91"/>
        <v>0.19131665896421174</v>
      </c>
      <c r="CZ77">
        <v>4.8</v>
      </c>
      <c r="DA77">
        <v>0.5</v>
      </c>
      <c r="DB77" t="s">
        <v>418</v>
      </c>
      <c r="DC77">
        <v>2</v>
      </c>
      <c r="DD77">
        <v>1700161337.5</v>
      </c>
      <c r="DE77">
        <v>703.86300000000006</v>
      </c>
      <c r="DF77">
        <v>749.95500000000004</v>
      </c>
      <c r="DG77">
        <v>27.494800000000001</v>
      </c>
      <c r="DH77">
        <v>25.180199999999999</v>
      </c>
      <c r="DI77">
        <v>704.303</v>
      </c>
      <c r="DJ77">
        <v>27.490400000000001</v>
      </c>
      <c r="DK77">
        <v>500.137</v>
      </c>
      <c r="DL77">
        <v>98.979399999999998</v>
      </c>
      <c r="DM77">
        <v>9.9559300000000003E-2</v>
      </c>
      <c r="DN77">
        <v>29.636800000000001</v>
      </c>
      <c r="DO77">
        <v>29.957000000000001</v>
      </c>
      <c r="DP77">
        <v>999.9</v>
      </c>
      <c r="DQ77">
        <v>0</v>
      </c>
      <c r="DR77">
        <v>0</v>
      </c>
      <c r="DS77">
        <v>10050</v>
      </c>
      <c r="DT77">
        <v>0</v>
      </c>
      <c r="DU77">
        <v>665.43200000000002</v>
      </c>
      <c r="DV77">
        <v>-46.091900000000003</v>
      </c>
      <c r="DW77">
        <v>723.76300000000003</v>
      </c>
      <c r="DX77">
        <v>769.327</v>
      </c>
      <c r="DY77">
        <v>2.3146800000000001</v>
      </c>
      <c r="DZ77">
        <v>749.95500000000004</v>
      </c>
      <c r="EA77">
        <v>25.180199999999999</v>
      </c>
      <c r="EB77">
        <v>2.7214200000000002</v>
      </c>
      <c r="EC77">
        <v>2.4923199999999999</v>
      </c>
      <c r="ED77">
        <v>22.414999999999999</v>
      </c>
      <c r="EE77">
        <v>20.976400000000002</v>
      </c>
      <c r="EF77">
        <v>1800.01</v>
      </c>
      <c r="EG77">
        <v>0.97799400000000003</v>
      </c>
      <c r="EH77">
        <v>2.20056E-2</v>
      </c>
      <c r="EI77">
        <v>0</v>
      </c>
      <c r="EJ77">
        <v>516.30999999999995</v>
      </c>
      <c r="EK77">
        <v>5.0005300000000004</v>
      </c>
      <c r="EL77">
        <v>10746.9</v>
      </c>
      <c r="EM77">
        <v>16035.4</v>
      </c>
      <c r="EN77">
        <v>49.125</v>
      </c>
      <c r="EO77">
        <v>50.436999999999998</v>
      </c>
      <c r="EP77">
        <v>49.75</v>
      </c>
      <c r="EQ77">
        <v>49.811999999999998</v>
      </c>
      <c r="ER77">
        <v>50.186999999999998</v>
      </c>
      <c r="ES77">
        <v>1755.51</v>
      </c>
      <c r="ET77">
        <v>39.5</v>
      </c>
      <c r="EU77">
        <v>0</v>
      </c>
      <c r="EV77">
        <v>159</v>
      </c>
      <c r="EW77">
        <v>0</v>
      </c>
      <c r="EX77">
        <v>516.20573076923074</v>
      </c>
      <c r="EY77">
        <v>-0.1094358912639752</v>
      </c>
      <c r="EZ77">
        <v>19.671794854221499</v>
      </c>
      <c r="FA77">
        <v>10752.47692307692</v>
      </c>
      <c r="FB77">
        <v>15</v>
      </c>
      <c r="FC77">
        <v>1700161254.5</v>
      </c>
      <c r="FD77" t="s">
        <v>676</v>
      </c>
      <c r="FE77">
        <v>1700161254.5</v>
      </c>
      <c r="FF77">
        <v>1700161252</v>
      </c>
      <c r="FG77">
        <v>67</v>
      </c>
      <c r="FH77">
        <v>-0.23300000000000001</v>
      </c>
      <c r="FI77">
        <v>-4.0000000000000001E-3</v>
      </c>
      <c r="FJ77">
        <v>-0.45400000000000001</v>
      </c>
      <c r="FK77">
        <v>4.0000000000000001E-3</v>
      </c>
      <c r="FL77">
        <v>750</v>
      </c>
      <c r="FM77">
        <v>25</v>
      </c>
      <c r="FN77">
        <v>0.05</v>
      </c>
      <c r="FO77">
        <v>0.08</v>
      </c>
      <c r="FP77">
        <v>46.30851695178665</v>
      </c>
      <c r="FQ77">
        <v>0.52220764963750688</v>
      </c>
      <c r="FR77">
        <v>5.3992130493441023E-2</v>
      </c>
      <c r="FS77">
        <v>1</v>
      </c>
      <c r="FT77">
        <v>0.15923601890804909</v>
      </c>
      <c r="FU77">
        <v>2.2421797871667509E-2</v>
      </c>
      <c r="FV77">
        <v>2.1144870026915778E-3</v>
      </c>
      <c r="FW77">
        <v>1</v>
      </c>
      <c r="FX77">
        <v>2</v>
      </c>
      <c r="FY77">
        <v>2</v>
      </c>
      <c r="FZ77" t="s">
        <v>420</v>
      </c>
      <c r="GA77">
        <v>3.1267800000000001</v>
      </c>
      <c r="GB77">
        <v>2.7668699999999999</v>
      </c>
      <c r="GC77">
        <v>0.13289699999999999</v>
      </c>
      <c r="GD77">
        <v>0.138652</v>
      </c>
      <c r="GE77">
        <v>0.11729000000000001</v>
      </c>
      <c r="GF77">
        <v>0.110498</v>
      </c>
      <c r="GG77">
        <v>20599.099999999999</v>
      </c>
      <c r="GH77">
        <v>21324</v>
      </c>
      <c r="GI77">
        <v>23628.6</v>
      </c>
      <c r="GJ77">
        <v>25083.5</v>
      </c>
      <c r="GK77">
        <v>30040.400000000001</v>
      </c>
      <c r="GL77">
        <v>31281.200000000001</v>
      </c>
      <c r="GM77">
        <v>37668.9</v>
      </c>
      <c r="GN77">
        <v>39044</v>
      </c>
      <c r="GO77">
        <v>2.0929000000000002</v>
      </c>
      <c r="GP77">
        <v>1.74095</v>
      </c>
      <c r="GQ77">
        <v>-1.3489299999999999E-2</v>
      </c>
      <c r="GR77">
        <v>0</v>
      </c>
      <c r="GS77">
        <v>30.176500000000001</v>
      </c>
      <c r="GT77">
        <v>999.9</v>
      </c>
      <c r="GU77">
        <v>40.5</v>
      </c>
      <c r="GV77">
        <v>40</v>
      </c>
      <c r="GW77">
        <v>30.336099999999998</v>
      </c>
      <c r="GX77">
        <v>60.183</v>
      </c>
      <c r="GY77">
        <v>26.975200000000001</v>
      </c>
      <c r="GZ77">
        <v>1</v>
      </c>
      <c r="HA77">
        <v>0.71176799999999996</v>
      </c>
      <c r="HB77">
        <v>3.1913100000000001</v>
      </c>
      <c r="HC77">
        <v>20.290199999999999</v>
      </c>
      <c r="HD77">
        <v>5.25143</v>
      </c>
      <c r="HE77">
        <v>12.0099</v>
      </c>
      <c r="HF77">
        <v>4.9785500000000003</v>
      </c>
      <c r="HG77">
        <v>3.2930000000000001</v>
      </c>
      <c r="HH77">
        <v>9999</v>
      </c>
      <c r="HI77">
        <v>9999</v>
      </c>
      <c r="HJ77">
        <v>9999</v>
      </c>
      <c r="HK77">
        <v>999.9</v>
      </c>
      <c r="HL77">
        <v>1.8760300000000001</v>
      </c>
      <c r="HM77">
        <v>1.8768899999999999</v>
      </c>
      <c r="HN77">
        <v>1.8831500000000001</v>
      </c>
      <c r="HO77">
        <v>1.88629</v>
      </c>
      <c r="HP77">
        <v>1.8770100000000001</v>
      </c>
      <c r="HQ77">
        <v>1.88354</v>
      </c>
      <c r="HR77">
        <v>1.8825000000000001</v>
      </c>
      <c r="HS77">
        <v>1.8859600000000001</v>
      </c>
      <c r="HT77">
        <v>5</v>
      </c>
      <c r="HU77">
        <v>0</v>
      </c>
      <c r="HV77">
        <v>0</v>
      </c>
      <c r="HW77">
        <v>0</v>
      </c>
      <c r="HX77" t="s">
        <v>421</v>
      </c>
      <c r="HY77" t="s">
        <v>422</v>
      </c>
      <c r="HZ77" t="s">
        <v>423</v>
      </c>
      <c r="IA77" t="s">
        <v>424</v>
      </c>
      <c r="IB77" t="s">
        <v>424</v>
      </c>
      <c r="IC77" t="s">
        <v>423</v>
      </c>
      <c r="ID77">
        <v>0</v>
      </c>
      <c r="IE77">
        <v>100</v>
      </c>
      <c r="IF77">
        <v>100</v>
      </c>
      <c r="IG77">
        <v>-0.44</v>
      </c>
      <c r="IH77">
        <v>4.4000000000000003E-3</v>
      </c>
      <c r="II77">
        <v>-0.35331047467374782</v>
      </c>
      <c r="IJ77">
        <v>4.4610147972834149E-5</v>
      </c>
      <c r="IK77">
        <v>-2.082673137682459E-7</v>
      </c>
      <c r="IL77">
        <v>-4.0725795306076518E-11</v>
      </c>
      <c r="IM77">
        <v>4.4249999999976808E-3</v>
      </c>
      <c r="IN77">
        <v>0</v>
      </c>
      <c r="IO77">
        <v>0</v>
      </c>
      <c r="IP77">
        <v>0</v>
      </c>
      <c r="IQ77">
        <v>3</v>
      </c>
      <c r="IR77">
        <v>2179</v>
      </c>
      <c r="IS77">
        <v>0</v>
      </c>
      <c r="IT77">
        <v>22</v>
      </c>
      <c r="IU77">
        <v>1.4</v>
      </c>
      <c r="IV77">
        <v>1.4</v>
      </c>
      <c r="IW77">
        <v>1.69678</v>
      </c>
      <c r="IX77">
        <v>2.67822</v>
      </c>
      <c r="IY77">
        <v>1.6015600000000001</v>
      </c>
      <c r="IZ77">
        <v>2.323</v>
      </c>
      <c r="JA77">
        <v>1.5502899999999999</v>
      </c>
      <c r="JB77">
        <v>2.323</v>
      </c>
      <c r="JC77">
        <v>44.195399999999999</v>
      </c>
      <c r="JD77">
        <v>24.183800000000002</v>
      </c>
      <c r="JE77">
        <v>18</v>
      </c>
      <c r="JF77">
        <v>584.77499999999998</v>
      </c>
      <c r="JG77">
        <v>387.79</v>
      </c>
      <c r="JH77">
        <v>26.273199999999999</v>
      </c>
      <c r="JI77">
        <v>35.730499999999999</v>
      </c>
      <c r="JJ77">
        <v>30.0001</v>
      </c>
      <c r="JK77">
        <v>35.735500000000002</v>
      </c>
      <c r="JL77">
        <v>35.727499999999999</v>
      </c>
      <c r="JM77">
        <v>33.962899999999998</v>
      </c>
      <c r="JN77">
        <v>23.125599999999999</v>
      </c>
      <c r="JO77">
        <v>48.447200000000002</v>
      </c>
      <c r="JP77">
        <v>26.281199999999998</v>
      </c>
      <c r="JQ77">
        <v>750</v>
      </c>
      <c r="JR77">
        <v>25.127700000000001</v>
      </c>
      <c r="JS77">
        <v>98.245999999999995</v>
      </c>
      <c r="JT77">
        <v>98.799599999999998</v>
      </c>
    </row>
    <row r="78" spans="1:280" x14ac:dyDescent="0.25">
      <c r="A78">
        <v>62</v>
      </c>
      <c r="B78">
        <v>1700161436</v>
      </c>
      <c r="C78">
        <v>13562.5</v>
      </c>
      <c r="D78" t="s">
        <v>677</v>
      </c>
      <c r="E78" t="s">
        <v>678</v>
      </c>
      <c r="F78" t="s">
        <v>412</v>
      </c>
      <c r="G78" t="s">
        <v>413</v>
      </c>
      <c r="H78" t="s">
        <v>657</v>
      </c>
      <c r="I78">
        <v>1700161436</v>
      </c>
      <c r="J78">
        <f t="shared" si="46"/>
        <v>2.7546159306677128E-3</v>
      </c>
      <c r="K78">
        <f t="shared" si="47"/>
        <v>2.7546159306677129</v>
      </c>
      <c r="L78">
        <f t="shared" si="48"/>
        <v>43.485442893836343</v>
      </c>
      <c r="M78">
        <f t="shared" si="49"/>
        <v>556.75300000000004</v>
      </c>
      <c r="N78">
        <f t="shared" si="50"/>
        <v>149.22375774544986</v>
      </c>
      <c r="O78">
        <f t="shared" si="51"/>
        <v>14.78429652454399</v>
      </c>
      <c r="P78">
        <f t="shared" si="52"/>
        <v>55.160127095649599</v>
      </c>
      <c r="Q78">
        <f t="shared" si="53"/>
        <v>0.1792203557541229</v>
      </c>
      <c r="R78">
        <f t="shared" si="54"/>
        <v>3.1765684260673201</v>
      </c>
      <c r="S78">
        <f t="shared" si="55"/>
        <v>0.17378648936646354</v>
      </c>
      <c r="T78">
        <f t="shared" si="56"/>
        <v>0.10909104352774415</v>
      </c>
      <c r="U78">
        <f t="shared" si="57"/>
        <v>344.36239930215135</v>
      </c>
      <c r="V78">
        <f t="shared" si="58"/>
        <v>30.887391487476496</v>
      </c>
      <c r="W78">
        <f t="shared" si="59"/>
        <v>29.950900000000001</v>
      </c>
      <c r="X78">
        <f t="shared" si="60"/>
        <v>4.2484489364882005</v>
      </c>
      <c r="Y78">
        <f t="shared" si="61"/>
        <v>65.383536007166825</v>
      </c>
      <c r="Z78">
        <f t="shared" si="62"/>
        <v>2.7333912497414401</v>
      </c>
      <c r="AA78">
        <f t="shared" si="63"/>
        <v>4.1805497479393399</v>
      </c>
      <c r="AB78">
        <f t="shared" si="64"/>
        <v>1.5150576867467604</v>
      </c>
      <c r="AC78">
        <f t="shared" si="65"/>
        <v>-121.47856254244613</v>
      </c>
      <c r="AD78">
        <f t="shared" si="66"/>
        <v>-47.968569471818356</v>
      </c>
      <c r="AE78">
        <f t="shared" si="67"/>
        <v>-3.3513836745213377</v>
      </c>
      <c r="AF78">
        <f t="shared" si="68"/>
        <v>171.56388361336553</v>
      </c>
      <c r="AG78">
        <v>0</v>
      </c>
      <c r="AH78">
        <v>0</v>
      </c>
      <c r="AI78">
        <f t="shared" si="69"/>
        <v>1</v>
      </c>
      <c r="AJ78">
        <f t="shared" si="70"/>
        <v>0</v>
      </c>
      <c r="AK78">
        <f t="shared" si="71"/>
        <v>51885.649653434666</v>
      </c>
      <c r="AL78" t="s">
        <v>415</v>
      </c>
      <c r="AM78">
        <v>6977.87</v>
      </c>
      <c r="AN78">
        <v>273.15280000000001</v>
      </c>
      <c r="AO78">
        <v>850.46774885301022</v>
      </c>
      <c r="AP78">
        <f t="shared" si="72"/>
        <v>0.67882050745793765</v>
      </c>
      <c r="AQ78">
        <v>-1.0323826813720729</v>
      </c>
      <c r="AR78" t="s">
        <v>679</v>
      </c>
      <c r="AS78">
        <v>7117.26</v>
      </c>
      <c r="AT78">
        <v>516.82803846153843</v>
      </c>
      <c r="AU78">
        <v>786.50119019517001</v>
      </c>
      <c r="AV78">
        <f t="shared" si="73"/>
        <v>0.34287697856720634</v>
      </c>
      <c r="AW78">
        <v>0.5</v>
      </c>
      <c r="AX78">
        <f t="shared" si="74"/>
        <v>1513.1513996510757</v>
      </c>
      <c r="AY78">
        <f t="shared" si="75"/>
        <v>43.485442893836343</v>
      </c>
      <c r="AZ78">
        <f t="shared" si="76"/>
        <v>259.41239001355007</v>
      </c>
      <c r="BA78">
        <f t="shared" si="77"/>
        <v>2.9420602317437618E-2</v>
      </c>
      <c r="BB78">
        <f t="shared" si="78"/>
        <v>8.1330530017337838E-2</v>
      </c>
      <c r="BC78">
        <f t="shared" si="79"/>
        <v>266.19922416297612</v>
      </c>
      <c r="BD78" t="s">
        <v>680</v>
      </c>
      <c r="BE78">
        <v>392.54</v>
      </c>
      <c r="BF78">
        <f t="shared" si="80"/>
        <v>392.54</v>
      </c>
      <c r="BG78">
        <f t="shared" si="81"/>
        <v>0.50090348890306013</v>
      </c>
      <c r="BH78">
        <f t="shared" si="82"/>
        <v>0.68451705001712071</v>
      </c>
      <c r="BI78">
        <f t="shared" si="83"/>
        <v>0.13968701136382275</v>
      </c>
      <c r="BJ78">
        <f t="shared" si="84"/>
        <v>0.52532190006694002</v>
      </c>
      <c r="BK78">
        <f t="shared" si="85"/>
        <v>0.11080010795654399</v>
      </c>
      <c r="BL78">
        <f t="shared" si="86"/>
        <v>0.51990275839826916</v>
      </c>
      <c r="BM78">
        <f t="shared" si="87"/>
        <v>0.48009724160173084</v>
      </c>
      <c r="BN78">
        <v>11320</v>
      </c>
      <c r="BO78">
        <v>290.00000000000011</v>
      </c>
      <c r="BP78">
        <v>707.87</v>
      </c>
      <c r="BQ78">
        <v>265</v>
      </c>
      <c r="BR78">
        <v>7117.26</v>
      </c>
      <c r="BS78">
        <v>711.57</v>
      </c>
      <c r="BT78">
        <v>-3.7</v>
      </c>
      <c r="BU78">
        <v>300.00000000000011</v>
      </c>
      <c r="BV78">
        <v>38.299999999999997</v>
      </c>
      <c r="BW78">
        <v>786.50119019517001</v>
      </c>
      <c r="BX78">
        <v>1.2325148455624311</v>
      </c>
      <c r="BY78">
        <v>-53.329792221203263</v>
      </c>
      <c r="BZ78">
        <v>0.73521510692930481</v>
      </c>
      <c r="CA78">
        <v>0.99470651053657588</v>
      </c>
      <c r="CB78">
        <v>-7.0170865406006654E-3</v>
      </c>
      <c r="CC78">
        <v>289.99999999999989</v>
      </c>
      <c r="CD78">
        <v>720.27</v>
      </c>
      <c r="CE78">
        <v>865</v>
      </c>
      <c r="CF78">
        <v>7107.16</v>
      </c>
      <c r="CG78">
        <v>711.46</v>
      </c>
      <c r="CH78">
        <v>8.81</v>
      </c>
      <c r="CV78">
        <f t="shared" si="88"/>
        <v>1799.96</v>
      </c>
      <c r="CW78">
        <f t="shared" si="89"/>
        <v>1513.1513996510757</v>
      </c>
      <c r="CX78">
        <f t="shared" si="90"/>
        <v>0.84065834776943693</v>
      </c>
      <c r="CY78">
        <f t="shared" si="91"/>
        <v>0.19131669553887384</v>
      </c>
      <c r="CZ78">
        <v>4.8</v>
      </c>
      <c r="DA78">
        <v>0.5</v>
      </c>
      <c r="DB78" t="s">
        <v>418</v>
      </c>
      <c r="DC78">
        <v>2</v>
      </c>
      <c r="DD78">
        <v>1700161436</v>
      </c>
      <c r="DE78">
        <v>556.75300000000004</v>
      </c>
      <c r="DF78">
        <v>599.96</v>
      </c>
      <c r="DG78">
        <v>27.589200000000002</v>
      </c>
      <c r="DH78">
        <v>25.0184</v>
      </c>
      <c r="DI78">
        <v>556.97900000000004</v>
      </c>
      <c r="DJ78">
        <v>27.587700000000002</v>
      </c>
      <c r="DK78">
        <v>500.13099999999997</v>
      </c>
      <c r="DL78">
        <v>98.974699999999999</v>
      </c>
      <c r="DM78">
        <v>9.9983199999999994E-2</v>
      </c>
      <c r="DN78">
        <v>29.6708</v>
      </c>
      <c r="DO78">
        <v>29.950900000000001</v>
      </c>
      <c r="DP78">
        <v>999.9</v>
      </c>
      <c r="DQ78">
        <v>0</v>
      </c>
      <c r="DR78">
        <v>0</v>
      </c>
      <c r="DS78">
        <v>10002.5</v>
      </c>
      <c r="DT78">
        <v>0</v>
      </c>
      <c r="DU78">
        <v>633.09500000000003</v>
      </c>
      <c r="DV78">
        <v>-43.207000000000001</v>
      </c>
      <c r="DW78">
        <v>572.54899999999998</v>
      </c>
      <c r="DX78">
        <v>615.35500000000002</v>
      </c>
      <c r="DY78">
        <v>2.5708000000000002</v>
      </c>
      <c r="DZ78">
        <v>599.96</v>
      </c>
      <c r="EA78">
        <v>25.0184</v>
      </c>
      <c r="EB78">
        <v>2.7306300000000001</v>
      </c>
      <c r="EC78">
        <v>2.4761799999999998</v>
      </c>
      <c r="ED78">
        <v>22.470600000000001</v>
      </c>
      <c r="EE78">
        <v>20.870799999999999</v>
      </c>
      <c r="EF78">
        <v>1799.96</v>
      </c>
      <c r="EG78">
        <v>0.97799400000000003</v>
      </c>
      <c r="EH78">
        <v>2.20056E-2</v>
      </c>
      <c r="EI78">
        <v>0</v>
      </c>
      <c r="EJ78">
        <v>516.82500000000005</v>
      </c>
      <c r="EK78">
        <v>5.0005300000000004</v>
      </c>
      <c r="EL78">
        <v>10671.1</v>
      </c>
      <c r="EM78">
        <v>16034.9</v>
      </c>
      <c r="EN78">
        <v>49.125</v>
      </c>
      <c r="EO78">
        <v>50.436999999999998</v>
      </c>
      <c r="EP78">
        <v>49.811999999999998</v>
      </c>
      <c r="EQ78">
        <v>49.875</v>
      </c>
      <c r="ER78">
        <v>50.25</v>
      </c>
      <c r="ES78">
        <v>1755.46</v>
      </c>
      <c r="ET78">
        <v>39.5</v>
      </c>
      <c r="EU78">
        <v>0</v>
      </c>
      <c r="EV78">
        <v>257.40000009536737</v>
      </c>
      <c r="EW78">
        <v>0</v>
      </c>
      <c r="EX78">
        <v>516.82803846153843</v>
      </c>
      <c r="EY78">
        <v>1.390051289920752</v>
      </c>
      <c r="EZ78">
        <v>820.25299091681791</v>
      </c>
      <c r="FA78">
        <v>10602.884615384621</v>
      </c>
      <c r="FB78">
        <v>15</v>
      </c>
      <c r="FC78">
        <v>1700161407</v>
      </c>
      <c r="FD78" t="s">
        <v>681</v>
      </c>
      <c r="FE78">
        <v>1700161407</v>
      </c>
      <c r="FF78">
        <v>1700161398</v>
      </c>
      <c r="FG78">
        <v>68</v>
      </c>
      <c r="FH78">
        <v>0.17499999999999999</v>
      </c>
      <c r="FI78">
        <v>-3.0000000000000001E-3</v>
      </c>
      <c r="FJ78">
        <v>-0.23599999999999999</v>
      </c>
      <c r="FK78">
        <v>1E-3</v>
      </c>
      <c r="FL78">
        <v>600</v>
      </c>
      <c r="FM78">
        <v>25</v>
      </c>
      <c r="FN78">
        <v>0.05</v>
      </c>
      <c r="FO78">
        <v>0.02</v>
      </c>
      <c r="FP78">
        <v>43.433902383041769</v>
      </c>
      <c r="FQ78">
        <v>0.62932903415564501</v>
      </c>
      <c r="FR78">
        <v>5.91884773603428E-2</v>
      </c>
      <c r="FS78">
        <v>1</v>
      </c>
      <c r="FT78">
        <v>0.17673455624612339</v>
      </c>
      <c r="FU78">
        <v>4.6859142323408813E-2</v>
      </c>
      <c r="FV78">
        <v>3.7951182970707032E-3</v>
      </c>
      <c r="FW78">
        <v>1</v>
      </c>
      <c r="FX78">
        <v>2</v>
      </c>
      <c r="FY78">
        <v>2</v>
      </c>
      <c r="FZ78" t="s">
        <v>420</v>
      </c>
      <c r="GA78">
        <v>3.1268400000000001</v>
      </c>
      <c r="GB78">
        <v>2.76688</v>
      </c>
      <c r="GC78">
        <v>0.112819</v>
      </c>
      <c r="GD78">
        <v>0.11895</v>
      </c>
      <c r="GE78">
        <v>0.117566</v>
      </c>
      <c r="GF78">
        <v>0.109989</v>
      </c>
      <c r="GG78">
        <v>21074.7</v>
      </c>
      <c r="GH78">
        <v>21811</v>
      </c>
      <c r="GI78">
        <v>23626.6</v>
      </c>
      <c r="GJ78">
        <v>25082</v>
      </c>
      <c r="GK78">
        <v>30028.7</v>
      </c>
      <c r="GL78">
        <v>31297.3</v>
      </c>
      <c r="GM78">
        <v>37666</v>
      </c>
      <c r="GN78">
        <v>39041.699999999997</v>
      </c>
      <c r="GO78">
        <v>2.0922499999999999</v>
      </c>
      <c r="GP78">
        <v>1.73915</v>
      </c>
      <c r="GQ78">
        <v>-1.7844100000000002E-2</v>
      </c>
      <c r="GR78">
        <v>0</v>
      </c>
      <c r="GS78">
        <v>30.241199999999999</v>
      </c>
      <c r="GT78">
        <v>999.9</v>
      </c>
      <c r="GU78">
        <v>40.6</v>
      </c>
      <c r="GV78">
        <v>40.1</v>
      </c>
      <c r="GW78">
        <v>30.574200000000001</v>
      </c>
      <c r="GX78">
        <v>60.273000000000003</v>
      </c>
      <c r="GY78">
        <v>26.790900000000001</v>
      </c>
      <c r="GZ78">
        <v>1</v>
      </c>
      <c r="HA78">
        <v>0.71476899999999999</v>
      </c>
      <c r="HB78">
        <v>3.2515100000000001</v>
      </c>
      <c r="HC78">
        <v>20.289200000000001</v>
      </c>
      <c r="HD78">
        <v>5.2509800000000002</v>
      </c>
      <c r="HE78">
        <v>12.0099</v>
      </c>
      <c r="HF78">
        <v>4.9787999999999997</v>
      </c>
      <c r="HG78">
        <v>3.2930000000000001</v>
      </c>
      <c r="HH78">
        <v>9999</v>
      </c>
      <c r="HI78">
        <v>9999</v>
      </c>
      <c r="HJ78">
        <v>9999</v>
      </c>
      <c r="HK78">
        <v>999.9</v>
      </c>
      <c r="HL78">
        <v>1.87605</v>
      </c>
      <c r="HM78">
        <v>1.8769100000000001</v>
      </c>
      <c r="HN78">
        <v>1.8831800000000001</v>
      </c>
      <c r="HO78">
        <v>1.88629</v>
      </c>
      <c r="HP78">
        <v>1.87706</v>
      </c>
      <c r="HQ78">
        <v>1.8835599999999999</v>
      </c>
      <c r="HR78">
        <v>1.88253</v>
      </c>
      <c r="HS78">
        <v>1.8859699999999999</v>
      </c>
      <c r="HT78">
        <v>5</v>
      </c>
      <c r="HU78">
        <v>0</v>
      </c>
      <c r="HV78">
        <v>0</v>
      </c>
      <c r="HW78">
        <v>0</v>
      </c>
      <c r="HX78" t="s">
        <v>421</v>
      </c>
      <c r="HY78" t="s">
        <v>422</v>
      </c>
      <c r="HZ78" t="s">
        <v>423</v>
      </c>
      <c r="IA78" t="s">
        <v>424</v>
      </c>
      <c r="IB78" t="s">
        <v>424</v>
      </c>
      <c r="IC78" t="s">
        <v>423</v>
      </c>
      <c r="ID78">
        <v>0</v>
      </c>
      <c r="IE78">
        <v>100</v>
      </c>
      <c r="IF78">
        <v>100</v>
      </c>
      <c r="IG78">
        <v>-0.22600000000000001</v>
      </c>
      <c r="IH78">
        <v>1.5E-3</v>
      </c>
      <c r="II78">
        <v>-0.1787581024818308</v>
      </c>
      <c r="IJ78">
        <v>4.4610147972834149E-5</v>
      </c>
      <c r="IK78">
        <v>-2.082673137682459E-7</v>
      </c>
      <c r="IL78">
        <v>-4.0725795306076518E-11</v>
      </c>
      <c r="IM78">
        <v>1.4450000000003631E-3</v>
      </c>
      <c r="IN78">
        <v>0</v>
      </c>
      <c r="IO78">
        <v>0</v>
      </c>
      <c r="IP78">
        <v>0</v>
      </c>
      <c r="IQ78">
        <v>3</v>
      </c>
      <c r="IR78">
        <v>2179</v>
      </c>
      <c r="IS78">
        <v>0</v>
      </c>
      <c r="IT78">
        <v>22</v>
      </c>
      <c r="IU78">
        <v>0.5</v>
      </c>
      <c r="IV78">
        <v>0.6</v>
      </c>
      <c r="IW78">
        <v>1.41479</v>
      </c>
      <c r="IX78">
        <v>2.67334</v>
      </c>
      <c r="IY78">
        <v>1.6015600000000001</v>
      </c>
      <c r="IZ78">
        <v>2.32422</v>
      </c>
      <c r="JA78">
        <v>1.5502899999999999</v>
      </c>
      <c r="JB78">
        <v>2.3120099999999999</v>
      </c>
      <c r="JC78">
        <v>44.223199999999999</v>
      </c>
      <c r="JD78">
        <v>24.192599999999999</v>
      </c>
      <c r="JE78">
        <v>18</v>
      </c>
      <c r="JF78">
        <v>584.53399999999999</v>
      </c>
      <c r="JG78">
        <v>386.80099999999999</v>
      </c>
      <c r="JH78">
        <v>26.258900000000001</v>
      </c>
      <c r="JI78">
        <v>35.756999999999998</v>
      </c>
      <c r="JJ78">
        <v>30</v>
      </c>
      <c r="JK78">
        <v>35.761099999999999</v>
      </c>
      <c r="JL78">
        <v>35.749699999999997</v>
      </c>
      <c r="JM78">
        <v>28.319900000000001</v>
      </c>
      <c r="JN78">
        <v>24.5946</v>
      </c>
      <c r="JO78">
        <v>48.468800000000002</v>
      </c>
      <c r="JP78">
        <v>26.2867</v>
      </c>
      <c r="JQ78">
        <v>600</v>
      </c>
      <c r="JR78">
        <v>24.910799999999998</v>
      </c>
      <c r="JS78">
        <v>98.238299999999995</v>
      </c>
      <c r="JT78">
        <v>98.793800000000005</v>
      </c>
    </row>
    <row r="79" spans="1:280" x14ac:dyDescent="0.25">
      <c r="A79">
        <v>63</v>
      </c>
      <c r="B79">
        <v>1700161608.5</v>
      </c>
      <c r="C79">
        <v>13735</v>
      </c>
      <c r="D79" t="s">
        <v>682</v>
      </c>
      <c r="E79" t="s">
        <v>683</v>
      </c>
      <c r="F79" t="s">
        <v>412</v>
      </c>
      <c r="G79" t="s">
        <v>413</v>
      </c>
      <c r="H79" t="s">
        <v>657</v>
      </c>
      <c r="I79">
        <v>1700161608.5</v>
      </c>
      <c r="J79">
        <f t="shared" si="46"/>
        <v>3.40421974883385E-3</v>
      </c>
      <c r="K79">
        <f t="shared" si="47"/>
        <v>3.4042197488338499</v>
      </c>
      <c r="L79">
        <f t="shared" si="48"/>
        <v>42.720809794844499</v>
      </c>
      <c r="M79">
        <f t="shared" si="49"/>
        <v>457.56400000000002</v>
      </c>
      <c r="N79">
        <f t="shared" si="50"/>
        <v>133.48344437137527</v>
      </c>
      <c r="O79">
        <f t="shared" si="51"/>
        <v>13.224063221286015</v>
      </c>
      <c r="P79">
        <f t="shared" si="52"/>
        <v>45.330380050352396</v>
      </c>
      <c r="Q79">
        <f t="shared" si="53"/>
        <v>0.22307210281332329</v>
      </c>
      <c r="R79">
        <f t="shared" si="54"/>
        <v>3.1774667737677649</v>
      </c>
      <c r="S79">
        <f t="shared" si="55"/>
        <v>0.21472273312153378</v>
      </c>
      <c r="T79">
        <f t="shared" si="56"/>
        <v>0.13492582855315152</v>
      </c>
      <c r="U79">
        <f t="shared" si="57"/>
        <v>344.3946993022173</v>
      </c>
      <c r="V79">
        <f t="shared" si="58"/>
        <v>30.884212430179812</v>
      </c>
      <c r="W79">
        <f t="shared" si="59"/>
        <v>29.9682</v>
      </c>
      <c r="X79">
        <f t="shared" si="60"/>
        <v>4.2526739711203616</v>
      </c>
      <c r="Y79">
        <f t="shared" si="61"/>
        <v>64.904967528562253</v>
      </c>
      <c r="Z79">
        <f t="shared" si="62"/>
        <v>2.7374432045294697</v>
      </c>
      <c r="AA79">
        <f t="shared" si="63"/>
        <v>4.2176174008943512</v>
      </c>
      <c r="AB79">
        <f t="shared" si="64"/>
        <v>1.515230766590892</v>
      </c>
      <c r="AC79">
        <f t="shared" si="65"/>
        <v>-150.12609092357278</v>
      </c>
      <c r="AD79">
        <f t="shared" si="66"/>
        <v>-24.667716773860676</v>
      </c>
      <c r="AE79">
        <f t="shared" si="67"/>
        <v>-1.7244104360424666</v>
      </c>
      <c r="AF79">
        <f t="shared" si="68"/>
        <v>167.87648116874135</v>
      </c>
      <c r="AG79">
        <v>0</v>
      </c>
      <c r="AH79">
        <v>0</v>
      </c>
      <c r="AI79">
        <f t="shared" si="69"/>
        <v>1</v>
      </c>
      <c r="AJ79">
        <f t="shared" si="70"/>
        <v>0</v>
      </c>
      <c r="AK79">
        <f t="shared" si="71"/>
        <v>51881.448149191492</v>
      </c>
      <c r="AL79" t="s">
        <v>427</v>
      </c>
      <c r="AM79" t="s">
        <v>427</v>
      </c>
      <c r="AN79">
        <v>0</v>
      </c>
      <c r="AO79">
        <v>0</v>
      </c>
      <c r="AP79" t="e">
        <f t="shared" si="72"/>
        <v>#DIV/0!</v>
      </c>
      <c r="AQ79">
        <v>0</v>
      </c>
      <c r="AR79" t="s">
        <v>427</v>
      </c>
      <c r="AS79" t="s">
        <v>427</v>
      </c>
      <c r="AT79">
        <v>0</v>
      </c>
      <c r="AU79">
        <v>0</v>
      </c>
      <c r="AV79" t="e">
        <f t="shared" si="73"/>
        <v>#DIV/0!</v>
      </c>
      <c r="AW79">
        <v>0.5</v>
      </c>
      <c r="AX79">
        <f t="shared" si="74"/>
        <v>1513.2941996511088</v>
      </c>
      <c r="AY79">
        <f t="shared" si="75"/>
        <v>42.720809794844499</v>
      </c>
      <c r="AZ79" t="e">
        <f t="shared" si="76"/>
        <v>#DIV/0!</v>
      </c>
      <c r="BA79">
        <f t="shared" si="77"/>
        <v>2.823034001233456E-2</v>
      </c>
      <c r="BB79" t="e">
        <f t="shared" si="78"/>
        <v>#DIV/0!</v>
      </c>
      <c r="BC79" t="e">
        <f t="shared" si="79"/>
        <v>#DIV/0!</v>
      </c>
      <c r="BD79" t="s">
        <v>427</v>
      </c>
      <c r="BE79">
        <v>0</v>
      </c>
      <c r="BF79" t="e">
        <f t="shared" si="80"/>
        <v>#DIV/0!</v>
      </c>
      <c r="BG79" t="e">
        <f t="shared" si="81"/>
        <v>#DIV/0!</v>
      </c>
      <c r="BH79" t="e">
        <f t="shared" si="82"/>
        <v>#DIV/0!</v>
      </c>
      <c r="BI79" t="e">
        <f t="shared" si="83"/>
        <v>#DIV/0!</v>
      </c>
      <c r="BJ79" t="e">
        <f t="shared" si="84"/>
        <v>#DIV/0!</v>
      </c>
      <c r="BK79" t="e">
        <f t="shared" si="85"/>
        <v>#DIV/0!</v>
      </c>
      <c r="BL79" t="e">
        <f t="shared" si="86"/>
        <v>#DIV/0!</v>
      </c>
      <c r="BM79" t="e">
        <f t="shared" si="87"/>
        <v>#DIV/0!</v>
      </c>
      <c r="BN79">
        <v>11320</v>
      </c>
      <c r="BO79">
        <v>290.00000000000011</v>
      </c>
      <c r="BP79">
        <v>707.87</v>
      </c>
      <c r="BQ79">
        <v>265</v>
      </c>
      <c r="BR79">
        <v>7117.26</v>
      </c>
      <c r="BS79">
        <v>711.57</v>
      </c>
      <c r="BT79">
        <v>-3.7</v>
      </c>
      <c r="BU79">
        <v>300.00000000000011</v>
      </c>
      <c r="BV79">
        <v>38.299999999999997</v>
      </c>
      <c r="BW79">
        <v>786.50119019517001</v>
      </c>
      <c r="BX79">
        <v>1.2325148455624311</v>
      </c>
      <c r="BY79">
        <v>-53.329792221203263</v>
      </c>
      <c r="BZ79">
        <v>0.73521510692930481</v>
      </c>
      <c r="CA79">
        <v>0.99470651053657588</v>
      </c>
      <c r="CB79">
        <v>-7.0170865406006654E-3</v>
      </c>
      <c r="CC79">
        <v>289.99999999999989</v>
      </c>
      <c r="CD79">
        <v>720.27</v>
      </c>
      <c r="CE79">
        <v>865</v>
      </c>
      <c r="CF79">
        <v>7107.16</v>
      </c>
      <c r="CG79">
        <v>711.46</v>
      </c>
      <c r="CH79">
        <v>8.81</v>
      </c>
      <c r="CV79">
        <f t="shared" si="88"/>
        <v>1800.13</v>
      </c>
      <c r="CW79">
        <f t="shared" si="89"/>
        <v>1513.2941996511088</v>
      </c>
      <c r="CX79">
        <f t="shared" si="90"/>
        <v>0.84065828559665612</v>
      </c>
      <c r="CY79">
        <f t="shared" si="91"/>
        <v>0.1913165711933123</v>
      </c>
      <c r="CZ79">
        <v>4.8</v>
      </c>
      <c r="DA79">
        <v>0.5</v>
      </c>
      <c r="DB79" t="s">
        <v>418</v>
      </c>
      <c r="DC79">
        <v>2</v>
      </c>
      <c r="DD79">
        <v>1700161608.5</v>
      </c>
      <c r="DE79">
        <v>457.56400000000002</v>
      </c>
      <c r="DF79">
        <v>500.072</v>
      </c>
      <c r="DG79">
        <v>27.631699999999999</v>
      </c>
      <c r="DH79">
        <v>24.453900000000001</v>
      </c>
      <c r="DI79">
        <v>457.798</v>
      </c>
      <c r="DJ79">
        <v>27.627199999999998</v>
      </c>
      <c r="DK79">
        <v>499.99200000000002</v>
      </c>
      <c r="DL79">
        <v>98.969399999999993</v>
      </c>
      <c r="DM79">
        <v>9.9539100000000005E-2</v>
      </c>
      <c r="DN79">
        <v>29.824200000000001</v>
      </c>
      <c r="DO79">
        <v>29.9682</v>
      </c>
      <c r="DP79">
        <v>999.9</v>
      </c>
      <c r="DQ79">
        <v>0</v>
      </c>
      <c r="DR79">
        <v>0</v>
      </c>
      <c r="DS79">
        <v>10007.5</v>
      </c>
      <c r="DT79">
        <v>0</v>
      </c>
      <c r="DU79">
        <v>448.36700000000002</v>
      </c>
      <c r="DV79">
        <v>-42.508600000000001</v>
      </c>
      <c r="DW79">
        <v>470.56599999999997</v>
      </c>
      <c r="DX79">
        <v>512.60699999999997</v>
      </c>
      <c r="DY79">
        <v>3.1778400000000002</v>
      </c>
      <c r="DZ79">
        <v>500.072</v>
      </c>
      <c r="EA79">
        <v>24.453900000000001</v>
      </c>
      <c r="EB79">
        <v>2.7347000000000001</v>
      </c>
      <c r="EC79">
        <v>2.4201899999999998</v>
      </c>
      <c r="ED79">
        <v>22.495100000000001</v>
      </c>
      <c r="EE79">
        <v>20.499500000000001</v>
      </c>
      <c r="EF79">
        <v>1800.13</v>
      </c>
      <c r="EG79">
        <v>0.97799800000000003</v>
      </c>
      <c r="EH79">
        <v>2.2002000000000001E-2</v>
      </c>
      <c r="EI79">
        <v>0</v>
      </c>
      <c r="EJ79">
        <v>517.89599999999996</v>
      </c>
      <c r="EK79">
        <v>5.0005300000000004</v>
      </c>
      <c r="EL79">
        <v>10659.5</v>
      </c>
      <c r="EM79">
        <v>16036.4</v>
      </c>
      <c r="EN79">
        <v>49.25</v>
      </c>
      <c r="EO79">
        <v>50.561999999999998</v>
      </c>
      <c r="EP79">
        <v>49.936999999999998</v>
      </c>
      <c r="EQ79">
        <v>49.936999999999998</v>
      </c>
      <c r="ER79">
        <v>50.311999999999998</v>
      </c>
      <c r="ES79">
        <v>1755.63</v>
      </c>
      <c r="ET79">
        <v>39.5</v>
      </c>
      <c r="EU79">
        <v>0</v>
      </c>
      <c r="EV79">
        <v>170.4000000953674</v>
      </c>
      <c r="EW79">
        <v>0</v>
      </c>
      <c r="EX79">
        <v>517.92276923076929</v>
      </c>
      <c r="EY79">
        <v>-5.4085469837373071E-2</v>
      </c>
      <c r="EZ79">
        <v>1028.075214875485</v>
      </c>
      <c r="FA79">
        <v>10388.461538461541</v>
      </c>
      <c r="FB79">
        <v>15</v>
      </c>
      <c r="FC79">
        <v>1700161509.5</v>
      </c>
      <c r="FD79" t="s">
        <v>684</v>
      </c>
      <c r="FE79">
        <v>1700161509.5</v>
      </c>
      <c r="FF79">
        <v>1700161507</v>
      </c>
      <c r="FG79">
        <v>69</v>
      </c>
      <c r="FH79">
        <v>-2.9000000000000001E-2</v>
      </c>
      <c r="FI79">
        <v>3.0000000000000001E-3</v>
      </c>
      <c r="FJ79">
        <v>-0.24299999999999999</v>
      </c>
      <c r="FK79">
        <v>4.0000000000000001E-3</v>
      </c>
      <c r="FL79">
        <v>500</v>
      </c>
      <c r="FM79">
        <v>25</v>
      </c>
      <c r="FN79">
        <v>0.04</v>
      </c>
      <c r="FO79">
        <v>0.05</v>
      </c>
      <c r="FP79">
        <v>42.596654991912132</v>
      </c>
      <c r="FQ79">
        <v>0.61603098531019906</v>
      </c>
      <c r="FR79">
        <v>5.3804384166911898E-2</v>
      </c>
      <c r="FS79">
        <v>1</v>
      </c>
      <c r="FT79">
        <v>0.21803192297705401</v>
      </c>
      <c r="FU79">
        <v>3.6826776298408782E-2</v>
      </c>
      <c r="FV79">
        <v>2.6801334182798872E-3</v>
      </c>
      <c r="FW79">
        <v>1</v>
      </c>
      <c r="FX79">
        <v>2</v>
      </c>
      <c r="FY79">
        <v>2</v>
      </c>
      <c r="FZ79" t="s">
        <v>420</v>
      </c>
      <c r="GA79">
        <v>3.1267100000000001</v>
      </c>
      <c r="GB79">
        <v>2.7664800000000001</v>
      </c>
      <c r="GC79">
        <v>9.7750699999999996E-2</v>
      </c>
      <c r="GD79">
        <v>0.10439</v>
      </c>
      <c r="GE79">
        <v>0.117661</v>
      </c>
      <c r="GF79">
        <v>0.108219</v>
      </c>
      <c r="GG79">
        <v>21429</v>
      </c>
      <c r="GH79">
        <v>22167.8</v>
      </c>
      <c r="GI79">
        <v>23622.799999999999</v>
      </c>
      <c r="GJ79">
        <v>25077.9</v>
      </c>
      <c r="GK79">
        <v>30020.9</v>
      </c>
      <c r="GL79">
        <v>31354.2</v>
      </c>
      <c r="GM79">
        <v>37660.300000000003</v>
      </c>
      <c r="GN79">
        <v>39035.1</v>
      </c>
      <c r="GO79">
        <v>2.0924499999999999</v>
      </c>
      <c r="GP79">
        <v>1.73603</v>
      </c>
      <c r="GQ79">
        <v>-2.23182E-2</v>
      </c>
      <c r="GR79">
        <v>0</v>
      </c>
      <c r="GS79">
        <v>30.331299999999999</v>
      </c>
      <c r="GT79">
        <v>999.9</v>
      </c>
      <c r="GU79">
        <v>40.6</v>
      </c>
      <c r="GV79">
        <v>40.200000000000003</v>
      </c>
      <c r="GW79">
        <v>30.740500000000001</v>
      </c>
      <c r="GX79">
        <v>60.802999999999997</v>
      </c>
      <c r="GY79">
        <v>27.019200000000001</v>
      </c>
      <c r="GZ79">
        <v>1</v>
      </c>
      <c r="HA79">
        <v>0.72040700000000002</v>
      </c>
      <c r="HB79">
        <v>2.8252600000000001</v>
      </c>
      <c r="HC79">
        <v>20.2956</v>
      </c>
      <c r="HD79">
        <v>5.2476900000000004</v>
      </c>
      <c r="HE79">
        <v>12.0099</v>
      </c>
      <c r="HF79">
        <v>4.9780499999999996</v>
      </c>
      <c r="HG79">
        <v>3.2923300000000002</v>
      </c>
      <c r="HH79">
        <v>9999</v>
      </c>
      <c r="HI79">
        <v>9999</v>
      </c>
      <c r="HJ79">
        <v>9999</v>
      </c>
      <c r="HK79">
        <v>999.9</v>
      </c>
      <c r="HL79">
        <v>1.8760300000000001</v>
      </c>
      <c r="HM79">
        <v>1.8769199999999999</v>
      </c>
      <c r="HN79">
        <v>1.8831599999999999</v>
      </c>
      <c r="HO79">
        <v>1.88629</v>
      </c>
      <c r="HP79">
        <v>1.8771</v>
      </c>
      <c r="HQ79">
        <v>1.88357</v>
      </c>
      <c r="HR79">
        <v>1.88253</v>
      </c>
      <c r="HS79">
        <v>1.8859900000000001</v>
      </c>
      <c r="HT79">
        <v>5</v>
      </c>
      <c r="HU79">
        <v>0</v>
      </c>
      <c r="HV79">
        <v>0</v>
      </c>
      <c r="HW79">
        <v>0</v>
      </c>
      <c r="HX79" t="s">
        <v>421</v>
      </c>
      <c r="HY79" t="s">
        <v>422</v>
      </c>
      <c r="HZ79" t="s">
        <v>423</v>
      </c>
      <c r="IA79" t="s">
        <v>424</v>
      </c>
      <c r="IB79" t="s">
        <v>424</v>
      </c>
      <c r="IC79" t="s">
        <v>423</v>
      </c>
      <c r="ID79">
        <v>0</v>
      </c>
      <c r="IE79">
        <v>100</v>
      </c>
      <c r="IF79">
        <v>100</v>
      </c>
      <c r="IG79">
        <v>-0.23400000000000001</v>
      </c>
      <c r="IH79">
        <v>4.4999999999999997E-3</v>
      </c>
      <c r="II79">
        <v>-0.20772104646083919</v>
      </c>
      <c r="IJ79">
        <v>4.4610147972834149E-5</v>
      </c>
      <c r="IK79">
        <v>-2.082673137682459E-7</v>
      </c>
      <c r="IL79">
        <v>-4.0725795306076518E-11</v>
      </c>
      <c r="IM79">
        <v>4.4666666666657306E-3</v>
      </c>
      <c r="IN79">
        <v>0</v>
      </c>
      <c r="IO79">
        <v>0</v>
      </c>
      <c r="IP79">
        <v>0</v>
      </c>
      <c r="IQ79">
        <v>3</v>
      </c>
      <c r="IR79">
        <v>2179</v>
      </c>
      <c r="IS79">
        <v>0</v>
      </c>
      <c r="IT79">
        <v>22</v>
      </c>
      <c r="IU79">
        <v>1.6</v>
      </c>
      <c r="IV79">
        <v>1.7</v>
      </c>
      <c r="IW79">
        <v>1.2206999999999999</v>
      </c>
      <c r="IX79">
        <v>2.68188</v>
      </c>
      <c r="IY79">
        <v>1.6015600000000001</v>
      </c>
      <c r="IZ79">
        <v>2.32422</v>
      </c>
      <c r="JA79">
        <v>1.5502899999999999</v>
      </c>
      <c r="JB79">
        <v>2.4133300000000002</v>
      </c>
      <c r="JC79">
        <v>44.334200000000003</v>
      </c>
      <c r="JD79">
        <v>24.192599999999999</v>
      </c>
      <c r="JE79">
        <v>18</v>
      </c>
      <c r="JF79">
        <v>585.19000000000005</v>
      </c>
      <c r="JG79">
        <v>385.23500000000001</v>
      </c>
      <c r="JH79">
        <v>26.785599999999999</v>
      </c>
      <c r="JI79">
        <v>35.832999999999998</v>
      </c>
      <c r="JJ79">
        <v>30.0002</v>
      </c>
      <c r="JK79">
        <v>35.821399999999997</v>
      </c>
      <c r="JL79">
        <v>35.812100000000001</v>
      </c>
      <c r="JM79">
        <v>24.4177</v>
      </c>
      <c r="JN79">
        <v>27.444500000000001</v>
      </c>
      <c r="JO79">
        <v>47.529800000000002</v>
      </c>
      <c r="JP79">
        <v>26.812200000000001</v>
      </c>
      <c r="JQ79">
        <v>500</v>
      </c>
      <c r="JR79">
        <v>24.455200000000001</v>
      </c>
      <c r="JS79">
        <v>98.222899999999996</v>
      </c>
      <c r="JT79">
        <v>98.777299999999997</v>
      </c>
    </row>
    <row r="80" spans="1:280" x14ac:dyDescent="0.25">
      <c r="A80">
        <v>64</v>
      </c>
      <c r="B80">
        <v>1700161778.5</v>
      </c>
      <c r="C80">
        <v>13905</v>
      </c>
      <c r="D80" t="s">
        <v>685</v>
      </c>
      <c r="E80" t="s">
        <v>686</v>
      </c>
      <c r="F80" t="s">
        <v>412</v>
      </c>
      <c r="G80" t="s">
        <v>413</v>
      </c>
      <c r="H80" t="s">
        <v>657</v>
      </c>
      <c r="I80">
        <v>1700161778.5</v>
      </c>
      <c r="J80">
        <f t="shared" si="46"/>
        <v>4.0546670492925627E-3</v>
      </c>
      <c r="K80">
        <f t="shared" si="47"/>
        <v>4.0546670492925632</v>
      </c>
      <c r="L80">
        <f t="shared" si="48"/>
        <v>40.659426683770107</v>
      </c>
      <c r="M80">
        <f t="shared" si="49"/>
        <v>359.524</v>
      </c>
      <c r="N80">
        <f t="shared" si="50"/>
        <v>104.18271076514985</v>
      </c>
      <c r="O80">
        <f t="shared" si="51"/>
        <v>10.320002078542728</v>
      </c>
      <c r="P80">
        <f t="shared" si="52"/>
        <v>35.613283624859605</v>
      </c>
      <c r="Q80">
        <f t="shared" si="53"/>
        <v>0.2712102895830612</v>
      </c>
      <c r="R80">
        <f t="shared" si="54"/>
        <v>3.1798470437637358</v>
      </c>
      <c r="S80">
        <f t="shared" si="55"/>
        <v>0.25898355284341373</v>
      </c>
      <c r="T80">
        <f t="shared" si="56"/>
        <v>0.16291730557468362</v>
      </c>
      <c r="U80">
        <f t="shared" si="57"/>
        <v>344.33199930208929</v>
      </c>
      <c r="V80">
        <f t="shared" si="58"/>
        <v>30.928404471567159</v>
      </c>
      <c r="W80">
        <f t="shared" si="59"/>
        <v>29.979600000000001</v>
      </c>
      <c r="X80">
        <f t="shared" si="60"/>
        <v>4.25546009913249</v>
      </c>
      <c r="Y80">
        <f t="shared" si="61"/>
        <v>64.67428759457438</v>
      </c>
      <c r="Z80">
        <f t="shared" si="62"/>
        <v>2.7595332065444906</v>
      </c>
      <c r="AA80">
        <f t="shared" si="63"/>
        <v>4.2668165497906339</v>
      </c>
      <c r="AB80">
        <f t="shared" si="64"/>
        <v>1.4959268925879994</v>
      </c>
      <c r="AC80">
        <f t="shared" si="65"/>
        <v>-178.81081687380203</v>
      </c>
      <c r="AD80">
        <f t="shared" si="66"/>
        <v>7.9544408014050543</v>
      </c>
      <c r="AE80">
        <f t="shared" si="67"/>
        <v>0.55623019332810131</v>
      </c>
      <c r="AF80">
        <f t="shared" si="68"/>
        <v>174.03185342302038</v>
      </c>
      <c r="AG80">
        <v>0</v>
      </c>
      <c r="AH80">
        <v>0</v>
      </c>
      <c r="AI80">
        <f t="shared" si="69"/>
        <v>1</v>
      </c>
      <c r="AJ80">
        <f t="shared" si="70"/>
        <v>0</v>
      </c>
      <c r="AK80">
        <f t="shared" si="71"/>
        <v>51905.411031611511</v>
      </c>
      <c r="AL80" t="s">
        <v>415</v>
      </c>
      <c r="AM80">
        <v>6977.87</v>
      </c>
      <c r="AN80">
        <v>273.15280000000001</v>
      </c>
      <c r="AO80">
        <v>850.46774885301022</v>
      </c>
      <c r="AP80">
        <f t="shared" si="72"/>
        <v>0.67882050745793765</v>
      </c>
      <c r="AQ80">
        <v>-1.0323826813720729</v>
      </c>
      <c r="AR80" t="s">
        <v>687</v>
      </c>
      <c r="AS80">
        <v>7115.57</v>
      </c>
      <c r="AT80">
        <v>518.66408000000001</v>
      </c>
      <c r="AU80">
        <v>766.27052099124887</v>
      </c>
      <c r="AV80">
        <f t="shared" si="73"/>
        <v>0.32313188907612511</v>
      </c>
      <c r="AW80">
        <v>0.5</v>
      </c>
      <c r="AX80">
        <f t="shared" si="74"/>
        <v>1513.0169996510447</v>
      </c>
      <c r="AY80">
        <f t="shared" si="75"/>
        <v>40.659426683770107</v>
      </c>
      <c r="AZ80">
        <f t="shared" si="76"/>
        <v>244.45202065076649</v>
      </c>
      <c r="BA80">
        <f t="shared" si="77"/>
        <v>2.7555413703056732E-2</v>
      </c>
      <c r="BB80">
        <f t="shared" si="78"/>
        <v>0.10987924702211389</v>
      </c>
      <c r="BC80">
        <f t="shared" si="79"/>
        <v>263.84157724034173</v>
      </c>
      <c r="BD80" t="s">
        <v>688</v>
      </c>
      <c r="BE80">
        <v>394.75</v>
      </c>
      <c r="BF80">
        <f t="shared" si="80"/>
        <v>394.75</v>
      </c>
      <c r="BG80">
        <f t="shared" si="81"/>
        <v>0.4848425077225329</v>
      </c>
      <c r="BH80">
        <f t="shared" si="82"/>
        <v>0.66646773731532638</v>
      </c>
      <c r="BI80">
        <f t="shared" si="83"/>
        <v>0.18475740318141262</v>
      </c>
      <c r="BJ80">
        <f t="shared" si="84"/>
        <v>0.5021244024520527</v>
      </c>
      <c r="BK80">
        <f t="shared" si="85"/>
        <v>0.14584279868214314</v>
      </c>
      <c r="BL80">
        <f t="shared" si="86"/>
        <v>0.50724187282301303</v>
      </c>
      <c r="BM80">
        <f t="shared" si="87"/>
        <v>0.49275812717698697</v>
      </c>
      <c r="BN80">
        <v>11322</v>
      </c>
      <c r="BO80">
        <v>290.00000000000011</v>
      </c>
      <c r="BP80">
        <v>694.66</v>
      </c>
      <c r="BQ80">
        <v>285</v>
      </c>
      <c r="BR80">
        <v>7115.57</v>
      </c>
      <c r="BS80">
        <v>696.91</v>
      </c>
      <c r="BT80">
        <v>-2.25</v>
      </c>
      <c r="BU80">
        <v>300.00000000000011</v>
      </c>
      <c r="BV80">
        <v>38.299999999999997</v>
      </c>
      <c r="BW80">
        <v>766.27052099124887</v>
      </c>
      <c r="BX80">
        <v>1.210856828540966</v>
      </c>
      <c r="BY80">
        <v>-49.351641188250589</v>
      </c>
      <c r="BZ80">
        <v>0.72221329840443371</v>
      </c>
      <c r="CA80">
        <v>0.99403940799439783</v>
      </c>
      <c r="CB80">
        <v>-7.0162031145717396E-3</v>
      </c>
      <c r="CC80">
        <v>289.99999999999989</v>
      </c>
      <c r="CD80">
        <v>704.55</v>
      </c>
      <c r="CE80">
        <v>845</v>
      </c>
      <c r="CF80">
        <v>7106.71</v>
      </c>
      <c r="CG80">
        <v>696.83</v>
      </c>
      <c r="CH80">
        <v>7.72</v>
      </c>
      <c r="CV80">
        <f t="shared" si="88"/>
        <v>1799.8</v>
      </c>
      <c r="CW80">
        <f t="shared" si="89"/>
        <v>1513.0169996510447</v>
      </c>
      <c r="CX80">
        <f t="shared" si="90"/>
        <v>0.8406584062957243</v>
      </c>
      <c r="CY80">
        <f t="shared" si="91"/>
        <v>0.19131681259144867</v>
      </c>
      <c r="CZ80">
        <v>4.8</v>
      </c>
      <c r="DA80">
        <v>0.5</v>
      </c>
      <c r="DB80" t="s">
        <v>418</v>
      </c>
      <c r="DC80">
        <v>2</v>
      </c>
      <c r="DD80">
        <v>1700161778.5</v>
      </c>
      <c r="DE80">
        <v>359.524</v>
      </c>
      <c r="DF80">
        <v>399.94</v>
      </c>
      <c r="DG80">
        <v>27.8581</v>
      </c>
      <c r="DH80">
        <v>24.075600000000001</v>
      </c>
      <c r="DI80">
        <v>359.86500000000001</v>
      </c>
      <c r="DJ80">
        <v>27.856100000000001</v>
      </c>
      <c r="DK80">
        <v>500.20400000000001</v>
      </c>
      <c r="DL80">
        <v>98.956900000000005</v>
      </c>
      <c r="DM80">
        <v>9.9862900000000004E-2</v>
      </c>
      <c r="DN80">
        <v>30.026</v>
      </c>
      <c r="DO80">
        <v>29.979600000000001</v>
      </c>
      <c r="DP80">
        <v>999.9</v>
      </c>
      <c r="DQ80">
        <v>0</v>
      </c>
      <c r="DR80">
        <v>0</v>
      </c>
      <c r="DS80">
        <v>10020.6</v>
      </c>
      <c r="DT80">
        <v>0</v>
      </c>
      <c r="DU80">
        <v>397.05799999999999</v>
      </c>
      <c r="DV80">
        <v>-40.415100000000002</v>
      </c>
      <c r="DW80">
        <v>369.827</v>
      </c>
      <c r="DX80">
        <v>409.80599999999998</v>
      </c>
      <c r="DY80">
        <v>3.7825299999999999</v>
      </c>
      <c r="DZ80">
        <v>399.94</v>
      </c>
      <c r="EA80">
        <v>24.075600000000001</v>
      </c>
      <c r="EB80">
        <v>2.7567499999999998</v>
      </c>
      <c r="EC80">
        <v>2.3824399999999999</v>
      </c>
      <c r="ED80">
        <v>22.627400000000002</v>
      </c>
      <c r="EE80">
        <v>20.244900000000001</v>
      </c>
      <c r="EF80">
        <v>1799.8</v>
      </c>
      <c r="EG80">
        <v>0.97799400000000003</v>
      </c>
      <c r="EH80">
        <v>2.20056E-2</v>
      </c>
      <c r="EI80">
        <v>0</v>
      </c>
      <c r="EJ80">
        <v>518.75099999999998</v>
      </c>
      <c r="EK80">
        <v>5.0005300000000004</v>
      </c>
      <c r="EL80">
        <v>10633.8</v>
      </c>
      <c r="EM80">
        <v>16033.5</v>
      </c>
      <c r="EN80">
        <v>49.311999999999998</v>
      </c>
      <c r="EO80">
        <v>50.625</v>
      </c>
      <c r="EP80">
        <v>49.936999999999998</v>
      </c>
      <c r="EQ80">
        <v>50.061999999999998</v>
      </c>
      <c r="ER80">
        <v>50.375</v>
      </c>
      <c r="ES80">
        <v>1755.3</v>
      </c>
      <c r="ET80">
        <v>39.5</v>
      </c>
      <c r="EU80">
        <v>0</v>
      </c>
      <c r="EV80">
        <v>340.20000004768372</v>
      </c>
      <c r="EW80">
        <v>0</v>
      </c>
      <c r="EX80">
        <v>518.66408000000001</v>
      </c>
      <c r="EY80">
        <v>0.62323076871774419</v>
      </c>
      <c r="EZ80">
        <v>-108.0461539274574</v>
      </c>
      <c r="FA80">
        <v>10638.136</v>
      </c>
      <c r="FB80">
        <v>15</v>
      </c>
      <c r="FC80">
        <v>1700161688</v>
      </c>
      <c r="FD80" t="s">
        <v>689</v>
      </c>
      <c r="FE80">
        <v>1700161687</v>
      </c>
      <c r="FF80">
        <v>1700161688</v>
      </c>
      <c r="FG80">
        <v>70</v>
      </c>
      <c r="FH80">
        <v>-0.12</v>
      </c>
      <c r="FI80">
        <v>-2E-3</v>
      </c>
      <c r="FJ80">
        <v>-0.34599999999999997</v>
      </c>
      <c r="FK80">
        <v>2E-3</v>
      </c>
      <c r="FL80">
        <v>400</v>
      </c>
      <c r="FM80">
        <v>25</v>
      </c>
      <c r="FN80">
        <v>0.05</v>
      </c>
      <c r="FO80">
        <v>0.03</v>
      </c>
      <c r="FP80">
        <v>40.721476218566963</v>
      </c>
      <c r="FQ80">
        <v>0.4460999990811978</v>
      </c>
      <c r="FR80">
        <v>5.5944859393414037E-2</v>
      </c>
      <c r="FS80">
        <v>1</v>
      </c>
      <c r="FT80">
        <v>0.27119455117304481</v>
      </c>
      <c r="FU80">
        <v>2.352693550298195E-2</v>
      </c>
      <c r="FV80">
        <v>2.1195566520533899E-3</v>
      </c>
      <c r="FW80">
        <v>1</v>
      </c>
      <c r="FX80">
        <v>2</v>
      </c>
      <c r="FY80">
        <v>2</v>
      </c>
      <c r="FZ80" t="s">
        <v>420</v>
      </c>
      <c r="GA80">
        <v>3.1274700000000002</v>
      </c>
      <c r="GB80">
        <v>2.7669199999999998</v>
      </c>
      <c r="GC80">
        <v>8.1259899999999996E-2</v>
      </c>
      <c r="GD80">
        <v>8.8290800000000003E-2</v>
      </c>
      <c r="GE80">
        <v>0.118302</v>
      </c>
      <c r="GF80">
        <v>0.107007</v>
      </c>
      <c r="GG80">
        <v>21816.1</v>
      </c>
      <c r="GH80">
        <v>22562.1</v>
      </c>
      <c r="GI80">
        <v>23618.1</v>
      </c>
      <c r="GJ80">
        <v>25073.4</v>
      </c>
      <c r="GK80">
        <v>29993.200000000001</v>
      </c>
      <c r="GL80">
        <v>31391.9</v>
      </c>
      <c r="GM80">
        <v>37652.9</v>
      </c>
      <c r="GN80">
        <v>39029.1</v>
      </c>
      <c r="GO80">
        <v>2.09293</v>
      </c>
      <c r="GP80">
        <v>1.73315</v>
      </c>
      <c r="GQ80">
        <v>-2.8148300000000001E-2</v>
      </c>
      <c r="GR80">
        <v>0</v>
      </c>
      <c r="GS80">
        <v>30.4375</v>
      </c>
      <c r="GT80">
        <v>999.9</v>
      </c>
      <c r="GU80">
        <v>40.299999999999997</v>
      </c>
      <c r="GV80">
        <v>40.200000000000003</v>
      </c>
      <c r="GW80">
        <v>30.518999999999998</v>
      </c>
      <c r="GX80">
        <v>60.243000000000002</v>
      </c>
      <c r="GY80">
        <v>26.342099999999999</v>
      </c>
      <c r="GZ80">
        <v>1</v>
      </c>
      <c r="HA80">
        <v>0.72596000000000005</v>
      </c>
      <c r="HB80">
        <v>2.61856</v>
      </c>
      <c r="HC80">
        <v>20.299099999999999</v>
      </c>
      <c r="HD80">
        <v>5.2517300000000002</v>
      </c>
      <c r="HE80">
        <v>12.0099</v>
      </c>
      <c r="HF80">
        <v>4.9788500000000004</v>
      </c>
      <c r="HG80">
        <v>3.2930000000000001</v>
      </c>
      <c r="HH80">
        <v>9999</v>
      </c>
      <c r="HI80">
        <v>9999</v>
      </c>
      <c r="HJ80">
        <v>9999</v>
      </c>
      <c r="HK80">
        <v>999.9</v>
      </c>
      <c r="HL80">
        <v>1.8760600000000001</v>
      </c>
      <c r="HM80">
        <v>1.87696</v>
      </c>
      <c r="HN80">
        <v>1.8831500000000001</v>
      </c>
      <c r="HO80">
        <v>1.88629</v>
      </c>
      <c r="HP80">
        <v>1.8771199999999999</v>
      </c>
      <c r="HQ80">
        <v>1.8835500000000001</v>
      </c>
      <c r="HR80">
        <v>1.8825499999999999</v>
      </c>
      <c r="HS80">
        <v>1.88598</v>
      </c>
      <c r="HT80">
        <v>5</v>
      </c>
      <c r="HU80">
        <v>0</v>
      </c>
      <c r="HV80">
        <v>0</v>
      </c>
      <c r="HW80">
        <v>0</v>
      </c>
      <c r="HX80" t="s">
        <v>421</v>
      </c>
      <c r="HY80" t="s">
        <v>422</v>
      </c>
      <c r="HZ80" t="s">
        <v>423</v>
      </c>
      <c r="IA80" t="s">
        <v>424</v>
      </c>
      <c r="IB80" t="s">
        <v>424</v>
      </c>
      <c r="IC80" t="s">
        <v>423</v>
      </c>
      <c r="ID80">
        <v>0</v>
      </c>
      <c r="IE80">
        <v>100</v>
      </c>
      <c r="IF80">
        <v>100</v>
      </c>
      <c r="IG80">
        <v>-0.34100000000000003</v>
      </c>
      <c r="IH80">
        <v>2E-3</v>
      </c>
      <c r="II80">
        <v>-0.3280118474628877</v>
      </c>
      <c r="IJ80">
        <v>4.4610147972834149E-5</v>
      </c>
      <c r="IK80">
        <v>-2.082673137682459E-7</v>
      </c>
      <c r="IL80">
        <v>-4.0725795306076518E-11</v>
      </c>
      <c r="IM80">
        <v>1.999999999998892E-3</v>
      </c>
      <c r="IN80">
        <v>0</v>
      </c>
      <c r="IO80">
        <v>0</v>
      </c>
      <c r="IP80">
        <v>0</v>
      </c>
      <c r="IQ80">
        <v>3</v>
      </c>
      <c r="IR80">
        <v>2179</v>
      </c>
      <c r="IS80">
        <v>0</v>
      </c>
      <c r="IT80">
        <v>22</v>
      </c>
      <c r="IU80">
        <v>1.5</v>
      </c>
      <c r="IV80">
        <v>1.5</v>
      </c>
      <c r="IW80">
        <v>1.01929</v>
      </c>
      <c r="IX80">
        <v>2.677</v>
      </c>
      <c r="IY80">
        <v>1.6015600000000001</v>
      </c>
      <c r="IZ80">
        <v>2.32544</v>
      </c>
      <c r="JA80">
        <v>1.5502899999999999</v>
      </c>
      <c r="JB80">
        <v>2.4853499999999999</v>
      </c>
      <c r="JC80">
        <v>44.417700000000004</v>
      </c>
      <c r="JD80">
        <v>24.2013</v>
      </c>
      <c r="JE80">
        <v>18</v>
      </c>
      <c r="JF80">
        <v>586.149</v>
      </c>
      <c r="JG80">
        <v>383.89100000000002</v>
      </c>
      <c r="JH80">
        <v>27.129200000000001</v>
      </c>
      <c r="JI80">
        <v>35.912700000000001</v>
      </c>
      <c r="JJ80">
        <v>30.0002</v>
      </c>
      <c r="JK80">
        <v>35.894599999999997</v>
      </c>
      <c r="JL80">
        <v>35.884999999999998</v>
      </c>
      <c r="JM80">
        <v>20.397600000000001</v>
      </c>
      <c r="JN80">
        <v>28.1858</v>
      </c>
      <c r="JO80">
        <v>46.243899999999996</v>
      </c>
      <c r="JP80">
        <v>27.142700000000001</v>
      </c>
      <c r="JQ80">
        <v>400</v>
      </c>
      <c r="JR80">
        <v>24.154299999999999</v>
      </c>
      <c r="JS80">
        <v>98.203599999999994</v>
      </c>
      <c r="JT80">
        <v>98.761099999999999</v>
      </c>
    </row>
    <row r="81" spans="1:280" x14ac:dyDescent="0.25">
      <c r="A81">
        <v>65</v>
      </c>
      <c r="B81">
        <v>1700161959.5</v>
      </c>
      <c r="C81">
        <v>14086</v>
      </c>
      <c r="D81" t="s">
        <v>690</v>
      </c>
      <c r="E81" t="s">
        <v>691</v>
      </c>
      <c r="F81" t="s">
        <v>412</v>
      </c>
      <c r="G81" t="s">
        <v>413</v>
      </c>
      <c r="H81" t="s">
        <v>657</v>
      </c>
      <c r="I81">
        <v>1700161959.5</v>
      </c>
      <c r="J81">
        <f t="shared" ref="J81:J112" si="92">(K81)/1000</f>
        <v>4.4799657994293524E-3</v>
      </c>
      <c r="K81">
        <f t="shared" ref="K81:K114" si="93">1000*DK81*AI81*(DG81-DH81)/(100*CZ81*(1000-AI81*DG81))</f>
        <v>4.479965799429352</v>
      </c>
      <c r="L81">
        <f t="shared" ref="L81:L114" si="94">DK81*AI81*(DF81-DE81*(1000-AI81*DH81)/(1000-AI81*DG81))/(100*CZ81)</f>
        <v>33.781324350985315</v>
      </c>
      <c r="M81">
        <f t="shared" ref="M81:M112" si="95">DE81 - IF(AI81&gt;1, L81*CZ81*100/(AK81*DS81), 0)</f>
        <v>266.423</v>
      </c>
      <c r="N81">
        <f t="shared" ref="N81:N112" si="96">((T81-J81/2)*M81-L81)/(T81+J81/2)</f>
        <v>76.609470387985951</v>
      </c>
      <c r="O81">
        <f t="shared" ref="O81:O112" si="97">N81*(DL81+DM81)/1000</f>
        <v>7.5887692883755076</v>
      </c>
      <c r="P81">
        <f t="shared" ref="P81:P114" si="98">(DE81 - IF(AI81&gt;1, L81*CZ81*100/(AK81*DS81), 0))*(DL81+DM81)/1000</f>
        <v>26.391289090988597</v>
      </c>
      <c r="Q81">
        <f t="shared" ref="Q81:Q112" si="99">2/((1/S81-1/R81)+SIGN(S81)*SQRT((1/S81-1/R81)*(1/S81-1/R81) + 4*DA81/((DA81+1)*(DA81+1))*(2*1/S81*1/R81-1/R81*1/R81)))</f>
        <v>0.30447031001694047</v>
      </c>
      <c r="R81">
        <f t="shared" ref="R81:R114" si="100">IF(LEFT(DB81,1)&lt;&gt;"0",IF(LEFT(DB81,1)="1",3,DC81),$D$5+$E$5*(DS81*DL81/($K$5*1000))+$F$5*(DS81*DL81/($K$5*1000))*MAX(MIN(CZ81,$J$5),$I$5)*MAX(MIN(CZ81,$J$5),$I$5)+$G$5*MAX(MIN(CZ81,$J$5),$I$5)*(DS81*DL81/($K$5*1000))+$H$5*(DS81*DL81/($K$5*1000))*(DS81*DL81/($K$5*1000)))</f>
        <v>3.1747169956274832</v>
      </c>
      <c r="S81">
        <f t="shared" ref="S81:S114" si="101">J81*(1000-(1000*0.61365*EXP(17.502*W81/(240.97+W81))/(DL81+DM81)+DG81)/2)/(1000*0.61365*EXP(17.502*W81/(240.97+W81))/(DL81+DM81)-DG81)</f>
        <v>0.28912841215339979</v>
      </c>
      <c r="T81">
        <f t="shared" ref="T81:T114" si="102">1/((DA81+1)/(Q81/1.6)+1/(R81/1.37)) + DA81/((DA81+1)/(Q81/1.6) + DA81/(R81/1.37))</f>
        <v>0.18201922323093714</v>
      </c>
      <c r="U81">
        <f t="shared" ref="U81:U114" si="103">(CV81*CY81)</f>
        <v>344.37699930235902</v>
      </c>
      <c r="V81">
        <f t="shared" ref="V81:V112" si="104">(DN81+(U81+2*0.95*0.0000000567*(((DN81+$B$7)+273)^4-(DN81+273)^4)-44100*J81)/(1.84*29.3*R81+8*0.95*0.0000000567*(DN81+273)^3))</f>
        <v>30.911460883524288</v>
      </c>
      <c r="W81">
        <f t="shared" ref="W81:W112" si="105">($C$7*DO81+$D$7*DP81+$E$7*V81)</f>
        <v>29.966000000000001</v>
      </c>
      <c r="X81">
        <f t="shared" ref="X81:X112" si="106">0.61365*EXP(17.502*W81/(240.97+W81))</f>
        <v>4.2521364803332258</v>
      </c>
      <c r="Y81">
        <f t="shared" ref="Y81:Y112" si="107">(Z81/AA81*100)</f>
        <v>64.646788899995329</v>
      </c>
      <c r="Z81">
        <f t="shared" ref="Z81:Z114" si="108">DG81*(DL81+DM81)/1000</f>
        <v>2.77167821577528</v>
      </c>
      <c r="AA81">
        <f t="shared" ref="AA81:AA114" si="109">0.61365*EXP(17.502*DN81/(240.97+DN81))</f>
        <v>4.28741823520871</v>
      </c>
      <c r="AB81">
        <f t="shared" ref="AB81:AB114" si="110">(X81-DG81*(DL81+DM81)/1000)</f>
        <v>1.4804582645579458</v>
      </c>
      <c r="AC81">
        <f t="shared" ref="AC81:AC114" si="111">(-J81*44100)</f>
        <v>-197.56649175483443</v>
      </c>
      <c r="AD81">
        <f t="shared" ref="AD81:AD114" si="112">2*29.3*R81*0.92*(DN81-W81)</f>
        <v>24.629253809963654</v>
      </c>
      <c r="AE81">
        <f t="shared" ref="AE81:AE114" si="113">2*0.95*0.0000000567*(((DN81+$B$7)+273)^4-(W81+273)^4)</f>
        <v>1.7256333593527433</v>
      </c>
      <c r="AF81">
        <f t="shared" ref="AF81:AF112" si="114">U81+AE81+AC81+AD81</f>
        <v>173.16539471684098</v>
      </c>
      <c r="AG81">
        <v>0</v>
      </c>
      <c r="AH81">
        <v>0</v>
      </c>
      <c r="AI81">
        <f t="shared" ref="AI81:AI114" si="115">IF(AG81*$H$13&gt;=AK81,1,(AK81/(AK81-AG81*$H$13)))</f>
        <v>1</v>
      </c>
      <c r="AJ81">
        <f t="shared" ref="AJ81:AJ112" si="116">(AI81-1)*100</f>
        <v>0</v>
      </c>
      <c r="AK81">
        <f t="shared" ref="AK81:AK114" si="117">MAX(0,($B$13+$C$13*DS81)/(1+$D$13*DS81)*DL81/(DN81+273)*$E$13)</f>
        <v>51764.435465672039</v>
      </c>
      <c r="AL81" t="s">
        <v>427</v>
      </c>
      <c r="AM81" t="s">
        <v>427</v>
      </c>
      <c r="AN81">
        <v>0</v>
      </c>
      <c r="AO81">
        <v>0</v>
      </c>
      <c r="AP81" t="e">
        <f t="shared" ref="AP81:AP112" si="118">1-AN81/AO81</f>
        <v>#DIV/0!</v>
      </c>
      <c r="AQ81">
        <v>0</v>
      </c>
      <c r="AR81" t="s">
        <v>427</v>
      </c>
      <c r="AS81" t="s">
        <v>427</v>
      </c>
      <c r="AT81">
        <v>0</v>
      </c>
      <c r="AU81">
        <v>0</v>
      </c>
      <c r="AV81" t="e">
        <f t="shared" ref="AV81:AV112" si="119">1-AT81/AU81</f>
        <v>#DIV/0!</v>
      </c>
      <c r="AW81">
        <v>0.5</v>
      </c>
      <c r="AX81">
        <f t="shared" ref="AX81:AX114" si="120">CW81</f>
        <v>1513.2182996511792</v>
      </c>
      <c r="AY81">
        <f t="shared" ref="AY81:AY114" si="121">L81</f>
        <v>33.781324350985315</v>
      </c>
      <c r="AZ81" t="e">
        <f t="shared" ref="AZ81:AZ114" si="122">AV81*AW81*AX81</f>
        <v>#DIV/0!</v>
      </c>
      <c r="BA81">
        <f t="shared" ref="BA81:BA114" si="123">(AY81-AQ81)/AX81</f>
        <v>2.2324157961063809E-2</v>
      </c>
      <c r="BB81" t="e">
        <f t="shared" ref="BB81:BB114" si="124">(AO81-AU81)/AU81</f>
        <v>#DIV/0!</v>
      </c>
      <c r="BC81" t="e">
        <f t="shared" ref="BC81:BC114" si="125">AN81/(AP81+AN81/AU81)</f>
        <v>#DIV/0!</v>
      </c>
      <c r="BD81" t="s">
        <v>427</v>
      </c>
      <c r="BE81">
        <v>0</v>
      </c>
      <c r="BF81" t="e">
        <f t="shared" ref="BF81:BF112" si="126">IF(BE81&lt;&gt;0, BE81, BC81)</f>
        <v>#DIV/0!</v>
      </c>
      <c r="BG81" t="e">
        <f t="shared" ref="BG81:BG112" si="127">1-BF81/AU81</f>
        <v>#DIV/0!</v>
      </c>
      <c r="BH81" t="e">
        <f t="shared" ref="BH81:BH114" si="128">(AU81-AT81)/(AU81-BF81)</f>
        <v>#DIV/0!</v>
      </c>
      <c r="BI81" t="e">
        <f t="shared" ref="BI81:BI114" si="129">(AO81-AU81)/(AO81-BF81)</f>
        <v>#DIV/0!</v>
      </c>
      <c r="BJ81" t="e">
        <f t="shared" ref="BJ81:BJ114" si="130">(AU81-AT81)/(AU81-AN81)</f>
        <v>#DIV/0!</v>
      </c>
      <c r="BK81" t="e">
        <f t="shared" ref="BK81:BK114" si="131">(AO81-AU81)/(AO81-AN81)</f>
        <v>#DIV/0!</v>
      </c>
      <c r="BL81" t="e">
        <f t="shared" ref="BL81:BL114" si="132">(BH81*BF81/AT81)</f>
        <v>#DIV/0!</v>
      </c>
      <c r="BM81" t="e">
        <f t="shared" ref="BM81:BM112" si="133">(1-BL81)</f>
        <v>#DIV/0!</v>
      </c>
      <c r="BN81">
        <v>11322</v>
      </c>
      <c r="BO81">
        <v>290.00000000000011</v>
      </c>
      <c r="BP81">
        <v>694.66</v>
      </c>
      <c r="BQ81">
        <v>285</v>
      </c>
      <c r="BR81">
        <v>7115.57</v>
      </c>
      <c r="BS81">
        <v>696.91</v>
      </c>
      <c r="BT81">
        <v>-2.25</v>
      </c>
      <c r="BU81">
        <v>300.00000000000011</v>
      </c>
      <c r="BV81">
        <v>38.299999999999997</v>
      </c>
      <c r="BW81">
        <v>766.27052099124887</v>
      </c>
      <c r="BX81">
        <v>1.210856828540966</v>
      </c>
      <c r="BY81">
        <v>-49.351641188250589</v>
      </c>
      <c r="BZ81">
        <v>0.72221329840443371</v>
      </c>
      <c r="CA81">
        <v>0.99403940799439783</v>
      </c>
      <c r="CB81">
        <v>-7.0162031145717396E-3</v>
      </c>
      <c r="CC81">
        <v>289.99999999999989</v>
      </c>
      <c r="CD81">
        <v>704.55</v>
      </c>
      <c r="CE81">
        <v>845</v>
      </c>
      <c r="CF81">
        <v>7106.71</v>
      </c>
      <c r="CG81">
        <v>696.83</v>
      </c>
      <c r="CH81">
        <v>7.72</v>
      </c>
      <c r="CV81">
        <f t="shared" ref="CV81:CV114" si="134">$B$11*DT81+$C$11*DU81+$F$11*EF81*(1-EI81)</f>
        <v>1800.04</v>
      </c>
      <c r="CW81">
        <f t="shared" ref="CW81:CW112" si="135">CV81*CX81</f>
        <v>1513.2182996511792</v>
      </c>
      <c r="CX81">
        <f t="shared" ref="CX81:CX114" si="136">($B$11*$D$9+$C$11*$D$9+$F$11*((ES81+EK81)/MAX(ES81+EK81+ET81, 0.1)*$I$9+ET81/MAX(ES81+EK81+ET81, 0.1)*$J$9))/($B$11+$C$11+$F$11)</f>
        <v>0.84065815184728077</v>
      </c>
      <c r="CY81">
        <f t="shared" ref="CY81:CY114" si="137">($B$11*$K$9+$C$11*$K$9+$F$11*((ES81+EK81)/MAX(ES81+EK81+ET81, 0.1)*$P$9+ET81/MAX(ES81+EK81+ET81, 0.1)*$Q$9))/($B$11+$C$11+$F$11)</f>
        <v>0.19131630369456182</v>
      </c>
      <c r="CZ81">
        <v>4.8</v>
      </c>
      <c r="DA81">
        <v>0.5</v>
      </c>
      <c r="DB81" t="s">
        <v>418</v>
      </c>
      <c r="DC81">
        <v>2</v>
      </c>
      <c r="DD81">
        <v>1700161959.5</v>
      </c>
      <c r="DE81">
        <v>266.423</v>
      </c>
      <c r="DF81">
        <v>299.98500000000001</v>
      </c>
      <c r="DG81">
        <v>27.980399999999999</v>
      </c>
      <c r="DH81">
        <v>23.8017</v>
      </c>
      <c r="DI81">
        <v>266.47699999999998</v>
      </c>
      <c r="DJ81">
        <v>27.979099999999999</v>
      </c>
      <c r="DK81">
        <v>500.20699999999999</v>
      </c>
      <c r="DL81">
        <v>98.957899999999995</v>
      </c>
      <c r="DM81">
        <v>9.9948200000000001E-2</v>
      </c>
      <c r="DN81">
        <v>30.1099</v>
      </c>
      <c r="DO81">
        <v>29.966000000000001</v>
      </c>
      <c r="DP81">
        <v>999.9</v>
      </c>
      <c r="DQ81">
        <v>0</v>
      </c>
      <c r="DR81">
        <v>0</v>
      </c>
      <c r="DS81">
        <v>9995</v>
      </c>
      <c r="DT81">
        <v>0</v>
      </c>
      <c r="DU81">
        <v>321.02600000000001</v>
      </c>
      <c r="DV81">
        <v>-33.561300000000003</v>
      </c>
      <c r="DW81">
        <v>274.09300000000002</v>
      </c>
      <c r="DX81">
        <v>307.29899999999998</v>
      </c>
      <c r="DY81">
        <v>4.1787200000000002</v>
      </c>
      <c r="DZ81">
        <v>299.98500000000001</v>
      </c>
      <c r="EA81">
        <v>23.8017</v>
      </c>
      <c r="EB81">
        <v>2.7688799999999998</v>
      </c>
      <c r="EC81">
        <v>2.3553700000000002</v>
      </c>
      <c r="ED81">
        <v>22.6997</v>
      </c>
      <c r="EE81">
        <v>20.060099999999998</v>
      </c>
      <c r="EF81">
        <v>1800.04</v>
      </c>
      <c r="EG81">
        <v>0.97799800000000003</v>
      </c>
      <c r="EH81">
        <v>2.2002000000000001E-2</v>
      </c>
      <c r="EI81">
        <v>0</v>
      </c>
      <c r="EJ81">
        <v>526.29600000000005</v>
      </c>
      <c r="EK81">
        <v>5.0005300000000004</v>
      </c>
      <c r="EL81">
        <v>10585</v>
      </c>
      <c r="EM81">
        <v>16035.6</v>
      </c>
      <c r="EN81">
        <v>49.311999999999998</v>
      </c>
      <c r="EO81">
        <v>50.561999999999998</v>
      </c>
      <c r="EP81">
        <v>49.936999999999998</v>
      </c>
      <c r="EQ81">
        <v>50</v>
      </c>
      <c r="ER81">
        <v>50.436999999999998</v>
      </c>
      <c r="ES81">
        <v>1755.55</v>
      </c>
      <c r="ET81">
        <v>39.49</v>
      </c>
      <c r="EU81">
        <v>0</v>
      </c>
      <c r="EV81">
        <v>178.79999995231631</v>
      </c>
      <c r="EW81">
        <v>0</v>
      </c>
      <c r="EX81">
        <v>526.28360000000009</v>
      </c>
      <c r="EY81">
        <v>-3.1000010358650829E-2</v>
      </c>
      <c r="EZ81">
        <v>70.615384802474964</v>
      </c>
      <c r="FA81">
        <v>10583.664000000001</v>
      </c>
      <c r="FB81">
        <v>15</v>
      </c>
      <c r="FC81">
        <v>1700161852.5</v>
      </c>
      <c r="FD81" t="s">
        <v>692</v>
      </c>
      <c r="FE81">
        <v>1700161847</v>
      </c>
      <c r="FF81">
        <v>1700161852.5</v>
      </c>
      <c r="FG81">
        <v>71</v>
      </c>
      <c r="FH81">
        <v>0.27800000000000002</v>
      </c>
      <c r="FI81">
        <v>-1E-3</v>
      </c>
      <c r="FJ81">
        <v>-5.7000000000000002E-2</v>
      </c>
      <c r="FK81">
        <v>1E-3</v>
      </c>
      <c r="FL81">
        <v>300</v>
      </c>
      <c r="FM81">
        <v>25</v>
      </c>
      <c r="FN81">
        <v>0.05</v>
      </c>
      <c r="FO81">
        <v>0.03</v>
      </c>
      <c r="FP81">
        <v>33.719930917448082</v>
      </c>
      <c r="FQ81">
        <v>0.66671417448241033</v>
      </c>
      <c r="FR81">
        <v>6.9960894871363685E-2</v>
      </c>
      <c r="FS81">
        <v>1</v>
      </c>
      <c r="FT81">
        <v>0.29832466021497428</v>
      </c>
      <c r="FU81">
        <v>2.3552788970653139E-2</v>
      </c>
      <c r="FV81">
        <v>1.780213763894321E-3</v>
      </c>
      <c r="FW81">
        <v>1</v>
      </c>
      <c r="FX81">
        <v>2</v>
      </c>
      <c r="FY81">
        <v>2</v>
      </c>
      <c r="FZ81" t="s">
        <v>420</v>
      </c>
      <c r="GA81">
        <v>3.1275599999999999</v>
      </c>
      <c r="GB81">
        <v>2.7667799999999998</v>
      </c>
      <c r="GC81">
        <v>6.3632999999999995E-2</v>
      </c>
      <c r="GD81">
        <v>7.0294599999999999E-2</v>
      </c>
      <c r="GE81">
        <v>0.11865299999999999</v>
      </c>
      <c r="GF81">
        <v>0.106138</v>
      </c>
      <c r="GG81">
        <v>22234.6</v>
      </c>
      <c r="GH81">
        <v>23008.1</v>
      </c>
      <c r="GI81">
        <v>23618.5</v>
      </c>
      <c r="GJ81">
        <v>25074.400000000001</v>
      </c>
      <c r="GK81">
        <v>29981.7</v>
      </c>
      <c r="GL81">
        <v>31423.3</v>
      </c>
      <c r="GM81">
        <v>37653.4</v>
      </c>
      <c r="GN81">
        <v>39030.1</v>
      </c>
      <c r="GO81">
        <v>2.0921500000000002</v>
      </c>
      <c r="GP81">
        <v>1.73153</v>
      </c>
      <c r="GQ81">
        <v>-2.3577399999999998E-2</v>
      </c>
      <c r="GR81">
        <v>0</v>
      </c>
      <c r="GS81">
        <v>30.349599999999999</v>
      </c>
      <c r="GT81">
        <v>999.9</v>
      </c>
      <c r="GU81">
        <v>39.700000000000003</v>
      </c>
      <c r="GV81">
        <v>40.299999999999997</v>
      </c>
      <c r="GW81">
        <v>30.221499999999999</v>
      </c>
      <c r="GX81">
        <v>60.563000000000002</v>
      </c>
      <c r="GY81">
        <v>26.302099999999999</v>
      </c>
      <c r="GZ81">
        <v>1</v>
      </c>
      <c r="HA81">
        <v>0.72564799999999996</v>
      </c>
      <c r="HB81">
        <v>2.2704599999999999</v>
      </c>
      <c r="HC81">
        <v>20.303799999999999</v>
      </c>
      <c r="HD81">
        <v>5.25143</v>
      </c>
      <c r="HE81">
        <v>12.0099</v>
      </c>
      <c r="HF81">
        <v>4.9788500000000004</v>
      </c>
      <c r="HG81">
        <v>3.2930000000000001</v>
      </c>
      <c r="HH81">
        <v>9999</v>
      </c>
      <c r="HI81">
        <v>9999</v>
      </c>
      <c r="HJ81">
        <v>9999</v>
      </c>
      <c r="HK81">
        <v>999.9</v>
      </c>
      <c r="HL81">
        <v>1.8760600000000001</v>
      </c>
      <c r="HM81">
        <v>1.8769</v>
      </c>
      <c r="HN81">
        <v>1.8832100000000001</v>
      </c>
      <c r="HO81">
        <v>1.88629</v>
      </c>
      <c r="HP81">
        <v>1.8770800000000001</v>
      </c>
      <c r="HQ81">
        <v>1.8835599999999999</v>
      </c>
      <c r="HR81">
        <v>1.8825099999999999</v>
      </c>
      <c r="HS81">
        <v>1.8859900000000001</v>
      </c>
      <c r="HT81">
        <v>5</v>
      </c>
      <c r="HU81">
        <v>0</v>
      </c>
      <c r="HV81">
        <v>0</v>
      </c>
      <c r="HW81">
        <v>0</v>
      </c>
      <c r="HX81" t="s">
        <v>421</v>
      </c>
      <c r="HY81" t="s">
        <v>422</v>
      </c>
      <c r="HZ81" t="s">
        <v>423</v>
      </c>
      <c r="IA81" t="s">
        <v>424</v>
      </c>
      <c r="IB81" t="s">
        <v>424</v>
      </c>
      <c r="IC81" t="s">
        <v>423</v>
      </c>
      <c r="ID81">
        <v>0</v>
      </c>
      <c r="IE81">
        <v>100</v>
      </c>
      <c r="IF81">
        <v>100</v>
      </c>
      <c r="IG81">
        <v>-5.3999999999999999E-2</v>
      </c>
      <c r="IH81">
        <v>1.2999999999999999E-3</v>
      </c>
      <c r="II81">
        <v>-5.0038690866670447E-2</v>
      </c>
      <c r="IJ81">
        <v>4.4610147972834149E-5</v>
      </c>
      <c r="IK81">
        <v>-2.082673137682459E-7</v>
      </c>
      <c r="IL81">
        <v>-4.0725795306076518E-11</v>
      </c>
      <c r="IM81">
        <v>1.3476190476211509E-3</v>
      </c>
      <c r="IN81">
        <v>0</v>
      </c>
      <c r="IO81">
        <v>0</v>
      </c>
      <c r="IP81">
        <v>0</v>
      </c>
      <c r="IQ81">
        <v>3</v>
      </c>
      <c r="IR81">
        <v>2179</v>
      </c>
      <c r="IS81">
        <v>0</v>
      </c>
      <c r="IT81">
        <v>22</v>
      </c>
      <c r="IU81">
        <v>1.9</v>
      </c>
      <c r="IV81">
        <v>1.8</v>
      </c>
      <c r="IW81">
        <v>0.81176800000000005</v>
      </c>
      <c r="IX81">
        <v>2.68066</v>
      </c>
      <c r="IY81">
        <v>1.6003400000000001</v>
      </c>
      <c r="IZ81">
        <v>2.32544</v>
      </c>
      <c r="JA81">
        <v>1.5502899999999999</v>
      </c>
      <c r="JB81">
        <v>2.52319</v>
      </c>
      <c r="JC81">
        <v>44.501399999999997</v>
      </c>
      <c r="JD81">
        <v>24.210100000000001</v>
      </c>
      <c r="JE81">
        <v>18</v>
      </c>
      <c r="JF81">
        <v>585.995</v>
      </c>
      <c r="JG81">
        <v>383.15300000000002</v>
      </c>
      <c r="JH81">
        <v>27.424600000000002</v>
      </c>
      <c r="JI81">
        <v>35.942599999999999</v>
      </c>
      <c r="JJ81">
        <v>29.9999</v>
      </c>
      <c r="JK81">
        <v>35.9407</v>
      </c>
      <c r="JL81">
        <v>35.929600000000001</v>
      </c>
      <c r="JM81">
        <v>16.2182</v>
      </c>
      <c r="JN81">
        <v>24.917999999999999</v>
      </c>
      <c r="JO81">
        <v>44.9998</v>
      </c>
      <c r="JP81">
        <v>27.438099999999999</v>
      </c>
      <c r="JQ81">
        <v>300</v>
      </c>
      <c r="JR81">
        <v>24.051100000000002</v>
      </c>
      <c r="JS81">
        <v>98.205100000000002</v>
      </c>
      <c r="JT81">
        <v>98.764200000000002</v>
      </c>
    </row>
    <row r="82" spans="1:280" x14ac:dyDescent="0.25">
      <c r="A82">
        <v>66</v>
      </c>
      <c r="B82">
        <v>1700162145</v>
      </c>
      <c r="C82">
        <v>14271.5</v>
      </c>
      <c r="D82" t="s">
        <v>693</v>
      </c>
      <c r="E82" t="s">
        <v>694</v>
      </c>
      <c r="F82" t="s">
        <v>412</v>
      </c>
      <c r="G82" t="s">
        <v>413</v>
      </c>
      <c r="H82" t="s">
        <v>657</v>
      </c>
      <c r="I82">
        <v>1700162145</v>
      </c>
      <c r="J82">
        <f t="shared" si="92"/>
        <v>5.4049808325796408E-3</v>
      </c>
      <c r="K82">
        <f t="shared" si="93"/>
        <v>5.4049808325796409</v>
      </c>
      <c r="L82">
        <f t="shared" si="94"/>
        <v>26.515081669610041</v>
      </c>
      <c r="M82">
        <f t="shared" si="95"/>
        <v>173.625</v>
      </c>
      <c r="N82">
        <f t="shared" si="96"/>
        <v>53.700748710452444</v>
      </c>
      <c r="O82">
        <f t="shared" si="97"/>
        <v>5.3188576745611531</v>
      </c>
      <c r="P82">
        <f t="shared" si="98"/>
        <v>17.196904808999999</v>
      </c>
      <c r="Q82">
        <f t="shared" si="99"/>
        <v>0.38260115290300895</v>
      </c>
      <c r="R82">
        <f t="shared" si="100"/>
        <v>3.1766104405733575</v>
      </c>
      <c r="S82">
        <f t="shared" si="101"/>
        <v>0.35872011247347396</v>
      </c>
      <c r="T82">
        <f t="shared" si="102"/>
        <v>0.22622136086031588</v>
      </c>
      <c r="U82">
        <f t="shared" si="103"/>
        <v>344.40989930224828</v>
      </c>
      <c r="V82">
        <f t="shared" si="104"/>
        <v>31.000477002565216</v>
      </c>
      <c r="W82">
        <f t="shared" si="105"/>
        <v>29.984400000000001</v>
      </c>
      <c r="X82">
        <f t="shared" si="106"/>
        <v>4.2566336814945096</v>
      </c>
      <c r="Y82">
        <f t="shared" si="107"/>
        <v>64.551950829391046</v>
      </c>
      <c r="Z82">
        <f t="shared" si="108"/>
        <v>2.8175587122311998</v>
      </c>
      <c r="AA82">
        <f t="shared" si="109"/>
        <v>4.3647925059273991</v>
      </c>
      <c r="AB82">
        <f t="shared" si="110"/>
        <v>1.4390749692633098</v>
      </c>
      <c r="AC82">
        <f t="shared" si="111"/>
        <v>-238.35965471676215</v>
      </c>
      <c r="AD82">
        <f t="shared" si="112"/>
        <v>74.925122156583512</v>
      </c>
      <c r="AE82">
        <f t="shared" si="113"/>
        <v>5.2550404256333021</v>
      </c>
      <c r="AF82">
        <f t="shared" si="114"/>
        <v>186.23040716770294</v>
      </c>
      <c r="AG82">
        <v>0</v>
      </c>
      <c r="AH82">
        <v>0</v>
      </c>
      <c r="AI82">
        <f t="shared" si="115"/>
        <v>1</v>
      </c>
      <c r="AJ82">
        <f t="shared" si="116"/>
        <v>0</v>
      </c>
      <c r="AK82">
        <f t="shared" si="117"/>
        <v>51757.633389205694</v>
      </c>
      <c r="AL82" t="s">
        <v>415</v>
      </c>
      <c r="AM82">
        <v>6977.87</v>
      </c>
      <c r="AN82">
        <v>273.15280000000001</v>
      </c>
      <c r="AO82">
        <v>850.46774885301022</v>
      </c>
      <c r="AP82">
        <f t="shared" si="118"/>
        <v>0.67882050745793765</v>
      </c>
      <c r="AQ82">
        <v>-1.0323826813720729</v>
      </c>
      <c r="AR82" t="s">
        <v>695</v>
      </c>
      <c r="AS82">
        <v>7115.99</v>
      </c>
      <c r="AT82">
        <v>542.2657999999999</v>
      </c>
      <c r="AU82">
        <v>706.04553015059651</v>
      </c>
      <c r="AV82">
        <f t="shared" si="119"/>
        <v>0.23196766094626087</v>
      </c>
      <c r="AW82">
        <v>0.5</v>
      </c>
      <c r="AX82">
        <f t="shared" si="120"/>
        <v>1513.3613996511242</v>
      </c>
      <c r="AY82">
        <f t="shared" si="121"/>
        <v>26.515081669610041</v>
      </c>
      <c r="AZ82">
        <f t="shared" si="122"/>
        <v>175.52545202171538</v>
      </c>
      <c r="BA82">
        <f t="shared" si="123"/>
        <v>1.8202832685789819E-2</v>
      </c>
      <c r="BB82">
        <f t="shared" si="124"/>
        <v>0.20455085760773681</v>
      </c>
      <c r="BC82">
        <f t="shared" si="125"/>
        <v>256.31362519101845</v>
      </c>
      <c r="BD82" t="s">
        <v>696</v>
      </c>
      <c r="BE82">
        <v>399.29</v>
      </c>
      <c r="BF82">
        <f t="shared" si="126"/>
        <v>399.29</v>
      </c>
      <c r="BG82">
        <f t="shared" si="127"/>
        <v>0.43446989896695021</v>
      </c>
      <c r="BH82">
        <f t="shared" si="128"/>
        <v>0.53390962526475627</v>
      </c>
      <c r="BI82">
        <f t="shared" si="129"/>
        <v>0.32010049048200118</v>
      </c>
      <c r="BJ82">
        <f t="shared" si="130"/>
        <v>0.3783379085475061</v>
      </c>
      <c r="BK82">
        <f t="shared" si="131"/>
        <v>0.25016192459479331</v>
      </c>
      <c r="BL82">
        <f t="shared" si="132"/>
        <v>0.39313704510217057</v>
      </c>
      <c r="BM82">
        <f t="shared" si="133"/>
        <v>0.60686295489782949</v>
      </c>
      <c r="BN82">
        <v>11324</v>
      </c>
      <c r="BO82">
        <v>290.00000000000011</v>
      </c>
      <c r="BP82">
        <v>661.07</v>
      </c>
      <c r="BQ82">
        <v>285</v>
      </c>
      <c r="BR82">
        <v>7115.99</v>
      </c>
      <c r="BS82">
        <v>662.51</v>
      </c>
      <c r="BT82">
        <v>-1.44</v>
      </c>
      <c r="BU82">
        <v>300.00000000000011</v>
      </c>
      <c r="BV82">
        <v>38.299999999999997</v>
      </c>
      <c r="BW82">
        <v>706.04553015059651</v>
      </c>
      <c r="BX82">
        <v>1.300563267749008</v>
      </c>
      <c r="BY82">
        <v>-30.97730491889148</v>
      </c>
      <c r="BZ82">
        <v>0.77576619894172005</v>
      </c>
      <c r="CA82">
        <v>0.98274272134283391</v>
      </c>
      <c r="CB82">
        <v>-7.0164529477196886E-3</v>
      </c>
      <c r="CC82">
        <v>289.99999999999989</v>
      </c>
      <c r="CD82">
        <v>668.35</v>
      </c>
      <c r="CE82">
        <v>795</v>
      </c>
      <c r="CF82">
        <v>7108.07</v>
      </c>
      <c r="CG82">
        <v>662.47</v>
      </c>
      <c r="CH82">
        <v>5.88</v>
      </c>
      <c r="CV82">
        <f t="shared" si="134"/>
        <v>1800.21</v>
      </c>
      <c r="CW82">
        <f t="shared" si="135"/>
        <v>1513.3613996511242</v>
      </c>
      <c r="CX82">
        <f t="shared" si="136"/>
        <v>0.84065825634294011</v>
      </c>
      <c r="CY82">
        <f t="shared" si="137"/>
        <v>0.19131651268588012</v>
      </c>
      <c r="CZ82">
        <v>4.8</v>
      </c>
      <c r="DA82">
        <v>0.5</v>
      </c>
      <c r="DB82" t="s">
        <v>418</v>
      </c>
      <c r="DC82">
        <v>2</v>
      </c>
      <c r="DD82">
        <v>1700162145</v>
      </c>
      <c r="DE82">
        <v>173.625</v>
      </c>
      <c r="DF82">
        <v>199.96899999999999</v>
      </c>
      <c r="DG82">
        <v>28.446899999999999</v>
      </c>
      <c r="DH82">
        <v>23.407900000000001</v>
      </c>
      <c r="DI82">
        <v>173.601</v>
      </c>
      <c r="DJ82">
        <v>28.448</v>
      </c>
      <c r="DK82">
        <v>500.21600000000001</v>
      </c>
      <c r="DL82">
        <v>98.946100000000001</v>
      </c>
      <c r="DM82">
        <v>0.100148</v>
      </c>
      <c r="DN82">
        <v>30.421900000000001</v>
      </c>
      <c r="DO82">
        <v>29.984400000000001</v>
      </c>
      <c r="DP82">
        <v>999.9</v>
      </c>
      <c r="DQ82">
        <v>0</v>
      </c>
      <c r="DR82">
        <v>0</v>
      </c>
      <c r="DS82">
        <v>10005.6</v>
      </c>
      <c r="DT82">
        <v>0</v>
      </c>
      <c r="DU82">
        <v>278.221</v>
      </c>
      <c r="DV82">
        <v>-26.343699999999998</v>
      </c>
      <c r="DW82">
        <v>178.709</v>
      </c>
      <c r="DX82">
        <v>204.762</v>
      </c>
      <c r="DY82">
        <v>5.0389600000000003</v>
      </c>
      <c r="DZ82">
        <v>199.96899999999999</v>
      </c>
      <c r="EA82">
        <v>23.407900000000001</v>
      </c>
      <c r="EB82">
        <v>2.8147099999999998</v>
      </c>
      <c r="EC82">
        <v>2.3161200000000002</v>
      </c>
      <c r="ED82">
        <v>22.970600000000001</v>
      </c>
      <c r="EE82">
        <v>19.789000000000001</v>
      </c>
      <c r="EF82">
        <v>1800.21</v>
      </c>
      <c r="EG82">
        <v>0.97799800000000003</v>
      </c>
      <c r="EH82">
        <v>2.2002000000000001E-2</v>
      </c>
      <c r="EI82">
        <v>0</v>
      </c>
      <c r="EJ82">
        <v>542.28700000000003</v>
      </c>
      <c r="EK82">
        <v>5.0005300000000004</v>
      </c>
      <c r="EL82">
        <v>10578.6</v>
      </c>
      <c r="EM82">
        <v>16037.1</v>
      </c>
      <c r="EN82">
        <v>49.125</v>
      </c>
      <c r="EO82">
        <v>50.311999999999998</v>
      </c>
      <c r="EP82">
        <v>49.75</v>
      </c>
      <c r="EQ82">
        <v>49.811999999999998</v>
      </c>
      <c r="ER82">
        <v>50.25</v>
      </c>
      <c r="ES82">
        <v>1755.71</v>
      </c>
      <c r="ET82">
        <v>39.5</v>
      </c>
      <c r="EU82">
        <v>0</v>
      </c>
      <c r="EV82">
        <v>364.79999995231628</v>
      </c>
      <c r="EW82">
        <v>0</v>
      </c>
      <c r="EX82">
        <v>542.2657999999999</v>
      </c>
      <c r="EY82">
        <v>0.88315385192934137</v>
      </c>
      <c r="EZ82">
        <v>-178.54615422685529</v>
      </c>
      <c r="FA82">
        <v>10587.324000000001</v>
      </c>
      <c r="FB82">
        <v>15</v>
      </c>
      <c r="FC82">
        <v>1700162023</v>
      </c>
      <c r="FD82" t="s">
        <v>697</v>
      </c>
      <c r="FE82">
        <v>1700162022</v>
      </c>
      <c r="FF82">
        <v>1700162023</v>
      </c>
      <c r="FG82">
        <v>72</v>
      </c>
      <c r="FH82">
        <v>7.2999999999999995E-2</v>
      </c>
      <c r="FI82">
        <v>-3.0000000000000001E-3</v>
      </c>
      <c r="FJ82">
        <v>2.3E-2</v>
      </c>
      <c r="FK82">
        <v>-1E-3</v>
      </c>
      <c r="FL82">
        <v>200</v>
      </c>
      <c r="FM82">
        <v>24</v>
      </c>
      <c r="FN82">
        <v>0.11</v>
      </c>
      <c r="FO82">
        <v>0.01</v>
      </c>
      <c r="FP82">
        <v>26.467166076900181</v>
      </c>
      <c r="FQ82">
        <v>0.66391547686730867</v>
      </c>
      <c r="FR82">
        <v>5.6545700730134547E-2</v>
      </c>
      <c r="FS82">
        <v>1</v>
      </c>
      <c r="FT82">
        <v>0.38136714711283393</v>
      </c>
      <c r="FU82">
        <v>1.5266604213018011E-2</v>
      </c>
      <c r="FV82">
        <v>1.208880429164793E-3</v>
      </c>
      <c r="FW82">
        <v>1</v>
      </c>
      <c r="FX82">
        <v>2</v>
      </c>
      <c r="FY82">
        <v>2</v>
      </c>
      <c r="FZ82" t="s">
        <v>420</v>
      </c>
      <c r="GA82">
        <v>3.1272899999999999</v>
      </c>
      <c r="GB82">
        <v>2.76708</v>
      </c>
      <c r="GC82">
        <v>4.3762099999999998E-2</v>
      </c>
      <c r="GD82">
        <v>4.9758299999999998E-2</v>
      </c>
      <c r="GE82">
        <v>0.12002599999999999</v>
      </c>
      <c r="GF82">
        <v>0.104894</v>
      </c>
      <c r="GG82">
        <v>22712.7</v>
      </c>
      <c r="GH82">
        <v>23524.6</v>
      </c>
      <c r="GI82">
        <v>23625.4</v>
      </c>
      <c r="GJ82">
        <v>25083.3</v>
      </c>
      <c r="GK82">
        <v>29943.5</v>
      </c>
      <c r="GL82">
        <v>31478.2</v>
      </c>
      <c r="GM82">
        <v>37664</v>
      </c>
      <c r="GN82">
        <v>39043.699999999997</v>
      </c>
      <c r="GO82">
        <v>2.0935800000000002</v>
      </c>
      <c r="GP82">
        <v>1.7323</v>
      </c>
      <c r="GQ82">
        <v>-1.92821E-2</v>
      </c>
      <c r="GR82">
        <v>0</v>
      </c>
      <c r="GS82">
        <v>30.298100000000002</v>
      </c>
      <c r="GT82">
        <v>999.9</v>
      </c>
      <c r="GU82">
        <v>39</v>
      </c>
      <c r="GV82">
        <v>40.4</v>
      </c>
      <c r="GW82">
        <v>29.853000000000002</v>
      </c>
      <c r="GX82">
        <v>60.503</v>
      </c>
      <c r="GY82">
        <v>26.265999999999998</v>
      </c>
      <c r="GZ82">
        <v>1</v>
      </c>
      <c r="HA82">
        <v>0.71314</v>
      </c>
      <c r="HB82">
        <v>1.89595</v>
      </c>
      <c r="HC82">
        <v>20.308499999999999</v>
      </c>
      <c r="HD82">
        <v>5.2479899999999997</v>
      </c>
      <c r="HE82">
        <v>12.0099</v>
      </c>
      <c r="HF82">
        <v>4.9787499999999998</v>
      </c>
      <c r="HG82">
        <v>3.2930000000000001</v>
      </c>
      <c r="HH82">
        <v>9999</v>
      </c>
      <c r="HI82">
        <v>9999</v>
      </c>
      <c r="HJ82">
        <v>9999</v>
      </c>
      <c r="HK82">
        <v>999.9</v>
      </c>
      <c r="HL82">
        <v>1.8760699999999999</v>
      </c>
      <c r="HM82">
        <v>1.87697</v>
      </c>
      <c r="HN82">
        <v>1.88323</v>
      </c>
      <c r="HO82">
        <v>1.88629</v>
      </c>
      <c r="HP82">
        <v>1.87714</v>
      </c>
      <c r="HQ82">
        <v>1.8836200000000001</v>
      </c>
      <c r="HR82">
        <v>1.8825499999999999</v>
      </c>
      <c r="HS82">
        <v>1.8859900000000001</v>
      </c>
      <c r="HT82">
        <v>5</v>
      </c>
      <c r="HU82">
        <v>0</v>
      </c>
      <c r="HV82">
        <v>0</v>
      </c>
      <c r="HW82">
        <v>0</v>
      </c>
      <c r="HX82" t="s">
        <v>421</v>
      </c>
      <c r="HY82" t="s">
        <v>422</v>
      </c>
      <c r="HZ82" t="s">
        <v>423</v>
      </c>
      <c r="IA82" t="s">
        <v>424</v>
      </c>
      <c r="IB82" t="s">
        <v>424</v>
      </c>
      <c r="IC82" t="s">
        <v>423</v>
      </c>
      <c r="ID82">
        <v>0</v>
      </c>
      <c r="IE82">
        <v>100</v>
      </c>
      <c r="IF82">
        <v>100</v>
      </c>
      <c r="IG82">
        <v>2.4E-2</v>
      </c>
      <c r="IH82">
        <v>-1.1000000000000001E-3</v>
      </c>
      <c r="II82">
        <v>2.2778232879725399E-2</v>
      </c>
      <c r="IJ82">
        <v>4.4610147972834149E-5</v>
      </c>
      <c r="IK82">
        <v>-2.082673137682459E-7</v>
      </c>
      <c r="IL82">
        <v>-4.0725795306076518E-11</v>
      </c>
      <c r="IM82">
        <v>-1.13500000000144E-3</v>
      </c>
      <c r="IN82">
        <v>0</v>
      </c>
      <c r="IO82">
        <v>0</v>
      </c>
      <c r="IP82">
        <v>0</v>
      </c>
      <c r="IQ82">
        <v>3</v>
      </c>
      <c r="IR82">
        <v>2179</v>
      </c>
      <c r="IS82">
        <v>0</v>
      </c>
      <c r="IT82">
        <v>22</v>
      </c>
      <c r="IU82">
        <v>2</v>
      </c>
      <c r="IV82">
        <v>2</v>
      </c>
      <c r="IW82">
        <v>0.59448199999999995</v>
      </c>
      <c r="IX82">
        <v>2.6953100000000001</v>
      </c>
      <c r="IY82">
        <v>1.6015600000000001</v>
      </c>
      <c r="IZ82">
        <v>2.32544</v>
      </c>
      <c r="JA82">
        <v>1.5502899999999999</v>
      </c>
      <c r="JB82">
        <v>2.5122100000000001</v>
      </c>
      <c r="JC82">
        <v>44.473500000000001</v>
      </c>
      <c r="JD82">
        <v>24.210100000000001</v>
      </c>
      <c r="JE82">
        <v>18</v>
      </c>
      <c r="JF82">
        <v>586.56399999999996</v>
      </c>
      <c r="JG82">
        <v>383.35300000000001</v>
      </c>
      <c r="JH82">
        <v>28.000499999999999</v>
      </c>
      <c r="JI82">
        <v>35.840600000000002</v>
      </c>
      <c r="JJ82">
        <v>29.9998</v>
      </c>
      <c r="JK82">
        <v>35.889200000000002</v>
      </c>
      <c r="JL82">
        <v>35.883099999999999</v>
      </c>
      <c r="JM82">
        <v>11.8773</v>
      </c>
      <c r="JN82">
        <v>25.2608</v>
      </c>
      <c r="JO82">
        <v>43.652099999999997</v>
      </c>
      <c r="JP82">
        <v>27.997699999999998</v>
      </c>
      <c r="JQ82">
        <v>200</v>
      </c>
      <c r="JR82">
        <v>23.622399999999999</v>
      </c>
      <c r="JS82">
        <v>98.233099999999993</v>
      </c>
      <c r="JT82">
        <v>98.798900000000003</v>
      </c>
    </row>
    <row r="83" spans="1:280" x14ac:dyDescent="0.25">
      <c r="A83">
        <v>67</v>
      </c>
      <c r="B83">
        <v>1700162271</v>
      </c>
      <c r="C83">
        <v>14397.5</v>
      </c>
      <c r="D83" t="s">
        <v>698</v>
      </c>
      <c r="E83" t="s">
        <v>699</v>
      </c>
      <c r="F83" t="s">
        <v>412</v>
      </c>
      <c r="G83" t="s">
        <v>413</v>
      </c>
      <c r="H83" t="s">
        <v>657</v>
      </c>
      <c r="I83">
        <v>1700162271</v>
      </c>
      <c r="J83">
        <f t="shared" si="92"/>
        <v>5.6831787922340541E-3</v>
      </c>
      <c r="K83">
        <f t="shared" si="93"/>
        <v>5.6831787922340542</v>
      </c>
      <c r="L83">
        <f t="shared" si="94"/>
        <v>16.768855995895372</v>
      </c>
      <c r="M83">
        <f t="shared" si="95"/>
        <v>103.34399999999999</v>
      </c>
      <c r="N83">
        <f t="shared" si="96"/>
        <v>33.768057706983569</v>
      </c>
      <c r="O83">
        <f t="shared" si="97"/>
        <v>3.3446309203452405</v>
      </c>
      <c r="P83">
        <f t="shared" si="98"/>
        <v>10.235931862929599</v>
      </c>
      <c r="Q83">
        <f t="shared" si="99"/>
        <v>0.41923125366746655</v>
      </c>
      <c r="R83">
        <f t="shared" si="100"/>
        <v>3.177399348146777</v>
      </c>
      <c r="S83">
        <f t="shared" si="101"/>
        <v>0.39074774577213706</v>
      </c>
      <c r="T83">
        <f t="shared" si="102"/>
        <v>0.24661501662303148</v>
      </c>
      <c r="U83">
        <f t="shared" si="103"/>
        <v>344.37379930217463</v>
      </c>
      <c r="V83">
        <f t="shared" si="104"/>
        <v>30.913034842094572</v>
      </c>
      <c r="W83">
        <f t="shared" si="105"/>
        <v>29.935300000000002</v>
      </c>
      <c r="X83">
        <f t="shared" si="106"/>
        <v>4.2446422158676871</v>
      </c>
      <c r="Y83">
        <f t="shared" si="107"/>
        <v>65.501483760585714</v>
      </c>
      <c r="Z83">
        <f t="shared" si="108"/>
        <v>2.8556986055545304</v>
      </c>
      <c r="AA83">
        <f t="shared" si="109"/>
        <v>4.3597464387102836</v>
      </c>
      <c r="AB83">
        <f t="shared" si="110"/>
        <v>1.3889436103131567</v>
      </c>
      <c r="AC83">
        <f t="shared" si="111"/>
        <v>-250.62818473752179</v>
      </c>
      <c r="AD83">
        <f t="shared" si="112"/>
        <v>79.894298385759654</v>
      </c>
      <c r="AE83">
        <f t="shared" si="113"/>
        <v>5.6002533538009445</v>
      </c>
      <c r="AF83">
        <f t="shared" si="114"/>
        <v>179.24016630421346</v>
      </c>
      <c r="AG83">
        <v>0</v>
      </c>
      <c r="AH83">
        <v>0</v>
      </c>
      <c r="AI83">
        <f t="shared" si="115"/>
        <v>1</v>
      </c>
      <c r="AJ83">
        <f t="shared" si="116"/>
        <v>0</v>
      </c>
      <c r="AK83">
        <f t="shared" si="117"/>
        <v>51780.558329311134</v>
      </c>
      <c r="AL83" t="s">
        <v>427</v>
      </c>
      <c r="AM83" t="s">
        <v>427</v>
      </c>
      <c r="AN83">
        <v>0</v>
      </c>
      <c r="AO83">
        <v>0</v>
      </c>
      <c r="AP83" t="e">
        <f t="shared" si="118"/>
        <v>#DIV/0!</v>
      </c>
      <c r="AQ83">
        <v>0</v>
      </c>
      <c r="AR83" t="s">
        <v>427</v>
      </c>
      <c r="AS83" t="s">
        <v>427</v>
      </c>
      <c r="AT83">
        <v>0</v>
      </c>
      <c r="AU83">
        <v>0</v>
      </c>
      <c r="AV83" t="e">
        <f t="shared" si="119"/>
        <v>#DIV/0!</v>
      </c>
      <c r="AW83">
        <v>0.5</v>
      </c>
      <c r="AX83">
        <f t="shared" si="120"/>
        <v>1513.2017996510872</v>
      </c>
      <c r="AY83">
        <f t="shared" si="121"/>
        <v>16.768855995895372</v>
      </c>
      <c r="AZ83" t="e">
        <f t="shared" si="122"/>
        <v>#DIV/0!</v>
      </c>
      <c r="BA83">
        <f t="shared" si="123"/>
        <v>1.1081705030857035E-2</v>
      </c>
      <c r="BB83" t="e">
        <f t="shared" si="124"/>
        <v>#DIV/0!</v>
      </c>
      <c r="BC83" t="e">
        <f t="shared" si="125"/>
        <v>#DIV/0!</v>
      </c>
      <c r="BD83" t="s">
        <v>427</v>
      </c>
      <c r="BE83">
        <v>0</v>
      </c>
      <c r="BF83" t="e">
        <f t="shared" si="126"/>
        <v>#DIV/0!</v>
      </c>
      <c r="BG83" t="e">
        <f t="shared" si="127"/>
        <v>#DIV/0!</v>
      </c>
      <c r="BH83" t="e">
        <f t="shared" si="128"/>
        <v>#DIV/0!</v>
      </c>
      <c r="BI83" t="e">
        <f t="shared" si="129"/>
        <v>#DIV/0!</v>
      </c>
      <c r="BJ83" t="e">
        <f t="shared" si="130"/>
        <v>#DIV/0!</v>
      </c>
      <c r="BK83" t="e">
        <f t="shared" si="131"/>
        <v>#DIV/0!</v>
      </c>
      <c r="BL83" t="e">
        <f t="shared" si="132"/>
        <v>#DIV/0!</v>
      </c>
      <c r="BM83" t="e">
        <f t="shared" si="133"/>
        <v>#DIV/0!</v>
      </c>
      <c r="BN83">
        <v>11324</v>
      </c>
      <c r="BO83">
        <v>290.00000000000011</v>
      </c>
      <c r="BP83">
        <v>661.07</v>
      </c>
      <c r="BQ83">
        <v>285</v>
      </c>
      <c r="BR83">
        <v>7115.99</v>
      </c>
      <c r="BS83">
        <v>662.51</v>
      </c>
      <c r="BT83">
        <v>-1.44</v>
      </c>
      <c r="BU83">
        <v>300.00000000000011</v>
      </c>
      <c r="BV83">
        <v>38.299999999999997</v>
      </c>
      <c r="BW83">
        <v>706.04553015059651</v>
      </c>
      <c r="BX83">
        <v>1.300563267749008</v>
      </c>
      <c r="BY83">
        <v>-30.97730491889148</v>
      </c>
      <c r="BZ83">
        <v>0.77576619894172005</v>
      </c>
      <c r="CA83">
        <v>0.98274272134283391</v>
      </c>
      <c r="CB83">
        <v>-7.0164529477196886E-3</v>
      </c>
      <c r="CC83">
        <v>289.99999999999989</v>
      </c>
      <c r="CD83">
        <v>668.35</v>
      </c>
      <c r="CE83">
        <v>795</v>
      </c>
      <c r="CF83">
        <v>7108.07</v>
      </c>
      <c r="CG83">
        <v>662.47</v>
      </c>
      <c r="CH83">
        <v>5.88</v>
      </c>
      <c r="CV83">
        <f t="shared" si="134"/>
        <v>1800.02</v>
      </c>
      <c r="CW83">
        <f t="shared" si="135"/>
        <v>1513.2017996510872</v>
      </c>
      <c r="CX83">
        <f t="shared" si="136"/>
        <v>0.84065832582476152</v>
      </c>
      <c r="CY83">
        <f t="shared" si="137"/>
        <v>0.19131665164952313</v>
      </c>
      <c r="CZ83">
        <v>4.8</v>
      </c>
      <c r="DA83">
        <v>0.5</v>
      </c>
      <c r="DB83" t="s">
        <v>418</v>
      </c>
      <c r="DC83">
        <v>2</v>
      </c>
      <c r="DD83">
        <v>1700162271</v>
      </c>
      <c r="DE83">
        <v>103.34399999999999</v>
      </c>
      <c r="DF83">
        <v>120.002</v>
      </c>
      <c r="DG83">
        <v>28.831700000000001</v>
      </c>
      <c r="DH83">
        <v>23.534400000000002</v>
      </c>
      <c r="DI83">
        <v>103.251</v>
      </c>
      <c r="DJ83">
        <v>28.8306</v>
      </c>
      <c r="DK83">
        <v>500.11799999999999</v>
      </c>
      <c r="DL83">
        <v>98.947299999999998</v>
      </c>
      <c r="DM83">
        <v>9.9880899999999995E-2</v>
      </c>
      <c r="DN83">
        <v>30.401700000000002</v>
      </c>
      <c r="DO83">
        <v>29.935300000000002</v>
      </c>
      <c r="DP83">
        <v>999.9</v>
      </c>
      <c r="DQ83">
        <v>0</v>
      </c>
      <c r="DR83">
        <v>0</v>
      </c>
      <c r="DS83">
        <v>10009.4</v>
      </c>
      <c r="DT83">
        <v>0</v>
      </c>
      <c r="DU83">
        <v>379.06299999999999</v>
      </c>
      <c r="DV83">
        <v>-16.6585</v>
      </c>
      <c r="DW83">
        <v>106.41200000000001</v>
      </c>
      <c r="DX83">
        <v>122.895</v>
      </c>
      <c r="DY83">
        <v>5.29732</v>
      </c>
      <c r="DZ83">
        <v>120.002</v>
      </c>
      <c r="EA83">
        <v>23.534400000000002</v>
      </c>
      <c r="EB83">
        <v>2.8528199999999999</v>
      </c>
      <c r="EC83">
        <v>2.3286600000000002</v>
      </c>
      <c r="ED83">
        <v>23.192900000000002</v>
      </c>
      <c r="EE83">
        <v>19.876100000000001</v>
      </c>
      <c r="EF83">
        <v>1800.02</v>
      </c>
      <c r="EG83">
        <v>0.97799400000000003</v>
      </c>
      <c r="EH83">
        <v>2.20056E-2</v>
      </c>
      <c r="EI83">
        <v>0</v>
      </c>
      <c r="EJ83">
        <v>564.35799999999995</v>
      </c>
      <c r="EK83">
        <v>5.0005300000000004</v>
      </c>
      <c r="EL83">
        <v>11186.6</v>
      </c>
      <c r="EM83">
        <v>16035.4</v>
      </c>
      <c r="EN83">
        <v>49.061999999999998</v>
      </c>
      <c r="EO83">
        <v>50.186999999999998</v>
      </c>
      <c r="EP83">
        <v>49.686999999999998</v>
      </c>
      <c r="EQ83">
        <v>49.686999999999998</v>
      </c>
      <c r="ER83">
        <v>50.186999999999998</v>
      </c>
      <c r="ES83">
        <v>1755.52</v>
      </c>
      <c r="ET83">
        <v>39.5</v>
      </c>
      <c r="EU83">
        <v>0</v>
      </c>
      <c r="EV83">
        <v>124.2000000476837</v>
      </c>
      <c r="EW83">
        <v>0</v>
      </c>
      <c r="EX83">
        <v>564.71257692307688</v>
      </c>
      <c r="EY83">
        <v>-1.418358982607822</v>
      </c>
      <c r="EZ83">
        <v>572.84786357657811</v>
      </c>
      <c r="FA83">
        <v>11143.223076923079</v>
      </c>
      <c r="FB83">
        <v>15</v>
      </c>
      <c r="FC83">
        <v>1700162231</v>
      </c>
      <c r="FD83" t="s">
        <v>700</v>
      </c>
      <c r="FE83">
        <v>1700162220</v>
      </c>
      <c r="FF83">
        <v>1700162231</v>
      </c>
      <c r="FG83">
        <v>73</v>
      </c>
      <c r="FH83">
        <v>6.8000000000000005E-2</v>
      </c>
      <c r="FI83">
        <v>2E-3</v>
      </c>
      <c r="FJ83">
        <v>9.2999999999999999E-2</v>
      </c>
      <c r="FK83">
        <v>1E-3</v>
      </c>
      <c r="FL83">
        <v>120</v>
      </c>
      <c r="FM83">
        <v>24</v>
      </c>
      <c r="FN83">
        <v>0.09</v>
      </c>
      <c r="FO83">
        <v>0.02</v>
      </c>
      <c r="FP83">
        <v>16.721291547323649</v>
      </c>
      <c r="FQ83">
        <v>0.4353674486136021</v>
      </c>
      <c r="FR83">
        <v>3.7397136347900928E-2</v>
      </c>
      <c r="FS83">
        <v>1</v>
      </c>
      <c r="FT83">
        <v>0.42165298316813599</v>
      </c>
      <c r="FU83">
        <v>4.0251548798157198E-2</v>
      </c>
      <c r="FV83">
        <v>3.7919843524808088E-3</v>
      </c>
      <c r="FW83">
        <v>1</v>
      </c>
      <c r="FX83">
        <v>2</v>
      </c>
      <c r="FY83">
        <v>2</v>
      </c>
      <c r="FZ83" t="s">
        <v>420</v>
      </c>
      <c r="GA83">
        <v>3.1267900000000002</v>
      </c>
      <c r="GB83">
        <v>2.7668400000000002</v>
      </c>
      <c r="GC83">
        <v>2.6939399999999999E-2</v>
      </c>
      <c r="GD83">
        <v>3.1146E-2</v>
      </c>
      <c r="GE83">
        <v>0.12116</v>
      </c>
      <c r="GF83">
        <v>0.105312</v>
      </c>
      <c r="GG83">
        <v>23117.5</v>
      </c>
      <c r="GH83">
        <v>23991.599999999999</v>
      </c>
      <c r="GI83">
        <v>23631.200000000001</v>
      </c>
      <c r="GJ83">
        <v>25090.1</v>
      </c>
      <c r="GK83">
        <v>29912.3</v>
      </c>
      <c r="GL83">
        <v>31471.9</v>
      </c>
      <c r="GM83">
        <v>37673.199999999997</v>
      </c>
      <c r="GN83">
        <v>39054.1</v>
      </c>
      <c r="GO83">
        <v>2.0939199999999998</v>
      </c>
      <c r="GP83">
        <v>1.7337</v>
      </c>
      <c r="GQ83">
        <v>-2.3156400000000001E-2</v>
      </c>
      <c r="GR83">
        <v>0</v>
      </c>
      <c r="GS83">
        <v>30.312000000000001</v>
      </c>
      <c r="GT83">
        <v>999.9</v>
      </c>
      <c r="GU83">
        <v>38.6</v>
      </c>
      <c r="GV83">
        <v>40.4</v>
      </c>
      <c r="GW83">
        <v>29.5486</v>
      </c>
      <c r="GX83">
        <v>60.503</v>
      </c>
      <c r="GY83">
        <v>26.822900000000001</v>
      </c>
      <c r="GZ83">
        <v>1</v>
      </c>
      <c r="HA83">
        <v>0.70585399999999998</v>
      </c>
      <c r="HB83">
        <v>2.3022200000000002</v>
      </c>
      <c r="HC83">
        <v>20.304400000000001</v>
      </c>
      <c r="HD83">
        <v>5.2515799999999997</v>
      </c>
      <c r="HE83">
        <v>12.0099</v>
      </c>
      <c r="HF83">
        <v>4.9785500000000003</v>
      </c>
      <c r="HG83">
        <v>3.2930000000000001</v>
      </c>
      <c r="HH83">
        <v>9999</v>
      </c>
      <c r="HI83">
        <v>9999</v>
      </c>
      <c r="HJ83">
        <v>9999</v>
      </c>
      <c r="HK83">
        <v>999.9</v>
      </c>
      <c r="HL83">
        <v>1.8760699999999999</v>
      </c>
      <c r="HM83">
        <v>1.87697</v>
      </c>
      <c r="HN83">
        <v>1.8832</v>
      </c>
      <c r="HO83">
        <v>1.88629</v>
      </c>
      <c r="HP83">
        <v>1.87713</v>
      </c>
      <c r="HQ83">
        <v>1.8835999999999999</v>
      </c>
      <c r="HR83">
        <v>1.88256</v>
      </c>
      <c r="HS83">
        <v>1.8859900000000001</v>
      </c>
      <c r="HT83">
        <v>5</v>
      </c>
      <c r="HU83">
        <v>0</v>
      </c>
      <c r="HV83">
        <v>0</v>
      </c>
      <c r="HW83">
        <v>0</v>
      </c>
      <c r="HX83" t="s">
        <v>421</v>
      </c>
      <c r="HY83" t="s">
        <v>422</v>
      </c>
      <c r="HZ83" t="s">
        <v>423</v>
      </c>
      <c r="IA83" t="s">
        <v>424</v>
      </c>
      <c r="IB83" t="s">
        <v>424</v>
      </c>
      <c r="IC83" t="s">
        <v>423</v>
      </c>
      <c r="ID83">
        <v>0</v>
      </c>
      <c r="IE83">
        <v>100</v>
      </c>
      <c r="IF83">
        <v>100</v>
      </c>
      <c r="IG83">
        <v>9.2999999999999999E-2</v>
      </c>
      <c r="IH83">
        <v>1.1000000000000001E-3</v>
      </c>
      <c r="II83">
        <v>9.0865075401401332E-2</v>
      </c>
      <c r="IJ83">
        <v>4.4610147972834149E-5</v>
      </c>
      <c r="IK83">
        <v>-2.082673137682459E-7</v>
      </c>
      <c r="IL83">
        <v>-4.0725795306076518E-11</v>
      </c>
      <c r="IM83">
        <v>1.064999999996985E-3</v>
      </c>
      <c r="IN83">
        <v>0</v>
      </c>
      <c r="IO83">
        <v>0</v>
      </c>
      <c r="IP83">
        <v>0</v>
      </c>
      <c r="IQ83">
        <v>3</v>
      </c>
      <c r="IR83">
        <v>2179</v>
      </c>
      <c r="IS83">
        <v>0</v>
      </c>
      <c r="IT83">
        <v>22</v>
      </c>
      <c r="IU83">
        <v>0.8</v>
      </c>
      <c r="IV83">
        <v>0.7</v>
      </c>
      <c r="IW83">
        <v>0.41503899999999999</v>
      </c>
      <c r="IX83">
        <v>2.7111800000000001</v>
      </c>
      <c r="IY83">
        <v>1.6015600000000001</v>
      </c>
      <c r="IZ83">
        <v>2.32544</v>
      </c>
      <c r="JA83">
        <v>1.5502899999999999</v>
      </c>
      <c r="JB83">
        <v>2.33521</v>
      </c>
      <c r="JC83">
        <v>44.473500000000001</v>
      </c>
      <c r="JD83">
        <v>24.2013</v>
      </c>
      <c r="JE83">
        <v>18</v>
      </c>
      <c r="JF83">
        <v>586.23099999999999</v>
      </c>
      <c r="JG83">
        <v>383.80700000000002</v>
      </c>
      <c r="JH83">
        <v>27.601700000000001</v>
      </c>
      <c r="JI83">
        <v>35.747199999999999</v>
      </c>
      <c r="JJ83">
        <v>30.000299999999999</v>
      </c>
      <c r="JK83">
        <v>35.821399999999997</v>
      </c>
      <c r="JL83">
        <v>35.814500000000002</v>
      </c>
      <c r="JM83">
        <v>8.3027300000000004</v>
      </c>
      <c r="JN83">
        <v>23.897300000000001</v>
      </c>
      <c r="JO83">
        <v>43.058599999999998</v>
      </c>
      <c r="JP83">
        <v>27.585100000000001</v>
      </c>
      <c r="JQ83">
        <v>120</v>
      </c>
      <c r="JR83">
        <v>23.4954</v>
      </c>
      <c r="JS83">
        <v>98.257000000000005</v>
      </c>
      <c r="JT83">
        <v>98.825400000000002</v>
      </c>
    </row>
    <row r="84" spans="1:280" x14ac:dyDescent="0.25">
      <c r="A84">
        <v>68</v>
      </c>
      <c r="B84">
        <v>1700162381</v>
      </c>
      <c r="C84">
        <v>14507.5</v>
      </c>
      <c r="D84" t="s">
        <v>701</v>
      </c>
      <c r="E84" t="s">
        <v>702</v>
      </c>
      <c r="F84" t="s">
        <v>412</v>
      </c>
      <c r="G84" t="s">
        <v>413</v>
      </c>
      <c r="H84" t="s">
        <v>657</v>
      </c>
      <c r="I84">
        <v>1700162381</v>
      </c>
      <c r="J84">
        <f t="shared" si="92"/>
        <v>5.9382044834616161E-3</v>
      </c>
      <c r="K84">
        <f t="shared" si="93"/>
        <v>5.9382044834616163</v>
      </c>
      <c r="L84">
        <f t="shared" si="94"/>
        <v>10.084252868672994</v>
      </c>
      <c r="M84">
        <f t="shared" si="95"/>
        <v>59.981999999999999</v>
      </c>
      <c r="N84">
        <f t="shared" si="96"/>
        <v>19.89981086186911</v>
      </c>
      <c r="O84">
        <f t="shared" si="97"/>
        <v>1.9710985894759603</v>
      </c>
      <c r="P84">
        <f t="shared" si="98"/>
        <v>5.9412843878075998</v>
      </c>
      <c r="Q84">
        <f t="shared" si="99"/>
        <v>0.43894711804256592</v>
      </c>
      <c r="R84">
        <f t="shared" si="100"/>
        <v>3.1778509588980453</v>
      </c>
      <c r="S84">
        <f t="shared" si="101"/>
        <v>0.40783221254586061</v>
      </c>
      <c r="T84">
        <f t="shared" si="102"/>
        <v>0.2575066470747609</v>
      </c>
      <c r="U84">
        <f t="shared" si="103"/>
        <v>344.3946993022173</v>
      </c>
      <c r="V84">
        <f t="shared" si="104"/>
        <v>30.999501201428128</v>
      </c>
      <c r="W84">
        <f t="shared" si="105"/>
        <v>30.021999999999998</v>
      </c>
      <c r="X84">
        <f t="shared" si="106"/>
        <v>4.265836506212124</v>
      </c>
      <c r="Y84">
        <f t="shared" si="107"/>
        <v>65.402387574703326</v>
      </c>
      <c r="Z84">
        <f t="shared" si="108"/>
        <v>2.8756026425367005</v>
      </c>
      <c r="AA84">
        <f t="shared" si="109"/>
        <v>4.3967854220186622</v>
      </c>
      <c r="AB84">
        <f t="shared" si="110"/>
        <v>1.3902338636754235</v>
      </c>
      <c r="AC84">
        <f t="shared" si="111"/>
        <v>-261.87481772065729</v>
      </c>
      <c r="AD84">
        <f t="shared" si="112"/>
        <v>90.373568722698749</v>
      </c>
      <c r="AE84">
        <f t="shared" si="113"/>
        <v>6.3412585292609434</v>
      </c>
      <c r="AF84">
        <f t="shared" si="114"/>
        <v>179.23470883351968</v>
      </c>
      <c r="AG84">
        <v>0</v>
      </c>
      <c r="AH84">
        <v>0</v>
      </c>
      <c r="AI84">
        <f t="shared" si="115"/>
        <v>1</v>
      </c>
      <c r="AJ84">
        <f t="shared" si="116"/>
        <v>0</v>
      </c>
      <c r="AK84">
        <f t="shared" si="117"/>
        <v>51766.572399428369</v>
      </c>
      <c r="AL84" t="s">
        <v>415</v>
      </c>
      <c r="AM84">
        <v>6977.87</v>
      </c>
      <c r="AN84">
        <v>273.15280000000001</v>
      </c>
      <c r="AO84">
        <v>850.46774885301022</v>
      </c>
      <c r="AP84">
        <f t="shared" si="118"/>
        <v>0.67882050745793765</v>
      </c>
      <c r="AQ84">
        <v>-1.0323826813720729</v>
      </c>
      <c r="AR84" t="s">
        <v>703</v>
      </c>
      <c r="AS84">
        <v>7116.56</v>
      </c>
      <c r="AT84">
        <v>584.64584000000002</v>
      </c>
      <c r="AU84">
        <v>668.5313426671056</v>
      </c>
      <c r="AV84">
        <f t="shared" si="119"/>
        <v>0.12547729225744964</v>
      </c>
      <c r="AW84">
        <v>0.5</v>
      </c>
      <c r="AX84">
        <f t="shared" si="120"/>
        <v>1513.2941996511088</v>
      </c>
      <c r="AY84">
        <f t="shared" si="121"/>
        <v>10.084252868672994</v>
      </c>
      <c r="AZ84">
        <f t="shared" si="122"/>
        <v>94.942029280562764</v>
      </c>
      <c r="BA84">
        <f t="shared" si="123"/>
        <v>7.3459843780594794E-3</v>
      </c>
      <c r="BB84">
        <f t="shared" si="124"/>
        <v>0.27214342032202915</v>
      </c>
      <c r="BC84">
        <f t="shared" si="125"/>
        <v>251.19649655318705</v>
      </c>
      <c r="BD84" t="s">
        <v>704</v>
      </c>
      <c r="BE84">
        <v>422.11</v>
      </c>
      <c r="BF84">
        <f t="shared" si="126"/>
        <v>422.11</v>
      </c>
      <c r="BG84">
        <f t="shared" si="127"/>
        <v>0.36860103175418479</v>
      </c>
      <c r="BH84">
        <f t="shared" si="128"/>
        <v>0.34041492412622637</v>
      </c>
      <c r="BI84">
        <f t="shared" si="129"/>
        <v>0.42473004555903482</v>
      </c>
      <c r="BJ84">
        <f t="shared" si="130"/>
        <v>0.21216503581918997</v>
      </c>
      <c r="BK84">
        <f t="shared" si="131"/>
        <v>0.3151423786052478</v>
      </c>
      <c r="BL84">
        <f t="shared" si="132"/>
        <v>0.24577707355776518</v>
      </c>
      <c r="BM84">
        <f t="shared" si="133"/>
        <v>0.75422292644223488</v>
      </c>
      <c r="BN84">
        <v>11326</v>
      </c>
      <c r="BO84">
        <v>290.00000000000011</v>
      </c>
      <c r="BP84">
        <v>648.4</v>
      </c>
      <c r="BQ84">
        <v>295</v>
      </c>
      <c r="BR84">
        <v>7116.56</v>
      </c>
      <c r="BS84">
        <v>648.05999999999995</v>
      </c>
      <c r="BT84">
        <v>0.34</v>
      </c>
      <c r="BU84">
        <v>300.00000000000011</v>
      </c>
      <c r="BV84">
        <v>38.299999999999997</v>
      </c>
      <c r="BW84">
        <v>668.5313426671056</v>
      </c>
      <c r="BX84">
        <v>1.037478134920734</v>
      </c>
      <c r="BY84">
        <v>-14.56937104356852</v>
      </c>
      <c r="BZ84">
        <v>0.61889561357711476</v>
      </c>
      <c r="CA84">
        <v>0.95190448219076051</v>
      </c>
      <c r="CB84">
        <v>-7.0169261401557244E-3</v>
      </c>
      <c r="CC84">
        <v>289.99999999999989</v>
      </c>
      <c r="CD84">
        <v>648.95000000000005</v>
      </c>
      <c r="CE84">
        <v>675</v>
      </c>
      <c r="CF84">
        <v>7111.73</v>
      </c>
      <c r="CG84">
        <v>648.04</v>
      </c>
      <c r="CH84">
        <v>0.91</v>
      </c>
      <c r="CV84">
        <f t="shared" si="134"/>
        <v>1800.13</v>
      </c>
      <c r="CW84">
        <f t="shared" si="135"/>
        <v>1513.2941996511088</v>
      </c>
      <c r="CX84">
        <f t="shared" si="136"/>
        <v>0.84065828559665612</v>
      </c>
      <c r="CY84">
        <f t="shared" si="137"/>
        <v>0.1913165711933123</v>
      </c>
      <c r="CZ84">
        <v>4.8</v>
      </c>
      <c r="DA84">
        <v>0.5</v>
      </c>
      <c r="DB84" t="s">
        <v>418</v>
      </c>
      <c r="DC84">
        <v>2</v>
      </c>
      <c r="DD84">
        <v>1700162381</v>
      </c>
      <c r="DE84">
        <v>59.981999999999999</v>
      </c>
      <c r="DF84">
        <v>70.004499999999993</v>
      </c>
      <c r="DG84">
        <v>29.031500000000001</v>
      </c>
      <c r="DH84">
        <v>23.496500000000001</v>
      </c>
      <c r="DI84">
        <v>59.836300000000001</v>
      </c>
      <c r="DJ84">
        <v>29.031400000000001</v>
      </c>
      <c r="DK84">
        <v>500.01600000000002</v>
      </c>
      <c r="DL84">
        <v>98.951700000000002</v>
      </c>
      <c r="DM84">
        <v>9.9421800000000005E-2</v>
      </c>
      <c r="DN84">
        <v>30.549499999999998</v>
      </c>
      <c r="DO84">
        <v>30.021999999999998</v>
      </c>
      <c r="DP84">
        <v>999.9</v>
      </c>
      <c r="DQ84">
        <v>0</v>
      </c>
      <c r="DR84">
        <v>0</v>
      </c>
      <c r="DS84">
        <v>10011.200000000001</v>
      </c>
      <c r="DT84">
        <v>0</v>
      </c>
      <c r="DU84">
        <v>327.08699999999999</v>
      </c>
      <c r="DV84">
        <v>-10.022500000000001</v>
      </c>
      <c r="DW84">
        <v>61.775500000000001</v>
      </c>
      <c r="DX84">
        <v>71.688900000000004</v>
      </c>
      <c r="DY84">
        <v>5.5350400000000004</v>
      </c>
      <c r="DZ84">
        <v>70.004499999999993</v>
      </c>
      <c r="EA84">
        <v>23.496500000000001</v>
      </c>
      <c r="EB84">
        <v>2.8727200000000002</v>
      </c>
      <c r="EC84">
        <v>2.3250199999999999</v>
      </c>
      <c r="ED84">
        <v>23.308</v>
      </c>
      <c r="EE84">
        <v>19.8508</v>
      </c>
      <c r="EF84">
        <v>1800.13</v>
      </c>
      <c r="EG84">
        <v>0.97799400000000003</v>
      </c>
      <c r="EH84">
        <v>2.20056E-2</v>
      </c>
      <c r="EI84">
        <v>0</v>
      </c>
      <c r="EJ84">
        <v>584.71900000000005</v>
      </c>
      <c r="EK84">
        <v>5.0005300000000004</v>
      </c>
      <c r="EL84">
        <v>11566.6</v>
      </c>
      <c r="EM84">
        <v>16036.4</v>
      </c>
      <c r="EN84">
        <v>48.936999999999998</v>
      </c>
      <c r="EO84">
        <v>50.125</v>
      </c>
      <c r="EP84">
        <v>49.561999999999998</v>
      </c>
      <c r="EQ84">
        <v>49.561999999999998</v>
      </c>
      <c r="ER84">
        <v>50.125</v>
      </c>
      <c r="ES84">
        <v>1755.63</v>
      </c>
      <c r="ET84">
        <v>39.5</v>
      </c>
      <c r="EU84">
        <v>0</v>
      </c>
      <c r="EV84">
        <v>234</v>
      </c>
      <c r="EW84">
        <v>0</v>
      </c>
      <c r="EX84">
        <v>584.64584000000002</v>
      </c>
      <c r="EY84">
        <v>0.86046153030826922</v>
      </c>
      <c r="EZ84">
        <v>4.830769203715005</v>
      </c>
      <c r="FA84">
        <v>11563.556</v>
      </c>
      <c r="FB84">
        <v>15</v>
      </c>
      <c r="FC84">
        <v>1700162349</v>
      </c>
      <c r="FD84" t="s">
        <v>705</v>
      </c>
      <c r="FE84">
        <v>1700162339</v>
      </c>
      <c r="FF84">
        <v>1700162349</v>
      </c>
      <c r="FG84">
        <v>74</v>
      </c>
      <c r="FH84">
        <v>5.2999999999999999E-2</v>
      </c>
      <c r="FI84">
        <v>-1E-3</v>
      </c>
      <c r="FJ84">
        <v>0.14599999999999999</v>
      </c>
      <c r="FK84">
        <v>0</v>
      </c>
      <c r="FL84">
        <v>70</v>
      </c>
      <c r="FM84">
        <v>23</v>
      </c>
      <c r="FN84">
        <v>0.12</v>
      </c>
      <c r="FO84">
        <v>0.01</v>
      </c>
      <c r="FP84">
        <v>10.11089107946909</v>
      </c>
      <c r="FQ84">
        <v>-0.40065875899872011</v>
      </c>
      <c r="FR84">
        <v>3.6668483467504252E-2</v>
      </c>
      <c r="FS84">
        <v>1</v>
      </c>
      <c r="FT84">
        <v>0.43533480663021928</v>
      </c>
      <c r="FU84">
        <v>3.554716849975733E-2</v>
      </c>
      <c r="FV84">
        <v>3.607910049159562E-3</v>
      </c>
      <c r="FW84">
        <v>1</v>
      </c>
      <c r="FX84">
        <v>2</v>
      </c>
      <c r="FY84">
        <v>2</v>
      </c>
      <c r="FZ84" t="s">
        <v>420</v>
      </c>
      <c r="GA84">
        <v>3.1263700000000001</v>
      </c>
      <c r="GB84">
        <v>2.7664</v>
      </c>
      <c r="GC84">
        <v>1.58459E-2</v>
      </c>
      <c r="GD84">
        <v>1.8517700000000002E-2</v>
      </c>
      <c r="GE84">
        <v>0.121762</v>
      </c>
      <c r="GF84">
        <v>0.10521</v>
      </c>
      <c r="GG84">
        <v>23383.4</v>
      </c>
      <c r="GH84">
        <v>24306.3</v>
      </c>
      <c r="GI84">
        <v>23634</v>
      </c>
      <c r="GJ84">
        <v>25092.6</v>
      </c>
      <c r="GK84">
        <v>29895.200000000001</v>
      </c>
      <c r="GL84">
        <v>31478.799999999999</v>
      </c>
      <c r="GM84">
        <v>37677.4</v>
      </c>
      <c r="GN84">
        <v>39058.1</v>
      </c>
      <c r="GO84">
        <v>2.0939000000000001</v>
      </c>
      <c r="GP84">
        <v>1.7344200000000001</v>
      </c>
      <c r="GQ84">
        <v>-2.2582700000000001E-2</v>
      </c>
      <c r="GR84">
        <v>0</v>
      </c>
      <c r="GS84">
        <v>30.389299999999999</v>
      </c>
      <c r="GT84">
        <v>999.9</v>
      </c>
      <c r="GU84">
        <v>38.299999999999997</v>
      </c>
      <c r="GV84">
        <v>40.4</v>
      </c>
      <c r="GW84">
        <v>29.314299999999999</v>
      </c>
      <c r="GX84">
        <v>60.603000000000002</v>
      </c>
      <c r="GY84">
        <v>27.075299999999999</v>
      </c>
      <c r="GZ84">
        <v>1</v>
      </c>
      <c r="HA84">
        <v>0.70328500000000005</v>
      </c>
      <c r="HB84">
        <v>2.9144600000000001</v>
      </c>
      <c r="HC84">
        <v>20.293900000000001</v>
      </c>
      <c r="HD84">
        <v>5.24634</v>
      </c>
      <c r="HE84">
        <v>12.0099</v>
      </c>
      <c r="HF84">
        <v>4.9787499999999998</v>
      </c>
      <c r="HG84">
        <v>3.2926199999999999</v>
      </c>
      <c r="HH84">
        <v>9999</v>
      </c>
      <c r="HI84">
        <v>9999</v>
      </c>
      <c r="HJ84">
        <v>9999</v>
      </c>
      <c r="HK84">
        <v>999.9</v>
      </c>
      <c r="HL84">
        <v>1.8760699999999999</v>
      </c>
      <c r="HM84">
        <v>1.8769800000000001</v>
      </c>
      <c r="HN84">
        <v>1.8832100000000001</v>
      </c>
      <c r="HO84">
        <v>1.8863099999999999</v>
      </c>
      <c r="HP84">
        <v>1.8771199999999999</v>
      </c>
      <c r="HQ84">
        <v>1.8835999999999999</v>
      </c>
      <c r="HR84">
        <v>1.8826000000000001</v>
      </c>
      <c r="HS84">
        <v>1.8859900000000001</v>
      </c>
      <c r="HT84">
        <v>5</v>
      </c>
      <c r="HU84">
        <v>0</v>
      </c>
      <c r="HV84">
        <v>0</v>
      </c>
      <c r="HW84">
        <v>0</v>
      </c>
      <c r="HX84" t="s">
        <v>421</v>
      </c>
      <c r="HY84" t="s">
        <v>422</v>
      </c>
      <c r="HZ84" t="s">
        <v>423</v>
      </c>
      <c r="IA84" t="s">
        <v>424</v>
      </c>
      <c r="IB84" t="s">
        <v>424</v>
      </c>
      <c r="IC84" t="s">
        <v>423</v>
      </c>
      <c r="ID84">
        <v>0</v>
      </c>
      <c r="IE84">
        <v>100</v>
      </c>
      <c r="IF84">
        <v>100</v>
      </c>
      <c r="IG84">
        <v>0.14599999999999999</v>
      </c>
      <c r="IH84">
        <v>1E-4</v>
      </c>
      <c r="II84">
        <v>0.14385923450289531</v>
      </c>
      <c r="IJ84">
        <v>4.4610147972834149E-5</v>
      </c>
      <c r="IK84">
        <v>-2.082673137682459E-7</v>
      </c>
      <c r="IL84">
        <v>-4.0725795306076518E-11</v>
      </c>
      <c r="IM84">
        <v>1.6000000000104819E-4</v>
      </c>
      <c r="IN84">
        <v>0</v>
      </c>
      <c r="IO84">
        <v>0</v>
      </c>
      <c r="IP84">
        <v>0</v>
      </c>
      <c r="IQ84">
        <v>3</v>
      </c>
      <c r="IR84">
        <v>2179</v>
      </c>
      <c r="IS84">
        <v>0</v>
      </c>
      <c r="IT84">
        <v>22</v>
      </c>
      <c r="IU84">
        <v>0.7</v>
      </c>
      <c r="IV84">
        <v>0.5</v>
      </c>
      <c r="IW84">
        <v>0.302734</v>
      </c>
      <c r="IX84">
        <v>2.7331500000000002</v>
      </c>
      <c r="IY84">
        <v>1.6015600000000001</v>
      </c>
      <c r="IZ84">
        <v>2.32422</v>
      </c>
      <c r="JA84">
        <v>1.5502899999999999</v>
      </c>
      <c r="JB84">
        <v>2.3071299999999999</v>
      </c>
      <c r="JC84">
        <v>44.445599999999999</v>
      </c>
      <c r="JD84">
        <v>24.192599999999999</v>
      </c>
      <c r="JE84">
        <v>18</v>
      </c>
      <c r="JF84">
        <v>585.73400000000004</v>
      </c>
      <c r="JG84">
        <v>383.911</v>
      </c>
      <c r="JH84">
        <v>27.476400000000002</v>
      </c>
      <c r="JI84">
        <v>35.687100000000001</v>
      </c>
      <c r="JJ84">
        <v>30.0002</v>
      </c>
      <c r="JK84">
        <v>35.7652</v>
      </c>
      <c r="JL84">
        <v>35.757399999999997</v>
      </c>
      <c r="JM84">
        <v>6.0536000000000003</v>
      </c>
      <c r="JN84">
        <v>23.689</v>
      </c>
      <c r="JO84">
        <v>42.507599999999996</v>
      </c>
      <c r="JP84">
        <v>27.459900000000001</v>
      </c>
      <c r="JQ84">
        <v>70</v>
      </c>
      <c r="JR84">
        <v>23.4496</v>
      </c>
      <c r="JS84">
        <v>98.2684</v>
      </c>
      <c r="JT84">
        <v>98.835499999999996</v>
      </c>
    </row>
    <row r="85" spans="1:280" x14ac:dyDescent="0.25">
      <c r="A85">
        <v>69</v>
      </c>
      <c r="B85">
        <v>1700162514.5</v>
      </c>
      <c r="C85">
        <v>14641</v>
      </c>
      <c r="D85" t="s">
        <v>706</v>
      </c>
      <c r="E85" t="s">
        <v>707</v>
      </c>
      <c r="F85" t="s">
        <v>412</v>
      </c>
      <c r="G85" t="s">
        <v>413</v>
      </c>
      <c r="H85" t="s">
        <v>657</v>
      </c>
      <c r="I85">
        <v>1700162514.5</v>
      </c>
      <c r="J85">
        <f t="shared" si="92"/>
        <v>6.2714809214270677E-3</v>
      </c>
      <c r="K85">
        <f t="shared" si="93"/>
        <v>6.2714809214270675</v>
      </c>
      <c r="L85">
        <f t="shared" si="94"/>
        <v>4.3037612696149257</v>
      </c>
      <c r="M85">
        <f t="shared" si="95"/>
        <v>25.665700000000001</v>
      </c>
      <c r="N85">
        <f t="shared" si="96"/>
        <v>9.6153634883594332</v>
      </c>
      <c r="O85">
        <f t="shared" si="97"/>
        <v>0.95239739487773245</v>
      </c>
      <c r="P85">
        <f t="shared" si="98"/>
        <v>2.5421759507381898</v>
      </c>
      <c r="Q85">
        <f t="shared" si="99"/>
        <v>0.47092757916944417</v>
      </c>
      <c r="R85">
        <f t="shared" si="100"/>
        <v>3.1760639578302641</v>
      </c>
      <c r="S85">
        <f t="shared" si="101"/>
        <v>0.43529231307839039</v>
      </c>
      <c r="T85">
        <f t="shared" si="102"/>
        <v>0.27503432870026251</v>
      </c>
      <c r="U85">
        <f t="shared" si="103"/>
        <v>344.41429930207943</v>
      </c>
      <c r="V85">
        <f t="shared" si="104"/>
        <v>30.91245525343173</v>
      </c>
      <c r="W85">
        <f t="shared" si="105"/>
        <v>29.974900000000002</v>
      </c>
      <c r="X85">
        <f t="shared" si="106"/>
        <v>4.2543112396519263</v>
      </c>
      <c r="Y85">
        <f t="shared" si="107"/>
        <v>65.498382038838244</v>
      </c>
      <c r="Z85">
        <f t="shared" si="108"/>
        <v>2.87863735592342</v>
      </c>
      <c r="AA85">
        <f t="shared" si="109"/>
        <v>4.3949747555847853</v>
      </c>
      <c r="AB85">
        <f t="shared" si="110"/>
        <v>1.3756738837285063</v>
      </c>
      <c r="AC85">
        <f t="shared" si="111"/>
        <v>-276.57230863493368</v>
      </c>
      <c r="AD85">
        <f t="shared" si="112"/>
        <v>97.154744557644818</v>
      </c>
      <c r="AE85">
        <f t="shared" si="113"/>
        <v>6.8190792828439069</v>
      </c>
      <c r="AF85">
        <f t="shared" si="114"/>
        <v>171.81581450763449</v>
      </c>
      <c r="AG85">
        <v>0</v>
      </c>
      <c r="AH85">
        <v>0</v>
      </c>
      <c r="AI85">
        <f t="shared" si="115"/>
        <v>1</v>
      </c>
      <c r="AJ85">
        <f t="shared" si="116"/>
        <v>0</v>
      </c>
      <c r="AK85">
        <f t="shared" si="117"/>
        <v>51723.717202808701</v>
      </c>
      <c r="AL85" t="s">
        <v>427</v>
      </c>
      <c r="AM85" t="s">
        <v>427</v>
      </c>
      <c r="AN85">
        <v>0</v>
      </c>
      <c r="AO85">
        <v>0</v>
      </c>
      <c r="AP85" t="e">
        <f t="shared" si="118"/>
        <v>#DIV/0!</v>
      </c>
      <c r="AQ85">
        <v>0</v>
      </c>
      <c r="AR85" t="s">
        <v>427</v>
      </c>
      <c r="AS85" t="s">
        <v>427</v>
      </c>
      <c r="AT85">
        <v>0</v>
      </c>
      <c r="AU85">
        <v>0</v>
      </c>
      <c r="AV85" t="e">
        <f t="shared" si="119"/>
        <v>#DIV/0!</v>
      </c>
      <c r="AW85">
        <v>0.5</v>
      </c>
      <c r="AX85">
        <f t="shared" si="120"/>
        <v>1513.3784996510396</v>
      </c>
      <c r="AY85">
        <f t="shared" si="121"/>
        <v>4.3037612696149257</v>
      </c>
      <c r="AZ85" t="e">
        <f t="shared" si="122"/>
        <v>#DIV/0!</v>
      </c>
      <c r="BA85">
        <f t="shared" si="123"/>
        <v>2.8438102369019399E-3</v>
      </c>
      <c r="BB85" t="e">
        <f t="shared" si="124"/>
        <v>#DIV/0!</v>
      </c>
      <c r="BC85" t="e">
        <f t="shared" si="125"/>
        <v>#DIV/0!</v>
      </c>
      <c r="BD85" t="s">
        <v>427</v>
      </c>
      <c r="BE85">
        <v>0</v>
      </c>
      <c r="BF85" t="e">
        <f t="shared" si="126"/>
        <v>#DIV/0!</v>
      </c>
      <c r="BG85" t="e">
        <f t="shared" si="127"/>
        <v>#DIV/0!</v>
      </c>
      <c r="BH85" t="e">
        <f t="shared" si="128"/>
        <v>#DIV/0!</v>
      </c>
      <c r="BI85" t="e">
        <f t="shared" si="129"/>
        <v>#DIV/0!</v>
      </c>
      <c r="BJ85" t="e">
        <f t="shared" si="130"/>
        <v>#DIV/0!</v>
      </c>
      <c r="BK85" t="e">
        <f t="shared" si="131"/>
        <v>#DIV/0!</v>
      </c>
      <c r="BL85" t="e">
        <f t="shared" si="132"/>
        <v>#DIV/0!</v>
      </c>
      <c r="BM85" t="e">
        <f t="shared" si="133"/>
        <v>#DIV/0!</v>
      </c>
      <c r="BN85">
        <v>11326</v>
      </c>
      <c r="BO85">
        <v>290.00000000000011</v>
      </c>
      <c r="BP85">
        <v>648.4</v>
      </c>
      <c r="BQ85">
        <v>295</v>
      </c>
      <c r="BR85">
        <v>7116.56</v>
      </c>
      <c r="BS85">
        <v>648.05999999999995</v>
      </c>
      <c r="BT85">
        <v>0.34</v>
      </c>
      <c r="BU85">
        <v>300.00000000000011</v>
      </c>
      <c r="BV85">
        <v>38.299999999999997</v>
      </c>
      <c r="BW85">
        <v>668.5313426671056</v>
      </c>
      <c r="BX85">
        <v>1.037478134920734</v>
      </c>
      <c r="BY85">
        <v>-14.56937104356852</v>
      </c>
      <c r="BZ85">
        <v>0.61889561357711476</v>
      </c>
      <c r="CA85">
        <v>0.95190448219076051</v>
      </c>
      <c r="CB85">
        <v>-7.0169261401557244E-3</v>
      </c>
      <c r="CC85">
        <v>289.99999999999989</v>
      </c>
      <c r="CD85">
        <v>648.95000000000005</v>
      </c>
      <c r="CE85">
        <v>675</v>
      </c>
      <c r="CF85">
        <v>7111.73</v>
      </c>
      <c r="CG85">
        <v>648.04</v>
      </c>
      <c r="CH85">
        <v>0.91</v>
      </c>
      <c r="CV85">
        <f t="shared" si="134"/>
        <v>1800.23</v>
      </c>
      <c r="CW85">
        <f t="shared" si="135"/>
        <v>1513.3784996510396</v>
      </c>
      <c r="CX85">
        <f t="shared" si="136"/>
        <v>0.84065841567524124</v>
      </c>
      <c r="CY85">
        <f t="shared" si="137"/>
        <v>0.19131683135048266</v>
      </c>
      <c r="CZ85">
        <v>4.8</v>
      </c>
      <c r="DA85">
        <v>0.5</v>
      </c>
      <c r="DB85" t="s">
        <v>418</v>
      </c>
      <c r="DC85">
        <v>2</v>
      </c>
      <c r="DD85">
        <v>1700162514.5</v>
      </c>
      <c r="DE85">
        <v>25.665700000000001</v>
      </c>
      <c r="DF85">
        <v>29.951799999999999</v>
      </c>
      <c r="DG85">
        <v>29.0626</v>
      </c>
      <c r="DH85">
        <v>23.216999999999999</v>
      </c>
      <c r="DI85">
        <v>25.421600000000002</v>
      </c>
      <c r="DJ85">
        <v>29.064699999999998</v>
      </c>
      <c r="DK85">
        <v>500.00400000000002</v>
      </c>
      <c r="DL85">
        <v>98.9499</v>
      </c>
      <c r="DM85">
        <v>9.9646700000000005E-2</v>
      </c>
      <c r="DN85">
        <v>30.542300000000001</v>
      </c>
      <c r="DO85">
        <v>29.974900000000002</v>
      </c>
      <c r="DP85">
        <v>999.9</v>
      </c>
      <c r="DQ85">
        <v>0</v>
      </c>
      <c r="DR85">
        <v>0</v>
      </c>
      <c r="DS85">
        <v>10002.5</v>
      </c>
      <c r="DT85">
        <v>0</v>
      </c>
      <c r="DU85">
        <v>262.661</v>
      </c>
      <c r="DV85">
        <v>-4.2861000000000002</v>
      </c>
      <c r="DW85">
        <v>26.433900000000001</v>
      </c>
      <c r="DX85">
        <v>30.663699999999999</v>
      </c>
      <c r="DY85">
        <v>5.84558</v>
      </c>
      <c r="DZ85">
        <v>29.951799999999999</v>
      </c>
      <c r="EA85">
        <v>23.216999999999999</v>
      </c>
      <c r="EB85">
        <v>2.87574</v>
      </c>
      <c r="EC85">
        <v>2.29732</v>
      </c>
      <c r="ED85">
        <v>23.325399999999998</v>
      </c>
      <c r="EE85">
        <v>19.657599999999999</v>
      </c>
      <c r="EF85">
        <v>1800.23</v>
      </c>
      <c r="EG85">
        <v>0.97799400000000003</v>
      </c>
      <c r="EH85">
        <v>2.20056E-2</v>
      </c>
      <c r="EI85">
        <v>0</v>
      </c>
      <c r="EJ85">
        <v>605.90300000000002</v>
      </c>
      <c r="EK85">
        <v>5.0005300000000004</v>
      </c>
      <c r="EL85">
        <v>11742.1</v>
      </c>
      <c r="EM85">
        <v>16037.3</v>
      </c>
      <c r="EN85">
        <v>48.875</v>
      </c>
      <c r="EO85">
        <v>50</v>
      </c>
      <c r="EP85">
        <v>49.5</v>
      </c>
      <c r="EQ85">
        <v>49.5</v>
      </c>
      <c r="ER85">
        <v>50.061999999999998</v>
      </c>
      <c r="ES85">
        <v>1755.72</v>
      </c>
      <c r="ET85">
        <v>39.51</v>
      </c>
      <c r="EU85">
        <v>0</v>
      </c>
      <c r="EV85">
        <v>131.5999999046326</v>
      </c>
      <c r="EW85">
        <v>0</v>
      </c>
      <c r="EX85">
        <v>605.81964000000005</v>
      </c>
      <c r="EY85">
        <v>-0.26353845376066731</v>
      </c>
      <c r="EZ85">
        <v>-80.730769414549215</v>
      </c>
      <c r="FA85">
        <v>11747.856</v>
      </c>
      <c r="FB85">
        <v>15</v>
      </c>
      <c r="FC85">
        <v>1700162482</v>
      </c>
      <c r="FD85" t="s">
        <v>708</v>
      </c>
      <c r="FE85">
        <v>1700162471.5</v>
      </c>
      <c r="FF85">
        <v>1700162482</v>
      </c>
      <c r="FG85">
        <v>75</v>
      </c>
      <c r="FH85">
        <v>9.9000000000000005E-2</v>
      </c>
      <c r="FI85">
        <v>-2E-3</v>
      </c>
      <c r="FJ85">
        <v>0.24399999999999999</v>
      </c>
      <c r="FK85">
        <v>-2E-3</v>
      </c>
      <c r="FL85">
        <v>30</v>
      </c>
      <c r="FM85">
        <v>23</v>
      </c>
      <c r="FN85">
        <v>0.17</v>
      </c>
      <c r="FO85">
        <v>0.01</v>
      </c>
      <c r="FP85">
        <v>4.304933937455564</v>
      </c>
      <c r="FQ85">
        <v>-7.6696331669715831E-2</v>
      </c>
      <c r="FR85">
        <v>2.4761711333374448E-2</v>
      </c>
      <c r="FS85">
        <v>1</v>
      </c>
      <c r="FT85">
        <v>0.46697165288720838</v>
      </c>
      <c r="FU85">
        <v>2.5949563020555649E-2</v>
      </c>
      <c r="FV85">
        <v>2.9008231025833939E-3</v>
      </c>
      <c r="FW85">
        <v>1</v>
      </c>
      <c r="FX85">
        <v>2</v>
      </c>
      <c r="FY85">
        <v>2</v>
      </c>
      <c r="FZ85" t="s">
        <v>420</v>
      </c>
      <c r="GA85">
        <v>3.12616</v>
      </c>
      <c r="GB85">
        <v>2.76654</v>
      </c>
      <c r="GC85">
        <v>6.7762899999999999E-3</v>
      </c>
      <c r="GD85">
        <v>7.9892100000000001E-3</v>
      </c>
      <c r="GE85">
        <v>0.121874</v>
      </c>
      <c r="GF85">
        <v>0.104338</v>
      </c>
      <c r="GG85">
        <v>23602</v>
      </c>
      <c r="GH85">
        <v>24571.4</v>
      </c>
      <c r="GI85">
        <v>23637.4</v>
      </c>
      <c r="GJ85">
        <v>25097.4</v>
      </c>
      <c r="GK85">
        <v>29895.9</v>
      </c>
      <c r="GL85">
        <v>31515.1</v>
      </c>
      <c r="GM85">
        <v>37683</v>
      </c>
      <c r="GN85">
        <v>39064.9</v>
      </c>
      <c r="GO85">
        <v>2.0947</v>
      </c>
      <c r="GP85">
        <v>1.7351000000000001</v>
      </c>
      <c r="GQ85">
        <v>-2.6516600000000001E-2</v>
      </c>
      <c r="GR85">
        <v>0</v>
      </c>
      <c r="GS85">
        <v>30.406300000000002</v>
      </c>
      <c r="GT85">
        <v>999.9</v>
      </c>
      <c r="GU85">
        <v>37.799999999999997</v>
      </c>
      <c r="GV85">
        <v>40.5</v>
      </c>
      <c r="GW85">
        <v>29.0837</v>
      </c>
      <c r="GX85">
        <v>60.082999999999998</v>
      </c>
      <c r="GY85">
        <v>27.067299999999999</v>
      </c>
      <c r="GZ85">
        <v>1</v>
      </c>
      <c r="HA85">
        <v>0.69684400000000002</v>
      </c>
      <c r="HB85">
        <v>2.4938199999999999</v>
      </c>
      <c r="HC85">
        <v>20.300899999999999</v>
      </c>
      <c r="HD85">
        <v>5.2491899999999996</v>
      </c>
      <c r="HE85">
        <v>12.0099</v>
      </c>
      <c r="HF85">
        <v>4.9785000000000004</v>
      </c>
      <c r="HG85">
        <v>3.2923300000000002</v>
      </c>
      <c r="HH85">
        <v>9999</v>
      </c>
      <c r="HI85">
        <v>9999</v>
      </c>
      <c r="HJ85">
        <v>9999</v>
      </c>
      <c r="HK85">
        <v>999.9</v>
      </c>
      <c r="HL85">
        <v>1.8760699999999999</v>
      </c>
      <c r="HM85">
        <v>1.8769800000000001</v>
      </c>
      <c r="HN85">
        <v>1.88323</v>
      </c>
      <c r="HO85">
        <v>1.8863099999999999</v>
      </c>
      <c r="HP85">
        <v>1.87713</v>
      </c>
      <c r="HQ85">
        <v>1.8836299999999999</v>
      </c>
      <c r="HR85">
        <v>1.8826099999999999</v>
      </c>
      <c r="HS85">
        <v>1.8859900000000001</v>
      </c>
      <c r="HT85">
        <v>5</v>
      </c>
      <c r="HU85">
        <v>0</v>
      </c>
      <c r="HV85">
        <v>0</v>
      </c>
      <c r="HW85">
        <v>0</v>
      </c>
      <c r="HX85" t="s">
        <v>421</v>
      </c>
      <c r="HY85" t="s">
        <v>422</v>
      </c>
      <c r="HZ85" t="s">
        <v>423</v>
      </c>
      <c r="IA85" t="s">
        <v>424</v>
      </c>
      <c r="IB85" t="s">
        <v>424</v>
      </c>
      <c r="IC85" t="s">
        <v>423</v>
      </c>
      <c r="ID85">
        <v>0</v>
      </c>
      <c r="IE85">
        <v>100</v>
      </c>
      <c r="IF85">
        <v>100</v>
      </c>
      <c r="IG85">
        <v>0.24399999999999999</v>
      </c>
      <c r="IH85">
        <v>-2.0999999999999999E-3</v>
      </c>
      <c r="II85">
        <v>0.24307384605881069</v>
      </c>
      <c r="IJ85">
        <v>4.4610147972834149E-5</v>
      </c>
      <c r="IK85">
        <v>-2.082673137682459E-7</v>
      </c>
      <c r="IL85">
        <v>-4.0725795306076518E-11</v>
      </c>
      <c r="IM85">
        <v>-2.0904761904745328E-3</v>
      </c>
      <c r="IN85">
        <v>0</v>
      </c>
      <c r="IO85">
        <v>0</v>
      </c>
      <c r="IP85">
        <v>0</v>
      </c>
      <c r="IQ85">
        <v>3</v>
      </c>
      <c r="IR85">
        <v>2179</v>
      </c>
      <c r="IS85">
        <v>0</v>
      </c>
      <c r="IT85">
        <v>22</v>
      </c>
      <c r="IU85">
        <v>0.7</v>
      </c>
      <c r="IV85">
        <v>0.5</v>
      </c>
      <c r="IW85">
        <v>0.21484400000000001</v>
      </c>
      <c r="IX85">
        <v>2.7600099999999999</v>
      </c>
      <c r="IY85">
        <v>1.6015600000000001</v>
      </c>
      <c r="IZ85">
        <v>2.32422</v>
      </c>
      <c r="JA85">
        <v>1.5502899999999999</v>
      </c>
      <c r="JB85">
        <v>2.32422</v>
      </c>
      <c r="JC85">
        <v>44.417700000000004</v>
      </c>
      <c r="JD85">
        <v>24.192599999999999</v>
      </c>
      <c r="JE85">
        <v>18</v>
      </c>
      <c r="JF85">
        <v>585.74599999999998</v>
      </c>
      <c r="JG85">
        <v>383.93299999999999</v>
      </c>
      <c r="JH85">
        <v>27.625800000000002</v>
      </c>
      <c r="JI85">
        <v>35.622</v>
      </c>
      <c r="JJ85">
        <v>29.9999</v>
      </c>
      <c r="JK85">
        <v>35.700499999999998</v>
      </c>
      <c r="JL85">
        <v>35.691899999999997</v>
      </c>
      <c r="JM85">
        <v>4.2880700000000003</v>
      </c>
      <c r="JN85">
        <v>23.171900000000001</v>
      </c>
      <c r="JO85">
        <v>41.970399999999998</v>
      </c>
      <c r="JP85">
        <v>27.6373</v>
      </c>
      <c r="JQ85">
        <v>30</v>
      </c>
      <c r="JR85">
        <v>23.204899999999999</v>
      </c>
      <c r="JS85">
        <v>98.282899999999998</v>
      </c>
      <c r="JT85">
        <v>98.853300000000004</v>
      </c>
    </row>
    <row r="86" spans="1:280" x14ac:dyDescent="0.25">
      <c r="A86">
        <v>70</v>
      </c>
      <c r="B86">
        <v>1700162609</v>
      </c>
      <c r="C86">
        <v>14735.5</v>
      </c>
      <c r="D86" t="s">
        <v>709</v>
      </c>
      <c r="E86" t="s">
        <v>710</v>
      </c>
      <c r="F86" t="s">
        <v>412</v>
      </c>
      <c r="G86" t="s">
        <v>413</v>
      </c>
      <c r="H86" t="s">
        <v>657</v>
      </c>
      <c r="I86">
        <v>1700162609</v>
      </c>
      <c r="J86">
        <f t="shared" si="92"/>
        <v>6.2124702130569804E-3</v>
      </c>
      <c r="K86">
        <f t="shared" si="93"/>
        <v>6.2124702130569807</v>
      </c>
      <c r="L86">
        <f t="shared" si="94"/>
        <v>1.2339447528782339</v>
      </c>
      <c r="M86">
        <f t="shared" si="95"/>
        <v>8.7707300000000004</v>
      </c>
      <c r="N86">
        <f t="shared" si="96"/>
        <v>4.071561689201209</v>
      </c>
      <c r="O86">
        <f t="shared" si="97"/>
        <v>0.40326156300211879</v>
      </c>
      <c r="P86">
        <f t="shared" si="98"/>
        <v>0.86868345820482218</v>
      </c>
      <c r="Q86">
        <f t="shared" si="99"/>
        <v>0.46368331393651718</v>
      </c>
      <c r="R86">
        <f t="shared" si="100"/>
        <v>3.1763201596722945</v>
      </c>
      <c r="S86">
        <f t="shared" si="101"/>
        <v>0.42909539729279073</v>
      </c>
      <c r="T86">
        <f t="shared" si="102"/>
        <v>0.27107688976455829</v>
      </c>
      <c r="U86">
        <f t="shared" si="103"/>
        <v>344.37059930199024</v>
      </c>
      <c r="V86">
        <f t="shared" si="104"/>
        <v>30.97437479415732</v>
      </c>
      <c r="W86">
        <f t="shared" si="105"/>
        <v>30.018000000000001</v>
      </c>
      <c r="X86">
        <f t="shared" si="106"/>
        <v>4.2648566588169912</v>
      </c>
      <c r="Y86">
        <f t="shared" si="107"/>
        <v>65.409623370963871</v>
      </c>
      <c r="Z86">
        <f t="shared" si="108"/>
        <v>2.8826401353547202</v>
      </c>
      <c r="AA86">
        <f t="shared" si="109"/>
        <v>4.4070581464842364</v>
      </c>
      <c r="AB86">
        <f t="shared" si="110"/>
        <v>1.382216523462271</v>
      </c>
      <c r="AC86">
        <f t="shared" si="111"/>
        <v>-273.96993639581285</v>
      </c>
      <c r="AD86">
        <f t="shared" si="112"/>
        <v>98.001666372134778</v>
      </c>
      <c r="AE86">
        <f t="shared" si="113"/>
        <v>6.8810678720758167</v>
      </c>
      <c r="AF86">
        <f t="shared" si="114"/>
        <v>175.28339715038794</v>
      </c>
      <c r="AG86">
        <v>0</v>
      </c>
      <c r="AH86">
        <v>0</v>
      </c>
      <c r="AI86">
        <f t="shared" si="115"/>
        <v>1</v>
      </c>
      <c r="AJ86">
        <f t="shared" si="116"/>
        <v>0</v>
      </c>
      <c r="AK86">
        <f t="shared" si="117"/>
        <v>51721.719428728546</v>
      </c>
      <c r="AL86" t="s">
        <v>415</v>
      </c>
      <c r="AM86">
        <v>6977.87</v>
      </c>
      <c r="AN86">
        <v>273.15280000000001</v>
      </c>
      <c r="AO86">
        <v>850.46774885301022</v>
      </c>
      <c r="AP86">
        <f t="shared" si="118"/>
        <v>0.67882050745793765</v>
      </c>
      <c r="AQ86">
        <v>-1.0323826813720729</v>
      </c>
      <c r="AR86" t="s">
        <v>711</v>
      </c>
      <c r="AS86">
        <v>7117.23</v>
      </c>
      <c r="AT86">
        <v>616.2178076923077</v>
      </c>
      <c r="AU86">
        <v>662.89760123835003</v>
      </c>
      <c r="AV86">
        <f t="shared" si="119"/>
        <v>7.0417804286575292E-2</v>
      </c>
      <c r="AW86">
        <v>0.5</v>
      </c>
      <c r="AX86">
        <f t="shared" si="120"/>
        <v>1513.1852996509949</v>
      </c>
      <c r="AY86">
        <f t="shared" si="121"/>
        <v>1.2339447528782339</v>
      </c>
      <c r="AZ86">
        <f t="shared" si="122"/>
        <v>53.277593140073272</v>
      </c>
      <c r="BA86">
        <f t="shared" si="123"/>
        <v>1.4977197008013616E-3</v>
      </c>
      <c r="BB86">
        <f t="shared" si="124"/>
        <v>0.28295493491643797</v>
      </c>
      <c r="BC86">
        <f t="shared" si="125"/>
        <v>250.39689944517468</v>
      </c>
      <c r="BD86" t="s">
        <v>712</v>
      </c>
      <c r="BE86">
        <v>461.15</v>
      </c>
      <c r="BF86">
        <f t="shared" si="126"/>
        <v>461.15</v>
      </c>
      <c r="BG86">
        <f t="shared" si="127"/>
        <v>0.3043420293895589</v>
      </c>
      <c r="BH86">
        <f t="shared" si="128"/>
        <v>0.23137719239047391</v>
      </c>
      <c r="BI86">
        <f t="shared" si="129"/>
        <v>0.48179192489238054</v>
      </c>
      <c r="BJ86">
        <f t="shared" si="130"/>
        <v>0.11977015061580031</v>
      </c>
      <c r="BK86">
        <f t="shared" si="131"/>
        <v>0.32490090199001115</v>
      </c>
      <c r="BL86">
        <f t="shared" si="132"/>
        <v>0.17315239991270215</v>
      </c>
      <c r="BM86">
        <f t="shared" si="133"/>
        <v>0.82684760008729785</v>
      </c>
      <c r="BN86">
        <v>11328</v>
      </c>
      <c r="BO86">
        <v>290.00000000000011</v>
      </c>
      <c r="BP86">
        <v>649.11</v>
      </c>
      <c r="BQ86">
        <v>295</v>
      </c>
      <c r="BR86">
        <v>7117.23</v>
      </c>
      <c r="BS86">
        <v>648.69000000000005</v>
      </c>
      <c r="BT86">
        <v>0.42</v>
      </c>
      <c r="BU86">
        <v>300.00000000000011</v>
      </c>
      <c r="BV86">
        <v>38.299999999999997</v>
      </c>
      <c r="BW86">
        <v>662.89760123835003</v>
      </c>
      <c r="BX86">
        <v>0.96250914951361732</v>
      </c>
      <c r="BY86">
        <v>-10.111507342977429</v>
      </c>
      <c r="BZ86">
        <v>0.57422727481466718</v>
      </c>
      <c r="CA86">
        <v>0.9171776891528729</v>
      </c>
      <c r="CB86">
        <v>-7.0175401557285933E-3</v>
      </c>
      <c r="CC86">
        <v>289.99999999999989</v>
      </c>
      <c r="CD86">
        <v>648.72</v>
      </c>
      <c r="CE86">
        <v>845</v>
      </c>
      <c r="CF86">
        <v>7108.42</v>
      </c>
      <c r="CG86">
        <v>648.66999999999996</v>
      </c>
      <c r="CH86">
        <v>0.05</v>
      </c>
      <c r="CV86">
        <f t="shared" si="134"/>
        <v>1800</v>
      </c>
      <c r="CW86">
        <f t="shared" si="135"/>
        <v>1513.1852996509949</v>
      </c>
      <c r="CX86">
        <f t="shared" si="136"/>
        <v>0.84065849980610829</v>
      </c>
      <c r="CY86">
        <f t="shared" si="137"/>
        <v>0.19131699961221679</v>
      </c>
      <c r="CZ86">
        <v>4.8</v>
      </c>
      <c r="DA86">
        <v>0.5</v>
      </c>
      <c r="DB86" t="s">
        <v>418</v>
      </c>
      <c r="DC86">
        <v>2</v>
      </c>
      <c r="DD86">
        <v>1700162609</v>
      </c>
      <c r="DE86">
        <v>8.7707300000000004</v>
      </c>
      <c r="DF86">
        <v>10.007199999999999</v>
      </c>
      <c r="DG86">
        <v>29.104800000000001</v>
      </c>
      <c r="DH86">
        <v>23.316400000000002</v>
      </c>
      <c r="DI86">
        <v>8.5407100000000007</v>
      </c>
      <c r="DJ86">
        <v>29.107399999999998</v>
      </c>
      <c r="DK86">
        <v>500.17200000000003</v>
      </c>
      <c r="DL86">
        <v>98.943700000000007</v>
      </c>
      <c r="DM86">
        <v>9.97614E-2</v>
      </c>
      <c r="DN86">
        <v>30.590299999999999</v>
      </c>
      <c r="DO86">
        <v>30.018000000000001</v>
      </c>
      <c r="DP86">
        <v>999.9</v>
      </c>
      <c r="DQ86">
        <v>0</v>
      </c>
      <c r="DR86">
        <v>0</v>
      </c>
      <c r="DS86">
        <v>10004.4</v>
      </c>
      <c r="DT86">
        <v>0</v>
      </c>
      <c r="DU86">
        <v>256.23399999999998</v>
      </c>
      <c r="DV86">
        <v>-1.23648</v>
      </c>
      <c r="DW86">
        <v>9.0336499999999997</v>
      </c>
      <c r="DX86">
        <v>10.2461</v>
      </c>
      <c r="DY86">
        <v>5.7884200000000003</v>
      </c>
      <c r="DZ86">
        <v>10.007199999999999</v>
      </c>
      <c r="EA86">
        <v>23.316400000000002</v>
      </c>
      <c r="EB86">
        <v>2.87974</v>
      </c>
      <c r="EC86">
        <v>2.30701</v>
      </c>
      <c r="ED86">
        <v>23.348400000000002</v>
      </c>
      <c r="EE86">
        <v>19.7254</v>
      </c>
      <c r="EF86">
        <v>1800</v>
      </c>
      <c r="EG86">
        <v>0.97799100000000005</v>
      </c>
      <c r="EH86">
        <v>2.20092E-2</v>
      </c>
      <c r="EI86">
        <v>0</v>
      </c>
      <c r="EJ86">
        <v>616.02</v>
      </c>
      <c r="EK86">
        <v>5.0005300000000004</v>
      </c>
      <c r="EL86">
        <v>11909.4</v>
      </c>
      <c r="EM86">
        <v>16035.2</v>
      </c>
      <c r="EN86">
        <v>48.811999999999998</v>
      </c>
      <c r="EO86">
        <v>49.936999999999998</v>
      </c>
      <c r="EP86">
        <v>49.436999999999998</v>
      </c>
      <c r="EQ86">
        <v>49.436999999999998</v>
      </c>
      <c r="ER86">
        <v>50</v>
      </c>
      <c r="ES86">
        <v>1755.49</v>
      </c>
      <c r="ET86">
        <v>39.51</v>
      </c>
      <c r="EU86">
        <v>0</v>
      </c>
      <c r="EV86">
        <v>225.79999995231631</v>
      </c>
      <c r="EW86">
        <v>0</v>
      </c>
      <c r="EX86">
        <v>616.2178076923077</v>
      </c>
      <c r="EY86">
        <v>-0.1015042650910732</v>
      </c>
      <c r="EZ86">
        <v>-40.882051324080493</v>
      </c>
      <c r="FA86">
        <v>11912.792307692311</v>
      </c>
      <c r="FB86">
        <v>15</v>
      </c>
      <c r="FC86">
        <v>1700162578</v>
      </c>
      <c r="FD86" t="s">
        <v>713</v>
      </c>
      <c r="FE86">
        <v>1700162563</v>
      </c>
      <c r="FF86">
        <v>1700162578</v>
      </c>
      <c r="FG86">
        <v>76</v>
      </c>
      <c r="FH86">
        <v>-1.2999999999999999E-2</v>
      </c>
      <c r="FI86">
        <v>-1E-3</v>
      </c>
      <c r="FJ86">
        <v>0.23</v>
      </c>
      <c r="FK86">
        <v>-3.0000000000000001E-3</v>
      </c>
      <c r="FL86">
        <v>10</v>
      </c>
      <c r="FM86">
        <v>23</v>
      </c>
      <c r="FN86">
        <v>0.21</v>
      </c>
      <c r="FO86">
        <v>0.01</v>
      </c>
      <c r="FP86">
        <v>1.240210680526568</v>
      </c>
      <c r="FQ86">
        <v>-0.40325628668458152</v>
      </c>
      <c r="FR86">
        <v>3.1649548649428108E-2</v>
      </c>
      <c r="FS86">
        <v>1</v>
      </c>
      <c r="FT86">
        <v>0.46380972059790232</v>
      </c>
      <c r="FU86">
        <v>3.3472374205627979E-2</v>
      </c>
      <c r="FV86">
        <v>3.9910088218310293E-3</v>
      </c>
      <c r="FW86">
        <v>1</v>
      </c>
      <c r="FX86">
        <v>2</v>
      </c>
      <c r="FY86">
        <v>2</v>
      </c>
      <c r="FZ86" t="s">
        <v>420</v>
      </c>
      <c r="GA86">
        <v>3.12643</v>
      </c>
      <c r="GB86">
        <v>2.76667</v>
      </c>
      <c r="GC86">
        <v>2.2792300000000001E-3</v>
      </c>
      <c r="GD86">
        <v>2.6726800000000002E-3</v>
      </c>
      <c r="GE86">
        <v>0.122004</v>
      </c>
      <c r="GF86">
        <v>0.104659</v>
      </c>
      <c r="GG86">
        <v>23711.5</v>
      </c>
      <c r="GH86">
        <v>24705.3</v>
      </c>
      <c r="GI86">
        <v>23640.2</v>
      </c>
      <c r="GJ86">
        <v>25099.7</v>
      </c>
      <c r="GK86">
        <v>29894.6</v>
      </c>
      <c r="GL86">
        <v>31508.5</v>
      </c>
      <c r="GM86">
        <v>37686.9</v>
      </c>
      <c r="GN86">
        <v>39070.699999999997</v>
      </c>
      <c r="GO86">
        <v>2.0948500000000001</v>
      </c>
      <c r="GP86">
        <v>1.7364999999999999</v>
      </c>
      <c r="GQ86">
        <v>-2.0362399999999999E-2</v>
      </c>
      <c r="GR86">
        <v>0</v>
      </c>
      <c r="GS86">
        <v>30.349299999999999</v>
      </c>
      <c r="GT86">
        <v>999.9</v>
      </c>
      <c r="GU86">
        <v>37.4</v>
      </c>
      <c r="GV86">
        <v>40.5</v>
      </c>
      <c r="GW86">
        <v>28.782699999999998</v>
      </c>
      <c r="GX86">
        <v>60.453000000000003</v>
      </c>
      <c r="GY86">
        <v>26.306100000000001</v>
      </c>
      <c r="GZ86">
        <v>1</v>
      </c>
      <c r="HA86">
        <v>0.69270600000000004</v>
      </c>
      <c r="HB86">
        <v>2.6921300000000001</v>
      </c>
      <c r="HC86">
        <v>20.298100000000002</v>
      </c>
      <c r="HD86">
        <v>5.2523299999999997</v>
      </c>
      <c r="HE86">
        <v>12.0099</v>
      </c>
      <c r="HF86">
        <v>4.9781500000000003</v>
      </c>
      <c r="HG86">
        <v>3.2930000000000001</v>
      </c>
      <c r="HH86">
        <v>9999</v>
      </c>
      <c r="HI86">
        <v>9999</v>
      </c>
      <c r="HJ86">
        <v>9999</v>
      </c>
      <c r="HK86">
        <v>999.9</v>
      </c>
      <c r="HL86">
        <v>1.8760699999999999</v>
      </c>
      <c r="HM86">
        <v>1.87696</v>
      </c>
      <c r="HN86">
        <v>1.88324</v>
      </c>
      <c r="HO86">
        <v>1.8863000000000001</v>
      </c>
      <c r="HP86">
        <v>1.87714</v>
      </c>
      <c r="HQ86">
        <v>1.8836299999999999</v>
      </c>
      <c r="HR86">
        <v>1.88256</v>
      </c>
      <c r="HS86">
        <v>1.8859900000000001</v>
      </c>
      <c r="HT86">
        <v>5</v>
      </c>
      <c r="HU86">
        <v>0</v>
      </c>
      <c r="HV86">
        <v>0</v>
      </c>
      <c r="HW86">
        <v>0</v>
      </c>
      <c r="HX86" t="s">
        <v>421</v>
      </c>
      <c r="HY86" t="s">
        <v>422</v>
      </c>
      <c r="HZ86" t="s">
        <v>423</v>
      </c>
      <c r="IA86" t="s">
        <v>424</v>
      </c>
      <c r="IB86" t="s">
        <v>424</v>
      </c>
      <c r="IC86" t="s">
        <v>423</v>
      </c>
      <c r="ID86">
        <v>0</v>
      </c>
      <c r="IE86">
        <v>100</v>
      </c>
      <c r="IF86">
        <v>100</v>
      </c>
      <c r="IG86">
        <v>0.23</v>
      </c>
      <c r="IH86">
        <v>-2.5999999999999999E-3</v>
      </c>
      <c r="II86">
        <v>0.22965653679973241</v>
      </c>
      <c r="IJ86">
        <v>4.4610147972834149E-5</v>
      </c>
      <c r="IK86">
        <v>-2.082673137682459E-7</v>
      </c>
      <c r="IL86">
        <v>-4.0725795306076518E-11</v>
      </c>
      <c r="IM86">
        <v>-2.6049999999990798E-3</v>
      </c>
      <c r="IN86">
        <v>0</v>
      </c>
      <c r="IO86">
        <v>0</v>
      </c>
      <c r="IP86">
        <v>0</v>
      </c>
      <c r="IQ86">
        <v>3</v>
      </c>
      <c r="IR86">
        <v>2179</v>
      </c>
      <c r="IS86">
        <v>0</v>
      </c>
      <c r="IT86">
        <v>22</v>
      </c>
      <c r="IU86">
        <v>0.8</v>
      </c>
      <c r="IV86">
        <v>0.5</v>
      </c>
      <c r="IW86">
        <v>0.17211899999999999</v>
      </c>
      <c r="IX86">
        <v>2.7526899999999999</v>
      </c>
      <c r="IY86">
        <v>1.6003400000000001</v>
      </c>
      <c r="IZ86">
        <v>2.32544</v>
      </c>
      <c r="JA86">
        <v>1.5502899999999999</v>
      </c>
      <c r="JB86">
        <v>2.4865699999999999</v>
      </c>
      <c r="JC86">
        <v>44.362099999999998</v>
      </c>
      <c r="JD86">
        <v>24.2013</v>
      </c>
      <c r="JE86">
        <v>18</v>
      </c>
      <c r="JF86">
        <v>585.40499999999997</v>
      </c>
      <c r="JG86">
        <v>384.48899999999998</v>
      </c>
      <c r="JH86">
        <v>27.630800000000001</v>
      </c>
      <c r="JI86">
        <v>35.566400000000002</v>
      </c>
      <c r="JJ86">
        <v>29.9999</v>
      </c>
      <c r="JK86">
        <v>35.648400000000002</v>
      </c>
      <c r="JL86">
        <v>35.640500000000003</v>
      </c>
      <c r="JM86">
        <v>3.4239000000000002</v>
      </c>
      <c r="JN86">
        <v>22.197900000000001</v>
      </c>
      <c r="JO86">
        <v>42.1633</v>
      </c>
      <c r="JP86">
        <v>27.608699999999999</v>
      </c>
      <c r="JQ86">
        <v>10</v>
      </c>
      <c r="JR86">
        <v>23.211099999999998</v>
      </c>
      <c r="JS86">
        <v>98.293499999999995</v>
      </c>
      <c r="JT86">
        <v>98.865600000000001</v>
      </c>
    </row>
    <row r="87" spans="1:280" x14ac:dyDescent="0.25">
      <c r="A87">
        <v>71</v>
      </c>
      <c r="B87">
        <v>1700163548.5999999</v>
      </c>
      <c r="C87">
        <v>15675.099999904631</v>
      </c>
      <c r="D87" t="s">
        <v>714</v>
      </c>
      <c r="E87" t="s">
        <v>715</v>
      </c>
      <c r="F87" t="s">
        <v>412</v>
      </c>
      <c r="G87" t="s">
        <v>481</v>
      </c>
      <c r="H87" t="s">
        <v>413</v>
      </c>
      <c r="I87">
        <v>1700163548.5999999</v>
      </c>
      <c r="J87">
        <f t="shared" si="92"/>
        <v>3.6570046724077533E-3</v>
      </c>
      <c r="K87">
        <f t="shared" si="93"/>
        <v>3.6570046724077532</v>
      </c>
      <c r="L87">
        <f t="shared" si="94"/>
        <v>40.884635984952737</v>
      </c>
      <c r="M87">
        <f t="shared" si="95"/>
        <v>410.98899999999998</v>
      </c>
      <c r="N87">
        <f t="shared" si="96"/>
        <v>124.19154472690613</v>
      </c>
      <c r="O87">
        <f t="shared" si="97"/>
        <v>12.299147028039638</v>
      </c>
      <c r="P87">
        <f t="shared" si="98"/>
        <v>40.701757507102293</v>
      </c>
      <c r="Q87">
        <f t="shared" si="99"/>
        <v>0.24183432981224848</v>
      </c>
      <c r="R87">
        <f t="shared" si="100"/>
        <v>3.2336198449169666</v>
      </c>
      <c r="S87">
        <f t="shared" si="101"/>
        <v>0.23221707176418468</v>
      </c>
      <c r="T87">
        <f t="shared" si="102"/>
        <v>0.14596787416197199</v>
      </c>
      <c r="U87">
        <f t="shared" si="103"/>
        <v>344.38459930237457</v>
      </c>
      <c r="V87">
        <f t="shared" si="104"/>
        <v>30.812790703689565</v>
      </c>
      <c r="W87">
        <f t="shared" si="105"/>
        <v>29.981200000000001</v>
      </c>
      <c r="X87">
        <f t="shared" si="106"/>
        <v>4.255851261917031</v>
      </c>
      <c r="Y87">
        <f t="shared" si="107"/>
        <v>65.215054586860319</v>
      </c>
      <c r="Z87">
        <f t="shared" si="108"/>
        <v>2.7514233186108896</v>
      </c>
      <c r="AA87">
        <f t="shared" si="109"/>
        <v>4.2190002539156852</v>
      </c>
      <c r="AB87">
        <f t="shared" si="110"/>
        <v>1.5044279433061414</v>
      </c>
      <c r="AC87">
        <f t="shared" si="111"/>
        <v>-161.27390605318192</v>
      </c>
      <c r="AD87">
        <f t="shared" si="112"/>
        <v>-26.376267148877901</v>
      </c>
      <c r="AE87">
        <f t="shared" si="113"/>
        <v>-1.8119962670615977</v>
      </c>
      <c r="AF87">
        <f t="shared" si="114"/>
        <v>154.92242983325315</v>
      </c>
      <c r="AG87">
        <v>0</v>
      </c>
      <c r="AH87">
        <v>0</v>
      </c>
      <c r="AI87">
        <f t="shared" si="115"/>
        <v>1</v>
      </c>
      <c r="AJ87">
        <f t="shared" si="116"/>
        <v>0</v>
      </c>
      <c r="AK87">
        <f t="shared" si="117"/>
        <v>51911.550500570018</v>
      </c>
      <c r="AL87" t="s">
        <v>415</v>
      </c>
      <c r="AM87">
        <v>6977.87</v>
      </c>
      <c r="AN87">
        <v>273.15280000000001</v>
      </c>
      <c r="AO87">
        <v>850.46774885301022</v>
      </c>
      <c r="AP87">
        <f t="shared" si="118"/>
        <v>0.67882050745793765</v>
      </c>
      <c r="AQ87">
        <v>-1.0323826813720729</v>
      </c>
      <c r="AR87" t="s">
        <v>716</v>
      </c>
      <c r="AS87">
        <v>7095.29</v>
      </c>
      <c r="AT87">
        <v>528.85303846153852</v>
      </c>
      <c r="AU87">
        <v>771.23682833947589</v>
      </c>
      <c r="AV87">
        <f t="shared" si="119"/>
        <v>0.31427932506776912</v>
      </c>
      <c r="AW87">
        <v>0.5</v>
      </c>
      <c r="AX87">
        <f t="shared" si="120"/>
        <v>1513.2518996511872</v>
      </c>
      <c r="AY87">
        <f t="shared" si="121"/>
        <v>40.884635984952737</v>
      </c>
      <c r="AZ87">
        <f t="shared" si="122"/>
        <v>237.79189283994728</v>
      </c>
      <c r="BA87">
        <f t="shared" si="123"/>
        <v>2.7699961041507307E-2</v>
      </c>
      <c r="BB87">
        <f t="shared" si="124"/>
        <v>0.10273228352453521</v>
      </c>
      <c r="BC87">
        <f t="shared" si="125"/>
        <v>264.42786951991872</v>
      </c>
      <c r="BD87" t="s">
        <v>717</v>
      </c>
      <c r="BE87">
        <v>391.38</v>
      </c>
      <c r="BF87">
        <f t="shared" si="126"/>
        <v>391.38</v>
      </c>
      <c r="BG87">
        <f t="shared" si="127"/>
        <v>0.4925294207712213</v>
      </c>
      <c r="BH87">
        <f t="shared" si="128"/>
        <v>0.63809249115648481</v>
      </c>
      <c r="BI87">
        <f t="shared" si="129"/>
        <v>0.17258339110874929</v>
      </c>
      <c r="BJ87">
        <f t="shared" si="130"/>
        <v>0.4866323272520946</v>
      </c>
      <c r="BK87">
        <f t="shared" si="131"/>
        <v>0.13724037576187423</v>
      </c>
      <c r="BL87">
        <f t="shared" si="132"/>
        <v>0.47222313388861703</v>
      </c>
      <c r="BM87">
        <f t="shared" si="133"/>
        <v>0.52777686611138297</v>
      </c>
      <c r="BN87">
        <v>11330</v>
      </c>
      <c r="BO87">
        <v>290.00000000000011</v>
      </c>
      <c r="BP87">
        <v>703.11</v>
      </c>
      <c r="BQ87">
        <v>285</v>
      </c>
      <c r="BR87">
        <v>7095.29</v>
      </c>
      <c r="BS87">
        <v>703.72</v>
      </c>
      <c r="BT87">
        <v>-0.61</v>
      </c>
      <c r="BU87">
        <v>300.00000000000011</v>
      </c>
      <c r="BV87">
        <v>38.299999999999997</v>
      </c>
      <c r="BW87">
        <v>771.23682833947589</v>
      </c>
      <c r="BX87">
        <v>1.62061609999898</v>
      </c>
      <c r="BY87">
        <v>-47.904573509337247</v>
      </c>
      <c r="BZ87">
        <v>0.96387190849854998</v>
      </c>
      <c r="CA87">
        <v>0.98879150127802273</v>
      </c>
      <c r="CB87">
        <v>-6.996051835372637E-3</v>
      </c>
      <c r="CC87">
        <v>289.99999999999989</v>
      </c>
      <c r="CD87">
        <v>711.09</v>
      </c>
      <c r="CE87">
        <v>885</v>
      </c>
      <c r="CF87">
        <v>7086.04</v>
      </c>
      <c r="CG87">
        <v>703.63</v>
      </c>
      <c r="CH87">
        <v>7.46</v>
      </c>
      <c r="CV87">
        <f t="shared" si="134"/>
        <v>1800.08</v>
      </c>
      <c r="CW87">
        <f t="shared" si="135"/>
        <v>1513.2518996511872</v>
      </c>
      <c r="CX87">
        <f t="shared" si="136"/>
        <v>0.84065813722233862</v>
      </c>
      <c r="CY87">
        <f t="shared" si="137"/>
        <v>0.19131627444467722</v>
      </c>
      <c r="CZ87">
        <v>4.5999999999999996</v>
      </c>
      <c r="DA87">
        <v>0.5</v>
      </c>
      <c r="DB87" t="s">
        <v>418</v>
      </c>
      <c r="DC87">
        <v>2</v>
      </c>
      <c r="DD87">
        <v>1700163548.5999999</v>
      </c>
      <c r="DE87">
        <v>410.98899999999998</v>
      </c>
      <c r="DF87">
        <v>449.98</v>
      </c>
      <c r="DG87">
        <v>27.782699999999998</v>
      </c>
      <c r="DH87">
        <v>24.5122</v>
      </c>
      <c r="DI87">
        <v>411.34899999999999</v>
      </c>
      <c r="DJ87">
        <v>27.785499999999999</v>
      </c>
      <c r="DK87">
        <v>500.072</v>
      </c>
      <c r="DL87">
        <v>98.933899999999994</v>
      </c>
      <c r="DM87">
        <v>9.9790699999999996E-2</v>
      </c>
      <c r="DN87">
        <v>29.829899999999999</v>
      </c>
      <c r="DO87">
        <v>29.981200000000001</v>
      </c>
      <c r="DP87">
        <v>999.9</v>
      </c>
      <c r="DQ87">
        <v>0</v>
      </c>
      <c r="DR87">
        <v>0</v>
      </c>
      <c r="DS87">
        <v>10017.5</v>
      </c>
      <c r="DT87">
        <v>0</v>
      </c>
      <c r="DU87">
        <v>477.56700000000001</v>
      </c>
      <c r="DV87">
        <v>-38.991100000000003</v>
      </c>
      <c r="DW87">
        <v>422.733</v>
      </c>
      <c r="DX87">
        <v>461.28699999999998</v>
      </c>
      <c r="DY87">
        <v>3.27047</v>
      </c>
      <c r="DZ87">
        <v>449.98</v>
      </c>
      <c r="EA87">
        <v>24.5122</v>
      </c>
      <c r="EB87">
        <v>2.74865</v>
      </c>
      <c r="EC87">
        <v>2.42509</v>
      </c>
      <c r="ED87">
        <v>22.578900000000001</v>
      </c>
      <c r="EE87">
        <v>20.532299999999999</v>
      </c>
      <c r="EF87">
        <v>1800.08</v>
      </c>
      <c r="EG87">
        <v>0.97800100000000001</v>
      </c>
      <c r="EH87">
        <v>2.1999000000000001E-2</v>
      </c>
      <c r="EI87">
        <v>0</v>
      </c>
      <c r="EJ87">
        <v>528.81700000000001</v>
      </c>
      <c r="EK87">
        <v>5.0005300000000004</v>
      </c>
      <c r="EL87">
        <v>10531.4</v>
      </c>
      <c r="EM87">
        <v>16036</v>
      </c>
      <c r="EN87">
        <v>48.311999999999998</v>
      </c>
      <c r="EO87">
        <v>49.5</v>
      </c>
      <c r="EP87">
        <v>48.936999999999998</v>
      </c>
      <c r="EQ87">
        <v>48.875</v>
      </c>
      <c r="ER87">
        <v>49.436999999999998</v>
      </c>
      <c r="ES87">
        <v>1755.59</v>
      </c>
      <c r="ET87">
        <v>39.49</v>
      </c>
      <c r="EU87">
        <v>0</v>
      </c>
      <c r="EV87">
        <v>937.79999995231628</v>
      </c>
      <c r="EW87">
        <v>0</v>
      </c>
      <c r="EX87">
        <v>528.85303846153852</v>
      </c>
      <c r="EY87">
        <v>-0.58102564252773103</v>
      </c>
      <c r="EZ87">
        <v>-871.04615473710294</v>
      </c>
      <c r="FA87">
        <v>10594.211538461541</v>
      </c>
      <c r="FB87">
        <v>15</v>
      </c>
      <c r="FC87">
        <v>1700163517.0999999</v>
      </c>
      <c r="FD87" t="s">
        <v>718</v>
      </c>
      <c r="FE87">
        <v>1700163517.0999999</v>
      </c>
      <c r="FF87">
        <v>1700163507.5999999</v>
      </c>
      <c r="FG87">
        <v>78</v>
      </c>
      <c r="FH87">
        <v>3.0000000000000001E-3</v>
      </c>
      <c r="FI87">
        <v>-6.0000000000000001E-3</v>
      </c>
      <c r="FJ87">
        <v>-0.36699999999999999</v>
      </c>
      <c r="FK87">
        <v>-3.0000000000000001E-3</v>
      </c>
      <c r="FL87">
        <v>450</v>
      </c>
      <c r="FM87">
        <v>24</v>
      </c>
      <c r="FN87">
        <v>0.1</v>
      </c>
      <c r="FO87">
        <v>0.05</v>
      </c>
      <c r="FP87">
        <v>40.898159087215987</v>
      </c>
      <c r="FQ87">
        <v>-0.53372574802936856</v>
      </c>
      <c r="FR87">
        <v>6.6167995998520857E-2</v>
      </c>
      <c r="FS87">
        <v>1</v>
      </c>
      <c r="FT87">
        <v>0.24087755483111581</v>
      </c>
      <c r="FU87">
        <v>1.557238489257616E-2</v>
      </c>
      <c r="FV87">
        <v>1.4373380609982651E-3</v>
      </c>
      <c r="FW87">
        <v>1</v>
      </c>
      <c r="FX87">
        <v>2</v>
      </c>
      <c r="FY87">
        <v>2</v>
      </c>
      <c r="FZ87" t="s">
        <v>420</v>
      </c>
      <c r="GA87">
        <v>3.1255600000000001</v>
      </c>
      <c r="GB87">
        <v>2.7668200000000001</v>
      </c>
      <c r="GC87">
        <v>9.0227000000000002E-2</v>
      </c>
      <c r="GD87">
        <v>9.6626500000000004E-2</v>
      </c>
      <c r="GE87">
        <v>0.11819499999999999</v>
      </c>
      <c r="GF87">
        <v>0.108463</v>
      </c>
      <c r="GG87">
        <v>21650.799999999999</v>
      </c>
      <c r="GH87">
        <v>22377.599999999999</v>
      </c>
      <c r="GI87">
        <v>23668.1</v>
      </c>
      <c r="GJ87">
        <v>25095.3</v>
      </c>
      <c r="GK87">
        <v>30064.6</v>
      </c>
      <c r="GL87">
        <v>31377.9</v>
      </c>
      <c r="GM87">
        <v>37737.5</v>
      </c>
      <c r="GN87">
        <v>39074.800000000003</v>
      </c>
      <c r="GO87">
        <v>2.1368999999999998</v>
      </c>
      <c r="GP87">
        <v>1.7486999999999999</v>
      </c>
      <c r="GQ87">
        <v>3.16612E-2</v>
      </c>
      <c r="GR87">
        <v>0</v>
      </c>
      <c r="GS87">
        <v>29.465699999999998</v>
      </c>
      <c r="GT87">
        <v>999.9</v>
      </c>
      <c r="GU87">
        <v>38.6</v>
      </c>
      <c r="GV87">
        <v>40.299999999999997</v>
      </c>
      <c r="GW87">
        <v>29.393899999999999</v>
      </c>
      <c r="GX87">
        <v>60.845799999999997</v>
      </c>
      <c r="GY87">
        <v>27.484000000000002</v>
      </c>
      <c r="GZ87">
        <v>1</v>
      </c>
      <c r="HA87">
        <v>0.68418699999999999</v>
      </c>
      <c r="HB87">
        <v>2.4651299999999998</v>
      </c>
      <c r="HC87">
        <v>20.302</v>
      </c>
      <c r="HD87">
        <v>5.2505300000000004</v>
      </c>
      <c r="HE87">
        <v>12.0099</v>
      </c>
      <c r="HF87">
        <v>4.9788500000000004</v>
      </c>
      <c r="HG87">
        <v>3.2928500000000001</v>
      </c>
      <c r="HH87">
        <v>9999</v>
      </c>
      <c r="HI87">
        <v>9999</v>
      </c>
      <c r="HJ87">
        <v>9999</v>
      </c>
      <c r="HK87">
        <v>999.9</v>
      </c>
      <c r="HL87">
        <v>1.8760699999999999</v>
      </c>
      <c r="HM87">
        <v>1.87697</v>
      </c>
      <c r="HN87">
        <v>1.88323</v>
      </c>
      <c r="HO87">
        <v>1.88629</v>
      </c>
      <c r="HP87">
        <v>1.87714</v>
      </c>
      <c r="HQ87">
        <v>1.88364</v>
      </c>
      <c r="HR87">
        <v>1.8826099999999999</v>
      </c>
      <c r="HS87">
        <v>1.8859900000000001</v>
      </c>
      <c r="HT87">
        <v>5</v>
      </c>
      <c r="HU87">
        <v>0</v>
      </c>
      <c r="HV87">
        <v>0</v>
      </c>
      <c r="HW87">
        <v>0</v>
      </c>
      <c r="HX87" t="s">
        <v>421</v>
      </c>
      <c r="HY87" t="s">
        <v>422</v>
      </c>
      <c r="HZ87" t="s">
        <v>423</v>
      </c>
      <c r="IA87" t="s">
        <v>424</v>
      </c>
      <c r="IB87" t="s">
        <v>424</v>
      </c>
      <c r="IC87" t="s">
        <v>423</v>
      </c>
      <c r="ID87">
        <v>0</v>
      </c>
      <c r="IE87">
        <v>100</v>
      </c>
      <c r="IF87">
        <v>100</v>
      </c>
      <c r="IG87">
        <v>-0.36</v>
      </c>
      <c r="IH87">
        <v>-2.8E-3</v>
      </c>
      <c r="II87">
        <v>-0.34102217872679641</v>
      </c>
      <c r="IJ87">
        <v>4.4610147972834149E-5</v>
      </c>
      <c r="IK87">
        <v>-2.082673137682459E-7</v>
      </c>
      <c r="IL87">
        <v>-4.0725795306076518E-11</v>
      </c>
      <c r="IM87">
        <v>-2.890000000004278E-3</v>
      </c>
      <c r="IN87">
        <v>0</v>
      </c>
      <c r="IO87">
        <v>0</v>
      </c>
      <c r="IP87">
        <v>0</v>
      </c>
      <c r="IQ87">
        <v>3</v>
      </c>
      <c r="IR87">
        <v>2179</v>
      </c>
      <c r="IS87">
        <v>0</v>
      </c>
      <c r="IT87">
        <v>22</v>
      </c>
      <c r="IU87">
        <v>0.5</v>
      </c>
      <c r="IV87">
        <v>0.7</v>
      </c>
      <c r="IW87">
        <v>1.1254900000000001</v>
      </c>
      <c r="IX87">
        <v>2.6989700000000001</v>
      </c>
      <c r="IY87">
        <v>1.6015600000000001</v>
      </c>
      <c r="IZ87">
        <v>2.323</v>
      </c>
      <c r="JA87">
        <v>1.5502899999999999</v>
      </c>
      <c r="JB87">
        <v>2.4719199999999999</v>
      </c>
      <c r="JC87">
        <v>44.057099999999998</v>
      </c>
      <c r="JD87">
        <v>24.210100000000001</v>
      </c>
      <c r="JE87">
        <v>18</v>
      </c>
      <c r="JF87">
        <v>613.48199999999997</v>
      </c>
      <c r="JG87">
        <v>390.64100000000002</v>
      </c>
      <c r="JH87">
        <v>26.958600000000001</v>
      </c>
      <c r="JI87">
        <v>35.344499999999996</v>
      </c>
      <c r="JJ87">
        <v>30</v>
      </c>
      <c r="JK87">
        <v>35.4116</v>
      </c>
      <c r="JL87">
        <v>35.403300000000002</v>
      </c>
      <c r="JM87">
        <v>22.522500000000001</v>
      </c>
      <c r="JN87">
        <v>20.9237</v>
      </c>
      <c r="JO87">
        <v>46.532499999999999</v>
      </c>
      <c r="JP87">
        <v>26.961400000000001</v>
      </c>
      <c r="JQ87">
        <v>450</v>
      </c>
      <c r="JR87">
        <v>24.460799999999999</v>
      </c>
      <c r="JS87">
        <v>98.419300000000007</v>
      </c>
      <c r="JT87">
        <v>98.865300000000005</v>
      </c>
    </row>
    <row r="88" spans="1:280" x14ac:dyDescent="0.25">
      <c r="A88">
        <v>72</v>
      </c>
      <c r="B88">
        <v>1700163743.5999999</v>
      </c>
      <c r="C88">
        <v>15870.099999904631</v>
      </c>
      <c r="D88" t="s">
        <v>719</v>
      </c>
      <c r="E88" t="s">
        <v>720</v>
      </c>
      <c r="F88" t="s">
        <v>412</v>
      </c>
      <c r="G88" t="s">
        <v>481</v>
      </c>
      <c r="H88" t="s">
        <v>413</v>
      </c>
      <c r="I88">
        <v>1700163743.5999999</v>
      </c>
      <c r="J88">
        <f t="shared" si="92"/>
        <v>2.137219751132023E-3</v>
      </c>
      <c r="K88">
        <f t="shared" si="93"/>
        <v>2.1372197511320228</v>
      </c>
      <c r="L88">
        <f t="shared" si="94"/>
        <v>46.229760024833318</v>
      </c>
      <c r="M88">
        <f t="shared" si="95"/>
        <v>1454.58</v>
      </c>
      <c r="N88">
        <f t="shared" si="96"/>
        <v>861.8332723448467</v>
      </c>
      <c r="O88">
        <f t="shared" si="97"/>
        <v>85.329750324888877</v>
      </c>
      <c r="P88">
        <f t="shared" si="98"/>
        <v>144.01735487639999</v>
      </c>
      <c r="Q88">
        <f t="shared" si="99"/>
        <v>0.13406313420676419</v>
      </c>
      <c r="R88">
        <f t="shared" si="100"/>
        <v>3.2276846731449975</v>
      </c>
      <c r="S88">
        <f t="shared" si="101"/>
        <v>0.13104472980729115</v>
      </c>
      <c r="T88">
        <f t="shared" si="102"/>
        <v>8.2168487570105517E-2</v>
      </c>
      <c r="U88">
        <f t="shared" si="103"/>
        <v>344.34849930230092</v>
      </c>
      <c r="V88">
        <f t="shared" si="104"/>
        <v>30.908893974457275</v>
      </c>
      <c r="W88">
        <f t="shared" si="105"/>
        <v>29.9983</v>
      </c>
      <c r="X88">
        <f t="shared" si="106"/>
        <v>4.260033771659546</v>
      </c>
      <c r="Y88">
        <f t="shared" si="107"/>
        <v>65.033078469447531</v>
      </c>
      <c r="Z88">
        <f t="shared" si="108"/>
        <v>2.7020506458640003</v>
      </c>
      <c r="AA88">
        <f t="shared" si="109"/>
        <v>4.1548865738124654</v>
      </c>
      <c r="AB88">
        <f t="shared" si="110"/>
        <v>1.5579831257955457</v>
      </c>
      <c r="AC88">
        <f t="shared" si="111"/>
        <v>-94.251391024922214</v>
      </c>
      <c r="AD88">
        <f t="shared" si="112"/>
        <v>-75.590350641228866</v>
      </c>
      <c r="AE88">
        <f t="shared" si="113"/>
        <v>-5.1960458966448808</v>
      </c>
      <c r="AF88">
        <f t="shared" si="114"/>
        <v>169.31071173950497</v>
      </c>
      <c r="AG88">
        <v>0</v>
      </c>
      <c r="AH88">
        <v>0</v>
      </c>
      <c r="AI88">
        <f t="shared" si="115"/>
        <v>1</v>
      </c>
      <c r="AJ88">
        <f t="shared" si="116"/>
        <v>0</v>
      </c>
      <c r="AK88">
        <f t="shared" si="117"/>
        <v>51813.829467897333</v>
      </c>
      <c r="AL88" t="s">
        <v>415</v>
      </c>
      <c r="AM88">
        <v>6977.87</v>
      </c>
      <c r="AN88">
        <v>273.15280000000001</v>
      </c>
      <c r="AO88">
        <v>850.46774885301022</v>
      </c>
      <c r="AP88">
        <f t="shared" si="118"/>
        <v>0.67882050745793765</v>
      </c>
      <c r="AQ88">
        <v>-1.0323826813720729</v>
      </c>
      <c r="AR88" t="s">
        <v>721</v>
      </c>
      <c r="AS88">
        <v>7095.79</v>
      </c>
      <c r="AT88">
        <v>521.09828000000005</v>
      </c>
      <c r="AU88">
        <v>808.1022684952502</v>
      </c>
      <c r="AV88">
        <f t="shared" si="119"/>
        <v>0.35515800373840567</v>
      </c>
      <c r="AW88">
        <v>0.5</v>
      </c>
      <c r="AX88">
        <f t="shared" si="120"/>
        <v>1513.0922996511504</v>
      </c>
      <c r="AY88">
        <f t="shared" si="121"/>
        <v>46.229760024833318</v>
      </c>
      <c r="AZ88">
        <f t="shared" si="122"/>
        <v>268.69342030802807</v>
      </c>
      <c r="BA88">
        <f t="shared" si="123"/>
        <v>3.1235465752553145E-2</v>
      </c>
      <c r="BB88">
        <f t="shared" si="124"/>
        <v>5.2425889654595166E-2</v>
      </c>
      <c r="BC88">
        <f t="shared" si="125"/>
        <v>268.62958268060584</v>
      </c>
      <c r="BD88" t="s">
        <v>722</v>
      </c>
      <c r="BE88">
        <v>399.37</v>
      </c>
      <c r="BF88">
        <f t="shared" si="126"/>
        <v>399.37</v>
      </c>
      <c r="BG88">
        <f t="shared" si="127"/>
        <v>0.50579274979185707</v>
      </c>
      <c r="BH88">
        <f t="shared" si="128"/>
        <v>0.7021808910557924</v>
      </c>
      <c r="BI88">
        <f t="shared" si="129"/>
        <v>9.3916408285080522E-2</v>
      </c>
      <c r="BJ88">
        <f t="shared" si="130"/>
        <v>0.53650672707939795</v>
      </c>
      <c r="BK88">
        <f t="shared" si="131"/>
        <v>7.3383653830427081E-2</v>
      </c>
      <c r="BL88">
        <f t="shared" si="132"/>
        <v>0.53815180979095112</v>
      </c>
      <c r="BM88">
        <f t="shared" si="133"/>
        <v>0.46184819020904888</v>
      </c>
      <c r="BN88">
        <v>11332</v>
      </c>
      <c r="BO88">
        <v>290.00000000000011</v>
      </c>
      <c r="BP88">
        <v>721.88</v>
      </c>
      <c r="BQ88">
        <v>295</v>
      </c>
      <c r="BR88">
        <v>7095.79</v>
      </c>
      <c r="BS88">
        <v>723.97</v>
      </c>
      <c r="BT88">
        <v>-2.09</v>
      </c>
      <c r="BU88">
        <v>300.00000000000011</v>
      </c>
      <c r="BV88">
        <v>38.299999999999997</v>
      </c>
      <c r="BW88">
        <v>808.1022684952502</v>
      </c>
      <c r="BX88">
        <v>1.3108264759676891</v>
      </c>
      <c r="BY88">
        <v>-59.695848033616947</v>
      </c>
      <c r="BZ88">
        <v>0.77967787506719799</v>
      </c>
      <c r="CA88">
        <v>0.99524631088139781</v>
      </c>
      <c r="CB88">
        <v>-6.9964987764182434E-3</v>
      </c>
      <c r="CC88">
        <v>289.99999999999989</v>
      </c>
      <c r="CD88">
        <v>729.01</v>
      </c>
      <c r="CE88">
        <v>695</v>
      </c>
      <c r="CF88">
        <v>7090.52</v>
      </c>
      <c r="CG88">
        <v>723.91</v>
      </c>
      <c r="CH88">
        <v>5.0999999999999996</v>
      </c>
      <c r="CV88">
        <f t="shared" si="134"/>
        <v>1799.89</v>
      </c>
      <c r="CW88">
        <f t="shared" si="135"/>
        <v>1513.0922996511504</v>
      </c>
      <c r="CX88">
        <f t="shared" si="136"/>
        <v>0.84065820669660385</v>
      </c>
      <c r="CY88">
        <f t="shared" si="137"/>
        <v>0.19131641339320787</v>
      </c>
      <c r="CZ88">
        <v>4.5999999999999996</v>
      </c>
      <c r="DA88">
        <v>0.5</v>
      </c>
      <c r="DB88" t="s">
        <v>418</v>
      </c>
      <c r="DC88">
        <v>2</v>
      </c>
      <c r="DD88">
        <v>1700163743.5999999</v>
      </c>
      <c r="DE88">
        <v>1454.58</v>
      </c>
      <c r="DF88">
        <v>1499.96</v>
      </c>
      <c r="DG88">
        <v>27.290800000000001</v>
      </c>
      <c r="DH88">
        <v>25.378699999999998</v>
      </c>
      <c r="DI88">
        <v>1454.69</v>
      </c>
      <c r="DJ88">
        <v>27.2864</v>
      </c>
      <c r="DK88">
        <v>500.12599999999998</v>
      </c>
      <c r="DL88">
        <v>98.909499999999994</v>
      </c>
      <c r="DM88">
        <v>0.10008</v>
      </c>
      <c r="DN88">
        <v>29.5639</v>
      </c>
      <c r="DO88">
        <v>29.9983</v>
      </c>
      <c r="DP88">
        <v>999.9</v>
      </c>
      <c r="DQ88">
        <v>0</v>
      </c>
      <c r="DR88">
        <v>0</v>
      </c>
      <c r="DS88">
        <v>9991.25</v>
      </c>
      <c r="DT88">
        <v>0</v>
      </c>
      <c r="DU88">
        <v>508.48700000000002</v>
      </c>
      <c r="DV88">
        <v>-45.381700000000002</v>
      </c>
      <c r="DW88">
        <v>1495.39</v>
      </c>
      <c r="DX88">
        <v>1539.02</v>
      </c>
      <c r="DY88">
        <v>1.91211</v>
      </c>
      <c r="DZ88">
        <v>1499.96</v>
      </c>
      <c r="EA88">
        <v>25.378699999999998</v>
      </c>
      <c r="EB88">
        <v>2.6993200000000002</v>
      </c>
      <c r="EC88">
        <v>2.5101900000000001</v>
      </c>
      <c r="ED88">
        <v>22.280999999999999</v>
      </c>
      <c r="EE88">
        <v>21.092700000000001</v>
      </c>
      <c r="EF88">
        <v>1799.89</v>
      </c>
      <c r="EG88">
        <v>0.97799700000000001</v>
      </c>
      <c r="EH88">
        <v>2.2002600000000001E-2</v>
      </c>
      <c r="EI88">
        <v>0</v>
      </c>
      <c r="EJ88">
        <v>521.096</v>
      </c>
      <c r="EK88">
        <v>5.0005300000000004</v>
      </c>
      <c r="EL88">
        <v>10588.2</v>
      </c>
      <c r="EM88">
        <v>16034.3</v>
      </c>
      <c r="EN88">
        <v>48.186999999999998</v>
      </c>
      <c r="EO88">
        <v>49.375</v>
      </c>
      <c r="EP88">
        <v>48.811999999999998</v>
      </c>
      <c r="EQ88">
        <v>48.686999999999998</v>
      </c>
      <c r="ER88">
        <v>49.311999999999998</v>
      </c>
      <c r="ES88">
        <v>1755.4</v>
      </c>
      <c r="ET88">
        <v>39.49</v>
      </c>
      <c r="EU88">
        <v>0</v>
      </c>
      <c r="EV88">
        <v>193.20000004768369</v>
      </c>
      <c r="EW88">
        <v>0</v>
      </c>
      <c r="EX88">
        <v>521.09828000000005</v>
      </c>
      <c r="EY88">
        <v>0.55192307604855839</v>
      </c>
      <c r="EZ88">
        <v>296.96153906602979</v>
      </c>
      <c r="FA88">
        <v>10573.992</v>
      </c>
      <c r="FB88">
        <v>15</v>
      </c>
      <c r="FC88">
        <v>1700163713.5999999</v>
      </c>
      <c r="FD88" t="s">
        <v>723</v>
      </c>
      <c r="FE88">
        <v>1700163712.5999999</v>
      </c>
      <c r="FF88">
        <v>1700163713.5999999</v>
      </c>
      <c r="FG88">
        <v>79</v>
      </c>
      <c r="FH88">
        <v>0.72799999999999998</v>
      </c>
      <c r="FI88">
        <v>7.0000000000000001E-3</v>
      </c>
      <c r="FJ88">
        <v>-0.153</v>
      </c>
      <c r="FK88">
        <v>4.0000000000000001E-3</v>
      </c>
      <c r="FL88">
        <v>1500</v>
      </c>
      <c r="FM88">
        <v>26</v>
      </c>
      <c r="FN88">
        <v>0.1</v>
      </c>
      <c r="FO88">
        <v>0.08</v>
      </c>
      <c r="FP88">
        <v>46.257367744153683</v>
      </c>
      <c r="FQ88">
        <v>-0.56422941285594319</v>
      </c>
      <c r="FR88">
        <v>0.1004103519658133</v>
      </c>
      <c r="FS88">
        <v>1</v>
      </c>
      <c r="FT88">
        <v>0.13928356795501531</v>
      </c>
      <c r="FU88">
        <v>-3.1827382303316547E-2</v>
      </c>
      <c r="FV88">
        <v>2.3650018430062679E-3</v>
      </c>
      <c r="FW88">
        <v>1</v>
      </c>
      <c r="FX88">
        <v>2</v>
      </c>
      <c r="FY88">
        <v>2</v>
      </c>
      <c r="FZ88" t="s">
        <v>420</v>
      </c>
      <c r="GA88">
        <v>3.1254200000000001</v>
      </c>
      <c r="GB88">
        <v>2.7668699999999999</v>
      </c>
      <c r="GC88">
        <v>0.21115800000000001</v>
      </c>
      <c r="GD88">
        <v>0.214919</v>
      </c>
      <c r="GE88">
        <v>0.11670899999999999</v>
      </c>
      <c r="GF88">
        <v>0.11113000000000001</v>
      </c>
      <c r="GG88">
        <v>18772.5</v>
      </c>
      <c r="GH88">
        <v>19446.8</v>
      </c>
      <c r="GI88">
        <v>23674.2</v>
      </c>
      <c r="GJ88">
        <v>25102.6</v>
      </c>
      <c r="GK88">
        <v>30123.1</v>
      </c>
      <c r="GL88">
        <v>31293.3</v>
      </c>
      <c r="GM88">
        <v>37747.5</v>
      </c>
      <c r="GN88">
        <v>39086.5</v>
      </c>
      <c r="GO88">
        <v>2.13672</v>
      </c>
      <c r="GP88">
        <v>1.7554799999999999</v>
      </c>
      <c r="GQ88">
        <v>4.8130800000000001E-2</v>
      </c>
      <c r="GR88">
        <v>0</v>
      </c>
      <c r="GS88">
        <v>29.214500000000001</v>
      </c>
      <c r="GT88">
        <v>999.9</v>
      </c>
      <c r="GU88">
        <v>39.200000000000003</v>
      </c>
      <c r="GV88">
        <v>40.299999999999997</v>
      </c>
      <c r="GW88">
        <v>29.854600000000001</v>
      </c>
      <c r="GX88">
        <v>60.695700000000002</v>
      </c>
      <c r="GY88">
        <v>27.163499999999999</v>
      </c>
      <c r="GZ88">
        <v>1</v>
      </c>
      <c r="HA88">
        <v>0.67437000000000002</v>
      </c>
      <c r="HB88">
        <v>2.7218</v>
      </c>
      <c r="HC88">
        <v>20.298400000000001</v>
      </c>
      <c r="HD88">
        <v>5.25143</v>
      </c>
      <c r="HE88">
        <v>12.0099</v>
      </c>
      <c r="HF88">
        <v>4.9789000000000003</v>
      </c>
      <c r="HG88">
        <v>3.2930000000000001</v>
      </c>
      <c r="HH88">
        <v>9999</v>
      </c>
      <c r="HI88">
        <v>9999</v>
      </c>
      <c r="HJ88">
        <v>9999</v>
      </c>
      <c r="HK88">
        <v>999.9</v>
      </c>
      <c r="HL88">
        <v>1.8760699999999999</v>
      </c>
      <c r="HM88">
        <v>1.8769199999999999</v>
      </c>
      <c r="HN88">
        <v>1.8831800000000001</v>
      </c>
      <c r="HO88">
        <v>1.88629</v>
      </c>
      <c r="HP88">
        <v>1.87714</v>
      </c>
      <c r="HQ88">
        <v>1.8836200000000001</v>
      </c>
      <c r="HR88">
        <v>1.8826099999999999</v>
      </c>
      <c r="HS88">
        <v>1.8859900000000001</v>
      </c>
      <c r="HT88">
        <v>5</v>
      </c>
      <c r="HU88">
        <v>0</v>
      </c>
      <c r="HV88">
        <v>0</v>
      </c>
      <c r="HW88">
        <v>0</v>
      </c>
      <c r="HX88" t="s">
        <v>421</v>
      </c>
      <c r="HY88" t="s">
        <v>422</v>
      </c>
      <c r="HZ88" t="s">
        <v>423</v>
      </c>
      <c r="IA88" t="s">
        <v>424</v>
      </c>
      <c r="IB88" t="s">
        <v>424</v>
      </c>
      <c r="IC88" t="s">
        <v>423</v>
      </c>
      <c r="ID88">
        <v>0</v>
      </c>
      <c r="IE88">
        <v>100</v>
      </c>
      <c r="IF88">
        <v>100</v>
      </c>
      <c r="IG88">
        <v>-0.11</v>
      </c>
      <c r="IH88">
        <v>4.4000000000000003E-3</v>
      </c>
      <c r="II88">
        <v>0.38632425628230399</v>
      </c>
      <c r="IJ88">
        <v>4.4610147972834149E-5</v>
      </c>
      <c r="IK88">
        <v>-2.082673137682459E-7</v>
      </c>
      <c r="IL88">
        <v>-4.0725795306076518E-11</v>
      </c>
      <c r="IM88">
        <v>4.3904761904798306E-3</v>
      </c>
      <c r="IN88">
        <v>0</v>
      </c>
      <c r="IO88">
        <v>0</v>
      </c>
      <c r="IP88">
        <v>0</v>
      </c>
      <c r="IQ88">
        <v>3</v>
      </c>
      <c r="IR88">
        <v>2179</v>
      </c>
      <c r="IS88">
        <v>0</v>
      </c>
      <c r="IT88">
        <v>22</v>
      </c>
      <c r="IU88">
        <v>0.5</v>
      </c>
      <c r="IV88">
        <v>0.5</v>
      </c>
      <c r="IW88">
        <v>2.9968300000000001</v>
      </c>
      <c r="IX88">
        <v>2.6709000000000001</v>
      </c>
      <c r="IY88">
        <v>1.6015600000000001</v>
      </c>
      <c r="IZ88">
        <v>2.323</v>
      </c>
      <c r="JA88">
        <v>1.5502899999999999</v>
      </c>
      <c r="JB88">
        <v>2.5</v>
      </c>
      <c r="JC88">
        <v>44.029499999999999</v>
      </c>
      <c r="JD88">
        <v>24.210100000000001</v>
      </c>
      <c r="JE88">
        <v>18</v>
      </c>
      <c r="JF88">
        <v>612.678</v>
      </c>
      <c r="JG88">
        <v>394.45800000000003</v>
      </c>
      <c r="JH88">
        <v>26.5154</v>
      </c>
      <c r="JI88">
        <v>35.247300000000003</v>
      </c>
      <c r="JJ88">
        <v>29.9999</v>
      </c>
      <c r="JK88">
        <v>35.3369</v>
      </c>
      <c r="JL88">
        <v>35.331899999999997</v>
      </c>
      <c r="JM88">
        <v>59.977699999999999</v>
      </c>
      <c r="JN88">
        <v>20.0701</v>
      </c>
      <c r="JO88">
        <v>49.386299999999999</v>
      </c>
      <c r="JP88">
        <v>26.5183</v>
      </c>
      <c r="JQ88">
        <v>1500</v>
      </c>
      <c r="JR88">
        <v>25.4132</v>
      </c>
      <c r="JS88">
        <v>98.445300000000003</v>
      </c>
      <c r="JT88">
        <v>98.894499999999994</v>
      </c>
    </row>
    <row r="89" spans="1:280" x14ac:dyDescent="0.25">
      <c r="A89">
        <v>73</v>
      </c>
      <c r="B89">
        <v>1700163845.5999999</v>
      </c>
      <c r="C89">
        <v>15972.099999904631</v>
      </c>
      <c r="D89" t="s">
        <v>724</v>
      </c>
      <c r="E89" t="s">
        <v>725</v>
      </c>
      <c r="F89" t="s">
        <v>412</v>
      </c>
      <c r="G89" t="s">
        <v>481</v>
      </c>
      <c r="H89" t="s">
        <v>413</v>
      </c>
      <c r="I89">
        <v>1700163845.5999999</v>
      </c>
      <c r="J89">
        <f t="shared" si="92"/>
        <v>1.8045475235213037E-3</v>
      </c>
      <c r="K89">
        <f t="shared" si="93"/>
        <v>1.8045475235213038</v>
      </c>
      <c r="L89">
        <f t="shared" si="94"/>
        <v>43.967170187213313</v>
      </c>
      <c r="M89">
        <f t="shared" si="95"/>
        <v>1207.6300000000001</v>
      </c>
      <c r="N89">
        <f t="shared" si="96"/>
        <v>550.18572589728581</v>
      </c>
      <c r="O89">
        <f t="shared" si="97"/>
        <v>54.472190902958729</v>
      </c>
      <c r="P89">
        <f t="shared" si="98"/>
        <v>119.56371967458301</v>
      </c>
      <c r="Q89">
        <f t="shared" si="99"/>
        <v>0.11269714839641252</v>
      </c>
      <c r="R89">
        <f t="shared" si="100"/>
        <v>3.2330572644249229</v>
      </c>
      <c r="S89">
        <f t="shared" si="101"/>
        <v>0.11055938530163427</v>
      </c>
      <c r="T89">
        <f t="shared" si="102"/>
        <v>6.9288307753340897E-2</v>
      </c>
      <c r="U89">
        <f t="shared" si="103"/>
        <v>344.40549930241718</v>
      </c>
      <c r="V89">
        <f t="shared" si="104"/>
        <v>30.947118708572653</v>
      </c>
      <c r="W89">
        <f t="shared" si="105"/>
        <v>30.007000000000001</v>
      </c>
      <c r="X89">
        <f t="shared" si="106"/>
        <v>4.2621630897810396</v>
      </c>
      <c r="Y89">
        <f t="shared" si="107"/>
        <v>65.201986536083666</v>
      </c>
      <c r="Z89">
        <f t="shared" si="108"/>
        <v>2.70301746391833</v>
      </c>
      <c r="AA89">
        <f t="shared" si="109"/>
        <v>4.145605996870116</v>
      </c>
      <c r="AB89">
        <f t="shared" si="110"/>
        <v>1.5591456258627097</v>
      </c>
      <c r="AC89">
        <f t="shared" si="111"/>
        <v>-79.580545787289495</v>
      </c>
      <c r="AD89">
        <f t="shared" si="112"/>
        <v>-83.995451063200619</v>
      </c>
      <c r="AE89">
        <f t="shared" si="113"/>
        <v>-5.7633550799193491</v>
      </c>
      <c r="AF89">
        <f t="shared" si="114"/>
        <v>175.06614737200772</v>
      </c>
      <c r="AG89">
        <v>0</v>
      </c>
      <c r="AH89">
        <v>0</v>
      </c>
      <c r="AI89">
        <f t="shared" si="115"/>
        <v>1</v>
      </c>
      <c r="AJ89">
        <f t="shared" si="116"/>
        <v>0</v>
      </c>
      <c r="AK89">
        <f t="shared" si="117"/>
        <v>51949.723506151138</v>
      </c>
      <c r="AL89" t="s">
        <v>427</v>
      </c>
      <c r="AM89" t="s">
        <v>427</v>
      </c>
      <c r="AN89">
        <v>0</v>
      </c>
      <c r="AO89">
        <v>0</v>
      </c>
      <c r="AP89" t="e">
        <f t="shared" si="118"/>
        <v>#DIV/0!</v>
      </c>
      <c r="AQ89">
        <v>0</v>
      </c>
      <c r="AR89" t="s">
        <v>427</v>
      </c>
      <c r="AS89" t="s">
        <v>427</v>
      </c>
      <c r="AT89">
        <v>0</v>
      </c>
      <c r="AU89">
        <v>0</v>
      </c>
      <c r="AV89" t="e">
        <f t="shared" si="119"/>
        <v>#DIV/0!</v>
      </c>
      <c r="AW89">
        <v>0.5</v>
      </c>
      <c r="AX89">
        <f t="shared" si="120"/>
        <v>1513.3442996512088</v>
      </c>
      <c r="AY89">
        <f t="shared" si="121"/>
        <v>43.967170187213313</v>
      </c>
      <c r="AZ89" t="e">
        <f t="shared" si="122"/>
        <v>#DIV/0!</v>
      </c>
      <c r="BA89">
        <f t="shared" si="123"/>
        <v>2.9052985627491867E-2</v>
      </c>
      <c r="BB89" t="e">
        <f t="shared" si="124"/>
        <v>#DIV/0!</v>
      </c>
      <c r="BC89" t="e">
        <f t="shared" si="125"/>
        <v>#DIV/0!</v>
      </c>
      <c r="BD89" t="s">
        <v>427</v>
      </c>
      <c r="BE89">
        <v>0</v>
      </c>
      <c r="BF89" t="e">
        <f t="shared" si="126"/>
        <v>#DIV/0!</v>
      </c>
      <c r="BG89" t="e">
        <f t="shared" si="127"/>
        <v>#DIV/0!</v>
      </c>
      <c r="BH89" t="e">
        <f t="shared" si="128"/>
        <v>#DIV/0!</v>
      </c>
      <c r="BI89" t="e">
        <f t="shared" si="129"/>
        <v>#DIV/0!</v>
      </c>
      <c r="BJ89" t="e">
        <f t="shared" si="130"/>
        <v>#DIV/0!</v>
      </c>
      <c r="BK89" t="e">
        <f t="shared" si="131"/>
        <v>#DIV/0!</v>
      </c>
      <c r="BL89" t="e">
        <f t="shared" si="132"/>
        <v>#DIV/0!</v>
      </c>
      <c r="BM89" t="e">
        <f t="shared" si="133"/>
        <v>#DIV/0!</v>
      </c>
      <c r="BN89">
        <v>11332</v>
      </c>
      <c r="BO89">
        <v>290.00000000000011</v>
      </c>
      <c r="BP89">
        <v>721.88</v>
      </c>
      <c r="BQ89">
        <v>295</v>
      </c>
      <c r="BR89">
        <v>7095.79</v>
      </c>
      <c r="BS89">
        <v>723.97</v>
      </c>
      <c r="BT89">
        <v>-2.09</v>
      </c>
      <c r="BU89">
        <v>300.00000000000011</v>
      </c>
      <c r="BV89">
        <v>38.299999999999997</v>
      </c>
      <c r="BW89">
        <v>808.1022684952502</v>
      </c>
      <c r="BX89">
        <v>1.3108264759676891</v>
      </c>
      <c r="BY89">
        <v>-59.695848033616947</v>
      </c>
      <c r="BZ89">
        <v>0.77967787506719799</v>
      </c>
      <c r="CA89">
        <v>0.99524631088139781</v>
      </c>
      <c r="CB89">
        <v>-6.9964987764182434E-3</v>
      </c>
      <c r="CC89">
        <v>289.99999999999989</v>
      </c>
      <c r="CD89">
        <v>729.01</v>
      </c>
      <c r="CE89">
        <v>695</v>
      </c>
      <c r="CF89">
        <v>7090.52</v>
      </c>
      <c r="CG89">
        <v>723.91</v>
      </c>
      <c r="CH89">
        <v>5.0999999999999996</v>
      </c>
      <c r="CV89">
        <f t="shared" si="134"/>
        <v>1800.19</v>
      </c>
      <c r="CW89">
        <f t="shared" si="135"/>
        <v>1513.3442996512088</v>
      </c>
      <c r="CX89">
        <f t="shared" si="136"/>
        <v>0.84065809700709848</v>
      </c>
      <c r="CY89">
        <f t="shared" si="137"/>
        <v>0.19131619401419694</v>
      </c>
      <c r="CZ89">
        <v>4.5999999999999996</v>
      </c>
      <c r="DA89">
        <v>0.5</v>
      </c>
      <c r="DB89" t="s">
        <v>418</v>
      </c>
      <c r="DC89">
        <v>2</v>
      </c>
      <c r="DD89">
        <v>1700163845.5999999</v>
      </c>
      <c r="DE89">
        <v>1207.6300000000001</v>
      </c>
      <c r="DF89">
        <v>1250.07</v>
      </c>
      <c r="DG89">
        <v>27.301300000000001</v>
      </c>
      <c r="DH89">
        <v>25.687000000000001</v>
      </c>
      <c r="DI89">
        <v>1207.8399999999999</v>
      </c>
      <c r="DJ89">
        <v>27.297499999999999</v>
      </c>
      <c r="DK89">
        <v>500.173</v>
      </c>
      <c r="DL89">
        <v>98.906999999999996</v>
      </c>
      <c r="DM89">
        <v>9.9914100000000006E-2</v>
      </c>
      <c r="DN89">
        <v>29.525099999999998</v>
      </c>
      <c r="DO89">
        <v>30.007000000000001</v>
      </c>
      <c r="DP89">
        <v>999.9</v>
      </c>
      <c r="DQ89">
        <v>0</v>
      </c>
      <c r="DR89">
        <v>0</v>
      </c>
      <c r="DS89">
        <v>10017.5</v>
      </c>
      <c r="DT89">
        <v>0</v>
      </c>
      <c r="DU89">
        <v>496.89</v>
      </c>
      <c r="DV89">
        <v>-42.436599999999999</v>
      </c>
      <c r="DW89">
        <v>1241.52</v>
      </c>
      <c r="DX89">
        <v>1283.02</v>
      </c>
      <c r="DY89">
        <v>1.6142799999999999</v>
      </c>
      <c r="DZ89">
        <v>1250.07</v>
      </c>
      <c r="EA89">
        <v>25.687000000000001</v>
      </c>
      <c r="EB89">
        <v>2.7002799999999998</v>
      </c>
      <c r="EC89">
        <v>2.5406200000000001</v>
      </c>
      <c r="ED89">
        <v>22.286799999999999</v>
      </c>
      <c r="EE89">
        <v>21.289100000000001</v>
      </c>
      <c r="EF89">
        <v>1800.19</v>
      </c>
      <c r="EG89">
        <v>0.97800100000000001</v>
      </c>
      <c r="EH89">
        <v>2.1999000000000001E-2</v>
      </c>
      <c r="EI89">
        <v>0</v>
      </c>
      <c r="EJ89">
        <v>523.322</v>
      </c>
      <c r="EK89">
        <v>5.0005300000000004</v>
      </c>
      <c r="EL89">
        <v>10590.3</v>
      </c>
      <c r="EM89">
        <v>16037</v>
      </c>
      <c r="EN89">
        <v>48.125</v>
      </c>
      <c r="EO89">
        <v>49.375</v>
      </c>
      <c r="EP89">
        <v>48.75</v>
      </c>
      <c r="EQ89">
        <v>48.625</v>
      </c>
      <c r="ER89">
        <v>49.311999999999998</v>
      </c>
      <c r="ES89">
        <v>1755.7</v>
      </c>
      <c r="ET89">
        <v>39.49</v>
      </c>
      <c r="EU89">
        <v>0</v>
      </c>
      <c r="EV89">
        <v>100.2000000476837</v>
      </c>
      <c r="EW89">
        <v>0</v>
      </c>
      <c r="EX89">
        <v>523.173</v>
      </c>
      <c r="EY89">
        <v>0.34984616343809538</v>
      </c>
      <c r="EZ89">
        <v>283.0461540589132</v>
      </c>
      <c r="FA89">
        <v>10552.668</v>
      </c>
      <c r="FB89">
        <v>15</v>
      </c>
      <c r="FC89">
        <v>1700163812.0999999</v>
      </c>
      <c r="FD89" t="s">
        <v>726</v>
      </c>
      <c r="FE89">
        <v>1700163812.0999999</v>
      </c>
      <c r="FF89">
        <v>1700163808.5999999</v>
      </c>
      <c r="FG89">
        <v>80</v>
      </c>
      <c r="FH89">
        <v>-0.27100000000000002</v>
      </c>
      <c r="FI89">
        <v>-1E-3</v>
      </c>
      <c r="FJ89">
        <v>-0.23499999999999999</v>
      </c>
      <c r="FK89">
        <v>4.0000000000000001E-3</v>
      </c>
      <c r="FL89">
        <v>1250</v>
      </c>
      <c r="FM89">
        <v>25</v>
      </c>
      <c r="FN89">
        <v>0.12</v>
      </c>
      <c r="FO89">
        <v>0.11</v>
      </c>
      <c r="FP89">
        <v>43.984744501624917</v>
      </c>
      <c r="FQ89">
        <v>8.6920786771745265E-2</v>
      </c>
      <c r="FR89">
        <v>6.073640119166536E-2</v>
      </c>
      <c r="FS89">
        <v>1</v>
      </c>
      <c r="FT89">
        <v>0.1148941127820154</v>
      </c>
      <c r="FU89">
        <v>-4.6559324445718236E-3</v>
      </c>
      <c r="FV89">
        <v>1.191585411848627E-3</v>
      </c>
      <c r="FW89">
        <v>1</v>
      </c>
      <c r="FX89">
        <v>2</v>
      </c>
      <c r="FY89">
        <v>2</v>
      </c>
      <c r="FZ89" t="s">
        <v>420</v>
      </c>
      <c r="GA89">
        <v>3.12541</v>
      </c>
      <c r="GB89">
        <v>2.76694</v>
      </c>
      <c r="GC89">
        <v>0.18857499999999999</v>
      </c>
      <c r="GD89">
        <v>0.19251299999999999</v>
      </c>
      <c r="GE89">
        <v>0.11675000000000001</v>
      </c>
      <c r="GF89">
        <v>0.112081</v>
      </c>
      <c r="GG89">
        <v>19315</v>
      </c>
      <c r="GH89">
        <v>20006.599999999999</v>
      </c>
      <c r="GI89">
        <v>23677.7</v>
      </c>
      <c r="GJ89">
        <v>25105.4</v>
      </c>
      <c r="GK89">
        <v>30125.599999999999</v>
      </c>
      <c r="GL89">
        <v>31263</v>
      </c>
      <c r="GM89">
        <v>37752.400000000001</v>
      </c>
      <c r="GN89">
        <v>39090.400000000001</v>
      </c>
      <c r="GO89">
        <v>2.1369500000000001</v>
      </c>
      <c r="GP89">
        <v>1.7558499999999999</v>
      </c>
      <c r="GQ89">
        <v>4.3876499999999999E-2</v>
      </c>
      <c r="GR89">
        <v>0</v>
      </c>
      <c r="GS89">
        <v>29.2925</v>
      </c>
      <c r="GT89">
        <v>999.9</v>
      </c>
      <c r="GU89">
        <v>39.700000000000003</v>
      </c>
      <c r="GV89">
        <v>40.299999999999997</v>
      </c>
      <c r="GW89">
        <v>30.239899999999999</v>
      </c>
      <c r="GX89">
        <v>60.575800000000001</v>
      </c>
      <c r="GY89">
        <v>26.7989</v>
      </c>
      <c r="GZ89">
        <v>1</v>
      </c>
      <c r="HA89">
        <v>0.67389500000000002</v>
      </c>
      <c r="HB89">
        <v>3.4719699999999998</v>
      </c>
      <c r="HC89">
        <v>20.284099999999999</v>
      </c>
      <c r="HD89">
        <v>5.2476900000000004</v>
      </c>
      <c r="HE89">
        <v>12.0099</v>
      </c>
      <c r="HF89">
        <v>4.9779499999999999</v>
      </c>
      <c r="HG89">
        <v>3.29223</v>
      </c>
      <c r="HH89">
        <v>9999</v>
      </c>
      <c r="HI89">
        <v>9999</v>
      </c>
      <c r="HJ89">
        <v>9999</v>
      </c>
      <c r="HK89">
        <v>999.9</v>
      </c>
      <c r="HL89">
        <v>1.8760699999999999</v>
      </c>
      <c r="HM89">
        <v>1.87696</v>
      </c>
      <c r="HN89">
        <v>1.88317</v>
      </c>
      <c r="HO89">
        <v>1.88629</v>
      </c>
      <c r="HP89">
        <v>1.8771100000000001</v>
      </c>
      <c r="HQ89">
        <v>1.88365</v>
      </c>
      <c r="HR89">
        <v>1.8826000000000001</v>
      </c>
      <c r="HS89">
        <v>1.8859900000000001</v>
      </c>
      <c r="HT89">
        <v>5</v>
      </c>
      <c r="HU89">
        <v>0</v>
      </c>
      <c r="HV89">
        <v>0</v>
      </c>
      <c r="HW89">
        <v>0</v>
      </c>
      <c r="HX89" t="s">
        <v>421</v>
      </c>
      <c r="HY89" t="s">
        <v>422</v>
      </c>
      <c r="HZ89" t="s">
        <v>423</v>
      </c>
      <c r="IA89" t="s">
        <v>424</v>
      </c>
      <c r="IB89" t="s">
        <v>424</v>
      </c>
      <c r="IC89" t="s">
        <v>423</v>
      </c>
      <c r="ID89">
        <v>0</v>
      </c>
      <c r="IE89">
        <v>100</v>
      </c>
      <c r="IF89">
        <v>100</v>
      </c>
      <c r="IG89">
        <v>-0.21</v>
      </c>
      <c r="IH89">
        <v>3.8E-3</v>
      </c>
      <c r="II89">
        <v>0.11407349551724549</v>
      </c>
      <c r="IJ89">
        <v>4.4610147972834149E-5</v>
      </c>
      <c r="IK89">
        <v>-2.082673137682459E-7</v>
      </c>
      <c r="IL89">
        <v>-4.0725795306076518E-11</v>
      </c>
      <c r="IM89">
        <v>3.7200000000012778E-3</v>
      </c>
      <c r="IN89">
        <v>0</v>
      </c>
      <c r="IO89">
        <v>0</v>
      </c>
      <c r="IP89">
        <v>0</v>
      </c>
      <c r="IQ89">
        <v>3</v>
      </c>
      <c r="IR89">
        <v>2179</v>
      </c>
      <c r="IS89">
        <v>0</v>
      </c>
      <c r="IT89">
        <v>22</v>
      </c>
      <c r="IU89">
        <v>0.6</v>
      </c>
      <c r="IV89">
        <v>0.6</v>
      </c>
      <c r="IW89">
        <v>2.5854499999999998</v>
      </c>
      <c r="IX89">
        <v>2.6721200000000001</v>
      </c>
      <c r="IY89">
        <v>1.6015600000000001</v>
      </c>
      <c r="IZ89">
        <v>2.323</v>
      </c>
      <c r="JA89">
        <v>1.5502899999999999</v>
      </c>
      <c r="JB89">
        <v>2.3278799999999999</v>
      </c>
      <c r="JC89">
        <v>44.029499999999999</v>
      </c>
      <c r="JD89">
        <v>24.192599999999999</v>
      </c>
      <c r="JE89">
        <v>18</v>
      </c>
      <c r="JF89">
        <v>612.45899999999995</v>
      </c>
      <c r="JG89">
        <v>394.43</v>
      </c>
      <c r="JH89">
        <v>25.9251</v>
      </c>
      <c r="JI89">
        <v>35.198900000000002</v>
      </c>
      <c r="JJ89">
        <v>30</v>
      </c>
      <c r="JK89">
        <v>35.294400000000003</v>
      </c>
      <c r="JL89">
        <v>35.289700000000003</v>
      </c>
      <c r="JM89">
        <v>51.736699999999999</v>
      </c>
      <c r="JN89">
        <v>20.802499999999998</v>
      </c>
      <c r="JO89">
        <v>51.073799999999999</v>
      </c>
      <c r="JP89">
        <v>25.931899999999999</v>
      </c>
      <c r="JQ89">
        <v>1250</v>
      </c>
      <c r="JR89">
        <v>25.6539</v>
      </c>
      <c r="JS89">
        <v>98.458500000000001</v>
      </c>
      <c r="JT89">
        <v>98.904899999999998</v>
      </c>
    </row>
    <row r="90" spans="1:280" x14ac:dyDescent="0.25">
      <c r="A90">
        <v>74</v>
      </c>
      <c r="B90">
        <v>1700163936.0999999</v>
      </c>
      <c r="C90">
        <v>16062.599999904631</v>
      </c>
      <c r="D90" t="s">
        <v>727</v>
      </c>
      <c r="E90" t="s">
        <v>728</v>
      </c>
      <c r="F90" t="s">
        <v>412</v>
      </c>
      <c r="G90" t="s">
        <v>481</v>
      </c>
      <c r="H90" t="s">
        <v>413</v>
      </c>
      <c r="I90">
        <v>1700163936.0999999</v>
      </c>
      <c r="J90">
        <f t="shared" si="92"/>
        <v>1.8060505950583834E-3</v>
      </c>
      <c r="K90">
        <f t="shared" si="93"/>
        <v>1.8060505950583834</v>
      </c>
      <c r="L90">
        <f t="shared" si="94"/>
        <v>40.383190812432829</v>
      </c>
      <c r="M90">
        <f t="shared" si="95"/>
        <v>961.34500000000003</v>
      </c>
      <c r="N90">
        <f t="shared" si="96"/>
        <v>360.05207434905509</v>
      </c>
      <c r="O90">
        <f t="shared" si="97"/>
        <v>35.644629072439386</v>
      </c>
      <c r="P90">
        <f t="shared" si="98"/>
        <v>95.171749802013508</v>
      </c>
      <c r="Q90">
        <f t="shared" si="99"/>
        <v>0.11246274132799933</v>
      </c>
      <c r="R90">
        <f t="shared" si="100"/>
        <v>3.2288795194347539</v>
      </c>
      <c r="S90">
        <f t="shared" si="101"/>
        <v>0.11033107309807298</v>
      </c>
      <c r="T90">
        <f t="shared" si="102"/>
        <v>6.9145077257713378E-2</v>
      </c>
      <c r="U90">
        <f t="shared" si="103"/>
        <v>344.40549930241718</v>
      </c>
      <c r="V90">
        <f t="shared" si="104"/>
        <v>30.908420536714285</v>
      </c>
      <c r="W90">
        <f t="shared" si="105"/>
        <v>29.995899999999999</v>
      </c>
      <c r="X90">
        <f t="shared" si="106"/>
        <v>4.2594465367311711</v>
      </c>
      <c r="Y90">
        <f t="shared" si="107"/>
        <v>65.17909533726629</v>
      </c>
      <c r="Z90">
        <f t="shared" si="108"/>
        <v>2.6958291964473005</v>
      </c>
      <c r="AA90">
        <f t="shared" si="109"/>
        <v>4.1360334667086951</v>
      </c>
      <c r="AB90">
        <f t="shared" si="110"/>
        <v>1.5636173402838707</v>
      </c>
      <c r="AC90">
        <f t="shared" si="111"/>
        <v>-79.646831242074711</v>
      </c>
      <c r="AD90">
        <f t="shared" si="112"/>
        <v>-88.935097669787382</v>
      </c>
      <c r="AE90">
        <f t="shared" si="113"/>
        <v>-6.1086356091603804</v>
      </c>
      <c r="AF90">
        <f t="shared" si="114"/>
        <v>169.7149347813947</v>
      </c>
      <c r="AG90">
        <v>0</v>
      </c>
      <c r="AH90">
        <v>0</v>
      </c>
      <c r="AI90">
        <f t="shared" si="115"/>
        <v>1</v>
      </c>
      <c r="AJ90">
        <f t="shared" si="116"/>
        <v>0</v>
      </c>
      <c r="AK90">
        <f t="shared" si="117"/>
        <v>51855.865845300017</v>
      </c>
      <c r="AL90" t="s">
        <v>415</v>
      </c>
      <c r="AM90">
        <v>6977.87</v>
      </c>
      <c r="AN90">
        <v>273.15280000000001</v>
      </c>
      <c r="AO90">
        <v>850.46774885301022</v>
      </c>
      <c r="AP90">
        <f t="shared" si="118"/>
        <v>0.67882050745793765</v>
      </c>
      <c r="AQ90">
        <v>-1.0323826813720729</v>
      </c>
      <c r="AR90" t="s">
        <v>729</v>
      </c>
      <c r="AS90">
        <v>7095.79</v>
      </c>
      <c r="AT90">
        <v>526.58134615384608</v>
      </c>
      <c r="AU90">
        <v>775.38186948092527</v>
      </c>
      <c r="AV90">
        <f t="shared" si="119"/>
        <v>0.32087482712697057</v>
      </c>
      <c r="AW90">
        <v>0.5</v>
      </c>
      <c r="AX90">
        <f t="shared" si="120"/>
        <v>1513.3442996512088</v>
      </c>
      <c r="AY90">
        <f t="shared" si="121"/>
        <v>40.383190812432829</v>
      </c>
      <c r="AZ90">
        <f t="shared" si="122"/>
        <v>242.79704526708397</v>
      </c>
      <c r="BA90">
        <f t="shared" si="123"/>
        <v>2.7366920735321262E-2</v>
      </c>
      <c r="BB90">
        <f t="shared" si="124"/>
        <v>9.6837290537049495E-2</v>
      </c>
      <c r="BC90">
        <f t="shared" si="125"/>
        <v>264.91342251026413</v>
      </c>
      <c r="BD90" t="s">
        <v>730</v>
      </c>
      <c r="BE90">
        <v>393.47</v>
      </c>
      <c r="BF90">
        <f t="shared" si="126"/>
        <v>393.47</v>
      </c>
      <c r="BG90">
        <f t="shared" si="127"/>
        <v>0.49254681404479295</v>
      </c>
      <c r="BH90">
        <f t="shared" si="128"/>
        <v>0.6514605677619707</v>
      </c>
      <c r="BI90">
        <f t="shared" si="129"/>
        <v>0.1643025147509769</v>
      </c>
      <c r="BJ90">
        <f t="shared" si="130"/>
        <v>0.49539251796839423</v>
      </c>
      <c r="BK90">
        <f t="shared" si="131"/>
        <v>0.13006051466580421</v>
      </c>
      <c r="BL90">
        <f t="shared" si="132"/>
        <v>0.48678175075805513</v>
      </c>
      <c r="BM90">
        <f t="shared" si="133"/>
        <v>0.51321824924194481</v>
      </c>
      <c r="BN90">
        <v>11334</v>
      </c>
      <c r="BO90">
        <v>290.00000000000011</v>
      </c>
      <c r="BP90">
        <v>703.15</v>
      </c>
      <c r="BQ90">
        <v>285</v>
      </c>
      <c r="BR90">
        <v>7095.79</v>
      </c>
      <c r="BS90">
        <v>704.95</v>
      </c>
      <c r="BT90">
        <v>-1.8</v>
      </c>
      <c r="BU90">
        <v>300.00000000000011</v>
      </c>
      <c r="BV90">
        <v>38.299999999999997</v>
      </c>
      <c r="BW90">
        <v>775.38186948092527</v>
      </c>
      <c r="BX90">
        <v>1.281201311495503</v>
      </c>
      <c r="BY90">
        <v>-49.975736788687783</v>
      </c>
      <c r="BZ90">
        <v>0.76205883554343623</v>
      </c>
      <c r="CA90">
        <v>0.99353157866196229</v>
      </c>
      <c r="CB90">
        <v>-6.9965321468298198E-3</v>
      </c>
      <c r="CC90">
        <v>289.99999999999989</v>
      </c>
      <c r="CD90">
        <v>711.89</v>
      </c>
      <c r="CE90">
        <v>845</v>
      </c>
      <c r="CF90">
        <v>7087.21</v>
      </c>
      <c r="CG90">
        <v>704.87</v>
      </c>
      <c r="CH90">
        <v>7.02</v>
      </c>
      <c r="CV90">
        <f t="shared" si="134"/>
        <v>1800.19</v>
      </c>
      <c r="CW90">
        <f t="shared" si="135"/>
        <v>1513.3442996512088</v>
      </c>
      <c r="CX90">
        <f t="shared" si="136"/>
        <v>0.84065809700709848</v>
      </c>
      <c r="CY90">
        <f t="shared" si="137"/>
        <v>0.19131619401419694</v>
      </c>
      <c r="CZ90">
        <v>4.5999999999999996</v>
      </c>
      <c r="DA90">
        <v>0.5</v>
      </c>
      <c r="DB90" t="s">
        <v>418</v>
      </c>
      <c r="DC90">
        <v>2</v>
      </c>
      <c r="DD90">
        <v>1700163936.0999999</v>
      </c>
      <c r="DE90">
        <v>961.34500000000003</v>
      </c>
      <c r="DF90">
        <v>1000.08</v>
      </c>
      <c r="DG90">
        <v>27.231000000000002</v>
      </c>
      <c r="DH90">
        <v>25.615300000000001</v>
      </c>
      <c r="DI90">
        <v>961.63599999999997</v>
      </c>
      <c r="DJ90">
        <v>27.2227</v>
      </c>
      <c r="DK90">
        <v>500.19200000000001</v>
      </c>
      <c r="DL90">
        <v>98.898700000000005</v>
      </c>
      <c r="DM90">
        <v>9.9838300000000005E-2</v>
      </c>
      <c r="DN90">
        <v>29.484999999999999</v>
      </c>
      <c r="DO90">
        <v>29.995899999999999</v>
      </c>
      <c r="DP90">
        <v>999.9</v>
      </c>
      <c r="DQ90">
        <v>0</v>
      </c>
      <c r="DR90">
        <v>0</v>
      </c>
      <c r="DS90">
        <v>9998.1200000000008</v>
      </c>
      <c r="DT90">
        <v>0</v>
      </c>
      <c r="DU90">
        <v>495.64699999999999</v>
      </c>
      <c r="DV90">
        <v>-38.735799999999998</v>
      </c>
      <c r="DW90">
        <v>988.25599999999997</v>
      </c>
      <c r="DX90">
        <v>1026.3699999999999</v>
      </c>
      <c r="DY90">
        <v>1.6157300000000001</v>
      </c>
      <c r="DZ90">
        <v>1000.08</v>
      </c>
      <c r="EA90">
        <v>25.615300000000001</v>
      </c>
      <c r="EB90">
        <v>2.6931099999999999</v>
      </c>
      <c r="EC90">
        <v>2.5333199999999998</v>
      </c>
      <c r="ED90">
        <v>22.243200000000002</v>
      </c>
      <c r="EE90">
        <v>21.2422</v>
      </c>
      <c r="EF90">
        <v>1800.19</v>
      </c>
      <c r="EG90">
        <v>0.97800100000000001</v>
      </c>
      <c r="EH90">
        <v>2.1999000000000001E-2</v>
      </c>
      <c r="EI90">
        <v>0</v>
      </c>
      <c r="EJ90">
        <v>526.43600000000004</v>
      </c>
      <c r="EK90">
        <v>5.0005300000000004</v>
      </c>
      <c r="EL90">
        <v>10631.2</v>
      </c>
      <c r="EM90">
        <v>16037</v>
      </c>
      <c r="EN90">
        <v>48.125</v>
      </c>
      <c r="EO90">
        <v>49.375</v>
      </c>
      <c r="EP90">
        <v>48.75</v>
      </c>
      <c r="EQ90">
        <v>48.625</v>
      </c>
      <c r="ER90">
        <v>49.25</v>
      </c>
      <c r="ES90">
        <v>1755.7</v>
      </c>
      <c r="ET90">
        <v>39.49</v>
      </c>
      <c r="EU90">
        <v>0</v>
      </c>
      <c r="EV90">
        <v>190.79999995231631</v>
      </c>
      <c r="EW90">
        <v>0</v>
      </c>
      <c r="EX90">
        <v>526.58134615384608</v>
      </c>
      <c r="EY90">
        <v>-1.5407521377962059</v>
      </c>
      <c r="EZ90">
        <v>27.213675192553719</v>
      </c>
      <c r="FA90">
        <v>10629.707692307689</v>
      </c>
      <c r="FB90">
        <v>15</v>
      </c>
      <c r="FC90">
        <v>1700163905.5999999</v>
      </c>
      <c r="FD90" t="s">
        <v>731</v>
      </c>
      <c r="FE90">
        <v>1700163902.5999999</v>
      </c>
      <c r="FF90">
        <v>1700163905.5999999</v>
      </c>
      <c r="FG90">
        <v>81</v>
      </c>
      <c r="FH90">
        <v>-0.219</v>
      </c>
      <c r="FI90">
        <v>5.0000000000000001E-3</v>
      </c>
      <c r="FJ90">
        <v>-0.31</v>
      </c>
      <c r="FK90">
        <v>8.0000000000000002E-3</v>
      </c>
      <c r="FL90">
        <v>1000</v>
      </c>
      <c r="FM90">
        <v>26</v>
      </c>
      <c r="FN90">
        <v>7.0000000000000007E-2</v>
      </c>
      <c r="FO90">
        <v>7.0000000000000007E-2</v>
      </c>
      <c r="FP90">
        <v>40.277878293087859</v>
      </c>
      <c r="FQ90">
        <v>1.1422444472459721</v>
      </c>
      <c r="FR90">
        <v>0.12636618302084271</v>
      </c>
      <c r="FS90">
        <v>0</v>
      </c>
      <c r="FT90">
        <v>0.1086149325467216</v>
      </c>
      <c r="FU90">
        <v>1.96339668088726E-2</v>
      </c>
      <c r="FV90">
        <v>1.5992383011073209E-3</v>
      </c>
      <c r="FW90">
        <v>1</v>
      </c>
      <c r="FX90">
        <v>1</v>
      </c>
      <c r="FY90">
        <v>2</v>
      </c>
      <c r="FZ90" t="s">
        <v>501</v>
      </c>
      <c r="GA90">
        <v>3.1254</v>
      </c>
      <c r="GB90">
        <v>2.7667000000000002</v>
      </c>
      <c r="GC90">
        <v>0.163323</v>
      </c>
      <c r="GD90">
        <v>0.16741600000000001</v>
      </c>
      <c r="GE90">
        <v>0.116525</v>
      </c>
      <c r="GF90">
        <v>0.11186</v>
      </c>
      <c r="GG90">
        <v>19918.400000000001</v>
      </c>
      <c r="GH90">
        <v>20630.900000000001</v>
      </c>
      <c r="GI90">
        <v>23678.2</v>
      </c>
      <c r="GJ90">
        <v>25105.9</v>
      </c>
      <c r="GK90">
        <v>30133.8</v>
      </c>
      <c r="GL90">
        <v>31271.599999999999</v>
      </c>
      <c r="GM90">
        <v>37753</v>
      </c>
      <c r="GN90">
        <v>39091.300000000003</v>
      </c>
      <c r="GO90">
        <v>2.1369799999999999</v>
      </c>
      <c r="GP90">
        <v>1.75528</v>
      </c>
      <c r="GQ90">
        <v>4.6342599999999998E-2</v>
      </c>
      <c r="GR90">
        <v>0</v>
      </c>
      <c r="GS90">
        <v>29.241199999999999</v>
      </c>
      <c r="GT90">
        <v>999.9</v>
      </c>
      <c r="GU90">
        <v>39.9</v>
      </c>
      <c r="GV90">
        <v>40.299999999999997</v>
      </c>
      <c r="GW90">
        <v>30.392600000000002</v>
      </c>
      <c r="GX90">
        <v>60.6858</v>
      </c>
      <c r="GY90">
        <v>26.662700000000001</v>
      </c>
      <c r="GZ90">
        <v>1</v>
      </c>
      <c r="HA90">
        <v>0.66987300000000005</v>
      </c>
      <c r="HB90">
        <v>2.7902200000000001</v>
      </c>
      <c r="HC90">
        <v>20.297599999999999</v>
      </c>
      <c r="HD90">
        <v>5.2518799999999999</v>
      </c>
      <c r="HE90">
        <v>12.0099</v>
      </c>
      <c r="HF90">
        <v>4.9789000000000003</v>
      </c>
      <c r="HG90">
        <v>3.2930000000000001</v>
      </c>
      <c r="HH90">
        <v>9999</v>
      </c>
      <c r="HI90">
        <v>9999</v>
      </c>
      <c r="HJ90">
        <v>9999</v>
      </c>
      <c r="HK90">
        <v>999.9</v>
      </c>
      <c r="HL90">
        <v>1.8760699999999999</v>
      </c>
      <c r="HM90">
        <v>1.8769400000000001</v>
      </c>
      <c r="HN90">
        <v>1.8831500000000001</v>
      </c>
      <c r="HO90">
        <v>1.88629</v>
      </c>
      <c r="HP90">
        <v>1.87714</v>
      </c>
      <c r="HQ90">
        <v>1.8836200000000001</v>
      </c>
      <c r="HR90">
        <v>1.8826000000000001</v>
      </c>
      <c r="HS90">
        <v>1.8859900000000001</v>
      </c>
      <c r="HT90">
        <v>5</v>
      </c>
      <c r="HU90">
        <v>0</v>
      </c>
      <c r="HV90">
        <v>0</v>
      </c>
      <c r="HW90">
        <v>0</v>
      </c>
      <c r="HX90" t="s">
        <v>421</v>
      </c>
      <c r="HY90" t="s">
        <v>422</v>
      </c>
      <c r="HZ90" t="s">
        <v>423</v>
      </c>
      <c r="IA90" t="s">
        <v>424</v>
      </c>
      <c r="IB90" t="s">
        <v>424</v>
      </c>
      <c r="IC90" t="s">
        <v>423</v>
      </c>
      <c r="ID90">
        <v>0</v>
      </c>
      <c r="IE90">
        <v>100</v>
      </c>
      <c r="IF90">
        <v>100</v>
      </c>
      <c r="IG90">
        <v>-0.29099999999999998</v>
      </c>
      <c r="IH90">
        <v>8.3000000000000001E-3</v>
      </c>
      <c r="II90">
        <v>-0.10556566435663101</v>
      </c>
      <c r="IJ90">
        <v>4.4610147972834149E-5</v>
      </c>
      <c r="IK90">
        <v>-2.082673137682459E-7</v>
      </c>
      <c r="IL90">
        <v>-4.0725795306076518E-11</v>
      </c>
      <c r="IM90">
        <v>8.2999999999984198E-3</v>
      </c>
      <c r="IN90">
        <v>0</v>
      </c>
      <c r="IO90">
        <v>0</v>
      </c>
      <c r="IP90">
        <v>0</v>
      </c>
      <c r="IQ90">
        <v>3</v>
      </c>
      <c r="IR90">
        <v>2179</v>
      </c>
      <c r="IS90">
        <v>0</v>
      </c>
      <c r="IT90">
        <v>22</v>
      </c>
      <c r="IU90">
        <v>0.6</v>
      </c>
      <c r="IV90">
        <v>0.5</v>
      </c>
      <c r="IW90">
        <v>2.1533199999999999</v>
      </c>
      <c r="IX90">
        <v>2.6721200000000001</v>
      </c>
      <c r="IY90">
        <v>1.6015600000000001</v>
      </c>
      <c r="IZ90">
        <v>2.323</v>
      </c>
      <c r="JA90">
        <v>1.5502899999999999</v>
      </c>
      <c r="JB90">
        <v>2.4352999999999998</v>
      </c>
      <c r="JC90">
        <v>44.029499999999999</v>
      </c>
      <c r="JD90">
        <v>24.2013</v>
      </c>
      <c r="JE90">
        <v>18</v>
      </c>
      <c r="JF90">
        <v>612.24599999999998</v>
      </c>
      <c r="JG90">
        <v>393.892</v>
      </c>
      <c r="JH90">
        <v>26.3736</v>
      </c>
      <c r="JI90">
        <v>35.179600000000001</v>
      </c>
      <c r="JJ90">
        <v>30</v>
      </c>
      <c r="JK90">
        <v>35.268999999999998</v>
      </c>
      <c r="JL90">
        <v>35.261699999999998</v>
      </c>
      <c r="JM90">
        <v>43.103400000000001</v>
      </c>
      <c r="JN90">
        <v>21.150300000000001</v>
      </c>
      <c r="JO90">
        <v>51.631</v>
      </c>
      <c r="JP90">
        <v>26.383199999999999</v>
      </c>
      <c r="JQ90">
        <v>1000</v>
      </c>
      <c r="JR90">
        <v>25.6297</v>
      </c>
      <c r="JS90">
        <v>98.460400000000007</v>
      </c>
      <c r="JT90">
        <v>98.906999999999996</v>
      </c>
    </row>
    <row r="91" spans="1:280" x14ac:dyDescent="0.25">
      <c r="A91">
        <v>75</v>
      </c>
      <c r="B91">
        <v>1700164245.5999999</v>
      </c>
      <c r="C91">
        <v>16372.099999904631</v>
      </c>
      <c r="D91" t="s">
        <v>732</v>
      </c>
      <c r="E91" t="s">
        <v>733</v>
      </c>
      <c r="F91" t="s">
        <v>412</v>
      </c>
      <c r="G91" t="s">
        <v>481</v>
      </c>
      <c r="H91" t="s">
        <v>413</v>
      </c>
      <c r="I91">
        <v>1700164245.5999999</v>
      </c>
      <c r="J91">
        <f t="shared" si="92"/>
        <v>2.6437796505640889E-3</v>
      </c>
      <c r="K91">
        <f t="shared" si="93"/>
        <v>2.6437796505640887</v>
      </c>
      <c r="L91">
        <f t="shared" si="94"/>
        <v>44.083704603320619</v>
      </c>
      <c r="M91">
        <f t="shared" si="95"/>
        <v>707.82600000000002</v>
      </c>
      <c r="N91">
        <f t="shared" si="96"/>
        <v>271.16640179681451</v>
      </c>
      <c r="O91">
        <f t="shared" si="97"/>
        <v>26.841600138718331</v>
      </c>
      <c r="P91">
        <f t="shared" si="98"/>
        <v>70.064662634807405</v>
      </c>
      <c r="Q91">
        <f t="shared" si="99"/>
        <v>0.17043810335593396</v>
      </c>
      <c r="R91">
        <f t="shared" si="100"/>
        <v>3.2299099367273993</v>
      </c>
      <c r="S91">
        <f t="shared" si="101"/>
        <v>0.16559466502769507</v>
      </c>
      <c r="T91">
        <f t="shared" si="102"/>
        <v>0.10392036470745147</v>
      </c>
      <c r="U91">
        <f t="shared" si="103"/>
        <v>344.41689930244041</v>
      </c>
      <c r="V91">
        <f t="shared" si="104"/>
        <v>30.939315939255621</v>
      </c>
      <c r="W91">
        <f t="shared" si="105"/>
        <v>29.985299999999999</v>
      </c>
      <c r="X91">
        <f t="shared" si="106"/>
        <v>4.2568537595865319</v>
      </c>
      <c r="Y91">
        <f t="shared" si="107"/>
        <v>65.191401570416303</v>
      </c>
      <c r="Z91">
        <f t="shared" si="108"/>
        <v>2.7323026883847001</v>
      </c>
      <c r="AA91">
        <f t="shared" si="109"/>
        <v>4.1912010212472754</v>
      </c>
      <c r="AB91">
        <f t="shared" si="110"/>
        <v>1.5245510712018318</v>
      </c>
      <c r="AC91">
        <f t="shared" si="111"/>
        <v>-116.59068258987632</v>
      </c>
      <c r="AD91">
        <f t="shared" si="112"/>
        <v>-47.067583488741306</v>
      </c>
      <c r="AE91">
        <f t="shared" si="113"/>
        <v>-3.235386452694708</v>
      </c>
      <c r="AF91">
        <f t="shared" si="114"/>
        <v>177.52324677112807</v>
      </c>
      <c r="AG91">
        <v>0</v>
      </c>
      <c r="AH91">
        <v>0</v>
      </c>
      <c r="AI91">
        <f t="shared" si="115"/>
        <v>1</v>
      </c>
      <c r="AJ91">
        <f t="shared" si="116"/>
        <v>0</v>
      </c>
      <c r="AK91">
        <f t="shared" si="117"/>
        <v>51840.971036079893</v>
      </c>
      <c r="AL91" t="s">
        <v>415</v>
      </c>
      <c r="AM91">
        <v>6977.87</v>
      </c>
      <c r="AN91">
        <v>273.15280000000001</v>
      </c>
      <c r="AO91">
        <v>850.46774885301022</v>
      </c>
      <c r="AP91">
        <f t="shared" si="118"/>
        <v>0.67882050745793765</v>
      </c>
      <c r="AQ91">
        <v>-1.0323826813720729</v>
      </c>
      <c r="AR91" t="s">
        <v>734</v>
      </c>
      <c r="AS91">
        <v>7096.19</v>
      </c>
      <c r="AT91">
        <v>522.07947999999999</v>
      </c>
      <c r="AU91">
        <v>776.83152753986167</v>
      </c>
      <c r="AV91">
        <f t="shared" si="119"/>
        <v>0.32793731782054836</v>
      </c>
      <c r="AW91">
        <v>0.5</v>
      </c>
      <c r="AX91">
        <f t="shared" si="120"/>
        <v>1513.39469965122</v>
      </c>
      <c r="AY91">
        <f t="shared" si="121"/>
        <v>44.083704603320619</v>
      </c>
      <c r="AZ91">
        <f t="shared" si="122"/>
        <v>248.14929930372773</v>
      </c>
      <c r="BA91">
        <f t="shared" si="123"/>
        <v>2.9811183622547532E-2</v>
      </c>
      <c r="BB91">
        <f t="shared" si="124"/>
        <v>9.4790464473482702E-2</v>
      </c>
      <c r="BC91">
        <f t="shared" si="125"/>
        <v>265.08243079623008</v>
      </c>
      <c r="BD91" t="s">
        <v>735</v>
      </c>
      <c r="BE91">
        <v>394.63</v>
      </c>
      <c r="BF91">
        <f t="shared" si="126"/>
        <v>394.63</v>
      </c>
      <c r="BG91">
        <f t="shared" si="127"/>
        <v>0.49200053549609535</v>
      </c>
      <c r="BH91">
        <f t="shared" si="128"/>
        <v>0.66653853839789357</v>
      </c>
      <c r="BI91">
        <f t="shared" si="129"/>
        <v>0.16154041980602477</v>
      </c>
      <c r="BJ91">
        <f t="shared" si="130"/>
        <v>0.50578282069635416</v>
      </c>
      <c r="BK91">
        <f t="shared" si="131"/>
        <v>0.12754947963749511</v>
      </c>
      <c r="BL91">
        <f t="shared" si="132"/>
        <v>0.50382386874879814</v>
      </c>
      <c r="BM91">
        <f t="shared" si="133"/>
        <v>0.49617613125120186</v>
      </c>
      <c r="BN91">
        <v>11336</v>
      </c>
      <c r="BO91">
        <v>290.00000000000011</v>
      </c>
      <c r="BP91">
        <v>703.11</v>
      </c>
      <c r="BQ91">
        <v>295</v>
      </c>
      <c r="BR91">
        <v>7096.19</v>
      </c>
      <c r="BS91">
        <v>704.96</v>
      </c>
      <c r="BT91">
        <v>-1.85</v>
      </c>
      <c r="BU91">
        <v>300.00000000000011</v>
      </c>
      <c r="BV91">
        <v>38.299999999999997</v>
      </c>
      <c r="BW91">
        <v>776.83152753986167</v>
      </c>
      <c r="BX91">
        <v>1.509404591038894</v>
      </c>
      <c r="BY91">
        <v>-50.998120723597061</v>
      </c>
      <c r="BZ91">
        <v>0.89784643323295832</v>
      </c>
      <c r="CA91">
        <v>0.99139598880407598</v>
      </c>
      <c r="CB91">
        <v>-6.9969822024471664E-3</v>
      </c>
      <c r="CC91">
        <v>289.99999999999989</v>
      </c>
      <c r="CD91">
        <v>711.59</v>
      </c>
      <c r="CE91">
        <v>775</v>
      </c>
      <c r="CF91">
        <v>7089.01</v>
      </c>
      <c r="CG91">
        <v>704.89</v>
      </c>
      <c r="CH91">
        <v>6.7</v>
      </c>
      <c r="CV91">
        <f t="shared" si="134"/>
        <v>1800.25</v>
      </c>
      <c r="CW91">
        <f t="shared" si="135"/>
        <v>1513.39469965122</v>
      </c>
      <c r="CX91">
        <f t="shared" si="136"/>
        <v>0.84065807507358425</v>
      </c>
      <c r="CY91">
        <f t="shared" si="137"/>
        <v>0.19131615014716868</v>
      </c>
      <c r="CZ91">
        <v>4.5999999999999996</v>
      </c>
      <c r="DA91">
        <v>0.5</v>
      </c>
      <c r="DB91" t="s">
        <v>418</v>
      </c>
      <c r="DC91">
        <v>2</v>
      </c>
      <c r="DD91">
        <v>1700164245.5999999</v>
      </c>
      <c r="DE91">
        <v>707.82600000000002</v>
      </c>
      <c r="DF91">
        <v>750.09500000000003</v>
      </c>
      <c r="DG91">
        <v>27.603000000000002</v>
      </c>
      <c r="DH91">
        <v>25.238399999999999</v>
      </c>
      <c r="DI91">
        <v>708.31799999999998</v>
      </c>
      <c r="DJ91">
        <v>27.6005</v>
      </c>
      <c r="DK91">
        <v>500.11399999999998</v>
      </c>
      <c r="DL91">
        <v>98.885900000000007</v>
      </c>
      <c r="DM91">
        <v>9.9814899999999998E-2</v>
      </c>
      <c r="DN91">
        <v>29.715</v>
      </c>
      <c r="DO91">
        <v>29.985299999999999</v>
      </c>
      <c r="DP91">
        <v>999.9</v>
      </c>
      <c r="DQ91">
        <v>0</v>
      </c>
      <c r="DR91">
        <v>0</v>
      </c>
      <c r="DS91">
        <v>10004.4</v>
      </c>
      <c r="DT91">
        <v>0</v>
      </c>
      <c r="DU91">
        <v>496.88900000000001</v>
      </c>
      <c r="DV91">
        <v>-42.269199999999998</v>
      </c>
      <c r="DW91">
        <v>727.91899999999998</v>
      </c>
      <c r="DX91">
        <v>769.51700000000005</v>
      </c>
      <c r="DY91">
        <v>2.3645299999999998</v>
      </c>
      <c r="DZ91">
        <v>750.09500000000003</v>
      </c>
      <c r="EA91">
        <v>25.238399999999999</v>
      </c>
      <c r="EB91">
        <v>2.7295400000000001</v>
      </c>
      <c r="EC91">
        <v>2.49573</v>
      </c>
      <c r="ED91">
        <v>22.464099999999998</v>
      </c>
      <c r="EE91">
        <v>20.998699999999999</v>
      </c>
      <c r="EF91">
        <v>1800.25</v>
      </c>
      <c r="EG91">
        <v>0.97800100000000001</v>
      </c>
      <c r="EH91">
        <v>2.1999000000000001E-2</v>
      </c>
      <c r="EI91">
        <v>0</v>
      </c>
      <c r="EJ91">
        <v>521.923</v>
      </c>
      <c r="EK91">
        <v>5.0005300000000004</v>
      </c>
      <c r="EL91">
        <v>10508.9</v>
      </c>
      <c r="EM91">
        <v>16037.5</v>
      </c>
      <c r="EN91">
        <v>48</v>
      </c>
      <c r="EO91">
        <v>49.186999999999998</v>
      </c>
      <c r="EP91">
        <v>48.625</v>
      </c>
      <c r="EQ91">
        <v>48.561999999999998</v>
      </c>
      <c r="ER91">
        <v>49.125</v>
      </c>
      <c r="ES91">
        <v>1755.76</v>
      </c>
      <c r="ET91">
        <v>39.49</v>
      </c>
      <c r="EU91">
        <v>0</v>
      </c>
      <c r="EV91">
        <v>307.79999995231628</v>
      </c>
      <c r="EW91">
        <v>0</v>
      </c>
      <c r="EX91">
        <v>522.07947999999999</v>
      </c>
      <c r="EY91">
        <v>-0.57538460564481264</v>
      </c>
      <c r="EZ91">
        <v>-52.761538474879401</v>
      </c>
      <c r="FA91">
        <v>10521.412</v>
      </c>
      <c r="FB91">
        <v>15</v>
      </c>
      <c r="FC91">
        <v>1700164014.0999999</v>
      </c>
      <c r="FD91" t="s">
        <v>736</v>
      </c>
      <c r="FE91">
        <v>1700164014.0999999</v>
      </c>
      <c r="FF91">
        <v>1700164000.0999999</v>
      </c>
      <c r="FG91">
        <v>82</v>
      </c>
      <c r="FH91">
        <v>-0.29899999999999999</v>
      </c>
      <c r="FI91">
        <v>-6.0000000000000001E-3</v>
      </c>
      <c r="FJ91">
        <v>-0.50600000000000001</v>
      </c>
      <c r="FK91">
        <v>2E-3</v>
      </c>
      <c r="FL91">
        <v>750</v>
      </c>
      <c r="FM91">
        <v>26</v>
      </c>
      <c r="FN91">
        <v>0.1</v>
      </c>
      <c r="FO91">
        <v>0.08</v>
      </c>
      <c r="FP91">
        <v>43.807015529592967</v>
      </c>
      <c r="FQ91">
        <v>1.1479795690105461</v>
      </c>
      <c r="FR91">
        <v>0.1067166670692999</v>
      </c>
      <c r="FS91">
        <v>0</v>
      </c>
      <c r="FT91">
        <v>0.1698694150092416</v>
      </c>
      <c r="FU91">
        <v>2.3381389637225719E-2</v>
      </c>
      <c r="FV91">
        <v>1.951755594284969E-3</v>
      </c>
      <c r="FW91">
        <v>1</v>
      </c>
      <c r="FX91">
        <v>1</v>
      </c>
      <c r="FY91">
        <v>2</v>
      </c>
      <c r="FZ91" t="s">
        <v>501</v>
      </c>
      <c r="GA91">
        <v>3.1248900000000002</v>
      </c>
      <c r="GB91">
        <v>2.7667299999999999</v>
      </c>
      <c r="GC91">
        <v>0.13346</v>
      </c>
      <c r="GD91">
        <v>0.138714</v>
      </c>
      <c r="GE91">
        <v>0.117658</v>
      </c>
      <c r="GF91">
        <v>0.110717</v>
      </c>
      <c r="GG91">
        <v>20635.900000000001</v>
      </c>
      <c r="GH91">
        <v>21349.8</v>
      </c>
      <c r="GI91">
        <v>23683.7</v>
      </c>
      <c r="GJ91">
        <v>25112.5</v>
      </c>
      <c r="GK91">
        <v>30101.8</v>
      </c>
      <c r="GL91">
        <v>31319.9</v>
      </c>
      <c r="GM91">
        <v>37761.1</v>
      </c>
      <c r="GN91">
        <v>39101.199999999997</v>
      </c>
      <c r="GO91">
        <v>2.1387499999999999</v>
      </c>
      <c r="GP91">
        <v>1.7567999999999999</v>
      </c>
      <c r="GQ91">
        <v>4.3705099999999997E-2</v>
      </c>
      <c r="GR91">
        <v>0</v>
      </c>
      <c r="GS91">
        <v>29.273700000000002</v>
      </c>
      <c r="GT91">
        <v>999.9</v>
      </c>
      <c r="GU91">
        <v>39.9</v>
      </c>
      <c r="GV91">
        <v>40.200000000000003</v>
      </c>
      <c r="GW91">
        <v>30.234200000000001</v>
      </c>
      <c r="GX91">
        <v>60.535800000000002</v>
      </c>
      <c r="GY91">
        <v>27.099399999999999</v>
      </c>
      <c r="GZ91">
        <v>1</v>
      </c>
      <c r="HA91">
        <v>0.65998500000000004</v>
      </c>
      <c r="HB91">
        <v>2.51417</v>
      </c>
      <c r="HC91">
        <v>20.3019</v>
      </c>
      <c r="HD91">
        <v>5.2527799999999996</v>
      </c>
      <c r="HE91">
        <v>12.0101</v>
      </c>
      <c r="HF91">
        <v>4.9792500000000004</v>
      </c>
      <c r="HG91">
        <v>3.2930000000000001</v>
      </c>
      <c r="HH91">
        <v>9999</v>
      </c>
      <c r="HI91">
        <v>9999</v>
      </c>
      <c r="HJ91">
        <v>9999</v>
      </c>
      <c r="HK91">
        <v>999.9</v>
      </c>
      <c r="HL91">
        <v>1.8760699999999999</v>
      </c>
      <c r="HM91">
        <v>1.87696</v>
      </c>
      <c r="HN91">
        <v>1.8832</v>
      </c>
      <c r="HO91">
        <v>1.88629</v>
      </c>
      <c r="HP91">
        <v>1.8771100000000001</v>
      </c>
      <c r="HQ91">
        <v>1.88365</v>
      </c>
      <c r="HR91">
        <v>1.8825799999999999</v>
      </c>
      <c r="HS91">
        <v>1.8859900000000001</v>
      </c>
      <c r="HT91">
        <v>5</v>
      </c>
      <c r="HU91">
        <v>0</v>
      </c>
      <c r="HV91">
        <v>0</v>
      </c>
      <c r="HW91">
        <v>0</v>
      </c>
      <c r="HX91" t="s">
        <v>421</v>
      </c>
      <c r="HY91" t="s">
        <v>422</v>
      </c>
      <c r="HZ91" t="s">
        <v>423</v>
      </c>
      <c r="IA91" t="s">
        <v>424</v>
      </c>
      <c r="IB91" t="s">
        <v>424</v>
      </c>
      <c r="IC91" t="s">
        <v>423</v>
      </c>
      <c r="ID91">
        <v>0</v>
      </c>
      <c r="IE91">
        <v>100</v>
      </c>
      <c r="IF91">
        <v>100</v>
      </c>
      <c r="IG91">
        <v>-0.49199999999999999</v>
      </c>
      <c r="IH91">
        <v>2.5000000000000001E-3</v>
      </c>
      <c r="II91">
        <v>-0.40492062908627602</v>
      </c>
      <c r="IJ91">
        <v>4.4610147972834149E-5</v>
      </c>
      <c r="IK91">
        <v>-2.082673137682459E-7</v>
      </c>
      <c r="IL91">
        <v>-4.0725795306076518E-11</v>
      </c>
      <c r="IM91">
        <v>2.4476190476185882E-3</v>
      </c>
      <c r="IN91">
        <v>0</v>
      </c>
      <c r="IO91">
        <v>0</v>
      </c>
      <c r="IP91">
        <v>0</v>
      </c>
      <c r="IQ91">
        <v>3</v>
      </c>
      <c r="IR91">
        <v>2179</v>
      </c>
      <c r="IS91">
        <v>0</v>
      </c>
      <c r="IT91">
        <v>22</v>
      </c>
      <c r="IU91">
        <v>3.9</v>
      </c>
      <c r="IV91">
        <v>4.0999999999999996</v>
      </c>
      <c r="IW91">
        <v>1.7028799999999999</v>
      </c>
      <c r="IX91">
        <v>2.6696800000000001</v>
      </c>
      <c r="IY91">
        <v>1.6015600000000001</v>
      </c>
      <c r="IZ91">
        <v>2.323</v>
      </c>
      <c r="JA91">
        <v>1.5502899999999999</v>
      </c>
      <c r="JB91">
        <v>2.3877000000000002</v>
      </c>
      <c r="JC91">
        <v>43.919199999999996</v>
      </c>
      <c r="JD91">
        <v>24.210100000000001</v>
      </c>
      <c r="JE91">
        <v>18</v>
      </c>
      <c r="JF91">
        <v>612.58799999999997</v>
      </c>
      <c r="JG91">
        <v>394.21699999999998</v>
      </c>
      <c r="JH91">
        <v>26.747499999999999</v>
      </c>
      <c r="JI91">
        <v>35.063800000000001</v>
      </c>
      <c r="JJ91">
        <v>30.0001</v>
      </c>
      <c r="JK91">
        <v>35.163899999999998</v>
      </c>
      <c r="JL91">
        <v>35.160400000000003</v>
      </c>
      <c r="JM91">
        <v>34.0794</v>
      </c>
      <c r="JN91">
        <v>21.759599999999999</v>
      </c>
      <c r="JO91">
        <v>52.521700000000003</v>
      </c>
      <c r="JP91">
        <v>26.752400000000002</v>
      </c>
      <c r="JQ91">
        <v>750</v>
      </c>
      <c r="JR91">
        <v>25.2636</v>
      </c>
      <c r="JS91">
        <v>98.482200000000006</v>
      </c>
      <c r="JT91">
        <v>98.932500000000005</v>
      </c>
    </row>
    <row r="92" spans="1:280" x14ac:dyDescent="0.25">
      <c r="A92">
        <v>76</v>
      </c>
      <c r="B92">
        <v>1700164362.0999999</v>
      </c>
      <c r="C92">
        <v>16488.599999904629</v>
      </c>
      <c r="D92" t="s">
        <v>737</v>
      </c>
      <c r="E92" t="s">
        <v>738</v>
      </c>
      <c r="F92" t="s">
        <v>412</v>
      </c>
      <c r="G92" t="s">
        <v>481</v>
      </c>
      <c r="H92" t="s">
        <v>413</v>
      </c>
      <c r="I92">
        <v>1700164362.0999999</v>
      </c>
      <c r="J92">
        <f t="shared" si="92"/>
        <v>2.7287081216499946E-3</v>
      </c>
      <c r="K92">
        <f t="shared" si="93"/>
        <v>2.7287081216499947</v>
      </c>
      <c r="L92">
        <f t="shared" si="94"/>
        <v>41.338429354171467</v>
      </c>
      <c r="M92">
        <f t="shared" si="95"/>
        <v>560.58299999999997</v>
      </c>
      <c r="N92">
        <f t="shared" si="96"/>
        <v>169.62792587970051</v>
      </c>
      <c r="O92">
        <f t="shared" si="97"/>
        <v>16.790754758147376</v>
      </c>
      <c r="P92">
        <f t="shared" si="98"/>
        <v>55.489752797318999</v>
      </c>
      <c r="Q92">
        <f t="shared" si="99"/>
        <v>0.17777446653865964</v>
      </c>
      <c r="R92">
        <f t="shared" si="100"/>
        <v>3.2363472434305267</v>
      </c>
      <c r="S92">
        <f t="shared" si="101"/>
        <v>0.17252215586866815</v>
      </c>
      <c r="T92">
        <f t="shared" si="102"/>
        <v>0.10828532074027399</v>
      </c>
      <c r="U92">
        <f t="shared" si="103"/>
        <v>344.34849930230092</v>
      </c>
      <c r="V92">
        <f t="shared" si="104"/>
        <v>30.849131819071275</v>
      </c>
      <c r="W92">
        <f t="shared" si="105"/>
        <v>29.951899999999998</v>
      </c>
      <c r="X92">
        <f t="shared" si="106"/>
        <v>4.248693058485661</v>
      </c>
      <c r="Y92">
        <f t="shared" si="107"/>
        <v>65.589689123592422</v>
      </c>
      <c r="Z92">
        <f t="shared" si="108"/>
        <v>2.7383330789727003</v>
      </c>
      <c r="AA92">
        <f t="shared" si="109"/>
        <v>4.1749444395334541</v>
      </c>
      <c r="AB92">
        <f t="shared" si="110"/>
        <v>1.5103599795129607</v>
      </c>
      <c r="AC92">
        <f t="shared" si="111"/>
        <v>-120.33602816476476</v>
      </c>
      <c r="AD92">
        <f t="shared" si="112"/>
        <v>-53.111088767733982</v>
      </c>
      <c r="AE92">
        <f t="shared" si="113"/>
        <v>-3.6417298896461174</v>
      </c>
      <c r="AF92">
        <f t="shared" si="114"/>
        <v>167.25965248015609</v>
      </c>
      <c r="AG92">
        <v>0</v>
      </c>
      <c r="AH92">
        <v>0</v>
      </c>
      <c r="AI92">
        <f t="shared" si="115"/>
        <v>1</v>
      </c>
      <c r="AJ92">
        <f t="shared" si="116"/>
        <v>0</v>
      </c>
      <c r="AK92">
        <f t="shared" si="117"/>
        <v>52007.439594436706</v>
      </c>
      <c r="AL92" t="s">
        <v>427</v>
      </c>
      <c r="AM92" t="s">
        <v>427</v>
      </c>
      <c r="AN92">
        <v>0</v>
      </c>
      <c r="AO92">
        <v>0</v>
      </c>
      <c r="AP92" t="e">
        <f t="shared" si="118"/>
        <v>#DIV/0!</v>
      </c>
      <c r="AQ92">
        <v>0</v>
      </c>
      <c r="AR92" t="s">
        <v>427</v>
      </c>
      <c r="AS92" t="s">
        <v>427</v>
      </c>
      <c r="AT92">
        <v>0</v>
      </c>
      <c r="AU92">
        <v>0</v>
      </c>
      <c r="AV92" t="e">
        <f t="shared" si="119"/>
        <v>#DIV/0!</v>
      </c>
      <c r="AW92">
        <v>0.5</v>
      </c>
      <c r="AX92">
        <f t="shared" si="120"/>
        <v>1513.0922996511504</v>
      </c>
      <c r="AY92">
        <f t="shared" si="121"/>
        <v>41.338429354171467</v>
      </c>
      <c r="AZ92" t="e">
        <f t="shared" si="122"/>
        <v>#DIV/0!</v>
      </c>
      <c r="BA92">
        <f t="shared" si="123"/>
        <v>2.73204941719036E-2</v>
      </c>
      <c r="BB92" t="e">
        <f t="shared" si="124"/>
        <v>#DIV/0!</v>
      </c>
      <c r="BC92" t="e">
        <f t="shared" si="125"/>
        <v>#DIV/0!</v>
      </c>
      <c r="BD92" t="s">
        <v>427</v>
      </c>
      <c r="BE92">
        <v>0</v>
      </c>
      <c r="BF92" t="e">
        <f t="shared" si="126"/>
        <v>#DIV/0!</v>
      </c>
      <c r="BG92" t="e">
        <f t="shared" si="127"/>
        <v>#DIV/0!</v>
      </c>
      <c r="BH92" t="e">
        <f t="shared" si="128"/>
        <v>#DIV/0!</v>
      </c>
      <c r="BI92" t="e">
        <f t="shared" si="129"/>
        <v>#DIV/0!</v>
      </c>
      <c r="BJ92" t="e">
        <f t="shared" si="130"/>
        <v>#DIV/0!</v>
      </c>
      <c r="BK92" t="e">
        <f t="shared" si="131"/>
        <v>#DIV/0!</v>
      </c>
      <c r="BL92" t="e">
        <f t="shared" si="132"/>
        <v>#DIV/0!</v>
      </c>
      <c r="BM92" t="e">
        <f t="shared" si="133"/>
        <v>#DIV/0!</v>
      </c>
      <c r="BN92">
        <v>11336</v>
      </c>
      <c r="BO92">
        <v>290.00000000000011</v>
      </c>
      <c r="BP92">
        <v>703.11</v>
      </c>
      <c r="BQ92">
        <v>295</v>
      </c>
      <c r="BR92">
        <v>7096.19</v>
      </c>
      <c r="BS92">
        <v>704.96</v>
      </c>
      <c r="BT92">
        <v>-1.85</v>
      </c>
      <c r="BU92">
        <v>300.00000000000011</v>
      </c>
      <c r="BV92">
        <v>38.299999999999997</v>
      </c>
      <c r="BW92">
        <v>776.83152753986167</v>
      </c>
      <c r="BX92">
        <v>1.509404591038894</v>
      </c>
      <c r="BY92">
        <v>-50.998120723597061</v>
      </c>
      <c r="BZ92">
        <v>0.89784643323295832</v>
      </c>
      <c r="CA92">
        <v>0.99139598880407598</v>
      </c>
      <c r="CB92">
        <v>-6.9969822024471664E-3</v>
      </c>
      <c r="CC92">
        <v>289.99999999999989</v>
      </c>
      <c r="CD92">
        <v>711.59</v>
      </c>
      <c r="CE92">
        <v>775</v>
      </c>
      <c r="CF92">
        <v>7089.01</v>
      </c>
      <c r="CG92">
        <v>704.89</v>
      </c>
      <c r="CH92">
        <v>6.7</v>
      </c>
      <c r="CV92">
        <f t="shared" si="134"/>
        <v>1799.89</v>
      </c>
      <c r="CW92">
        <f t="shared" si="135"/>
        <v>1513.0922996511504</v>
      </c>
      <c r="CX92">
        <f t="shared" si="136"/>
        <v>0.84065820669660385</v>
      </c>
      <c r="CY92">
        <f t="shared" si="137"/>
        <v>0.19131641339320787</v>
      </c>
      <c r="CZ92">
        <v>4.5999999999999996</v>
      </c>
      <c r="DA92">
        <v>0.5</v>
      </c>
      <c r="DB92" t="s">
        <v>418</v>
      </c>
      <c r="DC92">
        <v>2</v>
      </c>
      <c r="DD92">
        <v>1700164362.0999999</v>
      </c>
      <c r="DE92">
        <v>560.58299999999997</v>
      </c>
      <c r="DF92">
        <v>599.99800000000005</v>
      </c>
      <c r="DG92">
        <v>27.663900000000002</v>
      </c>
      <c r="DH92">
        <v>25.224399999999999</v>
      </c>
      <c r="DI92">
        <v>560.77599999999995</v>
      </c>
      <c r="DJ92">
        <v>27.662700000000001</v>
      </c>
      <c r="DK92">
        <v>500.3</v>
      </c>
      <c r="DL92">
        <v>98.8857</v>
      </c>
      <c r="DM92">
        <v>0.100093</v>
      </c>
      <c r="DN92">
        <v>29.647500000000001</v>
      </c>
      <c r="DO92">
        <v>29.951899999999998</v>
      </c>
      <c r="DP92">
        <v>999.9</v>
      </c>
      <c r="DQ92">
        <v>0</v>
      </c>
      <c r="DR92">
        <v>0</v>
      </c>
      <c r="DS92">
        <v>10035.6</v>
      </c>
      <c r="DT92">
        <v>0</v>
      </c>
      <c r="DU92">
        <v>478.03100000000001</v>
      </c>
      <c r="DV92">
        <v>-39.414999999999999</v>
      </c>
      <c r="DW92">
        <v>576.53200000000004</v>
      </c>
      <c r="DX92">
        <v>615.524</v>
      </c>
      <c r="DY92">
        <v>2.4395099999999998</v>
      </c>
      <c r="DZ92">
        <v>599.99800000000005</v>
      </c>
      <c r="EA92">
        <v>25.224399999999999</v>
      </c>
      <c r="EB92">
        <v>2.7355700000000001</v>
      </c>
      <c r="EC92">
        <v>2.4943399999999998</v>
      </c>
      <c r="ED92">
        <v>22.500299999999999</v>
      </c>
      <c r="EE92">
        <v>20.989599999999999</v>
      </c>
      <c r="EF92">
        <v>1799.89</v>
      </c>
      <c r="EG92">
        <v>0.97799700000000001</v>
      </c>
      <c r="EH92">
        <v>2.2002600000000001E-2</v>
      </c>
      <c r="EI92">
        <v>0</v>
      </c>
      <c r="EJ92">
        <v>522.05999999999995</v>
      </c>
      <c r="EK92">
        <v>5.0005300000000004</v>
      </c>
      <c r="EL92">
        <v>10365.299999999999</v>
      </c>
      <c r="EM92">
        <v>16034.3</v>
      </c>
      <c r="EN92">
        <v>48</v>
      </c>
      <c r="EO92">
        <v>49.186999999999998</v>
      </c>
      <c r="EP92">
        <v>48.625</v>
      </c>
      <c r="EQ92">
        <v>48.5</v>
      </c>
      <c r="ER92">
        <v>49.186999999999998</v>
      </c>
      <c r="ES92">
        <v>1755.4</v>
      </c>
      <c r="ET92">
        <v>39.49</v>
      </c>
      <c r="EU92">
        <v>0</v>
      </c>
      <c r="EV92">
        <v>114.5999999046326</v>
      </c>
      <c r="EW92">
        <v>0</v>
      </c>
      <c r="EX92">
        <v>522.21284000000003</v>
      </c>
      <c r="EY92">
        <v>-1.118692311491257</v>
      </c>
      <c r="EZ92">
        <v>-452.90769299148468</v>
      </c>
      <c r="FA92">
        <v>10415.08</v>
      </c>
      <c r="FB92">
        <v>15</v>
      </c>
      <c r="FC92">
        <v>1700164325.5999999</v>
      </c>
      <c r="FD92" t="s">
        <v>739</v>
      </c>
      <c r="FE92">
        <v>1700164325.5999999</v>
      </c>
      <c r="FF92">
        <v>1700164314.0999999</v>
      </c>
      <c r="FG92">
        <v>83</v>
      </c>
      <c r="FH92">
        <v>0.25900000000000001</v>
      </c>
      <c r="FI92">
        <v>-1E-3</v>
      </c>
      <c r="FJ92">
        <v>-0.20300000000000001</v>
      </c>
      <c r="FK92">
        <v>1E-3</v>
      </c>
      <c r="FL92">
        <v>600</v>
      </c>
      <c r="FM92">
        <v>25</v>
      </c>
      <c r="FN92">
        <v>0.11</v>
      </c>
      <c r="FO92">
        <v>0.03</v>
      </c>
      <c r="FP92">
        <v>41.234819627944077</v>
      </c>
      <c r="FQ92">
        <v>0.1945813870957894</v>
      </c>
      <c r="FR92">
        <v>3.4043409846128338E-2</v>
      </c>
      <c r="FS92">
        <v>1</v>
      </c>
      <c r="FT92">
        <v>0.1749836736048393</v>
      </c>
      <c r="FU92">
        <v>4.8569768751053358E-2</v>
      </c>
      <c r="FV92">
        <v>4.0584873504473E-3</v>
      </c>
      <c r="FW92">
        <v>1</v>
      </c>
      <c r="FX92">
        <v>2</v>
      </c>
      <c r="FY92">
        <v>2</v>
      </c>
      <c r="FZ92" t="s">
        <v>420</v>
      </c>
      <c r="GA92">
        <v>3.1252900000000001</v>
      </c>
      <c r="GB92">
        <v>2.76728</v>
      </c>
      <c r="GC92">
        <v>0.11343399999999999</v>
      </c>
      <c r="GD92">
        <v>0.119022</v>
      </c>
      <c r="GE92">
        <v>0.11785</v>
      </c>
      <c r="GF92">
        <v>0.110682</v>
      </c>
      <c r="GG92">
        <v>21114.799999999999</v>
      </c>
      <c r="GH92">
        <v>21840</v>
      </c>
      <c r="GI92">
        <v>23685.3</v>
      </c>
      <c r="GJ92">
        <v>25114.1</v>
      </c>
      <c r="GK92">
        <v>30097.4</v>
      </c>
      <c r="GL92">
        <v>31322.5</v>
      </c>
      <c r="GM92">
        <v>37763.699999999997</v>
      </c>
      <c r="GN92">
        <v>39102.800000000003</v>
      </c>
      <c r="GO92">
        <v>2.1387299999999998</v>
      </c>
      <c r="GP92">
        <v>1.7565</v>
      </c>
      <c r="GQ92">
        <v>3.8418899999999999E-2</v>
      </c>
      <c r="GR92">
        <v>0</v>
      </c>
      <c r="GS92">
        <v>29.3263</v>
      </c>
      <c r="GT92">
        <v>999.9</v>
      </c>
      <c r="GU92">
        <v>39.9</v>
      </c>
      <c r="GV92">
        <v>40.200000000000003</v>
      </c>
      <c r="GW92">
        <v>30.234200000000001</v>
      </c>
      <c r="GX92">
        <v>60.445799999999998</v>
      </c>
      <c r="GY92">
        <v>26.710699999999999</v>
      </c>
      <c r="GZ92">
        <v>1</v>
      </c>
      <c r="HA92">
        <v>0.65776199999999996</v>
      </c>
      <c r="HB92">
        <v>2.3972600000000002</v>
      </c>
      <c r="HC92">
        <v>20.304200000000002</v>
      </c>
      <c r="HD92">
        <v>5.2526299999999999</v>
      </c>
      <c r="HE92">
        <v>12.0099</v>
      </c>
      <c r="HF92">
        <v>4.9793500000000002</v>
      </c>
      <c r="HG92">
        <v>3.2930000000000001</v>
      </c>
      <c r="HH92">
        <v>9999</v>
      </c>
      <c r="HI92">
        <v>9999</v>
      </c>
      <c r="HJ92">
        <v>9999</v>
      </c>
      <c r="HK92">
        <v>999.9</v>
      </c>
      <c r="HL92">
        <v>1.8760699999999999</v>
      </c>
      <c r="HM92">
        <v>1.8769499999999999</v>
      </c>
      <c r="HN92">
        <v>1.8831899999999999</v>
      </c>
      <c r="HO92">
        <v>1.8863099999999999</v>
      </c>
      <c r="HP92">
        <v>1.87713</v>
      </c>
      <c r="HQ92">
        <v>1.8836599999999999</v>
      </c>
      <c r="HR92">
        <v>1.88263</v>
      </c>
      <c r="HS92">
        <v>1.8859900000000001</v>
      </c>
      <c r="HT92">
        <v>5</v>
      </c>
      <c r="HU92">
        <v>0</v>
      </c>
      <c r="HV92">
        <v>0</v>
      </c>
      <c r="HW92">
        <v>0</v>
      </c>
      <c r="HX92" t="s">
        <v>421</v>
      </c>
      <c r="HY92" t="s">
        <v>422</v>
      </c>
      <c r="HZ92" t="s">
        <v>423</v>
      </c>
      <c r="IA92" t="s">
        <v>424</v>
      </c>
      <c r="IB92" t="s">
        <v>424</v>
      </c>
      <c r="IC92" t="s">
        <v>423</v>
      </c>
      <c r="ID92">
        <v>0</v>
      </c>
      <c r="IE92">
        <v>100</v>
      </c>
      <c r="IF92">
        <v>100</v>
      </c>
      <c r="IG92">
        <v>-0.193</v>
      </c>
      <c r="IH92">
        <v>1.1999999999999999E-3</v>
      </c>
      <c r="II92">
        <v>-0.14570047482147599</v>
      </c>
      <c r="IJ92">
        <v>4.4610147972834149E-5</v>
      </c>
      <c r="IK92">
        <v>-2.082673137682459E-7</v>
      </c>
      <c r="IL92">
        <v>-4.0725795306076518E-11</v>
      </c>
      <c r="IM92">
        <v>1.2449999999972761E-3</v>
      </c>
      <c r="IN92">
        <v>0</v>
      </c>
      <c r="IO92">
        <v>0</v>
      </c>
      <c r="IP92">
        <v>0</v>
      </c>
      <c r="IQ92">
        <v>3</v>
      </c>
      <c r="IR92">
        <v>2179</v>
      </c>
      <c r="IS92">
        <v>0</v>
      </c>
      <c r="IT92">
        <v>22</v>
      </c>
      <c r="IU92">
        <v>0.6</v>
      </c>
      <c r="IV92">
        <v>0.8</v>
      </c>
      <c r="IW92">
        <v>1.4209000000000001</v>
      </c>
      <c r="IX92">
        <v>2.67944</v>
      </c>
      <c r="IY92">
        <v>1.6015600000000001</v>
      </c>
      <c r="IZ92">
        <v>2.32422</v>
      </c>
      <c r="JA92">
        <v>1.5502899999999999</v>
      </c>
      <c r="JB92">
        <v>2.4584999999999999</v>
      </c>
      <c r="JC92">
        <v>43.8917</v>
      </c>
      <c r="JD92">
        <v>24.210100000000001</v>
      </c>
      <c r="JE92">
        <v>18</v>
      </c>
      <c r="JF92">
        <v>612.303</v>
      </c>
      <c r="JG92">
        <v>393.82600000000002</v>
      </c>
      <c r="JH92">
        <v>26.7103</v>
      </c>
      <c r="JI92">
        <v>35.043999999999997</v>
      </c>
      <c r="JJ92">
        <v>30.000399999999999</v>
      </c>
      <c r="JK92">
        <v>35.134599999999999</v>
      </c>
      <c r="JL92">
        <v>35.128399999999999</v>
      </c>
      <c r="JM92">
        <v>28.432600000000001</v>
      </c>
      <c r="JN92">
        <v>21.832599999999999</v>
      </c>
      <c r="JO92">
        <v>52.662199999999999</v>
      </c>
      <c r="JP92">
        <v>26.694099999999999</v>
      </c>
      <c r="JQ92">
        <v>600</v>
      </c>
      <c r="JR92">
        <v>25.140599999999999</v>
      </c>
      <c r="JS92">
        <v>98.489000000000004</v>
      </c>
      <c r="JT92">
        <v>98.937399999999997</v>
      </c>
    </row>
    <row r="93" spans="1:280" x14ac:dyDescent="0.25">
      <c r="A93">
        <v>77</v>
      </c>
      <c r="B93">
        <v>1700164634</v>
      </c>
      <c r="C93">
        <v>16760.5</v>
      </c>
      <c r="D93" t="s">
        <v>740</v>
      </c>
      <c r="E93" t="s">
        <v>741</v>
      </c>
      <c r="F93" t="s">
        <v>412</v>
      </c>
      <c r="G93" t="s">
        <v>481</v>
      </c>
      <c r="H93" t="s">
        <v>413</v>
      </c>
      <c r="I93">
        <v>1700164634</v>
      </c>
      <c r="J93">
        <f t="shared" si="92"/>
        <v>3.6684614769298017E-3</v>
      </c>
      <c r="K93">
        <f t="shared" si="93"/>
        <v>3.6684614769298016</v>
      </c>
      <c r="L93">
        <f t="shared" si="94"/>
        <v>43.368251141625699</v>
      </c>
      <c r="M93">
        <f t="shared" si="95"/>
        <v>458.53199999999998</v>
      </c>
      <c r="N93">
        <f t="shared" si="96"/>
        <v>156.70321352330188</v>
      </c>
      <c r="O93">
        <f t="shared" si="97"/>
        <v>15.507467318291598</v>
      </c>
      <c r="P93">
        <f t="shared" si="98"/>
        <v>45.376669977055201</v>
      </c>
      <c r="Q93">
        <f t="shared" si="99"/>
        <v>0.2443283737303559</v>
      </c>
      <c r="R93">
        <f t="shared" si="100"/>
        <v>3.2351865013766847</v>
      </c>
      <c r="S93">
        <f t="shared" si="101"/>
        <v>0.23452060100635008</v>
      </c>
      <c r="T93">
        <f t="shared" si="102"/>
        <v>0.14742375967870583</v>
      </c>
      <c r="U93">
        <f t="shared" si="103"/>
        <v>344.36941246574224</v>
      </c>
      <c r="V93">
        <f t="shared" si="104"/>
        <v>30.992638802813001</v>
      </c>
      <c r="W93">
        <f t="shared" si="105"/>
        <v>30.0106</v>
      </c>
      <c r="X93">
        <f t="shared" si="106"/>
        <v>4.2630444582125806</v>
      </c>
      <c r="Y93">
        <f t="shared" si="107"/>
        <v>64.969343028700436</v>
      </c>
      <c r="Z93">
        <f t="shared" si="108"/>
        <v>2.7700696905117597</v>
      </c>
      <c r="AA93">
        <f t="shared" si="109"/>
        <v>4.2636566130706779</v>
      </c>
      <c r="AB93">
        <f t="shared" si="110"/>
        <v>1.4929747677008209</v>
      </c>
      <c r="AC93">
        <f t="shared" si="111"/>
        <v>-161.77915113260426</v>
      </c>
      <c r="AD93">
        <f t="shared" si="112"/>
        <v>0.43603843665577269</v>
      </c>
      <c r="AE93">
        <f t="shared" si="113"/>
        <v>2.997198445750299E-2</v>
      </c>
      <c r="AF93">
        <f t="shared" si="114"/>
        <v>183.05627175425127</v>
      </c>
      <c r="AG93">
        <v>0</v>
      </c>
      <c r="AH93">
        <v>0</v>
      </c>
      <c r="AI93">
        <f t="shared" si="115"/>
        <v>1</v>
      </c>
      <c r="AJ93">
        <f t="shared" si="116"/>
        <v>0</v>
      </c>
      <c r="AK93">
        <f t="shared" si="117"/>
        <v>51916.237120790596</v>
      </c>
      <c r="AL93" t="s">
        <v>415</v>
      </c>
      <c r="AM93">
        <v>6977.87</v>
      </c>
      <c r="AN93">
        <v>273.15280000000001</v>
      </c>
      <c r="AO93">
        <v>850.46774885301022</v>
      </c>
      <c r="AP93">
        <f t="shared" si="118"/>
        <v>0.67882050745793765</v>
      </c>
      <c r="AQ93">
        <v>-1.0323826813720729</v>
      </c>
      <c r="AR93" t="s">
        <v>742</v>
      </c>
      <c r="AS93">
        <v>7096.39</v>
      </c>
      <c r="AT93">
        <v>521.69949999999994</v>
      </c>
      <c r="AU93">
        <v>771.87039494648877</v>
      </c>
      <c r="AV93">
        <f t="shared" si="119"/>
        <v>0.32410997569589695</v>
      </c>
      <c r="AW93">
        <v>0.5</v>
      </c>
      <c r="AX93">
        <f t="shared" si="120"/>
        <v>1513.1847062328711</v>
      </c>
      <c r="AY93">
        <f t="shared" si="121"/>
        <v>43.368251141625699</v>
      </c>
      <c r="AZ93">
        <f t="shared" si="122"/>
        <v>245.21912918026942</v>
      </c>
      <c r="BA93">
        <f t="shared" si="123"/>
        <v>2.9342507652971708E-2</v>
      </c>
      <c r="BB93">
        <f t="shared" si="124"/>
        <v>0.10182713888381525</v>
      </c>
      <c r="BC93">
        <f t="shared" si="125"/>
        <v>264.50230788516575</v>
      </c>
      <c r="BD93" t="s">
        <v>743</v>
      </c>
      <c r="BE93">
        <v>393.61</v>
      </c>
      <c r="BF93">
        <f t="shared" si="126"/>
        <v>393.61</v>
      </c>
      <c r="BG93">
        <f t="shared" si="127"/>
        <v>0.49005687667644293</v>
      </c>
      <c r="BH93">
        <f t="shared" si="128"/>
        <v>0.66137216131728427</v>
      </c>
      <c r="BI93">
        <f t="shared" si="129"/>
        <v>0.17203900799285649</v>
      </c>
      <c r="BJ93">
        <f t="shared" si="130"/>
        <v>0.5016283714099391</v>
      </c>
      <c r="BK93">
        <f t="shared" si="131"/>
        <v>0.13614293907108416</v>
      </c>
      <c r="BL93">
        <f t="shared" si="132"/>
        <v>0.49898973722630807</v>
      </c>
      <c r="BM93">
        <f t="shared" si="133"/>
        <v>0.50101026277369187</v>
      </c>
      <c r="BN93">
        <v>11338</v>
      </c>
      <c r="BO93">
        <v>290.00000000000011</v>
      </c>
      <c r="BP93">
        <v>700.19</v>
      </c>
      <c r="BQ93">
        <v>285</v>
      </c>
      <c r="BR93">
        <v>7096.39</v>
      </c>
      <c r="BS93">
        <v>702.8</v>
      </c>
      <c r="BT93">
        <v>-2.61</v>
      </c>
      <c r="BU93">
        <v>300.00000000000011</v>
      </c>
      <c r="BV93">
        <v>38.299999999999997</v>
      </c>
      <c r="BW93">
        <v>771.87039494648877</v>
      </c>
      <c r="BX93">
        <v>1.5753402258299489</v>
      </c>
      <c r="BY93">
        <v>-49.017722164283327</v>
      </c>
      <c r="BZ93">
        <v>0.93709578562338003</v>
      </c>
      <c r="CA93">
        <v>0.98987026630404307</v>
      </c>
      <c r="CB93">
        <v>-6.9970162402669669E-3</v>
      </c>
      <c r="CC93">
        <v>289.99999999999989</v>
      </c>
      <c r="CD93">
        <v>709.75</v>
      </c>
      <c r="CE93">
        <v>865</v>
      </c>
      <c r="CF93">
        <v>7087.58</v>
      </c>
      <c r="CG93">
        <v>702.71</v>
      </c>
      <c r="CH93">
        <v>7.04</v>
      </c>
      <c r="CV93">
        <f t="shared" si="134"/>
        <v>1800</v>
      </c>
      <c r="CW93">
        <f t="shared" si="135"/>
        <v>1513.1847062328711</v>
      </c>
      <c r="CX93">
        <f t="shared" si="136"/>
        <v>0.84065817012937283</v>
      </c>
      <c r="CY93">
        <f t="shared" si="137"/>
        <v>0.19131634025874569</v>
      </c>
      <c r="CZ93">
        <v>4.5999999999999996</v>
      </c>
      <c r="DA93">
        <v>0.5</v>
      </c>
      <c r="DB93" t="s">
        <v>418</v>
      </c>
      <c r="DC93">
        <v>2</v>
      </c>
      <c r="DD93">
        <v>1700164634</v>
      </c>
      <c r="DE93">
        <v>458.53199999999998</v>
      </c>
      <c r="DF93">
        <v>499.96300000000002</v>
      </c>
      <c r="DG93">
        <v>27.991599999999998</v>
      </c>
      <c r="DH93">
        <v>24.712299999999999</v>
      </c>
      <c r="DI93">
        <v>458.77699999999999</v>
      </c>
      <c r="DJ93">
        <v>27.988600000000002</v>
      </c>
      <c r="DK93">
        <v>500.185</v>
      </c>
      <c r="DL93">
        <v>98.860799999999998</v>
      </c>
      <c r="DM93">
        <v>9.9948599999999999E-2</v>
      </c>
      <c r="DN93">
        <v>30.013100000000001</v>
      </c>
      <c r="DO93">
        <v>30.0106</v>
      </c>
      <c r="DP93">
        <v>999.9</v>
      </c>
      <c r="DQ93">
        <v>0</v>
      </c>
      <c r="DR93">
        <v>0</v>
      </c>
      <c r="DS93">
        <v>10032.5</v>
      </c>
      <c r="DT93">
        <v>0</v>
      </c>
      <c r="DU93">
        <v>492.392</v>
      </c>
      <c r="DV93">
        <v>-41.430900000000001</v>
      </c>
      <c r="DW93">
        <v>471.73599999999999</v>
      </c>
      <c r="DX93">
        <v>512.63099999999997</v>
      </c>
      <c r="DY93">
        <v>3.2792500000000002</v>
      </c>
      <c r="DZ93">
        <v>499.96300000000002</v>
      </c>
      <c r="EA93">
        <v>24.712299999999999</v>
      </c>
      <c r="EB93">
        <v>2.7672699999999999</v>
      </c>
      <c r="EC93">
        <v>2.4430800000000001</v>
      </c>
      <c r="ED93">
        <v>22.690100000000001</v>
      </c>
      <c r="EE93">
        <v>20.652200000000001</v>
      </c>
      <c r="EF93">
        <v>1800</v>
      </c>
      <c r="EG93">
        <v>0.97799700000000001</v>
      </c>
      <c r="EH93">
        <v>2.2002600000000001E-2</v>
      </c>
      <c r="EI93">
        <v>0</v>
      </c>
      <c r="EJ93">
        <v>521.61500000000001</v>
      </c>
      <c r="EK93">
        <v>5.0005300000000004</v>
      </c>
      <c r="EL93">
        <v>10478.299999999999</v>
      </c>
      <c r="EM93">
        <v>16035.2</v>
      </c>
      <c r="EN93">
        <v>47.875</v>
      </c>
      <c r="EO93">
        <v>49.061999999999998</v>
      </c>
      <c r="EP93">
        <v>48.5</v>
      </c>
      <c r="EQ93">
        <v>48.375</v>
      </c>
      <c r="ER93">
        <v>49.061999999999998</v>
      </c>
      <c r="ES93">
        <v>1755.5</v>
      </c>
      <c r="ET93">
        <v>39.49</v>
      </c>
      <c r="EU93">
        <v>0</v>
      </c>
      <c r="EV93">
        <v>386.40000009536737</v>
      </c>
      <c r="EW93">
        <v>0</v>
      </c>
      <c r="EX93">
        <v>521.69949999999994</v>
      </c>
      <c r="EY93">
        <v>-0.1675555659550732</v>
      </c>
      <c r="EZ93">
        <v>18.67008548377062</v>
      </c>
      <c r="FA93">
        <v>10474.542307692311</v>
      </c>
      <c r="FB93">
        <v>15</v>
      </c>
      <c r="FC93">
        <v>1700164425.5999999</v>
      </c>
      <c r="FD93" t="s">
        <v>744</v>
      </c>
      <c r="FE93">
        <v>1700164421.0999999</v>
      </c>
      <c r="FF93">
        <v>1700164425.5999999</v>
      </c>
      <c r="FG93">
        <v>84</v>
      </c>
      <c r="FH93">
        <v>-7.2999999999999995E-2</v>
      </c>
      <c r="FI93">
        <v>2E-3</v>
      </c>
      <c r="FJ93">
        <v>-0.253</v>
      </c>
      <c r="FK93">
        <v>3.0000000000000001E-3</v>
      </c>
      <c r="FL93">
        <v>500</v>
      </c>
      <c r="FM93">
        <v>25</v>
      </c>
      <c r="FN93">
        <v>0.05</v>
      </c>
      <c r="FO93">
        <v>0.03</v>
      </c>
      <c r="FP93">
        <v>43.265683180886953</v>
      </c>
      <c r="FQ93">
        <v>0.69074725674337667</v>
      </c>
      <c r="FR93">
        <v>7.3141887558896196E-2</v>
      </c>
      <c r="FS93">
        <v>1</v>
      </c>
      <c r="FT93">
        <v>0.24109082362304829</v>
      </c>
      <c r="FU93">
        <v>2.757742591135286E-2</v>
      </c>
      <c r="FV93">
        <v>2.0134348062273428E-3</v>
      </c>
      <c r="FW93">
        <v>1</v>
      </c>
      <c r="FX93">
        <v>2</v>
      </c>
      <c r="FY93">
        <v>2</v>
      </c>
      <c r="FZ93" t="s">
        <v>420</v>
      </c>
      <c r="GA93">
        <v>3.1247600000000002</v>
      </c>
      <c r="GB93">
        <v>2.7671100000000002</v>
      </c>
      <c r="GC93">
        <v>9.7987099999999994E-2</v>
      </c>
      <c r="GD93">
        <v>0.104453</v>
      </c>
      <c r="GE93">
        <v>0.11880300000000001</v>
      </c>
      <c r="GF93">
        <v>0.109094</v>
      </c>
      <c r="GG93">
        <v>21486.400000000001</v>
      </c>
      <c r="GH93">
        <v>22205.7</v>
      </c>
      <c r="GI93">
        <v>23689</v>
      </c>
      <c r="GJ93">
        <v>25118.400000000001</v>
      </c>
      <c r="GK93">
        <v>30069.5</v>
      </c>
      <c r="GL93">
        <v>31384.5</v>
      </c>
      <c r="GM93">
        <v>37769.4</v>
      </c>
      <c r="GN93">
        <v>39110.199999999997</v>
      </c>
      <c r="GO93">
        <v>2.1405699999999999</v>
      </c>
      <c r="GP93">
        <v>1.7577499999999999</v>
      </c>
      <c r="GQ93">
        <v>3.8981399999999999E-2</v>
      </c>
      <c r="GR93">
        <v>0</v>
      </c>
      <c r="GS93">
        <v>29.375900000000001</v>
      </c>
      <c r="GT93">
        <v>999.9</v>
      </c>
      <c r="GU93">
        <v>39.700000000000003</v>
      </c>
      <c r="GV93">
        <v>40.1</v>
      </c>
      <c r="GW93">
        <v>29.931899999999999</v>
      </c>
      <c r="GX93">
        <v>60.665799999999997</v>
      </c>
      <c r="GY93">
        <v>27.447900000000001</v>
      </c>
      <c r="GZ93">
        <v>1</v>
      </c>
      <c r="HA93">
        <v>0.65084399999999998</v>
      </c>
      <c r="HB93">
        <v>2.3480799999999999</v>
      </c>
      <c r="HC93">
        <v>20.303699999999999</v>
      </c>
      <c r="HD93">
        <v>5.2526299999999999</v>
      </c>
      <c r="HE93">
        <v>12.0099</v>
      </c>
      <c r="HF93">
        <v>4.9791499999999997</v>
      </c>
      <c r="HG93">
        <v>3.2929300000000001</v>
      </c>
      <c r="HH93">
        <v>9999</v>
      </c>
      <c r="HI93">
        <v>9999</v>
      </c>
      <c r="HJ93">
        <v>9999</v>
      </c>
      <c r="HK93">
        <v>999.9</v>
      </c>
      <c r="HL93">
        <v>1.8760699999999999</v>
      </c>
      <c r="HM93">
        <v>1.87696</v>
      </c>
      <c r="HN93">
        <v>1.8832100000000001</v>
      </c>
      <c r="HO93">
        <v>1.88629</v>
      </c>
      <c r="HP93">
        <v>1.87713</v>
      </c>
      <c r="HQ93">
        <v>1.8836200000000001</v>
      </c>
      <c r="HR93">
        <v>1.88262</v>
      </c>
      <c r="HS93">
        <v>1.8859900000000001</v>
      </c>
      <c r="HT93">
        <v>5</v>
      </c>
      <c r="HU93">
        <v>0</v>
      </c>
      <c r="HV93">
        <v>0</v>
      </c>
      <c r="HW93">
        <v>0</v>
      </c>
      <c r="HX93" t="s">
        <v>421</v>
      </c>
      <c r="HY93" t="s">
        <v>422</v>
      </c>
      <c r="HZ93" t="s">
        <v>423</v>
      </c>
      <c r="IA93" t="s">
        <v>424</v>
      </c>
      <c r="IB93" t="s">
        <v>424</v>
      </c>
      <c r="IC93" t="s">
        <v>423</v>
      </c>
      <c r="ID93">
        <v>0</v>
      </c>
      <c r="IE93">
        <v>100</v>
      </c>
      <c r="IF93">
        <v>100</v>
      </c>
      <c r="IG93">
        <v>-0.245</v>
      </c>
      <c r="IH93">
        <v>3.0000000000000001E-3</v>
      </c>
      <c r="II93">
        <v>-0.21829019819447409</v>
      </c>
      <c r="IJ93">
        <v>4.4610147972834149E-5</v>
      </c>
      <c r="IK93">
        <v>-2.082673137682459E-7</v>
      </c>
      <c r="IL93">
        <v>-4.0725795306076518E-11</v>
      </c>
      <c r="IM93">
        <v>2.9649999999996619E-3</v>
      </c>
      <c r="IN93">
        <v>0</v>
      </c>
      <c r="IO93">
        <v>0</v>
      </c>
      <c r="IP93">
        <v>0</v>
      </c>
      <c r="IQ93">
        <v>3</v>
      </c>
      <c r="IR93">
        <v>2179</v>
      </c>
      <c r="IS93">
        <v>0</v>
      </c>
      <c r="IT93">
        <v>22</v>
      </c>
      <c r="IU93">
        <v>3.5</v>
      </c>
      <c r="IV93">
        <v>3.5</v>
      </c>
      <c r="IW93">
        <v>1.22559</v>
      </c>
      <c r="IX93">
        <v>2.67334</v>
      </c>
      <c r="IY93">
        <v>1.6015600000000001</v>
      </c>
      <c r="IZ93">
        <v>2.32422</v>
      </c>
      <c r="JA93">
        <v>1.5502899999999999</v>
      </c>
      <c r="JB93">
        <v>2.49756</v>
      </c>
      <c r="JC93">
        <v>43.754300000000001</v>
      </c>
      <c r="JD93">
        <v>24.210100000000001</v>
      </c>
      <c r="JE93">
        <v>18</v>
      </c>
      <c r="JF93">
        <v>612.92899999999997</v>
      </c>
      <c r="JG93">
        <v>394.12</v>
      </c>
      <c r="JH93">
        <v>27.161000000000001</v>
      </c>
      <c r="JI93">
        <v>34.954999999999998</v>
      </c>
      <c r="JJ93">
        <v>29.9998</v>
      </c>
      <c r="JK93">
        <v>35.055199999999999</v>
      </c>
      <c r="JL93">
        <v>35.049999999999997</v>
      </c>
      <c r="JM93">
        <v>24.534400000000002</v>
      </c>
      <c r="JN93">
        <v>22.5535</v>
      </c>
      <c r="JO93">
        <v>52.888399999999997</v>
      </c>
      <c r="JP93">
        <v>27.151</v>
      </c>
      <c r="JQ93">
        <v>500</v>
      </c>
      <c r="JR93">
        <v>24.759799999999998</v>
      </c>
      <c r="JS93">
        <v>98.504000000000005</v>
      </c>
      <c r="JT93">
        <v>98.955500000000001</v>
      </c>
    </row>
    <row r="94" spans="1:280" x14ac:dyDescent="0.25">
      <c r="A94">
        <v>78</v>
      </c>
      <c r="B94">
        <v>1700164757</v>
      </c>
      <c r="C94">
        <v>16883.5</v>
      </c>
      <c r="D94" t="s">
        <v>745</v>
      </c>
      <c r="E94" t="s">
        <v>746</v>
      </c>
      <c r="F94" t="s">
        <v>412</v>
      </c>
      <c r="G94" t="s">
        <v>481</v>
      </c>
      <c r="H94" t="s">
        <v>413</v>
      </c>
      <c r="I94">
        <v>1700164757</v>
      </c>
      <c r="J94">
        <f t="shared" si="92"/>
        <v>4.0314957310791611E-3</v>
      </c>
      <c r="K94">
        <f t="shared" si="93"/>
        <v>4.0314957310791613</v>
      </c>
      <c r="L94">
        <f t="shared" si="94"/>
        <v>39.679963484521906</v>
      </c>
      <c r="M94">
        <f t="shared" si="95"/>
        <v>362.12700000000001</v>
      </c>
      <c r="N94">
        <f t="shared" si="96"/>
        <v>115.66016966033706</v>
      </c>
      <c r="O94">
        <f t="shared" si="97"/>
        <v>11.444946780371488</v>
      </c>
      <c r="P94">
        <f t="shared" si="98"/>
        <v>35.833634473362295</v>
      </c>
      <c r="Q94">
        <f t="shared" si="99"/>
        <v>0.27447378902366382</v>
      </c>
      <c r="R94">
        <f t="shared" si="100"/>
        <v>3.2307796801943045</v>
      </c>
      <c r="S94">
        <f t="shared" si="101"/>
        <v>0.26214610743679673</v>
      </c>
      <c r="T94">
        <f t="shared" si="102"/>
        <v>0.16490276560109757</v>
      </c>
      <c r="U94">
        <f t="shared" si="103"/>
        <v>344.35799930232031</v>
      </c>
      <c r="V94">
        <f t="shared" si="104"/>
        <v>30.860757261078501</v>
      </c>
      <c r="W94">
        <f t="shared" si="105"/>
        <v>29.964500000000001</v>
      </c>
      <c r="X94">
        <f t="shared" si="106"/>
        <v>4.2517700432876921</v>
      </c>
      <c r="Y94">
        <f t="shared" si="107"/>
        <v>65.475051817557855</v>
      </c>
      <c r="Z94">
        <f t="shared" si="108"/>
        <v>2.7840885638514603</v>
      </c>
      <c r="AA94">
        <f t="shared" si="109"/>
        <v>4.2521364803332258</v>
      </c>
      <c r="AB94">
        <f t="shared" si="110"/>
        <v>1.4676814794362318</v>
      </c>
      <c r="AC94">
        <f t="shared" si="111"/>
        <v>-177.78896174059102</v>
      </c>
      <c r="AD94">
        <f t="shared" si="112"/>
        <v>0.26126669117796292</v>
      </c>
      <c r="AE94">
        <f t="shared" si="113"/>
        <v>1.7974895080236138E-2</v>
      </c>
      <c r="AF94">
        <f t="shared" si="114"/>
        <v>166.84827914798745</v>
      </c>
      <c r="AG94">
        <v>0</v>
      </c>
      <c r="AH94">
        <v>0</v>
      </c>
      <c r="AI94">
        <f t="shared" si="115"/>
        <v>1</v>
      </c>
      <c r="AJ94">
        <f t="shared" si="116"/>
        <v>0</v>
      </c>
      <c r="AK94">
        <f t="shared" si="117"/>
        <v>51818.221882023827</v>
      </c>
      <c r="AL94" t="s">
        <v>427</v>
      </c>
      <c r="AM94" t="s">
        <v>427</v>
      </c>
      <c r="AN94">
        <v>0</v>
      </c>
      <c r="AO94">
        <v>0</v>
      </c>
      <c r="AP94" t="e">
        <f t="shared" si="118"/>
        <v>#DIV/0!</v>
      </c>
      <c r="AQ94">
        <v>0</v>
      </c>
      <c r="AR94" t="s">
        <v>427</v>
      </c>
      <c r="AS94" t="s">
        <v>427</v>
      </c>
      <c r="AT94">
        <v>0</v>
      </c>
      <c r="AU94">
        <v>0</v>
      </c>
      <c r="AV94" t="e">
        <f t="shared" si="119"/>
        <v>#DIV/0!</v>
      </c>
      <c r="AW94">
        <v>0.5</v>
      </c>
      <c r="AX94">
        <f t="shared" si="120"/>
        <v>1513.1342996511603</v>
      </c>
      <c r="AY94">
        <f t="shared" si="121"/>
        <v>39.679963484521906</v>
      </c>
      <c r="AZ94" t="e">
        <f t="shared" si="122"/>
        <v>#DIV/0!</v>
      </c>
      <c r="BA94">
        <f t="shared" si="123"/>
        <v>2.6223689129028251E-2</v>
      </c>
      <c r="BB94" t="e">
        <f t="shared" si="124"/>
        <v>#DIV/0!</v>
      </c>
      <c r="BC94" t="e">
        <f t="shared" si="125"/>
        <v>#DIV/0!</v>
      </c>
      <c r="BD94" t="s">
        <v>427</v>
      </c>
      <c r="BE94">
        <v>0</v>
      </c>
      <c r="BF94" t="e">
        <f t="shared" si="126"/>
        <v>#DIV/0!</v>
      </c>
      <c r="BG94" t="e">
        <f t="shared" si="127"/>
        <v>#DIV/0!</v>
      </c>
      <c r="BH94" t="e">
        <f t="shared" si="128"/>
        <v>#DIV/0!</v>
      </c>
      <c r="BI94" t="e">
        <f t="shared" si="129"/>
        <v>#DIV/0!</v>
      </c>
      <c r="BJ94" t="e">
        <f t="shared" si="130"/>
        <v>#DIV/0!</v>
      </c>
      <c r="BK94" t="e">
        <f t="shared" si="131"/>
        <v>#DIV/0!</v>
      </c>
      <c r="BL94" t="e">
        <f t="shared" si="132"/>
        <v>#DIV/0!</v>
      </c>
      <c r="BM94" t="e">
        <f t="shared" si="133"/>
        <v>#DIV/0!</v>
      </c>
      <c r="BN94">
        <v>11338</v>
      </c>
      <c r="BO94">
        <v>290.00000000000011</v>
      </c>
      <c r="BP94">
        <v>700.19</v>
      </c>
      <c r="BQ94">
        <v>285</v>
      </c>
      <c r="BR94">
        <v>7096.39</v>
      </c>
      <c r="BS94">
        <v>702.8</v>
      </c>
      <c r="BT94">
        <v>-2.61</v>
      </c>
      <c r="BU94">
        <v>300.00000000000011</v>
      </c>
      <c r="BV94">
        <v>38.299999999999997</v>
      </c>
      <c r="BW94">
        <v>771.87039494648877</v>
      </c>
      <c r="BX94">
        <v>1.5753402258299489</v>
      </c>
      <c r="BY94">
        <v>-49.017722164283327</v>
      </c>
      <c r="BZ94">
        <v>0.93709578562338003</v>
      </c>
      <c r="CA94">
        <v>0.98987026630404307</v>
      </c>
      <c r="CB94">
        <v>-6.9970162402669669E-3</v>
      </c>
      <c r="CC94">
        <v>289.99999999999989</v>
      </c>
      <c r="CD94">
        <v>709.75</v>
      </c>
      <c r="CE94">
        <v>865</v>
      </c>
      <c r="CF94">
        <v>7087.58</v>
      </c>
      <c r="CG94">
        <v>702.71</v>
      </c>
      <c r="CH94">
        <v>7.04</v>
      </c>
      <c r="CV94">
        <f t="shared" si="134"/>
        <v>1799.94</v>
      </c>
      <c r="CW94">
        <f t="shared" si="135"/>
        <v>1513.1342996511603</v>
      </c>
      <c r="CX94">
        <f t="shared" si="136"/>
        <v>0.84065818841248052</v>
      </c>
      <c r="CY94">
        <f t="shared" si="137"/>
        <v>0.191316376824961</v>
      </c>
      <c r="CZ94">
        <v>4.5999999999999996</v>
      </c>
      <c r="DA94">
        <v>0.5</v>
      </c>
      <c r="DB94" t="s">
        <v>418</v>
      </c>
      <c r="DC94">
        <v>2</v>
      </c>
      <c r="DD94">
        <v>1700164757</v>
      </c>
      <c r="DE94">
        <v>362.12700000000001</v>
      </c>
      <c r="DF94">
        <v>399.96600000000001</v>
      </c>
      <c r="DG94">
        <v>28.135400000000001</v>
      </c>
      <c r="DH94">
        <v>24.531700000000001</v>
      </c>
      <c r="DI94">
        <v>362.44499999999999</v>
      </c>
      <c r="DJ94">
        <v>28.133400000000002</v>
      </c>
      <c r="DK94">
        <v>500.12799999999999</v>
      </c>
      <c r="DL94">
        <v>98.853399999999993</v>
      </c>
      <c r="DM94">
        <v>9.9824899999999994E-2</v>
      </c>
      <c r="DN94">
        <v>29.966000000000001</v>
      </c>
      <c r="DO94">
        <v>29.964500000000001</v>
      </c>
      <c r="DP94">
        <v>999.9</v>
      </c>
      <c r="DQ94">
        <v>0</v>
      </c>
      <c r="DR94">
        <v>0</v>
      </c>
      <c r="DS94">
        <v>10011.9</v>
      </c>
      <c r="DT94">
        <v>0</v>
      </c>
      <c r="DU94">
        <v>468.99599999999998</v>
      </c>
      <c r="DV94">
        <v>-37.839199999999998</v>
      </c>
      <c r="DW94">
        <v>372.61099999999999</v>
      </c>
      <c r="DX94">
        <v>410.02499999999998</v>
      </c>
      <c r="DY94">
        <v>3.6037400000000002</v>
      </c>
      <c r="DZ94">
        <v>399.96600000000001</v>
      </c>
      <c r="EA94">
        <v>24.531700000000001</v>
      </c>
      <c r="EB94">
        <v>2.7812800000000002</v>
      </c>
      <c r="EC94">
        <v>2.4250400000000001</v>
      </c>
      <c r="ED94">
        <v>22.773399999999999</v>
      </c>
      <c r="EE94">
        <v>20.532</v>
      </c>
      <c r="EF94">
        <v>1799.94</v>
      </c>
      <c r="EG94">
        <v>0.97799700000000001</v>
      </c>
      <c r="EH94">
        <v>2.2002600000000001E-2</v>
      </c>
      <c r="EI94">
        <v>0</v>
      </c>
      <c r="EJ94">
        <v>522.19100000000003</v>
      </c>
      <c r="EK94">
        <v>5.0005300000000004</v>
      </c>
      <c r="EL94">
        <v>10338.6</v>
      </c>
      <c r="EM94">
        <v>16034.7</v>
      </c>
      <c r="EN94">
        <v>47.875</v>
      </c>
      <c r="EO94">
        <v>49.061999999999998</v>
      </c>
      <c r="EP94">
        <v>48.5</v>
      </c>
      <c r="EQ94">
        <v>48.375</v>
      </c>
      <c r="ER94">
        <v>49.061999999999998</v>
      </c>
      <c r="ES94">
        <v>1755.45</v>
      </c>
      <c r="ET94">
        <v>39.49</v>
      </c>
      <c r="EU94">
        <v>0</v>
      </c>
      <c r="EV94">
        <v>120.80000019073491</v>
      </c>
      <c r="EW94">
        <v>0</v>
      </c>
      <c r="EX94">
        <v>522.02438461538463</v>
      </c>
      <c r="EY94">
        <v>1.139829064062204</v>
      </c>
      <c r="EZ94">
        <v>-14.0923076887196</v>
      </c>
      <c r="FA94">
        <v>10339.869230769231</v>
      </c>
      <c r="FB94">
        <v>15</v>
      </c>
      <c r="FC94">
        <v>1700164727.5</v>
      </c>
      <c r="FD94" t="s">
        <v>747</v>
      </c>
      <c r="FE94">
        <v>1700164726.5</v>
      </c>
      <c r="FF94">
        <v>1700164727.5</v>
      </c>
      <c r="FG94">
        <v>85</v>
      </c>
      <c r="FH94">
        <v>-8.6999999999999994E-2</v>
      </c>
      <c r="FI94">
        <v>-1E-3</v>
      </c>
      <c r="FJ94">
        <v>-0.32300000000000001</v>
      </c>
      <c r="FK94">
        <v>2E-3</v>
      </c>
      <c r="FL94">
        <v>400</v>
      </c>
      <c r="FM94">
        <v>25</v>
      </c>
      <c r="FN94">
        <v>0.05</v>
      </c>
      <c r="FO94">
        <v>0.03</v>
      </c>
      <c r="FP94">
        <v>39.714112987498062</v>
      </c>
      <c r="FQ94">
        <v>-1.790668020432816E-2</v>
      </c>
      <c r="FR94">
        <v>4.5307751530104932E-2</v>
      </c>
      <c r="FS94">
        <v>1</v>
      </c>
      <c r="FT94">
        <v>0.27282723029264022</v>
      </c>
      <c r="FU94">
        <v>4.9621639177497963E-2</v>
      </c>
      <c r="FV94">
        <v>4.0327627738966183E-3</v>
      </c>
      <c r="FW94">
        <v>1</v>
      </c>
      <c r="FX94">
        <v>2</v>
      </c>
      <c r="FY94">
        <v>2</v>
      </c>
      <c r="FZ94" t="s">
        <v>420</v>
      </c>
      <c r="GA94">
        <v>3.1245400000000001</v>
      </c>
      <c r="GB94">
        <v>2.7667999999999999</v>
      </c>
      <c r="GC94">
        <v>8.1819000000000003E-2</v>
      </c>
      <c r="GD94">
        <v>8.8401199999999999E-2</v>
      </c>
      <c r="GE94">
        <v>0.119229</v>
      </c>
      <c r="GF94">
        <v>0.10853500000000001</v>
      </c>
      <c r="GG94">
        <v>21873.5</v>
      </c>
      <c r="GH94">
        <v>22605.9</v>
      </c>
      <c r="GI94">
        <v>23691.1</v>
      </c>
      <c r="GJ94">
        <v>25120.6</v>
      </c>
      <c r="GK94">
        <v>30057.5</v>
      </c>
      <c r="GL94">
        <v>31406.799999999999</v>
      </c>
      <c r="GM94">
        <v>37772.5</v>
      </c>
      <c r="GN94">
        <v>39113.4</v>
      </c>
      <c r="GO94">
        <v>2.1404800000000002</v>
      </c>
      <c r="GP94">
        <v>1.7579</v>
      </c>
      <c r="GQ94">
        <v>3.2108299999999999E-2</v>
      </c>
      <c r="GR94">
        <v>0</v>
      </c>
      <c r="GS94">
        <v>29.441700000000001</v>
      </c>
      <c r="GT94">
        <v>999.9</v>
      </c>
      <c r="GU94">
        <v>39.6</v>
      </c>
      <c r="GV94">
        <v>40</v>
      </c>
      <c r="GW94">
        <v>29.6982</v>
      </c>
      <c r="GX94">
        <v>60.9358</v>
      </c>
      <c r="GY94">
        <v>27.459900000000001</v>
      </c>
      <c r="GZ94">
        <v>1</v>
      </c>
      <c r="HA94">
        <v>0.64722599999999997</v>
      </c>
      <c r="HB94">
        <v>2.1705700000000001</v>
      </c>
      <c r="HC94">
        <v>20.3063</v>
      </c>
      <c r="HD94">
        <v>5.2520300000000004</v>
      </c>
      <c r="HE94">
        <v>12.0099</v>
      </c>
      <c r="HF94">
        <v>4.9791499999999997</v>
      </c>
      <c r="HG94">
        <v>3.2930000000000001</v>
      </c>
      <c r="HH94">
        <v>9999</v>
      </c>
      <c r="HI94">
        <v>9999</v>
      </c>
      <c r="HJ94">
        <v>9999</v>
      </c>
      <c r="HK94">
        <v>999.9</v>
      </c>
      <c r="HL94">
        <v>1.8760699999999999</v>
      </c>
      <c r="HM94">
        <v>1.8769499999999999</v>
      </c>
      <c r="HN94">
        <v>1.8832100000000001</v>
      </c>
      <c r="HO94">
        <v>1.88629</v>
      </c>
      <c r="HP94">
        <v>1.87713</v>
      </c>
      <c r="HQ94">
        <v>1.88368</v>
      </c>
      <c r="HR94">
        <v>1.8826099999999999</v>
      </c>
      <c r="HS94">
        <v>1.8859900000000001</v>
      </c>
      <c r="HT94">
        <v>5</v>
      </c>
      <c r="HU94">
        <v>0</v>
      </c>
      <c r="HV94">
        <v>0</v>
      </c>
      <c r="HW94">
        <v>0</v>
      </c>
      <c r="HX94" t="s">
        <v>421</v>
      </c>
      <c r="HY94" t="s">
        <v>422</v>
      </c>
      <c r="HZ94" t="s">
        <v>423</v>
      </c>
      <c r="IA94" t="s">
        <v>424</v>
      </c>
      <c r="IB94" t="s">
        <v>424</v>
      </c>
      <c r="IC94" t="s">
        <v>423</v>
      </c>
      <c r="ID94">
        <v>0</v>
      </c>
      <c r="IE94">
        <v>100</v>
      </c>
      <c r="IF94">
        <v>100</v>
      </c>
      <c r="IG94">
        <v>-0.318</v>
      </c>
      <c r="IH94">
        <v>2E-3</v>
      </c>
      <c r="II94">
        <v>-0.30502518334240553</v>
      </c>
      <c r="IJ94">
        <v>4.4610147972834149E-5</v>
      </c>
      <c r="IK94">
        <v>-2.082673137682459E-7</v>
      </c>
      <c r="IL94">
        <v>-4.0725795306076518E-11</v>
      </c>
      <c r="IM94">
        <v>2.085000000004555E-3</v>
      </c>
      <c r="IN94">
        <v>0</v>
      </c>
      <c r="IO94">
        <v>0</v>
      </c>
      <c r="IP94">
        <v>0</v>
      </c>
      <c r="IQ94">
        <v>3</v>
      </c>
      <c r="IR94">
        <v>2179</v>
      </c>
      <c r="IS94">
        <v>0</v>
      </c>
      <c r="IT94">
        <v>22</v>
      </c>
      <c r="IU94">
        <v>0.5</v>
      </c>
      <c r="IV94">
        <v>0.5</v>
      </c>
      <c r="IW94">
        <v>1.02539</v>
      </c>
      <c r="IX94">
        <v>2.67944</v>
      </c>
      <c r="IY94">
        <v>1.6003400000000001</v>
      </c>
      <c r="IZ94">
        <v>2.32544</v>
      </c>
      <c r="JA94">
        <v>1.5502899999999999</v>
      </c>
      <c r="JB94">
        <v>2.5061</v>
      </c>
      <c r="JC94">
        <v>43.726900000000001</v>
      </c>
      <c r="JD94">
        <v>24.210100000000001</v>
      </c>
      <c r="JE94">
        <v>18</v>
      </c>
      <c r="JF94">
        <v>612.52</v>
      </c>
      <c r="JG94">
        <v>393.96</v>
      </c>
      <c r="JH94">
        <v>27.2271</v>
      </c>
      <c r="JI94">
        <v>34.923099999999998</v>
      </c>
      <c r="JJ94">
        <v>30.0001</v>
      </c>
      <c r="JK94">
        <v>35.018300000000004</v>
      </c>
      <c r="JL94">
        <v>35.009799999999998</v>
      </c>
      <c r="JM94">
        <v>20.502600000000001</v>
      </c>
      <c r="JN94">
        <v>23.0169</v>
      </c>
      <c r="JO94">
        <v>52.712299999999999</v>
      </c>
      <c r="JP94">
        <v>27.242000000000001</v>
      </c>
      <c r="JQ94">
        <v>400</v>
      </c>
      <c r="JR94">
        <v>24.434799999999999</v>
      </c>
      <c r="JS94">
        <v>98.512299999999996</v>
      </c>
      <c r="JT94">
        <v>98.963800000000006</v>
      </c>
    </row>
    <row r="95" spans="1:280" x14ac:dyDescent="0.25">
      <c r="A95">
        <v>79</v>
      </c>
      <c r="B95">
        <v>1700164955.5</v>
      </c>
      <c r="C95">
        <v>17082</v>
      </c>
      <c r="D95" t="s">
        <v>748</v>
      </c>
      <c r="E95" t="s">
        <v>749</v>
      </c>
      <c r="F95" t="s">
        <v>412</v>
      </c>
      <c r="G95" t="s">
        <v>481</v>
      </c>
      <c r="H95" t="s">
        <v>413</v>
      </c>
      <c r="I95">
        <v>1700164955.5</v>
      </c>
      <c r="J95">
        <f t="shared" si="92"/>
        <v>4.6621234062153433E-3</v>
      </c>
      <c r="K95">
        <f t="shared" si="93"/>
        <v>4.6621234062153434</v>
      </c>
      <c r="L95">
        <f t="shared" si="94"/>
        <v>34.986726134622089</v>
      </c>
      <c r="M95">
        <f t="shared" si="95"/>
        <v>266.65899999999999</v>
      </c>
      <c r="N95">
        <f t="shared" si="96"/>
        <v>83.070080934575699</v>
      </c>
      <c r="O95">
        <f t="shared" si="97"/>
        <v>8.2197686420908074</v>
      </c>
      <c r="P95">
        <f t="shared" si="98"/>
        <v>26.385857118131</v>
      </c>
      <c r="Q95">
        <f t="shared" si="99"/>
        <v>0.32701467236055204</v>
      </c>
      <c r="R95">
        <f t="shared" si="100"/>
        <v>3.224627645576752</v>
      </c>
      <c r="S95">
        <f t="shared" si="101"/>
        <v>0.30964460116738945</v>
      </c>
      <c r="T95">
        <f t="shared" si="102"/>
        <v>0.19501158557882914</v>
      </c>
      <c r="U95">
        <f t="shared" si="103"/>
        <v>344.37379930217463</v>
      </c>
      <c r="V95">
        <f t="shared" si="104"/>
        <v>30.969959478970068</v>
      </c>
      <c r="W95">
        <f t="shared" si="105"/>
        <v>29.965399999999999</v>
      </c>
      <c r="X95">
        <f t="shared" si="106"/>
        <v>4.2519899022123164</v>
      </c>
      <c r="Y95">
        <f t="shared" si="107"/>
        <v>65.240036415008191</v>
      </c>
      <c r="Z95">
        <f t="shared" si="108"/>
        <v>2.8153694405724998</v>
      </c>
      <c r="AA95">
        <f t="shared" si="109"/>
        <v>4.3154013934989708</v>
      </c>
      <c r="AB95">
        <f t="shared" si="110"/>
        <v>1.4366204616398166</v>
      </c>
      <c r="AC95">
        <f t="shared" si="111"/>
        <v>-205.59964221409663</v>
      </c>
      <c r="AD95">
        <f t="shared" si="112"/>
        <v>44.834915799547197</v>
      </c>
      <c r="AE95">
        <f t="shared" si="113"/>
        <v>3.0944366355718875</v>
      </c>
      <c r="AF95">
        <f t="shared" si="114"/>
        <v>186.70350952319706</v>
      </c>
      <c r="AG95">
        <v>0</v>
      </c>
      <c r="AH95">
        <v>0</v>
      </c>
      <c r="AI95">
        <f t="shared" si="115"/>
        <v>1</v>
      </c>
      <c r="AJ95">
        <f t="shared" si="116"/>
        <v>0</v>
      </c>
      <c r="AK95">
        <f t="shared" si="117"/>
        <v>51626.531052934879</v>
      </c>
      <c r="AL95" t="s">
        <v>415</v>
      </c>
      <c r="AM95">
        <v>6977.87</v>
      </c>
      <c r="AN95">
        <v>273.15280000000001</v>
      </c>
      <c r="AO95">
        <v>850.46774885301022</v>
      </c>
      <c r="AP95">
        <f t="shared" si="118"/>
        <v>0.67882050745793765</v>
      </c>
      <c r="AQ95">
        <v>-1.0323826813720729</v>
      </c>
      <c r="AR95" t="s">
        <v>750</v>
      </c>
      <c r="AS95">
        <v>7096.31</v>
      </c>
      <c r="AT95">
        <v>526.95164</v>
      </c>
      <c r="AU95">
        <v>727.36447620817364</v>
      </c>
      <c r="AV95">
        <f t="shared" si="119"/>
        <v>0.27553288999339987</v>
      </c>
      <c r="AW95">
        <v>0.5</v>
      </c>
      <c r="AX95">
        <f t="shared" si="120"/>
        <v>1513.2017996510872</v>
      </c>
      <c r="AY95">
        <f t="shared" si="121"/>
        <v>34.986726134622089</v>
      </c>
      <c r="AZ95">
        <f t="shared" si="122"/>
        <v>208.46843250053885</v>
      </c>
      <c r="BA95">
        <f t="shared" si="123"/>
        <v>2.3803242121638642E-2</v>
      </c>
      <c r="BB95">
        <f t="shared" si="124"/>
        <v>0.1692456487380119</v>
      </c>
      <c r="BC95">
        <f t="shared" si="125"/>
        <v>259.0702019668808</v>
      </c>
      <c r="BD95" t="s">
        <v>751</v>
      </c>
      <c r="BE95">
        <v>391.05</v>
      </c>
      <c r="BF95">
        <f t="shared" si="126"/>
        <v>391.05</v>
      </c>
      <c r="BG95">
        <f t="shared" si="127"/>
        <v>0.46237407408376041</v>
      </c>
      <c r="BH95">
        <f t="shared" si="128"/>
        <v>0.59590903867046474</v>
      </c>
      <c r="BI95">
        <f t="shared" si="129"/>
        <v>0.26795497769117149</v>
      </c>
      <c r="BJ95">
        <f t="shared" si="130"/>
        <v>0.44123224193893407</v>
      </c>
      <c r="BK95">
        <f t="shared" si="131"/>
        <v>0.21323416774399134</v>
      </c>
      <c r="BL95">
        <f t="shared" si="132"/>
        <v>0.44222317928849264</v>
      </c>
      <c r="BM95">
        <f t="shared" si="133"/>
        <v>0.55777682071150736</v>
      </c>
      <c r="BN95">
        <v>11340</v>
      </c>
      <c r="BO95">
        <v>290.00000000000011</v>
      </c>
      <c r="BP95">
        <v>670.67</v>
      </c>
      <c r="BQ95">
        <v>295</v>
      </c>
      <c r="BR95">
        <v>7096.31</v>
      </c>
      <c r="BS95">
        <v>672.28</v>
      </c>
      <c r="BT95">
        <v>-1.61</v>
      </c>
      <c r="BU95">
        <v>300.00000000000011</v>
      </c>
      <c r="BV95">
        <v>38.299999999999997</v>
      </c>
      <c r="BW95">
        <v>727.36447620817364</v>
      </c>
      <c r="BX95">
        <v>1.18268161411649</v>
      </c>
      <c r="BY95">
        <v>-39.087001848050093</v>
      </c>
      <c r="BZ95">
        <v>0.70351636405490658</v>
      </c>
      <c r="CA95">
        <v>0.99101081918982348</v>
      </c>
      <c r="CB95">
        <v>-6.9968798665183546E-3</v>
      </c>
      <c r="CC95">
        <v>289.99999999999989</v>
      </c>
      <c r="CD95">
        <v>678.91</v>
      </c>
      <c r="CE95">
        <v>875</v>
      </c>
      <c r="CF95">
        <v>7087.35</v>
      </c>
      <c r="CG95">
        <v>672.21</v>
      </c>
      <c r="CH95">
        <v>6.7</v>
      </c>
      <c r="CV95">
        <f t="shared" si="134"/>
        <v>1800.02</v>
      </c>
      <c r="CW95">
        <f t="shared" si="135"/>
        <v>1513.2017996510872</v>
      </c>
      <c r="CX95">
        <f t="shared" si="136"/>
        <v>0.84065832582476152</v>
      </c>
      <c r="CY95">
        <f t="shared" si="137"/>
        <v>0.19131665164952313</v>
      </c>
      <c r="CZ95">
        <v>4.5999999999999996</v>
      </c>
      <c r="DA95">
        <v>0.5</v>
      </c>
      <c r="DB95" t="s">
        <v>418</v>
      </c>
      <c r="DC95">
        <v>2</v>
      </c>
      <c r="DD95">
        <v>1700164955.5</v>
      </c>
      <c r="DE95">
        <v>266.65899999999999</v>
      </c>
      <c r="DF95">
        <v>299.98</v>
      </c>
      <c r="DG95">
        <v>28.452500000000001</v>
      </c>
      <c r="DH95">
        <v>24.2867</v>
      </c>
      <c r="DI95">
        <v>266.73500000000001</v>
      </c>
      <c r="DJ95">
        <v>28.450900000000001</v>
      </c>
      <c r="DK95">
        <v>500.15800000000002</v>
      </c>
      <c r="DL95">
        <v>98.849800000000002</v>
      </c>
      <c r="DM95">
        <v>0.100009</v>
      </c>
      <c r="DN95">
        <v>30.223299999999998</v>
      </c>
      <c r="DO95">
        <v>29.965399999999999</v>
      </c>
      <c r="DP95">
        <v>999.9</v>
      </c>
      <c r="DQ95">
        <v>0</v>
      </c>
      <c r="DR95">
        <v>0</v>
      </c>
      <c r="DS95">
        <v>9982.5</v>
      </c>
      <c r="DT95">
        <v>0</v>
      </c>
      <c r="DU95">
        <v>486.94099999999997</v>
      </c>
      <c r="DV95">
        <v>-33.320999999999998</v>
      </c>
      <c r="DW95">
        <v>274.46800000000002</v>
      </c>
      <c r="DX95">
        <v>307.447</v>
      </c>
      <c r="DY95">
        <v>4.1658400000000002</v>
      </c>
      <c r="DZ95">
        <v>299.98</v>
      </c>
      <c r="EA95">
        <v>24.2867</v>
      </c>
      <c r="EB95">
        <v>2.8125200000000001</v>
      </c>
      <c r="EC95">
        <v>2.4007299999999998</v>
      </c>
      <c r="ED95">
        <v>22.957799999999999</v>
      </c>
      <c r="EE95">
        <v>20.3687</v>
      </c>
      <c r="EF95">
        <v>1800.02</v>
      </c>
      <c r="EG95">
        <v>0.97799700000000001</v>
      </c>
      <c r="EH95">
        <v>2.2002600000000001E-2</v>
      </c>
      <c r="EI95">
        <v>0</v>
      </c>
      <c r="EJ95">
        <v>526.59400000000005</v>
      </c>
      <c r="EK95">
        <v>5.0005300000000004</v>
      </c>
      <c r="EL95">
        <v>10547.4</v>
      </c>
      <c r="EM95">
        <v>16035.4</v>
      </c>
      <c r="EN95">
        <v>47.811999999999998</v>
      </c>
      <c r="EO95">
        <v>49</v>
      </c>
      <c r="EP95">
        <v>48.436999999999998</v>
      </c>
      <c r="EQ95">
        <v>48.311999999999998</v>
      </c>
      <c r="ER95">
        <v>49.061999999999998</v>
      </c>
      <c r="ES95">
        <v>1755.52</v>
      </c>
      <c r="ET95">
        <v>39.5</v>
      </c>
      <c r="EU95">
        <v>0</v>
      </c>
      <c r="EV95">
        <v>319.40000009536737</v>
      </c>
      <c r="EW95">
        <v>0</v>
      </c>
      <c r="EX95">
        <v>526.95164</v>
      </c>
      <c r="EY95">
        <v>-1.0828461414121029</v>
      </c>
      <c r="EZ95">
        <v>-6.6692307409530223</v>
      </c>
      <c r="FA95">
        <v>10546.023999999999</v>
      </c>
      <c r="FB95">
        <v>15</v>
      </c>
      <c r="FC95">
        <v>1700164824</v>
      </c>
      <c r="FD95" t="s">
        <v>752</v>
      </c>
      <c r="FE95">
        <v>1700164821</v>
      </c>
      <c r="FF95">
        <v>1700164824</v>
      </c>
      <c r="FG95">
        <v>86</v>
      </c>
      <c r="FH95">
        <v>0.23300000000000001</v>
      </c>
      <c r="FI95">
        <v>0</v>
      </c>
      <c r="FJ95">
        <v>-7.9000000000000001E-2</v>
      </c>
      <c r="FK95">
        <v>2E-3</v>
      </c>
      <c r="FL95">
        <v>300</v>
      </c>
      <c r="FM95">
        <v>24</v>
      </c>
      <c r="FN95">
        <v>0.08</v>
      </c>
      <c r="FO95">
        <v>0.02</v>
      </c>
      <c r="FP95">
        <v>34.925396084751618</v>
      </c>
      <c r="FQ95">
        <v>0.67516143654395533</v>
      </c>
      <c r="FR95">
        <v>5.8327547340068439E-2</v>
      </c>
      <c r="FS95">
        <v>1</v>
      </c>
      <c r="FT95">
        <v>0.3228616784630412</v>
      </c>
      <c r="FU95">
        <v>1.5336383133338349E-2</v>
      </c>
      <c r="FV95">
        <v>1.843328400737729E-3</v>
      </c>
      <c r="FW95">
        <v>1</v>
      </c>
      <c r="FX95">
        <v>2</v>
      </c>
      <c r="FY95">
        <v>2</v>
      </c>
      <c r="FZ95" t="s">
        <v>420</v>
      </c>
      <c r="GA95">
        <v>3.1244100000000001</v>
      </c>
      <c r="GB95">
        <v>2.7667299999999999</v>
      </c>
      <c r="GC95">
        <v>6.3790299999999994E-2</v>
      </c>
      <c r="GD95">
        <v>7.0404900000000006E-2</v>
      </c>
      <c r="GE95">
        <v>0.120172</v>
      </c>
      <c r="GF95">
        <v>0.107783</v>
      </c>
      <c r="GG95">
        <v>22307</v>
      </c>
      <c r="GH95">
        <v>23057.7</v>
      </c>
      <c r="GI95">
        <v>23695.4</v>
      </c>
      <c r="GJ95">
        <v>25126.5</v>
      </c>
      <c r="GK95">
        <v>30030.400000000001</v>
      </c>
      <c r="GL95">
        <v>31440</v>
      </c>
      <c r="GM95">
        <v>37778.800000000003</v>
      </c>
      <c r="GN95">
        <v>39121.699999999997</v>
      </c>
      <c r="GO95">
        <v>2.14215</v>
      </c>
      <c r="GP95">
        <v>1.7591000000000001</v>
      </c>
      <c r="GQ95">
        <v>3.2477100000000002E-2</v>
      </c>
      <c r="GR95">
        <v>0</v>
      </c>
      <c r="GS95">
        <v>29.436599999999999</v>
      </c>
      <c r="GT95">
        <v>999.9</v>
      </c>
      <c r="GU95">
        <v>39.5</v>
      </c>
      <c r="GV95">
        <v>39.9</v>
      </c>
      <c r="GW95">
        <v>29.464700000000001</v>
      </c>
      <c r="GX95">
        <v>61.085799999999999</v>
      </c>
      <c r="GY95">
        <v>27.411899999999999</v>
      </c>
      <c r="GZ95">
        <v>1</v>
      </c>
      <c r="HA95">
        <v>0.64020600000000005</v>
      </c>
      <c r="HB95">
        <v>1.9637199999999999</v>
      </c>
      <c r="HC95">
        <v>20.309100000000001</v>
      </c>
      <c r="HD95">
        <v>5.2527799999999996</v>
      </c>
      <c r="HE95">
        <v>12.0107</v>
      </c>
      <c r="HF95">
        <v>4.9791999999999996</v>
      </c>
      <c r="HG95">
        <v>3.2930000000000001</v>
      </c>
      <c r="HH95">
        <v>9999</v>
      </c>
      <c r="HI95">
        <v>9999</v>
      </c>
      <c r="HJ95">
        <v>9999</v>
      </c>
      <c r="HK95">
        <v>999.9</v>
      </c>
      <c r="HL95">
        <v>1.8760699999999999</v>
      </c>
      <c r="HM95">
        <v>1.87696</v>
      </c>
      <c r="HN95">
        <v>1.8832</v>
      </c>
      <c r="HO95">
        <v>1.8863000000000001</v>
      </c>
      <c r="HP95">
        <v>1.8771</v>
      </c>
      <c r="HQ95">
        <v>1.88364</v>
      </c>
      <c r="HR95">
        <v>1.88262</v>
      </c>
      <c r="HS95">
        <v>1.88598</v>
      </c>
      <c r="HT95">
        <v>5</v>
      </c>
      <c r="HU95">
        <v>0</v>
      </c>
      <c r="HV95">
        <v>0</v>
      </c>
      <c r="HW95">
        <v>0</v>
      </c>
      <c r="HX95" t="s">
        <v>421</v>
      </c>
      <c r="HY95" t="s">
        <v>422</v>
      </c>
      <c r="HZ95" t="s">
        <v>423</v>
      </c>
      <c r="IA95" t="s">
        <v>424</v>
      </c>
      <c r="IB95" t="s">
        <v>424</v>
      </c>
      <c r="IC95" t="s">
        <v>423</v>
      </c>
      <c r="ID95">
        <v>0</v>
      </c>
      <c r="IE95">
        <v>100</v>
      </c>
      <c r="IF95">
        <v>100</v>
      </c>
      <c r="IG95">
        <v>-7.5999999999999998E-2</v>
      </c>
      <c r="IH95">
        <v>1.6000000000000001E-3</v>
      </c>
      <c r="II95">
        <v>-7.218729772294856E-2</v>
      </c>
      <c r="IJ95">
        <v>4.4610147972834149E-5</v>
      </c>
      <c r="IK95">
        <v>-2.082673137682459E-7</v>
      </c>
      <c r="IL95">
        <v>-4.0725795306076518E-11</v>
      </c>
      <c r="IM95">
        <v>1.585000000002168E-3</v>
      </c>
      <c r="IN95">
        <v>0</v>
      </c>
      <c r="IO95">
        <v>0</v>
      </c>
      <c r="IP95">
        <v>0</v>
      </c>
      <c r="IQ95">
        <v>3</v>
      </c>
      <c r="IR95">
        <v>2179</v>
      </c>
      <c r="IS95">
        <v>0</v>
      </c>
      <c r="IT95">
        <v>22</v>
      </c>
      <c r="IU95">
        <v>2.2000000000000002</v>
      </c>
      <c r="IV95">
        <v>2.2000000000000002</v>
      </c>
      <c r="IW95">
        <v>0.81542999999999999</v>
      </c>
      <c r="IX95">
        <v>2.67944</v>
      </c>
      <c r="IY95">
        <v>1.6003400000000001</v>
      </c>
      <c r="IZ95">
        <v>2.32422</v>
      </c>
      <c r="JA95">
        <v>1.5502899999999999</v>
      </c>
      <c r="JB95">
        <v>2.4633799999999999</v>
      </c>
      <c r="JC95">
        <v>43.6447</v>
      </c>
      <c r="JD95">
        <v>24.210100000000001</v>
      </c>
      <c r="JE95">
        <v>18</v>
      </c>
      <c r="JF95">
        <v>613.14099999999996</v>
      </c>
      <c r="JG95">
        <v>394.31200000000001</v>
      </c>
      <c r="JH95">
        <v>27.518799999999999</v>
      </c>
      <c r="JI95">
        <v>34.852899999999998</v>
      </c>
      <c r="JJ95">
        <v>29.999600000000001</v>
      </c>
      <c r="JK95">
        <v>34.952500000000001</v>
      </c>
      <c r="JL95">
        <v>34.945799999999998</v>
      </c>
      <c r="JM95">
        <v>16.310199999999998</v>
      </c>
      <c r="JN95">
        <v>22.9482</v>
      </c>
      <c r="JO95">
        <v>52.734200000000001</v>
      </c>
      <c r="JP95">
        <v>27.5273</v>
      </c>
      <c r="JQ95">
        <v>300</v>
      </c>
      <c r="JR95">
        <v>24.2163</v>
      </c>
      <c r="JS95">
        <v>98.529300000000006</v>
      </c>
      <c r="JT95">
        <v>98.985500000000002</v>
      </c>
    </row>
    <row r="96" spans="1:280" x14ac:dyDescent="0.25">
      <c r="A96">
        <v>80</v>
      </c>
      <c r="B96">
        <v>1700165132.5</v>
      </c>
      <c r="C96">
        <v>17259</v>
      </c>
      <c r="D96" t="s">
        <v>753</v>
      </c>
      <c r="E96" t="s">
        <v>754</v>
      </c>
      <c r="F96" t="s">
        <v>412</v>
      </c>
      <c r="G96" t="s">
        <v>481</v>
      </c>
      <c r="H96" t="s">
        <v>413</v>
      </c>
      <c r="I96">
        <v>1700165132.5</v>
      </c>
      <c r="J96">
        <f t="shared" si="92"/>
        <v>5.6659714270322105E-3</v>
      </c>
      <c r="K96">
        <f t="shared" si="93"/>
        <v>5.6659714270322104</v>
      </c>
      <c r="L96">
        <f t="shared" si="94"/>
        <v>27.538898600345625</v>
      </c>
      <c r="M96">
        <f t="shared" si="95"/>
        <v>173.691</v>
      </c>
      <c r="N96">
        <f t="shared" si="96"/>
        <v>56.969018565127485</v>
      </c>
      <c r="O96">
        <f t="shared" si="97"/>
        <v>5.6369927808375122</v>
      </c>
      <c r="P96">
        <f t="shared" si="98"/>
        <v>17.186445154872004</v>
      </c>
      <c r="Q96">
        <f t="shared" si="99"/>
        <v>0.40970531210517519</v>
      </c>
      <c r="R96">
        <f t="shared" si="100"/>
        <v>3.2244659642521678</v>
      </c>
      <c r="S96">
        <f t="shared" si="101"/>
        <v>0.38282617925507806</v>
      </c>
      <c r="T96">
        <f t="shared" si="102"/>
        <v>0.24153424051793115</v>
      </c>
      <c r="U96">
        <f t="shared" si="103"/>
        <v>344.37949930218628</v>
      </c>
      <c r="V96">
        <f t="shared" si="104"/>
        <v>30.861383468093688</v>
      </c>
      <c r="W96">
        <f t="shared" si="105"/>
        <v>29.934799999999999</v>
      </c>
      <c r="X96">
        <f t="shared" si="106"/>
        <v>4.2445202547742173</v>
      </c>
      <c r="Y96">
        <f t="shared" si="107"/>
        <v>65.149336544927948</v>
      </c>
      <c r="Z96">
        <f t="shared" si="108"/>
        <v>2.8324175106784004</v>
      </c>
      <c r="AA96">
        <f t="shared" si="109"/>
        <v>4.3475769069806613</v>
      </c>
      <c r="AB96">
        <f t="shared" si="110"/>
        <v>1.4121027440958169</v>
      </c>
      <c r="AC96">
        <f t="shared" si="111"/>
        <v>-249.86933993212048</v>
      </c>
      <c r="AD96">
        <f t="shared" si="112"/>
        <v>72.681420729977802</v>
      </c>
      <c r="AE96">
        <f t="shared" si="113"/>
        <v>5.0190706746436673</v>
      </c>
      <c r="AF96">
        <f t="shared" si="114"/>
        <v>172.21065077468728</v>
      </c>
      <c r="AG96">
        <v>0</v>
      </c>
      <c r="AH96">
        <v>0</v>
      </c>
      <c r="AI96">
        <f t="shared" si="115"/>
        <v>1</v>
      </c>
      <c r="AJ96">
        <f t="shared" si="116"/>
        <v>0</v>
      </c>
      <c r="AK96">
        <f t="shared" si="117"/>
        <v>51600.564203721646</v>
      </c>
      <c r="AL96" t="s">
        <v>427</v>
      </c>
      <c r="AM96" t="s">
        <v>427</v>
      </c>
      <c r="AN96">
        <v>0</v>
      </c>
      <c r="AO96">
        <v>0</v>
      </c>
      <c r="AP96" t="e">
        <f t="shared" si="118"/>
        <v>#DIV/0!</v>
      </c>
      <c r="AQ96">
        <v>0</v>
      </c>
      <c r="AR96" t="s">
        <v>427</v>
      </c>
      <c r="AS96" t="s">
        <v>427</v>
      </c>
      <c r="AT96">
        <v>0</v>
      </c>
      <c r="AU96">
        <v>0</v>
      </c>
      <c r="AV96" t="e">
        <f t="shared" si="119"/>
        <v>#DIV/0!</v>
      </c>
      <c r="AW96">
        <v>0.5</v>
      </c>
      <c r="AX96">
        <f t="shared" si="120"/>
        <v>1513.2269996510931</v>
      </c>
      <c r="AY96">
        <f t="shared" si="121"/>
        <v>27.538898600345625</v>
      </c>
      <c r="AZ96" t="e">
        <f t="shared" si="122"/>
        <v>#DIV/0!</v>
      </c>
      <c r="BA96">
        <f t="shared" si="123"/>
        <v>1.8198788817999748E-2</v>
      </c>
      <c r="BB96" t="e">
        <f t="shared" si="124"/>
        <v>#DIV/0!</v>
      </c>
      <c r="BC96" t="e">
        <f t="shared" si="125"/>
        <v>#DIV/0!</v>
      </c>
      <c r="BD96" t="s">
        <v>427</v>
      </c>
      <c r="BE96">
        <v>0</v>
      </c>
      <c r="BF96" t="e">
        <f t="shared" si="126"/>
        <v>#DIV/0!</v>
      </c>
      <c r="BG96" t="e">
        <f t="shared" si="127"/>
        <v>#DIV/0!</v>
      </c>
      <c r="BH96" t="e">
        <f t="shared" si="128"/>
        <v>#DIV/0!</v>
      </c>
      <c r="BI96" t="e">
        <f t="shared" si="129"/>
        <v>#DIV/0!</v>
      </c>
      <c r="BJ96" t="e">
        <f t="shared" si="130"/>
        <v>#DIV/0!</v>
      </c>
      <c r="BK96" t="e">
        <f t="shared" si="131"/>
        <v>#DIV/0!</v>
      </c>
      <c r="BL96" t="e">
        <f t="shared" si="132"/>
        <v>#DIV/0!</v>
      </c>
      <c r="BM96" t="e">
        <f t="shared" si="133"/>
        <v>#DIV/0!</v>
      </c>
      <c r="BN96">
        <v>11340</v>
      </c>
      <c r="BO96">
        <v>290.00000000000011</v>
      </c>
      <c r="BP96">
        <v>670.67</v>
      </c>
      <c r="BQ96">
        <v>295</v>
      </c>
      <c r="BR96">
        <v>7096.31</v>
      </c>
      <c r="BS96">
        <v>672.28</v>
      </c>
      <c r="BT96">
        <v>-1.61</v>
      </c>
      <c r="BU96">
        <v>300.00000000000011</v>
      </c>
      <c r="BV96">
        <v>38.299999999999997</v>
      </c>
      <c r="BW96">
        <v>727.36447620817364</v>
      </c>
      <c r="BX96">
        <v>1.18268161411649</v>
      </c>
      <c r="BY96">
        <v>-39.087001848050093</v>
      </c>
      <c r="BZ96">
        <v>0.70351636405490658</v>
      </c>
      <c r="CA96">
        <v>0.99101081918982348</v>
      </c>
      <c r="CB96">
        <v>-6.9968798665183546E-3</v>
      </c>
      <c r="CC96">
        <v>289.99999999999989</v>
      </c>
      <c r="CD96">
        <v>678.91</v>
      </c>
      <c r="CE96">
        <v>875</v>
      </c>
      <c r="CF96">
        <v>7087.35</v>
      </c>
      <c r="CG96">
        <v>672.21</v>
      </c>
      <c r="CH96">
        <v>6.7</v>
      </c>
      <c r="CV96">
        <f t="shared" si="134"/>
        <v>1800.05</v>
      </c>
      <c r="CW96">
        <f t="shared" si="135"/>
        <v>1513.2269996510931</v>
      </c>
      <c r="CX96">
        <f t="shared" si="136"/>
        <v>0.84065831485297249</v>
      </c>
      <c r="CY96">
        <f t="shared" si="137"/>
        <v>0.19131662970594498</v>
      </c>
      <c r="CZ96">
        <v>4.5999999999999996</v>
      </c>
      <c r="DA96">
        <v>0.5</v>
      </c>
      <c r="DB96" t="s">
        <v>418</v>
      </c>
      <c r="DC96">
        <v>2</v>
      </c>
      <c r="DD96">
        <v>1700165132.5</v>
      </c>
      <c r="DE96">
        <v>173.691</v>
      </c>
      <c r="DF96">
        <v>199.92400000000001</v>
      </c>
      <c r="DG96">
        <v>28.6252</v>
      </c>
      <c r="DH96">
        <v>23.563300000000002</v>
      </c>
      <c r="DI96">
        <v>173.67400000000001</v>
      </c>
      <c r="DJ96">
        <v>28.6267</v>
      </c>
      <c r="DK96">
        <v>500.15600000000001</v>
      </c>
      <c r="DL96">
        <v>98.848200000000006</v>
      </c>
      <c r="DM96">
        <v>0.100192</v>
      </c>
      <c r="DN96">
        <v>30.352900000000002</v>
      </c>
      <c r="DO96">
        <v>29.934799999999999</v>
      </c>
      <c r="DP96">
        <v>999.9</v>
      </c>
      <c r="DQ96">
        <v>0</v>
      </c>
      <c r="DR96">
        <v>0</v>
      </c>
      <c r="DS96">
        <v>9981.8799999999992</v>
      </c>
      <c r="DT96">
        <v>0</v>
      </c>
      <c r="DU96">
        <v>482.93400000000003</v>
      </c>
      <c r="DV96">
        <v>-26.232700000000001</v>
      </c>
      <c r="DW96">
        <v>178.81</v>
      </c>
      <c r="DX96">
        <v>204.749</v>
      </c>
      <c r="DY96">
        <v>5.0618600000000002</v>
      </c>
      <c r="DZ96">
        <v>199.92400000000001</v>
      </c>
      <c r="EA96">
        <v>23.563300000000002</v>
      </c>
      <c r="EB96">
        <v>2.8295499999999998</v>
      </c>
      <c r="EC96">
        <v>2.3291900000000001</v>
      </c>
      <c r="ED96">
        <v>23.057500000000001</v>
      </c>
      <c r="EE96">
        <v>19.8797</v>
      </c>
      <c r="EF96">
        <v>1800.05</v>
      </c>
      <c r="EG96">
        <v>0.97799700000000001</v>
      </c>
      <c r="EH96">
        <v>2.2002600000000001E-2</v>
      </c>
      <c r="EI96">
        <v>0</v>
      </c>
      <c r="EJ96">
        <v>537.57100000000003</v>
      </c>
      <c r="EK96">
        <v>5.0005300000000004</v>
      </c>
      <c r="EL96">
        <v>10650.8</v>
      </c>
      <c r="EM96">
        <v>16035.7</v>
      </c>
      <c r="EN96">
        <v>47.811999999999998</v>
      </c>
      <c r="EO96">
        <v>48.936999999999998</v>
      </c>
      <c r="EP96">
        <v>48.375</v>
      </c>
      <c r="EQ96">
        <v>48.311999999999998</v>
      </c>
      <c r="ER96">
        <v>49.061999999999998</v>
      </c>
      <c r="ES96">
        <v>1755.55</v>
      </c>
      <c r="ET96">
        <v>39.5</v>
      </c>
      <c r="EU96">
        <v>0</v>
      </c>
      <c r="EV96">
        <v>174.79999995231631</v>
      </c>
      <c r="EW96">
        <v>0</v>
      </c>
      <c r="EX96">
        <v>537.56356000000005</v>
      </c>
      <c r="EY96">
        <v>-0.27307692799503092</v>
      </c>
      <c r="EZ96">
        <v>-155.76153903359841</v>
      </c>
      <c r="FA96">
        <v>10670.9</v>
      </c>
      <c r="FB96">
        <v>15</v>
      </c>
      <c r="FC96">
        <v>1700165040</v>
      </c>
      <c r="FD96" t="s">
        <v>755</v>
      </c>
      <c r="FE96">
        <v>1700165033</v>
      </c>
      <c r="FF96">
        <v>1700165040</v>
      </c>
      <c r="FG96">
        <v>87</v>
      </c>
      <c r="FH96">
        <v>8.7999999999999995E-2</v>
      </c>
      <c r="FI96">
        <v>-3.0000000000000001E-3</v>
      </c>
      <c r="FJ96">
        <v>1.6E-2</v>
      </c>
      <c r="FK96">
        <v>-2E-3</v>
      </c>
      <c r="FL96">
        <v>200</v>
      </c>
      <c r="FM96">
        <v>24</v>
      </c>
      <c r="FN96">
        <v>0.05</v>
      </c>
      <c r="FO96">
        <v>0.01</v>
      </c>
      <c r="FP96">
        <v>27.538266696973899</v>
      </c>
      <c r="FQ96">
        <v>0.63486033462384717</v>
      </c>
      <c r="FR96">
        <v>7.3210883848537661E-2</v>
      </c>
      <c r="FS96">
        <v>1</v>
      </c>
      <c r="FT96">
        <v>0.40674653981005748</v>
      </c>
      <c r="FU96">
        <v>1.544686043680742E-2</v>
      </c>
      <c r="FV96">
        <v>1.1715557216914619E-3</v>
      </c>
      <c r="FW96">
        <v>1</v>
      </c>
      <c r="FX96">
        <v>2</v>
      </c>
      <c r="FY96">
        <v>2</v>
      </c>
      <c r="FZ96" t="s">
        <v>420</v>
      </c>
      <c r="GA96">
        <v>3.1242399999999999</v>
      </c>
      <c r="GB96">
        <v>2.7669000000000001</v>
      </c>
      <c r="GC96">
        <v>4.3865700000000001E-2</v>
      </c>
      <c r="GD96">
        <v>4.9843999999999999E-2</v>
      </c>
      <c r="GE96">
        <v>0.1207</v>
      </c>
      <c r="GF96">
        <v>0.10552499999999999</v>
      </c>
      <c r="GG96">
        <v>22784.5</v>
      </c>
      <c r="GH96">
        <v>23571.3</v>
      </c>
      <c r="GI96">
        <v>23698.6</v>
      </c>
      <c r="GJ96">
        <v>25130.5</v>
      </c>
      <c r="GK96">
        <v>30016.5</v>
      </c>
      <c r="GL96">
        <v>31524.2</v>
      </c>
      <c r="GM96">
        <v>37783.9</v>
      </c>
      <c r="GN96">
        <v>39127.300000000003</v>
      </c>
      <c r="GO96">
        <v>2.1433</v>
      </c>
      <c r="GP96">
        <v>1.7589999999999999</v>
      </c>
      <c r="GQ96">
        <v>2.2634899999999999E-2</v>
      </c>
      <c r="GR96">
        <v>0</v>
      </c>
      <c r="GS96">
        <v>29.566299999999998</v>
      </c>
      <c r="GT96">
        <v>999.9</v>
      </c>
      <c r="GU96">
        <v>39.299999999999997</v>
      </c>
      <c r="GV96">
        <v>39.9</v>
      </c>
      <c r="GW96">
        <v>29.317699999999999</v>
      </c>
      <c r="GX96">
        <v>60.755800000000001</v>
      </c>
      <c r="GY96">
        <v>26.706700000000001</v>
      </c>
      <c r="GZ96">
        <v>1</v>
      </c>
      <c r="HA96">
        <v>0.632602</v>
      </c>
      <c r="HB96">
        <v>1.3224400000000001</v>
      </c>
      <c r="HC96">
        <v>20.315300000000001</v>
      </c>
      <c r="HD96">
        <v>5.2526299999999999</v>
      </c>
      <c r="HE96">
        <v>12.0099</v>
      </c>
      <c r="HF96">
        <v>4.9793000000000003</v>
      </c>
      <c r="HG96">
        <v>3.2930000000000001</v>
      </c>
      <c r="HH96">
        <v>9999</v>
      </c>
      <c r="HI96">
        <v>9999</v>
      </c>
      <c r="HJ96">
        <v>9999</v>
      </c>
      <c r="HK96">
        <v>999.9</v>
      </c>
      <c r="HL96">
        <v>1.8760699999999999</v>
      </c>
      <c r="HM96">
        <v>1.87696</v>
      </c>
      <c r="HN96">
        <v>1.8832199999999999</v>
      </c>
      <c r="HO96">
        <v>1.8863099999999999</v>
      </c>
      <c r="HP96">
        <v>1.87713</v>
      </c>
      <c r="HQ96">
        <v>1.88368</v>
      </c>
      <c r="HR96">
        <v>1.88263</v>
      </c>
      <c r="HS96">
        <v>1.8859900000000001</v>
      </c>
      <c r="HT96">
        <v>5</v>
      </c>
      <c r="HU96">
        <v>0</v>
      </c>
      <c r="HV96">
        <v>0</v>
      </c>
      <c r="HW96">
        <v>0</v>
      </c>
      <c r="HX96" t="s">
        <v>421</v>
      </c>
      <c r="HY96" t="s">
        <v>422</v>
      </c>
      <c r="HZ96" t="s">
        <v>423</v>
      </c>
      <c r="IA96" t="s">
        <v>424</v>
      </c>
      <c r="IB96" t="s">
        <v>424</v>
      </c>
      <c r="IC96" t="s">
        <v>423</v>
      </c>
      <c r="ID96">
        <v>0</v>
      </c>
      <c r="IE96">
        <v>100</v>
      </c>
      <c r="IF96">
        <v>100</v>
      </c>
      <c r="IG96">
        <v>1.7000000000000001E-2</v>
      </c>
      <c r="IH96">
        <v>-1.5E-3</v>
      </c>
      <c r="II96">
        <v>1.5932915849311769E-2</v>
      </c>
      <c r="IJ96">
        <v>4.4610147972834149E-5</v>
      </c>
      <c r="IK96">
        <v>-2.082673137682459E-7</v>
      </c>
      <c r="IL96">
        <v>-4.0725795306076518E-11</v>
      </c>
      <c r="IM96">
        <v>-1.5050000000051971E-3</v>
      </c>
      <c r="IN96">
        <v>0</v>
      </c>
      <c r="IO96">
        <v>0</v>
      </c>
      <c r="IP96">
        <v>0</v>
      </c>
      <c r="IQ96">
        <v>3</v>
      </c>
      <c r="IR96">
        <v>2179</v>
      </c>
      <c r="IS96">
        <v>0</v>
      </c>
      <c r="IT96">
        <v>22</v>
      </c>
      <c r="IU96">
        <v>1.7</v>
      </c>
      <c r="IV96">
        <v>1.5</v>
      </c>
      <c r="IW96">
        <v>0.59814500000000004</v>
      </c>
      <c r="IX96">
        <v>2.7002000000000002</v>
      </c>
      <c r="IY96">
        <v>1.6015600000000001</v>
      </c>
      <c r="IZ96">
        <v>2.32422</v>
      </c>
      <c r="JA96">
        <v>1.5502899999999999</v>
      </c>
      <c r="JB96">
        <v>2.4035600000000001</v>
      </c>
      <c r="JC96">
        <v>43.59</v>
      </c>
      <c r="JD96">
        <v>24.210100000000001</v>
      </c>
      <c r="JE96">
        <v>18</v>
      </c>
      <c r="JF96">
        <v>613.399</v>
      </c>
      <c r="JG96">
        <v>393.84699999999998</v>
      </c>
      <c r="JH96">
        <v>28.153300000000002</v>
      </c>
      <c r="JI96">
        <v>34.792700000000004</v>
      </c>
      <c r="JJ96">
        <v>29.9999</v>
      </c>
      <c r="JK96">
        <v>34.889000000000003</v>
      </c>
      <c r="JL96">
        <v>34.882100000000001</v>
      </c>
      <c r="JM96">
        <v>11.9498</v>
      </c>
      <c r="JN96">
        <v>25.353300000000001</v>
      </c>
      <c r="JO96">
        <v>52.160600000000002</v>
      </c>
      <c r="JP96">
        <v>28.1615</v>
      </c>
      <c r="JQ96">
        <v>200</v>
      </c>
      <c r="JR96">
        <v>23.5443</v>
      </c>
      <c r="JS96">
        <v>98.542599999999993</v>
      </c>
      <c r="JT96">
        <v>99.000399999999999</v>
      </c>
    </row>
    <row r="97" spans="1:280" x14ac:dyDescent="0.25">
      <c r="A97">
        <v>81</v>
      </c>
      <c r="B97">
        <v>1700165240</v>
      </c>
      <c r="C97">
        <v>17366.5</v>
      </c>
      <c r="D97" t="s">
        <v>756</v>
      </c>
      <c r="E97" t="s">
        <v>757</v>
      </c>
      <c r="F97" t="s">
        <v>412</v>
      </c>
      <c r="G97" t="s">
        <v>481</v>
      </c>
      <c r="H97" t="s">
        <v>413</v>
      </c>
      <c r="I97">
        <v>1700165240</v>
      </c>
      <c r="J97">
        <f t="shared" si="92"/>
        <v>5.9251467042568187E-3</v>
      </c>
      <c r="K97">
        <f t="shared" si="93"/>
        <v>5.9251467042568189</v>
      </c>
      <c r="L97">
        <f t="shared" si="94"/>
        <v>17.609322627225307</v>
      </c>
      <c r="M97">
        <f t="shared" si="95"/>
        <v>103.239</v>
      </c>
      <c r="N97">
        <f t="shared" si="96"/>
        <v>32.769325260005708</v>
      </c>
      <c r="O97">
        <f t="shared" si="97"/>
        <v>3.2423424059518182</v>
      </c>
      <c r="P97">
        <f t="shared" si="98"/>
        <v>10.214924628204002</v>
      </c>
      <c r="Q97">
        <f t="shared" si="99"/>
        <v>0.43503206699938418</v>
      </c>
      <c r="R97">
        <f t="shared" si="100"/>
        <v>3.2308476020154968</v>
      </c>
      <c r="S97">
        <f t="shared" si="101"/>
        <v>0.40491343248296863</v>
      </c>
      <c r="T97">
        <f t="shared" si="102"/>
        <v>0.25560295735387512</v>
      </c>
      <c r="U97">
        <f t="shared" si="103"/>
        <v>344.38519930219786</v>
      </c>
      <c r="V97">
        <f t="shared" si="104"/>
        <v>30.903364788439426</v>
      </c>
      <c r="W97">
        <f t="shared" si="105"/>
        <v>29.997699999999998</v>
      </c>
      <c r="X97">
        <f t="shared" si="106"/>
        <v>4.2598869563131503</v>
      </c>
      <c r="Y97">
        <f t="shared" si="107"/>
        <v>65.486775763251416</v>
      </c>
      <c r="Z97">
        <f t="shared" si="108"/>
        <v>2.8641445888920001</v>
      </c>
      <c r="AA97">
        <f t="shared" si="109"/>
        <v>4.3736228505835903</v>
      </c>
      <c r="AB97">
        <f t="shared" si="110"/>
        <v>1.3957423674211502</v>
      </c>
      <c r="AC97">
        <f t="shared" si="111"/>
        <v>-261.29896965772571</v>
      </c>
      <c r="AD97">
        <f t="shared" si="112"/>
        <v>80.036378995175781</v>
      </c>
      <c r="AE97">
        <f t="shared" si="113"/>
        <v>5.5206213087508917</v>
      </c>
      <c r="AF97">
        <f t="shared" si="114"/>
        <v>168.64322994839881</v>
      </c>
      <c r="AG97">
        <v>0</v>
      </c>
      <c r="AH97">
        <v>0</v>
      </c>
      <c r="AI97">
        <f t="shared" si="115"/>
        <v>1</v>
      </c>
      <c r="AJ97">
        <f t="shared" si="116"/>
        <v>0</v>
      </c>
      <c r="AK97">
        <f t="shared" si="117"/>
        <v>51735.788924972796</v>
      </c>
      <c r="AL97" t="s">
        <v>415</v>
      </c>
      <c r="AM97">
        <v>6977.87</v>
      </c>
      <c r="AN97">
        <v>273.15280000000001</v>
      </c>
      <c r="AO97">
        <v>850.46774885301022</v>
      </c>
      <c r="AP97">
        <f t="shared" si="118"/>
        <v>0.67882050745793765</v>
      </c>
      <c r="AQ97">
        <v>-1.0323826813720729</v>
      </c>
      <c r="AR97" t="s">
        <v>758</v>
      </c>
      <c r="AS97">
        <v>7096.72</v>
      </c>
      <c r="AT97">
        <v>558.05668000000003</v>
      </c>
      <c r="AU97">
        <v>674.09413566094418</v>
      </c>
      <c r="AV97">
        <f t="shared" si="119"/>
        <v>0.1721383550491361</v>
      </c>
      <c r="AW97">
        <v>0.5</v>
      </c>
      <c r="AX97">
        <f t="shared" si="120"/>
        <v>1513.2521996510989</v>
      </c>
      <c r="AY97">
        <f t="shared" si="121"/>
        <v>17.609322627225307</v>
      </c>
      <c r="AZ97">
        <f t="shared" si="122"/>
        <v>130.24437221121352</v>
      </c>
      <c r="BA97">
        <f t="shared" si="123"/>
        <v>1.2318967924114356E-2</v>
      </c>
      <c r="BB97">
        <f t="shared" si="124"/>
        <v>0.26164537541797933</v>
      </c>
      <c r="BC97">
        <f t="shared" si="125"/>
        <v>251.9778120811354</v>
      </c>
      <c r="BD97" t="s">
        <v>759</v>
      </c>
      <c r="BE97">
        <v>398.55</v>
      </c>
      <c r="BF97">
        <f t="shared" si="126"/>
        <v>398.55</v>
      </c>
      <c r="BG97">
        <f t="shared" si="127"/>
        <v>0.40876210173639216</v>
      </c>
      <c r="BH97">
        <f t="shared" si="128"/>
        <v>0.421121122329846</v>
      </c>
      <c r="BI97">
        <f t="shared" si="129"/>
        <v>0.39027812835346937</v>
      </c>
      <c r="BJ97">
        <f t="shared" si="130"/>
        <v>0.28941255325958998</v>
      </c>
      <c r="BK97">
        <f t="shared" si="131"/>
        <v>0.30550674903270592</v>
      </c>
      <c r="BL97">
        <f t="shared" si="132"/>
        <v>0.30075407986256897</v>
      </c>
      <c r="BM97">
        <f t="shared" si="133"/>
        <v>0.69924592013743103</v>
      </c>
      <c r="BN97">
        <v>11342</v>
      </c>
      <c r="BO97">
        <v>290.00000000000011</v>
      </c>
      <c r="BP97">
        <v>643.16999999999996</v>
      </c>
      <c r="BQ97">
        <v>275</v>
      </c>
      <c r="BR97">
        <v>7096.72</v>
      </c>
      <c r="BS97">
        <v>644.30999999999995</v>
      </c>
      <c r="BT97">
        <v>-1.1399999999999999</v>
      </c>
      <c r="BU97">
        <v>300.00000000000011</v>
      </c>
      <c r="BV97">
        <v>38.299999999999997</v>
      </c>
      <c r="BW97">
        <v>674.09413566094418</v>
      </c>
      <c r="BX97">
        <v>1.0484723064555761</v>
      </c>
      <c r="BY97">
        <v>-21.139266506823041</v>
      </c>
      <c r="BZ97">
        <v>0.62368374009738314</v>
      </c>
      <c r="CA97">
        <v>0.97620701284511202</v>
      </c>
      <c r="CB97">
        <v>-6.9967270300333754E-3</v>
      </c>
      <c r="CC97">
        <v>289.99999999999989</v>
      </c>
      <c r="CD97">
        <v>647.88</v>
      </c>
      <c r="CE97">
        <v>885</v>
      </c>
      <c r="CF97">
        <v>7087.2</v>
      </c>
      <c r="CG97">
        <v>644.27</v>
      </c>
      <c r="CH97">
        <v>3.61</v>
      </c>
      <c r="CV97">
        <f t="shared" si="134"/>
        <v>1800.08</v>
      </c>
      <c r="CW97">
        <f t="shared" si="135"/>
        <v>1513.2521996510989</v>
      </c>
      <c r="CX97">
        <f t="shared" si="136"/>
        <v>0.84065830388154905</v>
      </c>
      <c r="CY97">
        <f t="shared" si="137"/>
        <v>0.19131660776309825</v>
      </c>
      <c r="CZ97">
        <v>4.5999999999999996</v>
      </c>
      <c r="DA97">
        <v>0.5</v>
      </c>
      <c r="DB97" t="s">
        <v>418</v>
      </c>
      <c r="DC97">
        <v>2</v>
      </c>
      <c r="DD97">
        <v>1700165240</v>
      </c>
      <c r="DE97">
        <v>103.239</v>
      </c>
      <c r="DF97">
        <v>120</v>
      </c>
      <c r="DG97">
        <v>28.946999999999999</v>
      </c>
      <c r="DH97">
        <v>23.654399999999999</v>
      </c>
      <c r="DI97">
        <v>103.19</v>
      </c>
      <c r="DJ97">
        <v>28.945699999999999</v>
      </c>
      <c r="DK97">
        <v>500.07</v>
      </c>
      <c r="DL97">
        <v>98.844800000000006</v>
      </c>
      <c r="DM97">
        <v>9.9636000000000002E-2</v>
      </c>
      <c r="DN97">
        <v>30.4572</v>
      </c>
      <c r="DO97">
        <v>29.997699999999998</v>
      </c>
      <c r="DP97">
        <v>999.9</v>
      </c>
      <c r="DQ97">
        <v>0</v>
      </c>
      <c r="DR97">
        <v>0</v>
      </c>
      <c r="DS97">
        <v>10013.1</v>
      </c>
      <c r="DT97">
        <v>0</v>
      </c>
      <c r="DU97">
        <v>473.673</v>
      </c>
      <c r="DV97">
        <v>-16.7607</v>
      </c>
      <c r="DW97">
        <v>106.31699999999999</v>
      </c>
      <c r="DX97">
        <v>122.907</v>
      </c>
      <c r="DY97">
        <v>5.2926099999999998</v>
      </c>
      <c r="DZ97">
        <v>120</v>
      </c>
      <c r="EA97">
        <v>23.654399999999999</v>
      </c>
      <c r="EB97">
        <v>2.8612700000000002</v>
      </c>
      <c r="EC97">
        <v>2.33812</v>
      </c>
      <c r="ED97">
        <v>23.241900000000001</v>
      </c>
      <c r="EE97">
        <v>19.941400000000002</v>
      </c>
      <c r="EF97">
        <v>1800.08</v>
      </c>
      <c r="EG97">
        <v>0.97799700000000001</v>
      </c>
      <c r="EH97">
        <v>2.2002600000000001E-2</v>
      </c>
      <c r="EI97">
        <v>0</v>
      </c>
      <c r="EJ97">
        <v>557.404</v>
      </c>
      <c r="EK97">
        <v>5.0005300000000004</v>
      </c>
      <c r="EL97">
        <v>11040</v>
      </c>
      <c r="EM97">
        <v>16036</v>
      </c>
      <c r="EN97">
        <v>47.75</v>
      </c>
      <c r="EO97">
        <v>48.936999999999998</v>
      </c>
      <c r="EP97">
        <v>48.375</v>
      </c>
      <c r="EQ97">
        <v>48.25</v>
      </c>
      <c r="ER97">
        <v>49</v>
      </c>
      <c r="ES97">
        <v>1755.58</v>
      </c>
      <c r="ET97">
        <v>39.5</v>
      </c>
      <c r="EU97">
        <v>0</v>
      </c>
      <c r="EV97">
        <v>282.79999995231628</v>
      </c>
      <c r="EW97">
        <v>0</v>
      </c>
      <c r="EX97">
        <v>558.05668000000003</v>
      </c>
      <c r="EY97">
        <v>-1.2773846086644141</v>
      </c>
      <c r="EZ97">
        <v>142.95384687508269</v>
      </c>
      <c r="FA97">
        <v>11032.384</v>
      </c>
      <c r="FB97">
        <v>15</v>
      </c>
      <c r="FC97">
        <v>1700165208</v>
      </c>
      <c r="FD97" t="s">
        <v>760</v>
      </c>
      <c r="FE97">
        <v>1700165191</v>
      </c>
      <c r="FF97">
        <v>1700165208</v>
      </c>
      <c r="FG97">
        <v>88</v>
      </c>
      <c r="FH97">
        <v>3.1E-2</v>
      </c>
      <c r="FI97">
        <v>3.0000000000000001E-3</v>
      </c>
      <c r="FJ97">
        <v>4.9000000000000002E-2</v>
      </c>
      <c r="FK97">
        <v>1E-3</v>
      </c>
      <c r="FL97">
        <v>120</v>
      </c>
      <c r="FM97">
        <v>23</v>
      </c>
      <c r="FN97">
        <v>0.11</v>
      </c>
      <c r="FO97">
        <v>0.01</v>
      </c>
      <c r="FP97">
        <v>17.572968882800961</v>
      </c>
      <c r="FQ97">
        <v>0.61482023506415939</v>
      </c>
      <c r="FR97">
        <v>5.5195807771407777E-2</v>
      </c>
      <c r="FS97">
        <v>1</v>
      </c>
      <c r="FT97">
        <v>0.43219475978323268</v>
      </c>
      <c r="FU97">
        <v>3.9728461181512582E-2</v>
      </c>
      <c r="FV97">
        <v>3.1525422162832131E-3</v>
      </c>
      <c r="FW97">
        <v>1</v>
      </c>
      <c r="FX97">
        <v>2</v>
      </c>
      <c r="FY97">
        <v>2</v>
      </c>
      <c r="FZ97" t="s">
        <v>420</v>
      </c>
      <c r="GA97">
        <v>3.1239400000000002</v>
      </c>
      <c r="GB97">
        <v>2.7666200000000001</v>
      </c>
      <c r="GC97">
        <v>2.6977999999999999E-2</v>
      </c>
      <c r="GD97">
        <v>3.12067E-2</v>
      </c>
      <c r="GE97">
        <v>0.12163300000000001</v>
      </c>
      <c r="GF97">
        <v>0.105818</v>
      </c>
      <c r="GG97">
        <v>23188</v>
      </c>
      <c r="GH97">
        <v>24035.3</v>
      </c>
      <c r="GI97">
        <v>23700.400000000001</v>
      </c>
      <c r="GJ97">
        <v>25132.7</v>
      </c>
      <c r="GK97">
        <v>29987.1</v>
      </c>
      <c r="GL97">
        <v>31516.6</v>
      </c>
      <c r="GM97">
        <v>37787</v>
      </c>
      <c r="GN97">
        <v>39130.6</v>
      </c>
      <c r="GO97">
        <v>2.1438000000000001</v>
      </c>
      <c r="GP97">
        <v>1.7595000000000001</v>
      </c>
      <c r="GQ97">
        <v>2.4460300000000001E-2</v>
      </c>
      <c r="GR97">
        <v>0</v>
      </c>
      <c r="GS97">
        <v>29.599499999999999</v>
      </c>
      <c r="GT97">
        <v>999.9</v>
      </c>
      <c r="GU97">
        <v>39.200000000000003</v>
      </c>
      <c r="GV97">
        <v>39.799999999999997</v>
      </c>
      <c r="GW97">
        <v>29.088699999999999</v>
      </c>
      <c r="GX97">
        <v>60.485799999999998</v>
      </c>
      <c r="GY97">
        <v>27.399799999999999</v>
      </c>
      <c r="GZ97">
        <v>1</v>
      </c>
      <c r="HA97">
        <v>0.63190800000000003</v>
      </c>
      <c r="HB97">
        <v>1.89072</v>
      </c>
      <c r="HC97">
        <v>20.3093</v>
      </c>
      <c r="HD97">
        <v>5.2505300000000004</v>
      </c>
      <c r="HE97">
        <v>12.0101</v>
      </c>
      <c r="HF97">
        <v>4.9788500000000004</v>
      </c>
      <c r="HG97">
        <v>3.2926199999999999</v>
      </c>
      <c r="HH97">
        <v>9999</v>
      </c>
      <c r="HI97">
        <v>9999</v>
      </c>
      <c r="HJ97">
        <v>9999</v>
      </c>
      <c r="HK97">
        <v>999.9</v>
      </c>
      <c r="HL97">
        <v>1.8760699999999999</v>
      </c>
      <c r="HM97">
        <v>1.8769400000000001</v>
      </c>
      <c r="HN97">
        <v>1.88323</v>
      </c>
      <c r="HO97">
        <v>1.88629</v>
      </c>
      <c r="HP97">
        <v>1.8771199999999999</v>
      </c>
      <c r="HQ97">
        <v>1.8836200000000001</v>
      </c>
      <c r="HR97">
        <v>1.8826000000000001</v>
      </c>
      <c r="HS97">
        <v>1.8859900000000001</v>
      </c>
      <c r="HT97">
        <v>5</v>
      </c>
      <c r="HU97">
        <v>0</v>
      </c>
      <c r="HV97">
        <v>0</v>
      </c>
      <c r="HW97">
        <v>0</v>
      </c>
      <c r="HX97" t="s">
        <v>421</v>
      </c>
      <c r="HY97" t="s">
        <v>422</v>
      </c>
      <c r="HZ97" t="s">
        <v>423</v>
      </c>
      <c r="IA97" t="s">
        <v>424</v>
      </c>
      <c r="IB97" t="s">
        <v>424</v>
      </c>
      <c r="IC97" t="s">
        <v>423</v>
      </c>
      <c r="ID97">
        <v>0</v>
      </c>
      <c r="IE97">
        <v>100</v>
      </c>
      <c r="IF97">
        <v>100</v>
      </c>
      <c r="IG97">
        <v>4.9000000000000002E-2</v>
      </c>
      <c r="IH97">
        <v>1.2999999999999999E-3</v>
      </c>
      <c r="II97">
        <v>4.6815372767834908E-2</v>
      </c>
      <c r="IJ97">
        <v>4.4610147972834149E-5</v>
      </c>
      <c r="IK97">
        <v>-2.082673137682459E-7</v>
      </c>
      <c r="IL97">
        <v>-4.0725795306076518E-11</v>
      </c>
      <c r="IM97">
        <v>1.3699999999978729E-3</v>
      </c>
      <c r="IN97">
        <v>0</v>
      </c>
      <c r="IO97">
        <v>0</v>
      </c>
      <c r="IP97">
        <v>0</v>
      </c>
      <c r="IQ97">
        <v>3</v>
      </c>
      <c r="IR97">
        <v>2179</v>
      </c>
      <c r="IS97">
        <v>0</v>
      </c>
      <c r="IT97">
        <v>22</v>
      </c>
      <c r="IU97">
        <v>0.8</v>
      </c>
      <c r="IV97">
        <v>0.5</v>
      </c>
      <c r="IW97">
        <v>0.41748000000000002</v>
      </c>
      <c r="IX97">
        <v>2.7038600000000002</v>
      </c>
      <c r="IY97">
        <v>1.6015600000000001</v>
      </c>
      <c r="IZ97">
        <v>2.32422</v>
      </c>
      <c r="JA97">
        <v>1.5502899999999999</v>
      </c>
      <c r="JB97">
        <v>2.4255399999999998</v>
      </c>
      <c r="JC97">
        <v>43.535400000000003</v>
      </c>
      <c r="JD97">
        <v>24.210100000000001</v>
      </c>
      <c r="JE97">
        <v>18</v>
      </c>
      <c r="JF97">
        <v>613.46900000000005</v>
      </c>
      <c r="JG97">
        <v>393.94</v>
      </c>
      <c r="JH97">
        <v>27.9008</v>
      </c>
      <c r="JI97">
        <v>34.761000000000003</v>
      </c>
      <c r="JJ97">
        <v>30.0001</v>
      </c>
      <c r="JK97">
        <v>34.8568</v>
      </c>
      <c r="JL97">
        <v>34.847099999999998</v>
      </c>
      <c r="JM97">
        <v>8.3576899999999998</v>
      </c>
      <c r="JN97">
        <v>25.203099999999999</v>
      </c>
      <c r="JO97">
        <v>51.941299999999998</v>
      </c>
      <c r="JP97">
        <v>27.901299999999999</v>
      </c>
      <c r="JQ97">
        <v>120</v>
      </c>
      <c r="JR97">
        <v>23.463899999999999</v>
      </c>
      <c r="JS97">
        <v>98.550299999999993</v>
      </c>
      <c r="JT97">
        <v>99.008899999999997</v>
      </c>
    </row>
    <row r="98" spans="1:280" x14ac:dyDescent="0.25">
      <c r="A98">
        <v>82</v>
      </c>
      <c r="B98">
        <v>1700165344</v>
      </c>
      <c r="C98">
        <v>17470.5</v>
      </c>
      <c r="D98" t="s">
        <v>761</v>
      </c>
      <c r="E98" t="s">
        <v>762</v>
      </c>
      <c r="F98" t="s">
        <v>412</v>
      </c>
      <c r="G98" t="s">
        <v>481</v>
      </c>
      <c r="H98" t="s">
        <v>413</v>
      </c>
      <c r="I98">
        <v>1700165344</v>
      </c>
      <c r="J98">
        <f t="shared" si="92"/>
        <v>6.2410366637741937E-3</v>
      </c>
      <c r="K98">
        <f t="shared" si="93"/>
        <v>6.2410366637741941</v>
      </c>
      <c r="L98">
        <f t="shared" si="94"/>
        <v>10.839489469652571</v>
      </c>
      <c r="M98">
        <f t="shared" si="95"/>
        <v>59.686199999999999</v>
      </c>
      <c r="N98">
        <f t="shared" si="96"/>
        <v>18.868276701441214</v>
      </c>
      <c r="O98">
        <f t="shared" si="97"/>
        <v>1.866806290788142</v>
      </c>
      <c r="P98">
        <f t="shared" si="98"/>
        <v>5.9052861793535394</v>
      </c>
      <c r="Q98">
        <f t="shared" si="99"/>
        <v>0.46403712848350076</v>
      </c>
      <c r="R98">
        <f t="shared" si="100"/>
        <v>3.2303318149727285</v>
      </c>
      <c r="S98">
        <f t="shared" si="101"/>
        <v>0.42993207343994749</v>
      </c>
      <c r="T98">
        <f t="shared" si="102"/>
        <v>0.27156257003017581</v>
      </c>
      <c r="U98">
        <f t="shared" si="103"/>
        <v>344.34149930210867</v>
      </c>
      <c r="V98">
        <f t="shared" si="104"/>
        <v>30.915658099417101</v>
      </c>
      <c r="W98">
        <f t="shared" si="105"/>
        <v>30.016200000000001</v>
      </c>
      <c r="X98">
        <f t="shared" si="106"/>
        <v>4.2644157914851979</v>
      </c>
      <c r="Y98">
        <f t="shared" si="107"/>
        <v>65.522089043829084</v>
      </c>
      <c r="Z98">
        <f t="shared" si="108"/>
        <v>2.8800417346163099</v>
      </c>
      <c r="AA98">
        <f t="shared" si="109"/>
        <v>4.3955279458348615</v>
      </c>
      <c r="AB98">
        <f t="shared" si="110"/>
        <v>1.384374056868888</v>
      </c>
      <c r="AC98">
        <f t="shared" si="111"/>
        <v>-275.22971687244194</v>
      </c>
      <c r="AD98">
        <f t="shared" si="112"/>
        <v>92.005372665693841</v>
      </c>
      <c r="AE98">
        <f t="shared" si="113"/>
        <v>6.3505363927511365</v>
      </c>
      <c r="AF98">
        <f t="shared" si="114"/>
        <v>167.46769148811168</v>
      </c>
      <c r="AG98">
        <v>0</v>
      </c>
      <c r="AH98">
        <v>0</v>
      </c>
      <c r="AI98">
        <f t="shared" si="115"/>
        <v>1</v>
      </c>
      <c r="AJ98">
        <f t="shared" si="116"/>
        <v>0</v>
      </c>
      <c r="AK98">
        <f t="shared" si="117"/>
        <v>51708.412819708043</v>
      </c>
      <c r="AL98" t="s">
        <v>427</v>
      </c>
      <c r="AM98" t="s">
        <v>427</v>
      </c>
      <c r="AN98">
        <v>0</v>
      </c>
      <c r="AO98">
        <v>0</v>
      </c>
      <c r="AP98" t="e">
        <f t="shared" si="118"/>
        <v>#DIV/0!</v>
      </c>
      <c r="AQ98">
        <v>0</v>
      </c>
      <c r="AR98" t="s">
        <v>427</v>
      </c>
      <c r="AS98" t="s">
        <v>427</v>
      </c>
      <c r="AT98">
        <v>0</v>
      </c>
      <c r="AU98">
        <v>0</v>
      </c>
      <c r="AV98" t="e">
        <f t="shared" si="119"/>
        <v>#DIV/0!</v>
      </c>
      <c r="AW98">
        <v>0.5</v>
      </c>
      <c r="AX98">
        <f t="shared" si="120"/>
        <v>1513.0589996510541</v>
      </c>
      <c r="AY98">
        <f t="shared" si="121"/>
        <v>10.839489469652571</v>
      </c>
      <c r="AZ98" t="e">
        <f t="shared" si="122"/>
        <v>#DIV/0!</v>
      </c>
      <c r="BA98">
        <f t="shared" si="123"/>
        <v>7.1639569059451114E-3</v>
      </c>
      <c r="BB98" t="e">
        <f t="shared" si="124"/>
        <v>#DIV/0!</v>
      </c>
      <c r="BC98" t="e">
        <f t="shared" si="125"/>
        <v>#DIV/0!</v>
      </c>
      <c r="BD98" t="s">
        <v>427</v>
      </c>
      <c r="BE98">
        <v>0</v>
      </c>
      <c r="BF98" t="e">
        <f t="shared" si="126"/>
        <v>#DIV/0!</v>
      </c>
      <c r="BG98" t="e">
        <f t="shared" si="127"/>
        <v>#DIV/0!</v>
      </c>
      <c r="BH98" t="e">
        <f t="shared" si="128"/>
        <v>#DIV/0!</v>
      </c>
      <c r="BI98" t="e">
        <f t="shared" si="129"/>
        <v>#DIV/0!</v>
      </c>
      <c r="BJ98" t="e">
        <f t="shared" si="130"/>
        <v>#DIV/0!</v>
      </c>
      <c r="BK98" t="e">
        <f t="shared" si="131"/>
        <v>#DIV/0!</v>
      </c>
      <c r="BL98" t="e">
        <f t="shared" si="132"/>
        <v>#DIV/0!</v>
      </c>
      <c r="BM98" t="e">
        <f t="shared" si="133"/>
        <v>#DIV/0!</v>
      </c>
      <c r="BN98">
        <v>11342</v>
      </c>
      <c r="BO98">
        <v>290.00000000000011</v>
      </c>
      <c r="BP98">
        <v>643.16999999999996</v>
      </c>
      <c r="BQ98">
        <v>275</v>
      </c>
      <c r="BR98">
        <v>7096.72</v>
      </c>
      <c r="BS98">
        <v>644.30999999999995</v>
      </c>
      <c r="BT98">
        <v>-1.1399999999999999</v>
      </c>
      <c r="BU98">
        <v>300.00000000000011</v>
      </c>
      <c r="BV98">
        <v>38.299999999999997</v>
      </c>
      <c r="BW98">
        <v>674.09413566094418</v>
      </c>
      <c r="BX98">
        <v>1.0484723064555761</v>
      </c>
      <c r="BY98">
        <v>-21.139266506823041</v>
      </c>
      <c r="BZ98">
        <v>0.62368374009738314</v>
      </c>
      <c r="CA98">
        <v>0.97620701284511202</v>
      </c>
      <c r="CB98">
        <v>-6.9967270300333754E-3</v>
      </c>
      <c r="CC98">
        <v>289.99999999999989</v>
      </c>
      <c r="CD98">
        <v>647.88</v>
      </c>
      <c r="CE98">
        <v>885</v>
      </c>
      <c r="CF98">
        <v>7087.2</v>
      </c>
      <c r="CG98">
        <v>644.27</v>
      </c>
      <c r="CH98">
        <v>3.61</v>
      </c>
      <c r="CV98">
        <f t="shared" si="134"/>
        <v>1799.85</v>
      </c>
      <c r="CW98">
        <f t="shared" si="135"/>
        <v>1513.0589996510541</v>
      </c>
      <c r="CX98">
        <f t="shared" si="136"/>
        <v>0.8406583880051417</v>
      </c>
      <c r="CY98">
        <f t="shared" si="137"/>
        <v>0.19131677601028346</v>
      </c>
      <c r="CZ98">
        <v>4.5999999999999996</v>
      </c>
      <c r="DA98">
        <v>0.5</v>
      </c>
      <c r="DB98" t="s">
        <v>418</v>
      </c>
      <c r="DC98">
        <v>2</v>
      </c>
      <c r="DD98">
        <v>1700165344</v>
      </c>
      <c r="DE98">
        <v>59.686199999999999</v>
      </c>
      <c r="DF98">
        <v>69.998800000000003</v>
      </c>
      <c r="DG98">
        <v>29.109300000000001</v>
      </c>
      <c r="DH98">
        <v>23.536000000000001</v>
      </c>
      <c r="DI98">
        <v>59.589500000000001</v>
      </c>
      <c r="DJ98">
        <v>29.113499999999998</v>
      </c>
      <c r="DK98">
        <v>500.11799999999999</v>
      </c>
      <c r="DL98">
        <v>98.838899999999995</v>
      </c>
      <c r="DM98">
        <v>9.9986699999999998E-2</v>
      </c>
      <c r="DN98">
        <v>30.544499999999999</v>
      </c>
      <c r="DO98">
        <v>30.016200000000001</v>
      </c>
      <c r="DP98">
        <v>999.9</v>
      </c>
      <c r="DQ98">
        <v>0</v>
      </c>
      <c r="DR98">
        <v>0</v>
      </c>
      <c r="DS98">
        <v>10011.200000000001</v>
      </c>
      <c r="DT98">
        <v>0</v>
      </c>
      <c r="DU98">
        <v>471.69900000000001</v>
      </c>
      <c r="DV98">
        <v>-10.3127</v>
      </c>
      <c r="DW98">
        <v>61.475700000000003</v>
      </c>
      <c r="DX98">
        <v>71.686099999999996</v>
      </c>
      <c r="DY98">
        <v>5.5732200000000001</v>
      </c>
      <c r="DZ98">
        <v>69.998800000000003</v>
      </c>
      <c r="EA98">
        <v>23.536000000000001</v>
      </c>
      <c r="EB98">
        <v>2.8771300000000002</v>
      </c>
      <c r="EC98">
        <v>2.3262700000000001</v>
      </c>
      <c r="ED98">
        <v>23.333400000000001</v>
      </c>
      <c r="EE98">
        <v>19.859500000000001</v>
      </c>
      <c r="EF98">
        <v>1799.85</v>
      </c>
      <c r="EG98">
        <v>0.97799400000000003</v>
      </c>
      <c r="EH98">
        <v>2.20062E-2</v>
      </c>
      <c r="EI98">
        <v>0</v>
      </c>
      <c r="EJ98">
        <v>574.43700000000001</v>
      </c>
      <c r="EK98">
        <v>5.0005300000000004</v>
      </c>
      <c r="EL98">
        <v>11340.7</v>
      </c>
      <c r="EM98">
        <v>16033.9</v>
      </c>
      <c r="EN98">
        <v>47.75</v>
      </c>
      <c r="EO98">
        <v>48.875</v>
      </c>
      <c r="EP98">
        <v>48.311999999999998</v>
      </c>
      <c r="EQ98">
        <v>48.186999999999998</v>
      </c>
      <c r="ER98">
        <v>49</v>
      </c>
      <c r="ES98">
        <v>1755.35</v>
      </c>
      <c r="ET98">
        <v>39.5</v>
      </c>
      <c r="EU98">
        <v>0</v>
      </c>
      <c r="EV98">
        <v>102</v>
      </c>
      <c r="EW98">
        <v>0</v>
      </c>
      <c r="EX98">
        <v>574.76732000000004</v>
      </c>
      <c r="EY98">
        <v>-0.34007690853993122</v>
      </c>
      <c r="EZ98">
        <v>-52.04615389458759</v>
      </c>
      <c r="FA98">
        <v>11350.067999999999</v>
      </c>
      <c r="FB98">
        <v>15</v>
      </c>
      <c r="FC98">
        <v>1700165314.5</v>
      </c>
      <c r="FD98" t="s">
        <v>763</v>
      </c>
      <c r="FE98">
        <v>1700165308.5</v>
      </c>
      <c r="FF98">
        <v>1700165314.5</v>
      </c>
      <c r="FG98">
        <v>89</v>
      </c>
      <c r="FH98">
        <v>4.8000000000000001E-2</v>
      </c>
      <c r="FI98">
        <v>-6.0000000000000001E-3</v>
      </c>
      <c r="FJ98">
        <v>9.7000000000000003E-2</v>
      </c>
      <c r="FK98">
        <v>-4.0000000000000001E-3</v>
      </c>
      <c r="FL98">
        <v>70</v>
      </c>
      <c r="FM98">
        <v>23</v>
      </c>
      <c r="FN98">
        <v>0.17</v>
      </c>
      <c r="FO98">
        <v>0.01</v>
      </c>
      <c r="FP98">
        <v>10.80636345514689</v>
      </c>
      <c r="FQ98">
        <v>-0.1092895643707954</v>
      </c>
      <c r="FR98">
        <v>2.04114388538481E-2</v>
      </c>
      <c r="FS98">
        <v>1</v>
      </c>
      <c r="FT98">
        <v>0.46101841041204478</v>
      </c>
      <c r="FU98">
        <v>4.4687695644320652E-2</v>
      </c>
      <c r="FV98">
        <v>4.3127176353225868E-3</v>
      </c>
      <c r="FW98">
        <v>1</v>
      </c>
      <c r="FX98">
        <v>2</v>
      </c>
      <c r="FY98">
        <v>2</v>
      </c>
      <c r="FZ98" t="s">
        <v>420</v>
      </c>
      <c r="GA98">
        <v>3.1239400000000002</v>
      </c>
      <c r="GB98">
        <v>2.7669600000000001</v>
      </c>
      <c r="GC98">
        <v>1.58119E-2</v>
      </c>
      <c r="GD98">
        <v>1.85518E-2</v>
      </c>
      <c r="GE98">
        <v>0.12212199999999999</v>
      </c>
      <c r="GF98">
        <v>0.105447</v>
      </c>
      <c r="GG98">
        <v>23456.7</v>
      </c>
      <c r="GH98">
        <v>24352.3</v>
      </c>
      <c r="GI98">
        <v>23703.4</v>
      </c>
      <c r="GJ98">
        <v>25136.3</v>
      </c>
      <c r="GK98">
        <v>29974.1</v>
      </c>
      <c r="GL98">
        <v>31534.1</v>
      </c>
      <c r="GM98">
        <v>37791.599999999999</v>
      </c>
      <c r="GN98">
        <v>39135.9</v>
      </c>
      <c r="GO98">
        <v>2.14412</v>
      </c>
      <c r="GP98">
        <v>1.76007</v>
      </c>
      <c r="GQ98">
        <v>2.54437E-2</v>
      </c>
      <c r="GR98">
        <v>0</v>
      </c>
      <c r="GS98">
        <v>29.602</v>
      </c>
      <c r="GT98">
        <v>999.9</v>
      </c>
      <c r="GU98">
        <v>39.200000000000003</v>
      </c>
      <c r="GV98">
        <v>39.799999999999997</v>
      </c>
      <c r="GW98">
        <v>29.0915</v>
      </c>
      <c r="GX98">
        <v>60.525799999999997</v>
      </c>
      <c r="GY98">
        <v>27.083300000000001</v>
      </c>
      <c r="GZ98">
        <v>1</v>
      </c>
      <c r="HA98">
        <v>0.62748499999999996</v>
      </c>
      <c r="HB98">
        <v>1.9101900000000001</v>
      </c>
      <c r="HC98">
        <v>20.309699999999999</v>
      </c>
      <c r="HD98">
        <v>5.2488900000000003</v>
      </c>
      <c r="HE98">
        <v>12.0105</v>
      </c>
      <c r="HF98">
        <v>4.9776999999999996</v>
      </c>
      <c r="HG98">
        <v>3.2930000000000001</v>
      </c>
      <c r="HH98">
        <v>9999</v>
      </c>
      <c r="HI98">
        <v>9999</v>
      </c>
      <c r="HJ98">
        <v>9999</v>
      </c>
      <c r="HK98">
        <v>999.9</v>
      </c>
      <c r="HL98">
        <v>1.8760699999999999</v>
      </c>
      <c r="HM98">
        <v>1.87697</v>
      </c>
      <c r="HN98">
        <v>1.88323</v>
      </c>
      <c r="HO98">
        <v>1.88629</v>
      </c>
      <c r="HP98">
        <v>1.87714</v>
      </c>
      <c r="HQ98">
        <v>1.88365</v>
      </c>
      <c r="HR98">
        <v>1.88263</v>
      </c>
      <c r="HS98">
        <v>1.8859900000000001</v>
      </c>
      <c r="HT98">
        <v>5</v>
      </c>
      <c r="HU98">
        <v>0</v>
      </c>
      <c r="HV98">
        <v>0</v>
      </c>
      <c r="HW98">
        <v>0</v>
      </c>
      <c r="HX98" t="s">
        <v>421</v>
      </c>
      <c r="HY98" t="s">
        <v>422</v>
      </c>
      <c r="HZ98" t="s">
        <v>423</v>
      </c>
      <c r="IA98" t="s">
        <v>424</v>
      </c>
      <c r="IB98" t="s">
        <v>424</v>
      </c>
      <c r="IC98" t="s">
        <v>423</v>
      </c>
      <c r="ID98">
        <v>0</v>
      </c>
      <c r="IE98">
        <v>100</v>
      </c>
      <c r="IF98">
        <v>100</v>
      </c>
      <c r="IG98">
        <v>9.7000000000000003E-2</v>
      </c>
      <c r="IH98">
        <v>-4.1999999999999997E-3</v>
      </c>
      <c r="II98">
        <v>9.4748609116861324E-2</v>
      </c>
      <c r="IJ98">
        <v>4.4610147972834149E-5</v>
      </c>
      <c r="IK98">
        <v>-2.082673137682459E-7</v>
      </c>
      <c r="IL98">
        <v>-4.0725795306076518E-11</v>
      </c>
      <c r="IM98">
        <v>-4.2800000000013938E-3</v>
      </c>
      <c r="IN98">
        <v>0</v>
      </c>
      <c r="IO98">
        <v>0</v>
      </c>
      <c r="IP98">
        <v>0</v>
      </c>
      <c r="IQ98">
        <v>3</v>
      </c>
      <c r="IR98">
        <v>2179</v>
      </c>
      <c r="IS98">
        <v>0</v>
      </c>
      <c r="IT98">
        <v>22</v>
      </c>
      <c r="IU98">
        <v>0.6</v>
      </c>
      <c r="IV98">
        <v>0.5</v>
      </c>
      <c r="IW98">
        <v>0.305176</v>
      </c>
      <c r="IX98">
        <v>2.7246100000000002</v>
      </c>
      <c r="IY98">
        <v>1.6015600000000001</v>
      </c>
      <c r="IZ98">
        <v>2.32422</v>
      </c>
      <c r="JA98">
        <v>1.5502899999999999</v>
      </c>
      <c r="JB98">
        <v>2.47925</v>
      </c>
      <c r="JC98">
        <v>43.480800000000002</v>
      </c>
      <c r="JD98">
        <v>24.210100000000001</v>
      </c>
      <c r="JE98">
        <v>18</v>
      </c>
      <c r="JF98">
        <v>613.34799999999996</v>
      </c>
      <c r="JG98">
        <v>394.04399999999998</v>
      </c>
      <c r="JH98">
        <v>28.02</v>
      </c>
      <c r="JI98">
        <v>34.716799999999999</v>
      </c>
      <c r="JJ98">
        <v>30</v>
      </c>
      <c r="JK98">
        <v>34.817700000000002</v>
      </c>
      <c r="JL98">
        <v>34.806199999999997</v>
      </c>
      <c r="JM98">
        <v>6.0973199999999999</v>
      </c>
      <c r="JN98">
        <v>25.583600000000001</v>
      </c>
      <c r="JO98">
        <v>51.678800000000003</v>
      </c>
      <c r="JP98">
        <v>28.000800000000002</v>
      </c>
      <c r="JQ98">
        <v>70</v>
      </c>
      <c r="JR98">
        <v>23.3108</v>
      </c>
      <c r="JS98">
        <v>98.5625</v>
      </c>
      <c r="JT98">
        <v>99.022599999999997</v>
      </c>
    </row>
    <row r="99" spans="1:280" x14ac:dyDescent="0.25">
      <c r="A99">
        <v>83</v>
      </c>
      <c r="B99">
        <v>1700165451.5</v>
      </c>
      <c r="C99">
        <v>17578</v>
      </c>
      <c r="D99" t="s">
        <v>764</v>
      </c>
      <c r="E99" t="s">
        <v>765</v>
      </c>
      <c r="F99" t="s">
        <v>412</v>
      </c>
      <c r="G99" t="s">
        <v>481</v>
      </c>
      <c r="H99" t="s">
        <v>413</v>
      </c>
      <c r="I99">
        <v>1700165451.5</v>
      </c>
      <c r="J99">
        <f t="shared" si="92"/>
        <v>6.7121361714717756E-3</v>
      </c>
      <c r="K99">
        <f t="shared" si="93"/>
        <v>6.7121361714717755</v>
      </c>
      <c r="L99">
        <f t="shared" si="94"/>
        <v>4.7250933982400891</v>
      </c>
      <c r="M99">
        <f t="shared" si="95"/>
        <v>25.497800000000002</v>
      </c>
      <c r="N99">
        <f t="shared" si="96"/>
        <v>8.8633181707624544</v>
      </c>
      <c r="O99">
        <f t="shared" si="97"/>
        <v>0.87686029269461441</v>
      </c>
      <c r="P99">
        <f t="shared" si="98"/>
        <v>2.5225325256653202</v>
      </c>
      <c r="Q99">
        <f t="shared" si="99"/>
        <v>0.49958332193023741</v>
      </c>
      <c r="R99">
        <f t="shared" si="100"/>
        <v>3.2357342425701541</v>
      </c>
      <c r="S99">
        <f t="shared" si="101"/>
        <v>0.46035017650022381</v>
      </c>
      <c r="T99">
        <f t="shared" si="102"/>
        <v>0.29098662044377299</v>
      </c>
      <c r="U99">
        <f t="shared" si="103"/>
        <v>344.40039930222889</v>
      </c>
      <c r="V99">
        <f t="shared" si="104"/>
        <v>30.823592537174893</v>
      </c>
      <c r="W99">
        <f t="shared" si="105"/>
        <v>29.996400000000001</v>
      </c>
      <c r="X99">
        <f t="shared" si="106"/>
        <v>4.2595688715232196</v>
      </c>
      <c r="Y99">
        <f t="shared" si="107"/>
        <v>65.199319688378225</v>
      </c>
      <c r="Z99">
        <f t="shared" si="108"/>
        <v>2.8690693614276399</v>
      </c>
      <c r="AA99">
        <f t="shared" si="109"/>
        <v>4.4004590464140252</v>
      </c>
      <c r="AB99">
        <f t="shared" si="110"/>
        <v>1.3904995100955797</v>
      </c>
      <c r="AC99">
        <f t="shared" si="111"/>
        <v>-296.00520516190528</v>
      </c>
      <c r="AD99">
        <f t="shared" si="112"/>
        <v>99.03237227638526</v>
      </c>
      <c r="AE99">
        <f t="shared" si="113"/>
        <v>6.8241460668299352</v>
      </c>
      <c r="AF99">
        <f t="shared" si="114"/>
        <v>154.25171248353882</v>
      </c>
      <c r="AG99">
        <v>0</v>
      </c>
      <c r="AH99">
        <v>0</v>
      </c>
      <c r="AI99">
        <f t="shared" si="115"/>
        <v>1</v>
      </c>
      <c r="AJ99">
        <f t="shared" si="116"/>
        <v>0</v>
      </c>
      <c r="AK99">
        <f t="shared" si="117"/>
        <v>51834.513292136595</v>
      </c>
      <c r="AL99" t="s">
        <v>415</v>
      </c>
      <c r="AM99">
        <v>6977.87</v>
      </c>
      <c r="AN99">
        <v>273.15280000000001</v>
      </c>
      <c r="AO99">
        <v>850.46774885301022</v>
      </c>
      <c r="AP99">
        <f t="shared" si="118"/>
        <v>0.67882050745793765</v>
      </c>
      <c r="AQ99">
        <v>-1.0323826813720729</v>
      </c>
      <c r="AR99" t="s">
        <v>766</v>
      </c>
      <c r="AS99">
        <v>7097.29</v>
      </c>
      <c r="AT99">
        <v>591.17388461538462</v>
      </c>
      <c r="AU99">
        <v>644.94764073030308</v>
      </c>
      <c r="AV99">
        <f t="shared" si="119"/>
        <v>8.3376932822062932E-2</v>
      </c>
      <c r="AW99">
        <v>0.5</v>
      </c>
      <c r="AX99">
        <f t="shared" si="120"/>
        <v>1513.3193996511145</v>
      </c>
      <c r="AY99">
        <f t="shared" si="121"/>
        <v>4.7250933982400891</v>
      </c>
      <c r="AZ99">
        <f t="shared" si="122"/>
        <v>63.087964961517791</v>
      </c>
      <c r="BA99">
        <f t="shared" si="123"/>
        <v>3.8045346414904272E-3</v>
      </c>
      <c r="BB99">
        <f t="shared" si="124"/>
        <v>0.31866169459894067</v>
      </c>
      <c r="BC99">
        <f t="shared" si="125"/>
        <v>247.79189401060177</v>
      </c>
      <c r="BD99" t="s">
        <v>767</v>
      </c>
      <c r="BE99">
        <v>424.73</v>
      </c>
      <c r="BF99">
        <f t="shared" si="126"/>
        <v>424.73</v>
      </c>
      <c r="BG99">
        <f t="shared" si="127"/>
        <v>0.34145041678257904</v>
      </c>
      <c r="BH99">
        <f t="shared" si="128"/>
        <v>0.24418459818473079</v>
      </c>
      <c r="BI99">
        <f t="shared" si="129"/>
        <v>0.48273874862260524</v>
      </c>
      <c r="BJ99">
        <f t="shared" si="130"/>
        <v>0.14463287335911554</v>
      </c>
      <c r="BK99">
        <f t="shared" si="131"/>
        <v>0.35599304769611029</v>
      </c>
      <c r="BL99">
        <f t="shared" si="132"/>
        <v>0.17543488825538306</v>
      </c>
      <c r="BM99">
        <f t="shared" si="133"/>
        <v>0.82456511174461689</v>
      </c>
      <c r="BN99">
        <v>11344</v>
      </c>
      <c r="BO99">
        <v>290.00000000000011</v>
      </c>
      <c r="BP99">
        <v>631.16</v>
      </c>
      <c r="BQ99">
        <v>265</v>
      </c>
      <c r="BR99">
        <v>7097.29</v>
      </c>
      <c r="BS99">
        <v>630.45000000000005</v>
      </c>
      <c r="BT99">
        <v>0.71</v>
      </c>
      <c r="BU99">
        <v>300.00000000000011</v>
      </c>
      <c r="BV99">
        <v>38.299999999999997</v>
      </c>
      <c r="BW99">
        <v>644.94764073030308</v>
      </c>
      <c r="BX99">
        <v>1.0303233729197181</v>
      </c>
      <c r="BY99">
        <v>-10.28972594880201</v>
      </c>
      <c r="BZ99">
        <v>0.61290165118119888</v>
      </c>
      <c r="CA99">
        <v>0.90963520683761623</v>
      </c>
      <c r="CB99">
        <v>-6.9968329254727476E-3</v>
      </c>
      <c r="CC99">
        <v>289.99999999999989</v>
      </c>
      <c r="CD99">
        <v>630.87</v>
      </c>
      <c r="CE99">
        <v>815</v>
      </c>
      <c r="CF99">
        <v>7088.51</v>
      </c>
      <c r="CG99">
        <v>630.42999999999995</v>
      </c>
      <c r="CH99">
        <v>0.44</v>
      </c>
      <c r="CV99">
        <f t="shared" si="134"/>
        <v>1800.16</v>
      </c>
      <c r="CW99">
        <f t="shared" si="135"/>
        <v>1513.3193996511145</v>
      </c>
      <c r="CX99">
        <f t="shared" si="136"/>
        <v>0.8406582746262079</v>
      </c>
      <c r="CY99">
        <f t="shared" si="137"/>
        <v>0.19131654925241584</v>
      </c>
      <c r="CZ99">
        <v>4.5999999999999996</v>
      </c>
      <c r="DA99">
        <v>0.5</v>
      </c>
      <c r="DB99" t="s">
        <v>418</v>
      </c>
      <c r="DC99">
        <v>2</v>
      </c>
      <c r="DD99">
        <v>1700165451.5</v>
      </c>
      <c r="DE99">
        <v>25.497800000000002</v>
      </c>
      <c r="DF99">
        <v>30.000699999999998</v>
      </c>
      <c r="DG99">
        <v>29.000599999999999</v>
      </c>
      <c r="DH99">
        <v>23.006699999999999</v>
      </c>
      <c r="DI99">
        <v>25.3628</v>
      </c>
      <c r="DJ99">
        <v>29.002500000000001</v>
      </c>
      <c r="DK99">
        <v>500.18200000000002</v>
      </c>
      <c r="DL99">
        <v>98.831800000000001</v>
      </c>
      <c r="DM99">
        <v>9.9579399999999998E-2</v>
      </c>
      <c r="DN99">
        <v>30.5641</v>
      </c>
      <c r="DO99">
        <v>29.996400000000001</v>
      </c>
      <c r="DP99">
        <v>999.9</v>
      </c>
      <c r="DQ99">
        <v>0</v>
      </c>
      <c r="DR99">
        <v>0</v>
      </c>
      <c r="DS99">
        <v>10038.1</v>
      </c>
      <c r="DT99">
        <v>0</v>
      </c>
      <c r="DU99">
        <v>466.09699999999998</v>
      </c>
      <c r="DV99">
        <v>-4.5028600000000001</v>
      </c>
      <c r="DW99">
        <v>26.2593</v>
      </c>
      <c r="DX99">
        <v>30.707100000000001</v>
      </c>
      <c r="DY99">
        <v>5.99397</v>
      </c>
      <c r="DZ99">
        <v>30.000699999999998</v>
      </c>
      <c r="EA99">
        <v>23.006699999999999</v>
      </c>
      <c r="EB99">
        <v>2.86619</v>
      </c>
      <c r="EC99">
        <v>2.27379</v>
      </c>
      <c r="ED99">
        <v>23.270299999999999</v>
      </c>
      <c r="EE99">
        <v>19.491900000000001</v>
      </c>
      <c r="EF99">
        <v>1800.16</v>
      </c>
      <c r="EG99">
        <v>0.97799700000000001</v>
      </c>
      <c r="EH99">
        <v>2.2002600000000001E-2</v>
      </c>
      <c r="EI99">
        <v>0</v>
      </c>
      <c r="EJ99">
        <v>591.36500000000001</v>
      </c>
      <c r="EK99">
        <v>5.0005300000000004</v>
      </c>
      <c r="EL99">
        <v>11573.5</v>
      </c>
      <c r="EM99">
        <v>16036.7</v>
      </c>
      <c r="EN99">
        <v>47.686999999999998</v>
      </c>
      <c r="EO99">
        <v>48.811999999999998</v>
      </c>
      <c r="EP99">
        <v>48.311999999999998</v>
      </c>
      <c r="EQ99">
        <v>48.186999999999998</v>
      </c>
      <c r="ER99">
        <v>48.936999999999998</v>
      </c>
      <c r="ES99">
        <v>1755.66</v>
      </c>
      <c r="ET99">
        <v>39.5</v>
      </c>
      <c r="EU99">
        <v>0</v>
      </c>
      <c r="EV99">
        <v>209.4000000953674</v>
      </c>
      <c r="EW99">
        <v>0</v>
      </c>
      <c r="EX99">
        <v>591.17388461538462</v>
      </c>
      <c r="EY99">
        <v>0.45924784367295118</v>
      </c>
      <c r="EZ99">
        <v>-120.7316237481072</v>
      </c>
      <c r="FA99">
        <v>11597.623076923081</v>
      </c>
      <c r="FB99">
        <v>15</v>
      </c>
      <c r="FC99">
        <v>1700165412.5</v>
      </c>
      <c r="FD99" t="s">
        <v>768</v>
      </c>
      <c r="FE99">
        <v>1700165405</v>
      </c>
      <c r="FF99">
        <v>1700165412.5</v>
      </c>
      <c r="FG99">
        <v>90</v>
      </c>
      <c r="FH99">
        <v>3.9E-2</v>
      </c>
      <c r="FI99">
        <v>2E-3</v>
      </c>
      <c r="FJ99">
        <v>0.13500000000000001</v>
      </c>
      <c r="FK99">
        <v>-2E-3</v>
      </c>
      <c r="FL99">
        <v>30</v>
      </c>
      <c r="FM99">
        <v>23</v>
      </c>
      <c r="FN99">
        <v>0.32</v>
      </c>
      <c r="FO99">
        <v>0.01</v>
      </c>
      <c r="FP99">
        <v>4.7128826442455898</v>
      </c>
      <c r="FQ99">
        <v>-7.3650093832079308E-2</v>
      </c>
      <c r="FR99">
        <v>1.8517772364075841E-2</v>
      </c>
      <c r="FS99">
        <v>1</v>
      </c>
      <c r="FT99">
        <v>0.50179236920095716</v>
      </c>
      <c r="FU99">
        <v>3.698876156383276E-2</v>
      </c>
      <c r="FV99">
        <v>3.528387629086369E-3</v>
      </c>
      <c r="FW99">
        <v>1</v>
      </c>
      <c r="FX99">
        <v>2</v>
      </c>
      <c r="FY99">
        <v>2</v>
      </c>
      <c r="FZ99" t="s">
        <v>420</v>
      </c>
      <c r="GA99">
        <v>3.12399</v>
      </c>
      <c r="GB99">
        <v>2.7667899999999999</v>
      </c>
      <c r="GC99">
        <v>6.7731700000000002E-3</v>
      </c>
      <c r="GD99">
        <v>8.0170299999999996E-3</v>
      </c>
      <c r="GE99">
        <v>0.121805</v>
      </c>
      <c r="GF99">
        <v>0.103768</v>
      </c>
      <c r="GG99">
        <v>23673.599999999999</v>
      </c>
      <c r="GH99">
        <v>24615.9</v>
      </c>
      <c r="GI99">
        <v>23705.200000000001</v>
      </c>
      <c r="GJ99">
        <v>25138.9</v>
      </c>
      <c r="GK99">
        <v>29987.3</v>
      </c>
      <c r="GL99">
        <v>31596.3</v>
      </c>
      <c r="GM99">
        <v>37794.5</v>
      </c>
      <c r="GN99">
        <v>39139.599999999999</v>
      </c>
      <c r="GO99">
        <v>2.1449199999999999</v>
      </c>
      <c r="GP99">
        <v>1.76017</v>
      </c>
      <c r="GQ99">
        <v>2.0228300000000001E-2</v>
      </c>
      <c r="GR99">
        <v>0</v>
      </c>
      <c r="GS99">
        <v>29.667100000000001</v>
      </c>
      <c r="GT99">
        <v>999.9</v>
      </c>
      <c r="GU99">
        <v>39.1</v>
      </c>
      <c r="GV99">
        <v>39.700000000000003</v>
      </c>
      <c r="GW99">
        <v>28.863700000000001</v>
      </c>
      <c r="GX99">
        <v>60.055799999999998</v>
      </c>
      <c r="GY99">
        <v>26.750800000000002</v>
      </c>
      <c r="GZ99">
        <v>1</v>
      </c>
      <c r="HA99">
        <v>0.62364600000000003</v>
      </c>
      <c r="HB99">
        <v>1.85778</v>
      </c>
      <c r="HC99">
        <v>20.310099999999998</v>
      </c>
      <c r="HD99">
        <v>5.25143</v>
      </c>
      <c r="HE99">
        <v>12.0101</v>
      </c>
      <c r="HF99">
        <v>4.9781000000000004</v>
      </c>
      <c r="HG99">
        <v>3.2930000000000001</v>
      </c>
      <c r="HH99">
        <v>9999</v>
      </c>
      <c r="HI99">
        <v>9999</v>
      </c>
      <c r="HJ99">
        <v>9999</v>
      </c>
      <c r="HK99">
        <v>999.9</v>
      </c>
      <c r="HL99">
        <v>1.8760399999999999</v>
      </c>
      <c r="HM99">
        <v>1.8768499999999999</v>
      </c>
      <c r="HN99">
        <v>1.8831100000000001</v>
      </c>
      <c r="HO99">
        <v>1.88629</v>
      </c>
      <c r="HP99">
        <v>1.8770199999999999</v>
      </c>
      <c r="HQ99">
        <v>1.8835500000000001</v>
      </c>
      <c r="HR99">
        <v>1.8825000000000001</v>
      </c>
      <c r="HS99">
        <v>1.8858999999999999</v>
      </c>
      <c r="HT99">
        <v>5</v>
      </c>
      <c r="HU99">
        <v>0</v>
      </c>
      <c r="HV99">
        <v>0</v>
      </c>
      <c r="HW99">
        <v>0</v>
      </c>
      <c r="HX99" t="s">
        <v>421</v>
      </c>
      <c r="HY99" t="s">
        <v>422</v>
      </c>
      <c r="HZ99" t="s">
        <v>423</v>
      </c>
      <c r="IA99" t="s">
        <v>424</v>
      </c>
      <c r="IB99" t="s">
        <v>424</v>
      </c>
      <c r="IC99" t="s">
        <v>423</v>
      </c>
      <c r="ID99">
        <v>0</v>
      </c>
      <c r="IE99">
        <v>100</v>
      </c>
      <c r="IF99">
        <v>100</v>
      </c>
      <c r="IG99">
        <v>0.13500000000000001</v>
      </c>
      <c r="IH99">
        <v>-1.9E-3</v>
      </c>
      <c r="II99">
        <v>0.13395861956675811</v>
      </c>
      <c r="IJ99">
        <v>4.4610147972834149E-5</v>
      </c>
      <c r="IK99">
        <v>-2.082673137682459E-7</v>
      </c>
      <c r="IL99">
        <v>-4.0725795306076518E-11</v>
      </c>
      <c r="IM99">
        <v>-1.834999999999809E-3</v>
      </c>
      <c r="IN99">
        <v>0</v>
      </c>
      <c r="IO99">
        <v>0</v>
      </c>
      <c r="IP99">
        <v>0</v>
      </c>
      <c r="IQ99">
        <v>3</v>
      </c>
      <c r="IR99">
        <v>2179</v>
      </c>
      <c r="IS99">
        <v>0</v>
      </c>
      <c r="IT99">
        <v>22</v>
      </c>
      <c r="IU99">
        <v>0.8</v>
      </c>
      <c r="IV99">
        <v>0.7</v>
      </c>
      <c r="IW99">
        <v>0.21728500000000001</v>
      </c>
      <c r="IX99">
        <v>2.7539099999999999</v>
      </c>
      <c r="IY99">
        <v>1.6015600000000001</v>
      </c>
      <c r="IZ99">
        <v>2.32544</v>
      </c>
      <c r="JA99">
        <v>1.5502899999999999</v>
      </c>
      <c r="JB99">
        <v>2.3535200000000001</v>
      </c>
      <c r="JC99">
        <v>43.426400000000001</v>
      </c>
      <c r="JD99">
        <v>24.210100000000001</v>
      </c>
      <c r="JE99">
        <v>18</v>
      </c>
      <c r="JF99">
        <v>613.51700000000005</v>
      </c>
      <c r="JG99">
        <v>393.82799999999997</v>
      </c>
      <c r="JH99">
        <v>28.061599999999999</v>
      </c>
      <c r="JI99">
        <v>34.674100000000003</v>
      </c>
      <c r="JJ99">
        <v>30</v>
      </c>
      <c r="JK99">
        <v>34.772500000000001</v>
      </c>
      <c r="JL99">
        <v>34.762300000000003</v>
      </c>
      <c r="JM99">
        <v>4.3237899999999998</v>
      </c>
      <c r="JN99">
        <v>26.4343</v>
      </c>
      <c r="JO99">
        <v>51.055799999999998</v>
      </c>
      <c r="JP99">
        <v>28.061199999999999</v>
      </c>
      <c r="JQ99">
        <v>30</v>
      </c>
      <c r="JR99">
        <v>23.066099999999999</v>
      </c>
      <c r="JS99">
        <v>98.570099999999996</v>
      </c>
      <c r="JT99">
        <v>99.032300000000006</v>
      </c>
    </row>
    <row r="100" spans="1:280" x14ac:dyDescent="0.25">
      <c r="A100">
        <v>84</v>
      </c>
      <c r="B100">
        <v>1700165551</v>
      </c>
      <c r="C100">
        <v>17677.5</v>
      </c>
      <c r="D100" t="s">
        <v>769</v>
      </c>
      <c r="E100" t="s">
        <v>770</v>
      </c>
      <c r="F100" t="s">
        <v>412</v>
      </c>
      <c r="G100" t="s">
        <v>481</v>
      </c>
      <c r="H100" t="s">
        <v>413</v>
      </c>
      <c r="I100">
        <v>1700165551</v>
      </c>
      <c r="J100">
        <f t="shared" si="92"/>
        <v>6.6578779284073306E-3</v>
      </c>
      <c r="K100">
        <f t="shared" si="93"/>
        <v>6.6578779284073306</v>
      </c>
      <c r="L100">
        <f t="shared" si="94"/>
        <v>1.4444969683127482</v>
      </c>
      <c r="M100">
        <f t="shared" si="95"/>
        <v>8.6031600000000008</v>
      </c>
      <c r="N100">
        <f t="shared" si="96"/>
        <v>3.5169957303358941</v>
      </c>
      <c r="O100">
        <f t="shared" si="97"/>
        <v>0.34796328171678031</v>
      </c>
      <c r="P100">
        <f t="shared" si="98"/>
        <v>0.8511764063042041</v>
      </c>
      <c r="Q100">
        <f t="shared" si="99"/>
        <v>0.50135018634592421</v>
      </c>
      <c r="R100">
        <f t="shared" si="100"/>
        <v>3.2344430981948724</v>
      </c>
      <c r="S100">
        <f t="shared" si="101"/>
        <v>0.46183635256559585</v>
      </c>
      <c r="T100">
        <f t="shared" si="102"/>
        <v>0.29193792183077477</v>
      </c>
      <c r="U100">
        <f t="shared" si="103"/>
        <v>344.40039930222889</v>
      </c>
      <c r="V100">
        <f t="shared" si="104"/>
        <v>30.864619332275449</v>
      </c>
      <c r="W100">
        <f t="shared" si="105"/>
        <v>30.014900000000001</v>
      </c>
      <c r="X100">
        <f t="shared" si="106"/>
        <v>4.2640974120021067</v>
      </c>
      <c r="Y100">
        <f t="shared" si="107"/>
        <v>65.555096158644687</v>
      </c>
      <c r="Z100">
        <f t="shared" si="108"/>
        <v>2.88936514630291</v>
      </c>
      <c r="AA100">
        <f t="shared" si="109"/>
        <v>4.4075370422927707</v>
      </c>
      <c r="AB100">
        <f t="shared" si="110"/>
        <v>1.3747322656991967</v>
      </c>
      <c r="AC100">
        <f t="shared" si="111"/>
        <v>-293.61241664276326</v>
      </c>
      <c r="AD100">
        <f t="shared" si="112"/>
        <v>100.66685855969442</v>
      </c>
      <c r="AE100">
        <f t="shared" si="113"/>
        <v>6.9411444516338552</v>
      </c>
      <c r="AF100">
        <f t="shared" si="114"/>
        <v>158.39598567079392</v>
      </c>
      <c r="AG100">
        <v>0</v>
      </c>
      <c r="AH100">
        <v>0</v>
      </c>
      <c r="AI100">
        <f t="shared" si="115"/>
        <v>1</v>
      </c>
      <c r="AJ100">
        <f t="shared" si="116"/>
        <v>0</v>
      </c>
      <c r="AK100">
        <f t="shared" si="117"/>
        <v>51798.875833344908</v>
      </c>
      <c r="AL100" t="s">
        <v>427</v>
      </c>
      <c r="AM100" t="s">
        <v>427</v>
      </c>
      <c r="AN100">
        <v>0</v>
      </c>
      <c r="AO100">
        <v>0</v>
      </c>
      <c r="AP100" t="e">
        <f t="shared" si="118"/>
        <v>#DIV/0!</v>
      </c>
      <c r="AQ100">
        <v>0</v>
      </c>
      <c r="AR100" t="s">
        <v>427</v>
      </c>
      <c r="AS100" t="s">
        <v>427</v>
      </c>
      <c r="AT100">
        <v>0</v>
      </c>
      <c r="AU100">
        <v>0</v>
      </c>
      <c r="AV100" t="e">
        <f t="shared" si="119"/>
        <v>#DIV/0!</v>
      </c>
      <c r="AW100">
        <v>0.5</v>
      </c>
      <c r="AX100">
        <f t="shared" si="120"/>
        <v>1513.3193996511145</v>
      </c>
      <c r="AY100">
        <f t="shared" si="121"/>
        <v>1.4444969683127482</v>
      </c>
      <c r="AZ100" t="e">
        <f t="shared" si="122"/>
        <v>#DIV/0!</v>
      </c>
      <c r="BA100">
        <f t="shared" si="123"/>
        <v>9.5452220373687619E-4</v>
      </c>
      <c r="BB100" t="e">
        <f t="shared" si="124"/>
        <v>#DIV/0!</v>
      </c>
      <c r="BC100" t="e">
        <f t="shared" si="125"/>
        <v>#DIV/0!</v>
      </c>
      <c r="BD100" t="s">
        <v>427</v>
      </c>
      <c r="BE100">
        <v>0</v>
      </c>
      <c r="BF100" t="e">
        <f t="shared" si="126"/>
        <v>#DIV/0!</v>
      </c>
      <c r="BG100" t="e">
        <f t="shared" si="127"/>
        <v>#DIV/0!</v>
      </c>
      <c r="BH100" t="e">
        <f t="shared" si="128"/>
        <v>#DIV/0!</v>
      </c>
      <c r="BI100" t="e">
        <f t="shared" si="129"/>
        <v>#DIV/0!</v>
      </c>
      <c r="BJ100" t="e">
        <f t="shared" si="130"/>
        <v>#DIV/0!</v>
      </c>
      <c r="BK100" t="e">
        <f t="shared" si="131"/>
        <v>#DIV/0!</v>
      </c>
      <c r="BL100" t="e">
        <f t="shared" si="132"/>
        <v>#DIV/0!</v>
      </c>
      <c r="BM100" t="e">
        <f t="shared" si="133"/>
        <v>#DIV/0!</v>
      </c>
      <c r="BN100">
        <v>11344</v>
      </c>
      <c r="BO100">
        <v>290.00000000000011</v>
      </c>
      <c r="BP100">
        <v>631.16</v>
      </c>
      <c r="BQ100">
        <v>265</v>
      </c>
      <c r="BR100">
        <v>7097.29</v>
      </c>
      <c r="BS100">
        <v>630.45000000000005</v>
      </c>
      <c r="BT100">
        <v>0.71</v>
      </c>
      <c r="BU100">
        <v>300.00000000000011</v>
      </c>
      <c r="BV100">
        <v>38.299999999999997</v>
      </c>
      <c r="BW100">
        <v>644.94764073030308</v>
      </c>
      <c r="BX100">
        <v>1.0303233729197181</v>
      </c>
      <c r="BY100">
        <v>-10.28972594880201</v>
      </c>
      <c r="BZ100">
        <v>0.61290165118119888</v>
      </c>
      <c r="CA100">
        <v>0.90963520683761623</v>
      </c>
      <c r="CB100">
        <v>-6.9968329254727476E-3</v>
      </c>
      <c r="CC100">
        <v>289.99999999999989</v>
      </c>
      <c r="CD100">
        <v>630.87</v>
      </c>
      <c r="CE100">
        <v>815</v>
      </c>
      <c r="CF100">
        <v>7088.51</v>
      </c>
      <c r="CG100">
        <v>630.42999999999995</v>
      </c>
      <c r="CH100">
        <v>0.44</v>
      </c>
      <c r="CV100">
        <f t="shared" si="134"/>
        <v>1800.16</v>
      </c>
      <c r="CW100">
        <f t="shared" si="135"/>
        <v>1513.3193996511145</v>
      </c>
      <c r="CX100">
        <f t="shared" si="136"/>
        <v>0.8406582746262079</v>
      </c>
      <c r="CY100">
        <f t="shared" si="137"/>
        <v>0.19131654925241584</v>
      </c>
      <c r="CZ100">
        <v>4.5999999999999996</v>
      </c>
      <c r="DA100">
        <v>0.5</v>
      </c>
      <c r="DB100" t="s">
        <v>418</v>
      </c>
      <c r="DC100">
        <v>2</v>
      </c>
      <c r="DD100">
        <v>1700165551</v>
      </c>
      <c r="DE100">
        <v>8.6031600000000008</v>
      </c>
      <c r="DF100">
        <v>9.9843600000000006</v>
      </c>
      <c r="DG100">
        <v>29.203900000000001</v>
      </c>
      <c r="DH100">
        <v>23.259399999999999</v>
      </c>
      <c r="DI100">
        <v>8.4937199999999997</v>
      </c>
      <c r="DJ100">
        <v>29.208100000000002</v>
      </c>
      <c r="DK100">
        <v>500.15699999999998</v>
      </c>
      <c r="DL100">
        <v>98.838099999999997</v>
      </c>
      <c r="DM100">
        <v>9.9546899999999994E-2</v>
      </c>
      <c r="DN100">
        <v>30.592199999999998</v>
      </c>
      <c r="DO100">
        <v>30.014900000000001</v>
      </c>
      <c r="DP100">
        <v>999.9</v>
      </c>
      <c r="DQ100">
        <v>0</v>
      </c>
      <c r="DR100">
        <v>0</v>
      </c>
      <c r="DS100">
        <v>10031.200000000001</v>
      </c>
      <c r="DT100">
        <v>0</v>
      </c>
      <c r="DU100">
        <v>454.72899999999998</v>
      </c>
      <c r="DV100">
        <v>-1.3812</v>
      </c>
      <c r="DW100">
        <v>8.8619699999999995</v>
      </c>
      <c r="DX100">
        <v>10.222099999999999</v>
      </c>
      <c r="DY100">
        <v>5.9445600000000001</v>
      </c>
      <c r="DZ100">
        <v>9.9843600000000006</v>
      </c>
      <c r="EA100">
        <v>23.259399999999999</v>
      </c>
      <c r="EB100">
        <v>2.88646</v>
      </c>
      <c r="EC100">
        <v>2.2989099999999998</v>
      </c>
      <c r="ED100">
        <v>23.3871</v>
      </c>
      <c r="EE100">
        <v>19.668800000000001</v>
      </c>
      <c r="EF100">
        <v>1800.16</v>
      </c>
      <c r="EG100">
        <v>0.97799700000000001</v>
      </c>
      <c r="EH100">
        <v>2.2002600000000001E-2</v>
      </c>
      <c r="EI100">
        <v>0</v>
      </c>
      <c r="EJ100">
        <v>600.447</v>
      </c>
      <c r="EK100">
        <v>5.0005300000000004</v>
      </c>
      <c r="EL100">
        <v>11671.7</v>
      </c>
      <c r="EM100">
        <v>16036.7</v>
      </c>
      <c r="EN100">
        <v>47.686999999999998</v>
      </c>
      <c r="EO100">
        <v>48.811999999999998</v>
      </c>
      <c r="EP100">
        <v>48.311999999999998</v>
      </c>
      <c r="EQ100">
        <v>48.186999999999998</v>
      </c>
      <c r="ER100">
        <v>48.936999999999998</v>
      </c>
      <c r="ES100">
        <v>1755.66</v>
      </c>
      <c r="ET100">
        <v>39.5</v>
      </c>
      <c r="EU100">
        <v>0</v>
      </c>
      <c r="EV100">
        <v>97.400000095367432</v>
      </c>
      <c r="EW100">
        <v>0</v>
      </c>
      <c r="EX100">
        <v>600.27688000000001</v>
      </c>
      <c r="EY100">
        <v>8.0307683899649818E-2</v>
      </c>
      <c r="EZ100">
        <v>-19.984615311334679</v>
      </c>
      <c r="FA100">
        <v>11685.263999999999</v>
      </c>
      <c r="FB100">
        <v>15</v>
      </c>
      <c r="FC100">
        <v>1700165519</v>
      </c>
      <c r="FD100" t="s">
        <v>771</v>
      </c>
      <c r="FE100">
        <v>1700165510</v>
      </c>
      <c r="FF100">
        <v>1700165519</v>
      </c>
      <c r="FG100">
        <v>91</v>
      </c>
      <c r="FH100">
        <v>-2.5000000000000001E-2</v>
      </c>
      <c r="FI100">
        <v>-2E-3</v>
      </c>
      <c r="FJ100">
        <v>0.109</v>
      </c>
      <c r="FK100">
        <v>-4.0000000000000001E-3</v>
      </c>
      <c r="FL100">
        <v>10</v>
      </c>
      <c r="FM100">
        <v>23</v>
      </c>
      <c r="FN100">
        <v>0.34</v>
      </c>
      <c r="FO100">
        <v>0.01</v>
      </c>
      <c r="FP100">
        <v>1.457160688678093</v>
      </c>
      <c r="FQ100">
        <v>-2.011802338479066E-2</v>
      </c>
      <c r="FR100">
        <v>2.692451735564752E-2</v>
      </c>
      <c r="FS100">
        <v>1</v>
      </c>
      <c r="FT100">
        <v>0.50039356030957394</v>
      </c>
      <c r="FU100">
        <v>3.3390265509939537E-2</v>
      </c>
      <c r="FV100">
        <v>3.1432905566357769E-3</v>
      </c>
      <c r="FW100">
        <v>1</v>
      </c>
      <c r="FX100">
        <v>2</v>
      </c>
      <c r="FY100">
        <v>2</v>
      </c>
      <c r="FZ100" t="s">
        <v>420</v>
      </c>
      <c r="GA100">
        <v>3.1238600000000001</v>
      </c>
      <c r="GB100">
        <v>2.7666900000000001</v>
      </c>
      <c r="GC100">
        <v>2.271E-3</v>
      </c>
      <c r="GD100">
        <v>2.6716600000000002E-3</v>
      </c>
      <c r="GE100">
        <v>0.122415</v>
      </c>
      <c r="GF100">
        <v>0.104586</v>
      </c>
      <c r="GG100">
        <v>23781.599999999999</v>
      </c>
      <c r="GH100">
        <v>24749.4</v>
      </c>
      <c r="GI100">
        <v>23706.1</v>
      </c>
      <c r="GJ100">
        <v>25140</v>
      </c>
      <c r="GK100">
        <v>29967.4</v>
      </c>
      <c r="GL100">
        <v>31569.200000000001</v>
      </c>
      <c r="GM100">
        <v>37795.599999999999</v>
      </c>
      <c r="GN100">
        <v>39141.800000000003</v>
      </c>
      <c r="GO100">
        <v>2.1450499999999999</v>
      </c>
      <c r="GP100">
        <v>1.76105</v>
      </c>
      <c r="GQ100">
        <v>1.6875600000000001E-2</v>
      </c>
      <c r="GR100">
        <v>0</v>
      </c>
      <c r="GS100">
        <v>29.740200000000002</v>
      </c>
      <c r="GT100">
        <v>999.9</v>
      </c>
      <c r="GU100">
        <v>39</v>
      </c>
      <c r="GV100">
        <v>39.700000000000003</v>
      </c>
      <c r="GW100">
        <v>28.7866</v>
      </c>
      <c r="GX100">
        <v>60.465800000000002</v>
      </c>
      <c r="GY100">
        <v>27.019200000000001</v>
      </c>
      <c r="GZ100">
        <v>1</v>
      </c>
      <c r="HA100">
        <v>0.62387700000000001</v>
      </c>
      <c r="HB100">
        <v>2.2379500000000001</v>
      </c>
      <c r="HC100">
        <v>20.305199999999999</v>
      </c>
      <c r="HD100">
        <v>5.2496400000000003</v>
      </c>
      <c r="HE100">
        <v>12.0101</v>
      </c>
      <c r="HF100">
        <v>4.9784499999999996</v>
      </c>
      <c r="HG100">
        <v>3.2926199999999999</v>
      </c>
      <c r="HH100">
        <v>9999</v>
      </c>
      <c r="HI100">
        <v>9999</v>
      </c>
      <c r="HJ100">
        <v>9999</v>
      </c>
      <c r="HK100">
        <v>999.9</v>
      </c>
      <c r="HL100">
        <v>1.8760699999999999</v>
      </c>
      <c r="HM100">
        <v>1.87697</v>
      </c>
      <c r="HN100">
        <v>1.88324</v>
      </c>
      <c r="HO100">
        <v>1.8863000000000001</v>
      </c>
      <c r="HP100">
        <v>1.8771199999999999</v>
      </c>
      <c r="HQ100">
        <v>1.8836900000000001</v>
      </c>
      <c r="HR100">
        <v>1.88263</v>
      </c>
      <c r="HS100">
        <v>1.8859900000000001</v>
      </c>
      <c r="HT100">
        <v>5</v>
      </c>
      <c r="HU100">
        <v>0</v>
      </c>
      <c r="HV100">
        <v>0</v>
      </c>
      <c r="HW100">
        <v>0</v>
      </c>
      <c r="HX100" t="s">
        <v>421</v>
      </c>
      <c r="HY100" t="s">
        <v>422</v>
      </c>
      <c r="HZ100" t="s">
        <v>423</v>
      </c>
      <c r="IA100" t="s">
        <v>424</v>
      </c>
      <c r="IB100" t="s">
        <v>424</v>
      </c>
      <c r="IC100" t="s">
        <v>423</v>
      </c>
      <c r="ID100">
        <v>0</v>
      </c>
      <c r="IE100">
        <v>100</v>
      </c>
      <c r="IF100">
        <v>100</v>
      </c>
      <c r="IG100">
        <v>0.109</v>
      </c>
      <c r="IH100">
        <v>-4.1999999999999997E-3</v>
      </c>
      <c r="II100">
        <v>0.1090770086681347</v>
      </c>
      <c r="IJ100">
        <v>4.4610147972834149E-5</v>
      </c>
      <c r="IK100">
        <v>-2.082673137682459E-7</v>
      </c>
      <c r="IL100">
        <v>-4.0725795306076518E-11</v>
      </c>
      <c r="IM100">
        <v>-4.1599999999988313E-3</v>
      </c>
      <c r="IN100">
        <v>0</v>
      </c>
      <c r="IO100">
        <v>0</v>
      </c>
      <c r="IP100">
        <v>0</v>
      </c>
      <c r="IQ100">
        <v>3</v>
      </c>
      <c r="IR100">
        <v>2179</v>
      </c>
      <c r="IS100">
        <v>0</v>
      </c>
      <c r="IT100">
        <v>22</v>
      </c>
      <c r="IU100">
        <v>0.7</v>
      </c>
      <c r="IV100">
        <v>0.5</v>
      </c>
      <c r="IW100">
        <v>0.17333999999999999</v>
      </c>
      <c r="IX100">
        <v>2.7551299999999999</v>
      </c>
      <c r="IY100">
        <v>1.6015600000000001</v>
      </c>
      <c r="IZ100">
        <v>2.32544</v>
      </c>
      <c r="JA100">
        <v>1.5502899999999999</v>
      </c>
      <c r="JB100">
        <v>2.50244</v>
      </c>
      <c r="JC100">
        <v>43.399099999999997</v>
      </c>
      <c r="JD100">
        <v>24.210100000000001</v>
      </c>
      <c r="JE100">
        <v>18</v>
      </c>
      <c r="JF100">
        <v>613.35599999999999</v>
      </c>
      <c r="JG100">
        <v>394.20600000000002</v>
      </c>
      <c r="JH100">
        <v>27.8628</v>
      </c>
      <c r="JI100">
        <v>34.653599999999997</v>
      </c>
      <c r="JJ100">
        <v>30</v>
      </c>
      <c r="JK100">
        <v>34.744900000000001</v>
      </c>
      <c r="JL100">
        <v>34.735100000000003</v>
      </c>
      <c r="JM100">
        <v>3.4603799999999998</v>
      </c>
      <c r="JN100">
        <v>25.1297</v>
      </c>
      <c r="JO100">
        <v>51.049700000000001</v>
      </c>
      <c r="JP100">
        <v>27.842500000000001</v>
      </c>
      <c r="JQ100">
        <v>10</v>
      </c>
      <c r="JR100">
        <v>23.1004</v>
      </c>
      <c r="JS100">
        <v>98.573300000000003</v>
      </c>
      <c r="JT100">
        <v>99.037300000000002</v>
      </c>
    </row>
    <row r="101" spans="1:280" x14ac:dyDescent="0.25">
      <c r="A101">
        <v>85</v>
      </c>
      <c r="B101">
        <v>1700166640.0999999</v>
      </c>
      <c r="C101">
        <v>18766.599999904629</v>
      </c>
      <c r="D101" t="s">
        <v>772</v>
      </c>
      <c r="E101" t="s">
        <v>773</v>
      </c>
      <c r="F101" t="s">
        <v>412</v>
      </c>
      <c r="G101" t="s">
        <v>598</v>
      </c>
      <c r="H101" t="s">
        <v>774</v>
      </c>
      <c r="I101">
        <v>1700166640.0999999</v>
      </c>
      <c r="J101">
        <f t="shared" si="92"/>
        <v>3.9750405202996619E-3</v>
      </c>
      <c r="K101">
        <f t="shared" si="93"/>
        <v>3.9750405202996619</v>
      </c>
      <c r="L101">
        <f t="shared" si="94"/>
        <v>44.340254239733923</v>
      </c>
      <c r="M101">
        <f t="shared" si="95"/>
        <v>404.125</v>
      </c>
      <c r="N101">
        <f t="shared" si="96"/>
        <v>123.68713282550637</v>
      </c>
      <c r="O101">
        <f t="shared" si="97"/>
        <v>12.233910498416522</v>
      </c>
      <c r="P101">
        <f t="shared" si="98"/>
        <v>39.972056649962497</v>
      </c>
      <c r="Q101">
        <f t="shared" si="99"/>
        <v>0.26954069390459151</v>
      </c>
      <c r="R101">
        <f t="shared" si="100"/>
        <v>3.1289113911651567</v>
      </c>
      <c r="S101">
        <f t="shared" si="101"/>
        <v>0.25727339271480659</v>
      </c>
      <c r="T101">
        <f t="shared" si="102"/>
        <v>0.16185150744651561</v>
      </c>
      <c r="U101">
        <f t="shared" si="103"/>
        <v>344.35229930230867</v>
      </c>
      <c r="V101">
        <f t="shared" si="104"/>
        <v>30.99424761764956</v>
      </c>
      <c r="W101">
        <f t="shared" si="105"/>
        <v>30.006799999999998</v>
      </c>
      <c r="X101">
        <f t="shared" si="106"/>
        <v>4.2621141295248082</v>
      </c>
      <c r="Y101">
        <f t="shared" si="107"/>
        <v>65.227575488619365</v>
      </c>
      <c r="Z101">
        <f t="shared" si="108"/>
        <v>2.7883557181757199</v>
      </c>
      <c r="AA101">
        <f t="shared" si="109"/>
        <v>4.2748112240692144</v>
      </c>
      <c r="AB101">
        <f t="shared" si="110"/>
        <v>1.4737584113490882</v>
      </c>
      <c r="AC101">
        <f t="shared" si="111"/>
        <v>-175.2992869452151</v>
      </c>
      <c r="AD101">
        <f t="shared" si="112"/>
        <v>8.7379281136817006</v>
      </c>
      <c r="AE101">
        <f t="shared" si="113"/>
        <v>0.62114772685980935</v>
      </c>
      <c r="AF101">
        <f t="shared" si="114"/>
        <v>178.41208819763509</v>
      </c>
      <c r="AG101">
        <v>0</v>
      </c>
      <c r="AH101">
        <v>0</v>
      </c>
      <c r="AI101">
        <f t="shared" si="115"/>
        <v>1</v>
      </c>
      <c r="AJ101">
        <f t="shared" si="116"/>
        <v>0</v>
      </c>
      <c r="AK101">
        <f t="shared" si="117"/>
        <v>51919.355285500023</v>
      </c>
      <c r="AL101" t="s">
        <v>415</v>
      </c>
      <c r="AM101">
        <v>6977.87</v>
      </c>
      <c r="AN101">
        <v>273.15280000000001</v>
      </c>
      <c r="AO101">
        <v>850.46774885301022</v>
      </c>
      <c r="AP101">
        <f t="shared" si="118"/>
        <v>0.67882050745793765</v>
      </c>
      <c r="AQ101">
        <v>-1.0323826813720729</v>
      </c>
      <c r="AR101" t="s">
        <v>775</v>
      </c>
      <c r="AS101">
        <v>7102.33</v>
      </c>
      <c r="AT101">
        <v>619.22215384615379</v>
      </c>
      <c r="AU101">
        <v>906.7918989089851</v>
      </c>
      <c r="AV101">
        <f t="shared" si="119"/>
        <v>0.31712870991549824</v>
      </c>
      <c r="AW101">
        <v>0.5</v>
      </c>
      <c r="AX101">
        <f t="shared" si="120"/>
        <v>1513.1090996511543</v>
      </c>
      <c r="AY101">
        <f t="shared" si="121"/>
        <v>44.340254239733923</v>
      </c>
      <c r="AZ101">
        <f t="shared" si="122"/>
        <v>239.92516836688583</v>
      </c>
      <c r="BA101">
        <f t="shared" si="123"/>
        <v>2.9986361810636526E-2</v>
      </c>
      <c r="BB101">
        <f t="shared" si="124"/>
        <v>-6.2113644953976532E-2</v>
      </c>
      <c r="BC101">
        <f t="shared" si="125"/>
        <v>278.71302136428159</v>
      </c>
      <c r="BD101" t="s">
        <v>776</v>
      </c>
      <c r="BE101">
        <v>448.73</v>
      </c>
      <c r="BF101">
        <f t="shared" si="126"/>
        <v>448.73</v>
      </c>
      <c r="BG101">
        <f t="shared" si="127"/>
        <v>0.50514555705681352</v>
      </c>
      <c r="BH101">
        <f t="shared" si="128"/>
        <v>0.62779669242905134</v>
      </c>
      <c r="BI101">
        <f t="shared" si="129"/>
        <v>-0.14020128856893416</v>
      </c>
      <c r="BJ101">
        <f t="shared" si="130"/>
        <v>0.45383838459144299</v>
      </c>
      <c r="BK101">
        <f t="shared" si="131"/>
        <v>-9.7562258119035017E-2</v>
      </c>
      <c r="BL101">
        <f t="shared" si="132"/>
        <v>0.45494368708209942</v>
      </c>
      <c r="BM101">
        <f t="shared" si="133"/>
        <v>0.54505631291790058</v>
      </c>
      <c r="BN101">
        <v>11346</v>
      </c>
      <c r="BO101">
        <v>290.00000000000011</v>
      </c>
      <c r="BP101">
        <v>827.11</v>
      </c>
      <c r="BQ101">
        <v>295</v>
      </c>
      <c r="BR101">
        <v>7102.33</v>
      </c>
      <c r="BS101">
        <v>828.76</v>
      </c>
      <c r="BT101">
        <v>-1.65</v>
      </c>
      <c r="BU101">
        <v>300.00000000000011</v>
      </c>
      <c r="BV101">
        <v>38.299999999999997</v>
      </c>
      <c r="BW101">
        <v>906.7918989089851</v>
      </c>
      <c r="BX101">
        <v>1.845573274210657</v>
      </c>
      <c r="BY101">
        <v>-55.417704459251858</v>
      </c>
      <c r="BZ101">
        <v>1.09876495916857</v>
      </c>
      <c r="CA101">
        <v>0.98911279530096241</v>
      </c>
      <c r="CB101">
        <v>-7.0031190211345918E-3</v>
      </c>
      <c r="CC101">
        <v>289.99999999999989</v>
      </c>
      <c r="CD101">
        <v>837.48</v>
      </c>
      <c r="CE101">
        <v>875</v>
      </c>
      <c r="CF101">
        <v>7093.44</v>
      </c>
      <c r="CG101">
        <v>828.67</v>
      </c>
      <c r="CH101">
        <v>8.81</v>
      </c>
      <c r="CV101">
        <f t="shared" si="134"/>
        <v>1799.91</v>
      </c>
      <c r="CW101">
        <f t="shared" si="135"/>
        <v>1513.1090996511543</v>
      </c>
      <c r="CX101">
        <f t="shared" si="136"/>
        <v>0.84065819938283259</v>
      </c>
      <c r="CY101">
        <f t="shared" si="137"/>
        <v>0.19131639876566531</v>
      </c>
      <c r="CZ101">
        <v>5</v>
      </c>
      <c r="DA101">
        <v>0.5</v>
      </c>
      <c r="DB101" t="s">
        <v>418</v>
      </c>
      <c r="DC101">
        <v>2</v>
      </c>
      <c r="DD101">
        <v>1700166640.0999999</v>
      </c>
      <c r="DE101">
        <v>404.125</v>
      </c>
      <c r="DF101">
        <v>450.06</v>
      </c>
      <c r="DG101">
        <v>28.190799999999999</v>
      </c>
      <c r="DH101">
        <v>24.328800000000001</v>
      </c>
      <c r="DI101">
        <v>404.45</v>
      </c>
      <c r="DJ101">
        <v>28.190300000000001</v>
      </c>
      <c r="DK101">
        <v>500.12700000000001</v>
      </c>
      <c r="DL101">
        <v>98.8108</v>
      </c>
      <c r="DM101">
        <v>9.93309E-2</v>
      </c>
      <c r="DN101">
        <v>30.058599999999998</v>
      </c>
      <c r="DO101">
        <v>30.006799999999998</v>
      </c>
      <c r="DP101">
        <v>999.9</v>
      </c>
      <c r="DQ101">
        <v>0</v>
      </c>
      <c r="DR101">
        <v>0</v>
      </c>
      <c r="DS101">
        <v>10040</v>
      </c>
      <c r="DT101">
        <v>0</v>
      </c>
      <c r="DU101">
        <v>286.55200000000002</v>
      </c>
      <c r="DV101">
        <v>-45.935099999999998</v>
      </c>
      <c r="DW101">
        <v>415.84800000000001</v>
      </c>
      <c r="DX101">
        <v>461.28199999999998</v>
      </c>
      <c r="DY101">
        <v>3.8620000000000001</v>
      </c>
      <c r="DZ101">
        <v>450.06</v>
      </c>
      <c r="EA101">
        <v>24.328800000000001</v>
      </c>
      <c r="EB101">
        <v>2.7855599999999998</v>
      </c>
      <c r="EC101">
        <v>2.40395</v>
      </c>
      <c r="ED101">
        <v>22.7987</v>
      </c>
      <c r="EE101">
        <v>20.3904</v>
      </c>
      <c r="EF101">
        <v>1799.91</v>
      </c>
      <c r="EG101">
        <v>0.97799999999999998</v>
      </c>
      <c r="EH101">
        <v>2.1999999999999999E-2</v>
      </c>
      <c r="EI101">
        <v>0</v>
      </c>
      <c r="EJ101">
        <v>619.14700000000005</v>
      </c>
      <c r="EK101">
        <v>5.0005300000000004</v>
      </c>
      <c r="EL101">
        <v>12062</v>
      </c>
      <c r="EM101">
        <v>16034.5</v>
      </c>
      <c r="EN101">
        <v>47.686999999999998</v>
      </c>
      <c r="EO101">
        <v>48.75</v>
      </c>
      <c r="EP101">
        <v>48.25</v>
      </c>
      <c r="EQ101">
        <v>48.186999999999998</v>
      </c>
      <c r="ER101">
        <v>48.875</v>
      </c>
      <c r="ES101">
        <v>1755.42</v>
      </c>
      <c r="ET101">
        <v>39.49</v>
      </c>
      <c r="EU101">
        <v>0</v>
      </c>
      <c r="EV101">
        <v>1186.400000095367</v>
      </c>
      <c r="EW101">
        <v>0</v>
      </c>
      <c r="EX101">
        <v>619.22215384615379</v>
      </c>
      <c r="EY101">
        <v>-0.39774357497274138</v>
      </c>
      <c r="EZ101">
        <v>-124.8205125872794</v>
      </c>
      <c r="FA101">
        <v>12073.24615384615</v>
      </c>
      <c r="FB101">
        <v>15</v>
      </c>
      <c r="FC101">
        <v>1700166606.5999999</v>
      </c>
      <c r="FD101" t="s">
        <v>777</v>
      </c>
      <c r="FE101">
        <v>1700166606.5999999</v>
      </c>
      <c r="FF101">
        <v>1700166604.0999999</v>
      </c>
      <c r="FG101">
        <v>93</v>
      </c>
      <c r="FH101">
        <v>2.5999999999999999E-2</v>
      </c>
      <c r="FI101">
        <v>-6.0000000000000001E-3</v>
      </c>
      <c r="FJ101">
        <v>-0.33200000000000002</v>
      </c>
      <c r="FK101">
        <v>0</v>
      </c>
      <c r="FL101">
        <v>450</v>
      </c>
      <c r="FM101">
        <v>24</v>
      </c>
      <c r="FN101">
        <v>0.05</v>
      </c>
      <c r="FO101">
        <v>0.02</v>
      </c>
      <c r="FP101">
        <v>44.230794512230503</v>
      </c>
      <c r="FQ101">
        <v>0.56936234799849095</v>
      </c>
      <c r="FR101">
        <v>5.4294460577139318E-2</v>
      </c>
      <c r="FS101">
        <v>1</v>
      </c>
      <c r="FT101">
        <v>0.26766002595830979</v>
      </c>
      <c r="FU101">
        <v>1.763582812083995E-3</v>
      </c>
      <c r="FV101">
        <v>1.304586113935718E-3</v>
      </c>
      <c r="FW101">
        <v>1</v>
      </c>
      <c r="FX101">
        <v>2</v>
      </c>
      <c r="FY101">
        <v>2</v>
      </c>
      <c r="FZ101" t="s">
        <v>420</v>
      </c>
      <c r="GA101">
        <v>3.1235499999999998</v>
      </c>
      <c r="GB101">
        <v>2.7665600000000001</v>
      </c>
      <c r="GC101">
        <v>8.9138700000000001E-2</v>
      </c>
      <c r="GD101">
        <v>9.6707899999999999E-2</v>
      </c>
      <c r="GE101">
        <v>0.119454</v>
      </c>
      <c r="GF101">
        <v>0.107958</v>
      </c>
      <c r="GG101">
        <v>21696.3</v>
      </c>
      <c r="GH101">
        <v>22425.1</v>
      </c>
      <c r="GI101">
        <v>23686.6</v>
      </c>
      <c r="GJ101">
        <v>25147.3</v>
      </c>
      <c r="GK101">
        <v>30042.2</v>
      </c>
      <c r="GL101">
        <v>31450.1</v>
      </c>
      <c r="GM101">
        <v>37762.699999999997</v>
      </c>
      <c r="GN101">
        <v>39141.599999999999</v>
      </c>
      <c r="GO101">
        <v>2.1492200000000001</v>
      </c>
      <c r="GP101">
        <v>1.7645</v>
      </c>
      <c r="GQ101">
        <v>2.3599700000000001E-2</v>
      </c>
      <c r="GR101">
        <v>0</v>
      </c>
      <c r="GS101">
        <v>29.622699999999998</v>
      </c>
      <c r="GT101">
        <v>999.9</v>
      </c>
      <c r="GU101">
        <v>40.6</v>
      </c>
      <c r="GV101">
        <v>39.200000000000003</v>
      </c>
      <c r="GW101">
        <v>29.1815</v>
      </c>
      <c r="GX101">
        <v>60.299399999999999</v>
      </c>
      <c r="GY101">
        <v>26.1538</v>
      </c>
      <c r="GZ101">
        <v>1</v>
      </c>
      <c r="HA101">
        <v>0.62005299999999997</v>
      </c>
      <c r="HB101">
        <v>2.3474300000000001</v>
      </c>
      <c r="HC101">
        <v>20.304400000000001</v>
      </c>
      <c r="HD101">
        <v>5.24559</v>
      </c>
      <c r="HE101">
        <v>12.0101</v>
      </c>
      <c r="HF101">
        <v>4.9785000000000004</v>
      </c>
      <c r="HG101">
        <v>3.2922500000000001</v>
      </c>
      <c r="HH101">
        <v>9999</v>
      </c>
      <c r="HI101">
        <v>9999</v>
      </c>
      <c r="HJ101">
        <v>9999</v>
      </c>
      <c r="HK101">
        <v>999.9</v>
      </c>
      <c r="HL101">
        <v>1.8760699999999999</v>
      </c>
      <c r="HM101">
        <v>1.8769100000000001</v>
      </c>
      <c r="HN101">
        <v>1.8832199999999999</v>
      </c>
      <c r="HO101">
        <v>1.88629</v>
      </c>
      <c r="HP101">
        <v>1.8770899999999999</v>
      </c>
      <c r="HQ101">
        <v>1.88364</v>
      </c>
      <c r="HR101">
        <v>1.88259</v>
      </c>
      <c r="HS101">
        <v>1.88598</v>
      </c>
      <c r="HT101">
        <v>5</v>
      </c>
      <c r="HU101">
        <v>0</v>
      </c>
      <c r="HV101">
        <v>0</v>
      </c>
      <c r="HW101">
        <v>0</v>
      </c>
      <c r="HX101" t="s">
        <v>421</v>
      </c>
      <c r="HY101" t="s">
        <v>422</v>
      </c>
      <c r="HZ101" t="s">
        <v>423</v>
      </c>
      <c r="IA101" t="s">
        <v>424</v>
      </c>
      <c r="IB101" t="s">
        <v>424</v>
      </c>
      <c r="IC101" t="s">
        <v>423</v>
      </c>
      <c r="ID101">
        <v>0</v>
      </c>
      <c r="IE101">
        <v>100</v>
      </c>
      <c r="IF101">
        <v>100</v>
      </c>
      <c r="IG101">
        <v>-0.32500000000000001</v>
      </c>
      <c r="IH101">
        <v>5.0000000000000001E-4</v>
      </c>
      <c r="II101">
        <v>-0.30617237049546281</v>
      </c>
      <c r="IJ101">
        <v>4.4610147972834149E-5</v>
      </c>
      <c r="IK101">
        <v>-2.082673137682459E-7</v>
      </c>
      <c r="IL101">
        <v>-4.0725795306076518E-11</v>
      </c>
      <c r="IM101">
        <v>4.6000000000390168E-4</v>
      </c>
      <c r="IN101">
        <v>0</v>
      </c>
      <c r="IO101">
        <v>0</v>
      </c>
      <c r="IP101">
        <v>0</v>
      </c>
      <c r="IQ101">
        <v>3</v>
      </c>
      <c r="IR101">
        <v>2179</v>
      </c>
      <c r="IS101">
        <v>0</v>
      </c>
      <c r="IT101">
        <v>22</v>
      </c>
      <c r="IU101">
        <v>0.6</v>
      </c>
      <c r="IV101">
        <v>0.6</v>
      </c>
      <c r="IW101">
        <v>1.1242700000000001</v>
      </c>
      <c r="IX101">
        <v>2.7099600000000001</v>
      </c>
      <c r="IY101">
        <v>1.6015600000000001</v>
      </c>
      <c r="IZ101">
        <v>2.32544</v>
      </c>
      <c r="JA101">
        <v>1.5502899999999999</v>
      </c>
      <c r="JB101">
        <v>2.2973599999999998</v>
      </c>
      <c r="JC101">
        <v>42.912100000000002</v>
      </c>
      <c r="JD101">
        <v>24.210100000000001</v>
      </c>
      <c r="JE101">
        <v>18</v>
      </c>
      <c r="JF101">
        <v>615.21</v>
      </c>
      <c r="JG101">
        <v>395.54300000000001</v>
      </c>
      <c r="JH101">
        <v>27.1997</v>
      </c>
      <c r="JI101">
        <v>34.567500000000003</v>
      </c>
      <c r="JJ101">
        <v>30.000299999999999</v>
      </c>
      <c r="JK101">
        <v>34.615699999999997</v>
      </c>
      <c r="JL101">
        <v>34.603700000000003</v>
      </c>
      <c r="JM101">
        <v>22.491800000000001</v>
      </c>
      <c r="JN101">
        <v>21.9495</v>
      </c>
      <c r="JO101">
        <v>56.222700000000003</v>
      </c>
      <c r="JP101">
        <v>27.200700000000001</v>
      </c>
      <c r="JQ101">
        <v>450</v>
      </c>
      <c r="JR101">
        <v>24.329499999999999</v>
      </c>
      <c r="JS101">
        <v>98.489500000000007</v>
      </c>
      <c r="JT101">
        <v>99.048299999999998</v>
      </c>
    </row>
    <row r="102" spans="1:280" x14ac:dyDescent="0.25">
      <c r="A102">
        <v>86</v>
      </c>
      <c r="B102">
        <v>1700166744.5999999</v>
      </c>
      <c r="C102">
        <v>18871.099999904629</v>
      </c>
      <c r="D102" t="s">
        <v>778</v>
      </c>
      <c r="E102" t="s">
        <v>779</v>
      </c>
      <c r="F102" t="s">
        <v>412</v>
      </c>
      <c r="G102" t="s">
        <v>598</v>
      </c>
      <c r="H102" t="s">
        <v>774</v>
      </c>
      <c r="I102">
        <v>1700166744.5999999</v>
      </c>
      <c r="J102">
        <f t="shared" si="92"/>
        <v>3.1375406589431894E-3</v>
      </c>
      <c r="K102">
        <f t="shared" si="93"/>
        <v>3.1375406589431893</v>
      </c>
      <c r="L102">
        <f t="shared" si="94"/>
        <v>48.752530135346369</v>
      </c>
      <c r="M102">
        <f t="shared" si="95"/>
        <v>1446.549</v>
      </c>
      <c r="N102">
        <f t="shared" si="96"/>
        <v>1025.8966941532601</v>
      </c>
      <c r="O102">
        <f t="shared" si="97"/>
        <v>101.47309986775672</v>
      </c>
      <c r="P102">
        <f t="shared" si="98"/>
        <v>143.080499213184</v>
      </c>
      <c r="Q102">
        <f t="shared" si="99"/>
        <v>0.20648654995371526</v>
      </c>
      <c r="R102">
        <f t="shared" si="100"/>
        <v>3.1147192618503676</v>
      </c>
      <c r="S102">
        <f t="shared" si="101"/>
        <v>0.19917206062775275</v>
      </c>
      <c r="T102">
        <f t="shared" si="102"/>
        <v>0.12511812927215815</v>
      </c>
      <c r="U102">
        <f t="shared" si="103"/>
        <v>344.33329930226989</v>
      </c>
      <c r="V102">
        <f t="shared" si="104"/>
        <v>31.178024540346172</v>
      </c>
      <c r="W102">
        <f t="shared" si="105"/>
        <v>30.014700000000001</v>
      </c>
      <c r="X102">
        <f t="shared" si="106"/>
        <v>4.264048432381867</v>
      </c>
      <c r="Y102">
        <f t="shared" si="107"/>
        <v>64.6874541023125</v>
      </c>
      <c r="Z102">
        <f t="shared" si="108"/>
        <v>2.7612364545791999</v>
      </c>
      <c r="AA102">
        <f t="shared" si="109"/>
        <v>4.2685811227195734</v>
      </c>
      <c r="AB102">
        <f t="shared" si="110"/>
        <v>1.5028119778026672</v>
      </c>
      <c r="AC102">
        <f t="shared" si="111"/>
        <v>-138.36554305939464</v>
      </c>
      <c r="AD102">
        <f t="shared" si="112"/>
        <v>3.1065337796301442</v>
      </c>
      <c r="AE102">
        <f t="shared" si="113"/>
        <v>0.22181925641390637</v>
      </c>
      <c r="AF102">
        <f t="shared" si="114"/>
        <v>209.29610927891929</v>
      </c>
      <c r="AG102">
        <v>0</v>
      </c>
      <c r="AH102">
        <v>0</v>
      </c>
      <c r="AI102">
        <f t="shared" si="115"/>
        <v>1</v>
      </c>
      <c r="AJ102">
        <f t="shared" si="116"/>
        <v>0</v>
      </c>
      <c r="AK102">
        <f t="shared" si="117"/>
        <v>51564.430332371376</v>
      </c>
      <c r="AL102" t="s">
        <v>427</v>
      </c>
      <c r="AM102" t="s">
        <v>427</v>
      </c>
      <c r="AN102">
        <v>0</v>
      </c>
      <c r="AO102">
        <v>0</v>
      </c>
      <c r="AP102" t="e">
        <f t="shared" si="118"/>
        <v>#DIV/0!</v>
      </c>
      <c r="AQ102">
        <v>0</v>
      </c>
      <c r="AR102" t="s">
        <v>427</v>
      </c>
      <c r="AS102" t="s">
        <v>427</v>
      </c>
      <c r="AT102">
        <v>0</v>
      </c>
      <c r="AU102">
        <v>0</v>
      </c>
      <c r="AV102" t="e">
        <f t="shared" si="119"/>
        <v>#DIV/0!</v>
      </c>
      <c r="AW102">
        <v>0.5</v>
      </c>
      <c r="AX102">
        <f t="shared" si="120"/>
        <v>1513.025099651135</v>
      </c>
      <c r="AY102">
        <f t="shared" si="121"/>
        <v>48.752530135346369</v>
      </c>
      <c r="AZ102" t="e">
        <f t="shared" si="122"/>
        <v>#DIV/0!</v>
      </c>
      <c r="BA102">
        <f t="shared" si="123"/>
        <v>3.2221891194394239E-2</v>
      </c>
      <c r="BB102" t="e">
        <f t="shared" si="124"/>
        <v>#DIV/0!</v>
      </c>
      <c r="BC102" t="e">
        <f t="shared" si="125"/>
        <v>#DIV/0!</v>
      </c>
      <c r="BD102" t="s">
        <v>427</v>
      </c>
      <c r="BE102">
        <v>0</v>
      </c>
      <c r="BF102" t="e">
        <f t="shared" si="126"/>
        <v>#DIV/0!</v>
      </c>
      <c r="BG102" t="e">
        <f t="shared" si="127"/>
        <v>#DIV/0!</v>
      </c>
      <c r="BH102" t="e">
        <f t="shared" si="128"/>
        <v>#DIV/0!</v>
      </c>
      <c r="BI102" t="e">
        <f t="shared" si="129"/>
        <v>#DIV/0!</v>
      </c>
      <c r="BJ102" t="e">
        <f t="shared" si="130"/>
        <v>#DIV/0!</v>
      </c>
      <c r="BK102" t="e">
        <f t="shared" si="131"/>
        <v>#DIV/0!</v>
      </c>
      <c r="BL102" t="e">
        <f t="shared" si="132"/>
        <v>#DIV/0!</v>
      </c>
      <c r="BM102" t="e">
        <f t="shared" si="133"/>
        <v>#DIV/0!</v>
      </c>
      <c r="BN102">
        <v>11346</v>
      </c>
      <c r="BO102">
        <v>290.00000000000011</v>
      </c>
      <c r="BP102">
        <v>827.11</v>
      </c>
      <c r="BQ102">
        <v>295</v>
      </c>
      <c r="BR102">
        <v>7102.33</v>
      </c>
      <c r="BS102">
        <v>828.76</v>
      </c>
      <c r="BT102">
        <v>-1.65</v>
      </c>
      <c r="BU102">
        <v>300.00000000000011</v>
      </c>
      <c r="BV102">
        <v>38.299999999999997</v>
      </c>
      <c r="BW102">
        <v>906.7918989089851</v>
      </c>
      <c r="BX102">
        <v>1.845573274210657</v>
      </c>
      <c r="BY102">
        <v>-55.417704459251858</v>
      </c>
      <c r="BZ102">
        <v>1.09876495916857</v>
      </c>
      <c r="CA102">
        <v>0.98911279530096241</v>
      </c>
      <c r="CB102">
        <v>-7.0031190211345918E-3</v>
      </c>
      <c r="CC102">
        <v>289.99999999999989</v>
      </c>
      <c r="CD102">
        <v>837.48</v>
      </c>
      <c r="CE102">
        <v>875</v>
      </c>
      <c r="CF102">
        <v>7093.44</v>
      </c>
      <c r="CG102">
        <v>828.67</v>
      </c>
      <c r="CH102">
        <v>8.81</v>
      </c>
      <c r="CV102">
        <f t="shared" si="134"/>
        <v>1799.81</v>
      </c>
      <c r="CW102">
        <f t="shared" si="135"/>
        <v>1513.025099651135</v>
      </c>
      <c r="CX102">
        <f t="shared" si="136"/>
        <v>0.84065823595331446</v>
      </c>
      <c r="CY102">
        <f t="shared" si="137"/>
        <v>0.19131647190662898</v>
      </c>
      <c r="CZ102">
        <v>5</v>
      </c>
      <c r="DA102">
        <v>0.5</v>
      </c>
      <c r="DB102" t="s">
        <v>418</v>
      </c>
      <c r="DC102">
        <v>2</v>
      </c>
      <c r="DD102">
        <v>1700166744.5999999</v>
      </c>
      <c r="DE102">
        <v>1446.549</v>
      </c>
      <c r="DF102">
        <v>1499.82</v>
      </c>
      <c r="DG102">
        <v>27.9162</v>
      </c>
      <c r="DH102">
        <v>24.8674</v>
      </c>
      <c r="DI102">
        <v>1446.72</v>
      </c>
      <c r="DJ102">
        <v>27.911200000000001</v>
      </c>
      <c r="DK102">
        <v>500.18900000000002</v>
      </c>
      <c r="DL102">
        <v>98.811499999999995</v>
      </c>
      <c r="DM102">
        <v>0.100116</v>
      </c>
      <c r="DN102">
        <v>30.033200000000001</v>
      </c>
      <c r="DO102">
        <v>30.014700000000001</v>
      </c>
      <c r="DP102">
        <v>999.9</v>
      </c>
      <c r="DQ102">
        <v>0</v>
      </c>
      <c r="DR102">
        <v>0</v>
      </c>
      <c r="DS102">
        <v>9967.5</v>
      </c>
      <c r="DT102">
        <v>0</v>
      </c>
      <c r="DU102">
        <v>275.97899999999998</v>
      </c>
      <c r="DV102">
        <v>-53.899000000000001</v>
      </c>
      <c r="DW102">
        <v>1487.44</v>
      </c>
      <c r="DX102">
        <v>1538.07</v>
      </c>
      <c r="DY102">
        <v>3.04433</v>
      </c>
      <c r="DZ102">
        <v>1499.82</v>
      </c>
      <c r="EA102">
        <v>24.8674</v>
      </c>
      <c r="EB102">
        <v>2.758</v>
      </c>
      <c r="EC102">
        <v>2.4571800000000001</v>
      </c>
      <c r="ED102">
        <v>22.634799999999998</v>
      </c>
      <c r="EE102">
        <v>20.7456</v>
      </c>
      <c r="EF102">
        <v>1799.81</v>
      </c>
      <c r="EG102">
        <v>0.97799999999999998</v>
      </c>
      <c r="EH102">
        <v>2.1999999999999999E-2</v>
      </c>
      <c r="EI102">
        <v>0</v>
      </c>
      <c r="EJ102">
        <v>611.78099999999995</v>
      </c>
      <c r="EK102">
        <v>5.0005300000000004</v>
      </c>
      <c r="EL102">
        <v>11903.5</v>
      </c>
      <c r="EM102">
        <v>16033.5</v>
      </c>
      <c r="EN102">
        <v>47.75</v>
      </c>
      <c r="EO102">
        <v>48.811999999999998</v>
      </c>
      <c r="EP102">
        <v>48.311999999999998</v>
      </c>
      <c r="EQ102">
        <v>48.25</v>
      </c>
      <c r="ER102">
        <v>48.936999999999998</v>
      </c>
      <c r="ES102">
        <v>1755.32</v>
      </c>
      <c r="ET102">
        <v>39.49</v>
      </c>
      <c r="EU102">
        <v>0</v>
      </c>
      <c r="EV102">
        <v>102.6000001430511</v>
      </c>
      <c r="EW102">
        <v>0</v>
      </c>
      <c r="EX102">
        <v>612.19100000000003</v>
      </c>
      <c r="EY102">
        <v>-2.7786153879831081</v>
      </c>
      <c r="EZ102">
        <v>-88.600000091101606</v>
      </c>
      <c r="FA102">
        <v>11913.736000000001</v>
      </c>
      <c r="FB102">
        <v>15</v>
      </c>
      <c r="FC102">
        <v>1700166775.0999999</v>
      </c>
      <c r="FD102" t="s">
        <v>780</v>
      </c>
      <c r="FE102">
        <v>1700166765.5999999</v>
      </c>
      <c r="FF102">
        <v>1700166775.0999999</v>
      </c>
      <c r="FG102">
        <v>94</v>
      </c>
      <c r="FH102">
        <v>0.67400000000000004</v>
      </c>
      <c r="FI102">
        <v>4.0000000000000001E-3</v>
      </c>
      <c r="FJ102">
        <v>-0.17100000000000001</v>
      </c>
      <c r="FK102">
        <v>5.0000000000000001E-3</v>
      </c>
      <c r="FL102">
        <v>1500</v>
      </c>
      <c r="FM102">
        <v>25</v>
      </c>
      <c r="FN102">
        <v>0.05</v>
      </c>
      <c r="FO102">
        <v>0.05</v>
      </c>
      <c r="FP102">
        <v>49.544388267590953</v>
      </c>
      <c r="FQ102">
        <v>0.17408094662118639</v>
      </c>
      <c r="FR102">
        <v>8.8120371765345387E-2</v>
      </c>
      <c r="FS102">
        <v>1</v>
      </c>
      <c r="FT102">
        <v>0.2131624812509553</v>
      </c>
      <c r="FU102">
        <v>-2.963741787086727E-2</v>
      </c>
      <c r="FV102">
        <v>2.488616143272223E-3</v>
      </c>
      <c r="FW102">
        <v>1</v>
      </c>
      <c r="FX102">
        <v>2</v>
      </c>
      <c r="FY102">
        <v>2</v>
      </c>
      <c r="FZ102" t="s">
        <v>420</v>
      </c>
      <c r="GA102">
        <v>3.1238199999999998</v>
      </c>
      <c r="GB102">
        <v>2.7667099999999998</v>
      </c>
      <c r="GC102">
        <v>0.210566</v>
      </c>
      <c r="GD102">
        <v>0.214972</v>
      </c>
      <c r="GE102">
        <v>0.118627</v>
      </c>
      <c r="GF102">
        <v>0.109625</v>
      </c>
      <c r="GG102">
        <v>18796.400000000001</v>
      </c>
      <c r="GH102">
        <v>19481</v>
      </c>
      <c r="GI102">
        <v>23683.599999999999</v>
      </c>
      <c r="GJ102">
        <v>25144.7</v>
      </c>
      <c r="GK102">
        <v>30066.5</v>
      </c>
      <c r="GL102">
        <v>31387.4</v>
      </c>
      <c r="GM102">
        <v>37758.1</v>
      </c>
      <c r="GN102">
        <v>39137.1</v>
      </c>
      <c r="GO102">
        <v>2.1486999999999998</v>
      </c>
      <c r="GP102">
        <v>1.76885</v>
      </c>
      <c r="GQ102">
        <v>2.1494900000000001E-2</v>
      </c>
      <c r="GR102">
        <v>0</v>
      </c>
      <c r="GS102">
        <v>29.6648</v>
      </c>
      <c r="GT102">
        <v>999.9</v>
      </c>
      <c r="GU102">
        <v>40.799999999999997</v>
      </c>
      <c r="GV102">
        <v>39.1</v>
      </c>
      <c r="GW102">
        <v>29.1709</v>
      </c>
      <c r="GX102">
        <v>60.819400000000002</v>
      </c>
      <c r="GY102">
        <v>25.8934</v>
      </c>
      <c r="GZ102">
        <v>1</v>
      </c>
      <c r="HA102">
        <v>0.62613799999999997</v>
      </c>
      <c r="HB102">
        <v>2.9531299999999998</v>
      </c>
      <c r="HC102">
        <v>20.295500000000001</v>
      </c>
      <c r="HD102">
        <v>5.25143</v>
      </c>
      <c r="HE102">
        <v>12.0099</v>
      </c>
      <c r="HF102">
        <v>4.9791999999999996</v>
      </c>
      <c r="HG102">
        <v>3.2930000000000001</v>
      </c>
      <c r="HH102">
        <v>9999</v>
      </c>
      <c r="HI102">
        <v>9999</v>
      </c>
      <c r="HJ102">
        <v>9999</v>
      </c>
      <c r="HK102">
        <v>999.9</v>
      </c>
      <c r="HL102">
        <v>1.8760699999999999</v>
      </c>
      <c r="HM102">
        <v>1.8769499999999999</v>
      </c>
      <c r="HN102">
        <v>1.88323</v>
      </c>
      <c r="HO102">
        <v>1.88629</v>
      </c>
      <c r="HP102">
        <v>1.8771199999999999</v>
      </c>
      <c r="HQ102">
        <v>1.88368</v>
      </c>
      <c r="HR102">
        <v>1.88262</v>
      </c>
      <c r="HS102">
        <v>1.8859900000000001</v>
      </c>
      <c r="HT102">
        <v>5</v>
      </c>
      <c r="HU102">
        <v>0</v>
      </c>
      <c r="HV102">
        <v>0</v>
      </c>
      <c r="HW102">
        <v>0</v>
      </c>
      <c r="HX102" t="s">
        <v>421</v>
      </c>
      <c r="HY102" t="s">
        <v>422</v>
      </c>
      <c r="HZ102" t="s">
        <v>423</v>
      </c>
      <c r="IA102" t="s">
        <v>424</v>
      </c>
      <c r="IB102" t="s">
        <v>424</v>
      </c>
      <c r="IC102" t="s">
        <v>423</v>
      </c>
      <c r="ID102">
        <v>0</v>
      </c>
      <c r="IE102">
        <v>100</v>
      </c>
      <c r="IF102">
        <v>100</v>
      </c>
      <c r="IG102">
        <v>-0.17100000000000001</v>
      </c>
      <c r="IH102">
        <v>5.0000000000000001E-3</v>
      </c>
      <c r="II102">
        <v>-0.30617237049546281</v>
      </c>
      <c r="IJ102">
        <v>4.4610147972834149E-5</v>
      </c>
      <c r="IK102">
        <v>-2.082673137682459E-7</v>
      </c>
      <c r="IL102">
        <v>-4.0725795306076518E-11</v>
      </c>
      <c r="IM102">
        <v>4.6000000000390168E-4</v>
      </c>
      <c r="IN102">
        <v>0</v>
      </c>
      <c r="IO102">
        <v>0</v>
      </c>
      <c r="IP102">
        <v>0</v>
      </c>
      <c r="IQ102">
        <v>3</v>
      </c>
      <c r="IR102">
        <v>2179</v>
      </c>
      <c r="IS102">
        <v>0</v>
      </c>
      <c r="IT102">
        <v>22</v>
      </c>
      <c r="IU102">
        <v>2.2999999999999998</v>
      </c>
      <c r="IV102">
        <v>2.2999999999999998</v>
      </c>
      <c r="IW102">
        <v>2.99316</v>
      </c>
      <c r="IX102">
        <v>2.67456</v>
      </c>
      <c r="IY102">
        <v>1.6015600000000001</v>
      </c>
      <c r="IZ102">
        <v>2.32422</v>
      </c>
      <c r="JA102">
        <v>1.5502899999999999</v>
      </c>
      <c r="JB102">
        <v>2.32422</v>
      </c>
      <c r="JC102">
        <v>42.885199999999998</v>
      </c>
      <c r="JD102">
        <v>24.2013</v>
      </c>
      <c r="JE102">
        <v>18</v>
      </c>
      <c r="JF102">
        <v>615.07399999999996</v>
      </c>
      <c r="JG102">
        <v>398.47399999999999</v>
      </c>
      <c r="JH102">
        <v>26.7818</v>
      </c>
      <c r="JI102">
        <v>34.606400000000001</v>
      </c>
      <c r="JJ102">
        <v>30.000299999999999</v>
      </c>
      <c r="JK102">
        <v>34.642600000000002</v>
      </c>
      <c r="JL102">
        <v>34.631999999999998</v>
      </c>
      <c r="JM102">
        <v>59.911999999999999</v>
      </c>
      <c r="JN102">
        <v>19.956800000000001</v>
      </c>
      <c r="JO102">
        <v>56.980699999999999</v>
      </c>
      <c r="JP102">
        <v>26.7591</v>
      </c>
      <c r="JQ102">
        <v>1500</v>
      </c>
      <c r="JR102">
        <v>24.950800000000001</v>
      </c>
      <c r="JS102">
        <v>98.477199999999996</v>
      </c>
      <c r="JT102">
        <v>99.037300000000002</v>
      </c>
    </row>
    <row r="103" spans="1:280" x14ac:dyDescent="0.25">
      <c r="A103">
        <v>87</v>
      </c>
      <c r="B103">
        <v>1700166866.0999999</v>
      </c>
      <c r="C103">
        <v>18992.599999904629</v>
      </c>
      <c r="D103" t="s">
        <v>781</v>
      </c>
      <c r="E103" t="s">
        <v>782</v>
      </c>
      <c r="F103" t="s">
        <v>412</v>
      </c>
      <c r="G103" t="s">
        <v>598</v>
      </c>
      <c r="H103" t="s">
        <v>774</v>
      </c>
      <c r="I103">
        <v>1700166866.0999999</v>
      </c>
      <c r="J103">
        <f t="shared" si="92"/>
        <v>2.6893693191123069E-3</v>
      </c>
      <c r="K103">
        <f t="shared" si="93"/>
        <v>2.6893693191123069</v>
      </c>
      <c r="L103">
        <f t="shared" si="94"/>
        <v>49.335260740362791</v>
      </c>
      <c r="M103">
        <f t="shared" si="95"/>
        <v>1197.5</v>
      </c>
      <c r="N103">
        <f t="shared" si="96"/>
        <v>715.01235645665361</v>
      </c>
      <c r="O103">
        <f t="shared" si="97"/>
        <v>70.724961745519863</v>
      </c>
      <c r="P103">
        <f t="shared" si="98"/>
        <v>118.4498993975</v>
      </c>
      <c r="Q103">
        <f t="shared" si="99"/>
        <v>0.17675933123000107</v>
      </c>
      <c r="R103">
        <f t="shared" si="100"/>
        <v>3.1206665379963319</v>
      </c>
      <c r="S103">
        <f t="shared" si="101"/>
        <v>0.17137968085204014</v>
      </c>
      <c r="T103">
        <f t="shared" si="102"/>
        <v>0.10758200227906635</v>
      </c>
      <c r="U103">
        <f t="shared" si="103"/>
        <v>344.38459930237457</v>
      </c>
      <c r="V103">
        <f t="shared" si="104"/>
        <v>31.159537112332405</v>
      </c>
      <c r="W103">
        <f t="shared" si="105"/>
        <v>29.977699999999999</v>
      </c>
      <c r="X103">
        <f t="shared" si="106"/>
        <v>4.2549956340222623</v>
      </c>
      <c r="Y103">
        <f t="shared" si="107"/>
        <v>65.078446027025521</v>
      </c>
      <c r="Z103">
        <f t="shared" si="108"/>
        <v>2.7578104009368003</v>
      </c>
      <c r="AA103">
        <f t="shared" si="109"/>
        <v>4.2376709483682928</v>
      </c>
      <c r="AB103">
        <f t="shared" si="110"/>
        <v>1.497185233085462</v>
      </c>
      <c r="AC103">
        <f t="shared" si="111"/>
        <v>-118.60118697285273</v>
      </c>
      <c r="AD103">
        <f t="shared" si="112"/>
        <v>-11.94513758214819</v>
      </c>
      <c r="AE103">
        <f t="shared" si="113"/>
        <v>-0.85061753423112341</v>
      </c>
      <c r="AF103">
        <f t="shared" si="114"/>
        <v>212.98765721314254</v>
      </c>
      <c r="AG103">
        <v>0</v>
      </c>
      <c r="AH103">
        <v>0</v>
      </c>
      <c r="AI103">
        <f t="shared" si="115"/>
        <v>1</v>
      </c>
      <c r="AJ103">
        <f t="shared" si="116"/>
        <v>0</v>
      </c>
      <c r="AK103">
        <f t="shared" si="117"/>
        <v>51736.56073488589</v>
      </c>
      <c r="AL103" t="s">
        <v>415</v>
      </c>
      <c r="AM103">
        <v>6977.87</v>
      </c>
      <c r="AN103">
        <v>273.15280000000001</v>
      </c>
      <c r="AO103">
        <v>850.46774885301022</v>
      </c>
      <c r="AP103">
        <f t="shared" si="118"/>
        <v>0.67882050745793765</v>
      </c>
      <c r="AQ103">
        <v>-1.0323826813720729</v>
      </c>
      <c r="AR103" t="s">
        <v>783</v>
      </c>
      <c r="AS103">
        <v>7102.28</v>
      </c>
      <c r="AT103">
        <v>609.64239999999995</v>
      </c>
      <c r="AU103">
        <v>942.27470130456015</v>
      </c>
      <c r="AV103">
        <f t="shared" si="119"/>
        <v>0.35300990342204619</v>
      </c>
      <c r="AW103">
        <v>0.5</v>
      </c>
      <c r="AX103">
        <f t="shared" si="120"/>
        <v>1513.2518996511872</v>
      </c>
      <c r="AY103">
        <f t="shared" si="121"/>
        <v>49.335260740362791</v>
      </c>
      <c r="AZ103">
        <f t="shared" si="122"/>
        <v>267.09645347454676</v>
      </c>
      <c r="BA103">
        <f t="shared" si="123"/>
        <v>3.3284374817797932E-2</v>
      </c>
      <c r="BB103">
        <f t="shared" si="124"/>
        <v>-9.7431197425172381E-2</v>
      </c>
      <c r="BC103">
        <f t="shared" si="125"/>
        <v>281.97666840485965</v>
      </c>
      <c r="BD103" t="s">
        <v>784</v>
      </c>
      <c r="BE103">
        <v>453.04</v>
      </c>
      <c r="BF103">
        <f t="shared" si="126"/>
        <v>453.04</v>
      </c>
      <c r="BG103">
        <f t="shared" si="127"/>
        <v>0.51920602413205474</v>
      </c>
      <c r="BH103">
        <f t="shared" si="128"/>
        <v>0.67990332741644333</v>
      </c>
      <c r="BI103">
        <f t="shared" si="129"/>
        <v>-0.23100287465207922</v>
      </c>
      <c r="BJ103">
        <f t="shared" si="130"/>
        <v>0.49711764127887653</v>
      </c>
      <c r="BK103">
        <f t="shared" si="131"/>
        <v>-0.15902403468669721</v>
      </c>
      <c r="BL103">
        <f t="shared" si="132"/>
        <v>0.5052525930820192</v>
      </c>
      <c r="BM103">
        <f t="shared" si="133"/>
        <v>0.4947474069179808</v>
      </c>
      <c r="BN103">
        <v>11348</v>
      </c>
      <c r="BO103">
        <v>290.00000000000011</v>
      </c>
      <c r="BP103">
        <v>842.28</v>
      </c>
      <c r="BQ103">
        <v>275</v>
      </c>
      <c r="BR103">
        <v>7102.28</v>
      </c>
      <c r="BS103">
        <v>845.96</v>
      </c>
      <c r="BT103">
        <v>-3.68</v>
      </c>
      <c r="BU103">
        <v>300.00000000000011</v>
      </c>
      <c r="BV103">
        <v>38.299999999999997</v>
      </c>
      <c r="BW103">
        <v>942.27470130456015</v>
      </c>
      <c r="BX103">
        <v>1.785140144803252</v>
      </c>
      <c r="BY103">
        <v>-68.408827912068304</v>
      </c>
      <c r="BZ103">
        <v>1.0627128808379129</v>
      </c>
      <c r="CA103">
        <v>0.99328817097242528</v>
      </c>
      <c r="CB103">
        <v>-7.002698776418243E-3</v>
      </c>
      <c r="CC103">
        <v>289.99999999999989</v>
      </c>
      <c r="CD103">
        <v>850.64</v>
      </c>
      <c r="CE103">
        <v>685</v>
      </c>
      <c r="CF103">
        <v>7096.98</v>
      </c>
      <c r="CG103">
        <v>845.88</v>
      </c>
      <c r="CH103">
        <v>4.76</v>
      </c>
      <c r="CV103">
        <f t="shared" si="134"/>
        <v>1800.08</v>
      </c>
      <c r="CW103">
        <f t="shared" si="135"/>
        <v>1513.2518996511872</v>
      </c>
      <c r="CX103">
        <f t="shared" si="136"/>
        <v>0.84065813722233862</v>
      </c>
      <c r="CY103">
        <f t="shared" si="137"/>
        <v>0.19131627444467722</v>
      </c>
      <c r="CZ103">
        <v>5</v>
      </c>
      <c r="DA103">
        <v>0.5</v>
      </c>
      <c r="DB103" t="s">
        <v>418</v>
      </c>
      <c r="DC103">
        <v>2</v>
      </c>
      <c r="DD103">
        <v>1700166866.0999999</v>
      </c>
      <c r="DE103">
        <v>1197.5</v>
      </c>
      <c r="DF103">
        <v>1250.05</v>
      </c>
      <c r="DG103">
        <v>27.880800000000001</v>
      </c>
      <c r="DH103">
        <v>25.2667</v>
      </c>
      <c r="DI103">
        <v>1197.83</v>
      </c>
      <c r="DJ103">
        <v>27.876999999999999</v>
      </c>
      <c r="DK103">
        <v>500.05500000000001</v>
      </c>
      <c r="DL103">
        <v>98.814599999999999</v>
      </c>
      <c r="DM103">
        <v>9.9721000000000004E-2</v>
      </c>
      <c r="DN103">
        <v>29.906700000000001</v>
      </c>
      <c r="DO103">
        <v>29.977699999999999</v>
      </c>
      <c r="DP103">
        <v>999.9</v>
      </c>
      <c r="DQ103">
        <v>0</v>
      </c>
      <c r="DR103">
        <v>0</v>
      </c>
      <c r="DS103">
        <v>9997.5</v>
      </c>
      <c r="DT103">
        <v>0</v>
      </c>
      <c r="DU103">
        <v>277.303</v>
      </c>
      <c r="DV103">
        <v>-52.546100000000003</v>
      </c>
      <c r="DW103">
        <v>1231.8499999999999</v>
      </c>
      <c r="DX103">
        <v>1282.45</v>
      </c>
      <c r="DY103">
        <v>2.6141299999999998</v>
      </c>
      <c r="DZ103">
        <v>1250.05</v>
      </c>
      <c r="EA103">
        <v>25.2667</v>
      </c>
      <c r="EB103">
        <v>2.7550300000000001</v>
      </c>
      <c r="EC103">
        <v>2.4967199999999998</v>
      </c>
      <c r="ED103">
        <v>22.617100000000001</v>
      </c>
      <c r="EE103">
        <v>21.005099999999999</v>
      </c>
      <c r="EF103">
        <v>1800.08</v>
      </c>
      <c r="EG103">
        <v>0.97800399999999998</v>
      </c>
      <c r="EH103">
        <v>2.1996399999999999E-2</v>
      </c>
      <c r="EI103">
        <v>0</v>
      </c>
      <c r="EJ103">
        <v>609.45799999999997</v>
      </c>
      <c r="EK103">
        <v>5.0005300000000004</v>
      </c>
      <c r="EL103">
        <v>11884.8</v>
      </c>
      <c r="EM103">
        <v>16036</v>
      </c>
      <c r="EN103">
        <v>47.75</v>
      </c>
      <c r="EO103">
        <v>48.811999999999998</v>
      </c>
      <c r="EP103">
        <v>48.375</v>
      </c>
      <c r="EQ103">
        <v>48.25</v>
      </c>
      <c r="ER103">
        <v>48.936999999999998</v>
      </c>
      <c r="ES103">
        <v>1755.59</v>
      </c>
      <c r="ET103">
        <v>39.49</v>
      </c>
      <c r="EU103">
        <v>0</v>
      </c>
      <c r="EV103">
        <v>223.80000019073489</v>
      </c>
      <c r="EW103">
        <v>0</v>
      </c>
      <c r="EX103">
        <v>609.64239999999995</v>
      </c>
      <c r="EY103">
        <v>-0.48076922896138752</v>
      </c>
      <c r="EZ103">
        <v>-70.838461142787168</v>
      </c>
      <c r="FA103">
        <v>11889.7</v>
      </c>
      <c r="FB103">
        <v>15</v>
      </c>
      <c r="FC103">
        <v>1700166832.5999999</v>
      </c>
      <c r="FD103" t="s">
        <v>785</v>
      </c>
      <c r="FE103">
        <v>1700166832.5999999</v>
      </c>
      <c r="FF103">
        <v>1700166832.5999999</v>
      </c>
      <c r="FG103">
        <v>95</v>
      </c>
      <c r="FH103">
        <v>-0.377</v>
      </c>
      <c r="FI103">
        <v>-1E-3</v>
      </c>
      <c r="FJ103">
        <v>-0.35699999999999998</v>
      </c>
      <c r="FK103">
        <v>4.0000000000000001E-3</v>
      </c>
      <c r="FL103">
        <v>1250</v>
      </c>
      <c r="FM103">
        <v>25</v>
      </c>
      <c r="FN103">
        <v>0.06</v>
      </c>
      <c r="FO103">
        <v>0.04</v>
      </c>
      <c r="FP103">
        <v>49.188573961244018</v>
      </c>
      <c r="FQ103">
        <v>-0.53547383806858551</v>
      </c>
      <c r="FR103">
        <v>7.0673037121589039E-2</v>
      </c>
      <c r="FS103">
        <v>1</v>
      </c>
      <c r="FT103">
        <v>0.1810792840744897</v>
      </c>
      <c r="FU103">
        <v>-1.81385731434093E-2</v>
      </c>
      <c r="FV103">
        <v>1.8473352356735691E-3</v>
      </c>
      <c r="FW103">
        <v>1</v>
      </c>
      <c r="FX103">
        <v>2</v>
      </c>
      <c r="FY103">
        <v>2</v>
      </c>
      <c r="FZ103" t="s">
        <v>420</v>
      </c>
      <c r="GA103">
        <v>3.1236000000000002</v>
      </c>
      <c r="GB103">
        <v>2.7665799999999998</v>
      </c>
      <c r="GC103">
        <v>0.18768499999999999</v>
      </c>
      <c r="GD103">
        <v>0.19256400000000001</v>
      </c>
      <c r="GE103">
        <v>0.118521</v>
      </c>
      <c r="GF103">
        <v>0.11085100000000001</v>
      </c>
      <c r="GG103">
        <v>19341.2</v>
      </c>
      <c r="GH103">
        <v>20037.400000000001</v>
      </c>
      <c r="GI103">
        <v>23681.4</v>
      </c>
      <c r="GJ103">
        <v>25142.7</v>
      </c>
      <c r="GK103">
        <v>30067.4</v>
      </c>
      <c r="GL103">
        <v>31342.5</v>
      </c>
      <c r="GM103">
        <v>37754.699999999997</v>
      </c>
      <c r="GN103">
        <v>39134.9</v>
      </c>
      <c r="GO103">
        <v>2.1475499999999998</v>
      </c>
      <c r="GP103">
        <v>1.7681</v>
      </c>
      <c r="GQ103">
        <v>2.41958E-2</v>
      </c>
      <c r="GR103">
        <v>0</v>
      </c>
      <c r="GS103">
        <v>29.5838</v>
      </c>
      <c r="GT103">
        <v>999.9</v>
      </c>
      <c r="GU103">
        <v>41.2</v>
      </c>
      <c r="GV103">
        <v>39</v>
      </c>
      <c r="GW103">
        <v>29.296099999999999</v>
      </c>
      <c r="GX103">
        <v>60.889400000000002</v>
      </c>
      <c r="GY103">
        <v>26.686699999999998</v>
      </c>
      <c r="GZ103">
        <v>1</v>
      </c>
      <c r="HA103">
        <v>0.62701700000000005</v>
      </c>
      <c r="HB103">
        <v>2.3028200000000001</v>
      </c>
      <c r="HC103">
        <v>20.305399999999999</v>
      </c>
      <c r="HD103">
        <v>5.24979</v>
      </c>
      <c r="HE103">
        <v>12.010400000000001</v>
      </c>
      <c r="HF103">
        <v>4.9781000000000004</v>
      </c>
      <c r="HG103">
        <v>3.2923300000000002</v>
      </c>
      <c r="HH103">
        <v>9999</v>
      </c>
      <c r="HI103">
        <v>9999</v>
      </c>
      <c r="HJ103">
        <v>9999</v>
      </c>
      <c r="HK103">
        <v>999.9</v>
      </c>
      <c r="HL103">
        <v>1.8760699999999999</v>
      </c>
      <c r="HM103">
        <v>1.87687</v>
      </c>
      <c r="HN103">
        <v>1.8832</v>
      </c>
      <c r="HO103">
        <v>1.88629</v>
      </c>
      <c r="HP103">
        <v>1.8770800000000001</v>
      </c>
      <c r="HQ103">
        <v>1.8836299999999999</v>
      </c>
      <c r="HR103">
        <v>1.88263</v>
      </c>
      <c r="HS103">
        <v>1.8859900000000001</v>
      </c>
      <c r="HT103">
        <v>5</v>
      </c>
      <c r="HU103">
        <v>0</v>
      </c>
      <c r="HV103">
        <v>0</v>
      </c>
      <c r="HW103">
        <v>0</v>
      </c>
      <c r="HX103" t="s">
        <v>421</v>
      </c>
      <c r="HY103" t="s">
        <v>422</v>
      </c>
      <c r="HZ103" t="s">
        <v>423</v>
      </c>
      <c r="IA103" t="s">
        <v>424</v>
      </c>
      <c r="IB103" t="s">
        <v>424</v>
      </c>
      <c r="IC103" t="s">
        <v>423</v>
      </c>
      <c r="ID103">
        <v>0</v>
      </c>
      <c r="IE103">
        <v>100</v>
      </c>
      <c r="IF103">
        <v>100</v>
      </c>
      <c r="IG103">
        <v>-0.33</v>
      </c>
      <c r="IH103">
        <v>3.8E-3</v>
      </c>
      <c r="II103">
        <v>-7.2924939269251726E-3</v>
      </c>
      <c r="IJ103">
        <v>4.4610147972834149E-5</v>
      </c>
      <c r="IK103">
        <v>-2.082673137682459E-7</v>
      </c>
      <c r="IL103">
        <v>-4.0725795306076518E-11</v>
      </c>
      <c r="IM103">
        <v>3.8523809523773882E-3</v>
      </c>
      <c r="IN103">
        <v>0</v>
      </c>
      <c r="IO103">
        <v>0</v>
      </c>
      <c r="IP103">
        <v>0</v>
      </c>
      <c r="IQ103">
        <v>3</v>
      </c>
      <c r="IR103">
        <v>2179</v>
      </c>
      <c r="IS103">
        <v>0</v>
      </c>
      <c r="IT103">
        <v>22</v>
      </c>
      <c r="IU103">
        <v>0.6</v>
      </c>
      <c r="IV103">
        <v>0.6</v>
      </c>
      <c r="IW103">
        <v>2.5817899999999998</v>
      </c>
      <c r="IX103">
        <v>2.6684600000000001</v>
      </c>
      <c r="IY103">
        <v>1.6015600000000001</v>
      </c>
      <c r="IZ103">
        <v>2.32544</v>
      </c>
      <c r="JA103">
        <v>1.5502899999999999</v>
      </c>
      <c r="JB103">
        <v>2.49756</v>
      </c>
      <c r="JC103">
        <v>42.8583</v>
      </c>
      <c r="JD103">
        <v>24.218800000000002</v>
      </c>
      <c r="JE103">
        <v>18</v>
      </c>
      <c r="JF103">
        <v>614.56799999999998</v>
      </c>
      <c r="JG103">
        <v>398.20100000000002</v>
      </c>
      <c r="JH103">
        <v>27.017499999999998</v>
      </c>
      <c r="JI103">
        <v>34.650100000000002</v>
      </c>
      <c r="JJ103">
        <v>30.0001</v>
      </c>
      <c r="JK103">
        <v>34.678699999999999</v>
      </c>
      <c r="JL103">
        <v>34.663499999999999</v>
      </c>
      <c r="JM103">
        <v>51.661299999999997</v>
      </c>
      <c r="JN103">
        <v>19.646999999999998</v>
      </c>
      <c r="JO103">
        <v>59.400500000000001</v>
      </c>
      <c r="JP103">
        <v>27.009799999999998</v>
      </c>
      <c r="JQ103">
        <v>1250</v>
      </c>
      <c r="JR103">
        <v>25.249400000000001</v>
      </c>
      <c r="JS103">
        <v>98.468199999999996</v>
      </c>
      <c r="JT103">
        <v>99.031000000000006</v>
      </c>
    </row>
    <row r="104" spans="1:280" x14ac:dyDescent="0.25">
      <c r="A104">
        <v>88</v>
      </c>
      <c r="B104">
        <v>1700167003.5999999</v>
      </c>
      <c r="C104">
        <v>19130.099999904629</v>
      </c>
      <c r="D104" t="s">
        <v>786</v>
      </c>
      <c r="E104" t="s">
        <v>787</v>
      </c>
      <c r="F104" t="s">
        <v>412</v>
      </c>
      <c r="G104" t="s">
        <v>598</v>
      </c>
      <c r="H104" t="s">
        <v>774</v>
      </c>
      <c r="I104">
        <v>1700167003.5999999</v>
      </c>
      <c r="J104">
        <f t="shared" si="92"/>
        <v>2.4041976744138206E-3</v>
      </c>
      <c r="K104">
        <f t="shared" si="93"/>
        <v>2.4041976744138207</v>
      </c>
      <c r="L104">
        <f t="shared" si="94"/>
        <v>48.456200018667488</v>
      </c>
      <c r="M104">
        <f t="shared" si="95"/>
        <v>949.29499999999996</v>
      </c>
      <c r="N104">
        <f t="shared" si="96"/>
        <v>426.83357288035461</v>
      </c>
      <c r="O104">
        <f t="shared" si="97"/>
        <v>42.219718240315849</v>
      </c>
      <c r="P104">
        <f t="shared" si="98"/>
        <v>93.898348146515502</v>
      </c>
      <c r="Q104">
        <f t="shared" si="99"/>
        <v>0.15711948170064508</v>
      </c>
      <c r="R104">
        <f t="shared" si="100"/>
        <v>3.1279991818535073</v>
      </c>
      <c r="S104">
        <f t="shared" si="101"/>
        <v>0.15286306573832295</v>
      </c>
      <c r="T104">
        <f t="shared" si="102"/>
        <v>9.5912233850899614E-2</v>
      </c>
      <c r="U104">
        <f t="shared" si="103"/>
        <v>344.39029930238615</v>
      </c>
      <c r="V104">
        <f t="shared" si="104"/>
        <v>31.221660600025636</v>
      </c>
      <c r="W104">
        <f t="shared" si="105"/>
        <v>29.982199999999999</v>
      </c>
      <c r="X104">
        <f t="shared" si="106"/>
        <v>4.2560957545697571</v>
      </c>
      <c r="Y104">
        <f t="shared" si="107"/>
        <v>65.042808412402181</v>
      </c>
      <c r="Z104">
        <f t="shared" si="108"/>
        <v>2.7555398297322005</v>
      </c>
      <c r="AA104">
        <f t="shared" si="109"/>
        <v>4.2365019238726198</v>
      </c>
      <c r="AB104">
        <f t="shared" si="110"/>
        <v>1.5005559248375566</v>
      </c>
      <c r="AC104">
        <f t="shared" si="111"/>
        <v>-106.02511744164948</v>
      </c>
      <c r="AD104">
        <f t="shared" si="112"/>
        <v>-13.541526358934123</v>
      </c>
      <c r="AE104">
        <f t="shared" si="113"/>
        <v>-0.96203502533461294</v>
      </c>
      <c r="AF104">
        <f t="shared" si="114"/>
        <v>223.86162047646792</v>
      </c>
      <c r="AG104">
        <v>0</v>
      </c>
      <c r="AH104">
        <v>0</v>
      </c>
      <c r="AI104">
        <f t="shared" si="115"/>
        <v>1</v>
      </c>
      <c r="AJ104">
        <f t="shared" si="116"/>
        <v>0</v>
      </c>
      <c r="AK104">
        <f t="shared" si="117"/>
        <v>51923.159492790961</v>
      </c>
      <c r="AL104" t="s">
        <v>427</v>
      </c>
      <c r="AM104" t="s">
        <v>427</v>
      </c>
      <c r="AN104">
        <v>0</v>
      </c>
      <c r="AO104">
        <v>0</v>
      </c>
      <c r="AP104" t="e">
        <f t="shared" si="118"/>
        <v>#DIV/0!</v>
      </c>
      <c r="AQ104">
        <v>0</v>
      </c>
      <c r="AR104" t="s">
        <v>427</v>
      </c>
      <c r="AS104" t="s">
        <v>427</v>
      </c>
      <c r="AT104">
        <v>0</v>
      </c>
      <c r="AU104">
        <v>0</v>
      </c>
      <c r="AV104" t="e">
        <f t="shared" si="119"/>
        <v>#DIV/0!</v>
      </c>
      <c r="AW104">
        <v>0.5</v>
      </c>
      <c r="AX104">
        <f t="shared" si="120"/>
        <v>1513.2770996511931</v>
      </c>
      <c r="AY104">
        <f t="shared" si="121"/>
        <v>48.456200018667488</v>
      </c>
      <c r="AZ104" t="e">
        <f t="shared" si="122"/>
        <v>#DIV/0!</v>
      </c>
      <c r="BA104">
        <f t="shared" si="123"/>
        <v>3.2020705282486947E-2</v>
      </c>
      <c r="BB104" t="e">
        <f t="shared" si="124"/>
        <v>#DIV/0!</v>
      </c>
      <c r="BC104" t="e">
        <f t="shared" si="125"/>
        <v>#DIV/0!</v>
      </c>
      <c r="BD104" t="s">
        <v>427</v>
      </c>
      <c r="BE104">
        <v>0</v>
      </c>
      <c r="BF104" t="e">
        <f t="shared" si="126"/>
        <v>#DIV/0!</v>
      </c>
      <c r="BG104" t="e">
        <f t="shared" si="127"/>
        <v>#DIV/0!</v>
      </c>
      <c r="BH104" t="e">
        <f t="shared" si="128"/>
        <v>#DIV/0!</v>
      </c>
      <c r="BI104" t="e">
        <f t="shared" si="129"/>
        <v>#DIV/0!</v>
      </c>
      <c r="BJ104" t="e">
        <f t="shared" si="130"/>
        <v>#DIV/0!</v>
      </c>
      <c r="BK104" t="e">
        <f t="shared" si="131"/>
        <v>#DIV/0!</v>
      </c>
      <c r="BL104" t="e">
        <f t="shared" si="132"/>
        <v>#DIV/0!</v>
      </c>
      <c r="BM104" t="e">
        <f t="shared" si="133"/>
        <v>#DIV/0!</v>
      </c>
      <c r="BN104">
        <v>11348</v>
      </c>
      <c r="BO104">
        <v>290.00000000000011</v>
      </c>
      <c r="BP104">
        <v>842.28</v>
      </c>
      <c r="BQ104">
        <v>275</v>
      </c>
      <c r="BR104">
        <v>7102.28</v>
      </c>
      <c r="BS104">
        <v>845.96</v>
      </c>
      <c r="BT104">
        <v>-3.68</v>
      </c>
      <c r="BU104">
        <v>300.00000000000011</v>
      </c>
      <c r="BV104">
        <v>38.299999999999997</v>
      </c>
      <c r="BW104">
        <v>942.27470130456015</v>
      </c>
      <c r="BX104">
        <v>1.785140144803252</v>
      </c>
      <c r="BY104">
        <v>-68.408827912068304</v>
      </c>
      <c r="BZ104">
        <v>1.0627128808379129</v>
      </c>
      <c r="CA104">
        <v>0.99328817097242528</v>
      </c>
      <c r="CB104">
        <v>-7.002698776418243E-3</v>
      </c>
      <c r="CC104">
        <v>289.99999999999989</v>
      </c>
      <c r="CD104">
        <v>850.64</v>
      </c>
      <c r="CE104">
        <v>685</v>
      </c>
      <c r="CF104">
        <v>7096.98</v>
      </c>
      <c r="CG104">
        <v>845.88</v>
      </c>
      <c r="CH104">
        <v>4.76</v>
      </c>
      <c r="CV104">
        <f t="shared" si="134"/>
        <v>1800.11</v>
      </c>
      <c r="CW104">
        <f t="shared" si="135"/>
        <v>1513.2770996511931</v>
      </c>
      <c r="CX104">
        <f t="shared" si="136"/>
        <v>0.84065812625405845</v>
      </c>
      <c r="CY104">
        <f t="shared" si="137"/>
        <v>0.19131625250811682</v>
      </c>
      <c r="CZ104">
        <v>5</v>
      </c>
      <c r="DA104">
        <v>0.5</v>
      </c>
      <c r="DB104" t="s">
        <v>418</v>
      </c>
      <c r="DC104">
        <v>2</v>
      </c>
      <c r="DD104">
        <v>1700167003.5999999</v>
      </c>
      <c r="DE104">
        <v>949.29499999999996</v>
      </c>
      <c r="DF104">
        <v>1000.02</v>
      </c>
      <c r="DG104">
        <v>27.858000000000001</v>
      </c>
      <c r="DH104">
        <v>25.5214</v>
      </c>
      <c r="DI104">
        <v>949.59900000000005</v>
      </c>
      <c r="DJ104">
        <v>27.850200000000001</v>
      </c>
      <c r="DK104">
        <v>500.13299999999998</v>
      </c>
      <c r="DL104">
        <v>98.814099999999996</v>
      </c>
      <c r="DM104">
        <v>9.9670900000000007E-2</v>
      </c>
      <c r="DN104">
        <v>29.901900000000001</v>
      </c>
      <c r="DO104">
        <v>29.982199999999999</v>
      </c>
      <c r="DP104">
        <v>999.9</v>
      </c>
      <c r="DQ104">
        <v>0</v>
      </c>
      <c r="DR104">
        <v>0</v>
      </c>
      <c r="DS104">
        <v>10035</v>
      </c>
      <c r="DT104">
        <v>0</v>
      </c>
      <c r="DU104">
        <v>291.34899999999999</v>
      </c>
      <c r="DV104">
        <v>-50.720999999999997</v>
      </c>
      <c r="DW104">
        <v>976.49800000000005</v>
      </c>
      <c r="DX104">
        <v>1026.21</v>
      </c>
      <c r="DY104">
        <v>2.3366099999999999</v>
      </c>
      <c r="DZ104">
        <v>1000.02</v>
      </c>
      <c r="EA104">
        <v>25.5214</v>
      </c>
      <c r="EB104">
        <v>2.7527599999999999</v>
      </c>
      <c r="EC104">
        <v>2.5218699999999998</v>
      </c>
      <c r="ED104">
        <v>22.6035</v>
      </c>
      <c r="EE104">
        <v>21.168399999999998</v>
      </c>
      <c r="EF104">
        <v>1800.11</v>
      </c>
      <c r="EG104">
        <v>0.97800399999999998</v>
      </c>
      <c r="EH104">
        <v>2.1996399999999999E-2</v>
      </c>
      <c r="EI104">
        <v>0</v>
      </c>
      <c r="EJ104">
        <v>608.77200000000005</v>
      </c>
      <c r="EK104">
        <v>5.0005300000000004</v>
      </c>
      <c r="EL104">
        <v>11918.4</v>
      </c>
      <c r="EM104">
        <v>16036.2</v>
      </c>
      <c r="EN104">
        <v>47.686999999999998</v>
      </c>
      <c r="EO104">
        <v>48.75</v>
      </c>
      <c r="EP104">
        <v>48.311999999999998</v>
      </c>
      <c r="EQ104">
        <v>48.125</v>
      </c>
      <c r="ER104">
        <v>48.875</v>
      </c>
      <c r="ES104">
        <v>1755.62</v>
      </c>
      <c r="ET104">
        <v>39.49</v>
      </c>
      <c r="EU104">
        <v>0</v>
      </c>
      <c r="EV104">
        <v>135.60000014305109</v>
      </c>
      <c r="EW104">
        <v>0</v>
      </c>
      <c r="EX104">
        <v>608.66015384615389</v>
      </c>
      <c r="EY104">
        <v>4.772649148635584E-2</v>
      </c>
      <c r="EZ104">
        <v>228.44444468582981</v>
      </c>
      <c r="FA104">
        <v>11894.392307692309</v>
      </c>
      <c r="FB104">
        <v>15</v>
      </c>
      <c r="FC104">
        <v>1700166973.0999999</v>
      </c>
      <c r="FD104" t="s">
        <v>788</v>
      </c>
      <c r="FE104">
        <v>1700166973.0999999</v>
      </c>
      <c r="FF104">
        <v>1700166971.5999999</v>
      </c>
      <c r="FG104">
        <v>96</v>
      </c>
      <c r="FH104">
        <v>-0.11700000000000001</v>
      </c>
      <c r="FI104">
        <v>4.0000000000000001E-3</v>
      </c>
      <c r="FJ104">
        <v>-0.32900000000000001</v>
      </c>
      <c r="FK104">
        <v>8.0000000000000002E-3</v>
      </c>
      <c r="FL104">
        <v>1000</v>
      </c>
      <c r="FM104">
        <v>26</v>
      </c>
      <c r="FN104">
        <v>0.09</v>
      </c>
      <c r="FO104">
        <v>0.05</v>
      </c>
      <c r="FP104">
        <v>48.386804057824662</v>
      </c>
      <c r="FQ104">
        <v>-0.52144368020934706</v>
      </c>
      <c r="FR104">
        <v>6.5141769971496094E-2</v>
      </c>
      <c r="FS104">
        <v>1</v>
      </c>
      <c r="FT104">
        <v>0.15952543466428051</v>
      </c>
      <c r="FU104">
        <v>5.9353948088977466E-3</v>
      </c>
      <c r="FV104">
        <v>1.6417772654695861E-3</v>
      </c>
      <c r="FW104">
        <v>1</v>
      </c>
      <c r="FX104">
        <v>2</v>
      </c>
      <c r="FY104">
        <v>2</v>
      </c>
      <c r="FZ104" t="s">
        <v>420</v>
      </c>
      <c r="GA104">
        <v>3.1236999999999999</v>
      </c>
      <c r="GB104">
        <v>2.7668499999999998</v>
      </c>
      <c r="GC104">
        <v>0.16208900000000001</v>
      </c>
      <c r="GD104">
        <v>0.16747899999999999</v>
      </c>
      <c r="GE104">
        <v>0.11844399999999999</v>
      </c>
      <c r="GF104">
        <v>0.111634</v>
      </c>
      <c r="GG104">
        <v>19955.3</v>
      </c>
      <c r="GH104">
        <v>20664.900000000001</v>
      </c>
      <c r="GI104">
        <v>23684.799999999999</v>
      </c>
      <c r="GJ104">
        <v>25146.400000000001</v>
      </c>
      <c r="GK104">
        <v>30074.3</v>
      </c>
      <c r="GL104">
        <v>31320</v>
      </c>
      <c r="GM104">
        <v>37760</v>
      </c>
      <c r="GN104">
        <v>39141.199999999997</v>
      </c>
      <c r="GO104">
        <v>2.1473</v>
      </c>
      <c r="GP104">
        <v>1.7689999999999999</v>
      </c>
      <c r="GQ104">
        <v>3.3270599999999997E-2</v>
      </c>
      <c r="GR104">
        <v>0</v>
      </c>
      <c r="GS104">
        <v>29.4405</v>
      </c>
      <c r="GT104">
        <v>999.9</v>
      </c>
      <c r="GU104">
        <v>42</v>
      </c>
      <c r="GV104">
        <v>39</v>
      </c>
      <c r="GW104">
        <v>29.865500000000001</v>
      </c>
      <c r="GX104">
        <v>60.059399999999997</v>
      </c>
      <c r="GY104">
        <v>26.005600000000001</v>
      </c>
      <c r="GZ104">
        <v>1</v>
      </c>
      <c r="HA104">
        <v>0.62159299999999995</v>
      </c>
      <c r="HB104">
        <v>2.05986</v>
      </c>
      <c r="HC104">
        <v>20.309100000000001</v>
      </c>
      <c r="HD104">
        <v>5.2529300000000001</v>
      </c>
      <c r="HE104">
        <v>12.0101</v>
      </c>
      <c r="HF104">
        <v>4.9793000000000003</v>
      </c>
      <c r="HG104">
        <v>3.2930000000000001</v>
      </c>
      <c r="HH104">
        <v>9999</v>
      </c>
      <c r="HI104">
        <v>9999</v>
      </c>
      <c r="HJ104">
        <v>9999</v>
      </c>
      <c r="HK104">
        <v>999.9</v>
      </c>
      <c r="HL104">
        <v>1.8760699999999999</v>
      </c>
      <c r="HM104">
        <v>1.8769100000000001</v>
      </c>
      <c r="HN104">
        <v>1.8832199999999999</v>
      </c>
      <c r="HO104">
        <v>1.88629</v>
      </c>
      <c r="HP104">
        <v>1.8771199999999999</v>
      </c>
      <c r="HQ104">
        <v>1.8836999999999999</v>
      </c>
      <c r="HR104">
        <v>1.88262</v>
      </c>
      <c r="HS104">
        <v>1.8859900000000001</v>
      </c>
      <c r="HT104">
        <v>5</v>
      </c>
      <c r="HU104">
        <v>0</v>
      </c>
      <c r="HV104">
        <v>0</v>
      </c>
      <c r="HW104">
        <v>0</v>
      </c>
      <c r="HX104" t="s">
        <v>421</v>
      </c>
      <c r="HY104" t="s">
        <v>422</v>
      </c>
      <c r="HZ104" t="s">
        <v>423</v>
      </c>
      <c r="IA104" t="s">
        <v>424</v>
      </c>
      <c r="IB104" t="s">
        <v>424</v>
      </c>
      <c r="IC104" t="s">
        <v>423</v>
      </c>
      <c r="ID104">
        <v>0</v>
      </c>
      <c r="IE104">
        <v>100</v>
      </c>
      <c r="IF104">
        <v>100</v>
      </c>
      <c r="IG104">
        <v>-0.30399999999999999</v>
      </c>
      <c r="IH104">
        <v>7.7999999999999996E-3</v>
      </c>
      <c r="II104">
        <v>-0.12434788308085</v>
      </c>
      <c r="IJ104">
        <v>4.4610147972834149E-5</v>
      </c>
      <c r="IK104">
        <v>-2.082673137682459E-7</v>
      </c>
      <c r="IL104">
        <v>-4.0725795306076518E-11</v>
      </c>
      <c r="IM104">
        <v>7.830000000002002E-3</v>
      </c>
      <c r="IN104">
        <v>0</v>
      </c>
      <c r="IO104">
        <v>0</v>
      </c>
      <c r="IP104">
        <v>0</v>
      </c>
      <c r="IQ104">
        <v>3</v>
      </c>
      <c r="IR104">
        <v>2179</v>
      </c>
      <c r="IS104">
        <v>0</v>
      </c>
      <c r="IT104">
        <v>22</v>
      </c>
      <c r="IU104">
        <v>0.5</v>
      </c>
      <c r="IV104">
        <v>0.5</v>
      </c>
      <c r="IW104">
        <v>2.1508799999999999</v>
      </c>
      <c r="IX104">
        <v>2.67456</v>
      </c>
      <c r="IY104">
        <v>1.6015600000000001</v>
      </c>
      <c r="IZ104">
        <v>2.32544</v>
      </c>
      <c r="JA104">
        <v>1.5502899999999999</v>
      </c>
      <c r="JB104">
        <v>2.2973599999999998</v>
      </c>
      <c r="JC104">
        <v>42.831499999999998</v>
      </c>
      <c r="JD104">
        <v>24.210100000000001</v>
      </c>
      <c r="JE104">
        <v>18</v>
      </c>
      <c r="JF104">
        <v>614.28300000000002</v>
      </c>
      <c r="JG104">
        <v>398.71100000000001</v>
      </c>
      <c r="JH104">
        <v>27.157</v>
      </c>
      <c r="JI104">
        <v>34.614899999999999</v>
      </c>
      <c r="JJ104">
        <v>29.999700000000001</v>
      </c>
      <c r="JK104">
        <v>34.667400000000001</v>
      </c>
      <c r="JL104">
        <v>34.6541</v>
      </c>
      <c r="JM104">
        <v>43.051900000000003</v>
      </c>
      <c r="JN104">
        <v>21.212900000000001</v>
      </c>
      <c r="JO104">
        <v>62.84</v>
      </c>
      <c r="JP104">
        <v>27.167200000000001</v>
      </c>
      <c r="JQ104">
        <v>1000</v>
      </c>
      <c r="JR104">
        <v>25.5227</v>
      </c>
      <c r="JS104">
        <v>98.482100000000003</v>
      </c>
      <c r="JT104">
        <v>99.046199999999999</v>
      </c>
    </row>
    <row r="105" spans="1:280" x14ac:dyDescent="0.25">
      <c r="A105">
        <v>89</v>
      </c>
      <c r="B105">
        <v>1700167099.5999999</v>
      </c>
      <c r="C105">
        <v>19226.099999904629</v>
      </c>
      <c r="D105" t="s">
        <v>789</v>
      </c>
      <c r="E105" t="s">
        <v>790</v>
      </c>
      <c r="F105" t="s">
        <v>412</v>
      </c>
      <c r="G105" t="s">
        <v>598</v>
      </c>
      <c r="H105" t="s">
        <v>774</v>
      </c>
      <c r="I105">
        <v>1700167099.5999999</v>
      </c>
      <c r="J105">
        <f t="shared" si="92"/>
        <v>2.5559193929357228E-3</v>
      </c>
      <c r="K105">
        <f t="shared" si="93"/>
        <v>2.5559193929357229</v>
      </c>
      <c r="L105">
        <f t="shared" si="94"/>
        <v>46.391421216697729</v>
      </c>
      <c r="M105">
        <f t="shared" si="95"/>
        <v>701.83299999999997</v>
      </c>
      <c r="N105">
        <f t="shared" si="96"/>
        <v>239.51245366817253</v>
      </c>
      <c r="O105">
        <f t="shared" si="97"/>
        <v>23.69062156694541</v>
      </c>
      <c r="P105">
        <f t="shared" si="98"/>
        <v>69.419605333880995</v>
      </c>
      <c r="Q105">
        <f t="shared" si="99"/>
        <v>0.16895041146877871</v>
      </c>
      <c r="R105">
        <f t="shared" si="100"/>
        <v>3.1191405406507466</v>
      </c>
      <c r="S105">
        <f t="shared" si="101"/>
        <v>0.16402613170312411</v>
      </c>
      <c r="T105">
        <f t="shared" si="102"/>
        <v>0.10294680421314942</v>
      </c>
      <c r="U105">
        <f t="shared" si="103"/>
        <v>344.34849930230092</v>
      </c>
      <c r="V105">
        <f t="shared" si="104"/>
        <v>31.204569381665511</v>
      </c>
      <c r="W105">
        <f t="shared" si="105"/>
        <v>29.9785</v>
      </c>
      <c r="X105">
        <f t="shared" si="106"/>
        <v>4.2551911928940127</v>
      </c>
      <c r="Y105">
        <f t="shared" si="107"/>
        <v>65.288764148681338</v>
      </c>
      <c r="Z105">
        <f t="shared" si="108"/>
        <v>2.7686318981013005</v>
      </c>
      <c r="AA105">
        <f t="shared" si="109"/>
        <v>4.2405947396956813</v>
      </c>
      <c r="AB105">
        <f t="shared" si="110"/>
        <v>1.4865592947927122</v>
      </c>
      <c r="AC105">
        <f t="shared" si="111"/>
        <v>-112.71604522846538</v>
      </c>
      <c r="AD105">
        <f t="shared" si="112"/>
        <v>-10.055914468688133</v>
      </c>
      <c r="AE105">
        <f t="shared" si="113"/>
        <v>-0.71648101799998931</v>
      </c>
      <c r="AF105">
        <f t="shared" si="114"/>
        <v>220.86005858714745</v>
      </c>
      <c r="AG105">
        <v>0</v>
      </c>
      <c r="AH105">
        <v>0</v>
      </c>
      <c r="AI105">
        <f t="shared" si="115"/>
        <v>1</v>
      </c>
      <c r="AJ105">
        <f t="shared" si="116"/>
        <v>0</v>
      </c>
      <c r="AK105">
        <f t="shared" si="117"/>
        <v>51695.815619491586</v>
      </c>
      <c r="AL105" t="s">
        <v>415</v>
      </c>
      <c r="AM105">
        <v>6977.87</v>
      </c>
      <c r="AN105">
        <v>273.15280000000001</v>
      </c>
      <c r="AO105">
        <v>850.46774885301022</v>
      </c>
      <c r="AP105">
        <f t="shared" si="118"/>
        <v>0.67882050745793765</v>
      </c>
      <c r="AQ105">
        <v>-1.0323826813720729</v>
      </c>
      <c r="AR105" t="s">
        <v>791</v>
      </c>
      <c r="AS105">
        <v>7102.24</v>
      </c>
      <c r="AT105">
        <v>610.27815384615383</v>
      </c>
      <c r="AU105">
        <v>915.02198247793308</v>
      </c>
      <c r="AV105">
        <f t="shared" si="119"/>
        <v>0.3330453633545668</v>
      </c>
      <c r="AW105">
        <v>0.5</v>
      </c>
      <c r="AX105">
        <f t="shared" si="120"/>
        <v>1513.0922996511504</v>
      </c>
      <c r="AY105">
        <f t="shared" si="121"/>
        <v>46.391421216697729</v>
      </c>
      <c r="AZ105">
        <f t="shared" si="122"/>
        <v>251.96418736315724</v>
      </c>
      <c r="BA105">
        <f t="shared" si="123"/>
        <v>3.1342307345694348E-2</v>
      </c>
      <c r="BB105">
        <f t="shared" si="124"/>
        <v>-7.0549380081674343E-2</v>
      </c>
      <c r="BC105">
        <f t="shared" si="125"/>
        <v>279.48566972941086</v>
      </c>
      <c r="BD105" t="s">
        <v>792</v>
      </c>
      <c r="BE105">
        <v>449.63</v>
      </c>
      <c r="BF105">
        <f t="shared" si="126"/>
        <v>449.63</v>
      </c>
      <c r="BG105">
        <f t="shared" si="127"/>
        <v>0.50861289825805533</v>
      </c>
      <c r="BH105">
        <f t="shared" si="128"/>
        <v>0.65481108421593603</v>
      </c>
      <c r="BI105">
        <f t="shared" si="129"/>
        <v>-0.16104828901380572</v>
      </c>
      <c r="BJ105">
        <f t="shared" si="130"/>
        <v>0.47477560373800332</v>
      </c>
      <c r="BK105">
        <f t="shared" si="131"/>
        <v>-0.11181805313231022</v>
      </c>
      <c r="BL105">
        <f t="shared" si="132"/>
        <v>0.48244018885564249</v>
      </c>
      <c r="BM105">
        <f t="shared" si="133"/>
        <v>0.51755981114435756</v>
      </c>
      <c r="BN105">
        <v>11350</v>
      </c>
      <c r="BO105">
        <v>290.00000000000011</v>
      </c>
      <c r="BP105">
        <v>827.38</v>
      </c>
      <c r="BQ105">
        <v>295</v>
      </c>
      <c r="BR105">
        <v>7102.24</v>
      </c>
      <c r="BS105">
        <v>830.17</v>
      </c>
      <c r="BT105">
        <v>-2.79</v>
      </c>
      <c r="BU105">
        <v>300.00000000000011</v>
      </c>
      <c r="BV105">
        <v>38.299999999999997</v>
      </c>
      <c r="BW105">
        <v>915.02198247793308</v>
      </c>
      <c r="BX105">
        <v>1.920344892101798</v>
      </c>
      <c r="BY105">
        <v>-60.263988069521403</v>
      </c>
      <c r="BZ105">
        <v>1.14326494471368</v>
      </c>
      <c r="CA105">
        <v>0.99002342346229832</v>
      </c>
      <c r="CB105">
        <v>-7.0030218020022232E-3</v>
      </c>
      <c r="CC105">
        <v>289.99999999999989</v>
      </c>
      <c r="CD105">
        <v>838.22</v>
      </c>
      <c r="CE105">
        <v>845</v>
      </c>
      <c r="CF105">
        <v>7093.85</v>
      </c>
      <c r="CG105">
        <v>830.07</v>
      </c>
      <c r="CH105">
        <v>8.15</v>
      </c>
      <c r="CV105">
        <f t="shared" si="134"/>
        <v>1799.89</v>
      </c>
      <c r="CW105">
        <f t="shared" si="135"/>
        <v>1513.0922996511504</v>
      </c>
      <c r="CX105">
        <f t="shared" si="136"/>
        <v>0.84065820669660385</v>
      </c>
      <c r="CY105">
        <f t="shared" si="137"/>
        <v>0.19131641339320787</v>
      </c>
      <c r="CZ105">
        <v>5</v>
      </c>
      <c r="DA105">
        <v>0.5</v>
      </c>
      <c r="DB105" t="s">
        <v>418</v>
      </c>
      <c r="DC105">
        <v>2</v>
      </c>
      <c r="DD105">
        <v>1700167099.5999999</v>
      </c>
      <c r="DE105">
        <v>701.83299999999997</v>
      </c>
      <c r="DF105">
        <v>750.00900000000001</v>
      </c>
      <c r="DG105">
        <v>27.9909</v>
      </c>
      <c r="DH105">
        <v>25.507000000000001</v>
      </c>
      <c r="DI105">
        <v>702.20100000000002</v>
      </c>
      <c r="DJ105">
        <v>27.9846</v>
      </c>
      <c r="DK105">
        <v>500.096</v>
      </c>
      <c r="DL105">
        <v>98.811800000000005</v>
      </c>
      <c r="DM105">
        <v>0.10005699999999999</v>
      </c>
      <c r="DN105">
        <v>29.918700000000001</v>
      </c>
      <c r="DO105">
        <v>29.9785</v>
      </c>
      <c r="DP105">
        <v>999.9</v>
      </c>
      <c r="DQ105">
        <v>0</v>
      </c>
      <c r="DR105">
        <v>0</v>
      </c>
      <c r="DS105">
        <v>9990</v>
      </c>
      <c r="DT105">
        <v>0</v>
      </c>
      <c r="DU105">
        <v>256.91399999999999</v>
      </c>
      <c r="DV105">
        <v>-48.176099999999998</v>
      </c>
      <c r="DW105">
        <v>722.04399999999998</v>
      </c>
      <c r="DX105">
        <v>769.64099999999996</v>
      </c>
      <c r="DY105">
        <v>2.484</v>
      </c>
      <c r="DZ105">
        <v>750.00900000000001</v>
      </c>
      <c r="EA105">
        <v>25.507000000000001</v>
      </c>
      <c r="EB105">
        <v>2.7658399999999999</v>
      </c>
      <c r="EC105">
        <v>2.5203899999999999</v>
      </c>
      <c r="ED105">
        <v>22.6816</v>
      </c>
      <c r="EE105">
        <v>21.158799999999999</v>
      </c>
      <c r="EF105">
        <v>1799.89</v>
      </c>
      <c r="EG105">
        <v>0.97799999999999998</v>
      </c>
      <c r="EH105">
        <v>2.1999999999999999E-2</v>
      </c>
      <c r="EI105">
        <v>0</v>
      </c>
      <c r="EJ105">
        <v>610.08500000000004</v>
      </c>
      <c r="EK105">
        <v>5.0005300000000004</v>
      </c>
      <c r="EL105">
        <v>11868.3</v>
      </c>
      <c r="EM105">
        <v>16034.3</v>
      </c>
      <c r="EN105">
        <v>47.561999999999998</v>
      </c>
      <c r="EO105">
        <v>48.625</v>
      </c>
      <c r="EP105">
        <v>48.186999999999998</v>
      </c>
      <c r="EQ105">
        <v>48</v>
      </c>
      <c r="ER105">
        <v>48.75</v>
      </c>
      <c r="ES105">
        <v>1755.4</v>
      </c>
      <c r="ET105">
        <v>39.49</v>
      </c>
      <c r="EU105">
        <v>0</v>
      </c>
      <c r="EV105">
        <v>231.60000014305109</v>
      </c>
      <c r="EW105">
        <v>0</v>
      </c>
      <c r="EX105">
        <v>610.27815384615383</v>
      </c>
      <c r="EY105">
        <v>0.13305983373291591</v>
      </c>
      <c r="EZ105">
        <v>-22.082051307662969</v>
      </c>
      <c r="FA105">
        <v>11871.49615384615</v>
      </c>
      <c r="FB105">
        <v>15</v>
      </c>
      <c r="FC105">
        <v>1700167071.0999999</v>
      </c>
      <c r="FD105" t="s">
        <v>793</v>
      </c>
      <c r="FE105">
        <v>1700167064.5999999</v>
      </c>
      <c r="FF105">
        <v>1700167071.0999999</v>
      </c>
      <c r="FG105">
        <v>97</v>
      </c>
      <c r="FH105">
        <v>-0.158</v>
      </c>
      <c r="FI105">
        <v>-2E-3</v>
      </c>
      <c r="FJ105">
        <v>-0.38300000000000001</v>
      </c>
      <c r="FK105">
        <v>6.0000000000000001E-3</v>
      </c>
      <c r="FL105">
        <v>750</v>
      </c>
      <c r="FM105">
        <v>26</v>
      </c>
      <c r="FN105">
        <v>0.04</v>
      </c>
      <c r="FO105">
        <v>0.05</v>
      </c>
      <c r="FP105">
        <v>46.178267795559947</v>
      </c>
      <c r="FQ105">
        <v>0.62667626204470883</v>
      </c>
      <c r="FR105">
        <v>8.8745993438112847E-2</v>
      </c>
      <c r="FS105">
        <v>1</v>
      </c>
      <c r="FT105">
        <v>0.16800638118036521</v>
      </c>
      <c r="FU105">
        <v>3.3691619875701413E-2</v>
      </c>
      <c r="FV105">
        <v>3.2023729601779538E-3</v>
      </c>
      <c r="FW105">
        <v>1</v>
      </c>
      <c r="FX105">
        <v>2</v>
      </c>
      <c r="FY105">
        <v>2</v>
      </c>
      <c r="FZ105" t="s">
        <v>420</v>
      </c>
      <c r="GA105">
        <v>3.1234199999999999</v>
      </c>
      <c r="GB105">
        <v>2.7668400000000002</v>
      </c>
      <c r="GC105">
        <v>0.132742</v>
      </c>
      <c r="GD105">
        <v>0.13877100000000001</v>
      </c>
      <c r="GE105">
        <v>0.118848</v>
      </c>
      <c r="GF105">
        <v>0.111597</v>
      </c>
      <c r="GG105">
        <v>20660.099999999999</v>
      </c>
      <c r="GH105">
        <v>21384</v>
      </c>
      <c r="GI105">
        <v>23689.8</v>
      </c>
      <c r="GJ105">
        <v>25152</v>
      </c>
      <c r="GK105">
        <v>30066.7</v>
      </c>
      <c r="GL105">
        <v>31328.7</v>
      </c>
      <c r="GM105">
        <v>37767.599999999999</v>
      </c>
      <c r="GN105">
        <v>39150.400000000001</v>
      </c>
      <c r="GO105">
        <v>2.14778</v>
      </c>
      <c r="GP105">
        <v>1.76922</v>
      </c>
      <c r="GQ105">
        <v>3.6656899999999999E-2</v>
      </c>
      <c r="GR105">
        <v>0</v>
      </c>
      <c r="GS105">
        <v>29.381699999999999</v>
      </c>
      <c r="GT105">
        <v>999.9</v>
      </c>
      <c r="GU105">
        <v>42.4</v>
      </c>
      <c r="GV105">
        <v>39</v>
      </c>
      <c r="GW105">
        <v>30.149899999999999</v>
      </c>
      <c r="GX105">
        <v>60.749400000000001</v>
      </c>
      <c r="GY105">
        <v>26.169899999999998</v>
      </c>
      <c r="GZ105">
        <v>1</v>
      </c>
      <c r="HA105">
        <v>0.61278999999999995</v>
      </c>
      <c r="HB105">
        <v>1.9830099999999999</v>
      </c>
      <c r="HC105">
        <v>20.309899999999999</v>
      </c>
      <c r="HD105">
        <v>5.2529300000000001</v>
      </c>
      <c r="HE105">
        <v>12.010400000000001</v>
      </c>
      <c r="HF105">
        <v>4.9794</v>
      </c>
      <c r="HG105">
        <v>3.2930000000000001</v>
      </c>
      <c r="HH105">
        <v>9999</v>
      </c>
      <c r="HI105">
        <v>9999</v>
      </c>
      <c r="HJ105">
        <v>9999</v>
      </c>
      <c r="HK105">
        <v>999.9</v>
      </c>
      <c r="HL105">
        <v>1.8760699999999999</v>
      </c>
      <c r="HM105">
        <v>1.8769100000000001</v>
      </c>
      <c r="HN105">
        <v>1.8832199999999999</v>
      </c>
      <c r="HO105">
        <v>1.88629</v>
      </c>
      <c r="HP105">
        <v>1.87714</v>
      </c>
      <c r="HQ105">
        <v>1.8836999999999999</v>
      </c>
      <c r="HR105">
        <v>1.88262</v>
      </c>
      <c r="HS105">
        <v>1.8859900000000001</v>
      </c>
      <c r="HT105">
        <v>5</v>
      </c>
      <c r="HU105">
        <v>0</v>
      </c>
      <c r="HV105">
        <v>0</v>
      </c>
      <c r="HW105">
        <v>0</v>
      </c>
      <c r="HX105" t="s">
        <v>421</v>
      </c>
      <c r="HY105" t="s">
        <v>422</v>
      </c>
      <c r="HZ105" t="s">
        <v>423</v>
      </c>
      <c r="IA105" t="s">
        <v>424</v>
      </c>
      <c r="IB105" t="s">
        <v>424</v>
      </c>
      <c r="IC105" t="s">
        <v>423</v>
      </c>
      <c r="ID105">
        <v>0</v>
      </c>
      <c r="IE105">
        <v>100</v>
      </c>
      <c r="IF105">
        <v>100</v>
      </c>
      <c r="IG105">
        <v>-0.36799999999999999</v>
      </c>
      <c r="IH105">
        <v>6.3E-3</v>
      </c>
      <c r="II105">
        <v>-0.2820350267234632</v>
      </c>
      <c r="IJ105">
        <v>4.4610147972834149E-5</v>
      </c>
      <c r="IK105">
        <v>-2.082673137682459E-7</v>
      </c>
      <c r="IL105">
        <v>-4.0725795306076518E-11</v>
      </c>
      <c r="IM105">
        <v>6.3300000000090506E-3</v>
      </c>
      <c r="IN105">
        <v>0</v>
      </c>
      <c r="IO105">
        <v>0</v>
      </c>
      <c r="IP105">
        <v>0</v>
      </c>
      <c r="IQ105">
        <v>3</v>
      </c>
      <c r="IR105">
        <v>2179</v>
      </c>
      <c r="IS105">
        <v>0</v>
      </c>
      <c r="IT105">
        <v>22</v>
      </c>
      <c r="IU105">
        <v>0.6</v>
      </c>
      <c r="IV105">
        <v>0.5</v>
      </c>
      <c r="IW105">
        <v>1.70044</v>
      </c>
      <c r="IX105">
        <v>2.6672400000000001</v>
      </c>
      <c r="IY105">
        <v>1.6003400000000001</v>
      </c>
      <c r="IZ105">
        <v>2.32422</v>
      </c>
      <c r="JA105">
        <v>1.5502899999999999</v>
      </c>
      <c r="JB105">
        <v>2.5</v>
      </c>
      <c r="JC105">
        <v>42.777799999999999</v>
      </c>
      <c r="JD105">
        <v>24.218800000000002</v>
      </c>
      <c r="JE105">
        <v>18</v>
      </c>
      <c r="JF105">
        <v>614.23299999999995</v>
      </c>
      <c r="JG105">
        <v>398.59</v>
      </c>
      <c r="JH105">
        <v>27.205500000000001</v>
      </c>
      <c r="JI105">
        <v>34.542700000000004</v>
      </c>
      <c r="JJ105">
        <v>29.999700000000001</v>
      </c>
      <c r="JK105">
        <v>34.624200000000002</v>
      </c>
      <c r="JL105">
        <v>34.613100000000003</v>
      </c>
      <c r="JM105">
        <v>34.029400000000003</v>
      </c>
      <c r="JN105">
        <v>22.164999999999999</v>
      </c>
      <c r="JO105">
        <v>63.752800000000001</v>
      </c>
      <c r="JP105">
        <v>27.214500000000001</v>
      </c>
      <c r="JQ105">
        <v>750</v>
      </c>
      <c r="JR105">
        <v>25.409500000000001</v>
      </c>
      <c r="JS105">
        <v>98.502399999999994</v>
      </c>
      <c r="JT105">
        <v>99.069100000000006</v>
      </c>
    </row>
    <row r="106" spans="1:280" x14ac:dyDescent="0.25">
      <c r="A106">
        <v>90</v>
      </c>
      <c r="B106">
        <v>1700167270.5999999</v>
      </c>
      <c r="C106">
        <v>19397.099999904629</v>
      </c>
      <c r="D106" t="s">
        <v>794</v>
      </c>
      <c r="E106" t="s">
        <v>795</v>
      </c>
      <c r="F106" t="s">
        <v>412</v>
      </c>
      <c r="G106" t="s">
        <v>598</v>
      </c>
      <c r="H106" t="s">
        <v>774</v>
      </c>
      <c r="I106">
        <v>1700167270.5999999</v>
      </c>
      <c r="J106">
        <f t="shared" si="92"/>
        <v>2.979256232055368E-3</v>
      </c>
      <c r="K106">
        <f t="shared" si="93"/>
        <v>2.9792562320553682</v>
      </c>
      <c r="L106">
        <f t="shared" si="94"/>
        <v>45.019884337080761</v>
      </c>
      <c r="M106">
        <f t="shared" si="95"/>
        <v>553.41600000000005</v>
      </c>
      <c r="N106">
        <f t="shared" si="96"/>
        <v>172.25896933174013</v>
      </c>
      <c r="O106">
        <f t="shared" si="97"/>
        <v>17.038464394721512</v>
      </c>
      <c r="P106">
        <f t="shared" si="98"/>
        <v>54.739435908907204</v>
      </c>
      <c r="Q106">
        <f t="shared" si="99"/>
        <v>0.19938164259042535</v>
      </c>
      <c r="R106">
        <f t="shared" si="100"/>
        <v>3.1236714449708871</v>
      </c>
      <c r="S106">
        <f t="shared" si="101"/>
        <v>0.19257175102422019</v>
      </c>
      <c r="T106">
        <f t="shared" si="102"/>
        <v>0.12094980930476064</v>
      </c>
      <c r="U106">
        <f t="shared" si="103"/>
        <v>344.40169930240944</v>
      </c>
      <c r="V106">
        <f t="shared" si="104"/>
        <v>31.171268921841932</v>
      </c>
      <c r="W106">
        <f t="shared" si="105"/>
        <v>29.987400000000001</v>
      </c>
      <c r="X106">
        <f t="shared" si="106"/>
        <v>4.2573673136991612</v>
      </c>
      <c r="Y106">
        <f t="shared" si="107"/>
        <v>65.323984793278512</v>
      </c>
      <c r="Z106">
        <f t="shared" si="108"/>
        <v>2.7815612863667201</v>
      </c>
      <c r="AA106">
        <f t="shared" si="109"/>
        <v>4.2581010560962103</v>
      </c>
      <c r="AB106">
        <f t="shared" si="110"/>
        <v>1.4758060273324412</v>
      </c>
      <c r="AC106">
        <f t="shared" si="111"/>
        <v>-131.38519983364174</v>
      </c>
      <c r="AD106">
        <f t="shared" si="112"/>
        <v>0.50521012482383054</v>
      </c>
      <c r="AE106">
        <f t="shared" si="113"/>
        <v>3.5958209729552673E-2</v>
      </c>
      <c r="AF106">
        <f t="shared" si="114"/>
        <v>213.55766780332107</v>
      </c>
      <c r="AG106">
        <v>0</v>
      </c>
      <c r="AH106">
        <v>0</v>
      </c>
      <c r="AI106">
        <f t="shared" si="115"/>
        <v>1</v>
      </c>
      <c r="AJ106">
        <f t="shared" si="116"/>
        <v>0</v>
      </c>
      <c r="AK106">
        <f t="shared" si="117"/>
        <v>51798.301190596656</v>
      </c>
      <c r="AL106" t="s">
        <v>427</v>
      </c>
      <c r="AM106" t="s">
        <v>427</v>
      </c>
      <c r="AN106">
        <v>0</v>
      </c>
      <c r="AO106">
        <v>0</v>
      </c>
      <c r="AP106" t="e">
        <f t="shared" si="118"/>
        <v>#DIV/0!</v>
      </c>
      <c r="AQ106">
        <v>0</v>
      </c>
      <c r="AR106" t="s">
        <v>427</v>
      </c>
      <c r="AS106" t="s">
        <v>427</v>
      </c>
      <c r="AT106">
        <v>0</v>
      </c>
      <c r="AU106">
        <v>0</v>
      </c>
      <c r="AV106" t="e">
        <f t="shared" si="119"/>
        <v>#DIV/0!</v>
      </c>
      <c r="AW106">
        <v>0.5</v>
      </c>
      <c r="AX106">
        <f t="shared" si="120"/>
        <v>1513.3274996512046</v>
      </c>
      <c r="AY106">
        <f t="shared" si="121"/>
        <v>45.019884337080761</v>
      </c>
      <c r="AZ106" t="e">
        <f t="shared" si="122"/>
        <v>#DIV/0!</v>
      </c>
      <c r="BA106">
        <f t="shared" si="123"/>
        <v>2.9748936927041274E-2</v>
      </c>
      <c r="BB106" t="e">
        <f t="shared" si="124"/>
        <v>#DIV/0!</v>
      </c>
      <c r="BC106" t="e">
        <f t="shared" si="125"/>
        <v>#DIV/0!</v>
      </c>
      <c r="BD106" t="s">
        <v>427</v>
      </c>
      <c r="BE106">
        <v>0</v>
      </c>
      <c r="BF106" t="e">
        <f t="shared" si="126"/>
        <v>#DIV/0!</v>
      </c>
      <c r="BG106" t="e">
        <f t="shared" si="127"/>
        <v>#DIV/0!</v>
      </c>
      <c r="BH106" t="e">
        <f t="shared" si="128"/>
        <v>#DIV/0!</v>
      </c>
      <c r="BI106" t="e">
        <f t="shared" si="129"/>
        <v>#DIV/0!</v>
      </c>
      <c r="BJ106" t="e">
        <f t="shared" si="130"/>
        <v>#DIV/0!</v>
      </c>
      <c r="BK106" t="e">
        <f t="shared" si="131"/>
        <v>#DIV/0!</v>
      </c>
      <c r="BL106" t="e">
        <f t="shared" si="132"/>
        <v>#DIV/0!</v>
      </c>
      <c r="BM106" t="e">
        <f t="shared" si="133"/>
        <v>#DIV/0!</v>
      </c>
      <c r="BN106">
        <v>11350</v>
      </c>
      <c r="BO106">
        <v>290.00000000000011</v>
      </c>
      <c r="BP106">
        <v>827.38</v>
      </c>
      <c r="BQ106">
        <v>295</v>
      </c>
      <c r="BR106">
        <v>7102.24</v>
      </c>
      <c r="BS106">
        <v>830.17</v>
      </c>
      <c r="BT106">
        <v>-2.79</v>
      </c>
      <c r="BU106">
        <v>300.00000000000011</v>
      </c>
      <c r="BV106">
        <v>38.299999999999997</v>
      </c>
      <c r="BW106">
        <v>915.02198247793308</v>
      </c>
      <c r="BX106">
        <v>1.920344892101798</v>
      </c>
      <c r="BY106">
        <v>-60.263988069521403</v>
      </c>
      <c r="BZ106">
        <v>1.14326494471368</v>
      </c>
      <c r="CA106">
        <v>0.99002342346229832</v>
      </c>
      <c r="CB106">
        <v>-7.0030218020022232E-3</v>
      </c>
      <c r="CC106">
        <v>289.99999999999989</v>
      </c>
      <c r="CD106">
        <v>838.22</v>
      </c>
      <c r="CE106">
        <v>845</v>
      </c>
      <c r="CF106">
        <v>7093.85</v>
      </c>
      <c r="CG106">
        <v>830.07</v>
      </c>
      <c r="CH106">
        <v>8.15</v>
      </c>
      <c r="CV106">
        <f t="shared" si="134"/>
        <v>1800.17</v>
      </c>
      <c r="CW106">
        <f t="shared" si="135"/>
        <v>1513.3274996512046</v>
      </c>
      <c r="CX106">
        <f t="shared" si="136"/>
        <v>0.84065810431859467</v>
      </c>
      <c r="CY106">
        <f t="shared" si="137"/>
        <v>0.19131620863718951</v>
      </c>
      <c r="CZ106">
        <v>5</v>
      </c>
      <c r="DA106">
        <v>0.5</v>
      </c>
      <c r="DB106" t="s">
        <v>418</v>
      </c>
      <c r="DC106">
        <v>2</v>
      </c>
      <c r="DD106">
        <v>1700167270.5999999</v>
      </c>
      <c r="DE106">
        <v>553.41600000000005</v>
      </c>
      <c r="DF106">
        <v>600.077</v>
      </c>
      <c r="DG106">
        <v>28.121600000000001</v>
      </c>
      <c r="DH106">
        <v>25.226600000000001</v>
      </c>
      <c r="DI106">
        <v>553.65700000000004</v>
      </c>
      <c r="DJ106">
        <v>28.119</v>
      </c>
      <c r="DK106">
        <v>500.08199999999999</v>
      </c>
      <c r="DL106">
        <v>98.811999999999998</v>
      </c>
      <c r="DM106">
        <v>9.9914199999999995E-2</v>
      </c>
      <c r="DN106">
        <v>29.990400000000001</v>
      </c>
      <c r="DO106">
        <v>29.987400000000001</v>
      </c>
      <c r="DP106">
        <v>999.9</v>
      </c>
      <c r="DQ106">
        <v>0</v>
      </c>
      <c r="DR106">
        <v>0</v>
      </c>
      <c r="DS106">
        <v>10013.1</v>
      </c>
      <c r="DT106">
        <v>0</v>
      </c>
      <c r="DU106">
        <v>234.45599999999999</v>
      </c>
      <c r="DV106">
        <v>-46.661299999999997</v>
      </c>
      <c r="DW106">
        <v>569.42899999999997</v>
      </c>
      <c r="DX106">
        <v>615.60699999999997</v>
      </c>
      <c r="DY106">
        <v>2.895</v>
      </c>
      <c r="DZ106">
        <v>600.077</v>
      </c>
      <c r="EA106">
        <v>25.226600000000001</v>
      </c>
      <c r="EB106">
        <v>2.7787500000000001</v>
      </c>
      <c r="EC106">
        <v>2.4926900000000001</v>
      </c>
      <c r="ED106">
        <v>22.758400000000002</v>
      </c>
      <c r="EE106">
        <v>20.9788</v>
      </c>
      <c r="EF106">
        <v>1800.17</v>
      </c>
      <c r="EG106">
        <v>0.97800399999999998</v>
      </c>
      <c r="EH106">
        <v>2.1996399999999999E-2</v>
      </c>
      <c r="EI106">
        <v>0</v>
      </c>
      <c r="EJ106">
        <v>612.44500000000005</v>
      </c>
      <c r="EK106">
        <v>5.0005300000000004</v>
      </c>
      <c r="EL106">
        <v>11859.8</v>
      </c>
      <c r="EM106">
        <v>16036.8</v>
      </c>
      <c r="EN106">
        <v>47.5</v>
      </c>
      <c r="EO106">
        <v>48.561999999999998</v>
      </c>
      <c r="EP106">
        <v>48.125</v>
      </c>
      <c r="EQ106">
        <v>47.875</v>
      </c>
      <c r="ER106">
        <v>48.686999999999998</v>
      </c>
      <c r="ES106">
        <v>1755.68</v>
      </c>
      <c r="ET106">
        <v>39.49</v>
      </c>
      <c r="EU106">
        <v>0</v>
      </c>
      <c r="EV106">
        <v>168.79999995231631</v>
      </c>
      <c r="EW106">
        <v>0</v>
      </c>
      <c r="EX106">
        <v>612.31984615384613</v>
      </c>
      <c r="EY106">
        <v>-6.8512820738565627E-2</v>
      </c>
      <c r="EZ106">
        <v>-35.876923110390663</v>
      </c>
      <c r="FA106">
        <v>11863.16923076923</v>
      </c>
      <c r="FB106">
        <v>15</v>
      </c>
      <c r="FC106">
        <v>1700167171.5999999</v>
      </c>
      <c r="FD106" t="s">
        <v>796</v>
      </c>
      <c r="FE106">
        <v>1700167166.5999999</v>
      </c>
      <c r="FF106">
        <v>1700167171.5999999</v>
      </c>
      <c r="FG106">
        <v>98</v>
      </c>
      <c r="FH106">
        <v>8.5999999999999993E-2</v>
      </c>
      <c r="FI106">
        <v>-4.0000000000000001E-3</v>
      </c>
      <c r="FJ106">
        <v>-0.253</v>
      </c>
      <c r="FK106">
        <v>3.0000000000000001E-3</v>
      </c>
      <c r="FL106">
        <v>600</v>
      </c>
      <c r="FM106">
        <v>25</v>
      </c>
      <c r="FN106">
        <v>0.08</v>
      </c>
      <c r="FO106">
        <v>0.05</v>
      </c>
      <c r="FP106">
        <v>44.852461744537869</v>
      </c>
      <c r="FQ106">
        <v>0.52796591821476968</v>
      </c>
      <c r="FR106">
        <v>5.1009687662266462E-2</v>
      </c>
      <c r="FS106">
        <v>1</v>
      </c>
      <c r="FT106">
        <v>0.1974561173469972</v>
      </c>
      <c r="FU106">
        <v>1.6379895693779491E-2</v>
      </c>
      <c r="FV106">
        <v>1.2478496974692849E-3</v>
      </c>
      <c r="FW106">
        <v>1</v>
      </c>
      <c r="FX106">
        <v>2</v>
      </c>
      <c r="FY106">
        <v>2</v>
      </c>
      <c r="FZ106" t="s">
        <v>420</v>
      </c>
      <c r="GA106">
        <v>3.1231</v>
      </c>
      <c r="GB106">
        <v>2.7669000000000001</v>
      </c>
      <c r="GC106">
        <v>0.112483</v>
      </c>
      <c r="GD106">
        <v>0.11910800000000001</v>
      </c>
      <c r="GE106">
        <v>0.119266</v>
      </c>
      <c r="GF106">
        <v>0.11075699999999999</v>
      </c>
      <c r="GG106">
        <v>21147.9</v>
      </c>
      <c r="GH106">
        <v>21877.8</v>
      </c>
      <c r="GI106">
        <v>23694.799999999999</v>
      </c>
      <c r="GJ106">
        <v>25157.200000000001</v>
      </c>
      <c r="GK106">
        <v>30058.6</v>
      </c>
      <c r="GL106">
        <v>31364</v>
      </c>
      <c r="GM106">
        <v>37775.1</v>
      </c>
      <c r="GN106">
        <v>39157.300000000003</v>
      </c>
      <c r="GO106">
        <v>2.1496</v>
      </c>
      <c r="GP106">
        <v>1.7706500000000001</v>
      </c>
      <c r="GQ106">
        <v>3.44217E-2</v>
      </c>
      <c r="GR106">
        <v>0</v>
      </c>
      <c r="GS106">
        <v>29.427</v>
      </c>
      <c r="GT106">
        <v>999.9</v>
      </c>
      <c r="GU106">
        <v>42.8</v>
      </c>
      <c r="GV106">
        <v>38.9</v>
      </c>
      <c r="GW106">
        <v>30.271999999999998</v>
      </c>
      <c r="GX106">
        <v>59.939399999999999</v>
      </c>
      <c r="GY106">
        <v>26.5625</v>
      </c>
      <c r="GZ106">
        <v>1</v>
      </c>
      <c r="HA106">
        <v>0.60304599999999997</v>
      </c>
      <c r="HB106">
        <v>1.8685099999999999</v>
      </c>
      <c r="HC106">
        <v>20.311</v>
      </c>
      <c r="HD106">
        <v>5.2524800000000003</v>
      </c>
      <c r="HE106">
        <v>12.0108</v>
      </c>
      <c r="HF106">
        <v>4.9793000000000003</v>
      </c>
      <c r="HG106">
        <v>3.2930000000000001</v>
      </c>
      <c r="HH106">
        <v>9999</v>
      </c>
      <c r="HI106">
        <v>9999</v>
      </c>
      <c r="HJ106">
        <v>9999</v>
      </c>
      <c r="HK106">
        <v>999.9</v>
      </c>
      <c r="HL106">
        <v>1.8760699999999999</v>
      </c>
      <c r="HM106">
        <v>1.8768499999999999</v>
      </c>
      <c r="HN106">
        <v>1.88324</v>
      </c>
      <c r="HO106">
        <v>1.88629</v>
      </c>
      <c r="HP106">
        <v>1.8770899999999999</v>
      </c>
      <c r="HQ106">
        <v>1.88368</v>
      </c>
      <c r="HR106">
        <v>1.88263</v>
      </c>
      <c r="HS106">
        <v>1.8859900000000001</v>
      </c>
      <c r="HT106">
        <v>5</v>
      </c>
      <c r="HU106">
        <v>0</v>
      </c>
      <c r="HV106">
        <v>0</v>
      </c>
      <c r="HW106">
        <v>0</v>
      </c>
      <c r="HX106" t="s">
        <v>421</v>
      </c>
      <c r="HY106" t="s">
        <v>422</v>
      </c>
      <c r="HZ106" t="s">
        <v>423</v>
      </c>
      <c r="IA106" t="s">
        <v>424</v>
      </c>
      <c r="IB106" t="s">
        <v>424</v>
      </c>
      <c r="IC106" t="s">
        <v>423</v>
      </c>
      <c r="ID106">
        <v>0</v>
      </c>
      <c r="IE106">
        <v>100</v>
      </c>
      <c r="IF106">
        <v>100</v>
      </c>
      <c r="IG106">
        <v>-0.24099999999999999</v>
      </c>
      <c r="IH106">
        <v>2.5999999999999999E-3</v>
      </c>
      <c r="II106">
        <v>-0.1956179834687117</v>
      </c>
      <c r="IJ106">
        <v>4.4610147972834149E-5</v>
      </c>
      <c r="IK106">
        <v>-2.082673137682459E-7</v>
      </c>
      <c r="IL106">
        <v>-4.0725795306076518E-11</v>
      </c>
      <c r="IM106">
        <v>2.5550000000009732E-3</v>
      </c>
      <c r="IN106">
        <v>0</v>
      </c>
      <c r="IO106">
        <v>0</v>
      </c>
      <c r="IP106">
        <v>0</v>
      </c>
      <c r="IQ106">
        <v>3</v>
      </c>
      <c r="IR106">
        <v>2179</v>
      </c>
      <c r="IS106">
        <v>0</v>
      </c>
      <c r="IT106">
        <v>22</v>
      </c>
      <c r="IU106">
        <v>1.7</v>
      </c>
      <c r="IV106">
        <v>1.6</v>
      </c>
      <c r="IW106">
        <v>1.4184600000000001</v>
      </c>
      <c r="IX106">
        <v>2.67334</v>
      </c>
      <c r="IY106">
        <v>1.6015600000000001</v>
      </c>
      <c r="IZ106">
        <v>2.32544</v>
      </c>
      <c r="JA106">
        <v>1.5502899999999999</v>
      </c>
      <c r="JB106">
        <v>2.50244</v>
      </c>
      <c r="JC106">
        <v>42.724200000000003</v>
      </c>
      <c r="JD106">
        <v>24.218800000000002</v>
      </c>
      <c r="JE106">
        <v>18</v>
      </c>
      <c r="JF106">
        <v>614.81899999999996</v>
      </c>
      <c r="JG106">
        <v>398.988</v>
      </c>
      <c r="JH106">
        <v>27.408200000000001</v>
      </c>
      <c r="JI106">
        <v>34.443300000000001</v>
      </c>
      <c r="JJ106">
        <v>29.9999</v>
      </c>
      <c r="JK106">
        <v>34.543399999999998</v>
      </c>
      <c r="JL106">
        <v>34.534599999999998</v>
      </c>
      <c r="JM106">
        <v>28.373899999999999</v>
      </c>
      <c r="JN106">
        <v>23.531500000000001</v>
      </c>
      <c r="JO106">
        <v>64.708200000000005</v>
      </c>
      <c r="JP106">
        <v>27.408000000000001</v>
      </c>
      <c r="JQ106">
        <v>600</v>
      </c>
      <c r="JR106">
        <v>25.1282</v>
      </c>
      <c r="JS106">
        <v>98.522499999999994</v>
      </c>
      <c r="JT106">
        <v>99.087699999999998</v>
      </c>
    </row>
    <row r="107" spans="1:280" x14ac:dyDescent="0.25">
      <c r="A107">
        <v>91</v>
      </c>
      <c r="B107">
        <v>1700167434.0999999</v>
      </c>
      <c r="C107">
        <v>19560.599999904629</v>
      </c>
      <c r="D107" t="s">
        <v>797</v>
      </c>
      <c r="E107" t="s">
        <v>798</v>
      </c>
      <c r="F107" t="s">
        <v>412</v>
      </c>
      <c r="G107" t="s">
        <v>598</v>
      </c>
      <c r="H107" t="s">
        <v>774</v>
      </c>
      <c r="I107">
        <v>1700167434.0999999</v>
      </c>
      <c r="J107">
        <f t="shared" si="92"/>
        <v>3.5694463414932764E-3</v>
      </c>
      <c r="K107">
        <f t="shared" si="93"/>
        <v>3.5694463414932764</v>
      </c>
      <c r="L107">
        <f t="shared" si="94"/>
        <v>44.02309978314976</v>
      </c>
      <c r="M107">
        <f t="shared" si="95"/>
        <v>454.31099999999998</v>
      </c>
      <c r="N107">
        <f t="shared" si="96"/>
        <v>143.37665673352694</v>
      </c>
      <c r="O107">
        <f t="shared" si="97"/>
        <v>14.181322820355799</v>
      </c>
      <c r="P107">
        <f t="shared" si="98"/>
        <v>44.935703611870501</v>
      </c>
      <c r="Q107">
        <f t="shared" si="99"/>
        <v>0.24047326305171099</v>
      </c>
      <c r="R107">
        <f t="shared" si="100"/>
        <v>3.1317117831805179</v>
      </c>
      <c r="S107">
        <f t="shared" si="101"/>
        <v>0.23066572542965497</v>
      </c>
      <c r="T107">
        <f t="shared" si="102"/>
        <v>0.14501391618342091</v>
      </c>
      <c r="U107">
        <f t="shared" si="103"/>
        <v>344.40169930240944</v>
      </c>
      <c r="V107">
        <f t="shared" si="104"/>
        <v>31.103945779974918</v>
      </c>
      <c r="W107">
        <f t="shared" si="105"/>
        <v>29.983899999999998</v>
      </c>
      <c r="X107">
        <f t="shared" si="106"/>
        <v>4.2565114201725756</v>
      </c>
      <c r="Y107">
        <f t="shared" si="107"/>
        <v>64.998761686416117</v>
      </c>
      <c r="Z107">
        <f t="shared" si="108"/>
        <v>2.7803775590746498</v>
      </c>
      <c r="AA107">
        <f t="shared" si="109"/>
        <v>4.2775854292247413</v>
      </c>
      <c r="AB107">
        <f t="shared" si="110"/>
        <v>1.4761338610979258</v>
      </c>
      <c r="AC107">
        <f t="shared" si="111"/>
        <v>-157.41258365985348</v>
      </c>
      <c r="AD107">
        <f t="shared" si="112"/>
        <v>14.519968726315565</v>
      </c>
      <c r="AE107">
        <f t="shared" si="113"/>
        <v>1.0311899223216581</v>
      </c>
      <c r="AF107">
        <f t="shared" si="114"/>
        <v>202.54027429119316</v>
      </c>
      <c r="AG107">
        <v>0</v>
      </c>
      <c r="AH107">
        <v>0</v>
      </c>
      <c r="AI107">
        <f t="shared" si="115"/>
        <v>1</v>
      </c>
      <c r="AJ107">
        <f t="shared" si="116"/>
        <v>0</v>
      </c>
      <c r="AK107">
        <f t="shared" si="117"/>
        <v>51988.384354381393</v>
      </c>
      <c r="AL107" t="s">
        <v>415</v>
      </c>
      <c r="AM107">
        <v>6977.87</v>
      </c>
      <c r="AN107">
        <v>273.15280000000001</v>
      </c>
      <c r="AO107">
        <v>850.46774885301022</v>
      </c>
      <c r="AP107">
        <f t="shared" si="118"/>
        <v>0.67882050745793765</v>
      </c>
      <c r="AQ107">
        <v>-1.0323826813720729</v>
      </c>
      <c r="AR107" t="s">
        <v>799</v>
      </c>
      <c r="AS107">
        <v>7102.35</v>
      </c>
      <c r="AT107">
        <v>613.67543999999998</v>
      </c>
      <c r="AU107">
        <v>895.82565901619159</v>
      </c>
      <c r="AV107">
        <f t="shared" si="119"/>
        <v>0.31496108218875196</v>
      </c>
      <c r="AW107">
        <v>0.5</v>
      </c>
      <c r="AX107">
        <f t="shared" si="120"/>
        <v>1513.3274996512046</v>
      </c>
      <c r="AY107">
        <f t="shared" si="121"/>
        <v>44.02309978314976</v>
      </c>
      <c r="AZ107">
        <f t="shared" si="122"/>
        <v>238.31963349807077</v>
      </c>
      <c r="BA107">
        <f t="shared" si="123"/>
        <v>2.9772460009420517E-2</v>
      </c>
      <c r="BB107">
        <f t="shared" si="124"/>
        <v>-5.0632519516123339E-2</v>
      </c>
      <c r="BC107">
        <f t="shared" si="125"/>
        <v>277.66827675951902</v>
      </c>
      <c r="BD107" t="s">
        <v>800</v>
      </c>
      <c r="BE107">
        <v>448.13</v>
      </c>
      <c r="BF107">
        <f t="shared" si="126"/>
        <v>448.13</v>
      </c>
      <c r="BG107">
        <f t="shared" si="127"/>
        <v>0.49975757504853935</v>
      </c>
      <c r="BH107">
        <f t="shared" si="128"/>
        <v>0.63022773023132495</v>
      </c>
      <c r="BI107">
        <f t="shared" si="129"/>
        <v>-0.11273590482744486</v>
      </c>
      <c r="BJ107">
        <f t="shared" si="130"/>
        <v>0.45312753708581793</v>
      </c>
      <c r="BK107">
        <f t="shared" si="131"/>
        <v>-7.8567011391783514E-2</v>
      </c>
      <c r="BL107">
        <f t="shared" si="132"/>
        <v>0.46021713488902805</v>
      </c>
      <c r="BM107">
        <f t="shared" si="133"/>
        <v>0.53978286511097195</v>
      </c>
      <c r="BN107">
        <v>11352</v>
      </c>
      <c r="BO107">
        <v>290.00000000000011</v>
      </c>
      <c r="BP107">
        <v>815.7</v>
      </c>
      <c r="BQ107">
        <v>295</v>
      </c>
      <c r="BR107">
        <v>7102.35</v>
      </c>
      <c r="BS107">
        <v>818.08</v>
      </c>
      <c r="BT107">
        <v>-2.38</v>
      </c>
      <c r="BU107">
        <v>300.00000000000011</v>
      </c>
      <c r="BV107">
        <v>38.299999999999997</v>
      </c>
      <c r="BW107">
        <v>895.82565901619159</v>
      </c>
      <c r="BX107">
        <v>1.4867855742255951</v>
      </c>
      <c r="BY107">
        <v>-55.2174294557134</v>
      </c>
      <c r="BZ107">
        <v>0.88516291557891269</v>
      </c>
      <c r="CA107">
        <v>0.99285605060749849</v>
      </c>
      <c r="CB107">
        <v>-7.0031116796440383E-3</v>
      </c>
      <c r="CC107">
        <v>289.99999999999989</v>
      </c>
      <c r="CD107">
        <v>825.25</v>
      </c>
      <c r="CE107">
        <v>775</v>
      </c>
      <c r="CF107">
        <v>7095.3</v>
      </c>
      <c r="CG107">
        <v>818</v>
      </c>
      <c r="CH107">
        <v>7.25</v>
      </c>
      <c r="CV107">
        <f t="shared" si="134"/>
        <v>1800.17</v>
      </c>
      <c r="CW107">
        <f t="shared" si="135"/>
        <v>1513.3274996512046</v>
      </c>
      <c r="CX107">
        <f t="shared" si="136"/>
        <v>0.84065810431859467</v>
      </c>
      <c r="CY107">
        <f t="shared" si="137"/>
        <v>0.19131620863718951</v>
      </c>
      <c r="CZ107">
        <v>5</v>
      </c>
      <c r="DA107">
        <v>0.5</v>
      </c>
      <c r="DB107" t="s">
        <v>418</v>
      </c>
      <c r="DC107">
        <v>2</v>
      </c>
      <c r="DD107">
        <v>1700167434.0999999</v>
      </c>
      <c r="DE107">
        <v>454.31099999999998</v>
      </c>
      <c r="DF107">
        <v>499.95299999999997</v>
      </c>
      <c r="DG107">
        <v>28.110299999999999</v>
      </c>
      <c r="DH107">
        <v>24.641400000000001</v>
      </c>
      <c r="DI107">
        <v>454.517</v>
      </c>
      <c r="DJ107">
        <v>28.108699999999999</v>
      </c>
      <c r="DK107">
        <v>500.03</v>
      </c>
      <c r="DL107">
        <v>98.810100000000006</v>
      </c>
      <c r="DM107">
        <v>9.9465499999999998E-2</v>
      </c>
      <c r="DN107">
        <v>30.069900000000001</v>
      </c>
      <c r="DO107">
        <v>29.983899999999998</v>
      </c>
      <c r="DP107">
        <v>999.9</v>
      </c>
      <c r="DQ107">
        <v>0</v>
      </c>
      <c r="DR107">
        <v>0</v>
      </c>
      <c r="DS107">
        <v>10054.4</v>
      </c>
      <c r="DT107">
        <v>0</v>
      </c>
      <c r="DU107">
        <v>228.755</v>
      </c>
      <c r="DV107">
        <v>-45.6419</v>
      </c>
      <c r="DW107">
        <v>467.45100000000002</v>
      </c>
      <c r="DX107">
        <v>512.58399999999995</v>
      </c>
      <c r="DY107">
        <v>3.4689000000000001</v>
      </c>
      <c r="DZ107">
        <v>499.95299999999997</v>
      </c>
      <c r="EA107">
        <v>24.641400000000001</v>
      </c>
      <c r="EB107">
        <v>2.7775799999999999</v>
      </c>
      <c r="EC107">
        <v>2.4348200000000002</v>
      </c>
      <c r="ED107">
        <v>22.7515</v>
      </c>
      <c r="EE107">
        <v>20.597200000000001</v>
      </c>
      <c r="EF107">
        <v>1800.17</v>
      </c>
      <c r="EG107">
        <v>0.97800299999999996</v>
      </c>
      <c r="EH107">
        <v>2.1996600000000002E-2</v>
      </c>
      <c r="EI107">
        <v>0</v>
      </c>
      <c r="EJ107">
        <v>613.72900000000004</v>
      </c>
      <c r="EK107">
        <v>5.0005300000000004</v>
      </c>
      <c r="EL107">
        <v>11840.1</v>
      </c>
      <c r="EM107">
        <v>16036.8</v>
      </c>
      <c r="EN107">
        <v>47.5</v>
      </c>
      <c r="EO107">
        <v>48.5</v>
      </c>
      <c r="EP107">
        <v>48.061999999999998</v>
      </c>
      <c r="EQ107">
        <v>47.875</v>
      </c>
      <c r="ER107">
        <v>48.686999999999998</v>
      </c>
      <c r="ES107">
        <v>1755.68</v>
      </c>
      <c r="ET107">
        <v>39.49</v>
      </c>
      <c r="EU107">
        <v>0</v>
      </c>
      <c r="EV107">
        <v>332.59999990463263</v>
      </c>
      <c r="EW107">
        <v>0</v>
      </c>
      <c r="EX107">
        <v>613.67543999999998</v>
      </c>
      <c r="EY107">
        <v>-0.39338460209221682</v>
      </c>
      <c r="EZ107">
        <v>-19.34615387102745</v>
      </c>
      <c r="FA107">
        <v>11840.808000000001</v>
      </c>
      <c r="FB107">
        <v>15</v>
      </c>
      <c r="FC107">
        <v>1700167330.5999999</v>
      </c>
      <c r="FD107" t="s">
        <v>801</v>
      </c>
      <c r="FE107">
        <v>1700167326.0999999</v>
      </c>
      <c r="FF107">
        <v>1700167330.5999999</v>
      </c>
      <c r="FG107">
        <v>99</v>
      </c>
      <c r="FH107">
        <v>1.6E-2</v>
      </c>
      <c r="FI107">
        <v>-1E-3</v>
      </c>
      <c r="FJ107">
        <v>-0.215</v>
      </c>
      <c r="FK107">
        <v>2E-3</v>
      </c>
      <c r="FL107">
        <v>500</v>
      </c>
      <c r="FM107">
        <v>25</v>
      </c>
      <c r="FN107">
        <v>0.03</v>
      </c>
      <c r="FO107">
        <v>0.05</v>
      </c>
      <c r="FP107">
        <v>43.959476676319497</v>
      </c>
      <c r="FQ107">
        <v>0.53467308813552927</v>
      </c>
      <c r="FR107">
        <v>6.9313672464340517E-2</v>
      </c>
      <c r="FS107">
        <v>1</v>
      </c>
      <c r="FT107">
        <v>0.23896610985431241</v>
      </c>
      <c r="FU107">
        <v>8.0852893801334688E-3</v>
      </c>
      <c r="FV107">
        <v>6.2424056535854316E-4</v>
      </c>
      <c r="FW107">
        <v>1</v>
      </c>
      <c r="FX107">
        <v>2</v>
      </c>
      <c r="FY107">
        <v>2</v>
      </c>
      <c r="FZ107" t="s">
        <v>420</v>
      </c>
      <c r="GA107">
        <v>3.1228500000000001</v>
      </c>
      <c r="GB107">
        <v>2.7668200000000001</v>
      </c>
      <c r="GC107">
        <v>9.7393499999999994E-2</v>
      </c>
      <c r="GD107">
        <v>0.10453900000000001</v>
      </c>
      <c r="GE107">
        <v>0.11924700000000001</v>
      </c>
      <c r="GF107">
        <v>0.10896</v>
      </c>
      <c r="GG107">
        <v>21509.3</v>
      </c>
      <c r="GH107">
        <v>22242.1</v>
      </c>
      <c r="GI107">
        <v>23696.6</v>
      </c>
      <c r="GJ107">
        <v>25159.5</v>
      </c>
      <c r="GK107">
        <v>30061.4</v>
      </c>
      <c r="GL107">
        <v>31429.9</v>
      </c>
      <c r="GM107">
        <v>37777.800000000003</v>
      </c>
      <c r="GN107">
        <v>39160.300000000003</v>
      </c>
      <c r="GO107">
        <v>2.1506500000000002</v>
      </c>
      <c r="GP107">
        <v>1.77085</v>
      </c>
      <c r="GQ107">
        <v>3.2056099999999997E-2</v>
      </c>
      <c r="GR107">
        <v>0</v>
      </c>
      <c r="GS107">
        <v>29.462</v>
      </c>
      <c r="GT107">
        <v>999.9</v>
      </c>
      <c r="GU107">
        <v>42.8</v>
      </c>
      <c r="GV107">
        <v>38.799999999999997</v>
      </c>
      <c r="GW107">
        <v>30.109000000000002</v>
      </c>
      <c r="GX107">
        <v>60.489400000000003</v>
      </c>
      <c r="GY107">
        <v>26.714700000000001</v>
      </c>
      <c r="GZ107">
        <v>1</v>
      </c>
      <c r="HA107">
        <v>0.59889199999999998</v>
      </c>
      <c r="HB107">
        <v>1.6894499999999999</v>
      </c>
      <c r="HC107">
        <v>20.312799999999999</v>
      </c>
      <c r="HD107">
        <v>5.2499399999999996</v>
      </c>
      <c r="HE107">
        <v>12.0105</v>
      </c>
      <c r="HF107">
        <v>4.9791499999999997</v>
      </c>
      <c r="HG107">
        <v>3.2930000000000001</v>
      </c>
      <c r="HH107">
        <v>9999</v>
      </c>
      <c r="HI107">
        <v>9999</v>
      </c>
      <c r="HJ107">
        <v>9999</v>
      </c>
      <c r="HK107">
        <v>999.9</v>
      </c>
      <c r="HL107">
        <v>1.8760699999999999</v>
      </c>
      <c r="HM107">
        <v>1.8769100000000001</v>
      </c>
      <c r="HN107">
        <v>1.88323</v>
      </c>
      <c r="HO107">
        <v>1.88629</v>
      </c>
      <c r="HP107">
        <v>1.8771199999999999</v>
      </c>
      <c r="HQ107">
        <v>1.8836999999999999</v>
      </c>
      <c r="HR107">
        <v>1.88263</v>
      </c>
      <c r="HS107">
        <v>1.8859900000000001</v>
      </c>
      <c r="HT107">
        <v>5</v>
      </c>
      <c r="HU107">
        <v>0</v>
      </c>
      <c r="HV107">
        <v>0</v>
      </c>
      <c r="HW107">
        <v>0</v>
      </c>
      <c r="HX107" t="s">
        <v>421</v>
      </c>
      <c r="HY107" t="s">
        <v>422</v>
      </c>
      <c r="HZ107" t="s">
        <v>423</v>
      </c>
      <c r="IA107" t="s">
        <v>424</v>
      </c>
      <c r="IB107" t="s">
        <v>424</v>
      </c>
      <c r="IC107" t="s">
        <v>423</v>
      </c>
      <c r="ID107">
        <v>0</v>
      </c>
      <c r="IE107">
        <v>100</v>
      </c>
      <c r="IF107">
        <v>100</v>
      </c>
      <c r="IG107">
        <v>-0.20599999999999999</v>
      </c>
      <c r="IH107">
        <v>1.6000000000000001E-3</v>
      </c>
      <c r="II107">
        <v>-0.17966077827780341</v>
      </c>
      <c r="IJ107">
        <v>4.4610147972834149E-5</v>
      </c>
      <c r="IK107">
        <v>-2.082673137682459E-7</v>
      </c>
      <c r="IL107">
        <v>-4.0725795306076518E-11</v>
      </c>
      <c r="IM107">
        <v>1.671428571430766E-3</v>
      </c>
      <c r="IN107">
        <v>0</v>
      </c>
      <c r="IO107">
        <v>0</v>
      </c>
      <c r="IP107">
        <v>0</v>
      </c>
      <c r="IQ107">
        <v>3</v>
      </c>
      <c r="IR107">
        <v>2179</v>
      </c>
      <c r="IS107">
        <v>0</v>
      </c>
      <c r="IT107">
        <v>22</v>
      </c>
      <c r="IU107">
        <v>1.8</v>
      </c>
      <c r="IV107">
        <v>1.7</v>
      </c>
      <c r="IW107">
        <v>1.2231399999999999</v>
      </c>
      <c r="IX107">
        <v>2.67578</v>
      </c>
      <c r="IY107">
        <v>1.6015600000000001</v>
      </c>
      <c r="IZ107">
        <v>2.32544</v>
      </c>
      <c r="JA107">
        <v>1.5502899999999999</v>
      </c>
      <c r="JB107">
        <v>2.4462899999999999</v>
      </c>
      <c r="JC107">
        <v>42.617100000000001</v>
      </c>
      <c r="JD107">
        <v>24.218800000000002</v>
      </c>
      <c r="JE107">
        <v>18</v>
      </c>
      <c r="JF107">
        <v>615.09400000000005</v>
      </c>
      <c r="JG107">
        <v>398.77100000000002</v>
      </c>
      <c r="JH107">
        <v>27.634399999999999</v>
      </c>
      <c r="JI107">
        <v>34.396500000000003</v>
      </c>
      <c r="JJ107">
        <v>30</v>
      </c>
      <c r="JK107">
        <v>34.490299999999998</v>
      </c>
      <c r="JL107">
        <v>34.481299999999997</v>
      </c>
      <c r="JM107">
        <v>24.474799999999998</v>
      </c>
      <c r="JN107">
        <v>25.640499999999999</v>
      </c>
      <c r="JO107">
        <v>64.692599999999999</v>
      </c>
      <c r="JP107">
        <v>27.638300000000001</v>
      </c>
      <c r="JQ107">
        <v>500</v>
      </c>
      <c r="JR107">
        <v>24.554200000000002</v>
      </c>
      <c r="JS107">
        <v>98.529700000000005</v>
      </c>
      <c r="JT107">
        <v>99.0959</v>
      </c>
    </row>
    <row r="108" spans="1:280" x14ac:dyDescent="0.25">
      <c r="A108">
        <v>92</v>
      </c>
      <c r="B108">
        <v>1700167553.0999999</v>
      </c>
      <c r="C108">
        <v>19679.599999904629</v>
      </c>
      <c r="D108" t="s">
        <v>802</v>
      </c>
      <c r="E108" t="s">
        <v>803</v>
      </c>
      <c r="F108" t="s">
        <v>412</v>
      </c>
      <c r="G108" t="s">
        <v>598</v>
      </c>
      <c r="H108" t="s">
        <v>774</v>
      </c>
      <c r="I108">
        <v>1700167553.0999999</v>
      </c>
      <c r="J108">
        <f t="shared" si="92"/>
        <v>3.7849757542679214E-3</v>
      </c>
      <c r="K108">
        <f t="shared" si="93"/>
        <v>3.7849757542679217</v>
      </c>
      <c r="L108">
        <f t="shared" si="94"/>
        <v>39.538733140733441</v>
      </c>
      <c r="M108">
        <f t="shared" si="95"/>
        <v>359.14499999999998</v>
      </c>
      <c r="N108">
        <f t="shared" si="96"/>
        <v>102.49298274932782</v>
      </c>
      <c r="O108">
        <f t="shared" si="97"/>
        <v>10.137327458589676</v>
      </c>
      <c r="P108">
        <f t="shared" si="98"/>
        <v>35.522143784415</v>
      </c>
      <c r="Q108">
        <f t="shared" si="99"/>
        <v>0.26199287728233039</v>
      </c>
      <c r="R108">
        <f t="shared" si="100"/>
        <v>3.1122945095705887</v>
      </c>
      <c r="S108">
        <f t="shared" si="101"/>
        <v>0.25032809045426418</v>
      </c>
      <c r="T108">
        <f t="shared" si="102"/>
        <v>0.15745980826342121</v>
      </c>
      <c r="U108">
        <f t="shared" si="103"/>
        <v>344.34659930229708</v>
      </c>
      <c r="V108">
        <f t="shared" si="104"/>
        <v>31.044700401457717</v>
      </c>
      <c r="W108">
        <f t="shared" si="105"/>
        <v>29.956</v>
      </c>
      <c r="X108">
        <f t="shared" si="106"/>
        <v>4.2496940864962749</v>
      </c>
      <c r="Y108">
        <f t="shared" si="107"/>
        <v>65.679820714513838</v>
      </c>
      <c r="Z108">
        <f t="shared" si="108"/>
        <v>2.8075593891639001</v>
      </c>
      <c r="AA108">
        <f t="shared" si="109"/>
        <v>4.2746148796101835</v>
      </c>
      <c r="AB108">
        <f t="shared" si="110"/>
        <v>1.4421346973323748</v>
      </c>
      <c r="AC108">
        <f t="shared" si="111"/>
        <v>-166.91743076321532</v>
      </c>
      <c r="AD108">
        <f t="shared" si="112"/>
        <v>17.081024198877035</v>
      </c>
      <c r="AE108">
        <f t="shared" si="113"/>
        <v>1.2203994302606449</v>
      </c>
      <c r="AF108">
        <f t="shared" si="114"/>
        <v>195.73059216821946</v>
      </c>
      <c r="AG108">
        <v>0</v>
      </c>
      <c r="AH108">
        <v>0</v>
      </c>
      <c r="AI108">
        <f t="shared" si="115"/>
        <v>1</v>
      </c>
      <c r="AJ108">
        <f t="shared" si="116"/>
        <v>0</v>
      </c>
      <c r="AK108">
        <f t="shared" si="117"/>
        <v>51498.847209086205</v>
      </c>
      <c r="AL108" t="s">
        <v>427</v>
      </c>
      <c r="AM108" t="s">
        <v>427</v>
      </c>
      <c r="AN108">
        <v>0</v>
      </c>
      <c r="AO108">
        <v>0</v>
      </c>
      <c r="AP108" t="e">
        <f t="shared" si="118"/>
        <v>#DIV/0!</v>
      </c>
      <c r="AQ108">
        <v>0</v>
      </c>
      <c r="AR108" t="s">
        <v>427</v>
      </c>
      <c r="AS108" t="s">
        <v>427</v>
      </c>
      <c r="AT108">
        <v>0</v>
      </c>
      <c r="AU108">
        <v>0</v>
      </c>
      <c r="AV108" t="e">
        <f t="shared" si="119"/>
        <v>#DIV/0!</v>
      </c>
      <c r="AW108">
        <v>0.5</v>
      </c>
      <c r="AX108">
        <f t="shared" si="120"/>
        <v>1513.0838996511486</v>
      </c>
      <c r="AY108">
        <f t="shared" si="121"/>
        <v>39.538733140733441</v>
      </c>
      <c r="AZ108" t="e">
        <f t="shared" si="122"/>
        <v>#DIV/0!</v>
      </c>
      <c r="BA108">
        <f t="shared" si="123"/>
        <v>2.613122322552593E-2</v>
      </c>
      <c r="BB108" t="e">
        <f t="shared" si="124"/>
        <v>#DIV/0!</v>
      </c>
      <c r="BC108" t="e">
        <f t="shared" si="125"/>
        <v>#DIV/0!</v>
      </c>
      <c r="BD108" t="s">
        <v>427</v>
      </c>
      <c r="BE108">
        <v>0</v>
      </c>
      <c r="BF108" t="e">
        <f t="shared" si="126"/>
        <v>#DIV/0!</v>
      </c>
      <c r="BG108" t="e">
        <f t="shared" si="127"/>
        <v>#DIV/0!</v>
      </c>
      <c r="BH108" t="e">
        <f t="shared" si="128"/>
        <v>#DIV/0!</v>
      </c>
      <c r="BI108" t="e">
        <f t="shared" si="129"/>
        <v>#DIV/0!</v>
      </c>
      <c r="BJ108" t="e">
        <f t="shared" si="130"/>
        <v>#DIV/0!</v>
      </c>
      <c r="BK108" t="e">
        <f t="shared" si="131"/>
        <v>#DIV/0!</v>
      </c>
      <c r="BL108" t="e">
        <f t="shared" si="132"/>
        <v>#DIV/0!</v>
      </c>
      <c r="BM108" t="e">
        <f t="shared" si="133"/>
        <v>#DIV/0!</v>
      </c>
      <c r="BN108">
        <v>11352</v>
      </c>
      <c r="BO108">
        <v>290.00000000000011</v>
      </c>
      <c r="BP108">
        <v>815.7</v>
      </c>
      <c r="BQ108">
        <v>295</v>
      </c>
      <c r="BR108">
        <v>7102.35</v>
      </c>
      <c r="BS108">
        <v>818.08</v>
      </c>
      <c r="BT108">
        <v>-2.38</v>
      </c>
      <c r="BU108">
        <v>300.00000000000011</v>
      </c>
      <c r="BV108">
        <v>38.299999999999997</v>
      </c>
      <c r="BW108">
        <v>895.82565901619159</v>
      </c>
      <c r="BX108">
        <v>1.4867855742255951</v>
      </c>
      <c r="BY108">
        <v>-55.2174294557134</v>
      </c>
      <c r="BZ108">
        <v>0.88516291557891269</v>
      </c>
      <c r="CA108">
        <v>0.99285605060749849</v>
      </c>
      <c r="CB108">
        <v>-7.0031116796440383E-3</v>
      </c>
      <c r="CC108">
        <v>289.99999999999989</v>
      </c>
      <c r="CD108">
        <v>825.25</v>
      </c>
      <c r="CE108">
        <v>775</v>
      </c>
      <c r="CF108">
        <v>7095.3</v>
      </c>
      <c r="CG108">
        <v>818</v>
      </c>
      <c r="CH108">
        <v>7.25</v>
      </c>
      <c r="CV108">
        <f t="shared" si="134"/>
        <v>1799.88</v>
      </c>
      <c r="CW108">
        <f t="shared" si="135"/>
        <v>1513.0838996511486</v>
      </c>
      <c r="CX108">
        <f t="shared" si="136"/>
        <v>0.84065821035355048</v>
      </c>
      <c r="CY108">
        <f t="shared" si="137"/>
        <v>0.19131642070710106</v>
      </c>
      <c r="CZ108">
        <v>5</v>
      </c>
      <c r="DA108">
        <v>0.5</v>
      </c>
      <c r="DB108" t="s">
        <v>418</v>
      </c>
      <c r="DC108">
        <v>2</v>
      </c>
      <c r="DD108">
        <v>1700167553.0999999</v>
      </c>
      <c r="DE108">
        <v>359.14499999999998</v>
      </c>
      <c r="DF108">
        <v>400.02600000000001</v>
      </c>
      <c r="DG108">
        <v>28.3857</v>
      </c>
      <c r="DH108">
        <v>24.709700000000002</v>
      </c>
      <c r="DI108">
        <v>359.512</v>
      </c>
      <c r="DJ108">
        <v>28.381699999999999</v>
      </c>
      <c r="DK108">
        <v>500.209</v>
      </c>
      <c r="DL108">
        <v>98.806899999999999</v>
      </c>
      <c r="DM108">
        <v>0.10062699999999999</v>
      </c>
      <c r="DN108">
        <v>30.0578</v>
      </c>
      <c r="DO108">
        <v>29.956</v>
      </c>
      <c r="DP108">
        <v>999.9</v>
      </c>
      <c r="DQ108">
        <v>0</v>
      </c>
      <c r="DR108">
        <v>0</v>
      </c>
      <c r="DS108">
        <v>9955.6200000000008</v>
      </c>
      <c r="DT108">
        <v>0</v>
      </c>
      <c r="DU108">
        <v>226.59800000000001</v>
      </c>
      <c r="DV108">
        <v>-40.880200000000002</v>
      </c>
      <c r="DW108">
        <v>369.63799999999998</v>
      </c>
      <c r="DX108">
        <v>410.16</v>
      </c>
      <c r="DY108">
        <v>3.6759200000000001</v>
      </c>
      <c r="DZ108">
        <v>400.02600000000001</v>
      </c>
      <c r="EA108">
        <v>24.709700000000002</v>
      </c>
      <c r="EB108">
        <v>2.8047</v>
      </c>
      <c r="EC108">
        <v>2.4414899999999999</v>
      </c>
      <c r="ED108">
        <v>22.911799999999999</v>
      </c>
      <c r="EE108">
        <v>20.6416</v>
      </c>
      <c r="EF108">
        <v>1799.88</v>
      </c>
      <c r="EG108">
        <v>0.97799999999999998</v>
      </c>
      <c r="EH108">
        <v>2.1999999999999999E-2</v>
      </c>
      <c r="EI108">
        <v>0</v>
      </c>
      <c r="EJ108">
        <v>617.33100000000002</v>
      </c>
      <c r="EK108">
        <v>5.0005300000000004</v>
      </c>
      <c r="EL108">
        <v>11899.3</v>
      </c>
      <c r="EM108">
        <v>16034.2</v>
      </c>
      <c r="EN108">
        <v>47.436999999999998</v>
      </c>
      <c r="EO108">
        <v>48.5</v>
      </c>
      <c r="EP108">
        <v>48.061999999999998</v>
      </c>
      <c r="EQ108">
        <v>47.875</v>
      </c>
      <c r="ER108">
        <v>48.686999999999998</v>
      </c>
      <c r="ES108">
        <v>1755.39</v>
      </c>
      <c r="ET108">
        <v>39.49</v>
      </c>
      <c r="EU108">
        <v>0</v>
      </c>
      <c r="EV108">
        <v>117.2000000476837</v>
      </c>
      <c r="EW108">
        <v>0</v>
      </c>
      <c r="EX108">
        <v>617.38603846153842</v>
      </c>
      <c r="EY108">
        <v>-0.50649571781736624</v>
      </c>
      <c r="EZ108">
        <v>-95.483760755996343</v>
      </c>
      <c r="FA108">
        <v>11914.99615384615</v>
      </c>
      <c r="FB108">
        <v>15</v>
      </c>
      <c r="FC108">
        <v>1700167510.0999999</v>
      </c>
      <c r="FD108" t="s">
        <v>804</v>
      </c>
      <c r="FE108">
        <v>1700167506.5999999</v>
      </c>
      <c r="FF108">
        <v>1700167510.0999999</v>
      </c>
      <c r="FG108">
        <v>100</v>
      </c>
      <c r="FH108">
        <v>-0.17499999999999999</v>
      </c>
      <c r="FI108">
        <v>2E-3</v>
      </c>
      <c r="FJ108">
        <v>-0.372</v>
      </c>
      <c r="FK108">
        <v>4.0000000000000001E-3</v>
      </c>
      <c r="FL108">
        <v>400</v>
      </c>
      <c r="FM108">
        <v>25</v>
      </c>
      <c r="FN108">
        <v>0.08</v>
      </c>
      <c r="FO108">
        <v>0.02</v>
      </c>
      <c r="FP108">
        <v>39.264832285980212</v>
      </c>
      <c r="FQ108">
        <v>0.57940095604744879</v>
      </c>
      <c r="FR108">
        <v>5.4326303202779848E-2</v>
      </c>
      <c r="FS108">
        <v>1</v>
      </c>
      <c r="FT108">
        <v>0.25781626965638599</v>
      </c>
      <c r="FU108">
        <v>4.6549472080785879E-2</v>
      </c>
      <c r="FV108">
        <v>3.6634590057112509E-3</v>
      </c>
      <c r="FW108">
        <v>1</v>
      </c>
      <c r="FX108">
        <v>2</v>
      </c>
      <c r="FY108">
        <v>2</v>
      </c>
      <c r="FZ108" t="s">
        <v>420</v>
      </c>
      <c r="GA108">
        <v>3.12324</v>
      </c>
      <c r="GB108">
        <v>2.7671199999999998</v>
      </c>
      <c r="GC108">
        <v>8.1378500000000006E-2</v>
      </c>
      <c r="GD108">
        <v>8.8495199999999996E-2</v>
      </c>
      <c r="GE108">
        <v>0.120051</v>
      </c>
      <c r="GF108">
        <v>0.109176</v>
      </c>
      <c r="GG108">
        <v>21891.8</v>
      </c>
      <c r="GH108">
        <v>22642</v>
      </c>
      <c r="GI108">
        <v>23697.5</v>
      </c>
      <c r="GJ108">
        <v>25160.799999999999</v>
      </c>
      <c r="GK108">
        <v>30035.1</v>
      </c>
      <c r="GL108">
        <v>31424.2</v>
      </c>
      <c r="GM108">
        <v>37779.199999999997</v>
      </c>
      <c r="GN108">
        <v>39162.699999999997</v>
      </c>
      <c r="GO108">
        <v>2.1507999999999998</v>
      </c>
      <c r="GP108">
        <v>1.77108</v>
      </c>
      <c r="GQ108">
        <v>2.84389E-2</v>
      </c>
      <c r="GR108">
        <v>0</v>
      </c>
      <c r="GS108">
        <v>29.492999999999999</v>
      </c>
      <c r="GT108">
        <v>999.9</v>
      </c>
      <c r="GU108">
        <v>42.8</v>
      </c>
      <c r="GV108">
        <v>38.700000000000003</v>
      </c>
      <c r="GW108">
        <v>29.949400000000001</v>
      </c>
      <c r="GX108">
        <v>60.919400000000003</v>
      </c>
      <c r="GY108">
        <v>25.993600000000001</v>
      </c>
      <c r="GZ108">
        <v>1</v>
      </c>
      <c r="HA108">
        <v>0.59705799999999998</v>
      </c>
      <c r="HB108">
        <v>1.7156199999999999</v>
      </c>
      <c r="HC108">
        <v>20.313099999999999</v>
      </c>
      <c r="HD108">
        <v>5.25143</v>
      </c>
      <c r="HE108">
        <v>12.0101</v>
      </c>
      <c r="HF108">
        <v>4.97905</v>
      </c>
      <c r="HG108">
        <v>3.2930000000000001</v>
      </c>
      <c r="HH108">
        <v>9999</v>
      </c>
      <c r="HI108">
        <v>9999</v>
      </c>
      <c r="HJ108">
        <v>9999</v>
      </c>
      <c r="HK108">
        <v>999.9</v>
      </c>
      <c r="HL108">
        <v>1.8760699999999999</v>
      </c>
      <c r="HM108">
        <v>1.87686</v>
      </c>
      <c r="HN108">
        <v>1.88324</v>
      </c>
      <c r="HO108">
        <v>1.88629</v>
      </c>
      <c r="HP108">
        <v>1.87713</v>
      </c>
      <c r="HQ108">
        <v>1.8836900000000001</v>
      </c>
      <c r="HR108">
        <v>1.88263</v>
      </c>
      <c r="HS108">
        <v>1.8859900000000001</v>
      </c>
      <c r="HT108">
        <v>5</v>
      </c>
      <c r="HU108">
        <v>0</v>
      </c>
      <c r="HV108">
        <v>0</v>
      </c>
      <c r="HW108">
        <v>0</v>
      </c>
      <c r="HX108" t="s">
        <v>421</v>
      </c>
      <c r="HY108" t="s">
        <v>422</v>
      </c>
      <c r="HZ108" t="s">
        <v>423</v>
      </c>
      <c r="IA108" t="s">
        <v>424</v>
      </c>
      <c r="IB108" t="s">
        <v>424</v>
      </c>
      <c r="IC108" t="s">
        <v>423</v>
      </c>
      <c r="ID108">
        <v>0</v>
      </c>
      <c r="IE108">
        <v>100</v>
      </c>
      <c r="IF108">
        <v>100</v>
      </c>
      <c r="IG108">
        <v>-0.36699999999999999</v>
      </c>
      <c r="IH108">
        <v>4.0000000000000001E-3</v>
      </c>
      <c r="II108">
        <v>-0.35420332755491718</v>
      </c>
      <c r="IJ108">
        <v>4.4610147972834149E-5</v>
      </c>
      <c r="IK108">
        <v>-2.082673137682459E-7</v>
      </c>
      <c r="IL108">
        <v>-4.0725795306076518E-11</v>
      </c>
      <c r="IM108">
        <v>3.9299999999968804E-3</v>
      </c>
      <c r="IN108">
        <v>0</v>
      </c>
      <c r="IO108">
        <v>0</v>
      </c>
      <c r="IP108">
        <v>0</v>
      </c>
      <c r="IQ108">
        <v>3</v>
      </c>
      <c r="IR108">
        <v>2179</v>
      </c>
      <c r="IS108">
        <v>0</v>
      </c>
      <c r="IT108">
        <v>22</v>
      </c>
      <c r="IU108">
        <v>0.8</v>
      </c>
      <c r="IV108">
        <v>0.7</v>
      </c>
      <c r="IW108">
        <v>1.02295</v>
      </c>
      <c r="IX108">
        <v>2.68066</v>
      </c>
      <c r="IY108">
        <v>1.6015600000000001</v>
      </c>
      <c r="IZ108">
        <v>2.32544</v>
      </c>
      <c r="JA108">
        <v>1.5502899999999999</v>
      </c>
      <c r="JB108">
        <v>2.2875999999999999</v>
      </c>
      <c r="JC108">
        <v>42.590400000000002</v>
      </c>
      <c r="JD108">
        <v>24.210100000000001</v>
      </c>
      <c r="JE108">
        <v>18</v>
      </c>
      <c r="JF108">
        <v>614.94399999999996</v>
      </c>
      <c r="JG108">
        <v>398.73200000000003</v>
      </c>
      <c r="JH108">
        <v>27.511299999999999</v>
      </c>
      <c r="JI108">
        <v>34.377800000000001</v>
      </c>
      <c r="JJ108">
        <v>30</v>
      </c>
      <c r="JK108">
        <v>34.462200000000003</v>
      </c>
      <c r="JL108">
        <v>34.453200000000002</v>
      </c>
      <c r="JM108">
        <v>20.453199999999999</v>
      </c>
      <c r="JN108">
        <v>25.276199999999999</v>
      </c>
      <c r="JO108">
        <v>64.580299999999994</v>
      </c>
      <c r="JP108">
        <v>27.497499999999999</v>
      </c>
      <c r="JQ108">
        <v>400</v>
      </c>
      <c r="JR108">
        <v>24.468900000000001</v>
      </c>
      <c r="JS108">
        <v>98.533199999999994</v>
      </c>
      <c r="JT108">
        <v>99.101600000000005</v>
      </c>
    </row>
    <row r="109" spans="1:280" x14ac:dyDescent="0.25">
      <c r="A109">
        <v>93</v>
      </c>
      <c r="B109">
        <v>1700167707.5999999</v>
      </c>
      <c r="C109">
        <v>19834.099999904629</v>
      </c>
      <c r="D109" t="s">
        <v>805</v>
      </c>
      <c r="E109" t="s">
        <v>806</v>
      </c>
      <c r="F109" t="s">
        <v>412</v>
      </c>
      <c r="G109" t="s">
        <v>598</v>
      </c>
      <c r="H109" t="s">
        <v>774</v>
      </c>
      <c r="I109">
        <v>1700167707.5999999</v>
      </c>
      <c r="J109">
        <f t="shared" si="92"/>
        <v>4.4477723330607439E-3</v>
      </c>
      <c r="K109">
        <f t="shared" si="93"/>
        <v>4.4477723330607439</v>
      </c>
      <c r="L109">
        <f t="shared" si="94"/>
        <v>34.071214507358114</v>
      </c>
      <c r="M109">
        <f t="shared" si="95"/>
        <v>264.726</v>
      </c>
      <c r="N109">
        <f t="shared" si="96"/>
        <v>75.2149259738854</v>
      </c>
      <c r="O109">
        <f t="shared" si="97"/>
        <v>7.4386357521992883</v>
      </c>
      <c r="P109">
        <f t="shared" si="98"/>
        <v>26.180977547201397</v>
      </c>
      <c r="Q109">
        <f t="shared" si="99"/>
        <v>0.30777449282254349</v>
      </c>
      <c r="R109">
        <f t="shared" si="100"/>
        <v>3.1226808743285881</v>
      </c>
      <c r="S109">
        <f t="shared" si="101"/>
        <v>0.29186042142129304</v>
      </c>
      <c r="T109">
        <f t="shared" si="102"/>
        <v>0.183773980539363</v>
      </c>
      <c r="U109">
        <f t="shared" si="103"/>
        <v>344.41119930242877</v>
      </c>
      <c r="V109">
        <f t="shared" si="104"/>
        <v>31.026239893918994</v>
      </c>
      <c r="W109">
        <f t="shared" si="105"/>
        <v>29.976900000000001</v>
      </c>
      <c r="X109">
        <f t="shared" si="106"/>
        <v>4.2548000829832118</v>
      </c>
      <c r="Y109">
        <f t="shared" si="107"/>
        <v>64.987837978180465</v>
      </c>
      <c r="Z109">
        <f t="shared" si="108"/>
        <v>2.80141582692118</v>
      </c>
      <c r="AA109">
        <f t="shared" si="109"/>
        <v>4.310677065240653</v>
      </c>
      <c r="AB109">
        <f t="shared" si="110"/>
        <v>1.4533842560620318</v>
      </c>
      <c r="AC109">
        <f t="shared" si="111"/>
        <v>-196.14675988797882</v>
      </c>
      <c r="AD109">
        <f t="shared" si="112"/>
        <v>38.265948475763217</v>
      </c>
      <c r="AE109">
        <f t="shared" si="113"/>
        <v>2.7271770615167359</v>
      </c>
      <c r="AF109">
        <f t="shared" si="114"/>
        <v>189.2575649517299</v>
      </c>
      <c r="AG109">
        <v>0</v>
      </c>
      <c r="AH109">
        <v>0</v>
      </c>
      <c r="AI109">
        <f t="shared" si="115"/>
        <v>1</v>
      </c>
      <c r="AJ109">
        <f t="shared" si="116"/>
        <v>0</v>
      </c>
      <c r="AK109">
        <f t="shared" si="117"/>
        <v>51736.41939622887</v>
      </c>
      <c r="AL109" t="s">
        <v>415</v>
      </c>
      <c r="AM109">
        <v>6977.87</v>
      </c>
      <c r="AN109">
        <v>273.15280000000001</v>
      </c>
      <c r="AO109">
        <v>850.46774885301022</v>
      </c>
      <c r="AP109">
        <f t="shared" si="118"/>
        <v>0.67882050745793765</v>
      </c>
      <c r="AQ109">
        <v>-1.0323826813720729</v>
      </c>
      <c r="AR109" t="s">
        <v>807</v>
      </c>
      <c r="AS109">
        <v>7102.14</v>
      </c>
      <c r="AT109">
        <v>626.37407999999994</v>
      </c>
      <c r="AU109">
        <v>838.71908895691286</v>
      </c>
      <c r="AV109">
        <f t="shared" si="119"/>
        <v>0.25317774658139636</v>
      </c>
      <c r="AW109">
        <v>0.5</v>
      </c>
      <c r="AX109">
        <f t="shared" si="120"/>
        <v>1513.3694996512145</v>
      </c>
      <c r="AY109">
        <f t="shared" si="121"/>
        <v>34.071214507358114</v>
      </c>
      <c r="AZ109">
        <f t="shared" si="122"/>
        <v>191.5757398333549</v>
      </c>
      <c r="BA109">
        <f t="shared" si="123"/>
        <v>2.3195655255917668E-2</v>
      </c>
      <c r="BB109">
        <f t="shared" si="124"/>
        <v>1.4007860379938156E-2</v>
      </c>
      <c r="BC109">
        <f t="shared" si="125"/>
        <v>271.92937952730153</v>
      </c>
      <c r="BD109" t="s">
        <v>808</v>
      </c>
      <c r="BE109">
        <v>447.71</v>
      </c>
      <c r="BF109">
        <f t="shared" si="126"/>
        <v>447.71</v>
      </c>
      <c r="BG109">
        <f t="shared" si="127"/>
        <v>0.466197913109618</v>
      </c>
      <c r="BH109">
        <f t="shared" si="128"/>
        <v>0.54306924047055138</v>
      </c>
      <c r="BI109">
        <f t="shared" si="129"/>
        <v>2.9170537201470791E-2</v>
      </c>
      <c r="BJ109">
        <f t="shared" si="130"/>
        <v>0.37545556215619891</v>
      </c>
      <c r="BK109">
        <f t="shared" si="131"/>
        <v>2.0350520836917879E-2</v>
      </c>
      <c r="BL109">
        <f t="shared" si="132"/>
        <v>0.38816665218821084</v>
      </c>
      <c r="BM109">
        <f t="shared" si="133"/>
        <v>0.61183334781178922</v>
      </c>
      <c r="BN109">
        <v>11354</v>
      </c>
      <c r="BO109">
        <v>290.00000000000011</v>
      </c>
      <c r="BP109">
        <v>780.24</v>
      </c>
      <c r="BQ109">
        <v>295</v>
      </c>
      <c r="BR109">
        <v>7102.14</v>
      </c>
      <c r="BS109">
        <v>781.6</v>
      </c>
      <c r="BT109">
        <v>-1.36</v>
      </c>
      <c r="BU109">
        <v>300.00000000000011</v>
      </c>
      <c r="BV109">
        <v>38.299999999999997</v>
      </c>
      <c r="BW109">
        <v>838.71908895691286</v>
      </c>
      <c r="BX109">
        <v>1.4199744438965509</v>
      </c>
      <c r="BY109">
        <v>-40.566018820058517</v>
      </c>
      <c r="BZ109">
        <v>0.84536695659800321</v>
      </c>
      <c r="CA109">
        <v>0.98798635651977695</v>
      </c>
      <c r="CB109">
        <v>-7.0028022246941086E-3</v>
      </c>
      <c r="CC109">
        <v>289.99999999999989</v>
      </c>
      <c r="CD109">
        <v>788.04</v>
      </c>
      <c r="CE109">
        <v>855</v>
      </c>
      <c r="CF109">
        <v>7093.61</v>
      </c>
      <c r="CG109">
        <v>781.53</v>
      </c>
      <c r="CH109">
        <v>6.51</v>
      </c>
      <c r="CV109">
        <f t="shared" si="134"/>
        <v>1800.22</v>
      </c>
      <c r="CW109">
        <f t="shared" si="135"/>
        <v>1513.3694996512145</v>
      </c>
      <c r="CX109">
        <f t="shared" si="136"/>
        <v>0.84065808604015868</v>
      </c>
      <c r="CY109">
        <f t="shared" si="137"/>
        <v>0.19131617208031729</v>
      </c>
      <c r="CZ109">
        <v>5</v>
      </c>
      <c r="DA109">
        <v>0.5</v>
      </c>
      <c r="DB109" t="s">
        <v>418</v>
      </c>
      <c r="DC109">
        <v>2</v>
      </c>
      <c r="DD109">
        <v>1700167707.5999999</v>
      </c>
      <c r="DE109">
        <v>264.726</v>
      </c>
      <c r="DF109">
        <v>299.96499999999997</v>
      </c>
      <c r="DG109">
        <v>28.3262</v>
      </c>
      <c r="DH109">
        <v>24.005600000000001</v>
      </c>
      <c r="DI109">
        <v>264.88600000000002</v>
      </c>
      <c r="DJ109">
        <v>28.324200000000001</v>
      </c>
      <c r="DK109">
        <v>500.137</v>
      </c>
      <c r="DL109">
        <v>98.798599999999993</v>
      </c>
      <c r="DM109">
        <v>9.9798899999999996E-2</v>
      </c>
      <c r="DN109">
        <v>30.2042</v>
      </c>
      <c r="DO109">
        <v>29.976900000000001</v>
      </c>
      <c r="DP109">
        <v>999.9</v>
      </c>
      <c r="DQ109">
        <v>0</v>
      </c>
      <c r="DR109">
        <v>0</v>
      </c>
      <c r="DS109">
        <v>10009.4</v>
      </c>
      <c r="DT109">
        <v>0</v>
      </c>
      <c r="DU109">
        <v>198.50899999999999</v>
      </c>
      <c r="DV109">
        <v>-35.238900000000001</v>
      </c>
      <c r="DW109">
        <v>272.44400000000002</v>
      </c>
      <c r="DX109">
        <v>307.34300000000002</v>
      </c>
      <c r="DY109">
        <v>4.32064</v>
      </c>
      <c r="DZ109">
        <v>299.96499999999997</v>
      </c>
      <c r="EA109">
        <v>24.005600000000001</v>
      </c>
      <c r="EB109">
        <v>2.7985899999999999</v>
      </c>
      <c r="EC109">
        <v>2.3717199999999998</v>
      </c>
      <c r="ED109">
        <v>22.875800000000002</v>
      </c>
      <c r="EE109">
        <v>20.172000000000001</v>
      </c>
      <c r="EF109">
        <v>1800.22</v>
      </c>
      <c r="EG109">
        <v>0.97800399999999998</v>
      </c>
      <c r="EH109">
        <v>2.1996399999999999E-2</v>
      </c>
      <c r="EI109">
        <v>0</v>
      </c>
      <c r="EJ109">
        <v>626.428</v>
      </c>
      <c r="EK109">
        <v>5.0005300000000004</v>
      </c>
      <c r="EL109">
        <v>12011.1</v>
      </c>
      <c r="EM109">
        <v>16037.2</v>
      </c>
      <c r="EN109">
        <v>47.436999999999998</v>
      </c>
      <c r="EO109">
        <v>48.436999999999998</v>
      </c>
      <c r="EP109">
        <v>48.061999999999998</v>
      </c>
      <c r="EQ109">
        <v>47.875</v>
      </c>
      <c r="ER109">
        <v>48.625</v>
      </c>
      <c r="ES109">
        <v>1755.73</v>
      </c>
      <c r="ET109">
        <v>39.49</v>
      </c>
      <c r="EU109">
        <v>0</v>
      </c>
      <c r="EV109">
        <v>271.39999985694891</v>
      </c>
      <c r="EW109">
        <v>0</v>
      </c>
      <c r="EX109">
        <v>626.37407999999994</v>
      </c>
      <c r="EY109">
        <v>-0.57423077227752095</v>
      </c>
      <c r="EZ109">
        <v>-27.953846202618202</v>
      </c>
      <c r="FA109">
        <v>12012.304</v>
      </c>
      <c r="FB109">
        <v>15</v>
      </c>
      <c r="FC109">
        <v>1700167616.0999999</v>
      </c>
      <c r="FD109" t="s">
        <v>809</v>
      </c>
      <c r="FE109">
        <v>1700167616.0999999</v>
      </c>
      <c r="FF109">
        <v>1700167614.5999999</v>
      </c>
      <c r="FG109">
        <v>101</v>
      </c>
      <c r="FH109">
        <v>0.19800000000000001</v>
      </c>
      <c r="FI109">
        <v>-2E-3</v>
      </c>
      <c r="FJ109">
        <v>-0.16300000000000001</v>
      </c>
      <c r="FK109">
        <v>2E-3</v>
      </c>
      <c r="FL109">
        <v>300</v>
      </c>
      <c r="FM109">
        <v>24</v>
      </c>
      <c r="FN109">
        <v>0.06</v>
      </c>
      <c r="FO109">
        <v>0.03</v>
      </c>
      <c r="FP109">
        <v>34.023913529701098</v>
      </c>
      <c r="FQ109">
        <v>0.53119765644602213</v>
      </c>
      <c r="FR109">
        <v>4.3380676282326551E-2</v>
      </c>
      <c r="FS109">
        <v>1</v>
      </c>
      <c r="FT109">
        <v>0.30669080628763762</v>
      </c>
      <c r="FU109">
        <v>7.5515665898444051E-3</v>
      </c>
      <c r="FV109">
        <v>5.8016036298401798E-4</v>
      </c>
      <c r="FW109">
        <v>1</v>
      </c>
      <c r="FX109">
        <v>2</v>
      </c>
      <c r="FY109">
        <v>2</v>
      </c>
      <c r="FZ109" t="s">
        <v>420</v>
      </c>
      <c r="GA109">
        <v>3.1230099999999998</v>
      </c>
      <c r="GB109">
        <v>2.7667600000000001</v>
      </c>
      <c r="GC109">
        <v>6.3476400000000002E-2</v>
      </c>
      <c r="GD109">
        <v>7.04626E-2</v>
      </c>
      <c r="GE109">
        <v>0.119881</v>
      </c>
      <c r="GF109">
        <v>0.106977</v>
      </c>
      <c r="GG109">
        <v>22318.799999999999</v>
      </c>
      <c r="GH109">
        <v>23090.799999999999</v>
      </c>
      <c r="GI109">
        <v>23698.1</v>
      </c>
      <c r="GJ109">
        <v>25161.8</v>
      </c>
      <c r="GK109">
        <v>30041.7</v>
      </c>
      <c r="GL109">
        <v>31502.6</v>
      </c>
      <c r="GM109">
        <v>37780.1</v>
      </c>
      <c r="GN109">
        <v>39163.599999999999</v>
      </c>
      <c r="GO109">
        <v>2.1516500000000001</v>
      </c>
      <c r="GP109">
        <v>1.7702199999999999</v>
      </c>
      <c r="GQ109">
        <v>2.92882E-2</v>
      </c>
      <c r="GR109">
        <v>0</v>
      </c>
      <c r="GS109">
        <v>29.5001</v>
      </c>
      <c r="GT109">
        <v>999.9</v>
      </c>
      <c r="GU109">
        <v>42.7</v>
      </c>
      <c r="GV109">
        <v>38.6</v>
      </c>
      <c r="GW109">
        <v>29.722000000000001</v>
      </c>
      <c r="GX109">
        <v>60.339399999999998</v>
      </c>
      <c r="GY109">
        <v>26.197900000000001</v>
      </c>
      <c r="GZ109">
        <v>1</v>
      </c>
      <c r="HA109">
        <v>0.59552300000000002</v>
      </c>
      <c r="HB109">
        <v>1.51081</v>
      </c>
      <c r="HC109">
        <v>20.314900000000002</v>
      </c>
      <c r="HD109">
        <v>5.2517300000000002</v>
      </c>
      <c r="HE109">
        <v>12.010400000000001</v>
      </c>
      <c r="HF109">
        <v>4.9790000000000001</v>
      </c>
      <c r="HG109">
        <v>3.2930000000000001</v>
      </c>
      <c r="HH109">
        <v>9999</v>
      </c>
      <c r="HI109">
        <v>9999</v>
      </c>
      <c r="HJ109">
        <v>9999</v>
      </c>
      <c r="HK109">
        <v>999.9</v>
      </c>
      <c r="HL109">
        <v>1.8760699999999999</v>
      </c>
      <c r="HM109">
        <v>1.87687</v>
      </c>
      <c r="HN109">
        <v>1.88324</v>
      </c>
      <c r="HO109">
        <v>1.88629</v>
      </c>
      <c r="HP109">
        <v>1.8771199999999999</v>
      </c>
      <c r="HQ109">
        <v>1.88368</v>
      </c>
      <c r="HR109">
        <v>1.88262</v>
      </c>
      <c r="HS109">
        <v>1.8859900000000001</v>
      </c>
      <c r="HT109">
        <v>5</v>
      </c>
      <c r="HU109">
        <v>0</v>
      </c>
      <c r="HV109">
        <v>0</v>
      </c>
      <c r="HW109">
        <v>0</v>
      </c>
      <c r="HX109" t="s">
        <v>421</v>
      </c>
      <c r="HY109" t="s">
        <v>422</v>
      </c>
      <c r="HZ109" t="s">
        <v>423</v>
      </c>
      <c r="IA109" t="s">
        <v>424</v>
      </c>
      <c r="IB109" t="s">
        <v>424</v>
      </c>
      <c r="IC109" t="s">
        <v>423</v>
      </c>
      <c r="ID109">
        <v>0</v>
      </c>
      <c r="IE109">
        <v>100</v>
      </c>
      <c r="IF109">
        <v>100</v>
      </c>
      <c r="IG109">
        <v>-0.16</v>
      </c>
      <c r="IH109">
        <v>2E-3</v>
      </c>
      <c r="II109">
        <v>-0.1565355744608391</v>
      </c>
      <c r="IJ109">
        <v>4.4610147972834149E-5</v>
      </c>
      <c r="IK109">
        <v>-2.082673137682459E-7</v>
      </c>
      <c r="IL109">
        <v>-4.0725795306076518E-11</v>
      </c>
      <c r="IM109">
        <v>1.9949999999973041E-3</v>
      </c>
      <c r="IN109">
        <v>0</v>
      </c>
      <c r="IO109">
        <v>0</v>
      </c>
      <c r="IP109">
        <v>0</v>
      </c>
      <c r="IQ109">
        <v>3</v>
      </c>
      <c r="IR109">
        <v>2179</v>
      </c>
      <c r="IS109">
        <v>0</v>
      </c>
      <c r="IT109">
        <v>22</v>
      </c>
      <c r="IU109">
        <v>1.5</v>
      </c>
      <c r="IV109">
        <v>1.6</v>
      </c>
      <c r="IW109">
        <v>0.81298800000000004</v>
      </c>
      <c r="IX109">
        <v>2.6879900000000001</v>
      </c>
      <c r="IY109">
        <v>1.6015600000000001</v>
      </c>
      <c r="IZ109">
        <v>2.32666</v>
      </c>
      <c r="JA109">
        <v>1.5502899999999999</v>
      </c>
      <c r="JB109">
        <v>2.3547400000000001</v>
      </c>
      <c r="JC109">
        <v>42.510300000000001</v>
      </c>
      <c r="JD109">
        <v>24.210100000000001</v>
      </c>
      <c r="JE109">
        <v>18</v>
      </c>
      <c r="JF109">
        <v>615.30399999999997</v>
      </c>
      <c r="JG109">
        <v>398.01299999999998</v>
      </c>
      <c r="JH109">
        <v>27.8475</v>
      </c>
      <c r="JI109">
        <v>34.356000000000002</v>
      </c>
      <c r="JJ109">
        <v>29.9998</v>
      </c>
      <c r="JK109">
        <v>34.434100000000001</v>
      </c>
      <c r="JL109">
        <v>34.4251</v>
      </c>
      <c r="JM109">
        <v>16.259799999999998</v>
      </c>
      <c r="JN109">
        <v>26.870100000000001</v>
      </c>
      <c r="JO109">
        <v>64.157899999999998</v>
      </c>
      <c r="JP109">
        <v>27.8629</v>
      </c>
      <c r="JQ109">
        <v>300</v>
      </c>
      <c r="JR109">
        <v>23.955100000000002</v>
      </c>
      <c r="JS109">
        <v>98.535700000000006</v>
      </c>
      <c r="JT109">
        <v>99.104500000000002</v>
      </c>
    </row>
    <row r="110" spans="1:280" x14ac:dyDescent="0.25">
      <c r="A110">
        <v>94</v>
      </c>
      <c r="B110">
        <v>1700167899.0999999</v>
      </c>
      <c r="C110">
        <v>20025.599999904629</v>
      </c>
      <c r="D110" t="s">
        <v>810</v>
      </c>
      <c r="E110" t="s">
        <v>811</v>
      </c>
      <c r="F110" t="s">
        <v>412</v>
      </c>
      <c r="G110" t="s">
        <v>598</v>
      </c>
      <c r="H110" t="s">
        <v>774</v>
      </c>
      <c r="I110">
        <v>1700167899.0999999</v>
      </c>
      <c r="J110">
        <f t="shared" si="92"/>
        <v>5.437935827421604E-3</v>
      </c>
      <c r="K110">
        <f t="shared" si="93"/>
        <v>5.4379358274216036</v>
      </c>
      <c r="L110">
        <f t="shared" si="94"/>
        <v>26.54643287490352</v>
      </c>
      <c r="M110">
        <f t="shared" si="95"/>
        <v>172.58</v>
      </c>
      <c r="N110">
        <f t="shared" si="96"/>
        <v>53.754482739183118</v>
      </c>
      <c r="O110">
        <f t="shared" si="97"/>
        <v>5.3160588162625455</v>
      </c>
      <c r="P110">
        <f t="shared" si="98"/>
        <v>17.067328783760001</v>
      </c>
      <c r="Q110">
        <f t="shared" si="99"/>
        <v>0.3872881777473221</v>
      </c>
      <c r="R110">
        <f t="shared" si="100"/>
        <v>3.1124262958919711</v>
      </c>
      <c r="S110">
        <f t="shared" si="101"/>
        <v>0.36236910358055519</v>
      </c>
      <c r="T110">
        <f t="shared" si="102"/>
        <v>0.22858582649060677</v>
      </c>
      <c r="U110">
        <f t="shared" si="103"/>
        <v>344.3636993023319</v>
      </c>
      <c r="V110">
        <f t="shared" si="104"/>
        <v>30.939795843210373</v>
      </c>
      <c r="W110">
        <f t="shared" si="105"/>
        <v>29.960799999999999</v>
      </c>
      <c r="X110">
        <f t="shared" si="106"/>
        <v>4.2508662829082224</v>
      </c>
      <c r="Y110">
        <f t="shared" si="107"/>
        <v>64.839548581750961</v>
      </c>
      <c r="Z110">
        <f t="shared" si="108"/>
        <v>2.8198375973048</v>
      </c>
      <c r="AA110">
        <f t="shared" si="109"/>
        <v>4.3489469914330048</v>
      </c>
      <c r="AB110">
        <f t="shared" si="110"/>
        <v>1.4310286856034224</v>
      </c>
      <c r="AC110">
        <f t="shared" si="111"/>
        <v>-239.81296998929272</v>
      </c>
      <c r="AD110">
        <f t="shared" si="112"/>
        <v>66.716137482137384</v>
      </c>
      <c r="AE110">
        <f t="shared" si="113"/>
        <v>4.7737227222339618</v>
      </c>
      <c r="AF110">
        <f t="shared" si="114"/>
        <v>176.04058951741052</v>
      </c>
      <c r="AG110">
        <v>0</v>
      </c>
      <c r="AH110">
        <v>0</v>
      </c>
      <c r="AI110">
        <f t="shared" si="115"/>
        <v>1</v>
      </c>
      <c r="AJ110">
        <f t="shared" si="116"/>
        <v>0</v>
      </c>
      <c r="AK110">
        <f t="shared" si="117"/>
        <v>51450.895583892961</v>
      </c>
      <c r="AL110" t="s">
        <v>415</v>
      </c>
      <c r="AM110">
        <v>6977.87</v>
      </c>
      <c r="AN110">
        <v>273.15280000000001</v>
      </c>
      <c r="AO110">
        <v>850.46774885301022</v>
      </c>
      <c r="AP110">
        <f t="shared" si="118"/>
        <v>0.67882050745793765</v>
      </c>
      <c r="AQ110">
        <v>-1.0323826813720729</v>
      </c>
      <c r="AR110" t="s">
        <v>812</v>
      </c>
      <c r="AS110">
        <v>7102.17</v>
      </c>
      <c r="AT110">
        <v>641.17626923076921</v>
      </c>
      <c r="AU110">
        <v>808.04178169279407</v>
      </c>
      <c r="AV110">
        <f t="shared" si="119"/>
        <v>0.20650604491323787</v>
      </c>
      <c r="AW110">
        <v>0.5</v>
      </c>
      <c r="AX110">
        <f t="shared" si="120"/>
        <v>1513.159499651166</v>
      </c>
      <c r="AY110">
        <f t="shared" si="121"/>
        <v>26.54643287490352</v>
      </c>
      <c r="AZ110">
        <f t="shared" si="122"/>
        <v>156.23829179792813</v>
      </c>
      <c r="BA110">
        <f t="shared" si="123"/>
        <v>1.822598051470016E-2</v>
      </c>
      <c r="BB110">
        <f t="shared" si="124"/>
        <v>5.2504670081956098E-2</v>
      </c>
      <c r="BC110">
        <f t="shared" si="125"/>
        <v>268.62289835878039</v>
      </c>
      <c r="BD110" t="s">
        <v>813</v>
      </c>
      <c r="BE110">
        <v>445.14</v>
      </c>
      <c r="BF110">
        <f t="shared" si="126"/>
        <v>445.14</v>
      </c>
      <c r="BG110">
        <f t="shared" si="127"/>
        <v>0.44911264480970137</v>
      </c>
      <c r="BH110">
        <f t="shared" si="128"/>
        <v>0.45980901962967191</v>
      </c>
      <c r="BI110">
        <f t="shared" si="129"/>
        <v>0.10467076897713627</v>
      </c>
      <c r="BJ110">
        <f t="shared" si="130"/>
        <v>0.31196288982049314</v>
      </c>
      <c r="BK110">
        <f t="shared" si="131"/>
        <v>7.3488426455103256E-2</v>
      </c>
      <c r="BL110">
        <f t="shared" si="132"/>
        <v>0.31922483226571957</v>
      </c>
      <c r="BM110">
        <f t="shared" si="133"/>
        <v>0.68077516773428037</v>
      </c>
      <c r="BN110">
        <v>11356</v>
      </c>
      <c r="BO110">
        <v>290.00000000000011</v>
      </c>
      <c r="BP110">
        <v>762.89</v>
      </c>
      <c r="BQ110">
        <v>295</v>
      </c>
      <c r="BR110">
        <v>7102.17</v>
      </c>
      <c r="BS110">
        <v>764.64</v>
      </c>
      <c r="BT110">
        <v>-1.75</v>
      </c>
      <c r="BU110">
        <v>300.00000000000011</v>
      </c>
      <c r="BV110">
        <v>38.299999999999997</v>
      </c>
      <c r="BW110">
        <v>808.04178169279407</v>
      </c>
      <c r="BX110">
        <v>1.1780960809676679</v>
      </c>
      <c r="BY110">
        <v>-30.822397088680422</v>
      </c>
      <c r="BZ110">
        <v>0.70136966394957834</v>
      </c>
      <c r="CA110">
        <v>0.98570882916615166</v>
      </c>
      <c r="CB110">
        <v>-7.0027103448275889E-3</v>
      </c>
      <c r="CC110">
        <v>289.99999999999989</v>
      </c>
      <c r="CD110">
        <v>769.17</v>
      </c>
      <c r="CE110">
        <v>815</v>
      </c>
      <c r="CF110">
        <v>7094.33</v>
      </c>
      <c r="CG110">
        <v>764.6</v>
      </c>
      <c r="CH110">
        <v>4.57</v>
      </c>
      <c r="CV110">
        <f t="shared" si="134"/>
        <v>1799.97</v>
      </c>
      <c r="CW110">
        <f t="shared" si="135"/>
        <v>1513.159499651166</v>
      </c>
      <c r="CX110">
        <f t="shared" si="136"/>
        <v>0.84065817744249405</v>
      </c>
      <c r="CY110">
        <f t="shared" si="137"/>
        <v>0.19131635488498802</v>
      </c>
      <c r="CZ110">
        <v>5</v>
      </c>
      <c r="DA110">
        <v>0.5</v>
      </c>
      <c r="DB110" t="s">
        <v>418</v>
      </c>
      <c r="DC110">
        <v>2</v>
      </c>
      <c r="DD110">
        <v>1700167899.0999999</v>
      </c>
      <c r="DE110">
        <v>172.58</v>
      </c>
      <c r="DF110">
        <v>200.05199999999999</v>
      </c>
      <c r="DG110">
        <v>28.513400000000001</v>
      </c>
      <c r="DH110">
        <v>23.233000000000001</v>
      </c>
      <c r="DI110">
        <v>172.63</v>
      </c>
      <c r="DJ110">
        <v>28.513500000000001</v>
      </c>
      <c r="DK110">
        <v>500.23500000000001</v>
      </c>
      <c r="DL110">
        <v>98.794899999999998</v>
      </c>
      <c r="DM110">
        <v>0.100272</v>
      </c>
      <c r="DN110">
        <v>30.3584</v>
      </c>
      <c r="DO110">
        <v>29.960799999999999</v>
      </c>
      <c r="DP110">
        <v>999.9</v>
      </c>
      <c r="DQ110">
        <v>0</v>
      </c>
      <c r="DR110">
        <v>0</v>
      </c>
      <c r="DS110">
        <v>9957.5</v>
      </c>
      <c r="DT110">
        <v>0</v>
      </c>
      <c r="DU110">
        <v>199.923</v>
      </c>
      <c r="DV110">
        <v>-27.4724</v>
      </c>
      <c r="DW110">
        <v>177.64500000000001</v>
      </c>
      <c r="DX110">
        <v>204.81100000000001</v>
      </c>
      <c r="DY110">
        <v>5.2803800000000001</v>
      </c>
      <c r="DZ110">
        <v>200.05199999999999</v>
      </c>
      <c r="EA110">
        <v>23.233000000000001</v>
      </c>
      <c r="EB110">
        <v>2.81698</v>
      </c>
      <c r="EC110">
        <v>2.2953000000000001</v>
      </c>
      <c r="ED110">
        <v>22.983899999999998</v>
      </c>
      <c r="EE110">
        <v>19.6435</v>
      </c>
      <c r="EF110">
        <v>1799.97</v>
      </c>
      <c r="EG110">
        <v>0.97799999999999998</v>
      </c>
      <c r="EH110">
        <v>2.1999999999999999E-2</v>
      </c>
      <c r="EI110">
        <v>0</v>
      </c>
      <c r="EJ110">
        <v>641.02200000000005</v>
      </c>
      <c r="EK110">
        <v>5.0005300000000004</v>
      </c>
      <c r="EL110">
        <v>12271.6</v>
      </c>
      <c r="EM110">
        <v>16035</v>
      </c>
      <c r="EN110">
        <v>47.436999999999998</v>
      </c>
      <c r="EO110">
        <v>48.375</v>
      </c>
      <c r="EP110">
        <v>48</v>
      </c>
      <c r="EQ110">
        <v>47.811999999999998</v>
      </c>
      <c r="ER110">
        <v>48.625</v>
      </c>
      <c r="ES110">
        <v>1755.48</v>
      </c>
      <c r="ET110">
        <v>39.49</v>
      </c>
      <c r="EU110">
        <v>0</v>
      </c>
      <c r="EV110">
        <v>189.80000019073489</v>
      </c>
      <c r="EW110">
        <v>0</v>
      </c>
      <c r="EX110">
        <v>641.17626923076921</v>
      </c>
      <c r="EY110">
        <v>-0.44803417252782662</v>
      </c>
      <c r="EZ110">
        <v>-10.67350425610195</v>
      </c>
      <c r="FA110">
        <v>12273.3</v>
      </c>
      <c r="FB110">
        <v>15</v>
      </c>
      <c r="FC110">
        <v>1700167783.0999999</v>
      </c>
      <c r="FD110" t="s">
        <v>814</v>
      </c>
      <c r="FE110">
        <v>1700167781.0999999</v>
      </c>
      <c r="FF110">
        <v>1700167783.0999999</v>
      </c>
      <c r="FG110">
        <v>102</v>
      </c>
      <c r="FH110">
        <v>0.105</v>
      </c>
      <c r="FI110">
        <v>-2E-3</v>
      </c>
      <c r="FJ110">
        <v>-5.0999999999999997E-2</v>
      </c>
      <c r="FK110">
        <v>0</v>
      </c>
      <c r="FL110">
        <v>200</v>
      </c>
      <c r="FM110">
        <v>24</v>
      </c>
      <c r="FN110">
        <v>0.04</v>
      </c>
      <c r="FO110">
        <v>0.03</v>
      </c>
      <c r="FP110">
        <v>26.449647716233422</v>
      </c>
      <c r="FQ110">
        <v>0.69732773508428747</v>
      </c>
      <c r="FR110">
        <v>6.0201087165568067E-2</v>
      </c>
      <c r="FS110">
        <v>1</v>
      </c>
      <c r="FT110">
        <v>0.38209027537276641</v>
      </c>
      <c r="FU110">
        <v>1.513685478977372E-2</v>
      </c>
      <c r="FV110">
        <v>1.257305378377151E-3</v>
      </c>
      <c r="FW110">
        <v>1</v>
      </c>
      <c r="FX110">
        <v>2</v>
      </c>
      <c r="FY110">
        <v>2</v>
      </c>
      <c r="FZ110" t="s">
        <v>420</v>
      </c>
      <c r="GA110">
        <v>3.1231499999999999</v>
      </c>
      <c r="GB110">
        <v>2.7667799999999998</v>
      </c>
      <c r="GC110">
        <v>4.3667600000000001E-2</v>
      </c>
      <c r="GD110">
        <v>4.9916799999999997E-2</v>
      </c>
      <c r="GE110">
        <v>0.12044100000000001</v>
      </c>
      <c r="GF110">
        <v>0.104542</v>
      </c>
      <c r="GG110">
        <v>22793</v>
      </c>
      <c r="GH110">
        <v>23604.2</v>
      </c>
      <c r="GI110">
        <v>23700.7</v>
      </c>
      <c r="GJ110">
        <v>25165.3</v>
      </c>
      <c r="GK110">
        <v>30025.8</v>
      </c>
      <c r="GL110">
        <v>31592.400000000001</v>
      </c>
      <c r="GM110">
        <v>37784.1</v>
      </c>
      <c r="GN110">
        <v>39168.400000000001</v>
      </c>
      <c r="GO110">
        <v>2.1534499999999999</v>
      </c>
      <c r="GP110">
        <v>1.7699</v>
      </c>
      <c r="GQ110">
        <v>2.65986E-2</v>
      </c>
      <c r="GR110">
        <v>0</v>
      </c>
      <c r="GS110">
        <v>29.527699999999999</v>
      </c>
      <c r="GT110">
        <v>999.9</v>
      </c>
      <c r="GU110">
        <v>42.7</v>
      </c>
      <c r="GV110">
        <v>38.5</v>
      </c>
      <c r="GW110">
        <v>29.560700000000001</v>
      </c>
      <c r="GX110">
        <v>60.699399999999997</v>
      </c>
      <c r="GY110">
        <v>26.049700000000001</v>
      </c>
      <c r="GZ110">
        <v>1</v>
      </c>
      <c r="HA110">
        <v>0.59087100000000004</v>
      </c>
      <c r="HB110">
        <v>1.1927000000000001</v>
      </c>
      <c r="HC110">
        <v>20.318100000000001</v>
      </c>
      <c r="HD110">
        <v>5.2517300000000002</v>
      </c>
      <c r="HE110">
        <v>12.0105</v>
      </c>
      <c r="HF110">
        <v>4.9787999999999997</v>
      </c>
      <c r="HG110">
        <v>3.2930000000000001</v>
      </c>
      <c r="HH110">
        <v>9999</v>
      </c>
      <c r="HI110">
        <v>9999</v>
      </c>
      <c r="HJ110">
        <v>9999</v>
      </c>
      <c r="HK110">
        <v>999.9</v>
      </c>
      <c r="HL110">
        <v>1.8760699999999999</v>
      </c>
      <c r="HM110">
        <v>1.87696</v>
      </c>
      <c r="HN110">
        <v>1.88324</v>
      </c>
      <c r="HO110">
        <v>1.8863399999999999</v>
      </c>
      <c r="HP110">
        <v>1.87714</v>
      </c>
      <c r="HQ110">
        <v>1.8836999999999999</v>
      </c>
      <c r="HR110">
        <v>1.88263</v>
      </c>
      <c r="HS110">
        <v>1.8859900000000001</v>
      </c>
      <c r="HT110">
        <v>5</v>
      </c>
      <c r="HU110">
        <v>0</v>
      </c>
      <c r="HV110">
        <v>0</v>
      </c>
      <c r="HW110">
        <v>0</v>
      </c>
      <c r="HX110" t="s">
        <v>421</v>
      </c>
      <c r="HY110" t="s">
        <v>422</v>
      </c>
      <c r="HZ110" t="s">
        <v>423</v>
      </c>
      <c r="IA110" t="s">
        <v>424</v>
      </c>
      <c r="IB110" t="s">
        <v>424</v>
      </c>
      <c r="IC110" t="s">
        <v>423</v>
      </c>
      <c r="ID110">
        <v>0</v>
      </c>
      <c r="IE110">
        <v>100</v>
      </c>
      <c r="IF110">
        <v>100</v>
      </c>
      <c r="IG110">
        <v>-0.05</v>
      </c>
      <c r="IH110">
        <v>-1E-4</v>
      </c>
      <c r="II110">
        <v>-5.1616672419109583E-2</v>
      </c>
      <c r="IJ110">
        <v>4.4610147972834149E-5</v>
      </c>
      <c r="IK110">
        <v>-2.082673137682459E-7</v>
      </c>
      <c r="IL110">
        <v>-4.0725795306076518E-11</v>
      </c>
      <c r="IM110">
        <v>-1.3999999999825261E-4</v>
      </c>
      <c r="IN110">
        <v>0</v>
      </c>
      <c r="IO110">
        <v>0</v>
      </c>
      <c r="IP110">
        <v>0</v>
      </c>
      <c r="IQ110">
        <v>3</v>
      </c>
      <c r="IR110">
        <v>2179</v>
      </c>
      <c r="IS110">
        <v>0</v>
      </c>
      <c r="IT110">
        <v>22</v>
      </c>
      <c r="IU110">
        <v>2</v>
      </c>
      <c r="IV110">
        <v>1.9</v>
      </c>
      <c r="IW110">
        <v>0.59570299999999998</v>
      </c>
      <c r="IX110">
        <v>2.6879900000000001</v>
      </c>
      <c r="IY110">
        <v>1.6015600000000001</v>
      </c>
      <c r="IZ110">
        <v>2.32666</v>
      </c>
      <c r="JA110">
        <v>1.5502899999999999</v>
      </c>
      <c r="JB110">
        <v>2.3828100000000001</v>
      </c>
      <c r="JC110">
        <v>42.403799999999997</v>
      </c>
      <c r="JD110">
        <v>24.218800000000002</v>
      </c>
      <c r="JE110">
        <v>18</v>
      </c>
      <c r="JF110">
        <v>616.24</v>
      </c>
      <c r="JG110">
        <v>397.54399999999998</v>
      </c>
      <c r="JH110">
        <v>28.2578</v>
      </c>
      <c r="JI110">
        <v>34.315600000000003</v>
      </c>
      <c r="JJ110">
        <v>29.9999</v>
      </c>
      <c r="JK110">
        <v>34.393599999999999</v>
      </c>
      <c r="JL110">
        <v>34.3842</v>
      </c>
      <c r="JM110">
        <v>11.9055</v>
      </c>
      <c r="JN110">
        <v>28.809799999999999</v>
      </c>
      <c r="JO110">
        <v>62.776899999999998</v>
      </c>
      <c r="JP110">
        <v>28.264700000000001</v>
      </c>
      <c r="JQ110">
        <v>200</v>
      </c>
      <c r="JR110">
        <v>23.319400000000002</v>
      </c>
      <c r="JS110">
        <v>98.546199999999999</v>
      </c>
      <c r="JT110">
        <v>99.1173</v>
      </c>
    </row>
    <row r="111" spans="1:280" x14ac:dyDescent="0.25">
      <c r="A111">
        <v>95</v>
      </c>
      <c r="B111">
        <v>1700168024</v>
      </c>
      <c r="C111">
        <v>20150.5</v>
      </c>
      <c r="D111" t="s">
        <v>815</v>
      </c>
      <c r="E111" t="s">
        <v>816</v>
      </c>
      <c r="F111" t="s">
        <v>412</v>
      </c>
      <c r="G111" t="s">
        <v>598</v>
      </c>
      <c r="H111" t="s">
        <v>774</v>
      </c>
      <c r="I111">
        <v>1700168024</v>
      </c>
      <c r="J111">
        <f t="shared" si="92"/>
        <v>5.7332960271281406E-3</v>
      </c>
      <c r="K111">
        <f t="shared" si="93"/>
        <v>5.7332960271281408</v>
      </c>
      <c r="L111">
        <f t="shared" si="94"/>
        <v>16.657364124252307</v>
      </c>
      <c r="M111">
        <f t="shared" si="95"/>
        <v>102.76</v>
      </c>
      <c r="N111">
        <f t="shared" si="96"/>
        <v>33.709694775929833</v>
      </c>
      <c r="O111">
        <f t="shared" si="97"/>
        <v>3.333745874120702</v>
      </c>
      <c r="P111">
        <f t="shared" si="98"/>
        <v>10.162528266772</v>
      </c>
      <c r="Q111">
        <f t="shared" si="99"/>
        <v>0.42013736231334775</v>
      </c>
      <c r="R111">
        <f t="shared" si="100"/>
        <v>3.1306910921315581</v>
      </c>
      <c r="S111">
        <f t="shared" si="101"/>
        <v>0.39113994422927401</v>
      </c>
      <c r="T111">
        <f t="shared" si="102"/>
        <v>0.24690078701854132</v>
      </c>
      <c r="U111">
        <f t="shared" si="103"/>
        <v>344.37129930234744</v>
      </c>
      <c r="V111">
        <f t="shared" si="104"/>
        <v>30.873830201009131</v>
      </c>
      <c r="W111">
        <f t="shared" si="105"/>
        <v>29.958500000000001</v>
      </c>
      <c r="X111">
        <f t="shared" si="106"/>
        <v>4.2503045703034275</v>
      </c>
      <c r="Y111">
        <f t="shared" si="107"/>
        <v>65.561937046602807</v>
      </c>
      <c r="Z111">
        <f t="shared" si="108"/>
        <v>2.8527569738821699</v>
      </c>
      <c r="AA111">
        <f t="shared" si="109"/>
        <v>4.3512396100413717</v>
      </c>
      <c r="AB111">
        <f t="shared" si="110"/>
        <v>1.3975475964212576</v>
      </c>
      <c r="AC111">
        <f t="shared" si="111"/>
        <v>-252.83835479635101</v>
      </c>
      <c r="AD111">
        <f t="shared" si="112"/>
        <v>69.048641808845275</v>
      </c>
      <c r="AE111">
        <f t="shared" si="113"/>
        <v>4.9119635049372352</v>
      </c>
      <c r="AF111">
        <f t="shared" si="114"/>
        <v>165.49354981977896</v>
      </c>
      <c r="AG111">
        <v>0</v>
      </c>
      <c r="AH111">
        <v>0</v>
      </c>
      <c r="AI111">
        <f t="shared" si="115"/>
        <v>1</v>
      </c>
      <c r="AJ111">
        <f t="shared" si="116"/>
        <v>0</v>
      </c>
      <c r="AK111">
        <f t="shared" si="117"/>
        <v>51911.208578895341</v>
      </c>
      <c r="AL111" t="s">
        <v>427</v>
      </c>
      <c r="AM111" t="s">
        <v>427</v>
      </c>
      <c r="AN111">
        <v>0</v>
      </c>
      <c r="AO111">
        <v>0</v>
      </c>
      <c r="AP111" t="e">
        <f t="shared" si="118"/>
        <v>#DIV/0!</v>
      </c>
      <c r="AQ111">
        <v>0</v>
      </c>
      <c r="AR111" t="s">
        <v>427</v>
      </c>
      <c r="AS111" t="s">
        <v>427</v>
      </c>
      <c r="AT111">
        <v>0</v>
      </c>
      <c r="AU111">
        <v>0</v>
      </c>
      <c r="AV111" t="e">
        <f t="shared" si="119"/>
        <v>#DIV/0!</v>
      </c>
      <c r="AW111">
        <v>0.5</v>
      </c>
      <c r="AX111">
        <f t="shared" si="120"/>
        <v>1513.1930996511737</v>
      </c>
      <c r="AY111">
        <f t="shared" si="121"/>
        <v>16.657364124252307</v>
      </c>
      <c r="AZ111" t="e">
        <f t="shared" si="122"/>
        <v>#DIV/0!</v>
      </c>
      <c r="BA111">
        <f t="shared" si="123"/>
        <v>1.100808887384711E-2</v>
      </c>
      <c r="BB111" t="e">
        <f t="shared" si="124"/>
        <v>#DIV/0!</v>
      </c>
      <c r="BC111" t="e">
        <f t="shared" si="125"/>
        <v>#DIV/0!</v>
      </c>
      <c r="BD111" t="s">
        <v>427</v>
      </c>
      <c r="BE111">
        <v>0</v>
      </c>
      <c r="BF111" t="e">
        <f t="shared" si="126"/>
        <v>#DIV/0!</v>
      </c>
      <c r="BG111" t="e">
        <f t="shared" si="127"/>
        <v>#DIV/0!</v>
      </c>
      <c r="BH111" t="e">
        <f t="shared" si="128"/>
        <v>#DIV/0!</v>
      </c>
      <c r="BI111" t="e">
        <f t="shared" si="129"/>
        <v>#DIV/0!</v>
      </c>
      <c r="BJ111" t="e">
        <f t="shared" si="130"/>
        <v>#DIV/0!</v>
      </c>
      <c r="BK111" t="e">
        <f t="shared" si="131"/>
        <v>#DIV/0!</v>
      </c>
      <c r="BL111" t="e">
        <f t="shared" si="132"/>
        <v>#DIV/0!</v>
      </c>
      <c r="BM111" t="e">
        <f t="shared" si="133"/>
        <v>#DIV/0!</v>
      </c>
      <c r="BN111">
        <v>11356</v>
      </c>
      <c r="BO111">
        <v>290.00000000000011</v>
      </c>
      <c r="BP111">
        <v>762.89</v>
      </c>
      <c r="BQ111">
        <v>295</v>
      </c>
      <c r="BR111">
        <v>7102.17</v>
      </c>
      <c r="BS111">
        <v>764.64</v>
      </c>
      <c r="BT111">
        <v>-1.75</v>
      </c>
      <c r="BU111">
        <v>300.00000000000011</v>
      </c>
      <c r="BV111">
        <v>38.299999999999997</v>
      </c>
      <c r="BW111">
        <v>808.04178169279407</v>
      </c>
      <c r="BX111">
        <v>1.1780960809676679</v>
      </c>
      <c r="BY111">
        <v>-30.822397088680422</v>
      </c>
      <c r="BZ111">
        <v>0.70136966394957834</v>
      </c>
      <c r="CA111">
        <v>0.98570882916615166</v>
      </c>
      <c r="CB111">
        <v>-7.0027103448275889E-3</v>
      </c>
      <c r="CC111">
        <v>289.99999999999989</v>
      </c>
      <c r="CD111">
        <v>769.17</v>
      </c>
      <c r="CE111">
        <v>815</v>
      </c>
      <c r="CF111">
        <v>7094.33</v>
      </c>
      <c r="CG111">
        <v>764.6</v>
      </c>
      <c r="CH111">
        <v>4.57</v>
      </c>
      <c r="CV111">
        <f t="shared" si="134"/>
        <v>1800.01</v>
      </c>
      <c r="CW111">
        <f t="shared" si="135"/>
        <v>1513.1930996511737</v>
      </c>
      <c r="CX111">
        <f t="shared" si="136"/>
        <v>0.84065816281641415</v>
      </c>
      <c r="CY111">
        <f t="shared" si="137"/>
        <v>0.19131632563282838</v>
      </c>
      <c r="CZ111">
        <v>5</v>
      </c>
      <c r="DA111">
        <v>0.5</v>
      </c>
      <c r="DB111" t="s">
        <v>418</v>
      </c>
      <c r="DC111">
        <v>2</v>
      </c>
      <c r="DD111">
        <v>1700168024</v>
      </c>
      <c r="DE111">
        <v>102.76</v>
      </c>
      <c r="DF111">
        <v>120.004</v>
      </c>
      <c r="DG111">
        <v>28.8461</v>
      </c>
      <c r="DH111">
        <v>23.279</v>
      </c>
      <c r="DI111">
        <v>102.69</v>
      </c>
      <c r="DJ111">
        <v>28.844799999999999</v>
      </c>
      <c r="DK111">
        <v>500.07299999999998</v>
      </c>
      <c r="DL111">
        <v>98.796099999999996</v>
      </c>
      <c r="DM111">
        <v>9.9659700000000004E-2</v>
      </c>
      <c r="DN111">
        <v>30.367599999999999</v>
      </c>
      <c r="DO111">
        <v>29.958500000000001</v>
      </c>
      <c r="DP111">
        <v>999.9</v>
      </c>
      <c r="DQ111">
        <v>0</v>
      </c>
      <c r="DR111">
        <v>0</v>
      </c>
      <c r="DS111">
        <v>10050.6</v>
      </c>
      <c r="DT111">
        <v>0</v>
      </c>
      <c r="DU111">
        <v>190.273</v>
      </c>
      <c r="DV111">
        <v>-17.2438</v>
      </c>
      <c r="DW111">
        <v>105.813</v>
      </c>
      <c r="DX111">
        <v>122.864</v>
      </c>
      <c r="DY111">
        <v>5.5670200000000003</v>
      </c>
      <c r="DZ111">
        <v>120.004</v>
      </c>
      <c r="EA111">
        <v>23.279</v>
      </c>
      <c r="EB111">
        <v>2.8498800000000002</v>
      </c>
      <c r="EC111">
        <v>2.2998799999999999</v>
      </c>
      <c r="ED111">
        <v>23.175899999999999</v>
      </c>
      <c r="EE111">
        <v>19.6755</v>
      </c>
      <c r="EF111">
        <v>1800.01</v>
      </c>
      <c r="EG111">
        <v>0.97799999999999998</v>
      </c>
      <c r="EH111">
        <v>2.1999999999999999E-2</v>
      </c>
      <c r="EI111">
        <v>0</v>
      </c>
      <c r="EJ111">
        <v>662.404</v>
      </c>
      <c r="EK111">
        <v>5.0005300000000004</v>
      </c>
      <c r="EL111">
        <v>12637.8</v>
      </c>
      <c r="EM111">
        <v>16035.4</v>
      </c>
      <c r="EN111">
        <v>47.375</v>
      </c>
      <c r="EO111">
        <v>48.375</v>
      </c>
      <c r="EP111">
        <v>48</v>
      </c>
      <c r="EQ111">
        <v>47.811999999999998</v>
      </c>
      <c r="ER111">
        <v>48.625</v>
      </c>
      <c r="ES111">
        <v>1755.52</v>
      </c>
      <c r="ET111">
        <v>39.49</v>
      </c>
      <c r="EU111">
        <v>0</v>
      </c>
      <c r="EV111">
        <v>123</v>
      </c>
      <c r="EW111">
        <v>0</v>
      </c>
      <c r="EX111">
        <v>662.67844000000002</v>
      </c>
      <c r="EY111">
        <v>-1.3158461687260119</v>
      </c>
      <c r="EZ111">
        <v>-27.800000013444119</v>
      </c>
      <c r="FA111">
        <v>12640.987999999999</v>
      </c>
      <c r="FB111">
        <v>15</v>
      </c>
      <c r="FC111">
        <v>1700167983.0999999</v>
      </c>
      <c r="FD111" t="s">
        <v>817</v>
      </c>
      <c r="FE111">
        <v>1700167973.0999999</v>
      </c>
      <c r="FF111">
        <v>1700167983.0999999</v>
      </c>
      <c r="FG111">
        <v>103</v>
      </c>
      <c r="FH111">
        <v>0.12</v>
      </c>
      <c r="FI111">
        <v>1E-3</v>
      </c>
      <c r="FJ111">
        <v>7.0000000000000007E-2</v>
      </c>
      <c r="FK111">
        <v>1E-3</v>
      </c>
      <c r="FL111">
        <v>120</v>
      </c>
      <c r="FM111">
        <v>23</v>
      </c>
      <c r="FN111">
        <v>0.04</v>
      </c>
      <c r="FO111">
        <v>0.01</v>
      </c>
      <c r="FP111">
        <v>16.60350094551427</v>
      </c>
      <c r="FQ111">
        <v>0.2104452311394657</v>
      </c>
      <c r="FR111">
        <v>3.055116867998477E-2</v>
      </c>
      <c r="FS111">
        <v>1</v>
      </c>
      <c r="FT111">
        <v>0.41773719126983189</v>
      </c>
      <c r="FU111">
        <v>4.4676080883844872E-2</v>
      </c>
      <c r="FV111">
        <v>4.4567610520936836E-3</v>
      </c>
      <c r="FW111">
        <v>1</v>
      </c>
      <c r="FX111">
        <v>2</v>
      </c>
      <c r="FY111">
        <v>2</v>
      </c>
      <c r="FZ111" t="s">
        <v>420</v>
      </c>
      <c r="GA111">
        <v>3.1226600000000002</v>
      </c>
      <c r="GB111">
        <v>2.7669899999999998</v>
      </c>
      <c r="GC111">
        <v>2.6880999999999999E-2</v>
      </c>
      <c r="GD111">
        <v>3.1239900000000001E-2</v>
      </c>
      <c r="GE111">
        <v>0.121415</v>
      </c>
      <c r="GF111">
        <v>0.104697</v>
      </c>
      <c r="GG111">
        <v>23194.799999999999</v>
      </c>
      <c r="GH111">
        <v>24070.1</v>
      </c>
      <c r="GI111">
        <v>23703</v>
      </c>
      <c r="GJ111">
        <v>25167.8</v>
      </c>
      <c r="GK111">
        <v>29995.3</v>
      </c>
      <c r="GL111">
        <v>31590</v>
      </c>
      <c r="GM111">
        <v>37787.5</v>
      </c>
      <c r="GN111">
        <v>39172.1</v>
      </c>
      <c r="GO111">
        <v>2.1535700000000002</v>
      </c>
      <c r="GP111">
        <v>1.77092</v>
      </c>
      <c r="GQ111">
        <v>2.4534799999999999E-2</v>
      </c>
      <c r="GR111">
        <v>0</v>
      </c>
      <c r="GS111">
        <v>29.559000000000001</v>
      </c>
      <c r="GT111">
        <v>999.9</v>
      </c>
      <c r="GU111">
        <v>42.6</v>
      </c>
      <c r="GV111">
        <v>38.4</v>
      </c>
      <c r="GW111">
        <v>29.333400000000001</v>
      </c>
      <c r="GX111">
        <v>60.199399999999997</v>
      </c>
      <c r="GY111">
        <v>26.5425</v>
      </c>
      <c r="GZ111">
        <v>1</v>
      </c>
      <c r="HA111">
        <v>0.58716999999999997</v>
      </c>
      <c r="HB111">
        <v>1.35473</v>
      </c>
      <c r="HC111">
        <v>20.316700000000001</v>
      </c>
      <c r="HD111">
        <v>5.24979</v>
      </c>
      <c r="HE111">
        <v>12.0099</v>
      </c>
      <c r="HF111">
        <v>4.9786999999999999</v>
      </c>
      <c r="HG111">
        <v>3.2930000000000001</v>
      </c>
      <c r="HH111">
        <v>9999</v>
      </c>
      <c r="HI111">
        <v>9999</v>
      </c>
      <c r="HJ111">
        <v>9999</v>
      </c>
      <c r="HK111">
        <v>999.9</v>
      </c>
      <c r="HL111">
        <v>1.8760699999999999</v>
      </c>
      <c r="HM111">
        <v>1.87696</v>
      </c>
      <c r="HN111">
        <v>1.88324</v>
      </c>
      <c r="HO111">
        <v>1.88632</v>
      </c>
      <c r="HP111">
        <v>1.87714</v>
      </c>
      <c r="HQ111">
        <v>1.8836999999999999</v>
      </c>
      <c r="HR111">
        <v>1.88263</v>
      </c>
      <c r="HS111">
        <v>1.88602</v>
      </c>
      <c r="HT111">
        <v>5</v>
      </c>
      <c r="HU111">
        <v>0</v>
      </c>
      <c r="HV111">
        <v>0</v>
      </c>
      <c r="HW111">
        <v>0</v>
      </c>
      <c r="HX111" t="s">
        <v>421</v>
      </c>
      <c r="HY111" t="s">
        <v>422</v>
      </c>
      <c r="HZ111" t="s">
        <v>423</v>
      </c>
      <c r="IA111" t="s">
        <v>424</v>
      </c>
      <c r="IB111" t="s">
        <v>424</v>
      </c>
      <c r="IC111" t="s">
        <v>423</v>
      </c>
      <c r="ID111">
        <v>0</v>
      </c>
      <c r="IE111">
        <v>100</v>
      </c>
      <c r="IF111">
        <v>100</v>
      </c>
      <c r="IG111">
        <v>7.0000000000000007E-2</v>
      </c>
      <c r="IH111">
        <v>1.2999999999999999E-3</v>
      </c>
      <c r="II111">
        <v>6.7965498173333735E-2</v>
      </c>
      <c r="IJ111">
        <v>4.4610147972834149E-5</v>
      </c>
      <c r="IK111">
        <v>-2.082673137682459E-7</v>
      </c>
      <c r="IL111">
        <v>-4.0725795306076518E-11</v>
      </c>
      <c r="IM111">
        <v>1.24999999999531E-3</v>
      </c>
      <c r="IN111">
        <v>0</v>
      </c>
      <c r="IO111">
        <v>0</v>
      </c>
      <c r="IP111">
        <v>0</v>
      </c>
      <c r="IQ111">
        <v>3</v>
      </c>
      <c r="IR111">
        <v>2179</v>
      </c>
      <c r="IS111">
        <v>0</v>
      </c>
      <c r="IT111">
        <v>22</v>
      </c>
      <c r="IU111">
        <v>0.8</v>
      </c>
      <c r="IV111">
        <v>0.7</v>
      </c>
      <c r="IW111">
        <v>0.41626000000000002</v>
      </c>
      <c r="IX111">
        <v>2.6965300000000001</v>
      </c>
      <c r="IY111">
        <v>1.6015600000000001</v>
      </c>
      <c r="IZ111">
        <v>2.32544</v>
      </c>
      <c r="JA111">
        <v>1.5502899999999999</v>
      </c>
      <c r="JB111">
        <v>2.49756</v>
      </c>
      <c r="JC111">
        <v>42.3506</v>
      </c>
      <c r="JD111">
        <v>24.227599999999999</v>
      </c>
      <c r="JE111">
        <v>18</v>
      </c>
      <c r="JF111">
        <v>616.072</v>
      </c>
      <c r="JG111">
        <v>397.99400000000003</v>
      </c>
      <c r="JH111">
        <v>28.077200000000001</v>
      </c>
      <c r="JI111">
        <v>34.284500000000001</v>
      </c>
      <c r="JJ111">
        <v>29.9999</v>
      </c>
      <c r="JK111">
        <v>34.365600000000001</v>
      </c>
      <c r="JL111">
        <v>34.353400000000001</v>
      </c>
      <c r="JM111">
        <v>8.3257899999999996</v>
      </c>
      <c r="JN111">
        <v>28.058599999999998</v>
      </c>
      <c r="JO111">
        <v>62.380200000000002</v>
      </c>
      <c r="JP111">
        <v>28.056100000000001</v>
      </c>
      <c r="JQ111">
        <v>120</v>
      </c>
      <c r="JR111">
        <v>23.1995</v>
      </c>
      <c r="JS111">
        <v>98.555400000000006</v>
      </c>
      <c r="JT111">
        <v>99.126800000000003</v>
      </c>
    </row>
    <row r="112" spans="1:280" x14ac:dyDescent="0.25">
      <c r="A112">
        <v>96</v>
      </c>
      <c r="B112">
        <v>1700168127.5</v>
      </c>
      <c r="C112">
        <v>20254</v>
      </c>
      <c r="D112" t="s">
        <v>818</v>
      </c>
      <c r="E112" t="s">
        <v>819</v>
      </c>
      <c r="F112" t="s">
        <v>412</v>
      </c>
      <c r="G112" t="s">
        <v>598</v>
      </c>
      <c r="H112" t="s">
        <v>774</v>
      </c>
      <c r="I112">
        <v>1700168127.5</v>
      </c>
      <c r="J112">
        <f t="shared" si="92"/>
        <v>5.958694358948695E-3</v>
      </c>
      <c r="K112">
        <f t="shared" si="93"/>
        <v>5.9586943589486951</v>
      </c>
      <c r="L112">
        <f t="shared" si="94"/>
        <v>10.186203603244914</v>
      </c>
      <c r="M112">
        <f t="shared" si="95"/>
        <v>59.495100000000001</v>
      </c>
      <c r="N112">
        <f t="shared" si="96"/>
        <v>18.769245532787529</v>
      </c>
      <c r="O112">
        <f t="shared" si="97"/>
        <v>1.8563559001767374</v>
      </c>
      <c r="P112">
        <f t="shared" si="98"/>
        <v>5.8843111047630012</v>
      </c>
      <c r="Q112">
        <f t="shared" si="99"/>
        <v>0.4364513814956093</v>
      </c>
      <c r="R112">
        <f t="shared" si="100"/>
        <v>3.1197231646187866</v>
      </c>
      <c r="S112">
        <f t="shared" si="101"/>
        <v>0.40514666181749259</v>
      </c>
      <c r="T112">
        <f t="shared" si="102"/>
        <v>0.25584190673641616</v>
      </c>
      <c r="U112">
        <f t="shared" si="103"/>
        <v>344.38269930237061</v>
      </c>
      <c r="V112">
        <f t="shared" si="104"/>
        <v>30.919570031164561</v>
      </c>
      <c r="W112">
        <f t="shared" si="105"/>
        <v>30.000299999999999</v>
      </c>
      <c r="X112">
        <f t="shared" si="106"/>
        <v>4.2605231879961432</v>
      </c>
      <c r="Y112">
        <f t="shared" si="107"/>
        <v>65.315875493207031</v>
      </c>
      <c r="Z112">
        <f t="shared" si="108"/>
        <v>2.8582403432830001</v>
      </c>
      <c r="AA112">
        <f t="shared" si="109"/>
        <v>4.3760269945095693</v>
      </c>
      <c r="AB112">
        <f t="shared" si="110"/>
        <v>1.402282844713143</v>
      </c>
      <c r="AC112">
        <f t="shared" si="111"/>
        <v>-262.77842122963744</v>
      </c>
      <c r="AD112">
        <f t="shared" si="112"/>
        <v>78.460875364557907</v>
      </c>
      <c r="AE112">
        <f t="shared" si="113"/>
        <v>5.6050605320058562</v>
      </c>
      <c r="AF112">
        <f t="shared" si="114"/>
        <v>165.67021396929692</v>
      </c>
      <c r="AG112">
        <v>0</v>
      </c>
      <c r="AH112">
        <v>0</v>
      </c>
      <c r="AI112">
        <f t="shared" si="115"/>
        <v>1</v>
      </c>
      <c r="AJ112">
        <f t="shared" si="116"/>
        <v>0</v>
      </c>
      <c r="AK112">
        <f t="shared" si="117"/>
        <v>51617.00594475527</v>
      </c>
      <c r="AL112" t="s">
        <v>415</v>
      </c>
      <c r="AM112">
        <v>6977.87</v>
      </c>
      <c r="AN112">
        <v>273.15280000000001</v>
      </c>
      <c r="AO112">
        <v>850.46774885301022</v>
      </c>
      <c r="AP112">
        <f t="shared" si="118"/>
        <v>0.67882050745793765</v>
      </c>
      <c r="AQ112">
        <v>-1.0323826813720729</v>
      </c>
      <c r="AR112" t="s">
        <v>820</v>
      </c>
      <c r="AS112">
        <v>7102.32</v>
      </c>
      <c r="AT112">
        <v>681.02923076923071</v>
      </c>
      <c r="AU112">
        <v>763.07935102095473</v>
      </c>
      <c r="AV112">
        <f t="shared" si="119"/>
        <v>0.10752501707973861</v>
      </c>
      <c r="AW112">
        <v>0.5</v>
      </c>
      <c r="AX112">
        <f t="shared" si="120"/>
        <v>1513.2434996511852</v>
      </c>
      <c r="AY112">
        <f t="shared" si="121"/>
        <v>10.186203603244914</v>
      </c>
      <c r="AZ112">
        <f t="shared" si="122"/>
        <v>81.35576657289856</v>
      </c>
      <c r="BA112">
        <f t="shared" si="123"/>
        <v>7.4136028254560239E-3</v>
      </c>
      <c r="BB112">
        <f t="shared" si="124"/>
        <v>0.1145207214887089</v>
      </c>
      <c r="BC112">
        <f t="shared" si="125"/>
        <v>263.46221012540008</v>
      </c>
      <c r="BD112" t="s">
        <v>821</v>
      </c>
      <c r="BE112">
        <v>471.93</v>
      </c>
      <c r="BF112">
        <f t="shared" si="126"/>
        <v>471.93</v>
      </c>
      <c r="BG112">
        <f t="shared" si="127"/>
        <v>0.38154531456186602</v>
      </c>
      <c r="BH112">
        <f t="shared" si="128"/>
        <v>0.28181453939019319</v>
      </c>
      <c r="BI112">
        <f t="shared" si="129"/>
        <v>0.23085781562564645</v>
      </c>
      <c r="BJ112">
        <f t="shared" si="130"/>
        <v>0.16747432871466206</v>
      </c>
      <c r="BK112">
        <f t="shared" si="131"/>
        <v>0.15137040536656082</v>
      </c>
      <c r="BL112">
        <f t="shared" si="132"/>
        <v>0.1952878519240539</v>
      </c>
      <c r="BM112">
        <f t="shared" si="133"/>
        <v>0.80471214807594604</v>
      </c>
      <c r="BN112">
        <v>11358</v>
      </c>
      <c r="BO112">
        <v>290.00000000000011</v>
      </c>
      <c r="BP112">
        <v>741.43</v>
      </c>
      <c r="BQ112">
        <v>295</v>
      </c>
      <c r="BR112">
        <v>7102.32</v>
      </c>
      <c r="BS112">
        <v>741.82</v>
      </c>
      <c r="BT112">
        <v>-0.39</v>
      </c>
      <c r="BU112">
        <v>300.00000000000011</v>
      </c>
      <c r="BV112">
        <v>38.299999999999997</v>
      </c>
      <c r="BW112">
        <v>763.07935102095473</v>
      </c>
      <c r="BX112">
        <v>1.1540875473682279</v>
      </c>
      <c r="BY112">
        <v>-15.097775908655439</v>
      </c>
      <c r="BZ112">
        <v>0.68709365569770908</v>
      </c>
      <c r="CA112">
        <v>0.94518722358258012</v>
      </c>
      <c r="CB112">
        <v>-7.002678086763069E-3</v>
      </c>
      <c r="CC112">
        <v>289.99999999999989</v>
      </c>
      <c r="CD112">
        <v>742.59</v>
      </c>
      <c r="CE112">
        <v>675</v>
      </c>
      <c r="CF112">
        <v>7097.75</v>
      </c>
      <c r="CG112">
        <v>741.81</v>
      </c>
      <c r="CH112">
        <v>0.78</v>
      </c>
      <c r="CV112">
        <f t="shared" si="134"/>
        <v>1800.07</v>
      </c>
      <c r="CW112">
        <f t="shared" si="135"/>
        <v>1513.2434996511852</v>
      </c>
      <c r="CX112">
        <f t="shared" si="136"/>
        <v>0.8406581408785132</v>
      </c>
      <c r="CY112">
        <f t="shared" si="137"/>
        <v>0.19131628175702647</v>
      </c>
      <c r="CZ112">
        <v>5</v>
      </c>
      <c r="DA112">
        <v>0.5</v>
      </c>
      <c r="DB112" t="s">
        <v>418</v>
      </c>
      <c r="DC112">
        <v>2</v>
      </c>
      <c r="DD112">
        <v>1700168127.5</v>
      </c>
      <c r="DE112">
        <v>59.495100000000001</v>
      </c>
      <c r="DF112">
        <v>70.0351</v>
      </c>
      <c r="DG112">
        <v>28.899100000000001</v>
      </c>
      <c r="DH112">
        <v>23.113</v>
      </c>
      <c r="DI112">
        <v>59.374299999999998</v>
      </c>
      <c r="DJ112">
        <v>28.899000000000001</v>
      </c>
      <c r="DK112">
        <v>500.03399999999999</v>
      </c>
      <c r="DL112">
        <v>98.804100000000005</v>
      </c>
      <c r="DM112">
        <v>0.10002999999999999</v>
      </c>
      <c r="DN112">
        <v>30.466799999999999</v>
      </c>
      <c r="DO112">
        <v>30.000299999999999</v>
      </c>
      <c r="DP112">
        <v>999.9</v>
      </c>
      <c r="DQ112">
        <v>0</v>
      </c>
      <c r="DR112">
        <v>0</v>
      </c>
      <c r="DS112">
        <v>9993.75</v>
      </c>
      <c r="DT112">
        <v>0</v>
      </c>
      <c r="DU112">
        <v>183.548</v>
      </c>
      <c r="DV112">
        <v>-10.54</v>
      </c>
      <c r="DW112">
        <v>61.265599999999999</v>
      </c>
      <c r="DX112">
        <v>71.692099999999996</v>
      </c>
      <c r="DY112">
        <v>5.7860300000000002</v>
      </c>
      <c r="DZ112">
        <v>70.0351</v>
      </c>
      <c r="EA112">
        <v>23.113</v>
      </c>
      <c r="EB112">
        <v>2.8553500000000001</v>
      </c>
      <c r="EC112">
        <v>2.2836599999999998</v>
      </c>
      <c r="ED112">
        <v>23.207599999999999</v>
      </c>
      <c r="EE112">
        <v>19.561599999999999</v>
      </c>
      <c r="EF112">
        <v>1800.07</v>
      </c>
      <c r="EG112">
        <v>0.97799999999999998</v>
      </c>
      <c r="EH112">
        <v>2.2000100000000002E-2</v>
      </c>
      <c r="EI112">
        <v>0</v>
      </c>
      <c r="EJ112">
        <v>681.404</v>
      </c>
      <c r="EK112">
        <v>5.0005300000000004</v>
      </c>
      <c r="EL112">
        <v>12955.7</v>
      </c>
      <c r="EM112">
        <v>16035.9</v>
      </c>
      <c r="EN112">
        <v>47.375</v>
      </c>
      <c r="EO112">
        <v>48.311999999999998</v>
      </c>
      <c r="EP112">
        <v>47.936999999999998</v>
      </c>
      <c r="EQ112">
        <v>47.75</v>
      </c>
      <c r="ER112">
        <v>48.625</v>
      </c>
      <c r="ES112">
        <v>1755.58</v>
      </c>
      <c r="ET112">
        <v>39.49</v>
      </c>
      <c r="EU112">
        <v>0</v>
      </c>
      <c r="EV112">
        <v>226.80000019073489</v>
      </c>
      <c r="EW112">
        <v>0</v>
      </c>
      <c r="EX112">
        <v>681.02923076923071</v>
      </c>
      <c r="EY112">
        <v>-0.75049570264819876</v>
      </c>
      <c r="EZ112">
        <v>-24.413675190350489</v>
      </c>
      <c r="FA112">
        <v>12958.50384615385</v>
      </c>
      <c r="FB112">
        <v>15</v>
      </c>
      <c r="FC112">
        <v>1700168092.5</v>
      </c>
      <c r="FD112" t="s">
        <v>822</v>
      </c>
      <c r="FE112">
        <v>1700168080</v>
      </c>
      <c r="FF112">
        <v>1700168092.5</v>
      </c>
      <c r="FG112">
        <v>104</v>
      </c>
      <c r="FH112">
        <v>5.0999999999999997E-2</v>
      </c>
      <c r="FI112">
        <v>-1E-3</v>
      </c>
      <c r="FJ112">
        <v>0.121</v>
      </c>
      <c r="FK112">
        <v>0</v>
      </c>
      <c r="FL112">
        <v>70</v>
      </c>
      <c r="FM112">
        <v>23</v>
      </c>
      <c r="FN112">
        <v>0.12</v>
      </c>
      <c r="FO112">
        <v>0.02</v>
      </c>
      <c r="FP112">
        <v>10.145007620487069</v>
      </c>
      <c r="FQ112">
        <v>0.22570926013320419</v>
      </c>
      <c r="FR112">
        <v>3.498572520677562E-2</v>
      </c>
      <c r="FS112">
        <v>1</v>
      </c>
      <c r="FT112">
        <v>0.43895450943705799</v>
      </c>
      <c r="FU112">
        <v>2.0491778353896511E-2</v>
      </c>
      <c r="FV112">
        <v>4.1023482403552977E-3</v>
      </c>
      <c r="FW112">
        <v>1</v>
      </c>
      <c r="FX112">
        <v>2</v>
      </c>
      <c r="FY112">
        <v>2</v>
      </c>
      <c r="FZ112" t="s">
        <v>420</v>
      </c>
      <c r="GA112">
        <v>3.1224799999999999</v>
      </c>
      <c r="GB112">
        <v>2.7668499999999998</v>
      </c>
      <c r="GC112">
        <v>1.5774400000000001E-2</v>
      </c>
      <c r="GD112">
        <v>1.8583100000000002E-2</v>
      </c>
      <c r="GE112">
        <v>0.121589</v>
      </c>
      <c r="GF112">
        <v>0.104183</v>
      </c>
      <c r="GG112">
        <v>23459.9</v>
      </c>
      <c r="GH112">
        <v>24385.9</v>
      </c>
      <c r="GI112">
        <v>23703.9</v>
      </c>
      <c r="GJ112">
        <v>25169.599999999999</v>
      </c>
      <c r="GK112">
        <v>29990.5</v>
      </c>
      <c r="GL112">
        <v>31610.7</v>
      </c>
      <c r="GM112">
        <v>37788.800000000003</v>
      </c>
      <c r="GN112">
        <v>39175.1</v>
      </c>
      <c r="GO112">
        <v>2.1538300000000001</v>
      </c>
      <c r="GP112">
        <v>1.77138</v>
      </c>
      <c r="GQ112">
        <v>2.6751299999999999E-2</v>
      </c>
      <c r="GR112">
        <v>0</v>
      </c>
      <c r="GS112">
        <v>29.564800000000002</v>
      </c>
      <c r="GT112">
        <v>999.9</v>
      </c>
      <c r="GU112">
        <v>42.4</v>
      </c>
      <c r="GV112">
        <v>38.4</v>
      </c>
      <c r="GW112">
        <v>29.192299999999999</v>
      </c>
      <c r="GX112">
        <v>60.549399999999999</v>
      </c>
      <c r="GY112">
        <v>26.8429</v>
      </c>
      <c r="GZ112">
        <v>1</v>
      </c>
      <c r="HA112">
        <v>0.58656799999999998</v>
      </c>
      <c r="HB112">
        <v>1.69848</v>
      </c>
      <c r="HC112">
        <v>20.3125</v>
      </c>
      <c r="HD112">
        <v>5.2478400000000001</v>
      </c>
      <c r="HE112">
        <v>12.0105</v>
      </c>
      <c r="HF112">
        <v>4.9779</v>
      </c>
      <c r="HG112">
        <v>3.2922500000000001</v>
      </c>
      <c r="HH112">
        <v>9999</v>
      </c>
      <c r="HI112">
        <v>9999</v>
      </c>
      <c r="HJ112">
        <v>9999</v>
      </c>
      <c r="HK112">
        <v>999.9</v>
      </c>
      <c r="HL112">
        <v>1.87609</v>
      </c>
      <c r="HM112">
        <v>1.8769400000000001</v>
      </c>
      <c r="HN112">
        <v>1.88324</v>
      </c>
      <c r="HO112">
        <v>1.8863000000000001</v>
      </c>
      <c r="HP112">
        <v>1.87713</v>
      </c>
      <c r="HQ112">
        <v>1.8836999999999999</v>
      </c>
      <c r="HR112">
        <v>1.88263</v>
      </c>
      <c r="HS112">
        <v>1.8859900000000001</v>
      </c>
      <c r="HT112">
        <v>5</v>
      </c>
      <c r="HU112">
        <v>0</v>
      </c>
      <c r="HV112">
        <v>0</v>
      </c>
      <c r="HW112">
        <v>0</v>
      </c>
      <c r="HX112" t="s">
        <v>421</v>
      </c>
      <c r="HY112" t="s">
        <v>422</v>
      </c>
      <c r="HZ112" t="s">
        <v>423</v>
      </c>
      <c r="IA112" t="s">
        <v>424</v>
      </c>
      <c r="IB112" t="s">
        <v>424</v>
      </c>
      <c r="IC112" t="s">
        <v>423</v>
      </c>
      <c r="ID112">
        <v>0</v>
      </c>
      <c r="IE112">
        <v>100</v>
      </c>
      <c r="IF112">
        <v>100</v>
      </c>
      <c r="IG112">
        <v>0.121</v>
      </c>
      <c r="IH112">
        <v>1E-4</v>
      </c>
      <c r="II112">
        <v>0.1189039769220995</v>
      </c>
      <c r="IJ112">
        <v>4.4610147972834149E-5</v>
      </c>
      <c r="IK112">
        <v>-2.082673137682459E-7</v>
      </c>
      <c r="IL112">
        <v>-4.0725795306076518E-11</v>
      </c>
      <c r="IM112">
        <v>8.9999999996592805E-5</v>
      </c>
      <c r="IN112">
        <v>0</v>
      </c>
      <c r="IO112">
        <v>0</v>
      </c>
      <c r="IP112">
        <v>0</v>
      </c>
      <c r="IQ112">
        <v>3</v>
      </c>
      <c r="IR112">
        <v>2179</v>
      </c>
      <c r="IS112">
        <v>0</v>
      </c>
      <c r="IT112">
        <v>22</v>
      </c>
      <c r="IU112">
        <v>0.8</v>
      </c>
      <c r="IV112">
        <v>0.6</v>
      </c>
      <c r="IW112">
        <v>0.30395499999999998</v>
      </c>
      <c r="IX112">
        <v>2.7172900000000002</v>
      </c>
      <c r="IY112">
        <v>1.6015600000000001</v>
      </c>
      <c r="IZ112">
        <v>2.32544</v>
      </c>
      <c r="JA112">
        <v>1.5502899999999999</v>
      </c>
      <c r="JB112">
        <v>2.50122</v>
      </c>
      <c r="JC112">
        <v>42.271000000000001</v>
      </c>
      <c r="JD112">
        <v>24.218800000000002</v>
      </c>
      <c r="JE112">
        <v>18</v>
      </c>
      <c r="JF112">
        <v>616.02499999999998</v>
      </c>
      <c r="JG112">
        <v>398.10899999999998</v>
      </c>
      <c r="JH112">
        <v>28.012</v>
      </c>
      <c r="JI112">
        <v>34.259700000000002</v>
      </c>
      <c r="JJ112">
        <v>29.9999</v>
      </c>
      <c r="JK112">
        <v>34.340699999999998</v>
      </c>
      <c r="JL112">
        <v>34.326999999999998</v>
      </c>
      <c r="JM112">
        <v>6.0680500000000004</v>
      </c>
      <c r="JN112">
        <v>27.8583</v>
      </c>
      <c r="JO112">
        <v>61.733199999999997</v>
      </c>
      <c r="JP112">
        <v>28.013500000000001</v>
      </c>
      <c r="JQ112">
        <v>70</v>
      </c>
      <c r="JR112">
        <v>23.0868</v>
      </c>
      <c r="JS112">
        <v>98.559100000000001</v>
      </c>
      <c r="JT112">
        <v>99.134299999999996</v>
      </c>
    </row>
    <row r="113" spans="1:280" x14ac:dyDescent="0.25">
      <c r="A113">
        <v>97</v>
      </c>
      <c r="B113">
        <v>1700168247</v>
      </c>
      <c r="C113">
        <v>20373.5</v>
      </c>
      <c r="D113" t="s">
        <v>823</v>
      </c>
      <c r="E113" t="s">
        <v>824</v>
      </c>
      <c r="F113" t="s">
        <v>412</v>
      </c>
      <c r="G113" t="s">
        <v>598</v>
      </c>
      <c r="H113" t="s">
        <v>774</v>
      </c>
      <c r="I113">
        <v>1700168247</v>
      </c>
      <c r="J113">
        <f t="shared" ref="J113:J144" si="138">(K113)/1000</f>
        <v>6.1037340812931567E-3</v>
      </c>
      <c r="K113">
        <f t="shared" si="93"/>
        <v>6.1037340812931564</v>
      </c>
      <c r="L113">
        <f t="shared" si="94"/>
        <v>4.2545743710563428</v>
      </c>
      <c r="M113">
        <f t="shared" ref="M113:M144" si="139">DE113 - IF(AI113&gt;1, L113*CZ113*100/(AK113*DS113), 0)</f>
        <v>25.5945</v>
      </c>
      <c r="N113">
        <f t="shared" ref="N113:N144" si="140">((T113-J113/2)*M113-L113)/(T113+J113/2)</f>
        <v>9.0788232016928507</v>
      </c>
      <c r="O113">
        <f t="shared" ref="O113:O144" si="141">N113*(DL113+DM113)/1000</f>
        <v>0.89798161016867173</v>
      </c>
      <c r="P113">
        <f t="shared" si="98"/>
        <v>2.5315384836634505</v>
      </c>
      <c r="Q113">
        <f t="shared" ref="Q113:Q144" si="142">2/((1/S113-1/R113)+SIGN(S113)*SQRT((1/S113-1/R113)*(1/S113-1/R113) + 4*DA113/((DA113+1)*(DA113+1))*(2*1/S113*1/R113-1/R113*1/R113)))</f>
        <v>0.45132062380724336</v>
      </c>
      <c r="R113">
        <f t="shared" si="100"/>
        <v>3.1221527438741052</v>
      </c>
      <c r="S113">
        <f t="shared" si="101"/>
        <v>0.41795790888463547</v>
      </c>
      <c r="T113">
        <f t="shared" si="102"/>
        <v>0.26401538347930215</v>
      </c>
      <c r="U113">
        <f t="shared" si="103"/>
        <v>344.34089930228538</v>
      </c>
      <c r="V113">
        <f t="shared" ref="V113:V144" si="143">(DN113+(U113+2*0.95*0.0000000567*(((DN113+$B$7)+273)^4-(DN113+273)^4)-44100*J113)/(1.84*29.3*R113+8*0.95*0.0000000567*(DN113+273)^3))</f>
        <v>30.879747570346616</v>
      </c>
      <c r="W113">
        <f t="shared" ref="W113:W144" si="144">($C$7*DO113+$D$7*DP113+$E$7*V113)</f>
        <v>29.9741</v>
      </c>
      <c r="X113">
        <f t="shared" ref="X113:X144" si="145">0.61365*EXP(17.502*W113/(240.97+W113))</f>
        <v>4.254115716025253</v>
      </c>
      <c r="Y113">
        <f t="shared" ref="Y113:Y144" si="146">(Z113/AA113*100)</f>
        <v>65.407539830896795</v>
      </c>
      <c r="Z113">
        <f t="shared" si="108"/>
        <v>2.8616290649027802</v>
      </c>
      <c r="AA113">
        <f t="shared" si="109"/>
        <v>4.3750752165593951</v>
      </c>
      <c r="AB113">
        <f t="shared" si="110"/>
        <v>1.3924866511224727</v>
      </c>
      <c r="AC113">
        <f t="shared" si="111"/>
        <v>-269.17467298502822</v>
      </c>
      <c r="AD113">
        <f t="shared" si="112"/>
        <v>82.292380727992636</v>
      </c>
      <c r="AE113">
        <f t="shared" si="113"/>
        <v>5.873328209918105</v>
      </c>
      <c r="AF113">
        <f t="shared" ref="AF113:AF144" si="147">U113+AE113+AC113+AD113</f>
        <v>163.33193525516788</v>
      </c>
      <c r="AG113">
        <v>0</v>
      </c>
      <c r="AH113">
        <v>0</v>
      </c>
      <c r="AI113">
        <f t="shared" si="115"/>
        <v>1</v>
      </c>
      <c r="AJ113">
        <f t="shared" ref="AJ113:AJ144" si="148">(AI113-1)*100</f>
        <v>0</v>
      </c>
      <c r="AK113">
        <f t="shared" si="117"/>
        <v>51679.179207567038</v>
      </c>
      <c r="AL113" t="s">
        <v>427</v>
      </c>
      <c r="AM113" t="s">
        <v>427</v>
      </c>
      <c r="AN113">
        <v>0</v>
      </c>
      <c r="AO113">
        <v>0</v>
      </c>
      <c r="AP113" t="e">
        <f t="shared" ref="AP113:AP144" si="149">1-AN113/AO113</f>
        <v>#DIV/0!</v>
      </c>
      <c r="AQ113">
        <v>0</v>
      </c>
      <c r="AR113" t="s">
        <v>427</v>
      </c>
      <c r="AS113" t="s">
        <v>427</v>
      </c>
      <c r="AT113">
        <v>0</v>
      </c>
      <c r="AU113">
        <v>0</v>
      </c>
      <c r="AV113" t="e">
        <f t="shared" ref="AV113:AV144" si="150">1-AT113/AU113</f>
        <v>#DIV/0!</v>
      </c>
      <c r="AW113">
        <v>0.5</v>
      </c>
      <c r="AX113">
        <f t="shared" si="120"/>
        <v>1513.0586996511427</v>
      </c>
      <c r="AY113">
        <f t="shared" si="121"/>
        <v>4.2545743710563428</v>
      </c>
      <c r="AZ113" t="e">
        <f t="shared" si="122"/>
        <v>#DIV/0!</v>
      </c>
      <c r="BA113">
        <f t="shared" si="123"/>
        <v>2.8119030491264457E-3</v>
      </c>
      <c r="BB113" t="e">
        <f t="shared" si="124"/>
        <v>#DIV/0!</v>
      </c>
      <c r="BC113" t="e">
        <f t="shared" si="125"/>
        <v>#DIV/0!</v>
      </c>
      <c r="BD113" t="s">
        <v>427</v>
      </c>
      <c r="BE113">
        <v>0</v>
      </c>
      <c r="BF113" t="e">
        <f t="shared" ref="BF113:BF144" si="151">IF(BE113&lt;&gt;0, BE113, BC113)</f>
        <v>#DIV/0!</v>
      </c>
      <c r="BG113" t="e">
        <f t="shared" ref="BG113:BG144" si="152">1-BF113/AU113</f>
        <v>#DIV/0!</v>
      </c>
      <c r="BH113" t="e">
        <f t="shared" si="128"/>
        <v>#DIV/0!</v>
      </c>
      <c r="BI113" t="e">
        <f t="shared" si="129"/>
        <v>#DIV/0!</v>
      </c>
      <c r="BJ113" t="e">
        <f t="shared" si="130"/>
        <v>#DIV/0!</v>
      </c>
      <c r="BK113" t="e">
        <f t="shared" si="131"/>
        <v>#DIV/0!</v>
      </c>
      <c r="BL113" t="e">
        <f t="shared" si="132"/>
        <v>#DIV/0!</v>
      </c>
      <c r="BM113" t="e">
        <f t="shared" ref="BM113:BM144" si="153">(1-BL113)</f>
        <v>#DIV/0!</v>
      </c>
      <c r="BN113">
        <v>11358</v>
      </c>
      <c r="BO113">
        <v>290.00000000000011</v>
      </c>
      <c r="BP113">
        <v>741.43</v>
      </c>
      <c r="BQ113">
        <v>295</v>
      </c>
      <c r="BR113">
        <v>7102.32</v>
      </c>
      <c r="BS113">
        <v>741.82</v>
      </c>
      <c r="BT113">
        <v>-0.39</v>
      </c>
      <c r="BU113">
        <v>300.00000000000011</v>
      </c>
      <c r="BV113">
        <v>38.299999999999997</v>
      </c>
      <c r="BW113">
        <v>763.07935102095473</v>
      </c>
      <c r="BX113">
        <v>1.1540875473682279</v>
      </c>
      <c r="BY113">
        <v>-15.097775908655439</v>
      </c>
      <c r="BZ113">
        <v>0.68709365569770908</v>
      </c>
      <c r="CA113">
        <v>0.94518722358258012</v>
      </c>
      <c r="CB113">
        <v>-7.002678086763069E-3</v>
      </c>
      <c r="CC113">
        <v>289.99999999999989</v>
      </c>
      <c r="CD113">
        <v>742.59</v>
      </c>
      <c r="CE113">
        <v>675</v>
      </c>
      <c r="CF113">
        <v>7097.75</v>
      </c>
      <c r="CG113">
        <v>741.81</v>
      </c>
      <c r="CH113">
        <v>0.78</v>
      </c>
      <c r="CV113">
        <f t="shared" si="134"/>
        <v>1799.85</v>
      </c>
      <c r="CW113">
        <f t="shared" ref="CW113:CW144" si="154">CV113*CX113</f>
        <v>1513.0586996511427</v>
      </c>
      <c r="CX113">
        <f t="shared" si="136"/>
        <v>0.84065822132463408</v>
      </c>
      <c r="CY113">
        <f t="shared" si="137"/>
        <v>0.19131644264926823</v>
      </c>
      <c r="CZ113">
        <v>5</v>
      </c>
      <c r="DA113">
        <v>0.5</v>
      </c>
      <c r="DB113" t="s">
        <v>418</v>
      </c>
      <c r="DC113">
        <v>2</v>
      </c>
      <c r="DD113">
        <v>1700168247</v>
      </c>
      <c r="DE113">
        <v>25.5945</v>
      </c>
      <c r="DF113">
        <v>30.004000000000001</v>
      </c>
      <c r="DG113">
        <v>28.931799999999999</v>
      </c>
      <c r="DH113">
        <v>23.006399999999999</v>
      </c>
      <c r="DI113">
        <v>25.395099999999999</v>
      </c>
      <c r="DJ113">
        <v>28.9297</v>
      </c>
      <c r="DK113">
        <v>500.14699999999999</v>
      </c>
      <c r="DL113">
        <v>98.8095</v>
      </c>
      <c r="DM113">
        <v>9.9972099999999994E-2</v>
      </c>
      <c r="DN113">
        <v>30.463000000000001</v>
      </c>
      <c r="DO113">
        <v>29.9741</v>
      </c>
      <c r="DP113">
        <v>999.9</v>
      </c>
      <c r="DQ113">
        <v>0</v>
      </c>
      <c r="DR113">
        <v>0</v>
      </c>
      <c r="DS113">
        <v>10005.6</v>
      </c>
      <c r="DT113">
        <v>0</v>
      </c>
      <c r="DU113">
        <v>178.321</v>
      </c>
      <c r="DV113">
        <v>-4.4095800000000001</v>
      </c>
      <c r="DW113">
        <v>26.356999999999999</v>
      </c>
      <c r="DX113">
        <v>30.710599999999999</v>
      </c>
      <c r="DY113">
        <v>5.9254300000000004</v>
      </c>
      <c r="DZ113">
        <v>30.004000000000001</v>
      </c>
      <c r="EA113">
        <v>23.006399999999999</v>
      </c>
      <c r="EB113">
        <v>2.8587400000000001</v>
      </c>
      <c r="EC113">
        <v>2.27325</v>
      </c>
      <c r="ED113">
        <v>23.2272</v>
      </c>
      <c r="EE113">
        <v>19.488099999999999</v>
      </c>
      <c r="EF113">
        <v>1799.85</v>
      </c>
      <c r="EG113">
        <v>0.97799599999999998</v>
      </c>
      <c r="EH113">
        <v>2.2003600000000002E-2</v>
      </c>
      <c r="EI113">
        <v>0</v>
      </c>
      <c r="EJ113">
        <v>699.2</v>
      </c>
      <c r="EK113">
        <v>5.0005300000000004</v>
      </c>
      <c r="EL113">
        <v>13277.8</v>
      </c>
      <c r="EM113">
        <v>16033.9</v>
      </c>
      <c r="EN113">
        <v>47.311999999999998</v>
      </c>
      <c r="EO113">
        <v>48.311999999999998</v>
      </c>
      <c r="EP113">
        <v>47.936999999999998</v>
      </c>
      <c r="EQ113">
        <v>47.686999999999998</v>
      </c>
      <c r="ER113">
        <v>48.625</v>
      </c>
      <c r="ES113">
        <v>1755.36</v>
      </c>
      <c r="ET113">
        <v>39.49</v>
      </c>
      <c r="EU113">
        <v>0</v>
      </c>
      <c r="EV113">
        <v>117.6000001430511</v>
      </c>
      <c r="EW113">
        <v>0</v>
      </c>
      <c r="EX113">
        <v>699.39565384615389</v>
      </c>
      <c r="EY113">
        <v>-0.71661540473097241</v>
      </c>
      <c r="EZ113">
        <v>-17.30256406647079</v>
      </c>
      <c r="FA113">
        <v>13280.134615384621</v>
      </c>
      <c r="FB113">
        <v>15</v>
      </c>
      <c r="FC113">
        <v>1700168209</v>
      </c>
      <c r="FD113" t="s">
        <v>825</v>
      </c>
      <c r="FE113">
        <v>1700168190</v>
      </c>
      <c r="FF113">
        <v>1700168209</v>
      </c>
      <c r="FG113">
        <v>105</v>
      </c>
      <c r="FH113">
        <v>7.9000000000000001E-2</v>
      </c>
      <c r="FI113">
        <v>2E-3</v>
      </c>
      <c r="FJ113">
        <v>0.2</v>
      </c>
      <c r="FK113">
        <v>2E-3</v>
      </c>
      <c r="FL113">
        <v>30</v>
      </c>
      <c r="FM113">
        <v>23</v>
      </c>
      <c r="FN113">
        <v>0.24</v>
      </c>
      <c r="FO113">
        <v>0.02</v>
      </c>
      <c r="FP113">
        <v>4.2428736792465687</v>
      </c>
      <c r="FQ113">
        <v>0.17137188826048841</v>
      </c>
      <c r="FR113">
        <v>2.540492947501936E-2</v>
      </c>
      <c r="FS113">
        <v>1</v>
      </c>
      <c r="FT113">
        <v>0.45274064008062492</v>
      </c>
      <c r="FU113">
        <v>4.5497353192756967E-2</v>
      </c>
      <c r="FV113">
        <v>4.3820174327219141E-3</v>
      </c>
      <c r="FW113">
        <v>1</v>
      </c>
      <c r="FX113">
        <v>2</v>
      </c>
      <c r="FY113">
        <v>2</v>
      </c>
      <c r="FZ113" t="s">
        <v>420</v>
      </c>
      <c r="GA113">
        <v>3.1226799999999999</v>
      </c>
      <c r="GB113">
        <v>2.7669000000000001</v>
      </c>
      <c r="GC113">
        <v>6.7905300000000004E-3</v>
      </c>
      <c r="GD113">
        <v>8.0283500000000001E-3</v>
      </c>
      <c r="GE113">
        <v>0.121694</v>
      </c>
      <c r="GF113">
        <v>0.103856</v>
      </c>
      <c r="GG113">
        <v>23675.9</v>
      </c>
      <c r="GH113">
        <v>24650.3</v>
      </c>
      <c r="GI113">
        <v>23706.1</v>
      </c>
      <c r="GJ113">
        <v>25172.2</v>
      </c>
      <c r="GK113">
        <v>29989.599999999999</v>
      </c>
      <c r="GL113">
        <v>31624.9</v>
      </c>
      <c r="GM113">
        <v>37792.199999999997</v>
      </c>
      <c r="GN113">
        <v>39178.400000000001</v>
      </c>
      <c r="GO113">
        <v>2.1542500000000002</v>
      </c>
      <c r="GP113">
        <v>1.77227</v>
      </c>
      <c r="GQ113">
        <v>2.5831199999999999E-2</v>
      </c>
      <c r="GR113">
        <v>0</v>
      </c>
      <c r="GS113">
        <v>29.553599999999999</v>
      </c>
      <c r="GT113">
        <v>999.9</v>
      </c>
      <c r="GU113">
        <v>42.3</v>
      </c>
      <c r="GV113">
        <v>38.299999999999997</v>
      </c>
      <c r="GW113">
        <v>28.965800000000002</v>
      </c>
      <c r="GX113">
        <v>60.339399999999998</v>
      </c>
      <c r="GY113">
        <v>26.338100000000001</v>
      </c>
      <c r="GZ113">
        <v>1</v>
      </c>
      <c r="HA113">
        <v>0.58102900000000002</v>
      </c>
      <c r="HB113">
        <v>1.2311700000000001</v>
      </c>
      <c r="HC113">
        <v>20.317499999999999</v>
      </c>
      <c r="HD113">
        <v>5.2491899999999996</v>
      </c>
      <c r="HE113">
        <v>12.010199999999999</v>
      </c>
      <c r="HF113">
        <v>4.9784499999999996</v>
      </c>
      <c r="HG113">
        <v>3.2930000000000001</v>
      </c>
      <c r="HH113">
        <v>9999</v>
      </c>
      <c r="HI113">
        <v>9999</v>
      </c>
      <c r="HJ113">
        <v>9999</v>
      </c>
      <c r="HK113">
        <v>999.9</v>
      </c>
      <c r="HL113">
        <v>1.8761000000000001</v>
      </c>
      <c r="HM113">
        <v>1.87697</v>
      </c>
      <c r="HN113">
        <v>1.88324</v>
      </c>
      <c r="HO113">
        <v>1.8863399999999999</v>
      </c>
      <c r="HP113">
        <v>1.87714</v>
      </c>
      <c r="HQ113">
        <v>1.8836999999999999</v>
      </c>
      <c r="HR113">
        <v>1.88263</v>
      </c>
      <c r="HS113">
        <v>1.88602</v>
      </c>
      <c r="HT113">
        <v>5</v>
      </c>
      <c r="HU113">
        <v>0</v>
      </c>
      <c r="HV113">
        <v>0</v>
      </c>
      <c r="HW113">
        <v>0</v>
      </c>
      <c r="HX113" t="s">
        <v>421</v>
      </c>
      <c r="HY113" t="s">
        <v>422</v>
      </c>
      <c r="HZ113" t="s">
        <v>423</v>
      </c>
      <c r="IA113" t="s">
        <v>424</v>
      </c>
      <c r="IB113" t="s">
        <v>424</v>
      </c>
      <c r="IC113" t="s">
        <v>423</v>
      </c>
      <c r="ID113">
        <v>0</v>
      </c>
      <c r="IE113">
        <v>100</v>
      </c>
      <c r="IF113">
        <v>100</v>
      </c>
      <c r="IG113">
        <v>0.19900000000000001</v>
      </c>
      <c r="IH113">
        <v>2.0999999999999999E-3</v>
      </c>
      <c r="II113">
        <v>0.19837638337552799</v>
      </c>
      <c r="IJ113">
        <v>4.4610147972834149E-5</v>
      </c>
      <c r="IK113">
        <v>-2.082673137682459E-7</v>
      </c>
      <c r="IL113">
        <v>-4.0725795306076518E-11</v>
      </c>
      <c r="IM113">
        <v>2.0750000000013809E-3</v>
      </c>
      <c r="IN113">
        <v>0</v>
      </c>
      <c r="IO113">
        <v>0</v>
      </c>
      <c r="IP113">
        <v>0</v>
      </c>
      <c r="IQ113">
        <v>3</v>
      </c>
      <c r="IR113">
        <v>2179</v>
      </c>
      <c r="IS113">
        <v>0</v>
      </c>
      <c r="IT113">
        <v>22</v>
      </c>
      <c r="IU113">
        <v>0.9</v>
      </c>
      <c r="IV113">
        <v>0.6</v>
      </c>
      <c r="IW113">
        <v>0.21606400000000001</v>
      </c>
      <c r="IX113">
        <v>2.7331500000000002</v>
      </c>
      <c r="IY113">
        <v>1.6015600000000001</v>
      </c>
      <c r="IZ113">
        <v>2.32666</v>
      </c>
      <c r="JA113">
        <v>1.5502899999999999</v>
      </c>
      <c r="JB113">
        <v>2.4719199999999999</v>
      </c>
      <c r="JC113">
        <v>42.191499999999998</v>
      </c>
      <c r="JD113">
        <v>24.218800000000002</v>
      </c>
      <c r="JE113">
        <v>18</v>
      </c>
      <c r="JF113">
        <v>616.01800000000003</v>
      </c>
      <c r="JG113">
        <v>398.464</v>
      </c>
      <c r="JH113">
        <v>28.0931</v>
      </c>
      <c r="JI113">
        <v>34.223799999999997</v>
      </c>
      <c r="JJ113">
        <v>29.998899999999999</v>
      </c>
      <c r="JK113">
        <v>34.306600000000003</v>
      </c>
      <c r="JL113">
        <v>34.293900000000001</v>
      </c>
      <c r="JM113">
        <v>4.30159</v>
      </c>
      <c r="JN113">
        <v>27.479900000000001</v>
      </c>
      <c r="JO113">
        <v>61.197400000000002</v>
      </c>
      <c r="JP113">
        <v>28.128900000000002</v>
      </c>
      <c r="JQ113">
        <v>30</v>
      </c>
      <c r="JR113">
        <v>23.055800000000001</v>
      </c>
      <c r="JS113">
        <v>98.567800000000005</v>
      </c>
      <c r="JT113">
        <v>99.143299999999996</v>
      </c>
    </row>
    <row r="114" spans="1:280" x14ac:dyDescent="0.25">
      <c r="A114">
        <v>98</v>
      </c>
      <c r="B114">
        <v>1700168341</v>
      </c>
      <c r="C114">
        <v>20467.5</v>
      </c>
      <c r="D114" t="s">
        <v>826</v>
      </c>
      <c r="E114" t="s">
        <v>827</v>
      </c>
      <c r="F114" t="s">
        <v>412</v>
      </c>
      <c r="G114" t="s">
        <v>598</v>
      </c>
      <c r="H114" t="s">
        <v>774</v>
      </c>
      <c r="I114">
        <v>1700168341</v>
      </c>
      <c r="J114">
        <f t="shared" si="138"/>
        <v>6.1740053937658131E-3</v>
      </c>
      <c r="K114">
        <f t="shared" si="93"/>
        <v>6.174005393765813</v>
      </c>
      <c r="L114">
        <f t="shared" si="94"/>
        <v>1.2464157021536748</v>
      </c>
      <c r="M114">
        <f t="shared" si="139"/>
        <v>8.7075200000000006</v>
      </c>
      <c r="N114">
        <f t="shared" si="140"/>
        <v>3.8933031936262066</v>
      </c>
      <c r="O114">
        <f t="shared" si="141"/>
        <v>0.38507127186970913</v>
      </c>
      <c r="P114">
        <f t="shared" si="98"/>
        <v>0.86122647902691196</v>
      </c>
      <c r="Q114">
        <f t="shared" si="142"/>
        <v>0.45673125162681333</v>
      </c>
      <c r="R114">
        <f t="shared" si="100"/>
        <v>3.1233272881017857</v>
      </c>
      <c r="S114">
        <f t="shared" si="101"/>
        <v>0.4226080296784383</v>
      </c>
      <c r="T114">
        <f t="shared" si="102"/>
        <v>0.26698308967590495</v>
      </c>
      <c r="U114">
        <f t="shared" si="103"/>
        <v>344.34851246650413</v>
      </c>
      <c r="V114">
        <f t="shared" si="143"/>
        <v>30.905556440305233</v>
      </c>
      <c r="W114">
        <f t="shared" si="144"/>
        <v>29.998899999999999</v>
      </c>
      <c r="X114">
        <f t="shared" si="145"/>
        <v>4.2601805914156641</v>
      </c>
      <c r="Y114">
        <f t="shared" si="146"/>
        <v>65.37561178419638</v>
      </c>
      <c r="Z114">
        <f t="shared" si="108"/>
        <v>2.8672965149248104</v>
      </c>
      <c r="AA114">
        <f t="shared" si="109"/>
        <v>4.3858809679513211</v>
      </c>
      <c r="AB114">
        <f t="shared" si="110"/>
        <v>1.3928840764908537</v>
      </c>
      <c r="AC114">
        <f t="shared" si="111"/>
        <v>-272.27363786507237</v>
      </c>
      <c r="AD114">
        <f t="shared" si="112"/>
        <v>85.404781087516142</v>
      </c>
      <c r="AE114">
        <f t="shared" si="113"/>
        <v>6.0952197717973853</v>
      </c>
      <c r="AF114">
        <f t="shared" si="147"/>
        <v>163.57487546074526</v>
      </c>
      <c r="AG114">
        <v>0</v>
      </c>
      <c r="AH114">
        <v>0</v>
      </c>
      <c r="AI114">
        <f t="shared" si="115"/>
        <v>1</v>
      </c>
      <c r="AJ114">
        <f t="shared" si="148"/>
        <v>0</v>
      </c>
      <c r="AK114">
        <f t="shared" si="117"/>
        <v>51701.468611818185</v>
      </c>
      <c r="AL114" t="s">
        <v>415</v>
      </c>
      <c r="AM114">
        <v>6977.87</v>
      </c>
      <c r="AN114">
        <v>273.15280000000001</v>
      </c>
      <c r="AO114">
        <v>850.46774885301022</v>
      </c>
      <c r="AP114">
        <f t="shared" si="149"/>
        <v>0.67882050745793765</v>
      </c>
      <c r="AQ114">
        <v>-1.0323826813720729</v>
      </c>
      <c r="AR114" t="s">
        <v>828</v>
      </c>
      <c r="AS114">
        <v>7107.02</v>
      </c>
      <c r="AT114">
        <v>710.26844000000017</v>
      </c>
      <c r="AU114">
        <v>753.03051980841997</v>
      </c>
      <c r="AV114">
        <f t="shared" si="150"/>
        <v>5.6786648991728805E-2</v>
      </c>
      <c r="AW114">
        <v>0.5</v>
      </c>
      <c r="AX114">
        <f t="shared" si="120"/>
        <v>1513.092306233252</v>
      </c>
      <c r="AY114">
        <f t="shared" si="121"/>
        <v>1.2464157021536748</v>
      </c>
      <c r="AZ114">
        <f t="shared" si="122"/>
        <v>42.961720843076556</v>
      </c>
      <c r="BA114">
        <f t="shared" si="123"/>
        <v>1.5060537775112167E-3</v>
      </c>
      <c r="BB114">
        <f t="shared" si="124"/>
        <v>0.12939346610995189</v>
      </c>
      <c r="BC114">
        <f t="shared" si="125"/>
        <v>262.25391345150632</v>
      </c>
      <c r="BD114" t="s">
        <v>829</v>
      </c>
      <c r="BE114">
        <v>512.74</v>
      </c>
      <c r="BF114">
        <f t="shared" si="151"/>
        <v>512.74</v>
      </c>
      <c r="BG114">
        <f t="shared" si="152"/>
        <v>0.3190979827345547</v>
      </c>
      <c r="BH114">
        <f t="shared" si="128"/>
        <v>0.17795991220341678</v>
      </c>
      <c r="BI114">
        <f t="shared" si="129"/>
        <v>0.28850821223753814</v>
      </c>
      <c r="BJ114">
        <f t="shared" si="130"/>
        <v>8.9110367169143764E-2</v>
      </c>
      <c r="BK114">
        <f t="shared" si="131"/>
        <v>0.16877655643280196</v>
      </c>
      <c r="BL114">
        <f t="shared" si="132"/>
        <v>0.12846856236943302</v>
      </c>
      <c r="BM114">
        <f t="shared" si="153"/>
        <v>0.87153143763056695</v>
      </c>
      <c r="BN114">
        <v>11360</v>
      </c>
      <c r="BO114">
        <v>290.00000000000011</v>
      </c>
      <c r="BP114">
        <v>739.09</v>
      </c>
      <c r="BQ114">
        <v>195</v>
      </c>
      <c r="BR114">
        <v>7107.02</v>
      </c>
      <c r="BS114">
        <v>738.34</v>
      </c>
      <c r="BT114">
        <v>0.75</v>
      </c>
      <c r="BU114">
        <v>300.00000000000011</v>
      </c>
      <c r="BV114">
        <v>38.299999999999997</v>
      </c>
      <c r="BW114">
        <v>753.03051980841997</v>
      </c>
      <c r="BX114">
        <v>0.8148021246086895</v>
      </c>
      <c r="BY114">
        <v>-10.44014082525208</v>
      </c>
      <c r="BZ114">
        <v>0.48512262357233232</v>
      </c>
      <c r="CA114">
        <v>0.94298945279243462</v>
      </c>
      <c r="CB114">
        <v>-7.0029728587319299E-3</v>
      </c>
      <c r="CC114">
        <v>289.99999999999989</v>
      </c>
      <c r="CD114">
        <v>737.31</v>
      </c>
      <c r="CE114">
        <v>895</v>
      </c>
      <c r="CF114">
        <v>7093.66</v>
      </c>
      <c r="CG114">
        <v>738.31</v>
      </c>
      <c r="CH114">
        <v>-1</v>
      </c>
      <c r="CV114">
        <f t="shared" si="134"/>
        <v>1799.89</v>
      </c>
      <c r="CW114">
        <f t="shared" si="154"/>
        <v>1513.092306233252</v>
      </c>
      <c r="CX114">
        <f t="shared" si="136"/>
        <v>0.84065821035355048</v>
      </c>
      <c r="CY114">
        <f t="shared" si="137"/>
        <v>0.19131642070710106</v>
      </c>
      <c r="CZ114">
        <v>5</v>
      </c>
      <c r="DA114">
        <v>0.5</v>
      </c>
      <c r="DB114" t="s">
        <v>418</v>
      </c>
      <c r="DC114">
        <v>2</v>
      </c>
      <c r="DD114">
        <v>1700168341</v>
      </c>
      <c r="DE114">
        <v>8.7075200000000006</v>
      </c>
      <c r="DF114">
        <v>10.0078</v>
      </c>
      <c r="DG114">
        <v>28.990100000000002</v>
      </c>
      <c r="DH114">
        <v>22.994599999999998</v>
      </c>
      <c r="DI114">
        <v>8.5640300000000007</v>
      </c>
      <c r="DJ114">
        <v>28.992599999999999</v>
      </c>
      <c r="DK114">
        <v>499.96</v>
      </c>
      <c r="DL114">
        <v>98.8065</v>
      </c>
      <c r="DM114">
        <v>9.9558099999999997E-2</v>
      </c>
      <c r="DN114">
        <v>30.5061</v>
      </c>
      <c r="DO114">
        <v>29.998899999999999</v>
      </c>
      <c r="DP114">
        <v>999.9</v>
      </c>
      <c r="DQ114">
        <v>0</v>
      </c>
      <c r="DR114">
        <v>0</v>
      </c>
      <c r="DS114">
        <v>10011.9</v>
      </c>
      <c r="DT114">
        <v>0</v>
      </c>
      <c r="DU114">
        <v>183.661</v>
      </c>
      <c r="DV114">
        <v>-1.3003</v>
      </c>
      <c r="DW114">
        <v>8.9674899999999997</v>
      </c>
      <c r="DX114">
        <v>10.243399999999999</v>
      </c>
      <c r="DY114">
        <v>5.9954700000000001</v>
      </c>
      <c r="DZ114">
        <v>10.0078</v>
      </c>
      <c r="EA114">
        <v>22.994599999999998</v>
      </c>
      <c r="EB114">
        <v>2.8643999999999998</v>
      </c>
      <c r="EC114">
        <v>2.2720099999999999</v>
      </c>
      <c r="ED114">
        <v>23.26</v>
      </c>
      <c r="EE114">
        <v>19.479299999999999</v>
      </c>
      <c r="EF114">
        <v>1799.89</v>
      </c>
      <c r="EG114">
        <v>0.97799599999999998</v>
      </c>
      <c r="EH114">
        <v>2.2003600000000002E-2</v>
      </c>
      <c r="EI114">
        <v>0</v>
      </c>
      <c r="EJ114">
        <v>710.61199999999997</v>
      </c>
      <c r="EK114">
        <v>5.0005300000000004</v>
      </c>
      <c r="EL114">
        <v>13475.6</v>
      </c>
      <c r="EM114">
        <v>16034.2</v>
      </c>
      <c r="EN114">
        <v>47.311999999999998</v>
      </c>
      <c r="EO114">
        <v>48.25</v>
      </c>
      <c r="EP114">
        <v>47.875</v>
      </c>
      <c r="EQ114">
        <v>47.686999999999998</v>
      </c>
      <c r="ER114">
        <v>48.561999999999998</v>
      </c>
      <c r="ES114">
        <v>1755.39</v>
      </c>
      <c r="ET114">
        <v>39.49</v>
      </c>
      <c r="EU114">
        <v>0</v>
      </c>
      <c r="EV114">
        <v>211.80000019073489</v>
      </c>
      <c r="EW114">
        <v>0</v>
      </c>
      <c r="EX114">
        <v>710.26844000000017</v>
      </c>
      <c r="EY114">
        <v>0.37576921932893431</v>
      </c>
      <c r="EZ114">
        <v>-10.930769220572421</v>
      </c>
      <c r="FA114">
        <v>13477.72</v>
      </c>
      <c r="FB114">
        <v>15</v>
      </c>
      <c r="FC114">
        <v>1700168306.5</v>
      </c>
      <c r="FD114" t="s">
        <v>830</v>
      </c>
      <c r="FE114">
        <v>1700168300</v>
      </c>
      <c r="FF114">
        <v>1700168306.5</v>
      </c>
      <c r="FG114">
        <v>106</v>
      </c>
      <c r="FH114">
        <v>-5.5E-2</v>
      </c>
      <c r="FI114">
        <v>-5.0000000000000001E-3</v>
      </c>
      <c r="FJ114">
        <v>0.14399999999999999</v>
      </c>
      <c r="FK114">
        <v>-3.0000000000000001E-3</v>
      </c>
      <c r="FL114">
        <v>10</v>
      </c>
      <c r="FM114">
        <v>23</v>
      </c>
      <c r="FN114">
        <v>0.28000000000000003</v>
      </c>
      <c r="FO114">
        <v>0.02</v>
      </c>
      <c r="FP114">
        <v>1.2436291903281611</v>
      </c>
      <c r="FQ114">
        <v>-0.18269554623177761</v>
      </c>
      <c r="FR114">
        <v>2.4464016673011131E-2</v>
      </c>
      <c r="FS114">
        <v>1</v>
      </c>
      <c r="FT114">
        <v>0.45831580918645642</v>
      </c>
      <c r="FU114">
        <v>2.954813802869926E-2</v>
      </c>
      <c r="FV114">
        <v>3.6611550785490879E-3</v>
      </c>
      <c r="FW114">
        <v>1</v>
      </c>
      <c r="FX114">
        <v>2</v>
      </c>
      <c r="FY114">
        <v>2</v>
      </c>
      <c r="FZ114" t="s">
        <v>420</v>
      </c>
      <c r="GA114">
        <v>3.1221000000000001</v>
      </c>
      <c r="GB114">
        <v>2.7665299999999999</v>
      </c>
      <c r="GC114">
        <v>2.2925799999999998E-3</v>
      </c>
      <c r="GD114">
        <v>2.68125E-3</v>
      </c>
      <c r="GE114">
        <v>0.121881</v>
      </c>
      <c r="GF114">
        <v>0.103824</v>
      </c>
      <c r="GG114">
        <v>23785.1</v>
      </c>
      <c r="GH114">
        <v>24785.599999999999</v>
      </c>
      <c r="GI114">
        <v>23708.2</v>
      </c>
      <c r="GJ114">
        <v>25174.7</v>
      </c>
      <c r="GK114">
        <v>29985.7</v>
      </c>
      <c r="GL114">
        <v>31629.5</v>
      </c>
      <c r="GM114">
        <v>37795.4</v>
      </c>
      <c r="GN114">
        <v>39182.6</v>
      </c>
      <c r="GO114">
        <v>2.1543999999999999</v>
      </c>
      <c r="GP114">
        <v>1.77352</v>
      </c>
      <c r="GQ114">
        <v>2.8140800000000001E-2</v>
      </c>
      <c r="GR114">
        <v>0</v>
      </c>
      <c r="GS114">
        <v>29.540800000000001</v>
      </c>
      <c r="GT114">
        <v>999.9</v>
      </c>
      <c r="GU114">
        <v>42.2</v>
      </c>
      <c r="GV114">
        <v>38.200000000000003</v>
      </c>
      <c r="GW114">
        <v>28.745899999999999</v>
      </c>
      <c r="GX114">
        <v>60.449399999999997</v>
      </c>
      <c r="GY114">
        <v>26.902999999999999</v>
      </c>
      <c r="GZ114">
        <v>1</v>
      </c>
      <c r="HA114">
        <v>0.57861799999999997</v>
      </c>
      <c r="HB114">
        <v>1.6152299999999999</v>
      </c>
      <c r="HC114">
        <v>20.312899999999999</v>
      </c>
      <c r="HD114">
        <v>5.2464899999999997</v>
      </c>
      <c r="HE114">
        <v>12.010199999999999</v>
      </c>
      <c r="HF114">
        <v>4.9778500000000001</v>
      </c>
      <c r="HG114">
        <v>3.29155</v>
      </c>
      <c r="HH114">
        <v>9999</v>
      </c>
      <c r="HI114">
        <v>9999</v>
      </c>
      <c r="HJ114">
        <v>9999</v>
      </c>
      <c r="HK114">
        <v>999.9</v>
      </c>
      <c r="HL114">
        <v>1.87609</v>
      </c>
      <c r="HM114">
        <v>1.87697</v>
      </c>
      <c r="HN114">
        <v>1.88324</v>
      </c>
      <c r="HO114">
        <v>1.88636</v>
      </c>
      <c r="HP114">
        <v>1.87714</v>
      </c>
      <c r="HQ114">
        <v>1.8836999999999999</v>
      </c>
      <c r="HR114">
        <v>1.88266</v>
      </c>
      <c r="HS114">
        <v>1.8860300000000001</v>
      </c>
      <c r="HT114">
        <v>5</v>
      </c>
      <c r="HU114">
        <v>0</v>
      </c>
      <c r="HV114">
        <v>0</v>
      </c>
      <c r="HW114">
        <v>0</v>
      </c>
      <c r="HX114" t="s">
        <v>421</v>
      </c>
      <c r="HY114" t="s">
        <v>422</v>
      </c>
      <c r="HZ114" t="s">
        <v>423</v>
      </c>
      <c r="IA114" t="s">
        <v>424</v>
      </c>
      <c r="IB114" t="s">
        <v>424</v>
      </c>
      <c r="IC114" t="s">
        <v>423</v>
      </c>
      <c r="ID114">
        <v>0</v>
      </c>
      <c r="IE114">
        <v>100</v>
      </c>
      <c r="IF114">
        <v>100</v>
      </c>
      <c r="IG114">
        <v>0.14299999999999999</v>
      </c>
      <c r="IH114">
        <v>-2.5000000000000001E-3</v>
      </c>
      <c r="II114">
        <v>0.14312613760459261</v>
      </c>
      <c r="IJ114">
        <v>4.4610147972834149E-5</v>
      </c>
      <c r="IK114">
        <v>-2.082673137682459E-7</v>
      </c>
      <c r="IL114">
        <v>-4.0725795306076518E-11</v>
      </c>
      <c r="IM114">
        <v>-2.530000000003696E-3</v>
      </c>
      <c r="IN114">
        <v>0</v>
      </c>
      <c r="IO114">
        <v>0</v>
      </c>
      <c r="IP114">
        <v>0</v>
      </c>
      <c r="IQ114">
        <v>3</v>
      </c>
      <c r="IR114">
        <v>2179</v>
      </c>
      <c r="IS114">
        <v>0</v>
      </c>
      <c r="IT114">
        <v>22</v>
      </c>
      <c r="IU114">
        <v>0.7</v>
      </c>
      <c r="IV114">
        <v>0.6</v>
      </c>
      <c r="IW114">
        <v>0.17333999999999999</v>
      </c>
      <c r="IX114">
        <v>2.7490199999999998</v>
      </c>
      <c r="IY114">
        <v>1.6015600000000001</v>
      </c>
      <c r="IZ114">
        <v>2.32544</v>
      </c>
      <c r="JA114">
        <v>1.5502899999999999</v>
      </c>
      <c r="JB114">
        <v>2.50854</v>
      </c>
      <c r="JC114">
        <v>42.138599999999997</v>
      </c>
      <c r="JD114">
        <v>24.218800000000002</v>
      </c>
      <c r="JE114">
        <v>18</v>
      </c>
      <c r="JF114">
        <v>615.83600000000001</v>
      </c>
      <c r="JG114">
        <v>399.03699999999998</v>
      </c>
      <c r="JH114">
        <v>28.113800000000001</v>
      </c>
      <c r="JI114">
        <v>34.188200000000002</v>
      </c>
      <c r="JJ114">
        <v>29.9999</v>
      </c>
      <c r="JK114">
        <v>34.274999999999999</v>
      </c>
      <c r="JL114">
        <v>34.260199999999998</v>
      </c>
      <c r="JM114">
        <v>3.4390499999999999</v>
      </c>
      <c r="JN114">
        <v>27.307200000000002</v>
      </c>
      <c r="JO114">
        <v>60.9724</v>
      </c>
      <c r="JP114">
        <v>28.107500000000002</v>
      </c>
      <c r="JQ114">
        <v>10</v>
      </c>
      <c r="JR114">
        <v>22.922000000000001</v>
      </c>
      <c r="JS114">
        <v>98.576300000000003</v>
      </c>
      <c r="JT114">
        <v>99.153800000000004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2023-11-16T21:00:29Z</dcterms:created>
  <dcterms:modified xsi:type="dcterms:W3CDTF">2023-11-16T23:53:05Z</dcterms:modified>
</cp:coreProperties>
</file>