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B\Documents\CABBI\sugarcane\2023 Nov\"/>
    </mc:Choice>
  </mc:AlternateContent>
  <bookViews>
    <workbookView xWindow="240" yWindow="15" windowWidth="16095" windowHeight="9660"/>
  </bookViews>
  <sheets>
    <sheet name="Measurements" sheetId="1" r:id="rId1"/>
    <sheet name="Remarks" sheetId="2" r:id="rId2"/>
  </sheets>
  <calcPr calcId="162913"/>
</workbook>
</file>

<file path=xl/calcChain.xml><?xml version="1.0" encoding="utf-8"?>
<calcChain xmlns="http://schemas.openxmlformats.org/spreadsheetml/2006/main">
  <c r="CY58" i="1" l="1"/>
  <c r="CX58" i="1"/>
  <c r="CV58" i="1"/>
  <c r="BK58" i="1"/>
  <c r="BJ58" i="1"/>
  <c r="BB58" i="1"/>
  <c r="AV58" i="1"/>
  <c r="AP58" i="1"/>
  <c r="BC58" i="1" s="1"/>
  <c r="BF58" i="1" s="1"/>
  <c r="AK58" i="1"/>
  <c r="AI58" i="1" s="1"/>
  <c r="L58" i="1" s="1"/>
  <c r="AY58" i="1" s="1"/>
  <c r="AA58" i="1"/>
  <c r="Y58" i="1" s="1"/>
  <c r="Z58" i="1"/>
  <c r="R58" i="1"/>
  <c r="CY57" i="1"/>
  <c r="CX57" i="1"/>
  <c r="CV57" i="1"/>
  <c r="U57" i="1" s="1"/>
  <c r="BK57" i="1"/>
  <c r="BJ57" i="1"/>
  <c r="BG57" i="1"/>
  <c r="BF57" i="1"/>
  <c r="BI57" i="1" s="1"/>
  <c r="BB57" i="1"/>
  <c r="AV57" i="1"/>
  <c r="AP57" i="1"/>
  <c r="BC57" i="1" s="1"/>
  <c r="AK57" i="1"/>
  <c r="AI57" i="1" s="1"/>
  <c r="AA57" i="1"/>
  <c r="Z57" i="1"/>
  <c r="R57" i="1"/>
  <c r="CY56" i="1"/>
  <c r="CX56" i="1"/>
  <c r="CV56" i="1"/>
  <c r="BK56" i="1"/>
  <c r="BJ56" i="1"/>
  <c r="BB56" i="1"/>
  <c r="AV56" i="1"/>
  <c r="AP56" i="1"/>
  <c r="BC56" i="1" s="1"/>
  <c r="BF56" i="1" s="1"/>
  <c r="AK56" i="1"/>
  <c r="AI56" i="1" s="1"/>
  <c r="M56" i="1" s="1"/>
  <c r="AA56" i="1"/>
  <c r="Z56" i="1"/>
  <c r="R56" i="1"/>
  <c r="K56" i="1"/>
  <c r="J56" i="1" s="1"/>
  <c r="CY55" i="1"/>
  <c r="U55" i="1" s="1"/>
  <c r="CX55" i="1"/>
  <c r="CV55" i="1"/>
  <c r="BK55" i="1"/>
  <c r="BJ55" i="1"/>
  <c r="BF55" i="1"/>
  <c r="BI55" i="1" s="1"/>
  <c r="BB55" i="1"/>
  <c r="AV55" i="1"/>
  <c r="AP55" i="1"/>
  <c r="BC55" i="1" s="1"/>
  <c r="AK55" i="1"/>
  <c r="AI55" i="1" s="1"/>
  <c r="AA55" i="1"/>
  <c r="Z55" i="1"/>
  <c r="Y55" i="1" s="1"/>
  <c r="R55" i="1"/>
  <c r="CY54" i="1"/>
  <c r="CX54" i="1"/>
  <c r="CV54" i="1"/>
  <c r="BK54" i="1"/>
  <c r="BJ54" i="1"/>
  <c r="BC54" i="1"/>
  <c r="BF54" i="1" s="1"/>
  <c r="BB54" i="1"/>
  <c r="AV54" i="1"/>
  <c r="AP54" i="1"/>
  <c r="AK54" i="1"/>
  <c r="AI54" i="1"/>
  <c r="P54" i="1" s="1"/>
  <c r="AA54" i="1"/>
  <c r="Y54" i="1" s="1"/>
  <c r="Z54" i="1"/>
  <c r="R54" i="1"/>
  <c r="CY53" i="1"/>
  <c r="CX53" i="1"/>
  <c r="CW53" i="1" s="1"/>
  <c r="AX53" i="1" s="1"/>
  <c r="CV53" i="1"/>
  <c r="BK53" i="1"/>
  <c r="BJ53" i="1"/>
  <c r="BF53" i="1"/>
  <c r="BG53" i="1" s="1"/>
  <c r="BB53" i="1"/>
  <c r="AV53" i="1"/>
  <c r="AP53" i="1"/>
  <c r="BC53" i="1" s="1"/>
  <c r="AK53" i="1"/>
  <c r="AI53" i="1"/>
  <c r="L53" i="1" s="1"/>
  <c r="AY53" i="1" s="1"/>
  <c r="BA53" i="1" s="1"/>
  <c r="AA53" i="1"/>
  <c r="Z53" i="1"/>
  <c r="R53" i="1"/>
  <c r="CY52" i="1"/>
  <c r="CX52" i="1"/>
  <c r="CV52" i="1"/>
  <c r="CW52" i="1" s="1"/>
  <c r="AX52" i="1" s="1"/>
  <c r="BL52" i="1"/>
  <c r="BM52" i="1" s="1"/>
  <c r="BK52" i="1"/>
  <c r="BJ52" i="1"/>
  <c r="BI52" i="1"/>
  <c r="BH52" i="1"/>
  <c r="BG52" i="1"/>
  <c r="BF52" i="1"/>
  <c r="BC52" i="1"/>
  <c r="BB52" i="1"/>
  <c r="AV52" i="1"/>
  <c r="AP52" i="1"/>
  <c r="AK52" i="1"/>
  <c r="AI52" i="1" s="1"/>
  <c r="AA52" i="1"/>
  <c r="Z52" i="1"/>
  <c r="R52" i="1"/>
  <c r="CY51" i="1"/>
  <c r="CX51" i="1"/>
  <c r="CW51" i="1" s="1"/>
  <c r="AX51" i="1" s="1"/>
  <c r="CV51" i="1"/>
  <c r="BK51" i="1"/>
  <c r="BJ51" i="1"/>
  <c r="BC51" i="1"/>
  <c r="BF51" i="1" s="1"/>
  <c r="BB51" i="1"/>
  <c r="AV51" i="1"/>
  <c r="AP51" i="1"/>
  <c r="AK51" i="1"/>
  <c r="AI51" i="1" s="1"/>
  <c r="AA51" i="1"/>
  <c r="Z51" i="1"/>
  <c r="Y51" i="1" s="1"/>
  <c r="R51" i="1"/>
  <c r="CY50" i="1"/>
  <c r="CX50" i="1"/>
  <c r="CV50" i="1"/>
  <c r="CW50" i="1" s="1"/>
  <c r="AX50" i="1" s="1"/>
  <c r="BK50" i="1"/>
  <c r="BJ50" i="1"/>
  <c r="BI50" i="1"/>
  <c r="BF50" i="1"/>
  <c r="BG50" i="1" s="1"/>
  <c r="BB50" i="1"/>
  <c r="AV50" i="1"/>
  <c r="AP50" i="1"/>
  <c r="BC50" i="1" s="1"/>
  <c r="AK50" i="1"/>
  <c r="AI50" i="1" s="1"/>
  <c r="M50" i="1" s="1"/>
  <c r="AA50" i="1"/>
  <c r="Y50" i="1" s="1"/>
  <c r="Z50" i="1"/>
  <c r="R50" i="1"/>
  <c r="CY49" i="1"/>
  <c r="CX49" i="1"/>
  <c r="CW49" i="1"/>
  <c r="AX49" i="1" s="1"/>
  <c r="CV49" i="1"/>
  <c r="BK49" i="1"/>
  <c r="BJ49" i="1"/>
  <c r="BF49" i="1"/>
  <c r="BG49" i="1" s="1"/>
  <c r="BC49" i="1"/>
  <c r="BB49" i="1"/>
  <c r="AV49" i="1"/>
  <c r="AP49" i="1"/>
  <c r="AK49" i="1"/>
  <c r="AI49" i="1" s="1"/>
  <c r="AA49" i="1"/>
  <c r="Z49" i="1"/>
  <c r="R49" i="1"/>
  <c r="CY48" i="1"/>
  <c r="U48" i="1" s="1"/>
  <c r="CX48" i="1"/>
  <c r="CV48" i="1"/>
  <c r="CW48" i="1" s="1"/>
  <c r="AX48" i="1" s="1"/>
  <c r="AZ48" i="1" s="1"/>
  <c r="BK48" i="1"/>
  <c r="BJ48" i="1"/>
  <c r="BI48" i="1"/>
  <c r="BC48" i="1"/>
  <c r="BF48" i="1" s="1"/>
  <c r="BB48" i="1"/>
  <c r="AV48" i="1"/>
  <c r="AP48" i="1"/>
  <c r="AK48" i="1"/>
  <c r="AI48" i="1"/>
  <c r="AA48" i="1"/>
  <c r="Y48" i="1" s="1"/>
  <c r="Z48" i="1"/>
  <c r="R48" i="1"/>
  <c r="CY47" i="1"/>
  <c r="U47" i="1" s="1"/>
  <c r="CX47" i="1"/>
  <c r="CW47" i="1" s="1"/>
  <c r="AX47" i="1" s="1"/>
  <c r="CV47" i="1"/>
  <c r="BK47" i="1"/>
  <c r="BJ47" i="1"/>
  <c r="BI47" i="1"/>
  <c r="BH47" i="1"/>
  <c r="BL47" i="1" s="1"/>
  <c r="BM47" i="1" s="1"/>
  <c r="BF47" i="1"/>
  <c r="BG47" i="1" s="1"/>
  <c r="BB47" i="1"/>
  <c r="AV47" i="1"/>
  <c r="AP47" i="1"/>
  <c r="BC47" i="1" s="1"/>
  <c r="AK47" i="1"/>
  <c r="AI47" i="1" s="1"/>
  <c r="AA47" i="1"/>
  <c r="Z47" i="1"/>
  <c r="Y47" i="1" s="1"/>
  <c r="R47" i="1"/>
  <c r="CY46" i="1"/>
  <c r="CX46" i="1"/>
  <c r="CW46" i="1" s="1"/>
  <c r="AX46" i="1" s="1"/>
  <c r="CV46" i="1"/>
  <c r="U46" i="1" s="1"/>
  <c r="BK46" i="1"/>
  <c r="BJ46" i="1"/>
  <c r="BB46" i="1"/>
  <c r="AV46" i="1"/>
  <c r="AP46" i="1"/>
  <c r="BC46" i="1" s="1"/>
  <c r="BF46" i="1" s="1"/>
  <c r="AK46" i="1"/>
  <c r="AI46" i="1" s="1"/>
  <c r="AA46" i="1"/>
  <c r="Z46" i="1"/>
  <c r="R46" i="1"/>
  <c r="L46" i="1"/>
  <c r="AY46" i="1" s="1"/>
  <c r="K46" i="1"/>
  <c r="J46" i="1" s="1"/>
  <c r="AC46" i="1" s="1"/>
  <c r="CY45" i="1"/>
  <c r="CX45" i="1"/>
  <c r="CV45" i="1"/>
  <c r="BK45" i="1"/>
  <c r="BJ45" i="1"/>
  <c r="BF45" i="1"/>
  <c r="BB45" i="1"/>
  <c r="AV45" i="1"/>
  <c r="AP45" i="1"/>
  <c r="BC45" i="1" s="1"/>
  <c r="AK45" i="1"/>
  <c r="AI45" i="1" s="1"/>
  <c r="AA45" i="1"/>
  <c r="Z45" i="1"/>
  <c r="R45" i="1"/>
  <c r="CY44" i="1"/>
  <c r="CX44" i="1"/>
  <c r="CW44" i="1"/>
  <c r="AX44" i="1" s="1"/>
  <c r="CV44" i="1"/>
  <c r="BK44" i="1"/>
  <c r="BJ44" i="1"/>
  <c r="BB44" i="1"/>
  <c r="AV44" i="1"/>
  <c r="AZ44" i="1" s="1"/>
  <c r="AP44" i="1"/>
  <c r="BC44" i="1" s="1"/>
  <c r="BF44" i="1" s="1"/>
  <c r="AK44" i="1"/>
  <c r="AI44" i="1" s="1"/>
  <c r="AJ44" i="1" s="1"/>
  <c r="AA44" i="1"/>
  <c r="Y44" i="1" s="1"/>
  <c r="Z44" i="1"/>
  <c r="R44" i="1"/>
  <c r="CY43" i="1"/>
  <c r="U43" i="1" s="1"/>
  <c r="CX43" i="1"/>
  <c r="CW43" i="1" s="1"/>
  <c r="AX43" i="1" s="1"/>
  <c r="CV43" i="1"/>
  <c r="BK43" i="1"/>
  <c r="BJ43" i="1"/>
  <c r="BF43" i="1"/>
  <c r="BI43" i="1" s="1"/>
  <c r="BC43" i="1"/>
  <c r="BB43" i="1"/>
  <c r="AV43" i="1"/>
  <c r="AP43" i="1"/>
  <c r="AK43" i="1"/>
  <c r="AI43" i="1" s="1"/>
  <c r="M43" i="1" s="1"/>
  <c r="AA43" i="1"/>
  <c r="Z43" i="1"/>
  <c r="Y43" i="1" s="1"/>
  <c r="R43" i="1"/>
  <c r="CY42" i="1"/>
  <c r="U42" i="1" s="1"/>
  <c r="CX42" i="1"/>
  <c r="CW42" i="1"/>
  <c r="AX42" i="1" s="1"/>
  <c r="CV42" i="1"/>
  <c r="BK42" i="1"/>
  <c r="BJ42" i="1"/>
  <c r="BF42" i="1"/>
  <c r="BB42" i="1"/>
  <c r="AV42" i="1"/>
  <c r="AP42" i="1"/>
  <c r="BC42" i="1" s="1"/>
  <c r="AK42" i="1"/>
  <c r="AI42" i="1" s="1"/>
  <c r="AA42" i="1"/>
  <c r="Z42" i="1"/>
  <c r="Y42" i="1"/>
  <c r="R42" i="1"/>
  <c r="M42" i="1"/>
  <c r="CY41" i="1"/>
  <c r="CX41" i="1"/>
  <c r="CW41" i="1"/>
  <c r="AX41" i="1" s="1"/>
  <c r="CV41" i="1"/>
  <c r="BK41" i="1"/>
  <c r="BJ41" i="1"/>
  <c r="BF41" i="1"/>
  <c r="BB41" i="1"/>
  <c r="AV41" i="1"/>
  <c r="AP41" i="1"/>
  <c r="BC41" i="1" s="1"/>
  <c r="AK41" i="1"/>
  <c r="AI41" i="1" s="1"/>
  <c r="AA41" i="1"/>
  <c r="Z41" i="1"/>
  <c r="Y41" i="1" s="1"/>
  <c r="R41" i="1"/>
  <c r="CY40" i="1"/>
  <c r="CX40" i="1"/>
  <c r="CW40" i="1" s="1"/>
  <c r="AX40" i="1" s="1"/>
  <c r="CV40" i="1"/>
  <c r="BK40" i="1"/>
  <c r="BJ40" i="1"/>
  <c r="BC40" i="1"/>
  <c r="BF40" i="1" s="1"/>
  <c r="BG40" i="1" s="1"/>
  <c r="BB40" i="1"/>
  <c r="AV40" i="1"/>
  <c r="AP40" i="1"/>
  <c r="AK40" i="1"/>
  <c r="AI40" i="1" s="1"/>
  <c r="AA40" i="1"/>
  <c r="Z40" i="1"/>
  <c r="U40" i="1"/>
  <c r="R40" i="1"/>
  <c r="CY39" i="1"/>
  <c r="CX39" i="1"/>
  <c r="CV39" i="1"/>
  <c r="BK39" i="1"/>
  <c r="BJ39" i="1"/>
  <c r="BF39" i="1"/>
  <c r="BB39" i="1"/>
  <c r="AV39" i="1"/>
  <c r="AP39" i="1"/>
  <c r="BC39" i="1" s="1"/>
  <c r="AK39" i="1"/>
  <c r="AI39" i="1" s="1"/>
  <c r="M39" i="1" s="1"/>
  <c r="AA39" i="1"/>
  <c r="Z39" i="1"/>
  <c r="R39" i="1"/>
  <c r="P39" i="1"/>
  <c r="L39" i="1"/>
  <c r="AY39" i="1" s="1"/>
  <c r="CY38" i="1"/>
  <c r="CX38" i="1"/>
  <c r="CW38" i="1" s="1"/>
  <c r="AX38" i="1" s="1"/>
  <c r="AZ38" i="1" s="1"/>
  <c r="CV38" i="1"/>
  <c r="BK38" i="1"/>
  <c r="BJ38" i="1"/>
  <c r="BI38" i="1"/>
  <c r="BH38" i="1"/>
  <c r="BL38" i="1" s="1"/>
  <c r="BM38" i="1" s="1"/>
  <c r="BG38" i="1"/>
  <c r="BF38" i="1"/>
  <c r="BB38" i="1"/>
  <c r="AV38" i="1"/>
  <c r="AP38" i="1"/>
  <c r="BC38" i="1" s="1"/>
  <c r="AK38" i="1"/>
  <c r="AI38" i="1"/>
  <c r="AA38" i="1"/>
  <c r="Z38" i="1"/>
  <c r="Y38" i="1" s="1"/>
  <c r="U38" i="1"/>
  <c r="R38" i="1"/>
  <c r="P38" i="1"/>
  <c r="CY37" i="1"/>
  <c r="CX37" i="1"/>
  <c r="CV37" i="1"/>
  <c r="BK37" i="1"/>
  <c r="BJ37" i="1"/>
  <c r="BF37" i="1"/>
  <c r="BG37" i="1" s="1"/>
  <c r="BB37" i="1"/>
  <c r="AV37" i="1"/>
  <c r="AP37" i="1"/>
  <c r="BC37" i="1" s="1"/>
  <c r="AK37" i="1"/>
  <c r="AI37" i="1" s="1"/>
  <c r="L37" i="1" s="1"/>
  <c r="AY37" i="1" s="1"/>
  <c r="AA37" i="1"/>
  <c r="Y37" i="1" s="1"/>
  <c r="Z37" i="1"/>
  <c r="R37" i="1"/>
  <c r="CY36" i="1"/>
  <c r="CX36" i="1"/>
  <c r="CV36" i="1"/>
  <c r="CW36" i="1" s="1"/>
  <c r="AX36" i="1" s="1"/>
  <c r="BK36" i="1"/>
  <c r="BJ36" i="1"/>
  <c r="BF36" i="1"/>
  <c r="BI36" i="1" s="1"/>
  <c r="BB36" i="1"/>
  <c r="AV36" i="1"/>
  <c r="AP36" i="1"/>
  <c r="BC36" i="1" s="1"/>
  <c r="AK36" i="1"/>
  <c r="AI36" i="1" s="1"/>
  <c r="AA36" i="1"/>
  <c r="Z36" i="1"/>
  <c r="Y36" i="1" s="1"/>
  <c r="U36" i="1"/>
  <c r="R36" i="1"/>
  <c r="CY35" i="1"/>
  <c r="CX35" i="1"/>
  <c r="CV35" i="1"/>
  <c r="BK35" i="1"/>
  <c r="BJ35" i="1"/>
  <c r="BF35" i="1"/>
  <c r="BB35" i="1"/>
  <c r="AV35" i="1"/>
  <c r="AP35" i="1"/>
  <c r="BC35" i="1" s="1"/>
  <c r="AK35" i="1"/>
  <c r="AI35" i="1" s="1"/>
  <c r="M35" i="1" s="1"/>
  <c r="AA35" i="1"/>
  <c r="Z35" i="1"/>
  <c r="Y35" i="1" s="1"/>
  <c r="R35" i="1"/>
  <c r="P35" i="1"/>
  <c r="CY34" i="1"/>
  <c r="CX34" i="1"/>
  <c r="CV34" i="1"/>
  <c r="U34" i="1" s="1"/>
  <c r="BK34" i="1"/>
  <c r="BJ34" i="1"/>
  <c r="BG34" i="1"/>
  <c r="BF34" i="1"/>
  <c r="BI34" i="1" s="1"/>
  <c r="BC34" i="1"/>
  <c r="BB34" i="1"/>
  <c r="AV34" i="1"/>
  <c r="AP34" i="1"/>
  <c r="AK34" i="1"/>
  <c r="AI34" i="1"/>
  <c r="P34" i="1" s="1"/>
  <c r="AA34" i="1"/>
  <c r="Z34" i="1"/>
  <c r="Y34" i="1"/>
  <c r="R34" i="1"/>
  <c r="CY33" i="1"/>
  <c r="CX33" i="1"/>
  <c r="CV33" i="1"/>
  <c r="BK33" i="1"/>
  <c r="BJ33" i="1"/>
  <c r="BC33" i="1"/>
  <c r="BF33" i="1" s="1"/>
  <c r="BB33" i="1"/>
  <c r="AV33" i="1"/>
  <c r="AP33" i="1"/>
  <c r="AK33" i="1"/>
  <c r="AI33" i="1" s="1"/>
  <c r="P33" i="1" s="1"/>
  <c r="AA33" i="1"/>
  <c r="Y33" i="1" s="1"/>
  <c r="Z33" i="1"/>
  <c r="R33" i="1"/>
  <c r="CY32" i="1"/>
  <c r="CX32" i="1"/>
  <c r="CV32" i="1"/>
  <c r="U32" i="1" s="1"/>
  <c r="BK32" i="1"/>
  <c r="BJ32" i="1"/>
  <c r="BF32" i="1"/>
  <c r="BB32" i="1"/>
  <c r="AV32" i="1"/>
  <c r="AP32" i="1"/>
  <c r="BC32" i="1" s="1"/>
  <c r="AK32" i="1"/>
  <c r="AI32" i="1"/>
  <c r="L32" i="1" s="1"/>
  <c r="AY32" i="1" s="1"/>
  <c r="AA32" i="1"/>
  <c r="Z32" i="1"/>
  <c r="Y32" i="1" s="1"/>
  <c r="R32" i="1"/>
  <c r="CY31" i="1"/>
  <c r="CX31" i="1"/>
  <c r="CV31" i="1"/>
  <c r="CW31" i="1" s="1"/>
  <c r="AX31" i="1" s="1"/>
  <c r="BK31" i="1"/>
  <c r="BJ31" i="1"/>
  <c r="BF31" i="1"/>
  <c r="BH31" i="1" s="1"/>
  <c r="BL31" i="1" s="1"/>
  <c r="BM31" i="1" s="1"/>
  <c r="BB31" i="1"/>
  <c r="AV31" i="1"/>
  <c r="AP31" i="1"/>
  <c r="BC31" i="1" s="1"/>
  <c r="AK31" i="1"/>
  <c r="AI31" i="1" s="1"/>
  <c r="AA31" i="1"/>
  <c r="Z31" i="1"/>
  <c r="R31" i="1"/>
  <c r="M31" i="1"/>
  <c r="CY30" i="1"/>
  <c r="U30" i="1" s="1"/>
  <c r="CX30" i="1"/>
  <c r="CW30" i="1"/>
  <c r="AX30" i="1" s="1"/>
  <c r="CV30" i="1"/>
  <c r="BK30" i="1"/>
  <c r="BJ30" i="1"/>
  <c r="BF30" i="1"/>
  <c r="BI30" i="1" s="1"/>
  <c r="BC30" i="1"/>
  <c r="BB30" i="1"/>
  <c r="AV30" i="1"/>
  <c r="AP30" i="1"/>
  <c r="AK30" i="1"/>
  <c r="AI30" i="1" s="1"/>
  <c r="M30" i="1" s="1"/>
  <c r="AA30" i="1"/>
  <c r="Z30" i="1"/>
  <c r="R30" i="1"/>
  <c r="K30" i="1"/>
  <c r="J30" i="1" s="1"/>
  <c r="CY29" i="1"/>
  <c r="CX29" i="1"/>
  <c r="CV29" i="1"/>
  <c r="BK29" i="1"/>
  <c r="BJ29" i="1"/>
  <c r="BC29" i="1"/>
  <c r="BF29" i="1" s="1"/>
  <c r="BB29" i="1"/>
  <c r="AV29" i="1"/>
  <c r="AP29" i="1"/>
  <c r="AK29" i="1"/>
  <c r="AI29" i="1" s="1"/>
  <c r="AA29" i="1"/>
  <c r="Y29" i="1" s="1"/>
  <c r="Z29" i="1"/>
  <c r="R29" i="1"/>
  <c r="CY28" i="1"/>
  <c r="CX28" i="1"/>
  <c r="CV28" i="1"/>
  <c r="CW28" i="1" s="1"/>
  <c r="AX28" i="1" s="1"/>
  <c r="BK28" i="1"/>
  <c r="BJ28" i="1"/>
  <c r="BI28" i="1"/>
  <c r="BF28" i="1"/>
  <c r="BH28" i="1" s="1"/>
  <c r="BL28" i="1" s="1"/>
  <c r="BM28" i="1" s="1"/>
  <c r="BB28" i="1"/>
  <c r="AV28" i="1"/>
  <c r="AP28" i="1"/>
  <c r="BC28" i="1" s="1"/>
  <c r="AK28" i="1"/>
  <c r="AI28" i="1" s="1"/>
  <c r="AJ28" i="1" s="1"/>
  <c r="AA28" i="1"/>
  <c r="Z28" i="1"/>
  <c r="Y28" i="1" s="1"/>
  <c r="R28" i="1"/>
  <c r="CY27" i="1"/>
  <c r="CX27" i="1"/>
  <c r="CV27" i="1"/>
  <c r="CW27" i="1" s="1"/>
  <c r="AX27" i="1" s="1"/>
  <c r="BK27" i="1"/>
  <c r="BJ27" i="1"/>
  <c r="BC27" i="1"/>
  <c r="BF27" i="1" s="1"/>
  <c r="BH27" i="1" s="1"/>
  <c r="BL27" i="1" s="1"/>
  <c r="BM27" i="1" s="1"/>
  <c r="BB27" i="1"/>
  <c r="AV27" i="1"/>
  <c r="AP27" i="1"/>
  <c r="AK27" i="1"/>
  <c r="AI27" i="1" s="1"/>
  <c r="AA27" i="1"/>
  <c r="Z27" i="1"/>
  <c r="Y27" i="1" s="1"/>
  <c r="R27" i="1"/>
  <c r="CY26" i="1"/>
  <c r="U26" i="1" s="1"/>
  <c r="CX26" i="1"/>
  <c r="CW26" i="1"/>
  <c r="AX26" i="1" s="1"/>
  <c r="CV26" i="1"/>
  <c r="BK26" i="1"/>
  <c r="BJ26" i="1"/>
  <c r="BH26" i="1"/>
  <c r="BL26" i="1" s="1"/>
  <c r="BM26" i="1" s="1"/>
  <c r="BG26" i="1"/>
  <c r="BF26" i="1"/>
  <c r="BI26" i="1" s="1"/>
  <c r="BC26" i="1"/>
  <c r="BB26" i="1"/>
  <c r="AV26" i="1"/>
  <c r="AP26" i="1"/>
  <c r="AK26" i="1"/>
  <c r="AI26" i="1" s="1"/>
  <c r="M26" i="1" s="1"/>
  <c r="AA26" i="1"/>
  <c r="Y26" i="1" s="1"/>
  <c r="Z26" i="1"/>
  <c r="R26" i="1"/>
  <c r="CY25" i="1"/>
  <c r="CX25" i="1"/>
  <c r="CV25" i="1"/>
  <c r="BK25" i="1"/>
  <c r="BJ25" i="1"/>
  <c r="BB25" i="1"/>
  <c r="AV25" i="1"/>
  <c r="AP25" i="1"/>
  <c r="BC25" i="1" s="1"/>
  <c r="BF25" i="1" s="1"/>
  <c r="AK25" i="1"/>
  <c r="AI25" i="1" s="1"/>
  <c r="AA25" i="1"/>
  <c r="Z25" i="1"/>
  <c r="Y25" i="1" s="1"/>
  <c r="R25" i="1"/>
  <c r="CY24" i="1"/>
  <c r="CX24" i="1"/>
  <c r="CV24" i="1"/>
  <c r="BL24" i="1"/>
  <c r="BM24" i="1" s="1"/>
  <c r="BK24" i="1"/>
  <c r="BJ24" i="1"/>
  <c r="BI24" i="1"/>
  <c r="BF24" i="1"/>
  <c r="BH24" i="1" s="1"/>
  <c r="BB24" i="1"/>
  <c r="AV24" i="1"/>
  <c r="AP24" i="1"/>
  <c r="BC24" i="1" s="1"/>
  <c r="AK24" i="1"/>
  <c r="AI24" i="1" s="1"/>
  <c r="P24" i="1" s="1"/>
  <c r="AA24" i="1"/>
  <c r="Z24" i="1"/>
  <c r="R24" i="1"/>
  <c r="CY23" i="1"/>
  <c r="CX23" i="1"/>
  <c r="CV23" i="1"/>
  <c r="U23" i="1" s="1"/>
  <c r="BK23" i="1"/>
  <c r="BJ23" i="1"/>
  <c r="BB23" i="1"/>
  <c r="AV23" i="1"/>
  <c r="AP23" i="1"/>
  <c r="BC23" i="1" s="1"/>
  <c r="BF23" i="1" s="1"/>
  <c r="BH23" i="1" s="1"/>
  <c r="BL23" i="1" s="1"/>
  <c r="BM23" i="1" s="1"/>
  <c r="AK23" i="1"/>
  <c r="AI23" i="1" s="1"/>
  <c r="AA23" i="1"/>
  <c r="Z23" i="1"/>
  <c r="Y23" i="1" s="1"/>
  <c r="R23" i="1"/>
  <c r="CY22" i="1"/>
  <c r="U22" i="1" s="1"/>
  <c r="CX22" i="1"/>
  <c r="CV22" i="1"/>
  <c r="BK22" i="1"/>
  <c r="BJ22" i="1"/>
  <c r="BI22" i="1"/>
  <c r="BG22" i="1"/>
  <c r="BF22" i="1"/>
  <c r="BH22" i="1" s="1"/>
  <c r="BL22" i="1" s="1"/>
  <c r="BM22" i="1" s="1"/>
  <c r="BB22" i="1"/>
  <c r="AV22" i="1"/>
  <c r="AP22" i="1"/>
  <c r="BC22" i="1" s="1"/>
  <c r="AK22" i="1"/>
  <c r="AI22" i="1" s="1"/>
  <c r="AJ22" i="1" s="1"/>
  <c r="AA22" i="1"/>
  <c r="Z22" i="1"/>
  <c r="R22" i="1"/>
  <c r="L22" i="1"/>
  <c r="AY22" i="1" s="1"/>
  <c r="CY21" i="1"/>
  <c r="CX21" i="1"/>
  <c r="CV21" i="1"/>
  <c r="CW21" i="1" s="1"/>
  <c r="AX21" i="1" s="1"/>
  <c r="BK21" i="1"/>
  <c r="BJ21" i="1"/>
  <c r="BF21" i="1"/>
  <c r="BI21" i="1" s="1"/>
  <c r="BB21" i="1"/>
  <c r="AV21" i="1"/>
  <c r="AP21" i="1"/>
  <c r="BC21" i="1" s="1"/>
  <c r="AK21" i="1"/>
  <c r="AI21" i="1" s="1"/>
  <c r="AA21" i="1"/>
  <c r="Z21" i="1"/>
  <c r="U21" i="1"/>
  <c r="R21" i="1"/>
  <c r="CY20" i="1"/>
  <c r="CX20" i="1"/>
  <c r="CV20" i="1"/>
  <c r="BK20" i="1"/>
  <c r="BJ20" i="1"/>
  <c r="BB20" i="1"/>
  <c r="AV20" i="1"/>
  <c r="AP20" i="1"/>
  <c r="BC20" i="1" s="1"/>
  <c r="BF20" i="1" s="1"/>
  <c r="BI20" i="1" s="1"/>
  <c r="AK20" i="1"/>
  <c r="AI20" i="1" s="1"/>
  <c r="AA20" i="1"/>
  <c r="Z20" i="1"/>
  <c r="Y20" i="1" s="1"/>
  <c r="R20" i="1"/>
  <c r="CY19" i="1"/>
  <c r="CX19" i="1"/>
  <c r="CV19" i="1"/>
  <c r="U19" i="1" s="1"/>
  <c r="BK19" i="1"/>
  <c r="BJ19" i="1"/>
  <c r="BI19" i="1"/>
  <c r="BF19" i="1"/>
  <c r="BH19" i="1" s="1"/>
  <c r="BL19" i="1" s="1"/>
  <c r="BM19" i="1" s="1"/>
  <c r="BB19" i="1"/>
  <c r="AV19" i="1"/>
  <c r="AP19" i="1"/>
  <c r="BC19" i="1" s="1"/>
  <c r="AK19" i="1"/>
  <c r="AI19" i="1" s="1"/>
  <c r="P19" i="1" s="1"/>
  <c r="AA19" i="1"/>
  <c r="Y19" i="1" s="1"/>
  <c r="Z19" i="1"/>
  <c r="R19" i="1"/>
  <c r="CY18" i="1"/>
  <c r="CX18" i="1"/>
  <c r="CV18" i="1"/>
  <c r="BK18" i="1"/>
  <c r="BJ18" i="1"/>
  <c r="BB18" i="1"/>
  <c r="AV18" i="1"/>
  <c r="AP18" i="1"/>
  <c r="BC18" i="1" s="1"/>
  <c r="BF18" i="1" s="1"/>
  <c r="AK18" i="1"/>
  <c r="AI18" i="1" s="1"/>
  <c r="AA18" i="1"/>
  <c r="Z18" i="1"/>
  <c r="Y18" i="1" s="1"/>
  <c r="R18" i="1"/>
  <c r="CY17" i="1"/>
  <c r="CX17" i="1"/>
  <c r="CV17" i="1"/>
  <c r="CW17" i="1" s="1"/>
  <c r="AX17" i="1" s="1"/>
  <c r="BK17" i="1"/>
  <c r="BJ17" i="1"/>
  <c r="BF17" i="1"/>
  <c r="BI17" i="1" s="1"/>
  <c r="BB17" i="1"/>
  <c r="AV17" i="1"/>
  <c r="AP17" i="1"/>
  <c r="BC17" i="1" s="1"/>
  <c r="AK17" i="1"/>
  <c r="AI17" i="1" s="1"/>
  <c r="AA17" i="1"/>
  <c r="Z17" i="1"/>
  <c r="Y17" i="1" s="1"/>
  <c r="U17" i="1"/>
  <c r="R17" i="1"/>
  <c r="P21" i="1" l="1"/>
  <c r="AJ21" i="1"/>
  <c r="L21" i="1"/>
  <c r="AY21" i="1" s="1"/>
  <c r="K21" i="1"/>
  <c r="J21" i="1" s="1"/>
  <c r="P49" i="1"/>
  <c r="M49" i="1"/>
  <c r="AJ49" i="1"/>
  <c r="P55" i="1"/>
  <c r="AJ55" i="1"/>
  <c r="K18" i="1"/>
  <c r="J18" i="1" s="1"/>
  <c r="AJ18" i="1"/>
  <c r="L18" i="1"/>
  <c r="AY18" i="1" s="1"/>
  <c r="P18" i="1"/>
  <c r="M18" i="1"/>
  <c r="P57" i="1"/>
  <c r="L57" i="1"/>
  <c r="AY57" i="1" s="1"/>
  <c r="AJ57" i="1"/>
  <c r="M57" i="1"/>
  <c r="V21" i="1"/>
  <c r="W21" i="1" s="1"/>
  <c r="P36" i="1"/>
  <c r="M36" i="1"/>
  <c r="L36" i="1"/>
  <c r="AY36" i="1" s="1"/>
  <c r="AJ36" i="1"/>
  <c r="AZ52" i="1"/>
  <c r="L23" i="1"/>
  <c r="AY23" i="1" s="1"/>
  <c r="BA23" i="1" s="1"/>
  <c r="M23" i="1"/>
  <c r="AJ23" i="1"/>
  <c r="P23" i="1"/>
  <c r="BA21" i="1"/>
  <c r="M51" i="1"/>
  <c r="P51" i="1"/>
  <c r="L25" i="1"/>
  <c r="AY25" i="1" s="1"/>
  <c r="AJ25" i="1"/>
  <c r="K25" i="1"/>
  <c r="J25" i="1" s="1"/>
  <c r="BG30" i="1"/>
  <c r="CW32" i="1"/>
  <c r="AX32" i="1" s="1"/>
  <c r="CW34" i="1"/>
  <c r="AX34" i="1" s="1"/>
  <c r="BG43" i="1"/>
  <c r="K50" i="1"/>
  <c r="J50" i="1" s="1"/>
  <c r="AC50" i="1" s="1"/>
  <c r="CW57" i="1"/>
  <c r="AX57" i="1" s="1"/>
  <c r="CW19" i="1"/>
  <c r="AX19" i="1" s="1"/>
  <c r="AZ19" i="1" s="1"/>
  <c r="Y21" i="1"/>
  <c r="K22" i="1"/>
  <c r="J22" i="1" s="1"/>
  <c r="AC22" i="1" s="1"/>
  <c r="Y22" i="1"/>
  <c r="Y24" i="1"/>
  <c r="K26" i="1"/>
  <c r="J26" i="1" s="1"/>
  <c r="V26" i="1" s="1"/>
  <c r="W26" i="1" s="1"/>
  <c r="AD26" i="1" s="1"/>
  <c r="U27" i="1"/>
  <c r="V27" i="1" s="1"/>
  <c r="W27" i="1" s="1"/>
  <c r="BG27" i="1"/>
  <c r="Y30" i="1"/>
  <c r="BH30" i="1"/>
  <c r="BL30" i="1" s="1"/>
  <c r="BM30" i="1" s="1"/>
  <c r="BG31" i="1"/>
  <c r="U31" i="1"/>
  <c r="AJ35" i="1"/>
  <c r="BG36" i="1"/>
  <c r="BH37" i="1"/>
  <c r="BL37" i="1" s="1"/>
  <c r="BM37" i="1" s="1"/>
  <c r="Y40" i="1"/>
  <c r="BI40" i="1"/>
  <c r="U41" i="1"/>
  <c r="BH43" i="1"/>
  <c r="BL43" i="1" s="1"/>
  <c r="BM43" i="1" s="1"/>
  <c r="K44" i="1"/>
  <c r="J44" i="1" s="1"/>
  <c r="U44" i="1"/>
  <c r="L50" i="1"/>
  <c r="AY50" i="1" s="1"/>
  <c r="BA50" i="1" s="1"/>
  <c r="Y52" i="1"/>
  <c r="U53" i="1"/>
  <c r="BG55" i="1"/>
  <c r="P56" i="1"/>
  <c r="L26" i="1"/>
  <c r="AY26" i="1" s="1"/>
  <c r="BA26" i="1" s="1"/>
  <c r="BI27" i="1"/>
  <c r="BI31" i="1"/>
  <c r="K33" i="1"/>
  <c r="J33" i="1" s="1"/>
  <c r="AC33" i="1" s="1"/>
  <c r="BH36" i="1"/>
  <c r="BL36" i="1" s="1"/>
  <c r="BM36" i="1" s="1"/>
  <c r="BI37" i="1"/>
  <c r="BH55" i="1"/>
  <c r="BL55" i="1" s="1"/>
  <c r="BM55" i="1" s="1"/>
  <c r="Y57" i="1"/>
  <c r="BG17" i="1"/>
  <c r="M22" i="1"/>
  <c r="CW22" i="1"/>
  <c r="AX22" i="1" s="1"/>
  <c r="AZ22" i="1" s="1"/>
  <c r="L33" i="1"/>
  <c r="AY33" i="1" s="1"/>
  <c r="BA33" i="1" s="1"/>
  <c r="M34" i="1"/>
  <c r="BH34" i="1"/>
  <c r="BL34" i="1" s="1"/>
  <c r="BM34" i="1" s="1"/>
  <c r="K35" i="1"/>
  <c r="J35" i="1" s="1"/>
  <c r="AC35" i="1" s="1"/>
  <c r="U52" i="1"/>
  <c r="BG19" i="1"/>
  <c r="P22" i="1"/>
  <c r="L35" i="1"/>
  <c r="AY35" i="1" s="1"/>
  <c r="AJ39" i="1"/>
  <c r="AZ41" i="1"/>
  <c r="AZ42" i="1"/>
  <c r="Y45" i="1"/>
  <c r="Y46" i="1"/>
  <c r="U49" i="1"/>
  <c r="K53" i="1"/>
  <c r="J53" i="1" s="1"/>
  <c r="BH57" i="1"/>
  <c r="BL57" i="1" s="1"/>
  <c r="BM57" i="1" s="1"/>
  <c r="BA32" i="1"/>
  <c r="AD21" i="1"/>
  <c r="AZ28" i="1"/>
  <c r="AZ34" i="1"/>
  <c r="CW18" i="1"/>
  <c r="AX18" i="1" s="1"/>
  <c r="AZ18" i="1" s="1"/>
  <c r="CW23" i="1"/>
  <c r="AX23" i="1" s="1"/>
  <c r="CW24" i="1"/>
  <c r="AX24" i="1" s="1"/>
  <c r="AZ24" i="1" s="1"/>
  <c r="AZ27" i="1"/>
  <c r="K39" i="1"/>
  <c r="J39" i="1" s="1"/>
  <c r="AC39" i="1" s="1"/>
  <c r="BH50" i="1"/>
  <c r="BL50" i="1" s="1"/>
  <c r="BM50" i="1" s="1"/>
  <c r="U51" i="1"/>
  <c r="Y53" i="1"/>
  <c r="CW55" i="1"/>
  <c r="AX55" i="1" s="1"/>
  <c r="AZ55" i="1" s="1"/>
  <c r="BI29" i="1"/>
  <c r="BH29" i="1"/>
  <c r="BL29" i="1" s="1"/>
  <c r="BM29" i="1" s="1"/>
  <c r="BG29" i="1"/>
  <c r="BH18" i="1"/>
  <c r="BL18" i="1" s="1"/>
  <c r="BM18" i="1" s="1"/>
  <c r="BG18" i="1"/>
  <c r="BI18" i="1"/>
  <c r="AZ23" i="1"/>
  <c r="AC25" i="1"/>
  <c r="BI25" i="1"/>
  <c r="BH25" i="1"/>
  <c r="BL25" i="1" s="1"/>
  <c r="BM25" i="1" s="1"/>
  <c r="BG25" i="1"/>
  <c r="X26" i="1"/>
  <c r="AB26" i="1" s="1"/>
  <c r="AE26" i="1"/>
  <c r="BA18" i="1"/>
  <c r="BA22" i="1"/>
  <c r="M20" i="1"/>
  <c r="AJ20" i="1"/>
  <c r="L20" i="1"/>
  <c r="AY20" i="1" s="1"/>
  <c r="K20" i="1"/>
  <c r="J20" i="1" s="1"/>
  <c r="P20" i="1"/>
  <c r="L17" i="1"/>
  <c r="AY17" i="1" s="1"/>
  <c r="BA17" i="1" s="1"/>
  <c r="K17" i="1"/>
  <c r="J17" i="1" s="1"/>
  <c r="AJ17" i="1"/>
  <c r="P17" i="1"/>
  <c r="M17" i="1"/>
  <c r="AJ29" i="1"/>
  <c r="P29" i="1"/>
  <c r="M29" i="1"/>
  <c r="K29" i="1"/>
  <c r="J29" i="1" s="1"/>
  <c r="L29" i="1"/>
  <c r="AY29" i="1" s="1"/>
  <c r="AZ17" i="1"/>
  <c r="AC18" i="1"/>
  <c r="P45" i="1"/>
  <c r="M45" i="1"/>
  <c r="L45" i="1"/>
  <c r="AY45" i="1" s="1"/>
  <c r="K45" i="1"/>
  <c r="J45" i="1" s="1"/>
  <c r="AJ45" i="1"/>
  <c r="BI23" i="1"/>
  <c r="L27" i="1"/>
  <c r="AY27" i="1" s="1"/>
  <c r="BA27" i="1" s="1"/>
  <c r="K27" i="1"/>
  <c r="J27" i="1" s="1"/>
  <c r="AJ27" i="1"/>
  <c r="BG33" i="1"/>
  <c r="BI33" i="1"/>
  <c r="BH33" i="1"/>
  <c r="BL33" i="1" s="1"/>
  <c r="BM33" i="1" s="1"/>
  <c r="V46" i="1"/>
  <c r="W46" i="1" s="1"/>
  <c r="BH17" i="1"/>
  <c r="BL17" i="1" s="1"/>
  <c r="BM17" i="1" s="1"/>
  <c r="AJ19" i="1"/>
  <c r="AC30" i="1"/>
  <c r="BI32" i="1"/>
  <c r="BH32" i="1"/>
  <c r="BL32" i="1" s="1"/>
  <c r="BM32" i="1" s="1"/>
  <c r="BG32" i="1"/>
  <c r="CW39" i="1"/>
  <c r="AX39" i="1" s="1"/>
  <c r="AZ39" i="1" s="1"/>
  <c r="U39" i="1"/>
  <c r="AJ40" i="1"/>
  <c r="P40" i="1"/>
  <c r="K40" i="1"/>
  <c r="J40" i="1" s="1"/>
  <c r="V40" i="1" s="1"/>
  <c r="W40" i="1" s="1"/>
  <c r="M40" i="1"/>
  <c r="L40" i="1"/>
  <c r="AY40" i="1" s="1"/>
  <c r="BA40" i="1" s="1"/>
  <c r="M41" i="1"/>
  <c r="L41" i="1"/>
  <c r="AY41" i="1" s="1"/>
  <c r="BA41" i="1" s="1"/>
  <c r="K41" i="1"/>
  <c r="J41" i="1" s="1"/>
  <c r="V41" i="1" s="1"/>
  <c r="W41" i="1" s="1"/>
  <c r="AJ41" i="1"/>
  <c r="P41" i="1"/>
  <c r="BH20" i="1"/>
  <c r="BL20" i="1" s="1"/>
  <c r="BM20" i="1" s="1"/>
  <c r="BG20" i="1"/>
  <c r="P28" i="1"/>
  <c r="M28" i="1"/>
  <c r="L28" i="1"/>
  <c r="AY28" i="1" s="1"/>
  <c r="BA28" i="1" s="1"/>
  <c r="K28" i="1"/>
  <c r="J28" i="1" s="1"/>
  <c r="CW35" i="1"/>
  <c r="AX35" i="1" s="1"/>
  <c r="AZ35" i="1" s="1"/>
  <c r="U35" i="1"/>
  <c r="K19" i="1"/>
  <c r="J19" i="1" s="1"/>
  <c r="AJ31" i="1"/>
  <c r="L31" i="1"/>
  <c r="AY31" i="1" s="1"/>
  <c r="BA31" i="1" s="1"/>
  <c r="K31" i="1"/>
  <c r="J31" i="1" s="1"/>
  <c r="CW45" i="1"/>
  <c r="AX45" i="1" s="1"/>
  <c r="AZ45" i="1" s="1"/>
  <c r="U45" i="1"/>
  <c r="L19" i="1"/>
  <c r="AY19" i="1" s="1"/>
  <c r="BA19" i="1" s="1"/>
  <c r="X21" i="1"/>
  <c r="AB21" i="1" s="1"/>
  <c r="AE21" i="1"/>
  <c r="M24" i="1"/>
  <c r="L24" i="1"/>
  <c r="AY24" i="1" s="1"/>
  <c r="BA24" i="1" s="1"/>
  <c r="K24" i="1"/>
  <c r="J24" i="1" s="1"/>
  <c r="L30" i="1"/>
  <c r="AY30" i="1" s="1"/>
  <c r="BA30" i="1" s="1"/>
  <c r="AJ30" i="1"/>
  <c r="P30" i="1"/>
  <c r="P32" i="1"/>
  <c r="K32" i="1"/>
  <c r="J32" i="1" s="1"/>
  <c r="AJ32" i="1"/>
  <c r="M32" i="1"/>
  <c r="V48" i="1"/>
  <c r="W48" i="1" s="1"/>
  <c r="AD48" i="1" s="1"/>
  <c r="M19" i="1"/>
  <c r="M21" i="1"/>
  <c r="BG21" i="1"/>
  <c r="AJ24" i="1"/>
  <c r="CW25" i="1"/>
  <c r="AX25" i="1" s="1"/>
  <c r="AZ25" i="1" s="1"/>
  <c r="U25" i="1"/>
  <c r="S26" i="1"/>
  <c r="Q26" i="1" s="1"/>
  <c r="T26" i="1" s="1"/>
  <c r="N26" i="1" s="1"/>
  <c r="O26" i="1" s="1"/>
  <c r="AJ26" i="1"/>
  <c r="P26" i="1"/>
  <c r="M27" i="1"/>
  <c r="P31" i="1"/>
  <c r="AZ31" i="1"/>
  <c r="BH21" i="1"/>
  <c r="BL21" i="1" s="1"/>
  <c r="BM21" i="1" s="1"/>
  <c r="CW29" i="1"/>
  <c r="AX29" i="1" s="1"/>
  <c r="AZ29" i="1" s="1"/>
  <c r="U29" i="1"/>
  <c r="AZ30" i="1"/>
  <c r="U18" i="1"/>
  <c r="CW20" i="1"/>
  <c r="AX20" i="1" s="1"/>
  <c r="AZ20" i="1" s="1"/>
  <c r="U20" i="1"/>
  <c r="AZ21" i="1"/>
  <c r="BG23" i="1"/>
  <c r="AZ26" i="1"/>
  <c r="P27" i="1"/>
  <c r="V30" i="1"/>
  <c r="W30" i="1" s="1"/>
  <c r="Y39" i="1"/>
  <c r="BH44" i="1"/>
  <c r="BL44" i="1" s="1"/>
  <c r="BM44" i="1" s="1"/>
  <c r="BG44" i="1"/>
  <c r="BI44" i="1"/>
  <c r="P25" i="1"/>
  <c r="M25" i="1"/>
  <c r="K37" i="1"/>
  <c r="J37" i="1" s="1"/>
  <c r="AJ37" i="1"/>
  <c r="M37" i="1"/>
  <c r="P37" i="1"/>
  <c r="BI42" i="1"/>
  <c r="BG42" i="1"/>
  <c r="BH42" i="1"/>
  <c r="BL42" i="1" s="1"/>
  <c r="BM42" i="1" s="1"/>
  <c r="BG54" i="1"/>
  <c r="BI54" i="1"/>
  <c r="BH54" i="1"/>
  <c r="BL54" i="1" s="1"/>
  <c r="BM54" i="1" s="1"/>
  <c r="CW33" i="1"/>
  <c r="AX33" i="1" s="1"/>
  <c r="AZ33" i="1" s="1"/>
  <c r="U33" i="1"/>
  <c r="BA35" i="1"/>
  <c r="AZ40" i="1"/>
  <c r="V47" i="1"/>
  <c r="W47" i="1" s="1"/>
  <c r="BI51" i="1"/>
  <c r="BH51" i="1"/>
  <c r="BL51" i="1" s="1"/>
  <c r="BM51" i="1" s="1"/>
  <c r="BG51" i="1"/>
  <c r="BG58" i="1"/>
  <c r="BI58" i="1"/>
  <c r="BH58" i="1"/>
  <c r="BL58" i="1" s="1"/>
  <c r="BM58" i="1" s="1"/>
  <c r="BI35" i="1"/>
  <c r="BH35" i="1"/>
  <c r="BL35" i="1" s="1"/>
  <c r="BM35" i="1" s="1"/>
  <c r="BG35" i="1"/>
  <c r="BI39" i="1"/>
  <c r="BH39" i="1"/>
  <c r="BL39" i="1" s="1"/>
  <c r="BM39" i="1" s="1"/>
  <c r="BG39" i="1"/>
  <c r="AC44" i="1"/>
  <c r="M44" i="1"/>
  <c r="L44" i="1"/>
  <c r="AY44" i="1" s="1"/>
  <c r="BA44" i="1" s="1"/>
  <c r="P44" i="1"/>
  <c r="BI46" i="1"/>
  <c r="BH46" i="1"/>
  <c r="BL46" i="1" s="1"/>
  <c r="BM46" i="1" s="1"/>
  <c r="BG46" i="1"/>
  <c r="L47" i="1"/>
  <c r="AY47" i="1" s="1"/>
  <c r="BA47" i="1" s="1"/>
  <c r="K47" i="1"/>
  <c r="J47" i="1" s="1"/>
  <c r="AJ47" i="1"/>
  <c r="M47" i="1"/>
  <c r="M48" i="1"/>
  <c r="L48" i="1"/>
  <c r="AY48" i="1" s="1"/>
  <c r="BA48" i="1" s="1"/>
  <c r="P48" i="1"/>
  <c r="K48" i="1"/>
  <c r="J48" i="1" s="1"/>
  <c r="AJ48" i="1"/>
  <c r="AC56" i="1"/>
  <c r="K23" i="1"/>
  <c r="J23" i="1" s="1"/>
  <c r="U24" i="1"/>
  <c r="BG24" i="1"/>
  <c r="U28" i="1"/>
  <c r="BG28" i="1"/>
  <c r="AJ33" i="1"/>
  <c r="M33" i="1"/>
  <c r="L34" i="1"/>
  <c r="AY34" i="1" s="1"/>
  <c r="BA34" i="1" s="1"/>
  <c r="K34" i="1"/>
  <c r="J34" i="1" s="1"/>
  <c r="BA36" i="1"/>
  <c r="AZ36" i="1"/>
  <c r="CW37" i="1"/>
  <c r="AX37" i="1" s="1"/>
  <c r="AZ37" i="1" s="1"/>
  <c r="U37" i="1"/>
  <c r="M38" i="1"/>
  <c r="L38" i="1"/>
  <c r="AY38" i="1" s="1"/>
  <c r="BA38" i="1" s="1"/>
  <c r="K38" i="1"/>
  <c r="J38" i="1" s="1"/>
  <c r="BH41" i="1"/>
  <c r="BL41" i="1" s="1"/>
  <c r="BM41" i="1" s="1"/>
  <c r="BG41" i="1"/>
  <c r="BA46" i="1"/>
  <c r="P47" i="1"/>
  <c r="AZ32" i="1"/>
  <c r="AJ34" i="1"/>
  <c r="AJ38" i="1"/>
  <c r="BI41" i="1"/>
  <c r="AJ42" i="1"/>
  <c r="P42" i="1"/>
  <c r="L42" i="1"/>
  <c r="AY42" i="1" s="1"/>
  <c r="BA42" i="1" s="1"/>
  <c r="K42" i="1"/>
  <c r="J42" i="1" s="1"/>
  <c r="AZ43" i="1"/>
  <c r="BI45" i="1"/>
  <c r="BH45" i="1"/>
  <c r="BL45" i="1" s="1"/>
  <c r="BM45" i="1" s="1"/>
  <c r="BG45" i="1"/>
  <c r="Y49" i="1"/>
  <c r="AZ47" i="1"/>
  <c r="AZ50" i="1"/>
  <c r="Y31" i="1"/>
  <c r="BH40" i="1"/>
  <c r="BL40" i="1" s="1"/>
  <c r="BM40" i="1" s="1"/>
  <c r="AZ51" i="1"/>
  <c r="AC53" i="1"/>
  <c r="CW56" i="1"/>
  <c r="AX56" i="1" s="1"/>
  <c r="AZ56" i="1" s="1"/>
  <c r="U56" i="1"/>
  <c r="K36" i="1"/>
  <c r="J36" i="1" s="1"/>
  <c r="P43" i="1"/>
  <c r="L51" i="1"/>
  <c r="AY51" i="1" s="1"/>
  <c r="BA51" i="1" s="1"/>
  <c r="K51" i="1"/>
  <c r="J51" i="1" s="1"/>
  <c r="V51" i="1" s="1"/>
  <c r="W51" i="1" s="1"/>
  <c r="AJ51" i="1"/>
  <c r="BI53" i="1"/>
  <c r="BH53" i="1"/>
  <c r="BL53" i="1" s="1"/>
  <c r="BM53" i="1" s="1"/>
  <c r="BI56" i="1"/>
  <c r="BH56" i="1"/>
  <c r="BL56" i="1" s="1"/>
  <c r="BM56" i="1" s="1"/>
  <c r="BG56" i="1"/>
  <c r="K58" i="1"/>
  <c r="J58" i="1" s="1"/>
  <c r="AJ58" i="1"/>
  <c r="M58" i="1"/>
  <c r="P58" i="1"/>
  <c r="M52" i="1"/>
  <c r="L52" i="1"/>
  <c r="AY52" i="1" s="1"/>
  <c r="BA52" i="1" s="1"/>
  <c r="P53" i="1"/>
  <c r="M53" i="1"/>
  <c r="V44" i="1"/>
  <c r="W44" i="1" s="1"/>
  <c r="BH48" i="1"/>
  <c r="BL48" i="1" s="1"/>
  <c r="BM48" i="1" s="1"/>
  <c r="BG48" i="1"/>
  <c r="BI49" i="1"/>
  <c r="BH49" i="1"/>
  <c r="BL49" i="1" s="1"/>
  <c r="BM49" i="1" s="1"/>
  <c r="AJ52" i="1"/>
  <c r="AJ53" i="1"/>
  <c r="K43" i="1"/>
  <c r="J43" i="1" s="1"/>
  <c r="AJ46" i="1"/>
  <c r="P46" i="1"/>
  <c r="U50" i="1"/>
  <c r="K52" i="1"/>
  <c r="J52" i="1" s="1"/>
  <c r="V52" i="1" s="1"/>
  <c r="W52" i="1" s="1"/>
  <c r="AJ54" i="1"/>
  <c r="M54" i="1"/>
  <c r="L54" i="1"/>
  <c r="AY54" i="1" s="1"/>
  <c r="K54" i="1"/>
  <c r="J54" i="1" s="1"/>
  <c r="M46" i="1"/>
  <c r="K49" i="1"/>
  <c r="J49" i="1" s="1"/>
  <c r="V49" i="1" s="1"/>
  <c r="W49" i="1" s="1"/>
  <c r="AJ50" i="1"/>
  <c r="P50" i="1"/>
  <c r="AZ53" i="1"/>
  <c r="V53" i="1"/>
  <c r="W53" i="1" s="1"/>
  <c r="S53" i="1" s="1"/>
  <c r="Q53" i="1" s="1"/>
  <c r="T53" i="1" s="1"/>
  <c r="N53" i="1" s="1"/>
  <c r="O53" i="1" s="1"/>
  <c r="Y56" i="1"/>
  <c r="L43" i="1"/>
  <c r="AY43" i="1" s="1"/>
  <c r="BA43" i="1" s="1"/>
  <c r="AJ43" i="1"/>
  <c r="AZ46" i="1"/>
  <c r="L49" i="1"/>
  <c r="AY49" i="1" s="1"/>
  <c r="BA49" i="1" s="1"/>
  <c r="AZ49" i="1"/>
  <c r="P52" i="1"/>
  <c r="L56" i="1"/>
  <c r="AY56" i="1" s="1"/>
  <c r="AJ56" i="1"/>
  <c r="BA57" i="1"/>
  <c r="AZ57" i="1"/>
  <c r="CW58" i="1"/>
  <c r="AX58" i="1" s="1"/>
  <c r="AZ58" i="1" s="1"/>
  <c r="U58" i="1"/>
  <c r="CW54" i="1"/>
  <c r="AX54" i="1" s="1"/>
  <c r="AZ54" i="1" s="1"/>
  <c r="U54" i="1"/>
  <c r="M55" i="1"/>
  <c r="L55" i="1"/>
  <c r="AY55" i="1" s="1"/>
  <c r="BA55" i="1" s="1"/>
  <c r="K55" i="1"/>
  <c r="J55" i="1" s="1"/>
  <c r="K57" i="1"/>
  <c r="J57" i="1" s="1"/>
  <c r="V22" i="1" l="1"/>
  <c r="W22" i="1" s="1"/>
  <c r="AF21" i="1"/>
  <c r="AC26" i="1"/>
  <c r="AF26" i="1" s="1"/>
  <c r="S21" i="1"/>
  <c r="Q21" i="1" s="1"/>
  <c r="T21" i="1" s="1"/>
  <c r="N21" i="1" s="1"/>
  <c r="O21" i="1" s="1"/>
  <c r="AC21" i="1"/>
  <c r="BA56" i="1"/>
  <c r="BA45" i="1"/>
  <c r="BA29" i="1"/>
  <c r="AE41" i="1"/>
  <c r="X41" i="1"/>
  <c r="AB41" i="1" s="1"/>
  <c r="AD41" i="1"/>
  <c r="V33" i="1"/>
  <c r="W33" i="1" s="1"/>
  <c r="AC32" i="1"/>
  <c r="V32" i="1"/>
  <c r="W32" i="1" s="1"/>
  <c r="V45" i="1"/>
  <c r="W45" i="1" s="1"/>
  <c r="AC28" i="1"/>
  <c r="AC17" i="1"/>
  <c r="V54" i="1"/>
  <c r="W54" i="1" s="1"/>
  <c r="S54" i="1" s="1"/>
  <c r="Q54" i="1" s="1"/>
  <c r="T54" i="1" s="1"/>
  <c r="N54" i="1" s="1"/>
  <c r="O54" i="1" s="1"/>
  <c r="AE44" i="1"/>
  <c r="X44" i="1"/>
  <c r="AB44" i="1" s="1"/>
  <c r="V56" i="1"/>
  <c r="W56" i="1" s="1"/>
  <c r="AC38" i="1"/>
  <c r="V38" i="1"/>
  <c r="W38" i="1" s="1"/>
  <c r="S38" i="1" s="1"/>
  <c r="Q38" i="1" s="1"/>
  <c r="T38" i="1" s="1"/>
  <c r="N38" i="1" s="1"/>
  <c r="O38" i="1" s="1"/>
  <c r="AC34" i="1"/>
  <c r="AC23" i="1"/>
  <c r="X30" i="1"/>
  <c r="AB30" i="1" s="1"/>
  <c r="AE30" i="1"/>
  <c r="AD30" i="1"/>
  <c r="V18" i="1"/>
  <c r="W18" i="1" s="1"/>
  <c r="V29" i="1"/>
  <c r="W29" i="1" s="1"/>
  <c r="S29" i="1" s="1"/>
  <c r="Q29" i="1" s="1"/>
  <c r="T29" i="1" s="1"/>
  <c r="N29" i="1" s="1"/>
  <c r="O29" i="1" s="1"/>
  <c r="S40" i="1"/>
  <c r="Q40" i="1" s="1"/>
  <c r="T40" i="1" s="1"/>
  <c r="N40" i="1" s="1"/>
  <c r="O40" i="1" s="1"/>
  <c r="AC40" i="1"/>
  <c r="AC29" i="1"/>
  <c r="V58" i="1"/>
  <c r="W58" i="1" s="1"/>
  <c r="S58" i="1" s="1"/>
  <c r="Q58" i="1" s="1"/>
  <c r="T58" i="1" s="1"/>
  <c r="N58" i="1" s="1"/>
  <c r="O58" i="1" s="1"/>
  <c r="AC54" i="1"/>
  <c r="S43" i="1"/>
  <c r="Q43" i="1" s="1"/>
  <c r="T43" i="1" s="1"/>
  <c r="N43" i="1" s="1"/>
  <c r="O43" i="1" s="1"/>
  <c r="AC43" i="1"/>
  <c r="V43" i="1"/>
  <c r="W43" i="1" s="1"/>
  <c r="AC36" i="1"/>
  <c r="AC42" i="1"/>
  <c r="S42" i="1"/>
  <c r="Q42" i="1" s="1"/>
  <c r="T42" i="1" s="1"/>
  <c r="N42" i="1" s="1"/>
  <c r="O42" i="1" s="1"/>
  <c r="V42" i="1"/>
  <c r="W42" i="1" s="1"/>
  <c r="AE47" i="1"/>
  <c r="AD47" i="1"/>
  <c r="X47" i="1"/>
  <c r="AB47" i="1" s="1"/>
  <c r="V19" i="1"/>
  <c r="W19" i="1" s="1"/>
  <c r="AC19" i="1"/>
  <c r="S19" i="1"/>
  <c r="Q19" i="1" s="1"/>
  <c r="T19" i="1" s="1"/>
  <c r="N19" i="1" s="1"/>
  <c r="O19" i="1" s="1"/>
  <c r="AC45" i="1"/>
  <c r="S45" i="1"/>
  <c r="Q45" i="1" s="1"/>
  <c r="T45" i="1" s="1"/>
  <c r="N45" i="1" s="1"/>
  <c r="O45" i="1" s="1"/>
  <c r="AC20" i="1"/>
  <c r="X53" i="1"/>
  <c r="AB53" i="1" s="1"/>
  <c r="AE53" i="1"/>
  <c r="V24" i="1"/>
  <c r="W24" i="1" s="1"/>
  <c r="S24" i="1" s="1"/>
  <c r="Q24" i="1" s="1"/>
  <c r="T24" i="1" s="1"/>
  <c r="N24" i="1" s="1"/>
  <c r="O24" i="1" s="1"/>
  <c r="X52" i="1"/>
  <c r="AB52" i="1" s="1"/>
  <c r="AE52" i="1"/>
  <c r="BA54" i="1"/>
  <c r="AD53" i="1"/>
  <c r="AD52" i="1"/>
  <c r="X49" i="1"/>
  <c r="AB49" i="1" s="1"/>
  <c r="AE49" i="1"/>
  <c r="V37" i="1"/>
  <c r="W37" i="1" s="1"/>
  <c r="S37" i="1" s="1"/>
  <c r="Q37" i="1" s="1"/>
  <c r="T37" i="1" s="1"/>
  <c r="N37" i="1" s="1"/>
  <c r="O37" i="1" s="1"/>
  <c r="AD49" i="1"/>
  <c r="S47" i="1"/>
  <c r="Q47" i="1" s="1"/>
  <c r="T47" i="1" s="1"/>
  <c r="N47" i="1" s="1"/>
  <c r="O47" i="1" s="1"/>
  <c r="AC47" i="1"/>
  <c r="S44" i="1"/>
  <c r="Q44" i="1" s="1"/>
  <c r="T44" i="1" s="1"/>
  <c r="N44" i="1" s="1"/>
  <c r="O44" i="1" s="1"/>
  <c r="AC37" i="1"/>
  <c r="V25" i="1"/>
  <c r="W25" i="1" s="1"/>
  <c r="X48" i="1"/>
  <c r="AB48" i="1" s="1"/>
  <c r="AE48" i="1"/>
  <c r="V35" i="1"/>
  <c r="W35" i="1" s="1"/>
  <c r="AD27" i="1"/>
  <c r="AE27" i="1"/>
  <c r="X27" i="1"/>
  <c r="AB27" i="1" s="1"/>
  <c r="AC41" i="1"/>
  <c r="S41" i="1"/>
  <c r="Q41" i="1" s="1"/>
  <c r="T41" i="1" s="1"/>
  <c r="N41" i="1" s="1"/>
  <c r="O41" i="1" s="1"/>
  <c r="V39" i="1"/>
  <c r="W39" i="1" s="1"/>
  <c r="BA20" i="1"/>
  <c r="S57" i="1"/>
  <c r="Q57" i="1" s="1"/>
  <c r="T57" i="1" s="1"/>
  <c r="N57" i="1" s="1"/>
  <c r="O57" i="1" s="1"/>
  <c r="AC57" i="1"/>
  <c r="V57" i="1"/>
  <c r="W57" i="1" s="1"/>
  <c r="AC58" i="1"/>
  <c r="AE51" i="1"/>
  <c r="AF51" i="1" s="1"/>
  <c r="AD51" i="1"/>
  <c r="X51" i="1"/>
  <c r="AB51" i="1" s="1"/>
  <c r="AD44" i="1"/>
  <c r="V36" i="1"/>
  <c r="W36" i="1" s="1"/>
  <c r="S36" i="1" s="1"/>
  <c r="Q36" i="1" s="1"/>
  <c r="T36" i="1" s="1"/>
  <c r="N36" i="1" s="1"/>
  <c r="O36" i="1" s="1"/>
  <c r="V34" i="1"/>
  <c r="W34" i="1" s="1"/>
  <c r="S34" i="1" s="1"/>
  <c r="Q34" i="1" s="1"/>
  <c r="T34" i="1" s="1"/>
  <c r="N34" i="1" s="1"/>
  <c r="O34" i="1" s="1"/>
  <c r="AC31" i="1"/>
  <c r="BA25" i="1"/>
  <c r="AC55" i="1"/>
  <c r="V55" i="1"/>
  <c r="W55" i="1" s="1"/>
  <c r="S55" i="1" s="1"/>
  <c r="Q55" i="1" s="1"/>
  <c r="T55" i="1" s="1"/>
  <c r="N55" i="1" s="1"/>
  <c r="O55" i="1" s="1"/>
  <c r="S49" i="1"/>
  <c r="Q49" i="1" s="1"/>
  <c r="T49" i="1" s="1"/>
  <c r="N49" i="1" s="1"/>
  <c r="O49" i="1" s="1"/>
  <c r="AC49" i="1"/>
  <c r="AC52" i="1"/>
  <c r="S52" i="1"/>
  <c r="Q52" i="1" s="1"/>
  <c r="T52" i="1" s="1"/>
  <c r="N52" i="1" s="1"/>
  <c r="O52" i="1" s="1"/>
  <c r="BA58" i="1"/>
  <c r="S51" i="1"/>
  <c r="Q51" i="1" s="1"/>
  <c r="T51" i="1" s="1"/>
  <c r="N51" i="1" s="1"/>
  <c r="O51" i="1" s="1"/>
  <c r="AC51" i="1"/>
  <c r="V28" i="1"/>
  <c r="W28" i="1" s="1"/>
  <c r="S28" i="1" s="1"/>
  <c r="Q28" i="1" s="1"/>
  <c r="T28" i="1" s="1"/>
  <c r="N28" i="1" s="1"/>
  <c r="O28" i="1" s="1"/>
  <c r="AC48" i="1"/>
  <c r="S48" i="1"/>
  <c r="Q48" i="1" s="1"/>
  <c r="T48" i="1" s="1"/>
  <c r="N48" i="1" s="1"/>
  <c r="O48" i="1" s="1"/>
  <c r="BA39" i="1"/>
  <c r="X40" i="1"/>
  <c r="AB40" i="1" s="1"/>
  <c r="AE40" i="1"/>
  <c r="AD40" i="1"/>
  <c r="V17" i="1"/>
  <c r="W17" i="1" s="1"/>
  <c r="S17" i="1" s="1"/>
  <c r="Q17" i="1" s="1"/>
  <c r="T17" i="1" s="1"/>
  <c r="N17" i="1" s="1"/>
  <c r="O17" i="1" s="1"/>
  <c r="V50" i="1"/>
  <c r="W50" i="1" s="1"/>
  <c r="V20" i="1"/>
  <c r="W20" i="1" s="1"/>
  <c r="S20" i="1" s="1"/>
  <c r="Q20" i="1" s="1"/>
  <c r="T20" i="1" s="1"/>
  <c r="N20" i="1" s="1"/>
  <c r="O20" i="1" s="1"/>
  <c r="V23" i="1"/>
  <c r="W23" i="1" s="1"/>
  <c r="AC24" i="1"/>
  <c r="V31" i="1"/>
  <c r="W31" i="1" s="1"/>
  <c r="X46" i="1"/>
  <c r="AB46" i="1" s="1"/>
  <c r="AD46" i="1"/>
  <c r="S46" i="1"/>
  <c r="Q46" i="1" s="1"/>
  <c r="T46" i="1" s="1"/>
  <c r="N46" i="1" s="1"/>
  <c r="O46" i="1" s="1"/>
  <c r="AE46" i="1"/>
  <c r="AF46" i="1" s="1"/>
  <c r="S27" i="1"/>
  <c r="Q27" i="1" s="1"/>
  <c r="T27" i="1" s="1"/>
  <c r="N27" i="1" s="1"/>
  <c r="O27" i="1" s="1"/>
  <c r="AC27" i="1"/>
  <c r="S30" i="1"/>
  <c r="Q30" i="1" s="1"/>
  <c r="T30" i="1" s="1"/>
  <c r="N30" i="1" s="1"/>
  <c r="O30" i="1" s="1"/>
  <c r="BA37" i="1"/>
  <c r="AF49" i="1" l="1"/>
  <c r="AF40" i="1"/>
  <c r="AF27" i="1"/>
  <c r="AF48" i="1"/>
  <c r="AD22" i="1"/>
  <c r="S22" i="1"/>
  <c r="Q22" i="1" s="1"/>
  <c r="T22" i="1" s="1"/>
  <c r="N22" i="1" s="1"/>
  <c r="O22" i="1" s="1"/>
  <c r="X22" i="1"/>
  <c r="AB22" i="1" s="1"/>
  <c r="AE22" i="1"/>
  <c r="AF22" i="1" s="1"/>
  <c r="AE31" i="1"/>
  <c r="AF31" i="1" s="1"/>
  <c r="X31" i="1"/>
  <c r="AB31" i="1" s="1"/>
  <c r="AD31" i="1"/>
  <c r="X42" i="1"/>
  <c r="AB42" i="1" s="1"/>
  <c r="AD42" i="1"/>
  <c r="AE42" i="1"/>
  <c r="AF42" i="1" s="1"/>
  <c r="X32" i="1"/>
  <c r="AB32" i="1" s="1"/>
  <c r="AE32" i="1"/>
  <c r="AD32" i="1"/>
  <c r="AE18" i="1"/>
  <c r="X18" i="1"/>
  <c r="AB18" i="1" s="1"/>
  <c r="AD18" i="1"/>
  <c r="S18" i="1"/>
  <c r="Q18" i="1" s="1"/>
  <c r="T18" i="1" s="1"/>
  <c r="N18" i="1" s="1"/>
  <c r="O18" i="1" s="1"/>
  <c r="S31" i="1"/>
  <c r="Q31" i="1" s="1"/>
  <c r="T31" i="1" s="1"/>
  <c r="N31" i="1" s="1"/>
  <c r="O31" i="1" s="1"/>
  <c r="S32" i="1"/>
  <c r="Q32" i="1" s="1"/>
  <c r="T32" i="1" s="1"/>
  <c r="N32" i="1" s="1"/>
  <c r="O32" i="1" s="1"/>
  <c r="X23" i="1"/>
  <c r="AB23" i="1" s="1"/>
  <c r="AE23" i="1"/>
  <c r="AD23" i="1"/>
  <c r="AF52" i="1"/>
  <c r="X24" i="1"/>
  <c r="AB24" i="1" s="1"/>
  <c r="AE24" i="1"/>
  <c r="AD24" i="1"/>
  <c r="AF30" i="1"/>
  <c r="X33" i="1"/>
  <c r="AB33" i="1" s="1"/>
  <c r="AE33" i="1"/>
  <c r="S33" i="1"/>
  <c r="Q33" i="1" s="1"/>
  <c r="T33" i="1" s="1"/>
  <c r="N33" i="1" s="1"/>
  <c r="O33" i="1" s="1"/>
  <c r="AD33" i="1"/>
  <c r="AE38" i="1"/>
  <c r="X38" i="1"/>
  <c r="AB38" i="1" s="1"/>
  <c r="AD38" i="1"/>
  <c r="AE55" i="1"/>
  <c r="X55" i="1"/>
  <c r="AB55" i="1" s="1"/>
  <c r="AD55" i="1"/>
  <c r="AE34" i="1"/>
  <c r="AF34" i="1" s="1"/>
  <c r="X34" i="1"/>
  <c r="AB34" i="1" s="1"/>
  <c r="AD34" i="1"/>
  <c r="AE35" i="1"/>
  <c r="X35" i="1"/>
  <c r="AB35" i="1" s="1"/>
  <c r="AD35" i="1"/>
  <c r="S35" i="1"/>
  <c r="Q35" i="1" s="1"/>
  <c r="T35" i="1" s="1"/>
  <c r="N35" i="1" s="1"/>
  <c r="O35" i="1" s="1"/>
  <c r="AF53" i="1"/>
  <c r="X19" i="1"/>
  <c r="AB19" i="1" s="1"/>
  <c r="AE19" i="1"/>
  <c r="AD19" i="1"/>
  <c r="X28" i="1"/>
  <c r="AB28" i="1" s="1"/>
  <c r="AE28" i="1"/>
  <c r="AF28" i="1" s="1"/>
  <c r="AD28" i="1"/>
  <c r="X36" i="1"/>
  <c r="AB36" i="1" s="1"/>
  <c r="AE36" i="1"/>
  <c r="AD36" i="1"/>
  <c r="AE39" i="1"/>
  <c r="X39" i="1"/>
  <c r="AB39" i="1" s="1"/>
  <c r="S39" i="1"/>
  <c r="Q39" i="1" s="1"/>
  <c r="T39" i="1" s="1"/>
  <c r="N39" i="1" s="1"/>
  <c r="O39" i="1" s="1"/>
  <c r="AD39" i="1"/>
  <c r="AE58" i="1"/>
  <c r="AD58" i="1"/>
  <c r="X58" i="1"/>
  <c r="AB58" i="1" s="1"/>
  <c r="AE56" i="1"/>
  <c r="X56" i="1"/>
  <c r="AB56" i="1" s="1"/>
  <c r="AD56" i="1"/>
  <c r="S56" i="1"/>
  <c r="Q56" i="1" s="1"/>
  <c r="T56" i="1" s="1"/>
  <c r="N56" i="1" s="1"/>
  <c r="O56" i="1" s="1"/>
  <c r="X50" i="1"/>
  <c r="AB50" i="1" s="1"/>
  <c r="AE50" i="1"/>
  <c r="S50" i="1"/>
  <c r="Q50" i="1" s="1"/>
  <c r="T50" i="1" s="1"/>
  <c r="N50" i="1" s="1"/>
  <c r="O50" i="1" s="1"/>
  <c r="AD50" i="1"/>
  <c r="X17" i="1"/>
  <c r="AB17" i="1" s="1"/>
  <c r="AE17" i="1"/>
  <c r="AD17" i="1"/>
  <c r="X57" i="1"/>
  <c r="AB57" i="1" s="1"/>
  <c r="AE57" i="1"/>
  <c r="AD57" i="1"/>
  <c r="X29" i="1"/>
  <c r="AB29" i="1" s="1"/>
  <c r="AE29" i="1"/>
  <c r="AD29" i="1"/>
  <c r="S23" i="1"/>
  <c r="Q23" i="1" s="1"/>
  <c r="T23" i="1" s="1"/>
  <c r="N23" i="1" s="1"/>
  <c r="O23" i="1" s="1"/>
  <c r="X45" i="1"/>
  <c r="AB45" i="1" s="1"/>
  <c r="AE45" i="1"/>
  <c r="AD45" i="1"/>
  <c r="X20" i="1"/>
  <c r="AB20" i="1" s="1"/>
  <c r="AE20" i="1"/>
  <c r="AD20" i="1"/>
  <c r="X25" i="1"/>
  <c r="AB25" i="1" s="1"/>
  <c r="AE25" i="1"/>
  <c r="AD25" i="1"/>
  <c r="S25" i="1"/>
  <c r="Q25" i="1" s="1"/>
  <c r="T25" i="1" s="1"/>
  <c r="N25" i="1" s="1"/>
  <c r="O25" i="1" s="1"/>
  <c r="AE37" i="1"/>
  <c r="AD37" i="1"/>
  <c r="X37" i="1"/>
  <c r="AB37" i="1" s="1"/>
  <c r="AF47" i="1"/>
  <c r="X43" i="1"/>
  <c r="AB43" i="1" s="1"/>
  <c r="AE43" i="1"/>
  <c r="AD43" i="1"/>
  <c r="AF44" i="1"/>
  <c r="AE54" i="1"/>
  <c r="AD54" i="1"/>
  <c r="X54" i="1"/>
  <c r="AB54" i="1" s="1"/>
  <c r="AF41" i="1"/>
  <c r="AF32" i="1" l="1"/>
  <c r="AF50" i="1"/>
  <c r="AF45" i="1"/>
  <c r="AF24" i="1"/>
  <c r="AF20" i="1"/>
  <c r="AF36" i="1"/>
  <c r="AF25" i="1"/>
  <c r="AF19" i="1"/>
  <c r="AF57" i="1"/>
  <c r="AF58" i="1"/>
  <c r="AF38" i="1"/>
  <c r="AF54" i="1"/>
  <c r="AF29" i="1"/>
  <c r="AF18" i="1"/>
  <c r="AF55" i="1"/>
  <c r="AF43" i="1"/>
  <c r="AF37" i="1"/>
  <c r="AF17" i="1"/>
  <c r="AF33" i="1"/>
  <c r="AF23" i="1"/>
  <c r="AF35" i="1"/>
  <c r="AF56" i="1"/>
  <c r="AF39" i="1"/>
</calcChain>
</file>

<file path=xl/sharedStrings.xml><?xml version="1.0" encoding="utf-8"?>
<sst xmlns="http://schemas.openxmlformats.org/spreadsheetml/2006/main" count="1584" uniqueCount="604">
  <si>
    <t>File opened</t>
  </si>
  <si>
    <t>2023-11-17 09:19:47</t>
  </si>
  <si>
    <t>Console s/n</t>
  </si>
  <si>
    <t>68C-831540</t>
  </si>
  <si>
    <t>Console ver</t>
  </si>
  <si>
    <t>Bluestem v.2.1.08</t>
  </si>
  <si>
    <t>Scripts ver</t>
  </si>
  <si>
    <t>2022.05  2.1.08, Aug 2022</t>
  </si>
  <si>
    <t>Head s/n</t>
  </si>
  <si>
    <t>68H-891540</t>
  </si>
  <si>
    <t>Head ver</t>
  </si>
  <si>
    <t>1.4.22</t>
  </si>
  <si>
    <t>Head cal</t>
  </si>
  <si>
    <t>{"oxygen": "21", "co2azero": "0.905898", "co2aspan1": "0.998494", "co2aspan2": "-0.0249079", "co2aspan2a": "0.287451", "co2aspan2b": "0.28496", "co2aspanconc1": "2490", "co2aspanconc2": "303.6", "co2bzero": "0.909525", "co2bspan1": "0.99808", "co2bspan2": "-0.0242159", "co2bspan2a": "0.290845", "co2bspan2b": "0.288238", "co2bspanconc1": "2490", "co2bspanconc2": "303.6", "h2oazero": "1.10031", "h2oaspan1": "1.00722", "h2oaspan2": "0", "h2oaspan2a": "0.0713796", "h2oaspan2b": "0.0718949", "h2oaspanconc1": "12.71", "h2oaspanconc2": "0", "h2obzero": "1.11184", "h2obspan1": "0.994645", "h2obspan2": "0", "h2obspan2a": "0.0725303", "h2obspan2b": "0.0721418", "h2obspanconc1": "12.71", "h2obspanconc2": "0", "tazero": "0.00155258", "tbzero": "0.0849667", "flowmeterzero": "1.00319", "flowazero": "0.291", "flowbzero": "0.33337", "chamberpressurezero": "2.60256", "ssa_ref": "35718.6", "ssb_ref": "36468.4"}</t>
  </si>
  <si>
    <t>CO2 rangematch</t>
  </si>
  <si>
    <t>Fri Nov 10 09:29</t>
  </si>
  <si>
    <t>H2O rangematch</t>
  </si>
  <si>
    <t>Fri Nov 10 09:35</t>
  </si>
  <si>
    <t>Chamber type</t>
  </si>
  <si>
    <t>6800-01A</t>
  </si>
  <si>
    <t>Chamber s/n</t>
  </si>
  <si>
    <t>MPF-651415</t>
  </si>
  <si>
    <t>Chamber rev</t>
  </si>
  <si>
    <t>0</t>
  </si>
  <si>
    <t>Chamber cal</t>
  </si>
  <si>
    <t>Fluorometer</t>
  </si>
  <si>
    <t>Flr. Version</t>
  </si>
  <si>
    <t>09:19:47</t>
  </si>
  <si>
    <t>Stability Definition:	gsw (GasEx): Slp&lt;0.05 Std&lt;0.05 Per=15	A (GasEx): Slp&lt;0.7 Std&lt;0.2 Per=15</t>
  </si>
  <si>
    <t>SysConst</t>
  </si>
  <si>
    <t>AvgTime</t>
  </si>
  <si>
    <t>4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</si>
  <si>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</si>
  <si>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</si>
  <si>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</si>
  <si>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</si>
  <si>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</si>
  <si>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</si>
  <si>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</si>
  <si>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</si>
  <si>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</si>
  <si>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</si>
  <si>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</si>
  <si>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</si>
  <si>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</si>
  <si>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</si>
  <si>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</si>
  <si>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</si>
  <si>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</si>
  <si>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</si>
  <si>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</si>
  <si>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</si>
  <si>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</si>
  <si>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</si>
  <si>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</si>
  <si>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</si>
  <si>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</si>
  <si>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</si>
  <si>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</si>
  <si>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</si>
  <si>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</si>
  <si>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</si>
  <si>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</si>
  <si>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</si>
  <si>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</si>
  <si>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</si>
  <si>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</si>
  <si>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</si>
  <si>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</si>
  <si>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</si>
  <si>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</si>
  <si>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</si>
  <si>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</si>
  <si>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</si>
  <si>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</si>
  <si>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</si>
  <si>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</si>
  <si>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</si>
  <si>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</si>
  <si>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</si>
  <si>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</si>
  <si>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2.95561 58.6119 363.726 638.594 894.692 1137.07 1307.54 1558.4</t>
  </si>
  <si>
    <t>Fs_true</t>
  </si>
  <si>
    <t>0.262357 100.244 402.162 600.972 802.009 1002.73 1200.74 1401.94</t>
  </si>
  <si>
    <t>leak_wt</t>
  </si>
  <si>
    <t>SysObs</t>
  </si>
  <si>
    <t>UserDefCon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</si>
  <si>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</si>
  <si>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</si>
  <si>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</si>
  <si>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</si>
  <si>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</si>
  <si>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</si>
  <si>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</si>
  <si>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</si>
  <si>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</si>
  <si>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</si>
  <si>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</si>
  <si>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</si>
  <si>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</si>
  <si>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</si>
  <si>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</si>
  <si>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</si>
  <si>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</si>
  <si>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</si>
  <si>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</si>
  <si>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</si>
  <si>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</si>
  <si>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</si>
  <si>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</si>
  <si>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</si>
  <si>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</si>
  <si>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event</t>
  </si>
  <si>
    <t>replicate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</si>
  <si>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</si>
  <si>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</si>
  <si>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</si>
  <si>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</si>
  <si>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</si>
  <si>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</si>
  <si>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</si>
  <si>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</si>
  <si>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</si>
  <si>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</si>
  <si>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</si>
  <si>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</si>
  <si>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</si>
  <si>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</si>
  <si>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</si>
  <si>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</si>
  <si>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</si>
  <si>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</si>
  <si>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</si>
  <si>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</si>
  <si>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</si>
  <si>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</si>
  <si>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</si>
  <si>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</si>
  <si>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</si>
  <si>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</si>
  <si>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</si>
  <si>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</si>
  <si>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</si>
  <si>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</si>
  <si>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</si>
  <si>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</si>
  <si>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</si>
  <si>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</si>
  <si>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</si>
  <si>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</si>
  <si>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</si>
  <si>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</si>
  <si>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</si>
  <si>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</si>
  <si>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</si>
  <si>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</si>
  <si>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</si>
  <si>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</si>
  <si>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</si>
  <si>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</si>
  <si>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</si>
  <si>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</si>
  <si>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</si>
  <si>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</si>
  <si>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</si>
  <si>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</si>
  <si>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</si>
  <si>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</si>
  <si>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</si>
  <si>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</si>
  <si>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</si>
  <si>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</si>
  <si>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</si>
  <si>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</si>
  <si>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</si>
  <si>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</si>
  <si>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</si>
  <si>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</si>
  <si>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</si>
  <si>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</si>
  <si>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</si>
  <si>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</si>
  <si>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</si>
  <si>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</si>
  <si>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</si>
  <si>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</si>
  <si>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</si>
  <si>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</si>
  <si>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</si>
  <si>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</si>
  <si>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</si>
  <si>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</si>
  <si>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</si>
  <si>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</si>
  <si>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</si>
  <si>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</si>
  <si>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</si>
  <si>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</si>
  <si>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</si>
  <si>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</si>
  <si>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</si>
  <si>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</si>
  <si>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</si>
  <si>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</si>
  <si>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</si>
  <si>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</si>
  <si>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</si>
  <si>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</si>
  <si>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</si>
  <si>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</si>
  <si>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</si>
  <si>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</si>
  <si>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</si>
  <si>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</si>
  <si>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</si>
  <si>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</si>
  <si>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</si>
  <si>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</si>
  <si>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</si>
  <si>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</si>
  <si>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</si>
  <si>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</si>
  <si>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</si>
  <si>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</si>
  <si>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</si>
  <si>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</si>
  <si>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</si>
  <si>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</si>
  <si>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</si>
  <si>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</si>
  <si>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</si>
  <si>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</si>
  <si>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</si>
  <si>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</si>
  <si>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</si>
  <si>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</si>
  <si>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</si>
  <si>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</si>
  <si>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</si>
  <si>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</si>
  <si>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</si>
  <si>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</si>
  <si>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</si>
  <si>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</si>
  <si>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</si>
  <si>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</si>
  <si>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</si>
  <si>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</si>
  <si>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</si>
  <si>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</si>
  <si>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</si>
  <si>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</si>
  <si>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</si>
  <si>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</si>
  <si>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</si>
  <si>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</si>
  <si>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</si>
  <si>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</si>
  <si>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</si>
  <si>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</si>
  <si>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</si>
  <si>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</si>
  <si>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</si>
  <si>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</si>
  <si>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</si>
  <si>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</si>
  <si>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</si>
  <si>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</si>
  <si>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</si>
  <si>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</si>
  <si>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</si>
  <si>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</si>
  <si>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</si>
  <si>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</si>
  <si>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</si>
  <si>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gsw:MN</t>
  </si>
  <si>
    <t>gsw:SLP</t>
  </si>
  <si>
    <t>gsw:SD</t>
  </si>
  <si>
    <t>gsw:OK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</si>
  <si>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</si>
  <si>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</si>
  <si>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</si>
  <si>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</si>
  <si>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</si>
  <si>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</si>
  <si>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</si>
  <si>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</si>
  <si>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</si>
  <si>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</si>
  <si>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</si>
  <si>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</si>
  <si>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</si>
  <si>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</si>
  <si>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</si>
  <si>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</si>
  <si>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</si>
  <si>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</si>
  <si>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</si>
  <si>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</si>
  <si>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</si>
  <si>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</si>
  <si>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</si>
  <si>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</si>
  <si>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</si>
  <si>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</si>
  <si>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</si>
  <si>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</si>
  <si>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</si>
  <si>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</si>
  <si>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</si>
  <si>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</si>
  <si>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</si>
  <si>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</si>
  <si>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</si>
  <si>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</si>
  <si>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</si>
  <si>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</si>
  <si>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</si>
  <si>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</si>
  <si>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</si>
  <si>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</si>
  <si>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</si>
  <si>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</si>
  <si>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</si>
  <si>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</si>
  <si>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</si>
  <si>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</si>
  <si>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</si>
  <si>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</si>
  <si>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</si>
  <si>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</si>
  <si>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</si>
  <si>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</si>
  <si>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</si>
  <si>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</si>
  <si>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</si>
  <si>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</si>
  <si>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</si>
  <si>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</si>
  <si>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</si>
  <si>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</si>
  <si>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</si>
  <si>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</si>
  <si>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</si>
  <si>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</si>
  <si>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</si>
  <si>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</si>
  <si>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</si>
  <si>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</si>
  <si>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</si>
  <si>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</si>
  <si>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</si>
  <si>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</si>
  <si>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</si>
  <si>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</si>
  <si>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</si>
  <si>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</si>
  <si>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</si>
  <si>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</si>
  <si>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</si>
  <si>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</si>
  <si>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</si>
  <si>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</si>
  <si>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</si>
  <si>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</si>
  <si>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</si>
  <si>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</si>
  <si>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</si>
  <si>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</si>
  <si>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</si>
  <si>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</si>
  <si>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</si>
  <si>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</si>
  <si>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</si>
  <si>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</si>
  <si>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</si>
  <si>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</si>
  <si>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</si>
  <si>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</si>
  <si>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</si>
  <si>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</si>
  <si>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</si>
  <si>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</si>
  <si>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</si>
  <si>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</si>
  <si>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</si>
  <si>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</si>
  <si>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</si>
  <si>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</si>
  <si>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</si>
  <si>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</si>
  <si>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</si>
  <si>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</si>
  <si>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</si>
  <si>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</si>
  <si>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</si>
  <si>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</si>
  <si>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</si>
  <si>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</si>
  <si>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</si>
  <si>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</si>
  <si>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</si>
  <si>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</si>
  <si>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</si>
  <si>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mol m⁻² s⁻¹ min⁻¹</t>
  </si>
  <si>
    <t>V</t>
  </si>
  <si>
    <t>mV</t>
  </si>
  <si>
    <t>mg</t>
  </si>
  <si>
    <t>hrs</t>
  </si>
  <si>
    <t>min</t>
  </si>
  <si>
    <t>20231117 09:33:45</t>
  </si>
  <si>
    <t>09:33:45</t>
  </si>
  <si>
    <t>none</t>
  </si>
  <si>
    <t>25</t>
  </si>
  <si>
    <t>8</t>
  </si>
  <si>
    <t>MPF-520-20231106-15_10_56</t>
  </si>
  <si>
    <t>MPF-143-20231117-09_33_33</t>
  </si>
  <si>
    <t>DARK-144-20231117-09_33_40</t>
  </si>
  <si>
    <t>0: Broadleaf</t>
  </si>
  <si>
    <t>09:32:58</t>
  </si>
  <si>
    <t>2/2</t>
  </si>
  <si>
    <t>00000000</t>
  </si>
  <si>
    <t>iiiiiiii</t>
  </si>
  <si>
    <t>off</t>
  </si>
  <si>
    <t>on</t>
  </si>
  <si>
    <t>20231117 09:36:27</t>
  </si>
  <si>
    <t>09:36:27</t>
  </si>
  <si>
    <t>-</t>
  </si>
  <si>
    <t>09:35:16</t>
  </si>
  <si>
    <t>20231117 09:38:07</t>
  </si>
  <si>
    <t>09:38:07</t>
  </si>
  <si>
    <t>MPF-145-20231117-09_37_55</t>
  </si>
  <si>
    <t>DARK-146-20231117-09_38_02</t>
  </si>
  <si>
    <t>09:37:31</t>
  </si>
  <si>
    <t>20231117 09:40:00</t>
  </si>
  <si>
    <t>09:40:00</t>
  </si>
  <si>
    <t>09:39:24</t>
  </si>
  <si>
    <t>20231117 09:43:06</t>
  </si>
  <si>
    <t>09:43:06</t>
  </si>
  <si>
    <t>MPF-147-20231117-09_42_53</t>
  </si>
  <si>
    <t>DARK-148-20231117-09_43_00</t>
  </si>
  <si>
    <t>09:41:02</t>
  </si>
  <si>
    <t>20231117 09:46:39</t>
  </si>
  <si>
    <t>09:46:39</t>
  </si>
  <si>
    <t>MPF-149-20231117-09_46_26</t>
  </si>
  <si>
    <t>DARK-150-20231117-09_46_33</t>
  </si>
  <si>
    <t>09:44:20</t>
  </si>
  <si>
    <t>20231117 09:48:39</t>
  </si>
  <si>
    <t>09:48:39</t>
  </si>
  <si>
    <t>09:48:01</t>
  </si>
  <si>
    <t>20231117 09:52:02</t>
  </si>
  <si>
    <t>09:52:02</t>
  </si>
  <si>
    <t>MPF-151-20231117-09_51_49</t>
  </si>
  <si>
    <t>DARK-152-20231117-09_51_56</t>
  </si>
  <si>
    <t>09:51:29</t>
  </si>
  <si>
    <t>20231117 09:53:59</t>
  </si>
  <si>
    <t>09:53:59</t>
  </si>
  <si>
    <t>09:53:22</t>
  </si>
  <si>
    <t>20231117 09:56:35</t>
  </si>
  <si>
    <t>09:56:35</t>
  </si>
  <si>
    <t>MPF-153-20231117-09_56_23</t>
  </si>
  <si>
    <t>DARK-154-20231117-09_56_30</t>
  </si>
  <si>
    <t>09:55:59</t>
  </si>
  <si>
    <t>20231117 09:58:46</t>
  </si>
  <si>
    <t>09:58:46</t>
  </si>
  <si>
    <t>09:58:11</t>
  </si>
  <si>
    <t>20231117 10:00:16</t>
  </si>
  <si>
    <t>10:00:16</t>
  </si>
  <si>
    <t>MPF-155-20231117-10_00_04</t>
  </si>
  <si>
    <t>DARK-156-20231117-10_00_11</t>
  </si>
  <si>
    <t>10:00:51</t>
  </si>
  <si>
    <t>20231117 10:02:51</t>
  </si>
  <si>
    <t>10:02:51</t>
  </si>
  <si>
    <t>10:02:17</t>
  </si>
  <si>
    <t>20231117 10:05:24</t>
  </si>
  <si>
    <t>10:05:24</t>
  </si>
  <si>
    <t>MPF-157-20231117-10_05_12</t>
  </si>
  <si>
    <t>DARK-158-20231117-10_05_19</t>
  </si>
  <si>
    <t>10:04:50</t>
  </si>
  <si>
    <t>20231117 10:23:02</t>
  </si>
  <si>
    <t>10:23:02</t>
  </si>
  <si>
    <t>3</t>
  </si>
  <si>
    <t>1</t>
  </si>
  <si>
    <t>MPF-159-20231117-10_22_49</t>
  </si>
  <si>
    <t>DARK-160-20231117-10_22_56</t>
  </si>
  <si>
    <t>10:21:50</t>
  </si>
  <si>
    <t>20231117 10:26:28</t>
  </si>
  <si>
    <t>10:26:28</t>
  </si>
  <si>
    <t>MPF-161-20231117-10_26_16</t>
  </si>
  <si>
    <t>DARK-162-20231117-10_26_23</t>
  </si>
  <si>
    <t>10:26:01</t>
  </si>
  <si>
    <t>20231117 10:29:25</t>
  </si>
  <si>
    <t>10:29:25</t>
  </si>
  <si>
    <t>10:27:50</t>
  </si>
  <si>
    <t>20231117 10:32:15</t>
  </si>
  <si>
    <t>10:32:15</t>
  </si>
  <si>
    <t>MPF-163-20231117-10_32_03</t>
  </si>
  <si>
    <t>DARK-164-20231117-10_32_10</t>
  </si>
  <si>
    <t>10:30:30</t>
  </si>
  <si>
    <t>20231117 10:35:43</t>
  </si>
  <si>
    <t>10:35:43</t>
  </si>
  <si>
    <t>MPF-165-20231117-10_35_30</t>
  </si>
  <si>
    <t>DARK-166-20231117-10_35_37</t>
  </si>
  <si>
    <t>10:34:15</t>
  </si>
  <si>
    <t>20231117 10:39:22</t>
  </si>
  <si>
    <t>10:39:22</t>
  </si>
  <si>
    <t>MPF-167-20231117-10_39_10</t>
  </si>
  <si>
    <t>DARK-168-20231117-10_39_17</t>
  </si>
  <si>
    <t>10:37:38</t>
  </si>
  <si>
    <t>20231117 10:43:13</t>
  </si>
  <si>
    <t>10:43:13</t>
  </si>
  <si>
    <t>MPF-169-20231117-10_43_00</t>
  </si>
  <si>
    <t>DARK-170-20231117-10_43_07</t>
  </si>
  <si>
    <t>10:40:40</t>
  </si>
  <si>
    <t>20231117 10:47:02</t>
  </si>
  <si>
    <t>10:47:02</t>
  </si>
  <si>
    <t>MPF-171-20231117-10_46_50</t>
  </si>
  <si>
    <t>DARK-172-20231117-10_46_57</t>
  </si>
  <si>
    <t>10:44:27</t>
  </si>
  <si>
    <t>20231117 10:50:58</t>
  </si>
  <si>
    <t>10:50:58</t>
  </si>
  <si>
    <t>MPF-173-20231117-10_50_45</t>
  </si>
  <si>
    <t>DARK-174-20231117-10_50_53</t>
  </si>
  <si>
    <t>10:48:22</t>
  </si>
  <si>
    <t>20231117 10:53:57</t>
  </si>
  <si>
    <t>10:53:57</t>
  </si>
  <si>
    <t>10:52:21</t>
  </si>
  <si>
    <t>20231117 10:56:30</t>
  </si>
  <si>
    <t>10:56:30</t>
  </si>
  <si>
    <t>MPF-175-20231117-10_56_18</t>
  </si>
  <si>
    <t>DARK-176-20231117-10_56_25</t>
  </si>
  <si>
    <t>10:55:02</t>
  </si>
  <si>
    <t>20231117 10:58:19</t>
  </si>
  <si>
    <t>10:58:19</t>
  </si>
  <si>
    <t>10:57:47</t>
  </si>
  <si>
    <t>20231117 11:00:43</t>
  </si>
  <si>
    <t>11:00:43</t>
  </si>
  <si>
    <t>MPF-177-20231117-11_00_30</t>
  </si>
  <si>
    <t>DARK-178-20231117-11_00_37</t>
  </si>
  <si>
    <t>11:00:04</t>
  </si>
  <si>
    <t>20231117 11:02:55</t>
  </si>
  <si>
    <t>11:02:55</t>
  </si>
  <si>
    <t>11:02:18</t>
  </si>
  <si>
    <t>20231117 11:34:11</t>
  </si>
  <si>
    <t>11:34:11</t>
  </si>
  <si>
    <t>wt</t>
  </si>
  <si>
    <t>9</t>
  </si>
  <si>
    <t>MPF-179-20231117-11_33_59</t>
  </si>
  <si>
    <t>DARK-180-20231117-11_34_06</t>
  </si>
  <si>
    <t>11:33:34</t>
  </si>
  <si>
    <t>20231117 11:35:51</t>
  </si>
  <si>
    <t>11:35:51</t>
  </si>
  <si>
    <t>11:36:29</t>
  </si>
  <si>
    <t>1/2</t>
  </si>
  <si>
    <t>20231117 11:38:21</t>
  </si>
  <si>
    <t>11:38:21</t>
  </si>
  <si>
    <t>MPF-181-20231117-11_38_09</t>
  </si>
  <si>
    <t>DARK-182-20231117-11_38_16</t>
  </si>
  <si>
    <t>11:37:49</t>
  </si>
  <si>
    <t>20231117 11:41:23</t>
  </si>
  <si>
    <t>11:41:23</t>
  </si>
  <si>
    <t>11:39:30</t>
  </si>
  <si>
    <t>20231117 11:46:24</t>
  </si>
  <si>
    <t>11:46:24</t>
  </si>
  <si>
    <t>MPF-183-20231117-11_46_11</t>
  </si>
  <si>
    <t>DARK-184-20231117-11_46_19</t>
  </si>
  <si>
    <t>11:42:29</t>
  </si>
  <si>
    <t>20231117 11:49:33</t>
  </si>
  <si>
    <t>11:49:33</t>
  </si>
  <si>
    <t>MPF-185-20231117-11_49_21</t>
  </si>
  <si>
    <t>DARK-186-20231117-11_49_28</t>
  </si>
  <si>
    <t>11:47:42</t>
  </si>
  <si>
    <t>20231117 11:51:52</t>
  </si>
  <si>
    <t>11:51:52</t>
  </si>
  <si>
    <t>11:51:11</t>
  </si>
  <si>
    <t>20231117 11:53:24</t>
  </si>
  <si>
    <t>11:53:24</t>
  </si>
  <si>
    <t>MPF-187-20231117-11_53_12</t>
  </si>
  <si>
    <t>DARK-188-20231117-11_53_19</t>
  </si>
  <si>
    <t>11:52:58</t>
  </si>
  <si>
    <t>20231117 11:57:12</t>
  </si>
  <si>
    <t>11:57:12</t>
  </si>
  <si>
    <t>MPF-189-20231117-11_56_59</t>
  </si>
  <si>
    <t>DARK-190-20231117-11_57_07</t>
  </si>
  <si>
    <t>11:55:13</t>
  </si>
  <si>
    <t>20231117 12:00:08</t>
  </si>
  <si>
    <t>12:00:08</t>
  </si>
  <si>
    <t>11:58:29</t>
  </si>
  <si>
    <t>20231117 12:01:55</t>
  </si>
  <si>
    <t>12:01:55</t>
  </si>
  <si>
    <t>MPF-191-20231117-12_01_43</t>
  </si>
  <si>
    <t>DARK-192-20231117-12_01_50</t>
  </si>
  <si>
    <t>12:01:15</t>
  </si>
  <si>
    <t>20231117 12:03:52</t>
  </si>
  <si>
    <t>12:03:52</t>
  </si>
  <si>
    <t>12:03:11</t>
  </si>
  <si>
    <t>20231117 12:05:50</t>
  </si>
  <si>
    <t>12:05:50</t>
  </si>
  <si>
    <t>MPF-193-20231117-12_05_37</t>
  </si>
  <si>
    <t>DARK-194-20231117-12_05_45</t>
  </si>
  <si>
    <t>12:05:09</t>
  </si>
  <si>
    <t>20231117 12:07:40</t>
  </si>
  <si>
    <t>12:07:40</t>
  </si>
  <si>
    <t>12:07:00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</si>
</sst>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T58"/>
  <sheetViews>
    <sheetView tabSelected="1" topLeftCell="A35" workbookViewId="0">
      <selection activeCell="A59" sqref="A59:XFD72"/>
    </sheetView>
  </sheetViews>
  <sheetFormatPr defaultRowHeight="15" x14ac:dyDescent="0.25"/>
  <sheetData>
    <row r="2" spans="1:280" x14ac:dyDescent="0.25">
      <c r="A2" t="s">
        <v>29</v>
      </c>
      <c r="B2" t="s">
        <v>30</v>
      </c>
      <c r="C2" t="s">
        <v>32</v>
      </c>
    </row>
    <row r="3" spans="1:280" x14ac:dyDescent="0.25">
      <c r="B3" t="s">
        <v>31</v>
      </c>
      <c r="C3">
        <v>21</v>
      </c>
    </row>
    <row r="4" spans="1:280" x14ac:dyDescent="0.25">
      <c r="A4" t="s">
        <v>33</v>
      </c>
      <c r="B4" t="s">
        <v>34</v>
      </c>
      <c r="C4" t="s">
        <v>35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</row>
    <row r="5" spans="1:280" x14ac:dyDescent="0.25">
      <c r="B5" t="s">
        <v>19</v>
      </c>
      <c r="C5" t="s">
        <v>36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80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</row>
    <row r="7" spans="1:280" x14ac:dyDescent="0.25">
      <c r="B7">
        <v>0</v>
      </c>
      <c r="C7">
        <v>1</v>
      </c>
      <c r="D7">
        <v>0</v>
      </c>
      <c r="E7">
        <v>0</v>
      </c>
    </row>
    <row r="8" spans="1:280" x14ac:dyDescent="0.25">
      <c r="A8" t="s">
        <v>50</v>
      </c>
      <c r="B8" t="s">
        <v>51</v>
      </c>
      <c r="C8" t="s">
        <v>53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  <c r="K8" t="s">
        <v>62</v>
      </c>
      <c r="L8" t="s">
        <v>63</v>
      </c>
      <c r="M8" t="s">
        <v>64</v>
      </c>
      <c r="N8" t="s">
        <v>65</v>
      </c>
      <c r="O8" t="s">
        <v>66</v>
      </c>
      <c r="P8" t="s">
        <v>67</v>
      </c>
      <c r="Q8" t="s">
        <v>68</v>
      </c>
    </row>
    <row r="9" spans="1:280" x14ac:dyDescent="0.25">
      <c r="B9" t="s">
        <v>52</v>
      </c>
      <c r="C9" t="s">
        <v>54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80" x14ac:dyDescent="0.25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</row>
    <row r="11" spans="1:280" x14ac:dyDescent="0.25">
      <c r="B11">
        <v>0</v>
      </c>
      <c r="C11">
        <v>0</v>
      </c>
      <c r="D11">
        <v>0</v>
      </c>
      <c r="E11">
        <v>0</v>
      </c>
      <c r="F11">
        <v>1</v>
      </c>
    </row>
    <row r="12" spans="1:280" x14ac:dyDescent="0.25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 t="s">
        <v>82</v>
      </c>
      <c r="H12" t="s">
        <v>84</v>
      </c>
    </row>
    <row r="13" spans="1:280" x14ac:dyDescent="0.25">
      <c r="B13">
        <v>-6276</v>
      </c>
      <c r="C13">
        <v>6.6</v>
      </c>
      <c r="D13">
        <v>1.7090000000000001E-5</v>
      </c>
      <c r="E13">
        <v>3.11</v>
      </c>
      <c r="F13" t="s">
        <v>81</v>
      </c>
      <c r="G13" t="s">
        <v>83</v>
      </c>
      <c r="H13">
        <v>0</v>
      </c>
    </row>
    <row r="14" spans="1:280" x14ac:dyDescent="0.25">
      <c r="A14" t="s">
        <v>85</v>
      </c>
      <c r="B14" t="s">
        <v>85</v>
      </c>
      <c r="C14" t="s">
        <v>85</v>
      </c>
      <c r="D14" t="s">
        <v>85</v>
      </c>
      <c r="E14" t="s">
        <v>85</v>
      </c>
      <c r="F14" t="s">
        <v>85</v>
      </c>
      <c r="G14" t="s">
        <v>86</v>
      </c>
      <c r="H14" t="s">
        <v>86</v>
      </c>
      <c r="I14" t="s">
        <v>87</v>
      </c>
      <c r="J14" t="s">
        <v>87</v>
      </c>
      <c r="K14" t="s">
        <v>87</v>
      </c>
      <c r="L14" t="s">
        <v>87</v>
      </c>
      <c r="M14" t="s">
        <v>87</v>
      </c>
      <c r="N14" t="s">
        <v>87</v>
      </c>
      <c r="O14" t="s">
        <v>87</v>
      </c>
      <c r="P14" t="s">
        <v>87</v>
      </c>
      <c r="Q14" t="s">
        <v>87</v>
      </c>
      <c r="R14" t="s">
        <v>87</v>
      </c>
      <c r="S14" t="s">
        <v>87</v>
      </c>
      <c r="T14" t="s">
        <v>87</v>
      </c>
      <c r="U14" t="s">
        <v>87</v>
      </c>
      <c r="V14" t="s">
        <v>87</v>
      </c>
      <c r="W14" t="s">
        <v>87</v>
      </c>
      <c r="X14" t="s">
        <v>87</v>
      </c>
      <c r="Y14" t="s">
        <v>87</v>
      </c>
      <c r="Z14" t="s">
        <v>87</v>
      </c>
      <c r="AA14" t="s">
        <v>87</v>
      </c>
      <c r="AB14" t="s">
        <v>87</v>
      </c>
      <c r="AC14" t="s">
        <v>87</v>
      </c>
      <c r="AD14" t="s">
        <v>87</v>
      </c>
      <c r="AE14" t="s">
        <v>87</v>
      </c>
      <c r="AF14" t="s">
        <v>87</v>
      </c>
      <c r="AG14" t="s">
        <v>88</v>
      </c>
      <c r="AH14" t="s">
        <v>88</v>
      </c>
      <c r="AI14" t="s">
        <v>88</v>
      </c>
      <c r="AJ14" t="s">
        <v>88</v>
      </c>
      <c r="AK14" t="s">
        <v>88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89</v>
      </c>
      <c r="AT14" t="s">
        <v>89</v>
      </c>
      <c r="AU14" t="s">
        <v>89</v>
      </c>
      <c r="AV14" t="s">
        <v>89</v>
      </c>
      <c r="AW14" t="s">
        <v>89</v>
      </c>
      <c r="AX14" t="s">
        <v>89</v>
      </c>
      <c r="AY14" t="s">
        <v>89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89</v>
      </c>
      <c r="BF14" t="s">
        <v>89</v>
      </c>
      <c r="BG14" t="s">
        <v>89</v>
      </c>
      <c r="BH14" t="s">
        <v>89</v>
      </c>
      <c r="BI14" t="s">
        <v>89</v>
      </c>
      <c r="BJ14" t="s">
        <v>89</v>
      </c>
      <c r="BK14" t="s">
        <v>89</v>
      </c>
      <c r="BL14" t="s">
        <v>89</v>
      </c>
      <c r="BM14" t="s">
        <v>89</v>
      </c>
      <c r="BN14" t="s">
        <v>90</v>
      </c>
      <c r="BO14" t="s">
        <v>90</v>
      </c>
      <c r="BP14" t="s">
        <v>90</v>
      </c>
      <c r="BQ14" t="s">
        <v>90</v>
      </c>
      <c r="BR14" t="s">
        <v>90</v>
      </c>
      <c r="BS14" t="s">
        <v>90</v>
      </c>
      <c r="BT14" t="s">
        <v>90</v>
      </c>
      <c r="BU14" t="s">
        <v>90</v>
      </c>
      <c r="BV14" t="s">
        <v>90</v>
      </c>
      <c r="BW14" t="s">
        <v>90</v>
      </c>
      <c r="BX14" t="s">
        <v>90</v>
      </c>
      <c r="BY14" t="s">
        <v>90</v>
      </c>
      <c r="BZ14" t="s">
        <v>90</v>
      </c>
      <c r="CA14" t="s">
        <v>90</v>
      </c>
      <c r="CB14" t="s">
        <v>90</v>
      </c>
      <c r="CC14" t="s">
        <v>90</v>
      </c>
      <c r="CD14" t="s">
        <v>90</v>
      </c>
      <c r="CE14" t="s">
        <v>90</v>
      </c>
      <c r="CF14" t="s">
        <v>90</v>
      </c>
      <c r="CG14" t="s">
        <v>90</v>
      </c>
      <c r="CH14" t="s">
        <v>90</v>
      </c>
      <c r="CI14" t="s">
        <v>91</v>
      </c>
      <c r="CJ14" t="s">
        <v>91</v>
      </c>
      <c r="CK14" t="s">
        <v>91</v>
      </c>
      <c r="CL14" t="s">
        <v>91</v>
      </c>
      <c r="CM14" t="s">
        <v>91</v>
      </c>
      <c r="CN14" t="s">
        <v>91</v>
      </c>
      <c r="CO14" t="s">
        <v>91</v>
      </c>
      <c r="CP14" t="s">
        <v>91</v>
      </c>
      <c r="CQ14" t="s">
        <v>91</v>
      </c>
      <c r="CR14" t="s">
        <v>91</v>
      </c>
      <c r="CS14" t="s">
        <v>91</v>
      </c>
      <c r="CT14" t="s">
        <v>91</v>
      </c>
      <c r="CU14" t="s">
        <v>91</v>
      </c>
      <c r="CV14" t="s">
        <v>92</v>
      </c>
      <c r="CW14" t="s">
        <v>92</v>
      </c>
      <c r="CX14" t="s">
        <v>92</v>
      </c>
      <c r="CY14" t="s">
        <v>92</v>
      </c>
      <c r="CZ14" t="s">
        <v>93</v>
      </c>
      <c r="DA14" t="s">
        <v>93</v>
      </c>
      <c r="DB14" t="s">
        <v>93</v>
      </c>
      <c r="DC14" t="s">
        <v>93</v>
      </c>
      <c r="DD14" t="s">
        <v>94</v>
      </c>
      <c r="DE14" t="s">
        <v>94</v>
      </c>
      <c r="DF14" t="s">
        <v>94</v>
      </c>
      <c r="DG14" t="s">
        <v>94</v>
      </c>
      <c r="DH14" t="s">
        <v>94</v>
      </c>
      <c r="DI14" t="s">
        <v>94</v>
      </c>
      <c r="DJ14" t="s">
        <v>94</v>
      </c>
      <c r="DK14" t="s">
        <v>94</v>
      </c>
      <c r="DL14" t="s">
        <v>94</v>
      </c>
      <c r="DM14" t="s">
        <v>94</v>
      </c>
      <c r="DN14" t="s">
        <v>94</v>
      </c>
      <c r="DO14" t="s">
        <v>94</v>
      </c>
      <c r="DP14" t="s">
        <v>94</v>
      </c>
      <c r="DQ14" t="s">
        <v>94</v>
      </c>
      <c r="DR14" t="s">
        <v>94</v>
      </c>
      <c r="DS14" t="s">
        <v>94</v>
      </c>
      <c r="DT14" t="s">
        <v>94</v>
      </c>
      <c r="DU14" t="s">
        <v>94</v>
      </c>
      <c r="DV14" t="s">
        <v>95</v>
      </c>
      <c r="DW14" t="s">
        <v>95</v>
      </c>
      <c r="DX14" t="s">
        <v>95</v>
      </c>
      <c r="DY14" t="s">
        <v>95</v>
      </c>
      <c r="DZ14" t="s">
        <v>95</v>
      </c>
      <c r="EA14" t="s">
        <v>95</v>
      </c>
      <c r="EB14" t="s">
        <v>95</v>
      </c>
      <c r="EC14" t="s">
        <v>95</v>
      </c>
      <c r="ED14" t="s">
        <v>95</v>
      </c>
      <c r="EE14" t="s">
        <v>95</v>
      </c>
      <c r="EF14" t="s">
        <v>96</v>
      </c>
      <c r="EG14" t="s">
        <v>96</v>
      </c>
      <c r="EH14" t="s">
        <v>96</v>
      </c>
      <c r="EI14" t="s">
        <v>96</v>
      </c>
      <c r="EJ14" t="s">
        <v>96</v>
      </c>
      <c r="EK14" t="s">
        <v>96</v>
      </c>
      <c r="EL14" t="s">
        <v>96</v>
      </c>
      <c r="EM14" t="s">
        <v>96</v>
      </c>
      <c r="EN14" t="s">
        <v>96</v>
      </c>
      <c r="EO14" t="s">
        <v>96</v>
      </c>
      <c r="EP14" t="s">
        <v>96</v>
      </c>
      <c r="EQ14" t="s">
        <v>96</v>
      </c>
      <c r="ER14" t="s">
        <v>96</v>
      </c>
      <c r="ES14" t="s">
        <v>96</v>
      </c>
      <c r="ET14" t="s">
        <v>96</v>
      </c>
      <c r="EU14" t="s">
        <v>96</v>
      </c>
      <c r="EV14" t="s">
        <v>96</v>
      </c>
      <c r="EW14" t="s">
        <v>96</v>
      </c>
      <c r="EX14" t="s">
        <v>97</v>
      </c>
      <c r="EY14" t="s">
        <v>97</v>
      </c>
      <c r="EZ14" t="s">
        <v>97</v>
      </c>
      <c r="FA14" t="s">
        <v>97</v>
      </c>
      <c r="FB14" t="s">
        <v>97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98</v>
      </c>
      <c r="FL14" t="s">
        <v>98</v>
      </c>
      <c r="FM14" t="s">
        <v>98</v>
      </c>
      <c r="FN14" t="s">
        <v>98</v>
      </c>
      <c r="FO14" t="s">
        <v>98</v>
      </c>
      <c r="FP14" t="s">
        <v>99</v>
      </c>
      <c r="FQ14" t="s">
        <v>99</v>
      </c>
      <c r="FR14" t="s">
        <v>99</v>
      </c>
      <c r="FS14" t="s">
        <v>99</v>
      </c>
      <c r="FT14" t="s">
        <v>99</v>
      </c>
      <c r="FU14" t="s">
        <v>99</v>
      </c>
      <c r="FV14" t="s">
        <v>99</v>
      </c>
      <c r="FW14" t="s">
        <v>99</v>
      </c>
      <c r="FX14" t="s">
        <v>99</v>
      </c>
      <c r="FY14" t="s">
        <v>99</v>
      </c>
      <c r="FZ14" t="s">
        <v>99</v>
      </c>
      <c r="GA14" t="s">
        <v>100</v>
      </c>
      <c r="GB14" t="s">
        <v>100</v>
      </c>
      <c r="GC14" t="s">
        <v>100</v>
      </c>
      <c r="GD14" t="s">
        <v>100</v>
      </c>
      <c r="GE14" t="s">
        <v>100</v>
      </c>
      <c r="GF14" t="s">
        <v>100</v>
      </c>
      <c r="GG14" t="s">
        <v>100</v>
      </c>
      <c r="GH14" t="s">
        <v>100</v>
      </c>
      <c r="GI14" t="s">
        <v>100</v>
      </c>
      <c r="GJ14" t="s">
        <v>100</v>
      </c>
      <c r="GK14" t="s">
        <v>100</v>
      </c>
      <c r="GL14" t="s">
        <v>100</v>
      </c>
      <c r="GM14" t="s">
        <v>100</v>
      </c>
      <c r="GN14" t="s">
        <v>100</v>
      </c>
      <c r="GO14" t="s">
        <v>100</v>
      </c>
      <c r="GP14" t="s">
        <v>100</v>
      </c>
      <c r="GQ14" t="s">
        <v>100</v>
      </c>
      <c r="GR14" t="s">
        <v>100</v>
      </c>
      <c r="GS14" t="s">
        <v>101</v>
      </c>
      <c r="GT14" t="s">
        <v>101</v>
      </c>
      <c r="GU14" t="s">
        <v>101</v>
      </c>
      <c r="GV14" t="s">
        <v>101</v>
      </c>
      <c r="GW14" t="s">
        <v>101</v>
      </c>
      <c r="GX14" t="s">
        <v>101</v>
      </c>
      <c r="GY14" t="s">
        <v>101</v>
      </c>
      <c r="GZ14" t="s">
        <v>101</v>
      </c>
      <c r="HA14" t="s">
        <v>101</v>
      </c>
      <c r="HB14" t="s">
        <v>101</v>
      </c>
      <c r="HC14" t="s">
        <v>101</v>
      </c>
      <c r="HD14" t="s">
        <v>101</v>
      </c>
      <c r="HE14" t="s">
        <v>101</v>
      </c>
      <c r="HF14" t="s">
        <v>101</v>
      </c>
      <c r="HG14" t="s">
        <v>101</v>
      </c>
      <c r="HH14" t="s">
        <v>101</v>
      </c>
      <c r="HI14" t="s">
        <v>101</v>
      </c>
      <c r="HJ14" t="s">
        <v>101</v>
      </c>
      <c r="HK14" t="s">
        <v>101</v>
      </c>
      <c r="HL14" t="s">
        <v>102</v>
      </c>
      <c r="HM14" t="s">
        <v>102</v>
      </c>
      <c r="HN14" t="s">
        <v>102</v>
      </c>
      <c r="HO14" t="s">
        <v>102</v>
      </c>
      <c r="HP14" t="s">
        <v>102</v>
      </c>
      <c r="HQ14" t="s">
        <v>102</v>
      </c>
      <c r="HR14" t="s">
        <v>102</v>
      </c>
      <c r="HS14" t="s">
        <v>102</v>
      </c>
      <c r="HT14" t="s">
        <v>102</v>
      </c>
      <c r="HU14" t="s">
        <v>102</v>
      </c>
      <c r="HV14" t="s">
        <v>102</v>
      </c>
      <c r="HW14" t="s">
        <v>102</v>
      </c>
      <c r="HX14" t="s">
        <v>102</v>
      </c>
      <c r="HY14" t="s">
        <v>102</v>
      </c>
      <c r="HZ14" t="s">
        <v>102</v>
      </c>
      <c r="IA14" t="s">
        <v>102</v>
      </c>
      <c r="IB14" t="s">
        <v>102</v>
      </c>
      <c r="IC14" t="s">
        <v>102</v>
      </c>
      <c r="ID14" t="s">
        <v>102</v>
      </c>
      <c r="IE14" t="s">
        <v>103</v>
      </c>
      <c r="IF14" t="s">
        <v>103</v>
      </c>
      <c r="IG14" t="s">
        <v>103</v>
      </c>
      <c r="IH14" t="s">
        <v>103</v>
      </c>
      <c r="II14" t="s">
        <v>103</v>
      </c>
      <c r="IJ14" t="s">
        <v>103</v>
      </c>
      <c r="IK14" t="s">
        <v>103</v>
      </c>
      <c r="IL14" t="s">
        <v>103</v>
      </c>
      <c r="IM14" t="s">
        <v>103</v>
      </c>
      <c r="IN14" t="s">
        <v>103</v>
      </c>
      <c r="IO14" t="s">
        <v>103</v>
      </c>
      <c r="IP14" t="s">
        <v>103</v>
      </c>
      <c r="IQ14" t="s">
        <v>103</v>
      </c>
      <c r="IR14" t="s">
        <v>103</v>
      </c>
      <c r="IS14" t="s">
        <v>103</v>
      </c>
      <c r="IT14" t="s">
        <v>103</v>
      </c>
      <c r="IU14" t="s">
        <v>103</v>
      </c>
      <c r="IV14" t="s">
        <v>103</v>
      </c>
      <c r="IW14" t="s">
        <v>104</v>
      </c>
      <c r="IX14" t="s">
        <v>104</v>
      </c>
      <c r="IY14" t="s">
        <v>104</v>
      </c>
      <c r="IZ14" t="s">
        <v>104</v>
      </c>
      <c r="JA14" t="s">
        <v>104</v>
      </c>
      <c r="JB14" t="s">
        <v>104</v>
      </c>
      <c r="JC14" t="s">
        <v>104</v>
      </c>
      <c r="JD14" t="s">
        <v>104</v>
      </c>
      <c r="JE14" t="s">
        <v>105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105</v>
      </c>
      <c r="JO14" t="s">
        <v>105</v>
      </c>
      <c r="JP14" t="s">
        <v>105</v>
      </c>
      <c r="JQ14" t="s">
        <v>105</v>
      </c>
      <c r="JR14" t="s">
        <v>105</v>
      </c>
      <c r="JS14" t="s">
        <v>105</v>
      </c>
      <c r="JT14" t="s">
        <v>105</v>
      </c>
    </row>
    <row r="15" spans="1:280" x14ac:dyDescent="0.25">
      <c r="A15" t="s">
        <v>106</v>
      </c>
      <c r="B15" t="s">
        <v>107</v>
      </c>
      <c r="C15" t="s">
        <v>108</v>
      </c>
      <c r="D15" t="s">
        <v>109</v>
      </c>
      <c r="E15" t="s">
        <v>110</v>
      </c>
      <c r="F15" t="s">
        <v>111</v>
      </c>
      <c r="G15" t="s">
        <v>112</v>
      </c>
      <c r="H15" t="s">
        <v>113</v>
      </c>
      <c r="I15" t="s">
        <v>114</v>
      </c>
      <c r="J15" t="s">
        <v>115</v>
      </c>
      <c r="K15" t="s">
        <v>116</v>
      </c>
      <c r="L15" t="s">
        <v>117</v>
      </c>
      <c r="M15" t="s">
        <v>118</v>
      </c>
      <c r="N15" t="s">
        <v>119</v>
      </c>
      <c r="O15" t="s">
        <v>120</v>
      </c>
      <c r="P15" t="s">
        <v>121</v>
      </c>
      <c r="Q15" t="s">
        <v>122</v>
      </c>
      <c r="R15" t="s">
        <v>123</v>
      </c>
      <c r="S15" t="s">
        <v>124</v>
      </c>
      <c r="T15" t="s">
        <v>125</v>
      </c>
      <c r="U15" t="s">
        <v>126</v>
      </c>
      <c r="V15" t="s">
        <v>127</v>
      </c>
      <c r="W15" t="s">
        <v>128</v>
      </c>
      <c r="X15" t="s">
        <v>129</v>
      </c>
      <c r="Y15" t="s">
        <v>130</v>
      </c>
      <c r="Z15" t="s">
        <v>131</v>
      </c>
      <c r="AA15" t="s">
        <v>132</v>
      </c>
      <c r="AB15" t="s">
        <v>133</v>
      </c>
      <c r="AC15" t="s">
        <v>134</v>
      </c>
      <c r="AD15" t="s">
        <v>135</v>
      </c>
      <c r="AE15" t="s">
        <v>136</v>
      </c>
      <c r="AF15" t="s">
        <v>137</v>
      </c>
      <c r="AG15" t="s">
        <v>88</v>
      </c>
      <c r="AH15" t="s">
        <v>138</v>
      </c>
      <c r="AI15" t="s">
        <v>139</v>
      </c>
      <c r="AJ15" t="s">
        <v>140</v>
      </c>
      <c r="AK15" t="s">
        <v>141</v>
      </c>
      <c r="AL15" t="s">
        <v>142</v>
      </c>
      <c r="AM15" t="s">
        <v>143</v>
      </c>
      <c r="AN15" t="s">
        <v>144</v>
      </c>
      <c r="AO15" t="s">
        <v>145</v>
      </c>
      <c r="AP15" t="s">
        <v>146</v>
      </c>
      <c r="AQ15" t="s">
        <v>147</v>
      </c>
      <c r="AR15" t="s">
        <v>148</v>
      </c>
      <c r="AS15" t="s">
        <v>149</v>
      </c>
      <c r="AT15" t="s">
        <v>150</v>
      </c>
      <c r="AU15" t="s">
        <v>151</v>
      </c>
      <c r="AV15" t="s">
        <v>152</v>
      </c>
      <c r="AW15" t="s">
        <v>153</v>
      </c>
      <c r="AX15" t="s">
        <v>154</v>
      </c>
      <c r="AY15" t="s">
        <v>155</v>
      </c>
      <c r="AZ15" t="s">
        <v>156</v>
      </c>
      <c r="BA15" t="s">
        <v>157</v>
      </c>
      <c r="BB15" t="s">
        <v>158</v>
      </c>
      <c r="BC15" t="s">
        <v>159</v>
      </c>
      <c r="BD15" t="s">
        <v>160</v>
      </c>
      <c r="BE15" t="s">
        <v>161</v>
      </c>
      <c r="BF15" t="s">
        <v>162</v>
      </c>
      <c r="BG15" t="s">
        <v>163</v>
      </c>
      <c r="BH15" t="s">
        <v>164</v>
      </c>
      <c r="BI15" t="s">
        <v>165</v>
      </c>
      <c r="BJ15" t="s">
        <v>166</v>
      </c>
      <c r="BK15" t="s">
        <v>167</v>
      </c>
      <c r="BL15" t="s">
        <v>168</v>
      </c>
      <c r="BM15" t="s">
        <v>169</v>
      </c>
      <c r="BN15" t="s">
        <v>170</v>
      </c>
      <c r="BO15" t="s">
        <v>171</v>
      </c>
      <c r="BP15" t="s">
        <v>172</v>
      </c>
      <c r="BQ15" t="s">
        <v>173</v>
      </c>
      <c r="BR15" t="s">
        <v>174</v>
      </c>
      <c r="BS15" t="s">
        <v>175</v>
      </c>
      <c r="BT15" t="s">
        <v>176</v>
      </c>
      <c r="BU15" t="s">
        <v>177</v>
      </c>
      <c r="BV15" t="s">
        <v>178</v>
      </c>
      <c r="BW15" t="s">
        <v>179</v>
      </c>
      <c r="BX15" t="s">
        <v>180</v>
      </c>
      <c r="BY15" t="s">
        <v>181</v>
      </c>
      <c r="BZ15" t="s">
        <v>182</v>
      </c>
      <c r="CA15" t="s">
        <v>183</v>
      </c>
      <c r="CB15" t="s">
        <v>184</v>
      </c>
      <c r="CC15" t="s">
        <v>185</v>
      </c>
      <c r="CD15" t="s">
        <v>186</v>
      </c>
      <c r="CE15" t="s">
        <v>187</v>
      </c>
      <c r="CF15" t="s">
        <v>188</v>
      </c>
      <c r="CG15" t="s">
        <v>189</v>
      </c>
      <c r="CH15" t="s">
        <v>190</v>
      </c>
      <c r="CI15" t="s">
        <v>170</v>
      </c>
      <c r="CJ15" t="s">
        <v>191</v>
      </c>
      <c r="CK15" t="s">
        <v>192</v>
      </c>
      <c r="CL15" t="s">
        <v>193</v>
      </c>
      <c r="CM15" t="s">
        <v>144</v>
      </c>
      <c r="CN15" t="s">
        <v>194</v>
      </c>
      <c r="CO15" t="s">
        <v>195</v>
      </c>
      <c r="CP15" t="s">
        <v>196</v>
      </c>
      <c r="CQ15" t="s">
        <v>197</v>
      </c>
      <c r="CR15" t="s">
        <v>198</v>
      </c>
      <c r="CS15" t="s">
        <v>199</v>
      </c>
      <c r="CT15" t="s">
        <v>200</v>
      </c>
      <c r="CU15" t="s">
        <v>201</v>
      </c>
      <c r="CV15" t="s">
        <v>202</v>
      </c>
      <c r="CW15" t="s">
        <v>203</v>
      </c>
      <c r="CX15" t="s">
        <v>204</v>
      </c>
      <c r="CY15" t="s">
        <v>205</v>
      </c>
      <c r="CZ15" t="s">
        <v>206</v>
      </c>
      <c r="DA15" t="s">
        <v>207</v>
      </c>
      <c r="DB15" t="s">
        <v>208</v>
      </c>
      <c r="DC15" t="s">
        <v>209</v>
      </c>
      <c r="DD15" t="s">
        <v>114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107</v>
      </c>
      <c r="FD15" t="s">
        <v>110</v>
      </c>
      <c r="FE15" t="s">
        <v>260</v>
      </c>
      <c r="FF15" t="s">
        <v>261</v>
      </c>
      <c r="FG15" t="s">
        <v>262</v>
      </c>
      <c r="FH15" t="s">
        <v>263</v>
      </c>
      <c r="FI15" t="s">
        <v>264</v>
      </c>
      <c r="FJ15" t="s">
        <v>265</v>
      </c>
      <c r="FK15" t="s">
        <v>266</v>
      </c>
      <c r="FL15" t="s">
        <v>267</v>
      </c>
      <c r="FM15" t="s">
        <v>268</v>
      </c>
      <c r="FN15" t="s">
        <v>269</v>
      </c>
      <c r="FO15" t="s">
        <v>270</v>
      </c>
      <c r="FP15" t="s">
        <v>271</v>
      </c>
      <c r="FQ15" t="s">
        <v>272</v>
      </c>
      <c r="FR15" t="s">
        <v>273</v>
      </c>
      <c r="FS15" t="s">
        <v>274</v>
      </c>
      <c r="FT15" t="s">
        <v>275</v>
      </c>
      <c r="FU15" t="s">
        <v>276</v>
      </c>
      <c r="FV15" t="s">
        <v>277</v>
      </c>
      <c r="FW15" t="s">
        <v>278</v>
      </c>
      <c r="FX15" t="s">
        <v>279</v>
      </c>
      <c r="FY15" t="s">
        <v>280</v>
      </c>
      <c r="FZ15" t="s">
        <v>281</v>
      </c>
      <c r="GA15" t="s">
        <v>282</v>
      </c>
      <c r="GB15" t="s">
        <v>283</v>
      </c>
      <c r="GC15" t="s">
        <v>284</v>
      </c>
      <c r="GD15" t="s">
        <v>285</v>
      </c>
      <c r="GE15" t="s">
        <v>286</v>
      </c>
      <c r="GF15" t="s">
        <v>287</v>
      </c>
      <c r="GG15" t="s">
        <v>288</v>
      </c>
      <c r="GH15" t="s">
        <v>289</v>
      </c>
      <c r="GI15" t="s">
        <v>290</v>
      </c>
      <c r="GJ15" t="s">
        <v>291</v>
      </c>
      <c r="GK15" t="s">
        <v>292</v>
      </c>
      <c r="GL15" t="s">
        <v>293</v>
      </c>
      <c r="GM15" t="s">
        <v>294</v>
      </c>
      <c r="GN15" t="s">
        <v>295</v>
      </c>
      <c r="GO15" t="s">
        <v>296</v>
      </c>
      <c r="GP15" t="s">
        <v>297</v>
      </c>
      <c r="GQ15" t="s">
        <v>298</v>
      </c>
      <c r="GR15" t="s">
        <v>299</v>
      </c>
      <c r="GS15" t="s">
        <v>300</v>
      </c>
      <c r="GT15" t="s">
        <v>301</v>
      </c>
      <c r="GU15" t="s">
        <v>302</v>
      </c>
      <c r="GV15" t="s">
        <v>303</v>
      </c>
      <c r="GW15" t="s">
        <v>304</v>
      </c>
      <c r="GX15" t="s">
        <v>305</v>
      </c>
      <c r="GY15" t="s">
        <v>306</v>
      </c>
      <c r="GZ15" t="s">
        <v>307</v>
      </c>
      <c r="HA15" t="s">
        <v>308</v>
      </c>
      <c r="HB15" t="s">
        <v>309</v>
      </c>
      <c r="HC15" t="s">
        <v>310</v>
      </c>
      <c r="HD15" t="s">
        <v>311</v>
      </c>
      <c r="HE15" t="s">
        <v>312</v>
      </c>
      <c r="HF15" t="s">
        <v>313</v>
      </c>
      <c r="HG15" t="s">
        <v>314</v>
      </c>
      <c r="HH15" t="s">
        <v>315</v>
      </c>
      <c r="HI15" t="s">
        <v>316</v>
      </c>
      <c r="HJ15" t="s">
        <v>317</v>
      </c>
      <c r="HK15" t="s">
        <v>318</v>
      </c>
      <c r="HL15" t="s">
        <v>319</v>
      </c>
      <c r="HM15" t="s">
        <v>320</v>
      </c>
      <c r="HN15" t="s">
        <v>321</v>
      </c>
      <c r="HO15" t="s">
        <v>322</v>
      </c>
      <c r="HP15" t="s">
        <v>323</v>
      </c>
      <c r="HQ15" t="s">
        <v>324</v>
      </c>
      <c r="HR15" t="s">
        <v>325</v>
      </c>
      <c r="HS15" t="s">
        <v>326</v>
      </c>
      <c r="HT15" t="s">
        <v>327</v>
      </c>
      <c r="HU15" t="s">
        <v>328</v>
      </c>
      <c r="HV15" t="s">
        <v>329</v>
      </c>
      <c r="HW15" t="s">
        <v>330</v>
      </c>
      <c r="HX15" t="s">
        <v>331</v>
      </c>
      <c r="HY15" t="s">
        <v>332</v>
      </c>
      <c r="HZ15" t="s">
        <v>333</v>
      </c>
      <c r="IA15" t="s">
        <v>334</v>
      </c>
      <c r="IB15" t="s">
        <v>335</v>
      </c>
      <c r="IC15" t="s">
        <v>336</v>
      </c>
      <c r="ID15" t="s">
        <v>337</v>
      </c>
      <c r="IE15" t="s">
        <v>338</v>
      </c>
      <c r="IF15" t="s">
        <v>339</v>
      </c>
      <c r="IG15" t="s">
        <v>340</v>
      </c>
      <c r="IH15" t="s">
        <v>341</v>
      </c>
      <c r="II15" t="s">
        <v>342</v>
      </c>
      <c r="IJ15" t="s">
        <v>343</v>
      </c>
      <c r="IK15" t="s">
        <v>344</v>
      </c>
      <c r="IL15" t="s">
        <v>345</v>
      </c>
      <c r="IM15" t="s">
        <v>346</v>
      </c>
      <c r="IN15" t="s">
        <v>347</v>
      </c>
      <c r="IO15" t="s">
        <v>348</v>
      </c>
      <c r="IP15" t="s">
        <v>349</v>
      </c>
      <c r="IQ15" t="s">
        <v>350</v>
      </c>
      <c r="IR15" t="s">
        <v>351</v>
      </c>
      <c r="IS15" t="s">
        <v>352</v>
      </c>
      <c r="IT15" t="s">
        <v>353</v>
      </c>
      <c r="IU15" t="s">
        <v>354</v>
      </c>
      <c r="IV15" t="s">
        <v>355</v>
      </c>
      <c r="IW15" t="s">
        <v>356</v>
      </c>
      <c r="IX15" t="s">
        <v>357</v>
      </c>
      <c r="IY15" t="s">
        <v>358</v>
      </c>
      <c r="IZ15" t="s">
        <v>359</v>
      </c>
      <c r="JA15" t="s">
        <v>360</v>
      </c>
      <c r="JB15" t="s">
        <v>361</v>
      </c>
      <c r="JC15" t="s">
        <v>362</v>
      </c>
      <c r="JD15" t="s">
        <v>363</v>
      </c>
      <c r="JE15" t="s">
        <v>364</v>
      </c>
      <c r="JF15" t="s">
        <v>365</v>
      </c>
      <c r="JG15" t="s">
        <v>366</v>
      </c>
      <c r="JH15" t="s">
        <v>367</v>
      </c>
      <c r="JI15" t="s">
        <v>368</v>
      </c>
      <c r="JJ15" t="s">
        <v>369</v>
      </c>
      <c r="JK15" t="s">
        <v>370</v>
      </c>
      <c r="JL15" t="s">
        <v>371</v>
      </c>
      <c r="JM15" t="s">
        <v>372</v>
      </c>
      <c r="JN15" t="s">
        <v>373</v>
      </c>
      <c r="JO15" t="s">
        <v>374</v>
      </c>
      <c r="JP15" t="s">
        <v>375</v>
      </c>
      <c r="JQ15" t="s">
        <v>376</v>
      </c>
      <c r="JR15" t="s">
        <v>377</v>
      </c>
      <c r="JS15" t="s">
        <v>378</v>
      </c>
      <c r="JT15" t="s">
        <v>379</v>
      </c>
    </row>
    <row r="16" spans="1:280" x14ac:dyDescent="0.25">
      <c r="B16" t="s">
        <v>380</v>
      </c>
      <c r="C16" t="s">
        <v>380</v>
      </c>
      <c r="F16" t="s">
        <v>380</v>
      </c>
      <c r="I16" t="s">
        <v>380</v>
      </c>
      <c r="J16" t="s">
        <v>381</v>
      </c>
      <c r="K16" t="s">
        <v>382</v>
      </c>
      <c r="L16" t="s">
        <v>383</v>
      </c>
      <c r="M16" t="s">
        <v>384</v>
      </c>
      <c r="N16" t="s">
        <v>384</v>
      </c>
      <c r="O16" t="s">
        <v>217</v>
      </c>
      <c r="P16" t="s">
        <v>217</v>
      </c>
      <c r="Q16" t="s">
        <v>381</v>
      </c>
      <c r="R16" t="s">
        <v>381</v>
      </c>
      <c r="S16" t="s">
        <v>381</v>
      </c>
      <c r="T16" t="s">
        <v>381</v>
      </c>
      <c r="U16" t="s">
        <v>385</v>
      </c>
      <c r="V16" t="s">
        <v>386</v>
      </c>
      <c r="W16" t="s">
        <v>386</v>
      </c>
      <c r="X16" t="s">
        <v>387</v>
      </c>
      <c r="Y16" t="s">
        <v>388</v>
      </c>
      <c r="Z16" t="s">
        <v>387</v>
      </c>
      <c r="AA16" t="s">
        <v>387</v>
      </c>
      <c r="AB16" t="s">
        <v>387</v>
      </c>
      <c r="AC16" t="s">
        <v>385</v>
      </c>
      <c r="AD16" t="s">
        <v>385</v>
      </c>
      <c r="AE16" t="s">
        <v>385</v>
      </c>
      <c r="AF16" t="s">
        <v>385</v>
      </c>
      <c r="AG16" t="s">
        <v>389</v>
      </c>
      <c r="AH16" t="s">
        <v>388</v>
      </c>
      <c r="AJ16" t="s">
        <v>388</v>
      </c>
      <c r="AK16" t="s">
        <v>389</v>
      </c>
      <c r="AQ16" t="s">
        <v>383</v>
      </c>
      <c r="AX16" t="s">
        <v>383</v>
      </c>
      <c r="AY16" t="s">
        <v>383</v>
      </c>
      <c r="AZ16" t="s">
        <v>383</v>
      </c>
      <c r="BA16" t="s">
        <v>390</v>
      </c>
      <c r="BO16" t="s">
        <v>391</v>
      </c>
      <c r="BQ16" t="s">
        <v>391</v>
      </c>
      <c r="BR16" t="s">
        <v>383</v>
      </c>
      <c r="BU16" t="s">
        <v>391</v>
      </c>
      <c r="BV16" t="s">
        <v>388</v>
      </c>
      <c r="BY16" t="s">
        <v>392</v>
      </c>
      <c r="BZ16" t="s">
        <v>392</v>
      </c>
      <c r="CB16" t="s">
        <v>393</v>
      </c>
      <c r="CC16" t="s">
        <v>391</v>
      </c>
      <c r="CE16" t="s">
        <v>391</v>
      </c>
      <c r="CF16" t="s">
        <v>383</v>
      </c>
      <c r="CJ16" t="s">
        <v>391</v>
      </c>
      <c r="CL16" t="s">
        <v>394</v>
      </c>
      <c r="CO16" t="s">
        <v>391</v>
      </c>
      <c r="CP16" t="s">
        <v>391</v>
      </c>
      <c r="CR16" t="s">
        <v>391</v>
      </c>
      <c r="CT16" t="s">
        <v>391</v>
      </c>
      <c r="CV16" t="s">
        <v>383</v>
      </c>
      <c r="CW16" t="s">
        <v>383</v>
      </c>
      <c r="CY16" t="s">
        <v>395</v>
      </c>
      <c r="CZ16" t="s">
        <v>396</v>
      </c>
      <c r="DC16" t="s">
        <v>381</v>
      </c>
      <c r="DD16" t="s">
        <v>380</v>
      </c>
      <c r="DE16" t="s">
        <v>384</v>
      </c>
      <c r="DF16" t="s">
        <v>384</v>
      </c>
      <c r="DG16" t="s">
        <v>397</v>
      </c>
      <c r="DH16" t="s">
        <v>397</v>
      </c>
      <c r="DI16" t="s">
        <v>384</v>
      </c>
      <c r="DJ16" t="s">
        <v>397</v>
      </c>
      <c r="DK16" t="s">
        <v>389</v>
      </c>
      <c r="DL16" t="s">
        <v>387</v>
      </c>
      <c r="DM16" t="s">
        <v>387</v>
      </c>
      <c r="DN16" t="s">
        <v>386</v>
      </c>
      <c r="DO16" t="s">
        <v>386</v>
      </c>
      <c r="DP16" t="s">
        <v>386</v>
      </c>
      <c r="DQ16" t="s">
        <v>386</v>
      </c>
      <c r="DR16" t="s">
        <v>386</v>
      </c>
      <c r="DS16" t="s">
        <v>398</v>
      </c>
      <c r="DT16" t="s">
        <v>383</v>
      </c>
      <c r="DU16" t="s">
        <v>383</v>
      </c>
      <c r="DV16" t="s">
        <v>384</v>
      </c>
      <c r="DW16" t="s">
        <v>384</v>
      </c>
      <c r="DX16" t="s">
        <v>384</v>
      </c>
      <c r="DY16" t="s">
        <v>397</v>
      </c>
      <c r="DZ16" t="s">
        <v>384</v>
      </c>
      <c r="EA16" t="s">
        <v>397</v>
      </c>
      <c r="EB16" t="s">
        <v>387</v>
      </c>
      <c r="EC16" t="s">
        <v>387</v>
      </c>
      <c r="ED16" t="s">
        <v>386</v>
      </c>
      <c r="EE16" t="s">
        <v>386</v>
      </c>
      <c r="EF16" t="s">
        <v>383</v>
      </c>
      <c r="EK16" t="s">
        <v>383</v>
      </c>
      <c r="EN16" t="s">
        <v>386</v>
      </c>
      <c r="EO16" t="s">
        <v>386</v>
      </c>
      <c r="EP16" t="s">
        <v>386</v>
      </c>
      <c r="EQ16" t="s">
        <v>386</v>
      </c>
      <c r="ER16" t="s">
        <v>386</v>
      </c>
      <c r="ES16" t="s">
        <v>383</v>
      </c>
      <c r="ET16" t="s">
        <v>383</v>
      </c>
      <c r="EU16" t="s">
        <v>383</v>
      </c>
      <c r="EV16" t="s">
        <v>380</v>
      </c>
      <c r="EY16" t="s">
        <v>399</v>
      </c>
      <c r="EZ16" t="s">
        <v>399</v>
      </c>
      <c r="FB16" t="s">
        <v>380</v>
      </c>
      <c r="FC16" t="s">
        <v>400</v>
      </c>
      <c r="FE16" t="s">
        <v>380</v>
      </c>
      <c r="FF16" t="s">
        <v>380</v>
      </c>
      <c r="FH16" t="s">
        <v>401</v>
      </c>
      <c r="FI16" t="s">
        <v>402</v>
      </c>
      <c r="FJ16" t="s">
        <v>401</v>
      </c>
      <c r="FK16" t="s">
        <v>402</v>
      </c>
      <c r="FL16" t="s">
        <v>401</v>
      </c>
      <c r="FM16" t="s">
        <v>402</v>
      </c>
      <c r="FN16" t="s">
        <v>388</v>
      </c>
      <c r="FO16" t="s">
        <v>388</v>
      </c>
      <c r="FP16" t="s">
        <v>383</v>
      </c>
      <c r="FQ16" t="s">
        <v>403</v>
      </c>
      <c r="FR16" t="s">
        <v>383</v>
      </c>
      <c r="FT16" t="s">
        <v>381</v>
      </c>
      <c r="FU16" t="s">
        <v>404</v>
      </c>
      <c r="FV16" t="s">
        <v>381</v>
      </c>
      <c r="GA16" t="s">
        <v>405</v>
      </c>
      <c r="GB16" t="s">
        <v>405</v>
      </c>
      <c r="GO16" t="s">
        <v>405</v>
      </c>
      <c r="GP16" t="s">
        <v>405</v>
      </c>
      <c r="GQ16" t="s">
        <v>406</v>
      </c>
      <c r="GR16" t="s">
        <v>406</v>
      </c>
      <c r="GS16" t="s">
        <v>386</v>
      </c>
      <c r="GT16" t="s">
        <v>386</v>
      </c>
      <c r="GU16" t="s">
        <v>388</v>
      </c>
      <c r="GV16" t="s">
        <v>386</v>
      </c>
      <c r="GW16" t="s">
        <v>397</v>
      </c>
      <c r="GX16" t="s">
        <v>388</v>
      </c>
      <c r="GY16" t="s">
        <v>388</v>
      </c>
      <c r="HA16" t="s">
        <v>405</v>
      </c>
      <c r="HB16" t="s">
        <v>405</v>
      </c>
      <c r="HC16" t="s">
        <v>405</v>
      </c>
      <c r="HD16" t="s">
        <v>405</v>
      </c>
      <c r="HE16" t="s">
        <v>405</v>
      </c>
      <c r="HF16" t="s">
        <v>405</v>
      </c>
      <c r="HG16" t="s">
        <v>405</v>
      </c>
      <c r="HH16" t="s">
        <v>407</v>
      </c>
      <c r="HI16" t="s">
        <v>407</v>
      </c>
      <c r="HJ16" t="s">
        <v>407</v>
      </c>
      <c r="HK16" t="s">
        <v>408</v>
      </c>
      <c r="HL16" t="s">
        <v>405</v>
      </c>
      <c r="HM16" t="s">
        <v>405</v>
      </c>
      <c r="HN16" t="s">
        <v>405</v>
      </c>
      <c r="HO16" t="s">
        <v>405</v>
      </c>
      <c r="HP16" t="s">
        <v>405</v>
      </c>
      <c r="HQ16" t="s">
        <v>405</v>
      </c>
      <c r="HR16" t="s">
        <v>405</v>
      </c>
      <c r="HS16" t="s">
        <v>405</v>
      </c>
      <c r="HT16" t="s">
        <v>405</v>
      </c>
      <c r="HU16" t="s">
        <v>405</v>
      </c>
      <c r="HV16" t="s">
        <v>405</v>
      </c>
      <c r="HW16" t="s">
        <v>405</v>
      </c>
      <c r="ID16" t="s">
        <v>405</v>
      </c>
      <c r="IE16" t="s">
        <v>388</v>
      </c>
      <c r="IF16" t="s">
        <v>388</v>
      </c>
      <c r="IG16" t="s">
        <v>401</v>
      </c>
      <c r="IH16" t="s">
        <v>402</v>
      </c>
      <c r="II16" t="s">
        <v>402</v>
      </c>
      <c r="IM16" t="s">
        <v>402</v>
      </c>
      <c r="IQ16" t="s">
        <v>384</v>
      </c>
      <c r="IR16" t="s">
        <v>384</v>
      </c>
      <c r="IS16" t="s">
        <v>397</v>
      </c>
      <c r="IT16" t="s">
        <v>397</v>
      </c>
      <c r="IU16" t="s">
        <v>409</v>
      </c>
      <c r="IV16" t="s">
        <v>409</v>
      </c>
      <c r="IW16" t="s">
        <v>405</v>
      </c>
      <c r="IX16" t="s">
        <v>405</v>
      </c>
      <c r="IY16" t="s">
        <v>405</v>
      </c>
      <c r="IZ16" t="s">
        <v>405</v>
      </c>
      <c r="JA16" t="s">
        <v>405</v>
      </c>
      <c r="JB16" t="s">
        <v>405</v>
      </c>
      <c r="JC16" t="s">
        <v>386</v>
      </c>
      <c r="JD16" t="s">
        <v>405</v>
      </c>
      <c r="JF16" t="s">
        <v>389</v>
      </c>
      <c r="JG16" t="s">
        <v>389</v>
      </c>
      <c r="JH16" t="s">
        <v>386</v>
      </c>
      <c r="JI16" t="s">
        <v>386</v>
      </c>
      <c r="JJ16" t="s">
        <v>386</v>
      </c>
      <c r="JK16" t="s">
        <v>386</v>
      </c>
      <c r="JL16" t="s">
        <v>386</v>
      </c>
      <c r="JM16" t="s">
        <v>388</v>
      </c>
      <c r="JN16" t="s">
        <v>388</v>
      </c>
      <c r="JO16" t="s">
        <v>388</v>
      </c>
      <c r="JP16" t="s">
        <v>386</v>
      </c>
      <c r="JQ16" t="s">
        <v>384</v>
      </c>
      <c r="JR16" t="s">
        <v>397</v>
      </c>
      <c r="JS16" t="s">
        <v>388</v>
      </c>
      <c r="JT16" t="s">
        <v>388</v>
      </c>
    </row>
    <row r="17" spans="1:280" x14ac:dyDescent="0.25">
      <c r="A17">
        <v>1</v>
      </c>
      <c r="B17">
        <v>1700235225.5999999</v>
      </c>
      <c r="C17">
        <v>0</v>
      </c>
      <c r="D17" t="s">
        <v>410</v>
      </c>
      <c r="E17" t="s">
        <v>411</v>
      </c>
      <c r="F17" t="s">
        <v>412</v>
      </c>
      <c r="G17" t="s">
        <v>413</v>
      </c>
      <c r="H17" t="s">
        <v>414</v>
      </c>
      <c r="I17">
        <v>1700235225.5999999</v>
      </c>
      <c r="J17">
        <f t="shared" ref="J17:J48" si="0">(K17)/1000</f>
        <v>3.8756991900044434E-3</v>
      </c>
      <c r="K17">
        <f t="shared" ref="K17:K48" si="1">1000*DK17*AI17*(DG17-DH17)/(100*CZ17*(1000-AI17*DG17))</f>
        <v>3.8756991900044433</v>
      </c>
      <c r="L17">
        <f t="shared" ref="L17:L48" si="2">DK17*AI17*(DF17-DE17*(1000-AI17*DH17)/(1000-AI17*DG17))/(100*CZ17)</f>
        <v>44.766092612232356</v>
      </c>
      <c r="M17">
        <f t="shared" ref="M17:M48" si="3">DE17 - IF(AI17&gt;1, L17*CZ17*100/(AK17*DS17), 0)</f>
        <v>398.541</v>
      </c>
      <c r="N17">
        <f t="shared" ref="N17:N48" si="4">((T17-J17/2)*M17-L17)/(T17+J17/2)</f>
        <v>112.11151929743041</v>
      </c>
      <c r="O17">
        <f t="shared" ref="O17:O48" si="5">N17*(DL17+DM17)/1000</f>
        <v>11.061695783088838</v>
      </c>
      <c r="P17">
        <f t="shared" ref="P17:P48" si="6">(DE17 - IF(AI17&gt;1, L17*CZ17*100/(AK17*DS17), 0))*(DL17+DM17)/1000</f>
        <v>39.322803996547506</v>
      </c>
      <c r="Q17">
        <f t="shared" ref="Q17:Q48" si="7">2/((1/S17-1/R17)+SIGN(S17)*SQRT((1/S17-1/R17)*(1/S17-1/R17) + 4*DA17/((DA17+1)*(DA17+1))*(2*1/S17*1/R17-1/R17*1/R17)))</f>
        <v>0.26636079629188059</v>
      </c>
      <c r="R17">
        <f t="shared" ref="R17:R48" si="8">IF(LEFT(DB17,1)&lt;&gt;"0",IF(LEFT(DB17,1)="1",3,DC17),$D$5+$E$5*(DS17*DL17/($K$5*1000))+$F$5*(DS17*DL17/($K$5*1000))*MAX(MIN(CZ17,$J$5),$I$5)*MAX(MIN(CZ17,$J$5),$I$5)+$G$5*MAX(MIN(CZ17,$J$5),$I$5)*(DS17*DL17/($K$5*1000))+$H$5*(DS17*DL17/($K$5*1000))*(DS17*DL17/($K$5*1000)))</f>
        <v>2.9974471842271675</v>
      </c>
      <c r="S17">
        <f t="shared" ref="S17:S48" si="9">J17*(1000-(1000*0.61365*EXP(17.502*W17/(240.97+W17))/(DL17+DM17)+DG17)/2)/(1000*0.61365*EXP(17.502*W17/(240.97+W17))/(DL17+DM17)-DG17)</f>
        <v>0.2538750889478128</v>
      </c>
      <c r="T17">
        <f t="shared" ref="T17:T48" si="10">1/((DA17+1)/(Q17/1.6)+1/(R17/1.37)) + DA17/((DA17+1)/(Q17/1.6) + DA17/(R17/1.37))</f>
        <v>0.15974494063148742</v>
      </c>
      <c r="U17">
        <f t="shared" ref="U17:U48" si="11">(CV17*CY17)</f>
        <v>289.57183784753255</v>
      </c>
      <c r="V17">
        <f t="shared" ref="V17:V48" si="12">(DN17+(U17+2*0.95*0.0000000567*(((DN17+$B$7)+273)^4-(DN17+273)^4)-44100*J17)/(1.84*29.3*R17+8*0.95*0.0000000567*(DN17+273)^3))</f>
        <v>30.836372505158195</v>
      </c>
      <c r="W17">
        <f t="shared" ref="W17:W48" si="13">($C$7*DO17+$D$7*DP17+$E$7*V17)</f>
        <v>29.991099999999999</v>
      </c>
      <c r="X17">
        <f t="shared" ref="X17:X48" si="14">0.61365*EXP(17.502*W17/(240.97+W17))</f>
        <v>4.2582722785124734</v>
      </c>
      <c r="Y17">
        <f t="shared" ref="Y17:Y48" si="15">(Z17/AA17*100)</f>
        <v>65.284361710613254</v>
      </c>
      <c r="Z17">
        <f t="shared" ref="Z17:Z48" si="16">DG17*(DL17+DM17)/1000</f>
        <v>2.8059286978640001</v>
      </c>
      <c r="AA17">
        <f t="shared" ref="AA17:AA48" si="17">0.61365*EXP(17.502*DN17/(240.97+DN17))</f>
        <v>4.2980104642852641</v>
      </c>
      <c r="AB17">
        <f t="shared" ref="AB17:AB48" si="18">(X17-DG17*(DL17+DM17)/1000)</f>
        <v>1.4523435806484732</v>
      </c>
      <c r="AC17">
        <f t="shared" ref="AC17:AC48" si="19">(-J17*44100)</f>
        <v>-170.91833427919596</v>
      </c>
      <c r="AD17">
        <f t="shared" ref="AD17:AD48" si="20">2*29.3*R17*0.92*(DN17-W17)</f>
        <v>26.146616686041629</v>
      </c>
      <c r="AE17">
        <f t="shared" ref="AE17:AE48" si="21">2*0.95*0.0000000567*(((DN17+$B$7)+273)^4-(W17+273)^4)</f>
        <v>1.9409423859952042</v>
      </c>
      <c r="AF17">
        <f t="shared" ref="AF17:AF48" si="22">U17+AE17+AC17+AD17</f>
        <v>146.7410626403734</v>
      </c>
      <c r="AG17">
        <v>0</v>
      </c>
      <c r="AH17">
        <v>0</v>
      </c>
      <c r="AI17">
        <f t="shared" ref="AI17:AI48" si="23">IF(AG17*$H$13&gt;=AK17,1,(AK17/(AK17-AG17*$H$13)))</f>
        <v>1</v>
      </c>
      <c r="AJ17">
        <f t="shared" ref="AJ17:AJ48" si="24">(AI17-1)*100</f>
        <v>0</v>
      </c>
      <c r="AK17">
        <f t="shared" ref="AK17:AK48" si="25">MAX(0,($B$13+$C$13*DS17)/(1+$D$13*DS17)*DL17/(DN17+273)*$E$13)</f>
        <v>51602.060943213444</v>
      </c>
      <c r="AL17" t="s">
        <v>415</v>
      </c>
      <c r="AM17">
        <v>6960.3</v>
      </c>
      <c r="AN17">
        <v>244.8124</v>
      </c>
      <c r="AO17">
        <v>892.86711584811997</v>
      </c>
      <c r="AP17">
        <f t="shared" ref="AP17:AP48" si="26">1-AN17/AO17</f>
        <v>0.72581317459826411</v>
      </c>
      <c r="AQ17">
        <v>-0.43209471141234851</v>
      </c>
      <c r="AR17" t="s">
        <v>416</v>
      </c>
      <c r="AS17">
        <v>7123.18</v>
      </c>
      <c r="AT17">
        <v>677.69163999999989</v>
      </c>
      <c r="AU17">
        <v>947.89309535467703</v>
      </c>
      <c r="AV17">
        <f t="shared" ref="AV17:AV48" si="27">1-AT17/AU17</f>
        <v>0.28505477746261543</v>
      </c>
      <c r="AW17">
        <v>0.5</v>
      </c>
      <c r="AX17">
        <f t="shared" ref="AX17:AX48" si="28">CW17</f>
        <v>1513.2101999210013</v>
      </c>
      <c r="AY17">
        <f t="shared" ref="AY17:AY48" si="29">L17</f>
        <v>44.766092612232356</v>
      </c>
      <c r="AZ17">
        <f t="shared" ref="AZ17:AZ48" si="30">AV17*AW17*AX17</f>
        <v>215.6738983963204</v>
      </c>
      <c r="BA17">
        <f t="shared" ref="BA17:BA48" si="31">(AY17-AQ17)/AX17</f>
        <v>2.9869073923771014E-2</v>
      </c>
      <c r="BB17">
        <f t="shared" ref="BB17:BB48" si="32">(AO17-AU17)/AU17</f>
        <v>-5.8050828491337171E-2</v>
      </c>
      <c r="BC17">
        <f t="shared" ref="BC17:BC48" si="33">AN17/(AP17+AN17/AU17)</f>
        <v>248.77204806251751</v>
      </c>
      <c r="BD17" t="s">
        <v>417</v>
      </c>
      <c r="BE17">
        <v>458.61</v>
      </c>
      <c r="BF17">
        <f t="shared" ref="BF17:BF48" si="34">IF(BE17&lt;&gt;0, BE17, BC17)</f>
        <v>458.61</v>
      </c>
      <c r="BG17">
        <f t="shared" ref="BG17:BG48" si="35">1-BF17/AU17</f>
        <v>0.51617961746160834</v>
      </c>
      <c r="BH17">
        <f t="shared" ref="BH17:BH48" si="36">(AU17-AT17)/(AU17-BF17)</f>
        <v>0.55223950698482738</v>
      </c>
      <c r="BI17">
        <f t="shared" ref="BI17:BI48" si="37">(AO17-AU17)/(AO17-BF17)</f>
        <v>-0.12671290232996948</v>
      </c>
      <c r="BJ17">
        <f t="shared" ref="BJ17:BJ48" si="38">(AU17-AT17)/(AU17-AN17)</f>
        <v>0.38431073010527045</v>
      </c>
      <c r="BK17">
        <f t="shared" ref="BK17:BK48" si="39">(AO17-AU17)/(AO17-AN17)</f>
        <v>-8.4909465452378749E-2</v>
      </c>
      <c r="BL17">
        <f t="shared" ref="BL17:BL48" si="40">(BH17*BF17/AT17)</f>
        <v>0.37371356727716415</v>
      </c>
      <c r="BM17">
        <f t="shared" ref="BM17:BM48" si="41">(1-BL17)</f>
        <v>0.62628643272283591</v>
      </c>
      <c r="BN17">
        <v>143</v>
      </c>
      <c r="BO17">
        <v>290.00000000000011</v>
      </c>
      <c r="BP17">
        <v>874.03</v>
      </c>
      <c r="BQ17">
        <v>295</v>
      </c>
      <c r="BR17">
        <v>7123.18</v>
      </c>
      <c r="BS17">
        <v>875.7</v>
      </c>
      <c r="BT17">
        <v>-1.67</v>
      </c>
      <c r="BU17">
        <v>300.00000000000011</v>
      </c>
      <c r="BV17">
        <v>38.200000000000003</v>
      </c>
      <c r="BW17">
        <v>947.89309535467703</v>
      </c>
      <c r="BX17">
        <v>1.2964813442632659</v>
      </c>
      <c r="BY17">
        <v>-51.425624043826218</v>
      </c>
      <c r="BZ17">
        <v>0.77409868088295486</v>
      </c>
      <c r="CA17">
        <v>0.99369558338912367</v>
      </c>
      <c r="CB17">
        <v>-7.0291381535039013E-3</v>
      </c>
      <c r="CC17">
        <v>289.99999999999989</v>
      </c>
      <c r="CD17">
        <v>884.02</v>
      </c>
      <c r="CE17">
        <v>875</v>
      </c>
      <c r="CF17">
        <v>7117.66</v>
      </c>
      <c r="CG17">
        <v>875.64</v>
      </c>
      <c r="CH17">
        <v>8.3800000000000008</v>
      </c>
      <c r="CV17">
        <f t="shared" ref="CV17:CV48" si="42">$B$11*DT17+$C$11*DU17+$F$11*EF17*(1-EI17)</f>
        <v>1800.03</v>
      </c>
      <c r="CW17">
        <f t="shared" ref="CW17:CW48" si="43">CV17*CX17</f>
        <v>1513.2101999210013</v>
      </c>
      <c r="CX17">
        <f t="shared" ref="CX17:CX48" si="44">($B$11*$D$9+$C$11*$D$9+$F$11*((ES17+EK17)/MAX(ES17+EK17+ET17, 0.1)*$I$9+ET17/MAX(ES17+EK17+ET17, 0.1)*$J$9))/($B$11+$C$11+$F$11)</f>
        <v>0.84065832231740656</v>
      </c>
      <c r="CY17">
        <f t="shared" ref="CY17:CY48" si="45">($B$11*$K$9+$C$11*$K$9+$F$11*((ES17+EK17)/MAX(ES17+EK17+ET17, 0.1)*$P$9+ET17/MAX(ES17+EK17+ET17, 0.1)*$Q$9))/($B$11+$C$11+$F$11)</f>
        <v>0.16087056207259465</v>
      </c>
      <c r="CZ17">
        <v>5.52</v>
      </c>
      <c r="DA17">
        <v>0.5</v>
      </c>
      <c r="DB17" t="s">
        <v>418</v>
      </c>
      <c r="DC17">
        <v>2</v>
      </c>
      <c r="DD17">
        <v>1700235225.5999999</v>
      </c>
      <c r="DE17">
        <v>398.541</v>
      </c>
      <c r="DF17">
        <v>449.66199999999998</v>
      </c>
      <c r="DG17">
        <v>28.438400000000001</v>
      </c>
      <c r="DH17">
        <v>24.2818</v>
      </c>
      <c r="DI17">
        <v>397.303</v>
      </c>
      <c r="DJ17">
        <v>28.110399999999998</v>
      </c>
      <c r="DK17">
        <v>500.05900000000003</v>
      </c>
      <c r="DL17">
        <v>98.566900000000004</v>
      </c>
      <c r="DM17">
        <v>9.9997500000000003E-2</v>
      </c>
      <c r="DN17">
        <v>30.152899999999999</v>
      </c>
      <c r="DO17">
        <v>29.991099999999999</v>
      </c>
      <c r="DP17">
        <v>999.9</v>
      </c>
      <c r="DQ17">
        <v>0</v>
      </c>
      <c r="DR17">
        <v>0</v>
      </c>
      <c r="DS17">
        <v>10005</v>
      </c>
      <c r="DT17">
        <v>0</v>
      </c>
      <c r="DU17">
        <v>271.28399999999999</v>
      </c>
      <c r="DV17">
        <v>-51.121899999999997</v>
      </c>
      <c r="DW17">
        <v>410.20600000000002</v>
      </c>
      <c r="DX17">
        <v>460.85300000000001</v>
      </c>
      <c r="DY17">
        <v>4.1565399999999997</v>
      </c>
      <c r="DZ17">
        <v>449.66199999999998</v>
      </c>
      <c r="EA17">
        <v>24.2818</v>
      </c>
      <c r="EB17">
        <v>2.80308</v>
      </c>
      <c r="EC17">
        <v>2.3933900000000001</v>
      </c>
      <c r="ED17">
        <v>22.9023</v>
      </c>
      <c r="EE17">
        <v>20.319099999999999</v>
      </c>
      <c r="EF17">
        <v>1800.03</v>
      </c>
      <c r="EG17">
        <v>0.977993</v>
      </c>
      <c r="EH17">
        <v>2.20074E-2</v>
      </c>
      <c r="EI17">
        <v>0</v>
      </c>
      <c r="EJ17">
        <v>677.65300000000002</v>
      </c>
      <c r="EK17">
        <v>5.0001199999999999</v>
      </c>
      <c r="EL17">
        <v>12249</v>
      </c>
      <c r="EM17">
        <v>15630.2</v>
      </c>
      <c r="EN17">
        <v>49.625</v>
      </c>
      <c r="EO17">
        <v>50.625</v>
      </c>
      <c r="EP17">
        <v>50.436999999999998</v>
      </c>
      <c r="EQ17">
        <v>50.436999999999998</v>
      </c>
      <c r="ER17">
        <v>51.186999999999998</v>
      </c>
      <c r="ES17">
        <v>1755.53</v>
      </c>
      <c r="ET17">
        <v>39.5</v>
      </c>
      <c r="EU17">
        <v>0</v>
      </c>
      <c r="EV17">
        <v>1700235232.2</v>
      </c>
      <c r="EW17">
        <v>0</v>
      </c>
      <c r="EX17">
        <v>677.69163999999989</v>
      </c>
      <c r="EY17">
        <v>-0.83892306835300601</v>
      </c>
      <c r="EZ17">
        <v>-17.161538417535681</v>
      </c>
      <c r="FA17">
        <v>12251.12</v>
      </c>
      <c r="FB17">
        <v>15</v>
      </c>
      <c r="FC17">
        <v>1700235178.5999999</v>
      </c>
      <c r="FD17" t="s">
        <v>419</v>
      </c>
      <c r="FE17">
        <v>1700235175.0999999</v>
      </c>
      <c r="FF17">
        <v>1700235178.5999999</v>
      </c>
      <c r="FG17">
        <v>2</v>
      </c>
      <c r="FH17">
        <v>0.34499999999999997</v>
      </c>
      <c r="FI17">
        <v>-0.02</v>
      </c>
      <c r="FJ17">
        <v>1.2569999999999999</v>
      </c>
      <c r="FK17">
        <v>0.32800000000000001</v>
      </c>
      <c r="FL17">
        <v>448</v>
      </c>
      <c r="FM17">
        <v>24</v>
      </c>
      <c r="FN17">
        <v>7.0000000000000007E-2</v>
      </c>
      <c r="FO17">
        <v>0.02</v>
      </c>
      <c r="FP17">
        <v>44.742548105988106</v>
      </c>
      <c r="FQ17">
        <v>-0.56289431885837982</v>
      </c>
      <c r="FR17">
        <v>8.5230005286523441E-2</v>
      </c>
      <c r="FS17">
        <v>1</v>
      </c>
      <c r="FT17">
        <v>0.26760332060597131</v>
      </c>
      <c r="FU17">
        <v>3.1701962299504828E-3</v>
      </c>
      <c r="FV17">
        <v>5.6131817944705411E-4</v>
      </c>
      <c r="FW17">
        <v>1</v>
      </c>
      <c r="FX17">
        <v>2</v>
      </c>
      <c r="FY17">
        <v>2</v>
      </c>
      <c r="FZ17" t="s">
        <v>420</v>
      </c>
      <c r="GA17">
        <v>2.9198900000000001</v>
      </c>
      <c r="GB17">
        <v>2.7510500000000002</v>
      </c>
      <c r="GC17">
        <v>9.0399999999999994E-2</v>
      </c>
      <c r="GD17">
        <v>0.10094</v>
      </c>
      <c r="GE17">
        <v>0.129026</v>
      </c>
      <c r="GF17">
        <v>0.118119</v>
      </c>
      <c r="GG17">
        <v>28290.7</v>
      </c>
      <c r="GH17">
        <v>27850.400000000001</v>
      </c>
      <c r="GI17">
        <v>28319.7</v>
      </c>
      <c r="GJ17">
        <v>28316.1</v>
      </c>
      <c r="GK17">
        <v>33606.1</v>
      </c>
      <c r="GL17">
        <v>34852.6</v>
      </c>
      <c r="GM17">
        <v>42541.1</v>
      </c>
      <c r="GN17">
        <v>43995.7</v>
      </c>
      <c r="GO17">
        <v>1.7896000000000001</v>
      </c>
      <c r="GP17">
        <v>1.9941</v>
      </c>
      <c r="GQ17">
        <v>7.6524900000000007E-2</v>
      </c>
      <c r="GR17">
        <v>0</v>
      </c>
      <c r="GS17">
        <v>28.744399999999999</v>
      </c>
      <c r="GT17">
        <v>999.9</v>
      </c>
      <c r="GU17">
        <v>62.6</v>
      </c>
      <c r="GV17">
        <v>31.8</v>
      </c>
      <c r="GW17">
        <v>29.985099999999999</v>
      </c>
      <c r="GX17">
        <v>61.239100000000001</v>
      </c>
      <c r="GY17">
        <v>31.666699999999999</v>
      </c>
      <c r="GZ17">
        <v>1</v>
      </c>
      <c r="HA17">
        <v>0.35700199999999999</v>
      </c>
      <c r="HB17">
        <v>1.5219800000000001</v>
      </c>
      <c r="HC17">
        <v>20.267900000000001</v>
      </c>
      <c r="HD17">
        <v>5.2765899999999997</v>
      </c>
      <c r="HE17">
        <v>12.0878</v>
      </c>
      <c r="HF17">
        <v>5.0141499999999999</v>
      </c>
      <c r="HG17">
        <v>3.2917800000000002</v>
      </c>
      <c r="HH17">
        <v>9999</v>
      </c>
      <c r="HI17">
        <v>9999</v>
      </c>
      <c r="HJ17">
        <v>9999</v>
      </c>
      <c r="HK17">
        <v>999.9</v>
      </c>
      <c r="HL17">
        <v>1.87592</v>
      </c>
      <c r="HM17">
        <v>1.87629</v>
      </c>
      <c r="HN17">
        <v>1.8760699999999999</v>
      </c>
      <c r="HO17">
        <v>1.8800399999999999</v>
      </c>
      <c r="HP17">
        <v>1.87347</v>
      </c>
      <c r="HQ17">
        <v>1.87669</v>
      </c>
      <c r="HR17">
        <v>1.8763700000000001</v>
      </c>
      <c r="HS17">
        <v>1.87775</v>
      </c>
      <c r="HT17">
        <v>0</v>
      </c>
      <c r="HU17">
        <v>0</v>
      </c>
      <c r="HV17">
        <v>0</v>
      </c>
      <c r="HW17">
        <v>0</v>
      </c>
      <c r="HX17" t="s">
        <v>421</v>
      </c>
      <c r="HY17" t="s">
        <v>422</v>
      </c>
      <c r="HZ17" t="s">
        <v>423</v>
      </c>
      <c r="IA17" t="s">
        <v>424</v>
      </c>
      <c r="IB17" t="s">
        <v>424</v>
      </c>
      <c r="IC17" t="s">
        <v>423</v>
      </c>
      <c r="ID17">
        <v>0</v>
      </c>
      <c r="IE17">
        <v>100</v>
      </c>
      <c r="IF17">
        <v>100</v>
      </c>
      <c r="IG17">
        <v>1.238</v>
      </c>
      <c r="IH17">
        <v>0.32800000000000001</v>
      </c>
      <c r="II17">
        <v>0.9830196030652657</v>
      </c>
      <c r="IJ17">
        <v>8.9576739069318506E-4</v>
      </c>
      <c r="IK17">
        <v>-7.2130504814809596E-7</v>
      </c>
      <c r="IL17">
        <v>1.9987036519832741E-10</v>
      </c>
      <c r="IM17">
        <v>0.32802999999999832</v>
      </c>
      <c r="IN17">
        <v>0</v>
      </c>
      <c r="IO17">
        <v>0</v>
      </c>
      <c r="IP17">
        <v>0</v>
      </c>
      <c r="IQ17">
        <v>1</v>
      </c>
      <c r="IR17">
        <v>2126</v>
      </c>
      <c r="IS17">
        <v>0</v>
      </c>
      <c r="IT17">
        <v>20</v>
      </c>
      <c r="IU17">
        <v>0.8</v>
      </c>
      <c r="IV17">
        <v>0.8</v>
      </c>
      <c r="IW17">
        <v>1.1071800000000001</v>
      </c>
      <c r="IX17">
        <v>2.63672</v>
      </c>
      <c r="IY17">
        <v>1.69434</v>
      </c>
      <c r="IZ17">
        <v>2.3584000000000001</v>
      </c>
      <c r="JA17">
        <v>1.5466299999999999</v>
      </c>
      <c r="JB17">
        <v>2.33521</v>
      </c>
      <c r="JC17">
        <v>38.159300000000002</v>
      </c>
      <c r="JD17">
        <v>23.465800000000002</v>
      </c>
      <c r="JE17">
        <v>18</v>
      </c>
      <c r="JF17">
        <v>500.09899999999999</v>
      </c>
      <c r="JG17">
        <v>544.03399999999999</v>
      </c>
      <c r="JH17">
        <v>27.3491</v>
      </c>
      <c r="JI17">
        <v>31.7227</v>
      </c>
      <c r="JJ17">
        <v>30.000299999999999</v>
      </c>
      <c r="JK17">
        <v>31.613</v>
      </c>
      <c r="JL17">
        <v>31.560700000000001</v>
      </c>
      <c r="JM17">
        <v>22.247900000000001</v>
      </c>
      <c r="JN17">
        <v>23.431899999999999</v>
      </c>
      <c r="JO17">
        <v>100</v>
      </c>
      <c r="JP17">
        <v>27.407599999999999</v>
      </c>
      <c r="JQ17">
        <v>450</v>
      </c>
      <c r="JR17">
        <v>24.261900000000001</v>
      </c>
      <c r="JS17">
        <v>99.193100000000001</v>
      </c>
      <c r="JT17">
        <v>99.143100000000004</v>
      </c>
    </row>
    <row r="18" spans="1:280" x14ac:dyDescent="0.25">
      <c r="A18">
        <v>2</v>
      </c>
      <c r="B18">
        <v>1700235387.5999999</v>
      </c>
      <c r="C18">
        <v>162</v>
      </c>
      <c r="D18" t="s">
        <v>425</v>
      </c>
      <c r="E18" t="s">
        <v>426</v>
      </c>
      <c r="F18" t="s">
        <v>412</v>
      </c>
      <c r="G18" t="s">
        <v>413</v>
      </c>
      <c r="H18" t="s">
        <v>414</v>
      </c>
      <c r="I18">
        <v>1700235387.5999999</v>
      </c>
      <c r="J18">
        <f t="shared" si="0"/>
        <v>2.3578315424728534E-3</v>
      </c>
      <c r="K18">
        <f t="shared" si="1"/>
        <v>2.3578315424728533</v>
      </c>
      <c r="L18">
        <f t="shared" si="2"/>
        <v>49.285603453941896</v>
      </c>
      <c r="M18">
        <f t="shared" si="3"/>
        <v>1442.04</v>
      </c>
      <c r="N18">
        <f t="shared" si="4"/>
        <v>896.9609664434023</v>
      </c>
      <c r="O18">
        <f t="shared" si="5"/>
        <v>88.504104585931358</v>
      </c>
      <c r="P18">
        <f t="shared" si="6"/>
        <v>142.28763987707998</v>
      </c>
      <c r="Q18">
        <f t="shared" si="7"/>
        <v>0.15655744443112021</v>
      </c>
      <c r="R18">
        <f t="shared" si="8"/>
        <v>2.993960103676768</v>
      </c>
      <c r="S18">
        <f t="shared" si="9"/>
        <v>0.15214750597798427</v>
      </c>
      <c r="T18">
        <f t="shared" si="10"/>
        <v>9.5478059837749041E-2</v>
      </c>
      <c r="U18">
        <f t="shared" si="11"/>
        <v>289.56704984752997</v>
      </c>
      <c r="V18">
        <f t="shared" si="12"/>
        <v>30.930397055951953</v>
      </c>
      <c r="W18">
        <f t="shared" si="13"/>
        <v>29.953800000000001</v>
      </c>
      <c r="X18">
        <f t="shared" si="14"/>
        <v>4.2491569239619489</v>
      </c>
      <c r="Y18">
        <f t="shared" si="15"/>
        <v>65.647652634870354</v>
      </c>
      <c r="Z18">
        <f t="shared" si="16"/>
        <v>2.7744728115167998</v>
      </c>
      <c r="AA18">
        <f t="shared" si="17"/>
        <v>4.2263092436043488</v>
      </c>
      <c r="AB18">
        <f t="shared" si="18"/>
        <v>1.4746841124451491</v>
      </c>
      <c r="AC18">
        <f t="shared" si="19"/>
        <v>-103.98037102305284</v>
      </c>
      <c r="AD18">
        <f t="shared" si="20"/>
        <v>-15.140293372864043</v>
      </c>
      <c r="AE18">
        <f t="shared" si="21"/>
        <v>-1.1233808053852468</v>
      </c>
      <c r="AF18">
        <f t="shared" si="22"/>
        <v>169.32300464622784</v>
      </c>
      <c r="AG18">
        <v>0</v>
      </c>
      <c r="AH18">
        <v>0</v>
      </c>
      <c r="AI18">
        <f t="shared" si="23"/>
        <v>1</v>
      </c>
      <c r="AJ18">
        <f t="shared" si="24"/>
        <v>0</v>
      </c>
      <c r="AK18">
        <f t="shared" si="25"/>
        <v>51558.133309550998</v>
      </c>
      <c r="AL18" t="s">
        <v>427</v>
      </c>
      <c r="AM18" t="s">
        <v>427</v>
      </c>
      <c r="AN18">
        <v>0</v>
      </c>
      <c r="AO18">
        <v>0</v>
      </c>
      <c r="AP18" t="e">
        <f t="shared" si="26"/>
        <v>#DIV/0!</v>
      </c>
      <c r="AQ18">
        <v>0</v>
      </c>
      <c r="AR18" t="s">
        <v>427</v>
      </c>
      <c r="AS18" t="s">
        <v>427</v>
      </c>
      <c r="AT18">
        <v>0</v>
      </c>
      <c r="AU18">
        <v>0</v>
      </c>
      <c r="AV18" t="e">
        <f t="shared" si="27"/>
        <v>#DIV/0!</v>
      </c>
      <c r="AW18">
        <v>0.5</v>
      </c>
      <c r="AX18">
        <f t="shared" si="28"/>
        <v>1513.1849999209999</v>
      </c>
      <c r="AY18">
        <f t="shared" si="29"/>
        <v>49.285603453941896</v>
      </c>
      <c r="AZ18" t="e">
        <f t="shared" si="30"/>
        <v>#DIV/0!</v>
      </c>
      <c r="BA18">
        <f t="shared" si="31"/>
        <v>3.2570771886130903E-2</v>
      </c>
      <c r="BB18" t="e">
        <f t="shared" si="32"/>
        <v>#DIV/0!</v>
      </c>
      <c r="BC18" t="e">
        <f t="shared" si="33"/>
        <v>#DIV/0!</v>
      </c>
      <c r="BD18" t="s">
        <v>427</v>
      </c>
      <c r="BE18">
        <v>0</v>
      </c>
      <c r="BF18" t="e">
        <f t="shared" si="34"/>
        <v>#DIV/0!</v>
      </c>
      <c r="BG18" t="e">
        <f t="shared" si="35"/>
        <v>#DIV/0!</v>
      </c>
      <c r="BH18" t="e">
        <f t="shared" si="36"/>
        <v>#DIV/0!</v>
      </c>
      <c r="BI18" t="e">
        <f t="shared" si="37"/>
        <v>#DIV/0!</v>
      </c>
      <c r="BJ18" t="e">
        <f t="shared" si="38"/>
        <v>#DIV/0!</v>
      </c>
      <c r="BK18" t="e">
        <f t="shared" si="39"/>
        <v>#DIV/0!</v>
      </c>
      <c r="BL18" t="e">
        <f t="shared" si="40"/>
        <v>#DIV/0!</v>
      </c>
      <c r="BM18" t="e">
        <f t="shared" si="41"/>
        <v>#DIV/0!</v>
      </c>
      <c r="BN18">
        <v>143</v>
      </c>
      <c r="BO18">
        <v>290.00000000000011</v>
      </c>
      <c r="BP18">
        <v>874.03</v>
      </c>
      <c r="BQ18">
        <v>295</v>
      </c>
      <c r="BR18">
        <v>7123.18</v>
      </c>
      <c r="BS18">
        <v>875.7</v>
      </c>
      <c r="BT18">
        <v>-1.67</v>
      </c>
      <c r="BU18">
        <v>300.00000000000011</v>
      </c>
      <c r="BV18">
        <v>38.200000000000003</v>
      </c>
      <c r="BW18">
        <v>947.89309535467703</v>
      </c>
      <c r="BX18">
        <v>1.2964813442632659</v>
      </c>
      <c r="BY18">
        <v>-51.425624043826218</v>
      </c>
      <c r="BZ18">
        <v>0.77409868088295486</v>
      </c>
      <c r="CA18">
        <v>0.99369558338912367</v>
      </c>
      <c r="CB18">
        <v>-7.0291381535039013E-3</v>
      </c>
      <c r="CC18">
        <v>289.99999999999989</v>
      </c>
      <c r="CD18">
        <v>884.02</v>
      </c>
      <c r="CE18">
        <v>875</v>
      </c>
      <c r="CF18">
        <v>7117.66</v>
      </c>
      <c r="CG18">
        <v>875.64</v>
      </c>
      <c r="CH18">
        <v>8.3800000000000008</v>
      </c>
      <c r="CV18">
        <f t="shared" si="42"/>
        <v>1800</v>
      </c>
      <c r="CW18">
        <f t="shared" si="43"/>
        <v>1513.1849999209999</v>
      </c>
      <c r="CX18">
        <f t="shared" si="44"/>
        <v>0.84065833328944439</v>
      </c>
      <c r="CY18">
        <f t="shared" si="45"/>
        <v>0.16087058324862777</v>
      </c>
      <c r="CZ18">
        <v>5.52</v>
      </c>
      <c r="DA18">
        <v>0.5</v>
      </c>
      <c r="DB18" t="s">
        <v>418</v>
      </c>
      <c r="DC18">
        <v>2</v>
      </c>
      <c r="DD18">
        <v>1700235387.5999999</v>
      </c>
      <c r="DE18">
        <v>1442.04</v>
      </c>
      <c r="DF18">
        <v>1500.19</v>
      </c>
      <c r="DG18">
        <v>28.118400000000001</v>
      </c>
      <c r="DH18">
        <v>25.589200000000002</v>
      </c>
      <c r="DI18">
        <v>1440.17</v>
      </c>
      <c r="DJ18">
        <v>27.790700000000001</v>
      </c>
      <c r="DK18">
        <v>500.12900000000002</v>
      </c>
      <c r="DL18">
        <v>98.570999999999998</v>
      </c>
      <c r="DM18">
        <v>0.100077</v>
      </c>
      <c r="DN18">
        <v>29.86</v>
      </c>
      <c r="DO18">
        <v>29.953800000000001</v>
      </c>
      <c r="DP18">
        <v>999.9</v>
      </c>
      <c r="DQ18">
        <v>0</v>
      </c>
      <c r="DR18">
        <v>0</v>
      </c>
      <c r="DS18">
        <v>9985.6200000000008</v>
      </c>
      <c r="DT18">
        <v>0</v>
      </c>
      <c r="DU18">
        <v>311.29899999999998</v>
      </c>
      <c r="DV18">
        <v>-58.1569</v>
      </c>
      <c r="DW18">
        <v>1483.76</v>
      </c>
      <c r="DX18">
        <v>1539.59</v>
      </c>
      <c r="DY18">
        <v>2.5292500000000002</v>
      </c>
      <c r="DZ18">
        <v>1500.19</v>
      </c>
      <c r="EA18">
        <v>25.589200000000002</v>
      </c>
      <c r="EB18">
        <v>2.7716599999999998</v>
      </c>
      <c r="EC18">
        <v>2.5223499999999999</v>
      </c>
      <c r="ED18">
        <v>22.7163</v>
      </c>
      <c r="EE18">
        <v>21.171500000000002</v>
      </c>
      <c r="EF18">
        <v>1800</v>
      </c>
      <c r="EG18">
        <v>0.977993</v>
      </c>
      <c r="EH18">
        <v>2.20074E-2</v>
      </c>
      <c r="EI18">
        <v>0</v>
      </c>
      <c r="EJ18">
        <v>666.60699999999997</v>
      </c>
      <c r="EK18">
        <v>5.0001199999999999</v>
      </c>
      <c r="EL18">
        <v>12138.7</v>
      </c>
      <c r="EM18">
        <v>15630</v>
      </c>
      <c r="EN18">
        <v>49.686999999999998</v>
      </c>
      <c r="EO18">
        <v>50.625</v>
      </c>
      <c r="EP18">
        <v>50.5</v>
      </c>
      <c r="EQ18">
        <v>50.436999999999998</v>
      </c>
      <c r="ER18">
        <v>51.25</v>
      </c>
      <c r="ES18">
        <v>1755.5</v>
      </c>
      <c r="ET18">
        <v>39.5</v>
      </c>
      <c r="EU18">
        <v>0</v>
      </c>
      <c r="EV18">
        <v>159.79999995231631</v>
      </c>
      <c r="EW18">
        <v>0</v>
      </c>
      <c r="EX18">
        <v>666.83975999999996</v>
      </c>
      <c r="EY18">
        <v>-1.0843845919710839</v>
      </c>
      <c r="EZ18">
        <v>-52.130769347331842</v>
      </c>
      <c r="FA18">
        <v>12147.092000000001</v>
      </c>
      <c r="FB18">
        <v>15</v>
      </c>
      <c r="FC18">
        <v>1700235316.0999999</v>
      </c>
      <c r="FD18" t="s">
        <v>428</v>
      </c>
      <c r="FE18">
        <v>1700235316.0999999</v>
      </c>
      <c r="FF18">
        <v>1700235313.5999999</v>
      </c>
      <c r="FG18">
        <v>3</v>
      </c>
      <c r="FH18">
        <v>0.48799999999999999</v>
      </c>
      <c r="FI18">
        <v>0</v>
      </c>
      <c r="FJ18">
        <v>1.8660000000000001</v>
      </c>
      <c r="FK18">
        <v>0.32800000000000001</v>
      </c>
      <c r="FL18">
        <v>1498</v>
      </c>
      <c r="FM18">
        <v>24</v>
      </c>
      <c r="FN18">
        <v>0.03</v>
      </c>
      <c r="FO18">
        <v>0.02</v>
      </c>
      <c r="FP18">
        <v>49.331002601485203</v>
      </c>
      <c r="FQ18">
        <v>-0.69399620744871038</v>
      </c>
      <c r="FR18">
        <v>8.394570881719951E-2</v>
      </c>
      <c r="FS18">
        <v>1</v>
      </c>
      <c r="FT18">
        <v>0.14680264716571509</v>
      </c>
      <c r="FU18">
        <v>4.9045119364583542E-2</v>
      </c>
      <c r="FV18">
        <v>3.8653013282971202E-3</v>
      </c>
      <c r="FW18">
        <v>1</v>
      </c>
      <c r="FX18">
        <v>2</v>
      </c>
      <c r="FY18">
        <v>2</v>
      </c>
      <c r="FZ18" t="s">
        <v>420</v>
      </c>
      <c r="GA18">
        <v>2.9197199999999999</v>
      </c>
      <c r="GB18">
        <v>2.7509600000000001</v>
      </c>
      <c r="GC18">
        <v>0.216473</v>
      </c>
      <c r="GD18">
        <v>0.22472800000000001</v>
      </c>
      <c r="GE18">
        <v>0.127972</v>
      </c>
      <c r="GF18">
        <v>0.12242699999999999</v>
      </c>
      <c r="GG18">
        <v>24361.8</v>
      </c>
      <c r="GH18">
        <v>24006.400000000001</v>
      </c>
      <c r="GI18">
        <v>28314.799999999999</v>
      </c>
      <c r="GJ18">
        <v>28309.4</v>
      </c>
      <c r="GK18">
        <v>33641.1</v>
      </c>
      <c r="GL18">
        <v>34675.1</v>
      </c>
      <c r="GM18">
        <v>42534</v>
      </c>
      <c r="GN18">
        <v>43986.9</v>
      </c>
      <c r="GO18">
        <v>1.7866500000000001</v>
      </c>
      <c r="GP18">
        <v>1.99387</v>
      </c>
      <c r="GQ18">
        <v>7.6256699999999997E-2</v>
      </c>
      <c r="GR18">
        <v>0</v>
      </c>
      <c r="GS18">
        <v>28.711500000000001</v>
      </c>
      <c r="GT18">
        <v>999.9</v>
      </c>
      <c r="GU18">
        <v>62</v>
      </c>
      <c r="GV18">
        <v>32.1</v>
      </c>
      <c r="GW18">
        <v>30.2073</v>
      </c>
      <c r="GX18">
        <v>61.0291</v>
      </c>
      <c r="GY18">
        <v>31.578499999999998</v>
      </c>
      <c r="GZ18">
        <v>1</v>
      </c>
      <c r="HA18">
        <v>0.36962400000000001</v>
      </c>
      <c r="HB18">
        <v>1.5305899999999999</v>
      </c>
      <c r="HC18">
        <v>20.268000000000001</v>
      </c>
      <c r="HD18">
        <v>5.2762900000000004</v>
      </c>
      <c r="HE18">
        <v>12.0878</v>
      </c>
      <c r="HF18">
        <v>5.01335</v>
      </c>
      <c r="HG18">
        <v>3.2915800000000002</v>
      </c>
      <c r="HH18">
        <v>9999</v>
      </c>
      <c r="HI18">
        <v>9999</v>
      </c>
      <c r="HJ18">
        <v>9999</v>
      </c>
      <c r="HK18">
        <v>999.9</v>
      </c>
      <c r="HL18">
        <v>1.87592</v>
      </c>
      <c r="HM18">
        <v>1.87635</v>
      </c>
      <c r="HN18">
        <v>1.8761300000000001</v>
      </c>
      <c r="HO18">
        <v>1.88005</v>
      </c>
      <c r="HP18">
        <v>1.87348</v>
      </c>
      <c r="HQ18">
        <v>1.8767799999999999</v>
      </c>
      <c r="HR18">
        <v>1.8764400000000001</v>
      </c>
      <c r="HS18">
        <v>1.8777900000000001</v>
      </c>
      <c r="HT18">
        <v>0</v>
      </c>
      <c r="HU18">
        <v>0</v>
      </c>
      <c r="HV18">
        <v>0</v>
      </c>
      <c r="HW18">
        <v>0</v>
      </c>
      <c r="HX18" t="s">
        <v>421</v>
      </c>
      <c r="HY18" t="s">
        <v>422</v>
      </c>
      <c r="HZ18" t="s">
        <v>423</v>
      </c>
      <c r="IA18" t="s">
        <v>424</v>
      </c>
      <c r="IB18" t="s">
        <v>424</v>
      </c>
      <c r="IC18" t="s">
        <v>423</v>
      </c>
      <c r="ID18">
        <v>0</v>
      </c>
      <c r="IE18">
        <v>100</v>
      </c>
      <c r="IF18">
        <v>100</v>
      </c>
      <c r="IG18">
        <v>1.87</v>
      </c>
      <c r="IH18">
        <v>0.32769999999999999</v>
      </c>
      <c r="II18">
        <v>1.4704978958388979</v>
      </c>
      <c r="IJ18">
        <v>8.9576739069318506E-4</v>
      </c>
      <c r="IK18">
        <v>-7.2130504814809596E-7</v>
      </c>
      <c r="IL18">
        <v>1.9987036519832741E-10</v>
      </c>
      <c r="IM18">
        <v>0.32776666666666898</v>
      </c>
      <c r="IN18">
        <v>0</v>
      </c>
      <c r="IO18">
        <v>0</v>
      </c>
      <c r="IP18">
        <v>0</v>
      </c>
      <c r="IQ18">
        <v>1</v>
      </c>
      <c r="IR18">
        <v>2126</v>
      </c>
      <c r="IS18">
        <v>0</v>
      </c>
      <c r="IT18">
        <v>20</v>
      </c>
      <c r="IU18">
        <v>1.2</v>
      </c>
      <c r="IV18">
        <v>1.2</v>
      </c>
      <c r="IW18">
        <v>3.0163600000000002</v>
      </c>
      <c r="IX18">
        <v>2.6257299999999999</v>
      </c>
      <c r="IY18">
        <v>1.69434</v>
      </c>
      <c r="IZ18">
        <v>2.3571800000000001</v>
      </c>
      <c r="JA18">
        <v>1.5466299999999999</v>
      </c>
      <c r="JB18">
        <v>2.323</v>
      </c>
      <c r="JC18">
        <v>38.550400000000003</v>
      </c>
      <c r="JD18">
        <v>23.492100000000001</v>
      </c>
      <c r="JE18">
        <v>18</v>
      </c>
      <c r="JF18">
        <v>499.29199999999997</v>
      </c>
      <c r="JG18">
        <v>545.428</v>
      </c>
      <c r="JH18">
        <v>27.039000000000001</v>
      </c>
      <c r="JI18">
        <v>31.897400000000001</v>
      </c>
      <c r="JJ18">
        <v>30</v>
      </c>
      <c r="JK18">
        <v>31.779900000000001</v>
      </c>
      <c r="JL18">
        <v>31.727399999999999</v>
      </c>
      <c r="JM18">
        <v>60.411900000000003</v>
      </c>
      <c r="JN18">
        <v>18.779</v>
      </c>
      <c r="JO18">
        <v>100</v>
      </c>
      <c r="JP18">
        <v>26.979700000000001</v>
      </c>
      <c r="JQ18">
        <v>1500</v>
      </c>
      <c r="JR18">
        <v>25.340399999999999</v>
      </c>
      <c r="JS18">
        <v>99.176400000000001</v>
      </c>
      <c r="JT18">
        <v>99.121899999999997</v>
      </c>
    </row>
    <row r="19" spans="1:280" x14ac:dyDescent="0.25">
      <c r="A19">
        <v>3</v>
      </c>
      <c r="B19">
        <v>1700235487.5999999</v>
      </c>
      <c r="C19">
        <v>262</v>
      </c>
      <c r="D19" t="s">
        <v>429</v>
      </c>
      <c r="E19" t="s">
        <v>430</v>
      </c>
      <c r="F19" t="s">
        <v>412</v>
      </c>
      <c r="G19" t="s">
        <v>413</v>
      </c>
      <c r="H19" t="s">
        <v>414</v>
      </c>
      <c r="I19">
        <v>1700235487.5999999</v>
      </c>
      <c r="J19">
        <f t="shared" si="0"/>
        <v>2.2039527968914134E-3</v>
      </c>
      <c r="K19">
        <f t="shared" si="1"/>
        <v>2.2039527968914134</v>
      </c>
      <c r="L19">
        <f t="shared" si="2"/>
        <v>48.409298170545675</v>
      </c>
      <c r="M19">
        <f t="shared" si="3"/>
        <v>1193.6199999999999</v>
      </c>
      <c r="N19">
        <f t="shared" si="4"/>
        <v>616.42930171992623</v>
      </c>
      <c r="O19">
        <f t="shared" si="5"/>
        <v>60.828223488156766</v>
      </c>
      <c r="P19">
        <f t="shared" si="6"/>
        <v>117.78444651698599</v>
      </c>
      <c r="Q19">
        <f t="shared" si="7"/>
        <v>0.14287784922804767</v>
      </c>
      <c r="R19">
        <f t="shared" si="8"/>
        <v>3.0038664986604169</v>
      </c>
      <c r="S19">
        <f t="shared" si="9"/>
        <v>0.13920694826941837</v>
      </c>
      <c r="T19">
        <f t="shared" si="10"/>
        <v>8.7326302955433921E-2</v>
      </c>
      <c r="U19">
        <f t="shared" si="11"/>
        <v>289.57502984753427</v>
      </c>
      <c r="V19">
        <f t="shared" si="12"/>
        <v>30.927504371890478</v>
      </c>
      <c r="W19">
        <f t="shared" si="13"/>
        <v>30.0169</v>
      </c>
      <c r="X19">
        <f t="shared" si="14"/>
        <v>4.2645872351723311</v>
      </c>
      <c r="Y19">
        <f t="shared" si="15"/>
        <v>65.400483218431233</v>
      </c>
      <c r="Z19">
        <f t="shared" si="16"/>
        <v>2.75788213011346</v>
      </c>
      <c r="AA19">
        <f t="shared" si="17"/>
        <v>4.2169139957305868</v>
      </c>
      <c r="AB19">
        <f t="shared" si="18"/>
        <v>1.5067051050588711</v>
      </c>
      <c r="AC19">
        <f t="shared" si="19"/>
        <v>-97.19431834291133</v>
      </c>
      <c r="AD19">
        <f t="shared" si="20"/>
        <v>-31.676334552182468</v>
      </c>
      <c r="AE19">
        <f t="shared" si="21"/>
        <v>-2.3428555910433841</v>
      </c>
      <c r="AF19">
        <f t="shared" si="22"/>
        <v>158.36152136139708</v>
      </c>
      <c r="AG19">
        <v>0</v>
      </c>
      <c r="AH19">
        <v>0</v>
      </c>
      <c r="AI19">
        <f t="shared" si="23"/>
        <v>1</v>
      </c>
      <c r="AJ19">
        <f t="shared" si="24"/>
        <v>0</v>
      </c>
      <c r="AK19">
        <f t="shared" si="25"/>
        <v>51831.895766357207</v>
      </c>
      <c r="AL19" t="s">
        <v>415</v>
      </c>
      <c r="AM19">
        <v>6960.3</v>
      </c>
      <c r="AN19">
        <v>244.8124</v>
      </c>
      <c r="AO19">
        <v>892.86711584811997</v>
      </c>
      <c r="AP19">
        <f t="shared" si="26"/>
        <v>0.72581317459826411</v>
      </c>
      <c r="AQ19">
        <v>-0.43209471141234851</v>
      </c>
      <c r="AR19" t="s">
        <v>431</v>
      </c>
      <c r="AS19">
        <v>7123.35</v>
      </c>
      <c r="AT19">
        <v>665.64430769230773</v>
      </c>
      <c r="AU19">
        <v>962.70563760958714</v>
      </c>
      <c r="AV19">
        <f t="shared" si="27"/>
        <v>0.30856922231689354</v>
      </c>
      <c r="AW19">
        <v>0.5</v>
      </c>
      <c r="AX19">
        <f t="shared" si="28"/>
        <v>1513.2269999210021</v>
      </c>
      <c r="AY19">
        <f t="shared" si="29"/>
        <v>48.409298170545675</v>
      </c>
      <c r="AZ19">
        <f t="shared" si="30"/>
        <v>233.46763927727477</v>
      </c>
      <c r="BA19">
        <f t="shared" si="31"/>
        <v>3.2276316034876316E-2</v>
      </c>
      <c r="BB19">
        <f t="shared" si="32"/>
        <v>-7.2544004141159177E-2</v>
      </c>
      <c r="BC19">
        <f t="shared" si="33"/>
        <v>249.78069034651878</v>
      </c>
      <c r="BD19" t="s">
        <v>432</v>
      </c>
      <c r="BE19">
        <v>457.74</v>
      </c>
      <c r="BF19">
        <f t="shared" si="34"/>
        <v>457.74</v>
      </c>
      <c r="BG19">
        <f t="shared" si="35"/>
        <v>0.52452755845849675</v>
      </c>
      <c r="BH19">
        <f t="shared" si="36"/>
        <v>0.58828028640426344</v>
      </c>
      <c r="BI19">
        <f t="shared" si="37"/>
        <v>-0.16050142410762591</v>
      </c>
      <c r="BJ19">
        <f t="shared" si="38"/>
        <v>0.41379597181667654</v>
      </c>
      <c r="BK19">
        <f t="shared" si="39"/>
        <v>-0.10776639696243603</v>
      </c>
      <c r="BL19">
        <f t="shared" si="40"/>
        <v>0.40453950433714403</v>
      </c>
      <c r="BM19">
        <f t="shared" si="41"/>
        <v>0.59546049566285597</v>
      </c>
      <c r="BN19">
        <v>145</v>
      </c>
      <c r="BO19">
        <v>290.00000000000011</v>
      </c>
      <c r="BP19">
        <v>878.37</v>
      </c>
      <c r="BQ19">
        <v>285</v>
      </c>
      <c r="BR19">
        <v>7123.35</v>
      </c>
      <c r="BS19">
        <v>880.65</v>
      </c>
      <c r="BT19">
        <v>-2.2799999999999998</v>
      </c>
      <c r="BU19">
        <v>300.00000000000011</v>
      </c>
      <c r="BV19">
        <v>38.200000000000003</v>
      </c>
      <c r="BW19">
        <v>962.70563760958714</v>
      </c>
      <c r="BX19">
        <v>1.4605464728996711</v>
      </c>
      <c r="BY19">
        <v>-58.451692864667358</v>
      </c>
      <c r="BZ19">
        <v>0.87207624889443691</v>
      </c>
      <c r="CA19">
        <v>0.99380595500228897</v>
      </c>
      <c r="CB19">
        <v>-7.0293686318131359E-3</v>
      </c>
      <c r="CC19">
        <v>289.99999999999989</v>
      </c>
      <c r="CD19">
        <v>887.16</v>
      </c>
      <c r="CE19">
        <v>785</v>
      </c>
      <c r="CF19">
        <v>7118.8</v>
      </c>
      <c r="CG19">
        <v>880.6</v>
      </c>
      <c r="CH19">
        <v>6.56</v>
      </c>
      <c r="CV19">
        <f t="shared" si="42"/>
        <v>1800.05</v>
      </c>
      <c r="CW19">
        <f t="shared" si="43"/>
        <v>1513.2269999210021</v>
      </c>
      <c r="CX19">
        <f t="shared" si="44"/>
        <v>0.84065831500291777</v>
      </c>
      <c r="CY19">
        <f t="shared" si="45"/>
        <v>0.16087054795563138</v>
      </c>
      <c r="CZ19">
        <v>5.52</v>
      </c>
      <c r="DA19">
        <v>0.5</v>
      </c>
      <c r="DB19" t="s">
        <v>418</v>
      </c>
      <c r="DC19">
        <v>2</v>
      </c>
      <c r="DD19">
        <v>1700235487.5999999</v>
      </c>
      <c r="DE19">
        <v>1193.6199999999999</v>
      </c>
      <c r="DF19">
        <v>1249.95</v>
      </c>
      <c r="DG19">
        <v>27.9482</v>
      </c>
      <c r="DH19">
        <v>25.5838</v>
      </c>
      <c r="DI19">
        <v>1191.8599999999999</v>
      </c>
      <c r="DJ19">
        <v>27.5975</v>
      </c>
      <c r="DK19">
        <v>500.161</v>
      </c>
      <c r="DL19">
        <v>98.578400000000002</v>
      </c>
      <c r="DM19">
        <v>9.9945300000000001E-2</v>
      </c>
      <c r="DN19">
        <v>29.821300000000001</v>
      </c>
      <c r="DO19">
        <v>30.0169</v>
      </c>
      <c r="DP19">
        <v>999.9</v>
      </c>
      <c r="DQ19">
        <v>0</v>
      </c>
      <c r="DR19">
        <v>0</v>
      </c>
      <c r="DS19">
        <v>10038.799999999999</v>
      </c>
      <c r="DT19">
        <v>0</v>
      </c>
      <c r="DU19">
        <v>355.875</v>
      </c>
      <c r="DV19">
        <v>-56.326700000000002</v>
      </c>
      <c r="DW19">
        <v>1227.94</v>
      </c>
      <c r="DX19">
        <v>1282.77</v>
      </c>
      <c r="DY19">
        <v>2.3643200000000002</v>
      </c>
      <c r="DZ19">
        <v>1249.95</v>
      </c>
      <c r="EA19">
        <v>25.5838</v>
      </c>
      <c r="EB19">
        <v>2.75509</v>
      </c>
      <c r="EC19">
        <v>2.5220199999999999</v>
      </c>
      <c r="ED19">
        <v>22.6174</v>
      </c>
      <c r="EE19">
        <v>21.1693</v>
      </c>
      <c r="EF19">
        <v>1800.05</v>
      </c>
      <c r="EG19">
        <v>0.977993</v>
      </c>
      <c r="EH19">
        <v>2.20074E-2</v>
      </c>
      <c r="EI19">
        <v>0</v>
      </c>
      <c r="EJ19">
        <v>665.5</v>
      </c>
      <c r="EK19">
        <v>5.0001199999999999</v>
      </c>
      <c r="EL19">
        <v>12124.5</v>
      </c>
      <c r="EM19">
        <v>15630.3</v>
      </c>
      <c r="EN19">
        <v>49.75</v>
      </c>
      <c r="EO19">
        <v>50.75</v>
      </c>
      <c r="EP19">
        <v>50.625</v>
      </c>
      <c r="EQ19">
        <v>50.625</v>
      </c>
      <c r="ER19">
        <v>51.25</v>
      </c>
      <c r="ES19">
        <v>1755.55</v>
      </c>
      <c r="ET19">
        <v>39.5</v>
      </c>
      <c r="EU19">
        <v>0</v>
      </c>
      <c r="EV19">
        <v>260</v>
      </c>
      <c r="EW19">
        <v>0</v>
      </c>
      <c r="EX19">
        <v>665.64430769230773</v>
      </c>
      <c r="EY19">
        <v>-1.2127179572717091</v>
      </c>
      <c r="EZ19">
        <v>-11.49743593810889</v>
      </c>
      <c r="FA19">
        <v>12115.696153846149</v>
      </c>
      <c r="FB19">
        <v>15</v>
      </c>
      <c r="FC19">
        <v>1700235451.5999999</v>
      </c>
      <c r="FD19" t="s">
        <v>433</v>
      </c>
      <c r="FE19">
        <v>1700235447.0999999</v>
      </c>
      <c r="FF19">
        <v>1700235451.5999999</v>
      </c>
      <c r="FG19">
        <v>4</v>
      </c>
      <c r="FH19">
        <v>-9.5000000000000001E-2</v>
      </c>
      <c r="FI19">
        <v>2.3E-2</v>
      </c>
      <c r="FJ19">
        <v>1.7589999999999999</v>
      </c>
      <c r="FK19">
        <v>0.35099999999999998</v>
      </c>
      <c r="FL19">
        <v>1249</v>
      </c>
      <c r="FM19">
        <v>25</v>
      </c>
      <c r="FN19">
        <v>0.08</v>
      </c>
      <c r="FO19">
        <v>0.03</v>
      </c>
      <c r="FP19">
        <v>48.44508919808144</v>
      </c>
      <c r="FQ19">
        <v>-0.27246199478955152</v>
      </c>
      <c r="FR19">
        <v>6.1688038653561719E-2</v>
      </c>
      <c r="FS19">
        <v>1</v>
      </c>
      <c r="FT19">
        <v>0.13917293282300611</v>
      </c>
      <c r="FU19">
        <v>3.5077278116297968E-2</v>
      </c>
      <c r="FV19">
        <v>2.5632203137613361E-3</v>
      </c>
      <c r="FW19">
        <v>1</v>
      </c>
      <c r="FX19">
        <v>2</v>
      </c>
      <c r="FY19">
        <v>2</v>
      </c>
      <c r="FZ19" t="s">
        <v>420</v>
      </c>
      <c r="GA19">
        <v>2.91954</v>
      </c>
      <c r="GB19">
        <v>2.75129</v>
      </c>
      <c r="GC19">
        <v>0.19279199999999999</v>
      </c>
      <c r="GD19">
        <v>0.20125699999999999</v>
      </c>
      <c r="GE19">
        <v>0.12733700000000001</v>
      </c>
      <c r="GF19">
        <v>0.122388</v>
      </c>
      <c r="GG19">
        <v>25093.5</v>
      </c>
      <c r="GH19">
        <v>24727.599999999999</v>
      </c>
      <c r="GI19">
        <v>28308.799999999999</v>
      </c>
      <c r="GJ19">
        <v>28302.3</v>
      </c>
      <c r="GK19">
        <v>33658.199999999997</v>
      </c>
      <c r="GL19">
        <v>34669.5</v>
      </c>
      <c r="GM19">
        <v>42524.1</v>
      </c>
      <c r="GN19">
        <v>43977.3</v>
      </c>
      <c r="GO19">
        <v>1.7846500000000001</v>
      </c>
      <c r="GP19">
        <v>1.98935</v>
      </c>
      <c r="GQ19">
        <v>7.2792200000000001E-2</v>
      </c>
      <c r="GR19">
        <v>0</v>
      </c>
      <c r="GS19">
        <v>28.831099999999999</v>
      </c>
      <c r="GT19">
        <v>999.9</v>
      </c>
      <c r="GU19">
        <v>61.7</v>
      </c>
      <c r="GV19">
        <v>32.299999999999997</v>
      </c>
      <c r="GW19">
        <v>30.398</v>
      </c>
      <c r="GX19">
        <v>60.089100000000002</v>
      </c>
      <c r="GY19">
        <v>31.618600000000001</v>
      </c>
      <c r="GZ19">
        <v>1</v>
      </c>
      <c r="HA19">
        <v>0.38308700000000001</v>
      </c>
      <c r="HB19">
        <v>2.37107</v>
      </c>
      <c r="HC19">
        <v>20.257200000000001</v>
      </c>
      <c r="HD19">
        <v>5.2702999999999998</v>
      </c>
      <c r="HE19">
        <v>12.0878</v>
      </c>
      <c r="HF19">
        <v>5.0134999999999996</v>
      </c>
      <c r="HG19">
        <v>3.2912499999999998</v>
      </c>
      <c r="HH19">
        <v>9999</v>
      </c>
      <c r="HI19">
        <v>9999</v>
      </c>
      <c r="HJ19">
        <v>9999</v>
      </c>
      <c r="HK19">
        <v>999.9</v>
      </c>
      <c r="HL19">
        <v>1.8759300000000001</v>
      </c>
      <c r="HM19">
        <v>1.8763700000000001</v>
      </c>
      <c r="HN19">
        <v>1.8762099999999999</v>
      </c>
      <c r="HO19">
        <v>1.8801300000000001</v>
      </c>
      <c r="HP19">
        <v>1.87354</v>
      </c>
      <c r="HQ19">
        <v>1.87679</v>
      </c>
      <c r="HR19">
        <v>1.8765099999999999</v>
      </c>
      <c r="HS19">
        <v>1.87785</v>
      </c>
      <c r="HT19">
        <v>0</v>
      </c>
      <c r="HU19">
        <v>0</v>
      </c>
      <c r="HV19">
        <v>0</v>
      </c>
      <c r="HW19">
        <v>0</v>
      </c>
      <c r="HX19" t="s">
        <v>421</v>
      </c>
      <c r="HY19" t="s">
        <v>422</v>
      </c>
      <c r="HZ19" t="s">
        <v>423</v>
      </c>
      <c r="IA19" t="s">
        <v>424</v>
      </c>
      <c r="IB19" t="s">
        <v>424</v>
      </c>
      <c r="IC19" t="s">
        <v>423</v>
      </c>
      <c r="ID19">
        <v>0</v>
      </c>
      <c r="IE19">
        <v>100</v>
      </c>
      <c r="IF19">
        <v>100</v>
      </c>
      <c r="IG19">
        <v>1.76</v>
      </c>
      <c r="IH19">
        <v>0.35070000000000001</v>
      </c>
      <c r="II19">
        <v>1.3765276515955089</v>
      </c>
      <c r="IJ19">
        <v>8.9576739069318506E-4</v>
      </c>
      <c r="IK19">
        <v>-7.2130504814809596E-7</v>
      </c>
      <c r="IL19">
        <v>1.9987036519832741E-10</v>
      </c>
      <c r="IM19">
        <v>0.35062380952381028</v>
      </c>
      <c r="IN19">
        <v>0</v>
      </c>
      <c r="IO19">
        <v>0</v>
      </c>
      <c r="IP19">
        <v>0</v>
      </c>
      <c r="IQ19">
        <v>1</v>
      </c>
      <c r="IR19">
        <v>2126</v>
      </c>
      <c r="IS19">
        <v>0</v>
      </c>
      <c r="IT19">
        <v>20</v>
      </c>
      <c r="IU19">
        <v>0.7</v>
      </c>
      <c r="IV19">
        <v>0.6</v>
      </c>
      <c r="IW19">
        <v>2.6049799999999999</v>
      </c>
      <c r="IX19">
        <v>2.6245099999999999</v>
      </c>
      <c r="IY19">
        <v>1.69434</v>
      </c>
      <c r="IZ19">
        <v>2.3571800000000001</v>
      </c>
      <c r="JA19">
        <v>1.5466299999999999</v>
      </c>
      <c r="JB19">
        <v>2.34131</v>
      </c>
      <c r="JC19">
        <v>38.821100000000001</v>
      </c>
      <c r="JD19">
        <v>23.465800000000002</v>
      </c>
      <c r="JE19">
        <v>18</v>
      </c>
      <c r="JF19">
        <v>498.78199999999998</v>
      </c>
      <c r="JG19">
        <v>543.072</v>
      </c>
      <c r="JH19">
        <v>26.616900000000001</v>
      </c>
      <c r="JI19">
        <v>32.025500000000001</v>
      </c>
      <c r="JJ19">
        <v>30.000599999999999</v>
      </c>
      <c r="JK19">
        <v>31.897500000000001</v>
      </c>
      <c r="JL19">
        <v>31.843499999999999</v>
      </c>
      <c r="JM19">
        <v>52.186999999999998</v>
      </c>
      <c r="JN19">
        <v>18.979500000000002</v>
      </c>
      <c r="JO19">
        <v>100</v>
      </c>
      <c r="JP19">
        <v>26.6191</v>
      </c>
      <c r="JQ19">
        <v>1250</v>
      </c>
      <c r="JR19">
        <v>25.490200000000002</v>
      </c>
      <c r="JS19">
        <v>99.1541</v>
      </c>
      <c r="JT19">
        <v>99.0989</v>
      </c>
    </row>
    <row r="20" spans="1:280" x14ac:dyDescent="0.25">
      <c r="A20">
        <v>4</v>
      </c>
      <c r="B20">
        <v>1700235600.5999999</v>
      </c>
      <c r="C20">
        <v>375</v>
      </c>
      <c r="D20" t="s">
        <v>434</v>
      </c>
      <c r="E20" t="s">
        <v>435</v>
      </c>
      <c r="F20" t="s">
        <v>412</v>
      </c>
      <c r="G20" t="s">
        <v>413</v>
      </c>
      <c r="H20" t="s">
        <v>414</v>
      </c>
      <c r="I20">
        <v>1700235600.5999999</v>
      </c>
      <c r="J20">
        <f t="shared" si="0"/>
        <v>2.1658150143097281E-3</v>
      </c>
      <c r="K20">
        <f t="shared" si="1"/>
        <v>2.1658150143097279</v>
      </c>
      <c r="L20">
        <f t="shared" si="2"/>
        <v>47.802946991951991</v>
      </c>
      <c r="M20">
        <f t="shared" si="3"/>
        <v>944.92899999999997</v>
      </c>
      <c r="N20">
        <f t="shared" si="4"/>
        <v>368.59654753849475</v>
      </c>
      <c r="O20">
        <f t="shared" si="5"/>
        <v>36.3750778282418</v>
      </c>
      <c r="P20">
        <f t="shared" si="6"/>
        <v>93.250645310433995</v>
      </c>
      <c r="Q20">
        <f t="shared" si="7"/>
        <v>0.13968605482859198</v>
      </c>
      <c r="R20">
        <f t="shared" si="8"/>
        <v>2.9938788001884316</v>
      </c>
      <c r="S20">
        <f t="shared" si="9"/>
        <v>0.13616376803738553</v>
      </c>
      <c r="T20">
        <f t="shared" si="10"/>
        <v>8.5411420887337636E-2</v>
      </c>
      <c r="U20">
        <f t="shared" si="11"/>
        <v>289.56385784752831</v>
      </c>
      <c r="V20">
        <f t="shared" si="12"/>
        <v>30.943174533628785</v>
      </c>
      <c r="W20">
        <f t="shared" si="13"/>
        <v>30.000599999999999</v>
      </c>
      <c r="X20">
        <f t="shared" si="14"/>
        <v>4.2605966046728723</v>
      </c>
      <c r="Y20">
        <f t="shared" si="15"/>
        <v>65.124151523444581</v>
      </c>
      <c r="Z20">
        <f t="shared" si="16"/>
        <v>2.7466401554758</v>
      </c>
      <c r="AA20">
        <f t="shared" si="17"/>
        <v>4.2175446301008837</v>
      </c>
      <c r="AB20">
        <f t="shared" si="18"/>
        <v>1.5139564491970723</v>
      </c>
      <c r="AC20">
        <f t="shared" si="19"/>
        <v>-95.512442131059004</v>
      </c>
      <c r="AD20">
        <f t="shared" si="20"/>
        <v>-28.520439117846614</v>
      </c>
      <c r="AE20">
        <f t="shared" si="21"/>
        <v>-2.116331754106302</v>
      </c>
      <c r="AF20">
        <f t="shared" si="22"/>
        <v>163.4146448445164</v>
      </c>
      <c r="AG20">
        <v>1</v>
      </c>
      <c r="AH20">
        <v>0</v>
      </c>
      <c r="AI20">
        <f t="shared" si="23"/>
        <v>1</v>
      </c>
      <c r="AJ20">
        <f t="shared" si="24"/>
        <v>0</v>
      </c>
      <c r="AK20">
        <f t="shared" si="25"/>
        <v>51562.388935106719</v>
      </c>
      <c r="AL20" t="s">
        <v>427</v>
      </c>
      <c r="AM20" t="s">
        <v>427</v>
      </c>
      <c r="AN20">
        <v>0</v>
      </c>
      <c r="AO20">
        <v>0</v>
      </c>
      <c r="AP20" t="e">
        <f t="shared" si="26"/>
        <v>#DIV/0!</v>
      </c>
      <c r="AQ20">
        <v>0</v>
      </c>
      <c r="AR20" t="s">
        <v>427</v>
      </c>
      <c r="AS20" t="s">
        <v>427</v>
      </c>
      <c r="AT20">
        <v>0</v>
      </c>
      <c r="AU20">
        <v>0</v>
      </c>
      <c r="AV20" t="e">
        <f t="shared" si="27"/>
        <v>#DIV/0!</v>
      </c>
      <c r="AW20">
        <v>0.5</v>
      </c>
      <c r="AX20">
        <f t="shared" si="28"/>
        <v>1513.1681999209991</v>
      </c>
      <c r="AY20">
        <f t="shared" si="29"/>
        <v>47.802946991951991</v>
      </c>
      <c r="AZ20" t="e">
        <f t="shared" si="30"/>
        <v>#DIV/0!</v>
      </c>
      <c r="BA20">
        <f t="shared" si="31"/>
        <v>3.1591297645858357E-2</v>
      </c>
      <c r="BB20" t="e">
        <f t="shared" si="32"/>
        <v>#DIV/0!</v>
      </c>
      <c r="BC20" t="e">
        <f t="shared" si="33"/>
        <v>#DIV/0!</v>
      </c>
      <c r="BD20" t="s">
        <v>427</v>
      </c>
      <c r="BE20">
        <v>0</v>
      </c>
      <c r="BF20" t="e">
        <f t="shared" si="34"/>
        <v>#DIV/0!</v>
      </c>
      <c r="BG20" t="e">
        <f t="shared" si="35"/>
        <v>#DIV/0!</v>
      </c>
      <c r="BH20" t="e">
        <f t="shared" si="36"/>
        <v>#DIV/0!</v>
      </c>
      <c r="BI20" t="e">
        <f t="shared" si="37"/>
        <v>#DIV/0!</v>
      </c>
      <c r="BJ20" t="e">
        <f t="shared" si="38"/>
        <v>#DIV/0!</v>
      </c>
      <c r="BK20" t="e">
        <f t="shared" si="39"/>
        <v>#DIV/0!</v>
      </c>
      <c r="BL20" t="e">
        <f t="shared" si="40"/>
        <v>#DIV/0!</v>
      </c>
      <c r="BM20" t="e">
        <f t="shared" si="41"/>
        <v>#DIV/0!</v>
      </c>
      <c r="BN20">
        <v>145</v>
      </c>
      <c r="BO20">
        <v>290.00000000000011</v>
      </c>
      <c r="BP20">
        <v>878.37</v>
      </c>
      <c r="BQ20">
        <v>285</v>
      </c>
      <c r="BR20">
        <v>7123.35</v>
      </c>
      <c r="BS20">
        <v>880.65</v>
      </c>
      <c r="BT20">
        <v>-2.2799999999999998</v>
      </c>
      <c r="BU20">
        <v>300.00000000000011</v>
      </c>
      <c r="BV20">
        <v>38.200000000000003</v>
      </c>
      <c r="BW20">
        <v>962.70563760958714</v>
      </c>
      <c r="BX20">
        <v>1.4605464728996711</v>
      </c>
      <c r="BY20">
        <v>-58.451692864667358</v>
      </c>
      <c r="BZ20">
        <v>0.87207624889443691</v>
      </c>
      <c r="CA20">
        <v>0.99380595500228897</v>
      </c>
      <c r="CB20">
        <v>-7.0293686318131359E-3</v>
      </c>
      <c r="CC20">
        <v>289.99999999999989</v>
      </c>
      <c r="CD20">
        <v>887.16</v>
      </c>
      <c r="CE20">
        <v>785</v>
      </c>
      <c r="CF20">
        <v>7118.8</v>
      </c>
      <c r="CG20">
        <v>880.6</v>
      </c>
      <c r="CH20">
        <v>6.56</v>
      </c>
      <c r="CV20">
        <f t="shared" si="42"/>
        <v>1799.98</v>
      </c>
      <c r="CW20">
        <f t="shared" si="43"/>
        <v>1513.1681999209991</v>
      </c>
      <c r="CX20">
        <f t="shared" si="44"/>
        <v>0.84065834060433953</v>
      </c>
      <c r="CY20">
        <f t="shared" si="45"/>
        <v>0.16087059736637535</v>
      </c>
      <c r="CZ20">
        <v>5.52</v>
      </c>
      <c r="DA20">
        <v>0.5</v>
      </c>
      <c r="DB20" t="s">
        <v>418</v>
      </c>
      <c r="DC20">
        <v>2</v>
      </c>
      <c r="DD20">
        <v>1700235600.5999999</v>
      </c>
      <c r="DE20">
        <v>944.92899999999997</v>
      </c>
      <c r="DF20">
        <v>999.94600000000003</v>
      </c>
      <c r="DG20">
        <v>27.8323</v>
      </c>
      <c r="DH20">
        <v>25.508500000000002</v>
      </c>
      <c r="DI20">
        <v>943.28700000000003</v>
      </c>
      <c r="DJ20">
        <v>27.4862</v>
      </c>
      <c r="DK20">
        <v>500.15300000000002</v>
      </c>
      <c r="DL20">
        <v>98.585099999999997</v>
      </c>
      <c r="DM20">
        <v>0.100246</v>
      </c>
      <c r="DN20">
        <v>29.823899999999998</v>
      </c>
      <c r="DO20">
        <v>30.000599999999999</v>
      </c>
      <c r="DP20">
        <v>999.9</v>
      </c>
      <c r="DQ20">
        <v>0</v>
      </c>
      <c r="DR20">
        <v>0</v>
      </c>
      <c r="DS20">
        <v>9983.75</v>
      </c>
      <c r="DT20">
        <v>0</v>
      </c>
      <c r="DU20">
        <v>277.25</v>
      </c>
      <c r="DV20">
        <v>-55.017899999999997</v>
      </c>
      <c r="DW20">
        <v>971.98099999999999</v>
      </c>
      <c r="DX20">
        <v>1026.1199999999999</v>
      </c>
      <c r="DY20">
        <v>2.3237999999999999</v>
      </c>
      <c r="DZ20">
        <v>999.94600000000003</v>
      </c>
      <c r="EA20">
        <v>25.508500000000002</v>
      </c>
      <c r="EB20">
        <v>2.7438500000000001</v>
      </c>
      <c r="EC20">
        <v>2.5147599999999999</v>
      </c>
      <c r="ED20">
        <v>22.5501</v>
      </c>
      <c r="EE20">
        <v>21.122399999999999</v>
      </c>
      <c r="EF20">
        <v>1799.98</v>
      </c>
      <c r="EG20">
        <v>0.977993</v>
      </c>
      <c r="EH20">
        <v>2.20074E-2</v>
      </c>
      <c r="EI20">
        <v>0</v>
      </c>
      <c r="EJ20">
        <v>664.75099999999998</v>
      </c>
      <c r="EK20">
        <v>5.0001199999999999</v>
      </c>
      <c r="EL20">
        <v>12030</v>
      </c>
      <c r="EM20">
        <v>15629.7</v>
      </c>
      <c r="EN20">
        <v>49.811999999999998</v>
      </c>
      <c r="EO20">
        <v>50.875</v>
      </c>
      <c r="EP20">
        <v>50.686999999999998</v>
      </c>
      <c r="EQ20">
        <v>50.75</v>
      </c>
      <c r="ER20">
        <v>51.375</v>
      </c>
      <c r="ES20">
        <v>1755.48</v>
      </c>
      <c r="ET20">
        <v>39.5</v>
      </c>
      <c r="EU20">
        <v>0</v>
      </c>
      <c r="EV20">
        <v>111.2000000476837</v>
      </c>
      <c r="EW20">
        <v>0</v>
      </c>
      <c r="EX20">
        <v>664.82761538461534</v>
      </c>
      <c r="EY20">
        <v>0.30427350380201729</v>
      </c>
      <c r="EZ20">
        <v>-9.5794871360487654</v>
      </c>
      <c r="FA20">
        <v>12031.07692307692</v>
      </c>
      <c r="FB20">
        <v>15</v>
      </c>
      <c r="FC20">
        <v>1700235564.5999999</v>
      </c>
      <c r="FD20" t="s">
        <v>436</v>
      </c>
      <c r="FE20">
        <v>1700235564.0999999</v>
      </c>
      <c r="FF20">
        <v>1700235564.5999999</v>
      </c>
      <c r="FG20">
        <v>5</v>
      </c>
      <c r="FH20">
        <v>-0.105</v>
      </c>
      <c r="FI20">
        <v>-5.0000000000000001E-3</v>
      </c>
      <c r="FJ20">
        <v>1.645</v>
      </c>
      <c r="FK20">
        <v>0.34599999999999997</v>
      </c>
      <c r="FL20">
        <v>1000</v>
      </c>
      <c r="FM20">
        <v>25</v>
      </c>
      <c r="FN20">
        <v>0.05</v>
      </c>
      <c r="FO20">
        <v>0.04</v>
      </c>
      <c r="FP20">
        <v>47.950407408236437</v>
      </c>
      <c r="FQ20">
        <v>-0.69622354131834363</v>
      </c>
      <c r="FR20">
        <v>8.3449769643560615E-2</v>
      </c>
      <c r="FS20">
        <v>1</v>
      </c>
      <c r="FT20">
        <v>0.13965483368381601</v>
      </c>
      <c r="FU20">
        <v>1.2628069167692371E-2</v>
      </c>
      <c r="FV20">
        <v>1.47210936563345E-3</v>
      </c>
      <c r="FW20">
        <v>1</v>
      </c>
      <c r="FX20">
        <v>2</v>
      </c>
      <c r="FY20">
        <v>2</v>
      </c>
      <c r="FZ20" t="s">
        <v>420</v>
      </c>
      <c r="GA20">
        <v>2.91919</v>
      </c>
      <c r="GB20">
        <v>2.7511100000000002</v>
      </c>
      <c r="GC20">
        <v>0.16616300000000001</v>
      </c>
      <c r="GD20">
        <v>0.17498</v>
      </c>
      <c r="GE20">
        <v>0.12694800000000001</v>
      </c>
      <c r="GF20">
        <v>0.12210600000000001</v>
      </c>
      <c r="GG20">
        <v>25916.2</v>
      </c>
      <c r="GH20">
        <v>25535.3</v>
      </c>
      <c r="GI20">
        <v>28302.799999999999</v>
      </c>
      <c r="GJ20">
        <v>28295.3</v>
      </c>
      <c r="GK20">
        <v>33666.199999999997</v>
      </c>
      <c r="GL20">
        <v>34673</v>
      </c>
      <c r="GM20">
        <v>42514.7</v>
      </c>
      <c r="GN20">
        <v>43967</v>
      </c>
      <c r="GO20">
        <v>1.7824500000000001</v>
      </c>
      <c r="GP20">
        <v>1.9834700000000001</v>
      </c>
      <c r="GQ20">
        <v>6.8172800000000006E-2</v>
      </c>
      <c r="GR20">
        <v>0</v>
      </c>
      <c r="GS20">
        <v>28.8902</v>
      </c>
      <c r="GT20">
        <v>999.9</v>
      </c>
      <c r="GU20">
        <v>61.3</v>
      </c>
      <c r="GV20">
        <v>32.5</v>
      </c>
      <c r="GW20">
        <v>30.540600000000001</v>
      </c>
      <c r="GX20">
        <v>61.179000000000002</v>
      </c>
      <c r="GY20">
        <v>30.8413</v>
      </c>
      <c r="GZ20">
        <v>1</v>
      </c>
      <c r="HA20">
        <v>0.397231</v>
      </c>
      <c r="HB20">
        <v>2.3282799999999999</v>
      </c>
      <c r="HC20">
        <v>20.257000000000001</v>
      </c>
      <c r="HD20">
        <v>5.2689500000000002</v>
      </c>
      <c r="HE20">
        <v>12.0878</v>
      </c>
      <c r="HF20">
        <v>5.0121500000000001</v>
      </c>
      <c r="HG20">
        <v>3.29115</v>
      </c>
      <c r="HH20">
        <v>9999</v>
      </c>
      <c r="HI20">
        <v>9999</v>
      </c>
      <c r="HJ20">
        <v>9999</v>
      </c>
      <c r="HK20">
        <v>999.9</v>
      </c>
      <c r="HL20">
        <v>1.8759699999999999</v>
      </c>
      <c r="HM20">
        <v>1.87642</v>
      </c>
      <c r="HN20">
        <v>1.87622</v>
      </c>
      <c r="HO20">
        <v>1.88015</v>
      </c>
      <c r="HP20">
        <v>1.8736200000000001</v>
      </c>
      <c r="HQ20">
        <v>1.87683</v>
      </c>
      <c r="HR20">
        <v>1.8765099999999999</v>
      </c>
      <c r="HS20">
        <v>1.8778999999999999</v>
      </c>
      <c r="HT20">
        <v>0</v>
      </c>
      <c r="HU20">
        <v>0</v>
      </c>
      <c r="HV20">
        <v>0</v>
      </c>
      <c r="HW20">
        <v>0</v>
      </c>
      <c r="HX20" t="s">
        <v>421</v>
      </c>
      <c r="HY20" t="s">
        <v>422</v>
      </c>
      <c r="HZ20" t="s">
        <v>423</v>
      </c>
      <c r="IA20" t="s">
        <v>424</v>
      </c>
      <c r="IB20" t="s">
        <v>424</v>
      </c>
      <c r="IC20" t="s">
        <v>423</v>
      </c>
      <c r="ID20">
        <v>0</v>
      </c>
      <c r="IE20">
        <v>100</v>
      </c>
      <c r="IF20">
        <v>100</v>
      </c>
      <c r="IG20">
        <v>1.6419999999999999</v>
      </c>
      <c r="IH20">
        <v>0.34610000000000002</v>
      </c>
      <c r="II20">
        <v>1.2710219567607151</v>
      </c>
      <c r="IJ20">
        <v>8.9576739069318506E-4</v>
      </c>
      <c r="IK20">
        <v>-7.2130504814809596E-7</v>
      </c>
      <c r="IL20">
        <v>1.9987036519832741E-10</v>
      </c>
      <c r="IM20">
        <v>0.3460809523809516</v>
      </c>
      <c r="IN20">
        <v>0</v>
      </c>
      <c r="IO20">
        <v>0</v>
      </c>
      <c r="IP20">
        <v>0</v>
      </c>
      <c r="IQ20">
        <v>1</v>
      </c>
      <c r="IR20">
        <v>2126</v>
      </c>
      <c r="IS20">
        <v>0</v>
      </c>
      <c r="IT20">
        <v>20</v>
      </c>
      <c r="IU20">
        <v>0.6</v>
      </c>
      <c r="IV20">
        <v>0.6</v>
      </c>
      <c r="IW20">
        <v>2.1728499999999999</v>
      </c>
      <c r="IX20">
        <v>2.6159699999999999</v>
      </c>
      <c r="IY20">
        <v>1.69434</v>
      </c>
      <c r="IZ20">
        <v>2.3559600000000001</v>
      </c>
      <c r="JA20">
        <v>1.5466299999999999</v>
      </c>
      <c r="JB20">
        <v>2.49268</v>
      </c>
      <c r="JC20">
        <v>39.1676</v>
      </c>
      <c r="JD20">
        <v>23.465800000000002</v>
      </c>
      <c r="JE20">
        <v>18</v>
      </c>
      <c r="JF20">
        <v>498.45100000000002</v>
      </c>
      <c r="JG20">
        <v>540.03499999999997</v>
      </c>
      <c r="JH20">
        <v>26.716899999999999</v>
      </c>
      <c r="JI20">
        <v>32.186900000000001</v>
      </c>
      <c r="JJ20">
        <v>30.000699999999998</v>
      </c>
      <c r="JK20">
        <v>32.052500000000002</v>
      </c>
      <c r="JL20">
        <v>31.996099999999998</v>
      </c>
      <c r="JM20">
        <v>43.550800000000002</v>
      </c>
      <c r="JN20">
        <v>19.6599</v>
      </c>
      <c r="JO20">
        <v>100</v>
      </c>
      <c r="JP20">
        <v>26.711600000000001</v>
      </c>
      <c r="JQ20">
        <v>1000</v>
      </c>
      <c r="JR20">
        <v>25.456199999999999</v>
      </c>
      <c r="JS20">
        <v>99.132499999999993</v>
      </c>
      <c r="JT20">
        <v>99.075100000000006</v>
      </c>
    </row>
    <row r="21" spans="1:280" x14ac:dyDescent="0.25">
      <c r="A21">
        <v>5</v>
      </c>
      <c r="B21">
        <v>1700235786.0999999</v>
      </c>
      <c r="C21">
        <v>560.5</v>
      </c>
      <c r="D21" t="s">
        <v>437</v>
      </c>
      <c r="E21" t="s">
        <v>438</v>
      </c>
      <c r="F21" t="s">
        <v>412</v>
      </c>
      <c r="G21" t="s">
        <v>413</v>
      </c>
      <c r="H21" t="s">
        <v>414</v>
      </c>
      <c r="I21">
        <v>1700235786.0999999</v>
      </c>
      <c r="J21">
        <f t="shared" si="0"/>
        <v>2.5289589903607817E-3</v>
      </c>
      <c r="K21">
        <f t="shared" si="1"/>
        <v>2.5289589903607816</v>
      </c>
      <c r="L21">
        <f t="shared" si="2"/>
        <v>46.906332954763919</v>
      </c>
      <c r="M21">
        <f t="shared" si="3"/>
        <v>696.23599999999999</v>
      </c>
      <c r="N21">
        <f t="shared" si="4"/>
        <v>211.35780459680836</v>
      </c>
      <c r="O21">
        <f t="shared" si="5"/>
        <v>20.858124573011512</v>
      </c>
      <c r="P21">
        <f t="shared" si="6"/>
        <v>68.708970780227986</v>
      </c>
      <c r="Q21">
        <f t="shared" si="7"/>
        <v>0.16265849879539152</v>
      </c>
      <c r="R21">
        <f t="shared" si="8"/>
        <v>2.9936711257371864</v>
      </c>
      <c r="S21">
        <f t="shared" si="9"/>
        <v>0.15790332701595133</v>
      </c>
      <c r="T21">
        <f t="shared" si="10"/>
        <v>9.9105233368291482E-2</v>
      </c>
      <c r="U21">
        <f t="shared" si="11"/>
        <v>289.58141384753759</v>
      </c>
      <c r="V21">
        <f t="shared" si="12"/>
        <v>30.963091957225966</v>
      </c>
      <c r="W21">
        <f t="shared" si="13"/>
        <v>30.019600000000001</v>
      </c>
      <c r="X21">
        <f t="shared" si="14"/>
        <v>4.2652485742351551</v>
      </c>
      <c r="Y21">
        <f t="shared" si="15"/>
        <v>64.567971576326471</v>
      </c>
      <c r="Z21">
        <f t="shared" si="16"/>
        <v>2.7408053800466998</v>
      </c>
      <c r="AA21">
        <f t="shared" si="17"/>
        <v>4.2448373599699742</v>
      </c>
      <c r="AB21">
        <f t="shared" si="18"/>
        <v>1.5244431941884553</v>
      </c>
      <c r="AC21">
        <f t="shared" si="19"/>
        <v>-111.52709147491048</v>
      </c>
      <c r="AD21">
        <f t="shared" si="20"/>
        <v>-13.476465610517188</v>
      </c>
      <c r="AE21">
        <f t="shared" si="21"/>
        <v>-1.0007273589215313</v>
      </c>
      <c r="AF21">
        <f t="shared" si="22"/>
        <v>163.57712940318837</v>
      </c>
      <c r="AG21">
        <v>1</v>
      </c>
      <c r="AH21">
        <v>0</v>
      </c>
      <c r="AI21">
        <f t="shared" si="23"/>
        <v>1</v>
      </c>
      <c r="AJ21">
        <f t="shared" si="24"/>
        <v>0</v>
      </c>
      <c r="AK21">
        <f t="shared" si="25"/>
        <v>51537.726558543465</v>
      </c>
      <c r="AL21" t="s">
        <v>415</v>
      </c>
      <c r="AM21">
        <v>6960.3</v>
      </c>
      <c r="AN21">
        <v>244.8124</v>
      </c>
      <c r="AO21">
        <v>892.86711584811997</v>
      </c>
      <c r="AP21">
        <f t="shared" si="26"/>
        <v>0.72581317459826411</v>
      </c>
      <c r="AQ21">
        <v>-0.43209471141234851</v>
      </c>
      <c r="AR21" t="s">
        <v>439</v>
      </c>
      <c r="AS21">
        <v>7122.33</v>
      </c>
      <c r="AT21">
        <v>666.12847999999997</v>
      </c>
      <c r="AU21">
        <v>943.17641202335642</v>
      </c>
      <c r="AV21">
        <f t="shared" si="27"/>
        <v>0.29373925014623437</v>
      </c>
      <c r="AW21">
        <v>0.5</v>
      </c>
      <c r="AX21">
        <f t="shared" si="28"/>
        <v>1513.2605999210039</v>
      </c>
      <c r="AY21">
        <f t="shared" si="29"/>
        <v>46.906332954763919</v>
      </c>
      <c r="AZ21">
        <f t="shared" si="30"/>
        <v>222.25201694831821</v>
      </c>
      <c r="BA21">
        <f t="shared" si="31"/>
        <v>3.1282402825162738E-2</v>
      </c>
      <c r="BB21">
        <f t="shared" si="32"/>
        <v>-5.3340282405186588E-2</v>
      </c>
      <c r="BC21">
        <f t="shared" si="33"/>
        <v>248.44597271057029</v>
      </c>
      <c r="BD21" t="s">
        <v>440</v>
      </c>
      <c r="BE21">
        <v>456.43</v>
      </c>
      <c r="BF21">
        <f t="shared" si="34"/>
        <v>456.43</v>
      </c>
      <c r="BG21">
        <f t="shared" si="35"/>
        <v>0.51607144307093078</v>
      </c>
      <c r="BH21">
        <f t="shared" si="36"/>
        <v>0.56918330609093915</v>
      </c>
      <c r="BI21">
        <f t="shared" si="37"/>
        <v>-0.11527272623794003</v>
      </c>
      <c r="BJ21">
        <f t="shared" si="38"/>
        <v>0.39670992097755853</v>
      </c>
      <c r="BK21">
        <f t="shared" si="39"/>
        <v>-7.7631247709378751E-2</v>
      </c>
      <c r="BL21">
        <f t="shared" si="40"/>
        <v>0.39000334650019369</v>
      </c>
      <c r="BM21">
        <f t="shared" si="41"/>
        <v>0.60999665349980625</v>
      </c>
      <c r="BN21">
        <v>147</v>
      </c>
      <c r="BO21">
        <v>290.00000000000011</v>
      </c>
      <c r="BP21">
        <v>865.36</v>
      </c>
      <c r="BQ21">
        <v>285</v>
      </c>
      <c r="BR21">
        <v>7122.33</v>
      </c>
      <c r="BS21">
        <v>867.01</v>
      </c>
      <c r="BT21">
        <v>-1.65</v>
      </c>
      <c r="BU21">
        <v>300.00000000000011</v>
      </c>
      <c r="BV21">
        <v>38.200000000000003</v>
      </c>
      <c r="BW21">
        <v>943.17641202335642</v>
      </c>
      <c r="BX21">
        <v>1.1876793632709</v>
      </c>
      <c r="BY21">
        <v>-54.247592544583433</v>
      </c>
      <c r="BZ21">
        <v>0.70904920815785988</v>
      </c>
      <c r="CA21">
        <v>0.99523922856770908</v>
      </c>
      <c r="CB21">
        <v>-7.0283802002224704E-3</v>
      </c>
      <c r="CC21">
        <v>289.99999999999989</v>
      </c>
      <c r="CD21">
        <v>873.35</v>
      </c>
      <c r="CE21">
        <v>865</v>
      </c>
      <c r="CF21">
        <v>7116.9</v>
      </c>
      <c r="CG21">
        <v>866.95</v>
      </c>
      <c r="CH21">
        <v>6.4</v>
      </c>
      <c r="CV21">
        <f t="shared" si="42"/>
        <v>1800.09</v>
      </c>
      <c r="CW21">
        <f t="shared" si="43"/>
        <v>1513.2605999210039</v>
      </c>
      <c r="CX21">
        <f t="shared" si="44"/>
        <v>0.8406583003744279</v>
      </c>
      <c r="CY21">
        <f t="shared" si="45"/>
        <v>0.16087051972264588</v>
      </c>
      <c r="CZ21">
        <v>5.52</v>
      </c>
      <c r="DA21">
        <v>0.5</v>
      </c>
      <c r="DB21" t="s">
        <v>418</v>
      </c>
      <c r="DC21">
        <v>2</v>
      </c>
      <c r="DD21">
        <v>1700235786.0999999</v>
      </c>
      <c r="DE21">
        <v>696.23599999999999</v>
      </c>
      <c r="DF21">
        <v>749.952</v>
      </c>
      <c r="DG21">
        <v>27.7729</v>
      </c>
      <c r="DH21">
        <v>25.059100000000001</v>
      </c>
      <c r="DI21">
        <v>694.70899999999995</v>
      </c>
      <c r="DJ21">
        <v>27.421299999999999</v>
      </c>
      <c r="DK21">
        <v>500.11599999999999</v>
      </c>
      <c r="DL21">
        <v>98.586299999999994</v>
      </c>
      <c r="DM21">
        <v>0.100023</v>
      </c>
      <c r="DN21">
        <v>29.9361</v>
      </c>
      <c r="DO21">
        <v>30.019600000000001</v>
      </c>
      <c r="DP21">
        <v>999.9</v>
      </c>
      <c r="DQ21">
        <v>0</v>
      </c>
      <c r="DR21">
        <v>0</v>
      </c>
      <c r="DS21">
        <v>9982.5</v>
      </c>
      <c r="DT21">
        <v>0</v>
      </c>
      <c r="DU21">
        <v>250.077</v>
      </c>
      <c r="DV21">
        <v>-53.715499999999999</v>
      </c>
      <c r="DW21">
        <v>716.125</v>
      </c>
      <c r="DX21">
        <v>769.22799999999995</v>
      </c>
      <c r="DY21">
        <v>2.7138</v>
      </c>
      <c r="DZ21">
        <v>749.952</v>
      </c>
      <c r="EA21">
        <v>25.059100000000001</v>
      </c>
      <c r="EB21">
        <v>2.7380300000000002</v>
      </c>
      <c r="EC21">
        <v>2.4704799999999998</v>
      </c>
      <c r="ED21">
        <v>22.5151</v>
      </c>
      <c r="EE21">
        <v>20.833300000000001</v>
      </c>
      <c r="EF21">
        <v>1800.09</v>
      </c>
      <c r="EG21">
        <v>0.97799599999999998</v>
      </c>
      <c r="EH21">
        <v>2.20039E-2</v>
      </c>
      <c r="EI21">
        <v>0</v>
      </c>
      <c r="EJ21">
        <v>665.923</v>
      </c>
      <c r="EK21">
        <v>5.0001199999999999</v>
      </c>
      <c r="EL21">
        <v>12029.2</v>
      </c>
      <c r="EM21">
        <v>15630.7</v>
      </c>
      <c r="EN21">
        <v>49.875</v>
      </c>
      <c r="EO21">
        <v>50.875</v>
      </c>
      <c r="EP21">
        <v>50.75</v>
      </c>
      <c r="EQ21">
        <v>50.811999999999998</v>
      </c>
      <c r="ER21">
        <v>51.436999999999998</v>
      </c>
      <c r="ES21">
        <v>1755.59</v>
      </c>
      <c r="ET21">
        <v>39.5</v>
      </c>
      <c r="EU21">
        <v>0</v>
      </c>
      <c r="EV21">
        <v>296.60000014305109</v>
      </c>
      <c r="EW21">
        <v>0</v>
      </c>
      <c r="EX21">
        <v>666.12847999999997</v>
      </c>
      <c r="EY21">
        <v>-0.99269231032875882</v>
      </c>
      <c r="EZ21">
        <v>-11.138461528852069</v>
      </c>
      <c r="FA21">
        <v>12030.056</v>
      </c>
      <c r="FB21">
        <v>15</v>
      </c>
      <c r="FC21">
        <v>1700235662.5999999</v>
      </c>
      <c r="FD21" t="s">
        <v>441</v>
      </c>
      <c r="FE21">
        <v>1700235662.5999999</v>
      </c>
      <c r="FF21">
        <v>1700235662.0999999</v>
      </c>
      <c r="FG21">
        <v>6</v>
      </c>
      <c r="FH21">
        <v>-8.5000000000000006E-2</v>
      </c>
      <c r="FI21">
        <v>6.0000000000000001E-3</v>
      </c>
      <c r="FJ21">
        <v>1.536</v>
      </c>
      <c r="FK21">
        <v>0.35199999999999998</v>
      </c>
      <c r="FL21">
        <v>750</v>
      </c>
      <c r="FM21">
        <v>26</v>
      </c>
      <c r="FN21">
        <v>0.09</v>
      </c>
      <c r="FO21">
        <v>0.04</v>
      </c>
      <c r="FP21">
        <v>46.844693554759388</v>
      </c>
      <c r="FQ21">
        <v>0.48410417589912041</v>
      </c>
      <c r="FR21">
        <v>6.2619848911505252E-2</v>
      </c>
      <c r="FS21">
        <v>1</v>
      </c>
      <c r="FT21">
        <v>0.16466494847703031</v>
      </c>
      <c r="FU21">
        <v>-1.9444680357011249E-2</v>
      </c>
      <c r="FV21">
        <v>1.4877840861094399E-3</v>
      </c>
      <c r="FW21">
        <v>1</v>
      </c>
      <c r="FX21">
        <v>2</v>
      </c>
      <c r="FY21">
        <v>2</v>
      </c>
      <c r="FZ21" t="s">
        <v>420</v>
      </c>
      <c r="GA21">
        <v>2.9186200000000002</v>
      </c>
      <c r="GB21">
        <v>2.7508699999999999</v>
      </c>
      <c r="GC21">
        <v>0.135466</v>
      </c>
      <c r="GD21">
        <v>0.144842</v>
      </c>
      <c r="GE21">
        <v>0.12667500000000001</v>
      </c>
      <c r="GF21">
        <v>0.120557</v>
      </c>
      <c r="GG21">
        <v>26862.1</v>
      </c>
      <c r="GH21">
        <v>26454.6</v>
      </c>
      <c r="GI21">
        <v>28294.400000000001</v>
      </c>
      <c r="GJ21">
        <v>28281</v>
      </c>
      <c r="GK21">
        <v>33668.699999999997</v>
      </c>
      <c r="GL21">
        <v>34719.1</v>
      </c>
      <c r="GM21">
        <v>42503.7</v>
      </c>
      <c r="GN21">
        <v>43946.9</v>
      </c>
      <c r="GO21">
        <v>1.7796000000000001</v>
      </c>
      <c r="GP21">
        <v>1.97532</v>
      </c>
      <c r="GQ21">
        <v>7.2214799999999996E-2</v>
      </c>
      <c r="GR21">
        <v>0</v>
      </c>
      <c r="GS21">
        <v>28.843299999999999</v>
      </c>
      <c r="GT21">
        <v>999.9</v>
      </c>
      <c r="GU21">
        <v>60.8</v>
      </c>
      <c r="GV21">
        <v>32.9</v>
      </c>
      <c r="GW21">
        <v>30.9818</v>
      </c>
      <c r="GX21">
        <v>60.908999999999999</v>
      </c>
      <c r="GY21">
        <v>30.9495</v>
      </c>
      <c r="GZ21">
        <v>1</v>
      </c>
      <c r="HA21">
        <v>0.41756100000000002</v>
      </c>
      <c r="HB21">
        <v>2.1771500000000001</v>
      </c>
      <c r="HC21">
        <v>20.258800000000001</v>
      </c>
      <c r="HD21">
        <v>5.2740499999999999</v>
      </c>
      <c r="HE21">
        <v>12.0878</v>
      </c>
      <c r="HF21">
        <v>5.0124500000000003</v>
      </c>
      <c r="HG21">
        <v>3.2913700000000001</v>
      </c>
      <c r="HH21">
        <v>9999</v>
      </c>
      <c r="HI21">
        <v>9999</v>
      </c>
      <c r="HJ21">
        <v>9999</v>
      </c>
      <c r="HK21">
        <v>999.9</v>
      </c>
      <c r="HL21">
        <v>1.87605</v>
      </c>
      <c r="HM21">
        <v>1.8764400000000001</v>
      </c>
      <c r="HN21">
        <v>1.87622</v>
      </c>
      <c r="HO21">
        <v>1.88018</v>
      </c>
      <c r="HP21">
        <v>1.8736200000000001</v>
      </c>
      <c r="HQ21">
        <v>1.87683</v>
      </c>
      <c r="HR21">
        <v>1.87653</v>
      </c>
      <c r="HS21">
        <v>1.8778999999999999</v>
      </c>
      <c r="HT21">
        <v>0</v>
      </c>
      <c r="HU21">
        <v>0</v>
      </c>
      <c r="HV21">
        <v>0</v>
      </c>
      <c r="HW21">
        <v>0</v>
      </c>
      <c r="HX21" t="s">
        <v>421</v>
      </c>
      <c r="HY21" t="s">
        <v>422</v>
      </c>
      <c r="HZ21" t="s">
        <v>423</v>
      </c>
      <c r="IA21" t="s">
        <v>424</v>
      </c>
      <c r="IB21" t="s">
        <v>424</v>
      </c>
      <c r="IC21" t="s">
        <v>423</v>
      </c>
      <c r="ID21">
        <v>0</v>
      </c>
      <c r="IE21">
        <v>100</v>
      </c>
      <c r="IF21">
        <v>100</v>
      </c>
      <c r="IG21">
        <v>1.5269999999999999</v>
      </c>
      <c r="IH21">
        <v>0.35160000000000002</v>
      </c>
      <c r="II21">
        <v>1.1857241553232289</v>
      </c>
      <c r="IJ21">
        <v>8.9576739069318506E-4</v>
      </c>
      <c r="IK21">
        <v>-7.2130504814809596E-7</v>
      </c>
      <c r="IL21">
        <v>1.9987036519832741E-10</v>
      </c>
      <c r="IM21">
        <v>0.35162000000000398</v>
      </c>
      <c r="IN21">
        <v>0</v>
      </c>
      <c r="IO21">
        <v>0</v>
      </c>
      <c r="IP21">
        <v>0</v>
      </c>
      <c r="IQ21">
        <v>1</v>
      </c>
      <c r="IR21">
        <v>2126</v>
      </c>
      <c r="IS21">
        <v>0</v>
      </c>
      <c r="IT21">
        <v>20</v>
      </c>
      <c r="IU21">
        <v>2.1</v>
      </c>
      <c r="IV21">
        <v>2.1</v>
      </c>
      <c r="IW21">
        <v>1.71997</v>
      </c>
      <c r="IX21">
        <v>2.6245099999999999</v>
      </c>
      <c r="IY21">
        <v>1.69434</v>
      </c>
      <c r="IZ21">
        <v>2.3559600000000001</v>
      </c>
      <c r="JA21">
        <v>1.5466299999999999</v>
      </c>
      <c r="JB21">
        <v>2.4902299999999999</v>
      </c>
      <c r="JC21">
        <v>39.541600000000003</v>
      </c>
      <c r="JD21">
        <v>23.474599999999999</v>
      </c>
      <c r="JE21">
        <v>18</v>
      </c>
      <c r="JF21">
        <v>498.35199999999998</v>
      </c>
      <c r="JG21">
        <v>536.06200000000001</v>
      </c>
      <c r="JH21">
        <v>26.962700000000002</v>
      </c>
      <c r="JI21">
        <v>32.421500000000002</v>
      </c>
      <c r="JJ21">
        <v>30.000299999999999</v>
      </c>
      <c r="JK21">
        <v>32.290300000000002</v>
      </c>
      <c r="JL21">
        <v>32.2333</v>
      </c>
      <c r="JM21">
        <v>34.490099999999998</v>
      </c>
      <c r="JN21">
        <v>21.906099999999999</v>
      </c>
      <c r="JO21">
        <v>99.629099999999994</v>
      </c>
      <c r="JP21">
        <v>26.9559</v>
      </c>
      <c r="JQ21">
        <v>750</v>
      </c>
      <c r="JR21">
        <v>25.230599999999999</v>
      </c>
      <c r="JS21">
        <v>99.105400000000003</v>
      </c>
      <c r="JT21">
        <v>99.028099999999995</v>
      </c>
    </row>
    <row r="22" spans="1:280" x14ac:dyDescent="0.25">
      <c r="A22">
        <v>6</v>
      </c>
      <c r="B22">
        <v>1700235999.0999999</v>
      </c>
      <c r="C22">
        <v>773.5</v>
      </c>
      <c r="D22" t="s">
        <v>442</v>
      </c>
      <c r="E22" t="s">
        <v>443</v>
      </c>
      <c r="F22" t="s">
        <v>412</v>
      </c>
      <c r="G22" t="s">
        <v>413</v>
      </c>
      <c r="H22" t="s">
        <v>414</v>
      </c>
      <c r="I22">
        <v>1700235999.0999999</v>
      </c>
      <c r="J22">
        <f t="shared" si="0"/>
        <v>3.4016627266802838E-3</v>
      </c>
      <c r="K22">
        <f t="shared" si="1"/>
        <v>3.4016627266802839</v>
      </c>
      <c r="L22">
        <f t="shared" si="2"/>
        <v>47.685497476651229</v>
      </c>
      <c r="M22">
        <f t="shared" si="3"/>
        <v>545.29700000000003</v>
      </c>
      <c r="N22">
        <f t="shared" si="4"/>
        <v>185.16715191391381</v>
      </c>
      <c r="O22">
        <f t="shared" si="5"/>
        <v>18.274898001020926</v>
      </c>
      <c r="P22">
        <f t="shared" si="6"/>
        <v>53.817574835820004</v>
      </c>
      <c r="Q22">
        <f t="shared" si="7"/>
        <v>0.22513859797230104</v>
      </c>
      <c r="R22">
        <f t="shared" si="8"/>
        <v>2.9918501107675004</v>
      </c>
      <c r="S22">
        <f t="shared" si="9"/>
        <v>0.21613223580191643</v>
      </c>
      <c r="T22">
        <f t="shared" si="10"/>
        <v>0.13586181227701585</v>
      </c>
      <c r="U22">
        <f t="shared" si="11"/>
        <v>289.57183784753255</v>
      </c>
      <c r="V22">
        <f t="shared" si="12"/>
        <v>30.892526320083917</v>
      </c>
      <c r="W22">
        <f t="shared" si="13"/>
        <v>30.0261</v>
      </c>
      <c r="X22">
        <f t="shared" si="14"/>
        <v>4.2668410533939802</v>
      </c>
      <c r="Y22">
        <f t="shared" si="15"/>
        <v>64.665759826010586</v>
      </c>
      <c r="Z22">
        <f t="shared" si="16"/>
        <v>2.7688815921120002</v>
      </c>
      <c r="AA22">
        <f t="shared" si="17"/>
        <v>4.2818357034108026</v>
      </c>
      <c r="AB22">
        <f t="shared" si="18"/>
        <v>1.49795946128198</v>
      </c>
      <c r="AC22">
        <f t="shared" si="19"/>
        <v>-150.01332624660051</v>
      </c>
      <c r="AD22">
        <f t="shared" si="20"/>
        <v>9.8552236757906719</v>
      </c>
      <c r="AE22">
        <f t="shared" si="21"/>
        <v>0.73284026058826868</v>
      </c>
      <c r="AF22">
        <f t="shared" si="22"/>
        <v>150.14657553731098</v>
      </c>
      <c r="AG22">
        <v>0</v>
      </c>
      <c r="AH22">
        <v>0</v>
      </c>
      <c r="AI22">
        <f t="shared" si="23"/>
        <v>1</v>
      </c>
      <c r="AJ22">
        <f t="shared" si="24"/>
        <v>0</v>
      </c>
      <c r="AK22">
        <f t="shared" si="25"/>
        <v>51463.198276927447</v>
      </c>
      <c r="AL22" t="s">
        <v>415</v>
      </c>
      <c r="AM22">
        <v>6960.3</v>
      </c>
      <c r="AN22">
        <v>244.8124</v>
      </c>
      <c r="AO22">
        <v>892.86711584811997</v>
      </c>
      <c r="AP22">
        <f t="shared" si="26"/>
        <v>0.72581317459826411</v>
      </c>
      <c r="AQ22">
        <v>-0.43209471141234851</v>
      </c>
      <c r="AR22" t="s">
        <v>444</v>
      </c>
      <c r="AS22">
        <v>7122.13</v>
      </c>
      <c r="AT22">
        <v>664.09467999999993</v>
      </c>
      <c r="AU22">
        <v>944.88898228520668</v>
      </c>
      <c r="AV22">
        <f t="shared" si="27"/>
        <v>0.29717173927259466</v>
      </c>
      <c r="AW22">
        <v>0.5</v>
      </c>
      <c r="AX22">
        <f t="shared" si="28"/>
        <v>1513.2101999210013</v>
      </c>
      <c r="AY22">
        <f t="shared" si="29"/>
        <v>47.685497476651229</v>
      </c>
      <c r="AZ22">
        <f t="shared" si="30"/>
        <v>224.84165349777732</v>
      </c>
      <c r="BA22">
        <f t="shared" si="31"/>
        <v>3.1798353058005824E-2</v>
      </c>
      <c r="BB22">
        <f t="shared" si="32"/>
        <v>-5.5056062047916181E-2</v>
      </c>
      <c r="BC22">
        <f t="shared" si="33"/>
        <v>248.56464409208826</v>
      </c>
      <c r="BD22" t="s">
        <v>445</v>
      </c>
      <c r="BE22">
        <v>457.96</v>
      </c>
      <c r="BF22">
        <f t="shared" si="34"/>
        <v>457.96</v>
      </c>
      <c r="BG22">
        <f t="shared" si="35"/>
        <v>0.5153293047269667</v>
      </c>
      <c r="BH22">
        <f t="shared" si="36"/>
        <v>0.57666376925729668</v>
      </c>
      <c r="BI22">
        <f t="shared" si="37"/>
        <v>-0.11961603878482871</v>
      </c>
      <c r="BJ22">
        <f t="shared" si="38"/>
        <v>0.40109083690334463</v>
      </c>
      <c r="BK22">
        <f t="shared" si="39"/>
        <v>-8.0273879913063881E-2</v>
      </c>
      <c r="BL22">
        <f t="shared" si="40"/>
        <v>0.39766760331384016</v>
      </c>
      <c r="BM22">
        <f t="shared" si="41"/>
        <v>0.60233239668615979</v>
      </c>
      <c r="BN22">
        <v>149</v>
      </c>
      <c r="BO22">
        <v>290.00000000000011</v>
      </c>
      <c r="BP22">
        <v>864.45</v>
      </c>
      <c r="BQ22">
        <v>285</v>
      </c>
      <c r="BR22">
        <v>7122.13</v>
      </c>
      <c r="BS22">
        <v>866.57</v>
      </c>
      <c r="BT22">
        <v>-2.12</v>
      </c>
      <c r="BU22">
        <v>300.00000000000011</v>
      </c>
      <c r="BV22">
        <v>38.200000000000003</v>
      </c>
      <c r="BW22">
        <v>944.88898228520668</v>
      </c>
      <c r="BX22">
        <v>1.715165249125314</v>
      </c>
      <c r="BY22">
        <v>-55.783262337172168</v>
      </c>
      <c r="BZ22">
        <v>1.0239309970898101</v>
      </c>
      <c r="CA22">
        <v>0.99065425977741728</v>
      </c>
      <c r="CB22">
        <v>-7.0282849833147951E-3</v>
      </c>
      <c r="CC22">
        <v>289.99999999999989</v>
      </c>
      <c r="CD22">
        <v>872.4</v>
      </c>
      <c r="CE22">
        <v>885</v>
      </c>
      <c r="CF22">
        <v>7116.48</v>
      </c>
      <c r="CG22">
        <v>866.5</v>
      </c>
      <c r="CH22">
        <v>5.9</v>
      </c>
      <c r="CV22">
        <f t="shared" si="42"/>
        <v>1800.03</v>
      </c>
      <c r="CW22">
        <f t="shared" si="43"/>
        <v>1513.2101999210013</v>
      </c>
      <c r="CX22">
        <f t="shared" si="44"/>
        <v>0.84065832231740656</v>
      </c>
      <c r="CY22">
        <f t="shared" si="45"/>
        <v>0.16087056207259465</v>
      </c>
      <c r="CZ22">
        <v>5.52</v>
      </c>
      <c r="DA22">
        <v>0.5</v>
      </c>
      <c r="DB22" t="s">
        <v>418</v>
      </c>
      <c r="DC22">
        <v>2</v>
      </c>
      <c r="DD22">
        <v>1700235999.0999999</v>
      </c>
      <c r="DE22">
        <v>545.29700000000003</v>
      </c>
      <c r="DF22">
        <v>599.96600000000001</v>
      </c>
      <c r="DG22">
        <v>28.055199999999999</v>
      </c>
      <c r="DH22">
        <v>24.406700000000001</v>
      </c>
      <c r="DI22">
        <v>543.98299999999995</v>
      </c>
      <c r="DJ22">
        <v>27.711600000000001</v>
      </c>
      <c r="DK22">
        <v>500.21600000000001</v>
      </c>
      <c r="DL22">
        <v>98.593500000000006</v>
      </c>
      <c r="DM22">
        <v>0.10056</v>
      </c>
      <c r="DN22">
        <v>30.087199999999999</v>
      </c>
      <c r="DO22">
        <v>30.0261</v>
      </c>
      <c r="DP22">
        <v>999.9</v>
      </c>
      <c r="DQ22">
        <v>0</v>
      </c>
      <c r="DR22">
        <v>0</v>
      </c>
      <c r="DS22">
        <v>9971.8799999999992</v>
      </c>
      <c r="DT22">
        <v>0</v>
      </c>
      <c r="DU22">
        <v>282.952</v>
      </c>
      <c r="DV22">
        <v>-54.668900000000001</v>
      </c>
      <c r="DW22">
        <v>561.03700000000003</v>
      </c>
      <c r="DX22">
        <v>614.976</v>
      </c>
      <c r="DY22">
        <v>3.64852</v>
      </c>
      <c r="DZ22">
        <v>599.96600000000001</v>
      </c>
      <c r="EA22">
        <v>24.406700000000001</v>
      </c>
      <c r="EB22">
        <v>2.76606</v>
      </c>
      <c r="EC22">
        <v>2.4063400000000001</v>
      </c>
      <c r="ED22">
        <v>22.6829</v>
      </c>
      <c r="EE22">
        <v>20.406500000000001</v>
      </c>
      <c r="EF22">
        <v>1800.03</v>
      </c>
      <c r="EG22">
        <v>0.97799599999999998</v>
      </c>
      <c r="EH22">
        <v>2.20039E-2</v>
      </c>
      <c r="EI22">
        <v>0</v>
      </c>
      <c r="EJ22">
        <v>663.92100000000005</v>
      </c>
      <c r="EK22">
        <v>5.0001199999999999</v>
      </c>
      <c r="EL22">
        <v>12012.7</v>
      </c>
      <c r="EM22">
        <v>15630.2</v>
      </c>
      <c r="EN22">
        <v>50</v>
      </c>
      <c r="EO22">
        <v>51.061999999999998</v>
      </c>
      <c r="EP22">
        <v>50.811999999999998</v>
      </c>
      <c r="EQ22">
        <v>50.875</v>
      </c>
      <c r="ER22">
        <v>51.5</v>
      </c>
      <c r="ES22">
        <v>1755.53</v>
      </c>
      <c r="ET22">
        <v>39.5</v>
      </c>
      <c r="EU22">
        <v>0</v>
      </c>
      <c r="EV22">
        <v>210.79999995231631</v>
      </c>
      <c r="EW22">
        <v>0</v>
      </c>
      <c r="EX22">
        <v>664.09467999999993</v>
      </c>
      <c r="EY22">
        <v>-0.71107692655470367</v>
      </c>
      <c r="EZ22">
        <v>-29.907692372818691</v>
      </c>
      <c r="FA22">
        <v>12015.324000000001</v>
      </c>
      <c r="FB22">
        <v>15</v>
      </c>
      <c r="FC22">
        <v>1700235860.5999999</v>
      </c>
      <c r="FD22" t="s">
        <v>446</v>
      </c>
      <c r="FE22">
        <v>1700235860.5999999</v>
      </c>
      <c r="FF22">
        <v>1700235855.5999999</v>
      </c>
      <c r="FG22">
        <v>7</v>
      </c>
      <c r="FH22">
        <v>-0.17699999999999999</v>
      </c>
      <c r="FI22">
        <v>-8.0000000000000002E-3</v>
      </c>
      <c r="FJ22">
        <v>1.329</v>
      </c>
      <c r="FK22">
        <v>0.34399999999999997</v>
      </c>
      <c r="FL22">
        <v>600</v>
      </c>
      <c r="FM22">
        <v>25</v>
      </c>
      <c r="FN22">
        <v>0.05</v>
      </c>
      <c r="FO22">
        <v>0.04</v>
      </c>
      <c r="FP22">
        <v>47.58058174776005</v>
      </c>
      <c r="FQ22">
        <v>0.67332321931537487</v>
      </c>
      <c r="FR22">
        <v>6.6311593484883191E-2</v>
      </c>
      <c r="FS22">
        <v>1</v>
      </c>
      <c r="FT22">
        <v>0.22601777513627419</v>
      </c>
      <c r="FU22">
        <v>-9.8960166640610289E-3</v>
      </c>
      <c r="FV22">
        <v>8.1497202972932454E-4</v>
      </c>
      <c r="FW22">
        <v>1</v>
      </c>
      <c r="FX22">
        <v>2</v>
      </c>
      <c r="FY22">
        <v>2</v>
      </c>
      <c r="FZ22" t="s">
        <v>420</v>
      </c>
      <c r="GA22">
        <v>2.9185099999999999</v>
      </c>
      <c r="GB22">
        <v>2.7513200000000002</v>
      </c>
      <c r="GC22">
        <v>0.114027</v>
      </c>
      <c r="GD22">
        <v>0.124172</v>
      </c>
      <c r="GE22">
        <v>0.12754299999999999</v>
      </c>
      <c r="GF22">
        <v>0.11833</v>
      </c>
      <c r="GG22">
        <v>27520.9</v>
      </c>
      <c r="GH22">
        <v>27084.9</v>
      </c>
      <c r="GI22">
        <v>28287.4</v>
      </c>
      <c r="GJ22">
        <v>28271.9</v>
      </c>
      <c r="GK22">
        <v>33627.699999999997</v>
      </c>
      <c r="GL22">
        <v>34797.5</v>
      </c>
      <c r="GM22">
        <v>42493.8</v>
      </c>
      <c r="GN22">
        <v>43934.3</v>
      </c>
      <c r="GO22">
        <v>1.7780499999999999</v>
      </c>
      <c r="GP22">
        <v>1.96685</v>
      </c>
      <c r="GQ22">
        <v>6.9905099999999998E-2</v>
      </c>
      <c r="GR22">
        <v>0</v>
      </c>
      <c r="GS22">
        <v>28.887499999999999</v>
      </c>
      <c r="GT22">
        <v>999.9</v>
      </c>
      <c r="GU22">
        <v>60.2</v>
      </c>
      <c r="GV22">
        <v>33.299999999999997</v>
      </c>
      <c r="GW22">
        <v>31.371400000000001</v>
      </c>
      <c r="GX22">
        <v>60.8491</v>
      </c>
      <c r="GY22">
        <v>31.209900000000001</v>
      </c>
      <c r="GZ22">
        <v>1</v>
      </c>
      <c r="HA22">
        <v>0.43298500000000001</v>
      </c>
      <c r="HB22">
        <v>2.11022</v>
      </c>
      <c r="HC22">
        <v>20.2593</v>
      </c>
      <c r="HD22">
        <v>5.2750899999999996</v>
      </c>
      <c r="HE22">
        <v>12.0878</v>
      </c>
      <c r="HF22">
        <v>5.01295</v>
      </c>
      <c r="HG22">
        <v>3.2913000000000001</v>
      </c>
      <c r="HH22">
        <v>9999</v>
      </c>
      <c r="HI22">
        <v>9999</v>
      </c>
      <c r="HJ22">
        <v>9999</v>
      </c>
      <c r="HK22">
        <v>999.9</v>
      </c>
      <c r="HL22">
        <v>1.87592</v>
      </c>
      <c r="HM22">
        <v>1.8763700000000001</v>
      </c>
      <c r="HN22">
        <v>1.8762000000000001</v>
      </c>
      <c r="HO22">
        <v>1.88005</v>
      </c>
      <c r="HP22">
        <v>1.8735599999999999</v>
      </c>
      <c r="HQ22">
        <v>1.87673</v>
      </c>
      <c r="HR22">
        <v>1.87645</v>
      </c>
      <c r="HS22">
        <v>1.8778900000000001</v>
      </c>
      <c r="HT22">
        <v>0</v>
      </c>
      <c r="HU22">
        <v>0</v>
      </c>
      <c r="HV22">
        <v>0</v>
      </c>
      <c r="HW22">
        <v>0</v>
      </c>
      <c r="HX22" t="s">
        <v>421</v>
      </c>
      <c r="HY22" t="s">
        <v>422</v>
      </c>
      <c r="HZ22" t="s">
        <v>423</v>
      </c>
      <c r="IA22" t="s">
        <v>424</v>
      </c>
      <c r="IB22" t="s">
        <v>424</v>
      </c>
      <c r="IC22" t="s">
        <v>423</v>
      </c>
      <c r="ID22">
        <v>0</v>
      </c>
      <c r="IE22">
        <v>100</v>
      </c>
      <c r="IF22">
        <v>100</v>
      </c>
      <c r="IG22">
        <v>1.3140000000000001</v>
      </c>
      <c r="IH22">
        <v>0.34360000000000002</v>
      </c>
      <c r="II22">
        <v>1.0085705877349029</v>
      </c>
      <c r="IJ22">
        <v>8.9576739069318506E-4</v>
      </c>
      <c r="IK22">
        <v>-7.2130504814809596E-7</v>
      </c>
      <c r="IL22">
        <v>1.9987036519832741E-10</v>
      </c>
      <c r="IM22">
        <v>0.34357999999999578</v>
      </c>
      <c r="IN22">
        <v>0</v>
      </c>
      <c r="IO22">
        <v>0</v>
      </c>
      <c r="IP22">
        <v>0</v>
      </c>
      <c r="IQ22">
        <v>1</v>
      </c>
      <c r="IR22">
        <v>2126</v>
      </c>
      <c r="IS22">
        <v>0</v>
      </c>
      <c r="IT22">
        <v>20</v>
      </c>
      <c r="IU22">
        <v>2.2999999999999998</v>
      </c>
      <c r="IV22">
        <v>2.4</v>
      </c>
      <c r="IW22">
        <v>1.4355500000000001</v>
      </c>
      <c r="IX22">
        <v>2.63672</v>
      </c>
      <c r="IY22">
        <v>1.69434</v>
      </c>
      <c r="IZ22">
        <v>2.3559600000000001</v>
      </c>
      <c r="JA22">
        <v>1.5466299999999999</v>
      </c>
      <c r="JB22">
        <v>2.4560499999999998</v>
      </c>
      <c r="JC22">
        <v>39.842799999999997</v>
      </c>
      <c r="JD22">
        <v>23.500900000000001</v>
      </c>
      <c r="JE22">
        <v>18</v>
      </c>
      <c r="JF22">
        <v>499.065</v>
      </c>
      <c r="JG22">
        <v>531.67399999999998</v>
      </c>
      <c r="JH22">
        <v>27.138300000000001</v>
      </c>
      <c r="JI22">
        <v>32.611600000000003</v>
      </c>
      <c r="JJ22">
        <v>30</v>
      </c>
      <c r="JK22">
        <v>32.504600000000003</v>
      </c>
      <c r="JL22">
        <v>32.451099999999997</v>
      </c>
      <c r="JM22">
        <v>28.802700000000002</v>
      </c>
      <c r="JN22">
        <v>26.397099999999998</v>
      </c>
      <c r="JO22">
        <v>98.493600000000001</v>
      </c>
      <c r="JP22">
        <v>27.124600000000001</v>
      </c>
      <c r="JQ22">
        <v>600</v>
      </c>
      <c r="JR22">
        <v>24.429400000000001</v>
      </c>
      <c r="JS22">
        <v>99.081800000000001</v>
      </c>
      <c r="JT22">
        <v>98.9983</v>
      </c>
    </row>
    <row r="23" spans="1:280" x14ac:dyDescent="0.25">
      <c r="A23">
        <v>7</v>
      </c>
      <c r="B23">
        <v>1700236119.5999999</v>
      </c>
      <c r="C23">
        <v>894</v>
      </c>
      <c r="D23" t="s">
        <v>447</v>
      </c>
      <c r="E23" t="s">
        <v>448</v>
      </c>
      <c r="F23" t="s">
        <v>412</v>
      </c>
      <c r="G23" t="s">
        <v>413</v>
      </c>
      <c r="H23" t="s">
        <v>414</v>
      </c>
      <c r="I23">
        <v>1700236119.5999999</v>
      </c>
      <c r="J23">
        <f t="shared" si="0"/>
        <v>3.4580007296374851E-3</v>
      </c>
      <c r="K23">
        <f t="shared" si="1"/>
        <v>3.4580007296374853</v>
      </c>
      <c r="L23">
        <f t="shared" si="2"/>
        <v>44.899607420812529</v>
      </c>
      <c r="M23">
        <f t="shared" si="3"/>
        <v>448.66300000000001</v>
      </c>
      <c r="N23">
        <f t="shared" si="4"/>
        <v>125.2697454769454</v>
      </c>
      <c r="O23">
        <f t="shared" si="5"/>
        <v>12.364993626417359</v>
      </c>
      <c r="P23">
        <f t="shared" si="6"/>
        <v>44.286153167209008</v>
      </c>
      <c r="Q23">
        <f t="shared" si="7"/>
        <v>0.23553509170626141</v>
      </c>
      <c r="R23">
        <f t="shared" si="8"/>
        <v>2.9901394016873395</v>
      </c>
      <c r="S23">
        <f t="shared" si="9"/>
        <v>0.22569189524769936</v>
      </c>
      <c r="T23">
        <f t="shared" si="10"/>
        <v>0.14190752808003287</v>
      </c>
      <c r="U23">
        <f t="shared" si="11"/>
        <v>289.56545384752911</v>
      </c>
      <c r="V23">
        <f t="shared" si="12"/>
        <v>30.781126631174672</v>
      </c>
      <c r="W23">
        <f t="shared" si="13"/>
        <v>29.956900000000001</v>
      </c>
      <c r="X23">
        <f t="shared" si="14"/>
        <v>4.2499138518626944</v>
      </c>
      <c r="Y23">
        <f t="shared" si="15"/>
        <v>65.559830183006198</v>
      </c>
      <c r="Z23">
        <f t="shared" si="16"/>
        <v>2.7914915722058002</v>
      </c>
      <c r="AA23">
        <f t="shared" si="17"/>
        <v>4.2579298396800676</v>
      </c>
      <c r="AB23">
        <f t="shared" si="18"/>
        <v>1.4584222796568942</v>
      </c>
      <c r="AC23">
        <f t="shared" si="19"/>
        <v>-152.49783217701309</v>
      </c>
      <c r="AD23">
        <f t="shared" si="20"/>
        <v>5.2875041698992895</v>
      </c>
      <c r="AE23">
        <f t="shared" si="21"/>
        <v>0.39308237198885898</v>
      </c>
      <c r="AF23">
        <f t="shared" si="22"/>
        <v>142.74820821240414</v>
      </c>
      <c r="AG23">
        <v>0</v>
      </c>
      <c r="AH23">
        <v>0</v>
      </c>
      <c r="AI23">
        <f t="shared" si="23"/>
        <v>1</v>
      </c>
      <c r="AJ23">
        <f t="shared" si="24"/>
        <v>0</v>
      </c>
      <c r="AK23">
        <f t="shared" si="25"/>
        <v>51434.016445237619</v>
      </c>
      <c r="AL23" t="s">
        <v>427</v>
      </c>
      <c r="AM23" t="s">
        <v>427</v>
      </c>
      <c r="AN23">
        <v>0</v>
      </c>
      <c r="AO23">
        <v>0</v>
      </c>
      <c r="AP23" t="e">
        <f t="shared" si="26"/>
        <v>#DIV/0!</v>
      </c>
      <c r="AQ23">
        <v>0</v>
      </c>
      <c r="AR23" t="s">
        <v>427</v>
      </c>
      <c r="AS23" t="s">
        <v>427</v>
      </c>
      <c r="AT23">
        <v>0</v>
      </c>
      <c r="AU23">
        <v>0</v>
      </c>
      <c r="AV23" t="e">
        <f t="shared" si="27"/>
        <v>#DIV/0!</v>
      </c>
      <c r="AW23">
        <v>0.5</v>
      </c>
      <c r="AX23">
        <f t="shared" si="28"/>
        <v>1513.1765999209995</v>
      </c>
      <c r="AY23">
        <f t="shared" si="29"/>
        <v>44.899607420812529</v>
      </c>
      <c r="AZ23" t="e">
        <f t="shared" si="30"/>
        <v>#DIV/0!</v>
      </c>
      <c r="BA23">
        <f t="shared" si="31"/>
        <v>2.9672417233491892E-2</v>
      </c>
      <c r="BB23" t="e">
        <f t="shared" si="32"/>
        <v>#DIV/0!</v>
      </c>
      <c r="BC23" t="e">
        <f t="shared" si="33"/>
        <v>#DIV/0!</v>
      </c>
      <c r="BD23" t="s">
        <v>427</v>
      </c>
      <c r="BE23">
        <v>0</v>
      </c>
      <c r="BF23" t="e">
        <f t="shared" si="34"/>
        <v>#DIV/0!</v>
      </c>
      <c r="BG23" t="e">
        <f t="shared" si="35"/>
        <v>#DIV/0!</v>
      </c>
      <c r="BH23" t="e">
        <f t="shared" si="36"/>
        <v>#DIV/0!</v>
      </c>
      <c r="BI23" t="e">
        <f t="shared" si="37"/>
        <v>#DIV/0!</v>
      </c>
      <c r="BJ23" t="e">
        <f t="shared" si="38"/>
        <v>#DIV/0!</v>
      </c>
      <c r="BK23" t="e">
        <f t="shared" si="39"/>
        <v>#DIV/0!</v>
      </c>
      <c r="BL23" t="e">
        <f t="shared" si="40"/>
        <v>#DIV/0!</v>
      </c>
      <c r="BM23" t="e">
        <f t="shared" si="41"/>
        <v>#DIV/0!</v>
      </c>
      <c r="BN23">
        <v>149</v>
      </c>
      <c r="BO23">
        <v>290.00000000000011</v>
      </c>
      <c r="BP23">
        <v>864.45</v>
      </c>
      <c r="BQ23">
        <v>285</v>
      </c>
      <c r="BR23">
        <v>7122.13</v>
      </c>
      <c r="BS23">
        <v>866.57</v>
      </c>
      <c r="BT23">
        <v>-2.12</v>
      </c>
      <c r="BU23">
        <v>300.00000000000011</v>
      </c>
      <c r="BV23">
        <v>38.200000000000003</v>
      </c>
      <c r="BW23">
        <v>944.88898228520668</v>
      </c>
      <c r="BX23">
        <v>1.715165249125314</v>
      </c>
      <c r="BY23">
        <v>-55.783262337172168</v>
      </c>
      <c r="BZ23">
        <v>1.0239309970898101</v>
      </c>
      <c r="CA23">
        <v>0.99065425977741728</v>
      </c>
      <c r="CB23">
        <v>-7.0282849833147951E-3</v>
      </c>
      <c r="CC23">
        <v>289.99999999999989</v>
      </c>
      <c r="CD23">
        <v>872.4</v>
      </c>
      <c r="CE23">
        <v>885</v>
      </c>
      <c r="CF23">
        <v>7116.48</v>
      </c>
      <c r="CG23">
        <v>866.5</v>
      </c>
      <c r="CH23">
        <v>5.9</v>
      </c>
      <c r="CV23">
        <f t="shared" si="42"/>
        <v>1799.99</v>
      </c>
      <c r="CW23">
        <f t="shared" si="43"/>
        <v>1513.1765999209995</v>
      </c>
      <c r="CX23">
        <f t="shared" si="44"/>
        <v>0.84065833694687164</v>
      </c>
      <c r="CY23">
        <f t="shared" si="45"/>
        <v>0.16087059030746234</v>
      </c>
      <c r="CZ23">
        <v>5.52</v>
      </c>
      <c r="DA23">
        <v>0.5</v>
      </c>
      <c r="DB23" t="s">
        <v>418</v>
      </c>
      <c r="DC23">
        <v>2</v>
      </c>
      <c r="DD23">
        <v>1700236119.5999999</v>
      </c>
      <c r="DE23">
        <v>448.66300000000001</v>
      </c>
      <c r="DF23">
        <v>499.93299999999999</v>
      </c>
      <c r="DG23">
        <v>28.2806</v>
      </c>
      <c r="DH23">
        <v>24.5718</v>
      </c>
      <c r="DI23">
        <v>447.46899999999999</v>
      </c>
      <c r="DJ23">
        <v>27.950500000000002</v>
      </c>
      <c r="DK23">
        <v>500.11700000000002</v>
      </c>
      <c r="DL23">
        <v>98.606800000000007</v>
      </c>
      <c r="DM23">
        <v>0.100143</v>
      </c>
      <c r="DN23">
        <v>29.989699999999999</v>
      </c>
      <c r="DO23">
        <v>29.956900000000001</v>
      </c>
      <c r="DP23">
        <v>999.9</v>
      </c>
      <c r="DQ23">
        <v>0</v>
      </c>
      <c r="DR23">
        <v>0</v>
      </c>
      <c r="DS23">
        <v>9961.25</v>
      </c>
      <c r="DT23">
        <v>0</v>
      </c>
      <c r="DU23">
        <v>296.37900000000002</v>
      </c>
      <c r="DV23">
        <v>-51.269799999999996</v>
      </c>
      <c r="DW23">
        <v>461.721</v>
      </c>
      <c r="DX23">
        <v>512.52599999999995</v>
      </c>
      <c r="DY23">
        <v>3.7088299999999998</v>
      </c>
      <c r="DZ23">
        <v>499.93299999999999</v>
      </c>
      <c r="EA23">
        <v>24.5718</v>
      </c>
      <c r="EB23">
        <v>2.7886600000000001</v>
      </c>
      <c r="EC23">
        <v>2.4229400000000001</v>
      </c>
      <c r="ED23">
        <v>22.8171</v>
      </c>
      <c r="EE23">
        <v>20.517900000000001</v>
      </c>
      <c r="EF23">
        <v>1799.99</v>
      </c>
      <c r="EG23">
        <v>0.97799599999999998</v>
      </c>
      <c r="EH23">
        <v>2.20039E-2</v>
      </c>
      <c r="EI23">
        <v>0</v>
      </c>
      <c r="EJ23">
        <v>664.53700000000003</v>
      </c>
      <c r="EK23">
        <v>5.0001199999999999</v>
      </c>
      <c r="EL23">
        <v>12029.7</v>
      </c>
      <c r="EM23">
        <v>15629.8</v>
      </c>
      <c r="EN23">
        <v>50</v>
      </c>
      <c r="EO23">
        <v>51.061999999999998</v>
      </c>
      <c r="EP23">
        <v>50.875</v>
      </c>
      <c r="EQ23">
        <v>50.936999999999998</v>
      </c>
      <c r="ER23">
        <v>51.561999999999998</v>
      </c>
      <c r="ES23">
        <v>1755.49</v>
      </c>
      <c r="ET23">
        <v>39.5</v>
      </c>
      <c r="EU23">
        <v>0</v>
      </c>
      <c r="EV23">
        <v>118.4000000953674</v>
      </c>
      <c r="EW23">
        <v>0</v>
      </c>
      <c r="EX23">
        <v>664.63996153846165</v>
      </c>
      <c r="EY23">
        <v>-0.1655726496220418</v>
      </c>
      <c r="EZ23">
        <v>-9.3128205454485258</v>
      </c>
      <c r="FA23">
        <v>12030.676923076921</v>
      </c>
      <c r="FB23">
        <v>15</v>
      </c>
      <c r="FC23">
        <v>1700236081.0999999</v>
      </c>
      <c r="FD23" t="s">
        <v>449</v>
      </c>
      <c r="FE23">
        <v>1700236081.0999999</v>
      </c>
      <c r="FF23">
        <v>1700236077.5999999</v>
      </c>
      <c r="FG23">
        <v>8</v>
      </c>
      <c r="FH23">
        <v>-0.09</v>
      </c>
      <c r="FI23">
        <v>-1.2999999999999999E-2</v>
      </c>
      <c r="FJ23">
        <v>1.2110000000000001</v>
      </c>
      <c r="FK23">
        <v>0.33</v>
      </c>
      <c r="FL23">
        <v>500</v>
      </c>
      <c r="FM23">
        <v>25</v>
      </c>
      <c r="FN23">
        <v>0.04</v>
      </c>
      <c r="FO23">
        <v>0.03</v>
      </c>
      <c r="FP23">
        <v>44.862074478533323</v>
      </c>
      <c r="FQ23">
        <v>0.35262766142039892</v>
      </c>
      <c r="FR23">
        <v>3.7494434585388932E-2</v>
      </c>
      <c r="FS23">
        <v>1</v>
      </c>
      <c r="FT23">
        <v>0.23265410302819459</v>
      </c>
      <c r="FU23">
        <v>4.5760900781437908E-2</v>
      </c>
      <c r="FV23">
        <v>3.5942820434208358E-3</v>
      </c>
      <c r="FW23">
        <v>1</v>
      </c>
      <c r="FX23">
        <v>2</v>
      </c>
      <c r="FY23">
        <v>2</v>
      </c>
      <c r="FZ23" t="s">
        <v>420</v>
      </c>
      <c r="GA23">
        <v>2.9180199999999998</v>
      </c>
      <c r="GB23">
        <v>2.75081</v>
      </c>
      <c r="GC23">
        <v>9.8748900000000001E-2</v>
      </c>
      <c r="GD23">
        <v>0.10894</v>
      </c>
      <c r="GE23">
        <v>0.12828100000000001</v>
      </c>
      <c r="GF23">
        <v>0.118868</v>
      </c>
      <c r="GG23">
        <v>27992.1</v>
      </c>
      <c r="GH23">
        <v>27551.599999999999</v>
      </c>
      <c r="GI23">
        <v>28284.5</v>
      </c>
      <c r="GJ23">
        <v>28267.9</v>
      </c>
      <c r="GK23">
        <v>33595.4</v>
      </c>
      <c r="GL23">
        <v>34772.800000000003</v>
      </c>
      <c r="GM23">
        <v>42488.7</v>
      </c>
      <c r="GN23">
        <v>43929.5</v>
      </c>
      <c r="GO23">
        <v>1.7764500000000001</v>
      </c>
      <c r="GP23">
        <v>1.96373</v>
      </c>
      <c r="GQ23">
        <v>6.1646100000000002E-2</v>
      </c>
      <c r="GR23">
        <v>0</v>
      </c>
      <c r="GS23">
        <v>28.9528</v>
      </c>
      <c r="GT23">
        <v>999.9</v>
      </c>
      <c r="GU23">
        <v>59.9</v>
      </c>
      <c r="GV23">
        <v>33.5</v>
      </c>
      <c r="GW23">
        <v>31.563600000000001</v>
      </c>
      <c r="GX23">
        <v>61.149099999999997</v>
      </c>
      <c r="GY23">
        <v>31.057700000000001</v>
      </c>
      <c r="GZ23">
        <v>1</v>
      </c>
      <c r="HA23">
        <v>0.44140800000000002</v>
      </c>
      <c r="HB23">
        <v>2.0632199999999998</v>
      </c>
      <c r="HC23">
        <v>20.259799999999998</v>
      </c>
      <c r="HD23">
        <v>5.2765899999999997</v>
      </c>
      <c r="HE23">
        <v>12.0878</v>
      </c>
      <c r="HF23">
        <v>5.0134499999999997</v>
      </c>
      <c r="HG23">
        <v>3.29122</v>
      </c>
      <c r="HH23">
        <v>9999</v>
      </c>
      <c r="HI23">
        <v>9999</v>
      </c>
      <c r="HJ23">
        <v>9999</v>
      </c>
      <c r="HK23">
        <v>999.9</v>
      </c>
      <c r="HL23">
        <v>1.87592</v>
      </c>
      <c r="HM23">
        <v>1.8763700000000001</v>
      </c>
      <c r="HN23">
        <v>1.8761399999999999</v>
      </c>
      <c r="HO23">
        <v>1.8800399999999999</v>
      </c>
      <c r="HP23">
        <v>1.8734900000000001</v>
      </c>
      <c r="HQ23">
        <v>1.8767</v>
      </c>
      <c r="HR23">
        <v>1.8764700000000001</v>
      </c>
      <c r="HS23">
        <v>1.87785</v>
      </c>
      <c r="HT23">
        <v>0</v>
      </c>
      <c r="HU23">
        <v>0</v>
      </c>
      <c r="HV23">
        <v>0</v>
      </c>
      <c r="HW23">
        <v>0</v>
      </c>
      <c r="HX23" t="s">
        <v>421</v>
      </c>
      <c r="HY23" t="s">
        <v>422</v>
      </c>
      <c r="HZ23" t="s">
        <v>423</v>
      </c>
      <c r="IA23" t="s">
        <v>424</v>
      </c>
      <c r="IB23" t="s">
        <v>424</v>
      </c>
      <c r="IC23" t="s">
        <v>423</v>
      </c>
      <c r="ID23">
        <v>0</v>
      </c>
      <c r="IE23">
        <v>100</v>
      </c>
      <c r="IF23">
        <v>100</v>
      </c>
      <c r="IG23">
        <v>1.194</v>
      </c>
      <c r="IH23">
        <v>0.3301</v>
      </c>
      <c r="II23">
        <v>0.91908598680239917</v>
      </c>
      <c r="IJ23">
        <v>8.9576739069318506E-4</v>
      </c>
      <c r="IK23">
        <v>-7.2130504814809596E-7</v>
      </c>
      <c r="IL23">
        <v>1.9987036519832741E-10</v>
      </c>
      <c r="IM23">
        <v>0.3301050000000032</v>
      </c>
      <c r="IN23">
        <v>0</v>
      </c>
      <c r="IO23">
        <v>0</v>
      </c>
      <c r="IP23">
        <v>0</v>
      </c>
      <c r="IQ23">
        <v>1</v>
      </c>
      <c r="IR23">
        <v>2126</v>
      </c>
      <c r="IS23">
        <v>0</v>
      </c>
      <c r="IT23">
        <v>20</v>
      </c>
      <c r="IU23">
        <v>0.6</v>
      </c>
      <c r="IV23">
        <v>0.7</v>
      </c>
      <c r="IW23">
        <v>1.2402299999999999</v>
      </c>
      <c r="IX23">
        <v>2.63184</v>
      </c>
      <c r="IY23">
        <v>1.69434</v>
      </c>
      <c r="IZ23">
        <v>2.3559600000000001</v>
      </c>
      <c r="JA23">
        <v>1.5466299999999999</v>
      </c>
      <c r="JB23">
        <v>2.47925</v>
      </c>
      <c r="JC23">
        <v>39.994199999999999</v>
      </c>
      <c r="JD23">
        <v>23.544599999999999</v>
      </c>
      <c r="JE23">
        <v>18</v>
      </c>
      <c r="JF23">
        <v>498.82900000000001</v>
      </c>
      <c r="JG23">
        <v>530.36400000000003</v>
      </c>
      <c r="JH23">
        <v>27.023900000000001</v>
      </c>
      <c r="JI23">
        <v>32.721499999999999</v>
      </c>
      <c r="JJ23">
        <v>30.000599999999999</v>
      </c>
      <c r="JK23">
        <v>32.619300000000003</v>
      </c>
      <c r="JL23">
        <v>32.5655</v>
      </c>
      <c r="JM23">
        <v>24.905100000000001</v>
      </c>
      <c r="JN23">
        <v>26.391999999999999</v>
      </c>
      <c r="JO23">
        <v>97.117099999999994</v>
      </c>
      <c r="JP23">
        <v>27.031600000000001</v>
      </c>
      <c r="JQ23">
        <v>500</v>
      </c>
      <c r="JR23">
        <v>24.470199999999998</v>
      </c>
      <c r="JS23">
        <v>99.070499999999996</v>
      </c>
      <c r="JT23">
        <v>98.986199999999997</v>
      </c>
    </row>
    <row r="24" spans="1:280" x14ac:dyDescent="0.25">
      <c r="A24">
        <v>8</v>
      </c>
      <c r="B24">
        <v>1700236322.0999999</v>
      </c>
      <c r="C24">
        <v>1096.5</v>
      </c>
      <c r="D24" t="s">
        <v>450</v>
      </c>
      <c r="E24" t="s">
        <v>451</v>
      </c>
      <c r="F24" t="s">
        <v>412</v>
      </c>
      <c r="G24" t="s">
        <v>413</v>
      </c>
      <c r="H24" t="s">
        <v>414</v>
      </c>
      <c r="I24">
        <v>1700236322.0999999</v>
      </c>
      <c r="J24">
        <f t="shared" si="0"/>
        <v>4.2876365939725665E-3</v>
      </c>
      <c r="K24">
        <f t="shared" si="1"/>
        <v>4.2876365939725662</v>
      </c>
      <c r="L24">
        <f t="shared" si="2"/>
        <v>44.027975323076618</v>
      </c>
      <c r="M24">
        <f t="shared" si="3"/>
        <v>349.70299999999997</v>
      </c>
      <c r="N24">
        <f t="shared" si="4"/>
        <v>97.125977370574532</v>
      </c>
      <c r="O24">
        <f t="shared" si="5"/>
        <v>9.5880632168020075</v>
      </c>
      <c r="P24">
        <f t="shared" si="6"/>
        <v>34.521912282152599</v>
      </c>
      <c r="Q24">
        <f t="shared" si="7"/>
        <v>0.29840591893791829</v>
      </c>
      <c r="R24">
        <f t="shared" si="8"/>
        <v>3.0002357161659492</v>
      </c>
      <c r="S24">
        <f t="shared" si="9"/>
        <v>0.28284328839606193</v>
      </c>
      <c r="T24">
        <f t="shared" si="10"/>
        <v>0.17810763224645926</v>
      </c>
      <c r="U24">
        <f t="shared" si="11"/>
        <v>289.56545384752911</v>
      </c>
      <c r="V24">
        <f t="shared" si="12"/>
        <v>30.752183617423313</v>
      </c>
      <c r="W24">
        <f t="shared" si="13"/>
        <v>29.979700000000001</v>
      </c>
      <c r="X24">
        <f t="shared" si="14"/>
        <v>4.2554845458885309</v>
      </c>
      <c r="Y24">
        <f t="shared" si="15"/>
        <v>65.360525435218889</v>
      </c>
      <c r="Z24">
        <f t="shared" si="16"/>
        <v>2.8125887030230401</v>
      </c>
      <c r="AA24">
        <f t="shared" si="17"/>
        <v>4.3031916960500807</v>
      </c>
      <c r="AB24">
        <f t="shared" si="18"/>
        <v>1.4428958428654908</v>
      </c>
      <c r="AC24">
        <f t="shared" si="19"/>
        <v>-189.08477379419017</v>
      </c>
      <c r="AD24">
        <f t="shared" si="20"/>
        <v>31.411599079993859</v>
      </c>
      <c r="AE24">
        <f t="shared" si="21"/>
        <v>2.329721463374721</v>
      </c>
      <c r="AF24">
        <f t="shared" si="22"/>
        <v>134.22200059670752</v>
      </c>
      <c r="AG24">
        <v>0</v>
      </c>
      <c r="AH24">
        <v>0</v>
      </c>
      <c r="AI24">
        <f t="shared" si="23"/>
        <v>1</v>
      </c>
      <c r="AJ24">
        <f t="shared" si="24"/>
        <v>0</v>
      </c>
      <c r="AK24">
        <f t="shared" si="25"/>
        <v>51674.66139556079</v>
      </c>
      <c r="AL24" t="s">
        <v>415</v>
      </c>
      <c r="AM24">
        <v>6960.3</v>
      </c>
      <c r="AN24">
        <v>244.8124</v>
      </c>
      <c r="AO24">
        <v>892.86711584811997</v>
      </c>
      <c r="AP24">
        <f t="shared" si="26"/>
        <v>0.72581317459826411</v>
      </c>
      <c r="AQ24">
        <v>-0.43209471141234851</v>
      </c>
      <c r="AR24" t="s">
        <v>452</v>
      </c>
      <c r="AS24">
        <v>7121.74</v>
      </c>
      <c r="AT24">
        <v>666.22003846153837</v>
      </c>
      <c r="AU24">
        <v>922.67540190914735</v>
      </c>
      <c r="AV24">
        <f t="shared" si="27"/>
        <v>0.27794754570997138</v>
      </c>
      <c r="AW24">
        <v>0.5</v>
      </c>
      <c r="AX24">
        <f t="shared" si="28"/>
        <v>1513.1765999209995</v>
      </c>
      <c r="AY24">
        <f t="shared" si="29"/>
        <v>44.027975323076618</v>
      </c>
      <c r="AZ24">
        <f t="shared" si="30"/>
        <v>210.29186108690052</v>
      </c>
      <c r="BA24">
        <f t="shared" si="31"/>
        <v>2.9381943942835328E-2</v>
      </c>
      <c r="BB24">
        <f t="shared" si="32"/>
        <v>-3.230636256190398E-2</v>
      </c>
      <c r="BC24">
        <f t="shared" si="33"/>
        <v>247.00032367794049</v>
      </c>
      <c r="BD24" t="s">
        <v>453</v>
      </c>
      <c r="BE24">
        <v>458.36</v>
      </c>
      <c r="BF24">
        <f t="shared" si="34"/>
        <v>458.36</v>
      </c>
      <c r="BG24">
        <f t="shared" si="35"/>
        <v>0.50322724649255024</v>
      </c>
      <c r="BH24">
        <f t="shared" si="36"/>
        <v>0.55233008078803647</v>
      </c>
      <c r="BI24">
        <f t="shared" si="37"/>
        <v>-6.8602526802913733E-2</v>
      </c>
      <c r="BJ24">
        <f t="shared" si="38"/>
        <v>0.3783291944320944</v>
      </c>
      <c r="BK24">
        <f t="shared" si="39"/>
        <v>-4.5996557593160618E-2</v>
      </c>
      <c r="BL24">
        <f t="shared" si="40"/>
        <v>0.38000360423656027</v>
      </c>
      <c r="BM24">
        <f t="shared" si="41"/>
        <v>0.61999639576343979</v>
      </c>
      <c r="BN24">
        <v>151</v>
      </c>
      <c r="BO24">
        <v>290.00000000000011</v>
      </c>
      <c r="BP24">
        <v>852.02</v>
      </c>
      <c r="BQ24">
        <v>295</v>
      </c>
      <c r="BR24">
        <v>7121.74</v>
      </c>
      <c r="BS24">
        <v>854.04</v>
      </c>
      <c r="BT24">
        <v>-2.02</v>
      </c>
      <c r="BU24">
        <v>300.00000000000011</v>
      </c>
      <c r="BV24">
        <v>38.200000000000003</v>
      </c>
      <c r="BW24">
        <v>922.67540190914735</v>
      </c>
      <c r="BX24">
        <v>1.6789482106927971</v>
      </c>
      <c r="BY24">
        <v>-48.882253005962632</v>
      </c>
      <c r="BZ24">
        <v>1.0022579725942899</v>
      </c>
      <c r="CA24">
        <v>0.98836591053097334</v>
      </c>
      <c r="CB24">
        <v>-7.0277833147942221E-3</v>
      </c>
      <c r="CC24">
        <v>289.99999999999989</v>
      </c>
      <c r="CD24">
        <v>860.67</v>
      </c>
      <c r="CE24">
        <v>885</v>
      </c>
      <c r="CF24">
        <v>7116.12</v>
      </c>
      <c r="CG24">
        <v>853.98</v>
      </c>
      <c r="CH24">
        <v>6.69</v>
      </c>
      <c r="CV24">
        <f t="shared" si="42"/>
        <v>1799.99</v>
      </c>
      <c r="CW24">
        <f t="shared" si="43"/>
        <v>1513.1765999209995</v>
      </c>
      <c r="CX24">
        <f t="shared" si="44"/>
        <v>0.84065833694687164</v>
      </c>
      <c r="CY24">
        <f t="shared" si="45"/>
        <v>0.16087059030746234</v>
      </c>
      <c r="CZ24">
        <v>5.52</v>
      </c>
      <c r="DA24">
        <v>0.5</v>
      </c>
      <c r="DB24" t="s">
        <v>418</v>
      </c>
      <c r="DC24">
        <v>2</v>
      </c>
      <c r="DD24">
        <v>1700236322.0999999</v>
      </c>
      <c r="DE24">
        <v>349.70299999999997</v>
      </c>
      <c r="DF24">
        <v>399.96100000000001</v>
      </c>
      <c r="DG24">
        <v>28.491199999999999</v>
      </c>
      <c r="DH24">
        <v>23.892900000000001</v>
      </c>
      <c r="DI24">
        <v>348.43299999999999</v>
      </c>
      <c r="DJ24">
        <v>28.183599999999998</v>
      </c>
      <c r="DK24">
        <v>500.04199999999997</v>
      </c>
      <c r="DL24">
        <v>98.617900000000006</v>
      </c>
      <c r="DM24">
        <v>9.9904199999999999E-2</v>
      </c>
      <c r="DN24">
        <v>30.1739</v>
      </c>
      <c r="DO24">
        <v>29.979700000000001</v>
      </c>
      <c r="DP24">
        <v>999.9</v>
      </c>
      <c r="DQ24">
        <v>0</v>
      </c>
      <c r="DR24">
        <v>0</v>
      </c>
      <c r="DS24">
        <v>10015</v>
      </c>
      <c r="DT24">
        <v>0</v>
      </c>
      <c r="DU24">
        <v>313.08100000000002</v>
      </c>
      <c r="DV24">
        <v>-50.2575</v>
      </c>
      <c r="DW24">
        <v>359.959</v>
      </c>
      <c r="DX24">
        <v>409.75099999999998</v>
      </c>
      <c r="DY24">
        <v>4.5982900000000004</v>
      </c>
      <c r="DZ24">
        <v>399.96100000000001</v>
      </c>
      <c r="EA24">
        <v>23.892900000000001</v>
      </c>
      <c r="EB24">
        <v>2.8097500000000002</v>
      </c>
      <c r="EC24">
        <v>2.3562699999999999</v>
      </c>
      <c r="ED24">
        <v>22.941500000000001</v>
      </c>
      <c r="EE24">
        <v>20.066299999999998</v>
      </c>
      <c r="EF24">
        <v>1799.99</v>
      </c>
      <c r="EG24">
        <v>0.97799599999999998</v>
      </c>
      <c r="EH24">
        <v>2.20039E-2</v>
      </c>
      <c r="EI24">
        <v>0</v>
      </c>
      <c r="EJ24">
        <v>666.31399999999996</v>
      </c>
      <c r="EK24">
        <v>5.0001199999999999</v>
      </c>
      <c r="EL24">
        <v>12076.3</v>
      </c>
      <c r="EM24">
        <v>15629.8</v>
      </c>
      <c r="EN24">
        <v>50.125</v>
      </c>
      <c r="EO24">
        <v>51.186999999999998</v>
      </c>
      <c r="EP24">
        <v>51</v>
      </c>
      <c r="EQ24">
        <v>51.061999999999998</v>
      </c>
      <c r="ER24">
        <v>51.686999999999998</v>
      </c>
      <c r="ES24">
        <v>1755.49</v>
      </c>
      <c r="ET24">
        <v>39.5</v>
      </c>
      <c r="EU24">
        <v>0</v>
      </c>
      <c r="EV24">
        <v>321.20000004768372</v>
      </c>
      <c r="EW24">
        <v>0</v>
      </c>
      <c r="EX24">
        <v>666.22003846153837</v>
      </c>
      <c r="EY24">
        <v>0.2381196578531212</v>
      </c>
      <c r="EZ24">
        <v>1.8735042967255571</v>
      </c>
      <c r="FA24">
        <v>12076.530769230771</v>
      </c>
      <c r="FB24">
        <v>15</v>
      </c>
      <c r="FC24">
        <v>1700236289.0999999</v>
      </c>
      <c r="FD24" t="s">
        <v>454</v>
      </c>
      <c r="FE24">
        <v>1700236289.0999999</v>
      </c>
      <c r="FF24">
        <v>1700236283.5999999</v>
      </c>
      <c r="FG24">
        <v>9</v>
      </c>
      <c r="FH24">
        <v>0.11799999999999999</v>
      </c>
      <c r="FI24">
        <v>-2.1999999999999999E-2</v>
      </c>
      <c r="FJ24">
        <v>1.292</v>
      </c>
      <c r="FK24">
        <v>0.308</v>
      </c>
      <c r="FL24">
        <v>400</v>
      </c>
      <c r="FM24">
        <v>24</v>
      </c>
      <c r="FN24">
        <v>0.06</v>
      </c>
      <c r="FO24">
        <v>0.02</v>
      </c>
      <c r="FP24">
        <v>44.014108138468927</v>
      </c>
      <c r="FQ24">
        <v>-0.192956022684592</v>
      </c>
      <c r="FR24">
        <v>6.1676457043677489E-2</v>
      </c>
      <c r="FS24">
        <v>1</v>
      </c>
      <c r="FT24">
        <v>0.29408108047199422</v>
      </c>
      <c r="FU24">
        <v>4.9882955047807757E-2</v>
      </c>
      <c r="FV24">
        <v>4.0874985120965034E-3</v>
      </c>
      <c r="FW24">
        <v>1</v>
      </c>
      <c r="FX24">
        <v>2</v>
      </c>
      <c r="FY24">
        <v>2</v>
      </c>
      <c r="FZ24" t="s">
        <v>420</v>
      </c>
      <c r="GA24">
        <v>2.9174799999999999</v>
      </c>
      <c r="GB24">
        <v>2.7510400000000002</v>
      </c>
      <c r="GC24">
        <v>8.1378000000000006E-2</v>
      </c>
      <c r="GD24">
        <v>9.2148800000000003E-2</v>
      </c>
      <c r="GE24">
        <v>0.12897600000000001</v>
      </c>
      <c r="GF24">
        <v>0.116549</v>
      </c>
      <c r="GG24">
        <v>28524.7</v>
      </c>
      <c r="GH24">
        <v>28061.9</v>
      </c>
      <c r="GI24">
        <v>28278.6</v>
      </c>
      <c r="GJ24">
        <v>28259.8</v>
      </c>
      <c r="GK24">
        <v>33563.199999999997</v>
      </c>
      <c r="GL24">
        <v>34855.800000000003</v>
      </c>
      <c r="GM24">
        <v>42481.4</v>
      </c>
      <c r="GN24">
        <v>43918.1</v>
      </c>
      <c r="GO24">
        <v>1.7741800000000001</v>
      </c>
      <c r="GP24">
        <v>1.95672</v>
      </c>
      <c r="GQ24">
        <v>5.7488699999999997E-2</v>
      </c>
      <c r="GR24">
        <v>0</v>
      </c>
      <c r="GS24">
        <v>29.043399999999998</v>
      </c>
      <c r="GT24">
        <v>999.9</v>
      </c>
      <c r="GU24">
        <v>59.3</v>
      </c>
      <c r="GV24">
        <v>33.799999999999997</v>
      </c>
      <c r="GW24">
        <v>31.771100000000001</v>
      </c>
      <c r="GX24">
        <v>60.499099999999999</v>
      </c>
      <c r="GY24">
        <v>31.694700000000001</v>
      </c>
      <c r="GZ24">
        <v>1</v>
      </c>
      <c r="HA24">
        <v>0.45668999999999998</v>
      </c>
      <c r="HB24">
        <v>2.1911</v>
      </c>
      <c r="HC24">
        <v>20.256699999999999</v>
      </c>
      <c r="HD24">
        <v>5.2724000000000002</v>
      </c>
      <c r="HE24">
        <v>12.0878</v>
      </c>
      <c r="HF24">
        <v>5.0124000000000004</v>
      </c>
      <c r="HG24">
        <v>3.29088</v>
      </c>
      <c r="HH24">
        <v>9999</v>
      </c>
      <c r="HI24">
        <v>9999</v>
      </c>
      <c r="HJ24">
        <v>9999</v>
      </c>
      <c r="HK24">
        <v>999.9</v>
      </c>
      <c r="HL24">
        <v>1.87592</v>
      </c>
      <c r="HM24">
        <v>1.8763700000000001</v>
      </c>
      <c r="HN24">
        <v>1.87608</v>
      </c>
      <c r="HO24">
        <v>1.8800399999999999</v>
      </c>
      <c r="HP24">
        <v>1.87347</v>
      </c>
      <c r="HQ24">
        <v>1.8766799999999999</v>
      </c>
      <c r="HR24">
        <v>1.8763799999999999</v>
      </c>
      <c r="HS24">
        <v>1.87778</v>
      </c>
      <c r="HT24">
        <v>0</v>
      </c>
      <c r="HU24">
        <v>0</v>
      </c>
      <c r="HV24">
        <v>0</v>
      </c>
      <c r="HW24">
        <v>0</v>
      </c>
      <c r="HX24" t="s">
        <v>421</v>
      </c>
      <c r="HY24" t="s">
        <v>422</v>
      </c>
      <c r="HZ24" t="s">
        <v>423</v>
      </c>
      <c r="IA24" t="s">
        <v>424</v>
      </c>
      <c r="IB24" t="s">
        <v>424</v>
      </c>
      <c r="IC24" t="s">
        <v>423</v>
      </c>
      <c r="ID24">
        <v>0</v>
      </c>
      <c r="IE24">
        <v>100</v>
      </c>
      <c r="IF24">
        <v>100</v>
      </c>
      <c r="IG24">
        <v>1.27</v>
      </c>
      <c r="IH24">
        <v>0.30759999999999998</v>
      </c>
      <c r="II24">
        <v>1.037014121663635</v>
      </c>
      <c r="IJ24">
        <v>8.9576739069318506E-4</v>
      </c>
      <c r="IK24">
        <v>-7.2130504814809596E-7</v>
      </c>
      <c r="IL24">
        <v>1.9987036519832741E-10</v>
      </c>
      <c r="IM24">
        <v>0.30760000000000082</v>
      </c>
      <c r="IN24">
        <v>0</v>
      </c>
      <c r="IO24">
        <v>0</v>
      </c>
      <c r="IP24">
        <v>0</v>
      </c>
      <c r="IQ24">
        <v>1</v>
      </c>
      <c r="IR24">
        <v>2126</v>
      </c>
      <c r="IS24">
        <v>0</v>
      </c>
      <c r="IT24">
        <v>20</v>
      </c>
      <c r="IU24">
        <v>0.6</v>
      </c>
      <c r="IV24">
        <v>0.6</v>
      </c>
      <c r="IW24">
        <v>1.0376000000000001</v>
      </c>
      <c r="IX24">
        <v>2.64893</v>
      </c>
      <c r="IY24">
        <v>1.69434</v>
      </c>
      <c r="IZ24">
        <v>2.3547400000000001</v>
      </c>
      <c r="JA24">
        <v>1.5466299999999999</v>
      </c>
      <c r="JB24">
        <v>2.4084500000000002</v>
      </c>
      <c r="JC24">
        <v>40.171300000000002</v>
      </c>
      <c r="JD24">
        <v>23.605899999999998</v>
      </c>
      <c r="JE24">
        <v>18</v>
      </c>
      <c r="JF24">
        <v>498.68400000000003</v>
      </c>
      <c r="JG24">
        <v>526.78300000000002</v>
      </c>
      <c r="JH24">
        <v>27.121400000000001</v>
      </c>
      <c r="JI24">
        <v>32.898400000000002</v>
      </c>
      <c r="JJ24">
        <v>29.9999</v>
      </c>
      <c r="JK24">
        <v>32.804200000000002</v>
      </c>
      <c r="JL24">
        <v>32.749400000000001</v>
      </c>
      <c r="JM24">
        <v>20.849900000000002</v>
      </c>
      <c r="JN24">
        <v>29.220099999999999</v>
      </c>
      <c r="JO24">
        <v>93.586399999999998</v>
      </c>
      <c r="JP24">
        <v>27.164200000000001</v>
      </c>
      <c r="JQ24">
        <v>400</v>
      </c>
      <c r="JR24">
        <v>23.8353</v>
      </c>
      <c r="JS24">
        <v>99.052000000000007</v>
      </c>
      <c r="JT24">
        <v>98.959500000000006</v>
      </c>
    </row>
    <row r="25" spans="1:280" x14ac:dyDescent="0.25">
      <c r="A25">
        <v>9</v>
      </c>
      <c r="B25">
        <v>1700236439.0999999</v>
      </c>
      <c r="C25">
        <v>1213.5</v>
      </c>
      <c r="D25" t="s">
        <v>455</v>
      </c>
      <c r="E25" t="s">
        <v>456</v>
      </c>
      <c r="F25" t="s">
        <v>412</v>
      </c>
      <c r="G25" t="s">
        <v>413</v>
      </c>
      <c r="H25" t="s">
        <v>414</v>
      </c>
      <c r="I25">
        <v>1700236439.0999999</v>
      </c>
      <c r="J25">
        <f t="shared" si="0"/>
        <v>4.5820494514103574E-3</v>
      </c>
      <c r="K25">
        <f t="shared" si="1"/>
        <v>4.5820494514103576</v>
      </c>
      <c r="L25">
        <f t="shared" si="2"/>
        <v>37.014071765888232</v>
      </c>
      <c r="M25">
        <f t="shared" si="3"/>
        <v>257.84399999999999</v>
      </c>
      <c r="N25">
        <f t="shared" si="4"/>
        <v>61.164121427917927</v>
      </c>
      <c r="O25">
        <f t="shared" si="5"/>
        <v>6.0384846482758823</v>
      </c>
      <c r="P25">
        <f t="shared" si="6"/>
        <v>25.455888179231998</v>
      </c>
      <c r="Q25">
        <f t="shared" si="7"/>
        <v>0.32274272523829939</v>
      </c>
      <c r="R25">
        <f t="shared" si="8"/>
        <v>2.9934810578459854</v>
      </c>
      <c r="S25">
        <f t="shared" si="9"/>
        <v>0.30458247168220215</v>
      </c>
      <c r="T25">
        <f t="shared" si="10"/>
        <v>0.19191046656024369</v>
      </c>
      <c r="U25">
        <f t="shared" si="11"/>
        <v>289.57822184753593</v>
      </c>
      <c r="V25">
        <f t="shared" si="12"/>
        <v>30.722276816313531</v>
      </c>
      <c r="W25">
        <f t="shared" si="13"/>
        <v>29.975300000000001</v>
      </c>
      <c r="X25">
        <f t="shared" si="14"/>
        <v>4.2544090044021639</v>
      </c>
      <c r="Y25">
        <f t="shared" si="15"/>
        <v>65.425172116975716</v>
      </c>
      <c r="Z25">
        <f t="shared" si="16"/>
        <v>2.8224360652207996</v>
      </c>
      <c r="AA25">
        <f t="shared" si="17"/>
        <v>4.3139910433471655</v>
      </c>
      <c r="AB25">
        <f t="shared" si="18"/>
        <v>1.4319729391813643</v>
      </c>
      <c r="AC25">
        <f t="shared" si="19"/>
        <v>-202.06838080719675</v>
      </c>
      <c r="AD25">
        <f t="shared" si="20"/>
        <v>39.103476656560659</v>
      </c>
      <c r="AE25">
        <f t="shared" si="21"/>
        <v>2.9073189827736239</v>
      </c>
      <c r="AF25">
        <f t="shared" si="22"/>
        <v>129.52063667967349</v>
      </c>
      <c r="AG25">
        <v>0</v>
      </c>
      <c r="AH25">
        <v>0</v>
      </c>
      <c r="AI25">
        <f t="shared" si="23"/>
        <v>1</v>
      </c>
      <c r="AJ25">
        <f t="shared" si="24"/>
        <v>0</v>
      </c>
      <c r="AK25">
        <f t="shared" si="25"/>
        <v>51485.595138723744</v>
      </c>
      <c r="AL25" t="s">
        <v>427</v>
      </c>
      <c r="AM25" t="s">
        <v>427</v>
      </c>
      <c r="AN25">
        <v>0</v>
      </c>
      <c r="AO25">
        <v>0</v>
      </c>
      <c r="AP25" t="e">
        <f t="shared" si="26"/>
        <v>#DIV/0!</v>
      </c>
      <c r="AQ25">
        <v>0</v>
      </c>
      <c r="AR25" t="s">
        <v>427</v>
      </c>
      <c r="AS25" t="s">
        <v>427</v>
      </c>
      <c r="AT25">
        <v>0</v>
      </c>
      <c r="AU25">
        <v>0</v>
      </c>
      <c r="AV25" t="e">
        <f t="shared" si="27"/>
        <v>#DIV/0!</v>
      </c>
      <c r="AW25">
        <v>0.5</v>
      </c>
      <c r="AX25">
        <f t="shared" si="28"/>
        <v>1513.2437999210031</v>
      </c>
      <c r="AY25">
        <f t="shared" si="29"/>
        <v>37.014071765888232</v>
      </c>
      <c r="AZ25" t="e">
        <f t="shared" si="30"/>
        <v>#DIV/0!</v>
      </c>
      <c r="BA25">
        <f t="shared" si="31"/>
        <v>2.4460084863933033E-2</v>
      </c>
      <c r="BB25" t="e">
        <f t="shared" si="32"/>
        <v>#DIV/0!</v>
      </c>
      <c r="BC25" t="e">
        <f t="shared" si="33"/>
        <v>#DIV/0!</v>
      </c>
      <c r="BD25" t="s">
        <v>427</v>
      </c>
      <c r="BE25">
        <v>0</v>
      </c>
      <c r="BF25" t="e">
        <f t="shared" si="34"/>
        <v>#DIV/0!</v>
      </c>
      <c r="BG25" t="e">
        <f t="shared" si="35"/>
        <v>#DIV/0!</v>
      </c>
      <c r="BH25" t="e">
        <f t="shared" si="36"/>
        <v>#DIV/0!</v>
      </c>
      <c r="BI25" t="e">
        <f t="shared" si="37"/>
        <v>#DIV/0!</v>
      </c>
      <c r="BJ25" t="e">
        <f t="shared" si="38"/>
        <v>#DIV/0!</v>
      </c>
      <c r="BK25" t="e">
        <f t="shared" si="39"/>
        <v>#DIV/0!</v>
      </c>
      <c r="BL25" t="e">
        <f t="shared" si="40"/>
        <v>#DIV/0!</v>
      </c>
      <c r="BM25" t="e">
        <f t="shared" si="41"/>
        <v>#DIV/0!</v>
      </c>
      <c r="BN25">
        <v>151</v>
      </c>
      <c r="BO25">
        <v>290.00000000000011</v>
      </c>
      <c r="BP25">
        <v>852.02</v>
      </c>
      <c r="BQ25">
        <v>295</v>
      </c>
      <c r="BR25">
        <v>7121.74</v>
      </c>
      <c r="BS25">
        <v>854.04</v>
      </c>
      <c r="BT25">
        <v>-2.02</v>
      </c>
      <c r="BU25">
        <v>300.00000000000011</v>
      </c>
      <c r="BV25">
        <v>38.200000000000003</v>
      </c>
      <c r="BW25">
        <v>922.67540190914735</v>
      </c>
      <c r="BX25">
        <v>1.6789482106927971</v>
      </c>
      <c r="BY25">
        <v>-48.882253005962632</v>
      </c>
      <c r="BZ25">
        <v>1.0022579725942899</v>
      </c>
      <c r="CA25">
        <v>0.98836591053097334</v>
      </c>
      <c r="CB25">
        <v>-7.0277833147942221E-3</v>
      </c>
      <c r="CC25">
        <v>289.99999999999989</v>
      </c>
      <c r="CD25">
        <v>860.67</v>
      </c>
      <c r="CE25">
        <v>885</v>
      </c>
      <c r="CF25">
        <v>7116.12</v>
      </c>
      <c r="CG25">
        <v>853.98</v>
      </c>
      <c r="CH25">
        <v>6.69</v>
      </c>
      <c r="CV25">
        <f t="shared" si="42"/>
        <v>1800.07</v>
      </c>
      <c r="CW25">
        <f t="shared" si="43"/>
        <v>1513.2437999210031</v>
      </c>
      <c r="CX25">
        <f t="shared" si="44"/>
        <v>0.84065830768859162</v>
      </c>
      <c r="CY25">
        <f t="shared" si="45"/>
        <v>0.16087053383898178</v>
      </c>
      <c r="CZ25">
        <v>5.52</v>
      </c>
      <c r="DA25">
        <v>0.5</v>
      </c>
      <c r="DB25" t="s">
        <v>418</v>
      </c>
      <c r="DC25">
        <v>2</v>
      </c>
      <c r="DD25">
        <v>1700236439.0999999</v>
      </c>
      <c r="DE25">
        <v>257.84399999999999</v>
      </c>
      <c r="DF25">
        <v>299.995</v>
      </c>
      <c r="DG25">
        <v>28.5886</v>
      </c>
      <c r="DH25">
        <v>23.676600000000001</v>
      </c>
      <c r="DI25">
        <v>256.69400000000002</v>
      </c>
      <c r="DJ25">
        <v>28.282800000000002</v>
      </c>
      <c r="DK25">
        <v>500.2</v>
      </c>
      <c r="DL25">
        <v>98.625500000000002</v>
      </c>
      <c r="DM25">
        <v>0.100428</v>
      </c>
      <c r="DN25">
        <v>30.217600000000001</v>
      </c>
      <c r="DO25">
        <v>29.975300000000001</v>
      </c>
      <c r="DP25">
        <v>999.9</v>
      </c>
      <c r="DQ25">
        <v>0</v>
      </c>
      <c r="DR25">
        <v>0</v>
      </c>
      <c r="DS25">
        <v>9977.5</v>
      </c>
      <c r="DT25">
        <v>0</v>
      </c>
      <c r="DU25">
        <v>292.642</v>
      </c>
      <c r="DV25">
        <v>-42.151699999999998</v>
      </c>
      <c r="DW25">
        <v>265.43200000000002</v>
      </c>
      <c r="DX25">
        <v>307.27</v>
      </c>
      <c r="DY25">
        <v>4.9120400000000002</v>
      </c>
      <c r="DZ25">
        <v>299.995</v>
      </c>
      <c r="EA25">
        <v>23.676600000000001</v>
      </c>
      <c r="EB25">
        <v>2.8195700000000001</v>
      </c>
      <c r="EC25">
        <v>2.3351199999999999</v>
      </c>
      <c r="ED25">
        <v>22.999099999999999</v>
      </c>
      <c r="EE25">
        <v>19.9207</v>
      </c>
      <c r="EF25">
        <v>1800.07</v>
      </c>
      <c r="EG25">
        <v>0.97799599999999998</v>
      </c>
      <c r="EH25">
        <v>2.20039E-2</v>
      </c>
      <c r="EI25">
        <v>0</v>
      </c>
      <c r="EJ25">
        <v>674.56</v>
      </c>
      <c r="EK25">
        <v>5.0001199999999999</v>
      </c>
      <c r="EL25">
        <v>12203.2</v>
      </c>
      <c r="EM25">
        <v>15630.5</v>
      </c>
      <c r="EN25">
        <v>50.061999999999998</v>
      </c>
      <c r="EO25">
        <v>51.125</v>
      </c>
      <c r="EP25">
        <v>50.936999999999998</v>
      </c>
      <c r="EQ25">
        <v>51</v>
      </c>
      <c r="ER25">
        <v>51.625</v>
      </c>
      <c r="ES25">
        <v>1755.57</v>
      </c>
      <c r="ET25">
        <v>39.5</v>
      </c>
      <c r="EU25">
        <v>0</v>
      </c>
      <c r="EV25">
        <v>115.2000000476837</v>
      </c>
      <c r="EW25">
        <v>0</v>
      </c>
      <c r="EX25">
        <v>674.18419230769234</v>
      </c>
      <c r="EY25">
        <v>-0.1071794694647507</v>
      </c>
      <c r="EZ25">
        <v>-15.958974329971181</v>
      </c>
      <c r="FA25">
        <v>12205.33076923077</v>
      </c>
      <c r="FB25">
        <v>15</v>
      </c>
      <c r="FC25">
        <v>1700236402.5999999</v>
      </c>
      <c r="FD25" t="s">
        <v>457</v>
      </c>
      <c r="FE25">
        <v>1700236401.0999999</v>
      </c>
      <c r="FF25">
        <v>1700236402.5999999</v>
      </c>
      <c r="FG25">
        <v>10</v>
      </c>
      <c r="FH25">
        <v>-7.3999999999999996E-2</v>
      </c>
      <c r="FI25">
        <v>-2E-3</v>
      </c>
      <c r="FJ25">
        <v>1.1719999999999999</v>
      </c>
      <c r="FK25">
        <v>0.30599999999999999</v>
      </c>
      <c r="FL25">
        <v>300</v>
      </c>
      <c r="FM25">
        <v>24</v>
      </c>
      <c r="FN25">
        <v>0.05</v>
      </c>
      <c r="FO25">
        <v>0.02</v>
      </c>
      <c r="FP25">
        <v>36.861911914545061</v>
      </c>
      <c r="FQ25">
        <v>0.60327882937273358</v>
      </c>
      <c r="FR25">
        <v>5.4288631143600233E-2</v>
      </c>
      <c r="FS25">
        <v>1</v>
      </c>
      <c r="FT25">
        <v>0.31904616547722692</v>
      </c>
      <c r="FU25">
        <v>4.2624263101994408E-2</v>
      </c>
      <c r="FV25">
        <v>3.2659566381631061E-3</v>
      </c>
      <c r="FW25">
        <v>1</v>
      </c>
      <c r="FX25">
        <v>2</v>
      </c>
      <c r="FY25">
        <v>2</v>
      </c>
      <c r="FZ25" t="s">
        <v>420</v>
      </c>
      <c r="GA25">
        <v>2.91784</v>
      </c>
      <c r="GB25">
        <v>2.7512400000000001</v>
      </c>
      <c r="GC25">
        <v>6.3372600000000001E-2</v>
      </c>
      <c r="GD25">
        <v>7.34065E-2</v>
      </c>
      <c r="GE25">
        <v>0.12928200000000001</v>
      </c>
      <c r="GF25">
        <v>0.11581</v>
      </c>
      <c r="GG25">
        <v>29085.599999999999</v>
      </c>
      <c r="GH25">
        <v>28640.9</v>
      </c>
      <c r="GI25">
        <v>28280.799999999999</v>
      </c>
      <c r="GJ25">
        <v>28259.9</v>
      </c>
      <c r="GK25">
        <v>33555.1</v>
      </c>
      <c r="GL25">
        <v>34885.199999999997</v>
      </c>
      <c r="GM25">
        <v>42485.9</v>
      </c>
      <c r="GN25">
        <v>43918.2</v>
      </c>
      <c r="GO25">
        <v>1.7746</v>
      </c>
      <c r="GP25">
        <v>1.9536500000000001</v>
      </c>
      <c r="GQ25">
        <v>6.3665200000000005E-2</v>
      </c>
      <c r="GR25">
        <v>0</v>
      </c>
      <c r="GS25">
        <v>28.938300000000002</v>
      </c>
      <c r="GT25">
        <v>999.9</v>
      </c>
      <c r="GU25">
        <v>58.9</v>
      </c>
      <c r="GV25">
        <v>34</v>
      </c>
      <c r="GW25">
        <v>31.906400000000001</v>
      </c>
      <c r="GX25">
        <v>60.559100000000001</v>
      </c>
      <c r="GY25">
        <v>31.714700000000001</v>
      </c>
      <c r="GZ25">
        <v>1</v>
      </c>
      <c r="HA25">
        <v>0.45441300000000001</v>
      </c>
      <c r="HB25">
        <v>1.8284</v>
      </c>
      <c r="HC25">
        <v>20.261299999999999</v>
      </c>
      <c r="HD25">
        <v>5.2767400000000002</v>
      </c>
      <c r="HE25">
        <v>12.0878</v>
      </c>
      <c r="HF25">
        <v>5.0130499999999998</v>
      </c>
      <c r="HG25">
        <v>3.2914500000000002</v>
      </c>
      <c r="HH25">
        <v>9999</v>
      </c>
      <c r="HI25">
        <v>9999</v>
      </c>
      <c r="HJ25">
        <v>9999</v>
      </c>
      <c r="HK25">
        <v>999.9</v>
      </c>
      <c r="HL25">
        <v>1.87592</v>
      </c>
      <c r="HM25">
        <v>1.8763700000000001</v>
      </c>
      <c r="HN25">
        <v>1.8760699999999999</v>
      </c>
      <c r="HO25">
        <v>1.8800399999999999</v>
      </c>
      <c r="HP25">
        <v>1.87348</v>
      </c>
      <c r="HQ25">
        <v>1.8766799999999999</v>
      </c>
      <c r="HR25">
        <v>1.87639</v>
      </c>
      <c r="HS25">
        <v>1.87781</v>
      </c>
      <c r="HT25">
        <v>0</v>
      </c>
      <c r="HU25">
        <v>0</v>
      </c>
      <c r="HV25">
        <v>0</v>
      </c>
      <c r="HW25">
        <v>0</v>
      </c>
      <c r="HX25" t="s">
        <v>421</v>
      </c>
      <c r="HY25" t="s">
        <v>422</v>
      </c>
      <c r="HZ25" t="s">
        <v>423</v>
      </c>
      <c r="IA25" t="s">
        <v>424</v>
      </c>
      <c r="IB25" t="s">
        <v>424</v>
      </c>
      <c r="IC25" t="s">
        <v>423</v>
      </c>
      <c r="ID25">
        <v>0</v>
      </c>
      <c r="IE25">
        <v>100</v>
      </c>
      <c r="IF25">
        <v>100</v>
      </c>
      <c r="IG25">
        <v>1.1499999999999999</v>
      </c>
      <c r="IH25">
        <v>0.30580000000000002</v>
      </c>
      <c r="II25">
        <v>0.96332498456600335</v>
      </c>
      <c r="IJ25">
        <v>8.9576739069318506E-4</v>
      </c>
      <c r="IK25">
        <v>-7.2130504814809596E-7</v>
      </c>
      <c r="IL25">
        <v>1.9987036519832741E-10</v>
      </c>
      <c r="IM25">
        <v>0.30588499999999641</v>
      </c>
      <c r="IN25">
        <v>0</v>
      </c>
      <c r="IO25">
        <v>0</v>
      </c>
      <c r="IP25">
        <v>0</v>
      </c>
      <c r="IQ25">
        <v>1</v>
      </c>
      <c r="IR25">
        <v>2126</v>
      </c>
      <c r="IS25">
        <v>0</v>
      </c>
      <c r="IT25">
        <v>20</v>
      </c>
      <c r="IU25">
        <v>0.6</v>
      </c>
      <c r="IV25">
        <v>0.6</v>
      </c>
      <c r="IW25">
        <v>0.82763699999999996</v>
      </c>
      <c r="IX25">
        <v>2.65747</v>
      </c>
      <c r="IY25">
        <v>1.69434</v>
      </c>
      <c r="IZ25">
        <v>2.3535200000000001</v>
      </c>
      <c r="JA25">
        <v>1.5466299999999999</v>
      </c>
      <c r="JB25">
        <v>2.4035600000000001</v>
      </c>
      <c r="JC25">
        <v>40.298200000000001</v>
      </c>
      <c r="JD25">
        <v>23.6935</v>
      </c>
      <c r="JE25">
        <v>18</v>
      </c>
      <c r="JF25">
        <v>499.488</v>
      </c>
      <c r="JG25">
        <v>524.971</v>
      </c>
      <c r="JH25">
        <v>27.4268</v>
      </c>
      <c r="JI25">
        <v>32.927199999999999</v>
      </c>
      <c r="JJ25">
        <v>30</v>
      </c>
      <c r="JK25">
        <v>32.855600000000003</v>
      </c>
      <c r="JL25">
        <v>32.803100000000001</v>
      </c>
      <c r="JM25">
        <v>16.639399999999998</v>
      </c>
      <c r="JN25">
        <v>30.138000000000002</v>
      </c>
      <c r="JO25">
        <v>91.279600000000002</v>
      </c>
      <c r="JP25">
        <v>27.449400000000001</v>
      </c>
      <c r="JQ25">
        <v>300</v>
      </c>
      <c r="JR25">
        <v>23.598400000000002</v>
      </c>
      <c r="JS25">
        <v>99.061400000000006</v>
      </c>
      <c r="JT25">
        <v>98.959800000000001</v>
      </c>
    </row>
    <row r="26" spans="1:280" x14ac:dyDescent="0.25">
      <c r="A26">
        <v>10</v>
      </c>
      <c r="B26">
        <v>1700236595.5</v>
      </c>
      <c r="C26">
        <v>1369.900000095367</v>
      </c>
      <c r="D26" t="s">
        <v>458</v>
      </c>
      <c r="E26" t="s">
        <v>459</v>
      </c>
      <c r="F26" t="s">
        <v>412</v>
      </c>
      <c r="G26" t="s">
        <v>413</v>
      </c>
      <c r="H26" t="s">
        <v>414</v>
      </c>
      <c r="I26">
        <v>1700236595.5</v>
      </c>
      <c r="J26">
        <f t="shared" si="0"/>
        <v>5.4694839706453955E-3</v>
      </c>
      <c r="K26">
        <f t="shared" si="1"/>
        <v>5.4694839706453955</v>
      </c>
      <c r="L26">
        <f t="shared" si="2"/>
        <v>28.703522198026402</v>
      </c>
      <c r="M26">
        <f t="shared" si="3"/>
        <v>167.26</v>
      </c>
      <c r="N26">
        <f t="shared" si="4"/>
        <v>42.668937145493508</v>
      </c>
      <c r="O26">
        <f t="shared" si="5"/>
        <v>4.2125832832756407</v>
      </c>
      <c r="P26">
        <f t="shared" si="6"/>
        <v>16.513105952419998</v>
      </c>
      <c r="Q26">
        <f t="shared" si="7"/>
        <v>0.3997570027632244</v>
      </c>
      <c r="R26">
        <f t="shared" si="8"/>
        <v>2.9929270263139403</v>
      </c>
      <c r="S26">
        <f t="shared" si="9"/>
        <v>0.37228663901695563</v>
      </c>
      <c r="T26">
        <f t="shared" si="10"/>
        <v>0.23498975773697217</v>
      </c>
      <c r="U26">
        <f t="shared" si="11"/>
        <v>289.58460584753931</v>
      </c>
      <c r="V26">
        <f t="shared" si="12"/>
        <v>30.688125147557592</v>
      </c>
      <c r="W26">
        <f t="shared" si="13"/>
        <v>29.982600000000001</v>
      </c>
      <c r="X26">
        <f t="shared" si="14"/>
        <v>4.2561935550582763</v>
      </c>
      <c r="Y26">
        <f t="shared" si="15"/>
        <v>65.526347799117389</v>
      </c>
      <c r="Z26">
        <f t="shared" si="16"/>
        <v>2.8579935211827996</v>
      </c>
      <c r="AA26">
        <f t="shared" si="17"/>
        <v>4.3615944077098332</v>
      </c>
      <c r="AB26">
        <f t="shared" si="18"/>
        <v>1.3982000338754768</v>
      </c>
      <c r="AC26">
        <f t="shared" si="19"/>
        <v>-241.20424310546193</v>
      </c>
      <c r="AD26">
        <f t="shared" si="20"/>
        <v>68.817771805884291</v>
      </c>
      <c r="AE26">
        <f t="shared" si="21"/>
        <v>5.1225435496558038</v>
      </c>
      <c r="AF26">
        <f t="shared" si="22"/>
        <v>122.32067809761747</v>
      </c>
      <c r="AG26">
        <v>0</v>
      </c>
      <c r="AH26">
        <v>0</v>
      </c>
      <c r="AI26">
        <f t="shared" si="23"/>
        <v>1</v>
      </c>
      <c r="AJ26">
        <f t="shared" si="24"/>
        <v>0</v>
      </c>
      <c r="AK26">
        <f t="shared" si="25"/>
        <v>51438.231761144823</v>
      </c>
      <c r="AL26" t="s">
        <v>415</v>
      </c>
      <c r="AM26">
        <v>6960.3</v>
      </c>
      <c r="AN26">
        <v>244.8124</v>
      </c>
      <c r="AO26">
        <v>892.86711584811997</v>
      </c>
      <c r="AP26">
        <f t="shared" si="26"/>
        <v>0.72581317459826411</v>
      </c>
      <c r="AQ26">
        <v>-0.43209471141234851</v>
      </c>
      <c r="AR26" t="s">
        <v>460</v>
      </c>
      <c r="AS26">
        <v>7121.88</v>
      </c>
      <c r="AT26">
        <v>692.1464400000001</v>
      </c>
      <c r="AU26">
        <v>856.08831788659313</v>
      </c>
      <c r="AV26">
        <f t="shared" si="27"/>
        <v>0.19150112723335933</v>
      </c>
      <c r="AW26">
        <v>0.5</v>
      </c>
      <c r="AX26">
        <f t="shared" si="28"/>
        <v>1513.2773999210046</v>
      </c>
      <c r="AY26">
        <f t="shared" si="29"/>
        <v>28.703522198026402</v>
      </c>
      <c r="AZ26">
        <f t="shared" si="30"/>
        <v>144.89716395081976</v>
      </c>
      <c r="BA26">
        <f t="shared" si="31"/>
        <v>1.9253321903148539E-2</v>
      </c>
      <c r="BB26">
        <f t="shared" si="32"/>
        <v>4.2961452916822719E-2</v>
      </c>
      <c r="BC26">
        <f t="shared" si="33"/>
        <v>241.96221470814172</v>
      </c>
      <c r="BD26" t="s">
        <v>461</v>
      </c>
      <c r="BE26">
        <v>463.61</v>
      </c>
      <c r="BF26">
        <f t="shared" si="34"/>
        <v>463.61</v>
      </c>
      <c r="BG26">
        <f t="shared" si="35"/>
        <v>0.45845540662848427</v>
      </c>
      <c r="BH26">
        <f t="shared" si="36"/>
        <v>0.417709387793402</v>
      </c>
      <c r="BI26">
        <f t="shared" si="37"/>
        <v>8.5680112463272326E-2</v>
      </c>
      <c r="BJ26">
        <f t="shared" si="38"/>
        <v>0.26819619927675331</v>
      </c>
      <c r="BK26">
        <f t="shared" si="39"/>
        <v>5.6752612182435574E-2</v>
      </c>
      <c r="BL26">
        <f t="shared" si="40"/>
        <v>0.27978797272279415</v>
      </c>
      <c r="BM26">
        <f t="shared" si="41"/>
        <v>0.7202120272772059</v>
      </c>
      <c r="BN26">
        <v>153</v>
      </c>
      <c r="BO26">
        <v>290.00000000000011</v>
      </c>
      <c r="BP26">
        <v>811.34</v>
      </c>
      <c r="BQ26">
        <v>295</v>
      </c>
      <c r="BR26">
        <v>7121.88</v>
      </c>
      <c r="BS26">
        <v>812.45</v>
      </c>
      <c r="BT26">
        <v>-1.1100000000000001</v>
      </c>
      <c r="BU26">
        <v>300.00000000000011</v>
      </c>
      <c r="BV26">
        <v>38.200000000000003</v>
      </c>
      <c r="BW26">
        <v>856.08831788659313</v>
      </c>
      <c r="BX26">
        <v>1.6063471984377391</v>
      </c>
      <c r="BY26">
        <v>-31.081903986642359</v>
      </c>
      <c r="BZ26">
        <v>0.95894122376321222</v>
      </c>
      <c r="CA26">
        <v>0.97404006498848061</v>
      </c>
      <c r="CB26">
        <v>-7.0277946607341518E-3</v>
      </c>
      <c r="CC26">
        <v>289.99999999999989</v>
      </c>
      <c r="CD26">
        <v>816.31</v>
      </c>
      <c r="CE26">
        <v>735</v>
      </c>
      <c r="CF26">
        <v>7117.97</v>
      </c>
      <c r="CG26">
        <v>812.42</v>
      </c>
      <c r="CH26">
        <v>3.89</v>
      </c>
      <c r="CV26">
        <f t="shared" si="42"/>
        <v>1800.11</v>
      </c>
      <c r="CW26">
        <f t="shared" si="43"/>
        <v>1513.2773999210046</v>
      </c>
      <c r="CX26">
        <f t="shared" si="44"/>
        <v>0.84065829306042672</v>
      </c>
      <c r="CY26">
        <f t="shared" si="45"/>
        <v>0.16087050560662366</v>
      </c>
      <c r="CZ26">
        <v>5.52</v>
      </c>
      <c r="DA26">
        <v>0.5</v>
      </c>
      <c r="DB26" t="s">
        <v>418</v>
      </c>
      <c r="DC26">
        <v>2</v>
      </c>
      <c r="DD26">
        <v>1700236595.5</v>
      </c>
      <c r="DE26">
        <v>167.26</v>
      </c>
      <c r="DF26">
        <v>199.94800000000001</v>
      </c>
      <c r="DG26">
        <v>28.948399999999999</v>
      </c>
      <c r="DH26">
        <v>23.0868</v>
      </c>
      <c r="DI26">
        <v>166.244</v>
      </c>
      <c r="DJ26">
        <v>28.653400000000001</v>
      </c>
      <c r="DK26">
        <v>500.16300000000001</v>
      </c>
      <c r="DL26">
        <v>98.626599999999996</v>
      </c>
      <c r="DM26">
        <v>0.100567</v>
      </c>
      <c r="DN26">
        <v>30.409099999999999</v>
      </c>
      <c r="DO26">
        <v>29.982600000000001</v>
      </c>
      <c r="DP26">
        <v>999.9</v>
      </c>
      <c r="DQ26">
        <v>0</v>
      </c>
      <c r="DR26">
        <v>0</v>
      </c>
      <c r="DS26">
        <v>9974.3799999999992</v>
      </c>
      <c r="DT26">
        <v>0</v>
      </c>
      <c r="DU26">
        <v>283.93900000000002</v>
      </c>
      <c r="DV26">
        <v>-32.688000000000002</v>
      </c>
      <c r="DW26">
        <v>172.24700000000001</v>
      </c>
      <c r="DX26">
        <v>204.67400000000001</v>
      </c>
      <c r="DY26">
        <v>5.86165</v>
      </c>
      <c r="DZ26">
        <v>199.94800000000001</v>
      </c>
      <c r="EA26">
        <v>23.0868</v>
      </c>
      <c r="EB26">
        <v>2.8550800000000001</v>
      </c>
      <c r="EC26">
        <v>2.2769699999999999</v>
      </c>
      <c r="ED26">
        <v>23.206099999999999</v>
      </c>
      <c r="EE26">
        <v>19.514399999999998</v>
      </c>
      <c r="EF26">
        <v>1800.11</v>
      </c>
      <c r="EG26">
        <v>0.97799599999999998</v>
      </c>
      <c r="EH26">
        <v>2.20039E-2</v>
      </c>
      <c r="EI26">
        <v>0</v>
      </c>
      <c r="EJ26">
        <v>691.971</v>
      </c>
      <c r="EK26">
        <v>5.0001199999999999</v>
      </c>
      <c r="EL26">
        <v>12500.8</v>
      </c>
      <c r="EM26">
        <v>15630.9</v>
      </c>
      <c r="EN26">
        <v>50</v>
      </c>
      <c r="EO26">
        <v>51</v>
      </c>
      <c r="EP26">
        <v>50.875</v>
      </c>
      <c r="EQ26">
        <v>50.875</v>
      </c>
      <c r="ER26">
        <v>51.561999999999998</v>
      </c>
      <c r="ES26">
        <v>1755.61</v>
      </c>
      <c r="ET26">
        <v>39.5</v>
      </c>
      <c r="EU26">
        <v>0</v>
      </c>
      <c r="EV26">
        <v>271.79999995231628</v>
      </c>
      <c r="EW26">
        <v>0</v>
      </c>
      <c r="EX26">
        <v>692.1464400000001</v>
      </c>
      <c r="EY26">
        <v>-0.87869232102649131</v>
      </c>
      <c r="EZ26">
        <v>-0.76923071737127735</v>
      </c>
      <c r="FA26">
        <v>12500.436</v>
      </c>
      <c r="FB26">
        <v>15</v>
      </c>
      <c r="FC26">
        <v>1700236559</v>
      </c>
      <c r="FD26" t="s">
        <v>462</v>
      </c>
      <c r="FE26">
        <v>1700236552</v>
      </c>
      <c r="FF26">
        <v>1700236559</v>
      </c>
      <c r="FG26">
        <v>11</v>
      </c>
      <c r="FH26">
        <v>-7.6999999999999999E-2</v>
      </c>
      <c r="FI26">
        <v>-1.0999999999999999E-2</v>
      </c>
      <c r="FJ26">
        <v>1.038</v>
      </c>
      <c r="FK26">
        <v>0.29499999999999998</v>
      </c>
      <c r="FL26">
        <v>200</v>
      </c>
      <c r="FM26">
        <v>23</v>
      </c>
      <c r="FN26">
        <v>0.05</v>
      </c>
      <c r="FO26">
        <v>0.01</v>
      </c>
      <c r="FP26">
        <v>28.620360461468181</v>
      </c>
      <c r="FQ26">
        <v>0.39768105444145679</v>
      </c>
      <c r="FR26">
        <v>3.3945924257576067E-2</v>
      </c>
      <c r="FS26">
        <v>1</v>
      </c>
      <c r="FT26">
        <v>0.39523359483519832</v>
      </c>
      <c r="FU26">
        <v>4.508967994957111E-2</v>
      </c>
      <c r="FV26">
        <v>3.49358972727459E-3</v>
      </c>
      <c r="FW26">
        <v>1</v>
      </c>
      <c r="FX26">
        <v>2</v>
      </c>
      <c r="FY26">
        <v>2</v>
      </c>
      <c r="FZ26" t="s">
        <v>420</v>
      </c>
      <c r="GA26">
        <v>2.9178099999999998</v>
      </c>
      <c r="GB26">
        <v>2.75135</v>
      </c>
      <c r="GC26">
        <v>4.3326700000000003E-2</v>
      </c>
      <c r="GD26">
        <v>5.20662E-2</v>
      </c>
      <c r="GE26">
        <v>0.13044</v>
      </c>
      <c r="GF26">
        <v>0.11379400000000001</v>
      </c>
      <c r="GG26">
        <v>29712.2</v>
      </c>
      <c r="GH26">
        <v>29302.799999999999</v>
      </c>
      <c r="GI26">
        <v>28285.1</v>
      </c>
      <c r="GJ26">
        <v>28262.5</v>
      </c>
      <c r="GK26">
        <v>33515.800000000003</v>
      </c>
      <c r="GL26">
        <v>34967.9</v>
      </c>
      <c r="GM26">
        <v>42492.800000000003</v>
      </c>
      <c r="GN26">
        <v>43922.2</v>
      </c>
      <c r="GO26">
        <v>1.7756000000000001</v>
      </c>
      <c r="GP26">
        <v>1.9508799999999999</v>
      </c>
      <c r="GQ26">
        <v>6.1813699999999999E-2</v>
      </c>
      <c r="GR26">
        <v>0</v>
      </c>
      <c r="GS26">
        <v>28.9758</v>
      </c>
      <c r="GT26">
        <v>999.9</v>
      </c>
      <c r="GU26">
        <v>58.2</v>
      </c>
      <c r="GV26">
        <v>34.299999999999997</v>
      </c>
      <c r="GW26">
        <v>32.0623</v>
      </c>
      <c r="GX26">
        <v>61.039000000000001</v>
      </c>
      <c r="GY26">
        <v>31.875</v>
      </c>
      <c r="GZ26">
        <v>1</v>
      </c>
      <c r="HA26">
        <v>0.450069</v>
      </c>
      <c r="HB26">
        <v>1.70896</v>
      </c>
      <c r="HC26">
        <v>20.262599999999999</v>
      </c>
      <c r="HD26">
        <v>5.2716500000000002</v>
      </c>
      <c r="HE26">
        <v>12.0878</v>
      </c>
      <c r="HF26">
        <v>5.0125999999999999</v>
      </c>
      <c r="HG26">
        <v>3.2917800000000002</v>
      </c>
      <c r="HH26">
        <v>9999</v>
      </c>
      <c r="HI26">
        <v>9999</v>
      </c>
      <c r="HJ26">
        <v>9999</v>
      </c>
      <c r="HK26">
        <v>999.9</v>
      </c>
      <c r="HL26">
        <v>1.87592</v>
      </c>
      <c r="HM26">
        <v>1.8763399999999999</v>
      </c>
      <c r="HN26">
        <v>1.8760699999999999</v>
      </c>
      <c r="HO26">
        <v>1.8800399999999999</v>
      </c>
      <c r="HP26">
        <v>1.87347</v>
      </c>
      <c r="HQ26">
        <v>1.8766799999999999</v>
      </c>
      <c r="HR26">
        <v>1.8763799999999999</v>
      </c>
      <c r="HS26">
        <v>1.8777600000000001</v>
      </c>
      <c r="HT26">
        <v>0</v>
      </c>
      <c r="HU26">
        <v>0</v>
      </c>
      <c r="HV26">
        <v>0</v>
      </c>
      <c r="HW26">
        <v>0</v>
      </c>
      <c r="HX26" t="s">
        <v>421</v>
      </c>
      <c r="HY26" t="s">
        <v>422</v>
      </c>
      <c r="HZ26" t="s">
        <v>423</v>
      </c>
      <c r="IA26" t="s">
        <v>424</v>
      </c>
      <c r="IB26" t="s">
        <v>424</v>
      </c>
      <c r="IC26" t="s">
        <v>423</v>
      </c>
      <c r="ID26">
        <v>0</v>
      </c>
      <c r="IE26">
        <v>100</v>
      </c>
      <c r="IF26">
        <v>100</v>
      </c>
      <c r="IG26">
        <v>1.016</v>
      </c>
      <c r="IH26">
        <v>0.29499999999999998</v>
      </c>
      <c r="II26">
        <v>0.88671394279584326</v>
      </c>
      <c r="IJ26">
        <v>8.9576739069318506E-4</v>
      </c>
      <c r="IK26">
        <v>-7.2130504814809596E-7</v>
      </c>
      <c r="IL26">
        <v>1.9987036519832741E-10</v>
      </c>
      <c r="IM26">
        <v>0.29497500000000088</v>
      </c>
      <c r="IN26">
        <v>0</v>
      </c>
      <c r="IO26">
        <v>0</v>
      </c>
      <c r="IP26">
        <v>0</v>
      </c>
      <c r="IQ26">
        <v>1</v>
      </c>
      <c r="IR26">
        <v>2126</v>
      </c>
      <c r="IS26">
        <v>0</v>
      </c>
      <c r="IT26">
        <v>20</v>
      </c>
      <c r="IU26">
        <v>0.7</v>
      </c>
      <c r="IV26">
        <v>0.6</v>
      </c>
      <c r="IW26">
        <v>0.60790999999999995</v>
      </c>
      <c r="IX26">
        <v>2.67334</v>
      </c>
      <c r="IY26">
        <v>1.69434</v>
      </c>
      <c r="IZ26">
        <v>2.35229</v>
      </c>
      <c r="JA26">
        <v>1.5466299999999999</v>
      </c>
      <c r="JB26">
        <v>2.3327599999999999</v>
      </c>
      <c r="JC26">
        <v>40.4255</v>
      </c>
      <c r="JD26">
        <v>23.7285</v>
      </c>
      <c r="JE26">
        <v>18</v>
      </c>
      <c r="JF26">
        <v>500.34199999999998</v>
      </c>
      <c r="JG26">
        <v>523.03200000000004</v>
      </c>
      <c r="JH26">
        <v>27.602699999999999</v>
      </c>
      <c r="JI26">
        <v>32.892099999999999</v>
      </c>
      <c r="JJ26">
        <v>30</v>
      </c>
      <c r="JK26">
        <v>32.861499999999999</v>
      </c>
      <c r="JL26">
        <v>32.816600000000001</v>
      </c>
      <c r="JM26">
        <v>12.2555</v>
      </c>
      <c r="JN26">
        <v>31.942299999999999</v>
      </c>
      <c r="JO26">
        <v>87.16</v>
      </c>
      <c r="JP26">
        <v>27.662500000000001</v>
      </c>
      <c r="JQ26">
        <v>200</v>
      </c>
      <c r="JR26">
        <v>23.006699999999999</v>
      </c>
      <c r="JS26">
        <v>99.077200000000005</v>
      </c>
      <c r="JT26">
        <v>98.968800000000002</v>
      </c>
    </row>
    <row r="27" spans="1:280" x14ac:dyDescent="0.25">
      <c r="A27">
        <v>11</v>
      </c>
      <c r="B27">
        <v>1700236726</v>
      </c>
      <c r="C27">
        <v>1500.400000095367</v>
      </c>
      <c r="D27" t="s">
        <v>463</v>
      </c>
      <c r="E27" t="s">
        <v>464</v>
      </c>
      <c r="F27" t="s">
        <v>412</v>
      </c>
      <c r="G27" t="s">
        <v>413</v>
      </c>
      <c r="H27" t="s">
        <v>414</v>
      </c>
      <c r="I27">
        <v>1700236726</v>
      </c>
      <c r="J27">
        <f t="shared" si="0"/>
        <v>5.9137362951274556E-3</v>
      </c>
      <c r="K27">
        <f t="shared" si="1"/>
        <v>5.9137362951274559</v>
      </c>
      <c r="L27">
        <f t="shared" si="2"/>
        <v>18.510961832072649</v>
      </c>
      <c r="M27">
        <f t="shared" si="3"/>
        <v>98.911199999999994</v>
      </c>
      <c r="N27">
        <f t="shared" si="4"/>
        <v>25.504111758270358</v>
      </c>
      <c r="O27">
        <f t="shared" si="5"/>
        <v>2.5179317915193256</v>
      </c>
      <c r="P27">
        <f t="shared" si="6"/>
        <v>9.7651569824448003</v>
      </c>
      <c r="Q27">
        <f t="shared" si="7"/>
        <v>0.44003513537262023</v>
      </c>
      <c r="R27">
        <f t="shared" si="8"/>
        <v>3.0013125579951625</v>
      </c>
      <c r="S27">
        <f t="shared" si="9"/>
        <v>0.40708032928427806</v>
      </c>
      <c r="T27">
        <f t="shared" si="10"/>
        <v>0.25718008923486846</v>
      </c>
      <c r="U27">
        <f t="shared" si="11"/>
        <v>289.5925858475436</v>
      </c>
      <c r="V27">
        <f t="shared" si="12"/>
        <v>30.564249811951665</v>
      </c>
      <c r="W27">
        <f t="shared" si="13"/>
        <v>29.958100000000002</v>
      </c>
      <c r="X27">
        <f t="shared" si="14"/>
        <v>4.2502068877584405</v>
      </c>
      <c r="Y27">
        <f t="shared" si="15"/>
        <v>65.788187960429042</v>
      </c>
      <c r="Z27">
        <f t="shared" si="16"/>
        <v>2.8676890163872004</v>
      </c>
      <c r="AA27">
        <f t="shared" si="17"/>
        <v>4.3589724923144066</v>
      </c>
      <c r="AB27">
        <f t="shared" si="18"/>
        <v>1.38251787137124</v>
      </c>
      <c r="AC27">
        <f t="shared" si="19"/>
        <v>-260.79577061512077</v>
      </c>
      <c r="AD27">
        <f t="shared" si="20"/>
        <v>71.27587893703226</v>
      </c>
      <c r="AE27">
        <f t="shared" si="21"/>
        <v>5.2897768089162023</v>
      </c>
      <c r="AF27">
        <f t="shared" si="22"/>
        <v>105.36247097837129</v>
      </c>
      <c r="AG27">
        <v>0</v>
      </c>
      <c r="AH27">
        <v>0</v>
      </c>
      <c r="AI27">
        <f t="shared" si="23"/>
        <v>1</v>
      </c>
      <c r="AJ27">
        <f t="shared" si="24"/>
        <v>0</v>
      </c>
      <c r="AK27">
        <f t="shared" si="25"/>
        <v>51665.558107337034</v>
      </c>
      <c r="AL27" t="s">
        <v>427</v>
      </c>
      <c r="AM27" t="s">
        <v>427</v>
      </c>
      <c r="AN27">
        <v>0</v>
      </c>
      <c r="AO27">
        <v>0</v>
      </c>
      <c r="AP27" t="e">
        <f t="shared" si="26"/>
        <v>#DIV/0!</v>
      </c>
      <c r="AQ27">
        <v>0</v>
      </c>
      <c r="AR27" t="s">
        <v>427</v>
      </c>
      <c r="AS27" t="s">
        <v>427</v>
      </c>
      <c r="AT27">
        <v>0</v>
      </c>
      <c r="AU27">
        <v>0</v>
      </c>
      <c r="AV27" t="e">
        <f t="shared" si="27"/>
        <v>#DIV/0!</v>
      </c>
      <c r="AW27">
        <v>0.5</v>
      </c>
      <c r="AX27">
        <f t="shared" si="28"/>
        <v>1513.3193999210073</v>
      </c>
      <c r="AY27">
        <f t="shared" si="29"/>
        <v>18.510961832072649</v>
      </c>
      <c r="AZ27" t="e">
        <f t="shared" si="30"/>
        <v>#DIV/0!</v>
      </c>
      <c r="BA27">
        <f t="shared" si="31"/>
        <v>1.223202572638591E-2</v>
      </c>
      <c r="BB27" t="e">
        <f t="shared" si="32"/>
        <v>#DIV/0!</v>
      </c>
      <c r="BC27" t="e">
        <f t="shared" si="33"/>
        <v>#DIV/0!</v>
      </c>
      <c r="BD27" t="s">
        <v>427</v>
      </c>
      <c r="BE27">
        <v>0</v>
      </c>
      <c r="BF27" t="e">
        <f t="shared" si="34"/>
        <v>#DIV/0!</v>
      </c>
      <c r="BG27" t="e">
        <f t="shared" si="35"/>
        <v>#DIV/0!</v>
      </c>
      <c r="BH27" t="e">
        <f t="shared" si="36"/>
        <v>#DIV/0!</v>
      </c>
      <c r="BI27" t="e">
        <f t="shared" si="37"/>
        <v>#DIV/0!</v>
      </c>
      <c r="BJ27" t="e">
        <f t="shared" si="38"/>
        <v>#DIV/0!</v>
      </c>
      <c r="BK27" t="e">
        <f t="shared" si="39"/>
        <v>#DIV/0!</v>
      </c>
      <c r="BL27" t="e">
        <f t="shared" si="40"/>
        <v>#DIV/0!</v>
      </c>
      <c r="BM27" t="e">
        <f t="shared" si="41"/>
        <v>#DIV/0!</v>
      </c>
      <c r="BN27">
        <v>153</v>
      </c>
      <c r="BO27">
        <v>290.00000000000011</v>
      </c>
      <c r="BP27">
        <v>811.34</v>
      </c>
      <c r="BQ27">
        <v>295</v>
      </c>
      <c r="BR27">
        <v>7121.88</v>
      </c>
      <c r="BS27">
        <v>812.45</v>
      </c>
      <c r="BT27">
        <v>-1.1100000000000001</v>
      </c>
      <c r="BU27">
        <v>300.00000000000011</v>
      </c>
      <c r="BV27">
        <v>38.200000000000003</v>
      </c>
      <c r="BW27">
        <v>856.08831788659313</v>
      </c>
      <c r="BX27">
        <v>1.6063471984377391</v>
      </c>
      <c r="BY27">
        <v>-31.081903986642359</v>
      </c>
      <c r="BZ27">
        <v>0.95894122376321222</v>
      </c>
      <c r="CA27">
        <v>0.97404006498848061</v>
      </c>
      <c r="CB27">
        <v>-7.0277946607341518E-3</v>
      </c>
      <c r="CC27">
        <v>289.99999999999989</v>
      </c>
      <c r="CD27">
        <v>816.31</v>
      </c>
      <c r="CE27">
        <v>735</v>
      </c>
      <c r="CF27">
        <v>7117.97</v>
      </c>
      <c r="CG27">
        <v>812.42</v>
      </c>
      <c r="CH27">
        <v>3.89</v>
      </c>
      <c r="CV27">
        <f t="shared" si="42"/>
        <v>1800.16</v>
      </c>
      <c r="CW27">
        <f t="shared" si="43"/>
        <v>1513.3193999210073</v>
      </c>
      <c r="CX27">
        <f t="shared" si="44"/>
        <v>0.84065827477613497</v>
      </c>
      <c r="CY27">
        <f t="shared" si="45"/>
        <v>0.16087047031794038</v>
      </c>
      <c r="CZ27">
        <v>5.52</v>
      </c>
      <c r="DA27">
        <v>0.5</v>
      </c>
      <c r="DB27" t="s">
        <v>418</v>
      </c>
      <c r="DC27">
        <v>2</v>
      </c>
      <c r="DD27">
        <v>1700236726</v>
      </c>
      <c r="DE27">
        <v>98.911199999999994</v>
      </c>
      <c r="DF27">
        <v>119.98699999999999</v>
      </c>
      <c r="DG27">
        <v>29.046800000000001</v>
      </c>
      <c r="DH27">
        <v>22.709499999999998</v>
      </c>
      <c r="DI27">
        <v>97.918700000000001</v>
      </c>
      <c r="DJ27">
        <v>28.753</v>
      </c>
      <c r="DK27">
        <v>500.14400000000001</v>
      </c>
      <c r="DL27">
        <v>98.626400000000004</v>
      </c>
      <c r="DM27">
        <v>0.100104</v>
      </c>
      <c r="DN27">
        <v>30.398599999999998</v>
      </c>
      <c r="DO27">
        <v>29.958100000000002</v>
      </c>
      <c r="DP27">
        <v>999.9</v>
      </c>
      <c r="DQ27">
        <v>0</v>
      </c>
      <c r="DR27">
        <v>0</v>
      </c>
      <c r="DS27">
        <v>10020</v>
      </c>
      <c r="DT27">
        <v>0</v>
      </c>
      <c r="DU27">
        <v>300.50299999999999</v>
      </c>
      <c r="DV27">
        <v>-21.075900000000001</v>
      </c>
      <c r="DW27">
        <v>101.87</v>
      </c>
      <c r="DX27">
        <v>122.77500000000001</v>
      </c>
      <c r="DY27">
        <v>6.3372400000000004</v>
      </c>
      <c r="DZ27">
        <v>119.98699999999999</v>
      </c>
      <c r="EA27">
        <v>22.709499999999998</v>
      </c>
      <c r="EB27">
        <v>2.8647800000000001</v>
      </c>
      <c r="EC27">
        <v>2.23976</v>
      </c>
      <c r="ED27">
        <v>23.2622</v>
      </c>
      <c r="EE27">
        <v>19.249600000000001</v>
      </c>
      <c r="EF27">
        <v>1800.16</v>
      </c>
      <c r="EG27">
        <v>0.97799599999999998</v>
      </c>
      <c r="EH27">
        <v>2.2003999999999999E-2</v>
      </c>
      <c r="EI27">
        <v>0</v>
      </c>
      <c r="EJ27">
        <v>712.63400000000001</v>
      </c>
      <c r="EK27">
        <v>5.0001199999999999</v>
      </c>
      <c r="EL27">
        <v>12871.4</v>
      </c>
      <c r="EM27">
        <v>15631.3</v>
      </c>
      <c r="EN27">
        <v>50</v>
      </c>
      <c r="EO27">
        <v>51</v>
      </c>
      <c r="EP27">
        <v>50.875</v>
      </c>
      <c r="EQ27">
        <v>50.875</v>
      </c>
      <c r="ER27">
        <v>51.625</v>
      </c>
      <c r="ES27">
        <v>1755.66</v>
      </c>
      <c r="ET27">
        <v>39.5</v>
      </c>
      <c r="EU27">
        <v>0</v>
      </c>
      <c r="EV27">
        <v>128.39999985694891</v>
      </c>
      <c r="EW27">
        <v>0</v>
      </c>
      <c r="EX27">
        <v>712.56011538461541</v>
      </c>
      <c r="EY27">
        <v>0.37644442739838402</v>
      </c>
      <c r="EZ27">
        <v>8.5470138278882529E-2</v>
      </c>
      <c r="FA27">
        <v>12871.165384615389</v>
      </c>
      <c r="FB27">
        <v>15</v>
      </c>
      <c r="FC27">
        <v>1700236691</v>
      </c>
      <c r="FD27" t="s">
        <v>465</v>
      </c>
      <c r="FE27">
        <v>1700236675</v>
      </c>
      <c r="FF27">
        <v>1700236691</v>
      </c>
      <c r="FG27">
        <v>12</v>
      </c>
      <c r="FH27">
        <v>2.5000000000000001E-2</v>
      </c>
      <c r="FI27">
        <v>-1E-3</v>
      </c>
      <c r="FJ27">
        <v>1.008</v>
      </c>
      <c r="FK27">
        <v>0.29399999999999998</v>
      </c>
      <c r="FL27">
        <v>120</v>
      </c>
      <c r="FM27">
        <v>23</v>
      </c>
      <c r="FN27">
        <v>0.04</v>
      </c>
      <c r="FO27">
        <v>0.01</v>
      </c>
      <c r="FP27">
        <v>18.431681584043421</v>
      </c>
      <c r="FQ27">
        <v>0.61650207377500776</v>
      </c>
      <c r="FR27">
        <v>4.7674721120529298E-2</v>
      </c>
      <c r="FS27">
        <v>1</v>
      </c>
      <c r="FT27">
        <v>0.43431292815194378</v>
      </c>
      <c r="FU27">
        <v>4.0987922675436092E-2</v>
      </c>
      <c r="FV27">
        <v>4.3638298946895703E-3</v>
      </c>
      <c r="FW27">
        <v>1</v>
      </c>
      <c r="FX27">
        <v>2</v>
      </c>
      <c r="FY27">
        <v>2</v>
      </c>
      <c r="FZ27" t="s">
        <v>420</v>
      </c>
      <c r="GA27">
        <v>2.9177399999999998</v>
      </c>
      <c r="GB27">
        <v>2.7512799999999999</v>
      </c>
      <c r="GC27">
        <v>2.64531E-2</v>
      </c>
      <c r="GD27">
        <v>3.2731799999999998E-2</v>
      </c>
      <c r="GE27">
        <v>0.130746</v>
      </c>
      <c r="GF27">
        <v>0.11249199999999999</v>
      </c>
      <c r="GG27">
        <v>30236.1</v>
      </c>
      <c r="GH27">
        <v>29901.8</v>
      </c>
      <c r="GI27">
        <v>28285.7</v>
      </c>
      <c r="GJ27">
        <v>28264.5</v>
      </c>
      <c r="GK27">
        <v>33504</v>
      </c>
      <c r="GL27">
        <v>35022.300000000003</v>
      </c>
      <c r="GM27">
        <v>42492.6</v>
      </c>
      <c r="GN27">
        <v>43925.7</v>
      </c>
      <c r="GO27">
        <v>1.77593</v>
      </c>
      <c r="GP27">
        <v>1.948</v>
      </c>
      <c r="GQ27">
        <v>5.2735200000000003E-2</v>
      </c>
      <c r="GR27">
        <v>0</v>
      </c>
      <c r="GS27">
        <v>29.0992</v>
      </c>
      <c r="GT27">
        <v>999.9</v>
      </c>
      <c r="GU27">
        <v>57.5</v>
      </c>
      <c r="GV27">
        <v>34.4</v>
      </c>
      <c r="GW27">
        <v>31.853899999999999</v>
      </c>
      <c r="GX27">
        <v>60.598999999999997</v>
      </c>
      <c r="GY27">
        <v>31.362200000000001</v>
      </c>
      <c r="GZ27">
        <v>1</v>
      </c>
      <c r="HA27">
        <v>0.448849</v>
      </c>
      <c r="HB27">
        <v>1.30515</v>
      </c>
      <c r="HC27">
        <v>20.266200000000001</v>
      </c>
      <c r="HD27">
        <v>5.2722499999999997</v>
      </c>
      <c r="HE27">
        <v>12.0878</v>
      </c>
      <c r="HF27">
        <v>5.0118499999999999</v>
      </c>
      <c r="HG27">
        <v>3.2909299999999999</v>
      </c>
      <c r="HH27">
        <v>9999</v>
      </c>
      <c r="HI27">
        <v>9999</v>
      </c>
      <c r="HJ27">
        <v>9999</v>
      </c>
      <c r="HK27">
        <v>999.9</v>
      </c>
      <c r="HL27">
        <v>1.87591</v>
      </c>
      <c r="HM27">
        <v>1.87635</v>
      </c>
      <c r="HN27">
        <v>1.87609</v>
      </c>
      <c r="HO27">
        <v>1.88</v>
      </c>
      <c r="HP27">
        <v>1.87347</v>
      </c>
      <c r="HQ27">
        <v>1.8766799999999999</v>
      </c>
      <c r="HR27">
        <v>1.8763700000000001</v>
      </c>
      <c r="HS27">
        <v>1.8777699999999999</v>
      </c>
      <c r="HT27">
        <v>0</v>
      </c>
      <c r="HU27">
        <v>0</v>
      </c>
      <c r="HV27">
        <v>0</v>
      </c>
      <c r="HW27">
        <v>0</v>
      </c>
      <c r="HX27" t="s">
        <v>421</v>
      </c>
      <c r="HY27" t="s">
        <v>422</v>
      </c>
      <c r="HZ27" t="s">
        <v>423</v>
      </c>
      <c r="IA27" t="s">
        <v>424</v>
      </c>
      <c r="IB27" t="s">
        <v>424</v>
      </c>
      <c r="IC27" t="s">
        <v>423</v>
      </c>
      <c r="ID27">
        <v>0</v>
      </c>
      <c r="IE27">
        <v>100</v>
      </c>
      <c r="IF27">
        <v>100</v>
      </c>
      <c r="IG27">
        <v>0.99199999999999999</v>
      </c>
      <c r="IH27">
        <v>0.29380000000000001</v>
      </c>
      <c r="II27">
        <v>0.91150302638299185</v>
      </c>
      <c r="IJ27">
        <v>8.9576739069318506E-4</v>
      </c>
      <c r="IK27">
        <v>-7.2130504814809596E-7</v>
      </c>
      <c r="IL27">
        <v>1.9987036519832741E-10</v>
      </c>
      <c r="IM27">
        <v>0.29376999999999498</v>
      </c>
      <c r="IN27">
        <v>0</v>
      </c>
      <c r="IO27">
        <v>0</v>
      </c>
      <c r="IP27">
        <v>0</v>
      </c>
      <c r="IQ27">
        <v>1</v>
      </c>
      <c r="IR27">
        <v>2126</v>
      </c>
      <c r="IS27">
        <v>0</v>
      </c>
      <c r="IT27">
        <v>20</v>
      </c>
      <c r="IU27">
        <v>0.8</v>
      </c>
      <c r="IV27">
        <v>0.6</v>
      </c>
      <c r="IW27">
        <v>0.42724600000000001</v>
      </c>
      <c r="IX27">
        <v>2.6696800000000001</v>
      </c>
      <c r="IY27">
        <v>1.69434</v>
      </c>
      <c r="IZ27">
        <v>2.35229</v>
      </c>
      <c r="JA27">
        <v>1.5466299999999999</v>
      </c>
      <c r="JB27">
        <v>2.4694799999999999</v>
      </c>
      <c r="JC27">
        <v>40.502000000000002</v>
      </c>
      <c r="JD27">
        <v>23.719799999999999</v>
      </c>
      <c r="JE27">
        <v>18</v>
      </c>
      <c r="JF27">
        <v>500.67899999999997</v>
      </c>
      <c r="JG27">
        <v>520.98099999999999</v>
      </c>
      <c r="JH27">
        <v>27.680099999999999</v>
      </c>
      <c r="JI27">
        <v>32.8979</v>
      </c>
      <c r="JJ27">
        <v>29.999199999999998</v>
      </c>
      <c r="JK27">
        <v>32.869900000000001</v>
      </c>
      <c r="JL27">
        <v>32.825299999999999</v>
      </c>
      <c r="JM27">
        <v>8.6310599999999997</v>
      </c>
      <c r="JN27">
        <v>32.933300000000003</v>
      </c>
      <c r="JO27">
        <v>83.854299999999995</v>
      </c>
      <c r="JP27">
        <v>27.712199999999999</v>
      </c>
      <c r="JQ27">
        <v>120</v>
      </c>
      <c r="JR27">
        <v>22.608000000000001</v>
      </c>
      <c r="JS27">
        <v>99.077699999999993</v>
      </c>
      <c r="JT27">
        <v>98.976500000000001</v>
      </c>
    </row>
    <row r="28" spans="1:280" x14ac:dyDescent="0.25">
      <c r="A28">
        <v>12</v>
      </c>
      <c r="B28">
        <v>1700236816.5</v>
      </c>
      <c r="C28">
        <v>1590.900000095367</v>
      </c>
      <c r="D28" t="s">
        <v>466</v>
      </c>
      <c r="E28" t="s">
        <v>467</v>
      </c>
      <c r="F28" t="s">
        <v>412</v>
      </c>
      <c r="G28" t="s">
        <v>413</v>
      </c>
      <c r="H28" t="s">
        <v>414</v>
      </c>
      <c r="I28">
        <v>1700236816.5</v>
      </c>
      <c r="J28">
        <f t="shared" si="0"/>
        <v>6.4239231955738815E-3</v>
      </c>
      <c r="K28">
        <f t="shared" si="1"/>
        <v>6.4239231955738818</v>
      </c>
      <c r="L28">
        <f t="shared" si="2"/>
        <v>11.523403978553461</v>
      </c>
      <c r="M28">
        <f t="shared" si="3"/>
        <v>56.877400000000002</v>
      </c>
      <c r="N28">
        <f t="shared" si="4"/>
        <v>13.879997986714685</v>
      </c>
      <c r="O28">
        <f t="shared" si="5"/>
        <v>1.3703975461046645</v>
      </c>
      <c r="P28">
        <f t="shared" si="6"/>
        <v>5.6156095601324001</v>
      </c>
      <c r="Q28">
        <f t="shared" si="7"/>
        <v>0.46969246397529696</v>
      </c>
      <c r="R28">
        <f t="shared" si="8"/>
        <v>2.9954390916054425</v>
      </c>
      <c r="S28">
        <f t="shared" si="9"/>
        <v>0.43228073328457017</v>
      </c>
      <c r="T28">
        <f t="shared" si="10"/>
        <v>0.27328800051722651</v>
      </c>
      <c r="U28">
        <f t="shared" si="11"/>
        <v>289.55906984752579</v>
      </c>
      <c r="V28">
        <f t="shared" si="12"/>
        <v>30.576295393137595</v>
      </c>
      <c r="W28">
        <f t="shared" si="13"/>
        <v>30.008299999999998</v>
      </c>
      <c r="X28">
        <f t="shared" si="14"/>
        <v>4.2624813433940858</v>
      </c>
      <c r="Y28">
        <f t="shared" si="15"/>
        <v>64.811505577270395</v>
      </c>
      <c r="Z28">
        <f t="shared" si="16"/>
        <v>2.8481071114394001</v>
      </c>
      <c r="AA28">
        <f t="shared" si="17"/>
        <v>4.3944467669305931</v>
      </c>
      <c r="AB28">
        <f t="shared" si="18"/>
        <v>1.4143742319546857</v>
      </c>
      <c r="AC28">
        <f t="shared" si="19"/>
        <v>-283.29501292480819</v>
      </c>
      <c r="AD28">
        <f t="shared" si="20"/>
        <v>85.896590735897945</v>
      </c>
      <c r="AE28">
        <f t="shared" si="21"/>
        <v>6.3934251871118901</v>
      </c>
      <c r="AF28">
        <f t="shared" si="22"/>
        <v>98.554072845727461</v>
      </c>
      <c r="AG28">
        <v>0</v>
      </c>
      <c r="AH28">
        <v>0</v>
      </c>
      <c r="AI28">
        <f t="shared" si="23"/>
        <v>1</v>
      </c>
      <c r="AJ28">
        <f t="shared" si="24"/>
        <v>0</v>
      </c>
      <c r="AK28">
        <f t="shared" si="25"/>
        <v>51483.625876978702</v>
      </c>
      <c r="AL28" t="s">
        <v>415</v>
      </c>
      <c r="AM28">
        <v>6960.3</v>
      </c>
      <c r="AN28">
        <v>244.8124</v>
      </c>
      <c r="AO28">
        <v>892.86711584811997</v>
      </c>
      <c r="AP28">
        <f t="shared" si="26"/>
        <v>0.72581317459826411</v>
      </c>
      <c r="AQ28">
        <v>-0.43209471141234851</v>
      </c>
      <c r="AR28" t="s">
        <v>468</v>
      </c>
      <c r="AS28">
        <v>7122.27</v>
      </c>
      <c r="AT28">
        <v>729.65043999999989</v>
      </c>
      <c r="AU28">
        <v>814.51770534396053</v>
      </c>
      <c r="AV28">
        <f t="shared" si="27"/>
        <v>0.10419327264116651</v>
      </c>
      <c r="AW28">
        <v>0.5</v>
      </c>
      <c r="AX28">
        <f t="shared" si="28"/>
        <v>1513.1429999209977</v>
      </c>
      <c r="AY28">
        <f t="shared" si="29"/>
        <v>11.523403978553461</v>
      </c>
      <c r="AZ28">
        <f t="shared" si="30"/>
        <v>78.829660567920556</v>
      </c>
      <c r="BA28">
        <f t="shared" si="31"/>
        <v>7.9011029959428908E-3</v>
      </c>
      <c r="BB28">
        <f t="shared" si="32"/>
        <v>9.6191169314205974E-2</v>
      </c>
      <c r="BC28">
        <f t="shared" si="33"/>
        <v>238.52154886661339</v>
      </c>
      <c r="BD28" t="s">
        <v>469</v>
      </c>
      <c r="BE28">
        <v>473.99</v>
      </c>
      <c r="BF28">
        <f t="shared" si="34"/>
        <v>473.99</v>
      </c>
      <c r="BG28">
        <f t="shared" si="35"/>
        <v>0.41807280935674684</v>
      </c>
      <c r="BH28">
        <f t="shared" si="36"/>
        <v>0.24922279160292651</v>
      </c>
      <c r="BI28">
        <f t="shared" si="37"/>
        <v>0.18704629004504519</v>
      </c>
      <c r="BJ28">
        <f t="shared" si="38"/>
        <v>0.14896695633319035</v>
      </c>
      <c r="BK28">
        <f t="shared" si="39"/>
        <v>0.12089937560537965</v>
      </c>
      <c r="BL28">
        <f t="shared" si="40"/>
        <v>0.16189822484294145</v>
      </c>
      <c r="BM28">
        <f t="shared" si="41"/>
        <v>0.83810177515705853</v>
      </c>
      <c r="BN28">
        <v>155</v>
      </c>
      <c r="BO28">
        <v>290.00000000000011</v>
      </c>
      <c r="BP28">
        <v>791.95</v>
      </c>
      <c r="BQ28">
        <v>275</v>
      </c>
      <c r="BR28">
        <v>7122.27</v>
      </c>
      <c r="BS28">
        <v>793.19</v>
      </c>
      <c r="BT28">
        <v>-1.24</v>
      </c>
      <c r="BU28">
        <v>300.00000000000011</v>
      </c>
      <c r="BV28">
        <v>38.200000000000003</v>
      </c>
      <c r="BW28">
        <v>814.51770534396053</v>
      </c>
      <c r="BX28">
        <v>1.209239206620774</v>
      </c>
      <c r="BY28">
        <v>-15.189557220772549</v>
      </c>
      <c r="BZ28">
        <v>0.72189409053348175</v>
      </c>
      <c r="CA28">
        <v>0.94051847337254346</v>
      </c>
      <c r="CB28">
        <v>-7.027922580645155E-3</v>
      </c>
      <c r="CC28">
        <v>289.99999999999989</v>
      </c>
      <c r="CD28">
        <v>794.75</v>
      </c>
      <c r="CE28">
        <v>805</v>
      </c>
      <c r="CF28">
        <v>7117.09</v>
      </c>
      <c r="CG28">
        <v>793.18</v>
      </c>
      <c r="CH28">
        <v>1.57</v>
      </c>
      <c r="CV28">
        <f t="shared" si="42"/>
        <v>1799.95</v>
      </c>
      <c r="CW28">
        <f t="shared" si="43"/>
        <v>1513.1429999209977</v>
      </c>
      <c r="CX28">
        <f t="shared" si="44"/>
        <v>0.84065835157698698</v>
      </c>
      <c r="CY28">
        <f t="shared" si="45"/>
        <v>0.16087061854358498</v>
      </c>
      <c r="CZ28">
        <v>5.52</v>
      </c>
      <c r="DA28">
        <v>0.5</v>
      </c>
      <c r="DB28" t="s">
        <v>418</v>
      </c>
      <c r="DC28">
        <v>2</v>
      </c>
      <c r="DD28">
        <v>1700236816.5</v>
      </c>
      <c r="DE28">
        <v>56.877400000000002</v>
      </c>
      <c r="DF28">
        <v>69.999700000000004</v>
      </c>
      <c r="DG28">
        <v>28.846900000000002</v>
      </c>
      <c r="DH28">
        <v>21.960999999999999</v>
      </c>
      <c r="DI28">
        <v>55.889400000000002</v>
      </c>
      <c r="DJ28">
        <v>28.568899999999999</v>
      </c>
      <c r="DK28">
        <v>500.11099999999999</v>
      </c>
      <c r="DL28">
        <v>98.631799999999998</v>
      </c>
      <c r="DM28">
        <v>0.100026</v>
      </c>
      <c r="DN28">
        <v>30.540199999999999</v>
      </c>
      <c r="DO28">
        <v>30.008299999999998</v>
      </c>
      <c r="DP28">
        <v>999.9</v>
      </c>
      <c r="DQ28">
        <v>0</v>
      </c>
      <c r="DR28">
        <v>0</v>
      </c>
      <c r="DS28">
        <v>9987.5</v>
      </c>
      <c r="DT28">
        <v>0</v>
      </c>
      <c r="DU28">
        <v>286.29199999999997</v>
      </c>
      <c r="DV28">
        <v>-13.151</v>
      </c>
      <c r="DW28">
        <v>58.5383</v>
      </c>
      <c r="DX28">
        <v>71.5715</v>
      </c>
      <c r="DY28">
        <v>6.9016599999999997</v>
      </c>
      <c r="DZ28">
        <v>69.999700000000004</v>
      </c>
      <c r="EA28">
        <v>21.960999999999999</v>
      </c>
      <c r="EB28">
        <v>2.8467799999999999</v>
      </c>
      <c r="EC28">
        <v>2.1660599999999999</v>
      </c>
      <c r="ED28">
        <v>23.157900000000001</v>
      </c>
      <c r="EE28">
        <v>18.7134</v>
      </c>
      <c r="EF28">
        <v>1799.95</v>
      </c>
      <c r="EG28">
        <v>0.977993</v>
      </c>
      <c r="EH28">
        <v>2.20074E-2</v>
      </c>
      <c r="EI28">
        <v>0</v>
      </c>
      <c r="EJ28">
        <v>729.52800000000002</v>
      </c>
      <c r="EK28">
        <v>5.0001199999999999</v>
      </c>
      <c r="EL28">
        <v>13157.9</v>
      </c>
      <c r="EM28">
        <v>15629.5</v>
      </c>
      <c r="EN28">
        <v>50.061999999999998</v>
      </c>
      <c r="EO28">
        <v>51</v>
      </c>
      <c r="EP28">
        <v>50.875</v>
      </c>
      <c r="EQ28">
        <v>50.936999999999998</v>
      </c>
      <c r="ER28">
        <v>51.625</v>
      </c>
      <c r="ES28">
        <v>1755.45</v>
      </c>
      <c r="ET28">
        <v>39.5</v>
      </c>
      <c r="EU28">
        <v>0</v>
      </c>
      <c r="EV28">
        <v>219</v>
      </c>
      <c r="EW28">
        <v>0</v>
      </c>
      <c r="EX28">
        <v>729.65043999999989</v>
      </c>
      <c r="EY28">
        <v>-2.6022307601015449</v>
      </c>
      <c r="EZ28">
        <v>-47.315384687525231</v>
      </c>
      <c r="FA28">
        <v>13164.128000000001</v>
      </c>
      <c r="FB28">
        <v>15</v>
      </c>
      <c r="FC28">
        <v>1700236851.5</v>
      </c>
      <c r="FD28" t="s">
        <v>470</v>
      </c>
      <c r="FE28">
        <v>1700236833.5</v>
      </c>
      <c r="FF28">
        <v>1700236851.5</v>
      </c>
      <c r="FG28">
        <v>13</v>
      </c>
      <c r="FH28">
        <v>1.7999999999999999E-2</v>
      </c>
      <c r="FI28">
        <v>-1.6E-2</v>
      </c>
      <c r="FJ28">
        <v>0.98799999999999999</v>
      </c>
      <c r="FK28">
        <v>0.27800000000000002</v>
      </c>
      <c r="FL28">
        <v>70</v>
      </c>
      <c r="FM28">
        <v>22</v>
      </c>
      <c r="FN28">
        <v>0.09</v>
      </c>
      <c r="FO28">
        <v>0.01</v>
      </c>
      <c r="FP28">
        <v>11.560648720101341</v>
      </c>
      <c r="FQ28">
        <v>0.3920790409617706</v>
      </c>
      <c r="FR28">
        <v>3.8196314966086463E-2</v>
      </c>
      <c r="FS28">
        <v>1</v>
      </c>
      <c r="FT28">
        <v>0.47286449113439322</v>
      </c>
      <c r="FU28">
        <v>-2.4537584667815429E-2</v>
      </c>
      <c r="FV28">
        <v>1.8689840347182239E-3</v>
      </c>
      <c r="FW28">
        <v>1</v>
      </c>
      <c r="FX28">
        <v>2</v>
      </c>
      <c r="FY28">
        <v>2</v>
      </c>
      <c r="FZ28" t="s">
        <v>420</v>
      </c>
      <c r="GA28">
        <v>2.9176000000000002</v>
      </c>
      <c r="GB28">
        <v>2.7509199999999998</v>
      </c>
      <c r="GC28">
        <v>1.53604E-2</v>
      </c>
      <c r="GD28">
        <v>1.9558200000000001E-2</v>
      </c>
      <c r="GE28">
        <v>0.13017599999999999</v>
      </c>
      <c r="GF28">
        <v>0.10989</v>
      </c>
      <c r="GG28">
        <v>30578.3</v>
      </c>
      <c r="GH28">
        <v>30306.3</v>
      </c>
      <c r="GI28">
        <v>28284.3</v>
      </c>
      <c r="GJ28">
        <v>28262.7</v>
      </c>
      <c r="GK28">
        <v>33525.1</v>
      </c>
      <c r="GL28">
        <v>35123.300000000003</v>
      </c>
      <c r="GM28">
        <v>42491.3</v>
      </c>
      <c r="GN28">
        <v>43923.4</v>
      </c>
      <c r="GO28">
        <v>1.7758799999999999</v>
      </c>
      <c r="GP28">
        <v>1.9453499999999999</v>
      </c>
      <c r="GQ28">
        <v>4.8838600000000003E-2</v>
      </c>
      <c r="GR28">
        <v>0</v>
      </c>
      <c r="GS28">
        <v>29.213000000000001</v>
      </c>
      <c r="GT28">
        <v>999.9</v>
      </c>
      <c r="GU28">
        <v>56.9</v>
      </c>
      <c r="GV28">
        <v>34.6</v>
      </c>
      <c r="GW28">
        <v>31.870200000000001</v>
      </c>
      <c r="GX28">
        <v>60.899000000000001</v>
      </c>
      <c r="GY28">
        <v>31.514399999999998</v>
      </c>
      <c r="GZ28">
        <v>1</v>
      </c>
      <c r="HA28">
        <v>0.45329999999999998</v>
      </c>
      <c r="HB28">
        <v>1.82213</v>
      </c>
      <c r="HC28">
        <v>20.260899999999999</v>
      </c>
      <c r="HD28">
        <v>5.2734500000000004</v>
      </c>
      <c r="HE28">
        <v>12.0878</v>
      </c>
      <c r="HF28">
        <v>5.0132500000000002</v>
      </c>
      <c r="HG28">
        <v>3.2915000000000001</v>
      </c>
      <c r="HH28">
        <v>9999</v>
      </c>
      <c r="HI28">
        <v>9999</v>
      </c>
      <c r="HJ28">
        <v>9999</v>
      </c>
      <c r="HK28">
        <v>999.9</v>
      </c>
      <c r="HL28">
        <v>1.87592</v>
      </c>
      <c r="HM28">
        <v>1.8763000000000001</v>
      </c>
      <c r="HN28">
        <v>1.8760699999999999</v>
      </c>
      <c r="HO28">
        <v>1.88002</v>
      </c>
      <c r="HP28">
        <v>1.87347</v>
      </c>
      <c r="HQ28">
        <v>1.8766799999999999</v>
      </c>
      <c r="HR28">
        <v>1.8763700000000001</v>
      </c>
      <c r="HS28">
        <v>1.8777699999999999</v>
      </c>
      <c r="HT28">
        <v>0</v>
      </c>
      <c r="HU28">
        <v>0</v>
      </c>
      <c r="HV28">
        <v>0</v>
      </c>
      <c r="HW28">
        <v>0</v>
      </c>
      <c r="HX28" t="s">
        <v>421</v>
      </c>
      <c r="HY28" t="s">
        <v>422</v>
      </c>
      <c r="HZ28" t="s">
        <v>423</v>
      </c>
      <c r="IA28" t="s">
        <v>424</v>
      </c>
      <c r="IB28" t="s">
        <v>424</v>
      </c>
      <c r="IC28" t="s">
        <v>423</v>
      </c>
      <c r="ID28">
        <v>0</v>
      </c>
      <c r="IE28">
        <v>100</v>
      </c>
      <c r="IF28">
        <v>100</v>
      </c>
      <c r="IG28">
        <v>0.98799999999999999</v>
      </c>
      <c r="IH28">
        <v>0.27800000000000002</v>
      </c>
      <c r="II28">
        <v>0.91150302638299185</v>
      </c>
      <c r="IJ28">
        <v>8.9576739069318506E-4</v>
      </c>
      <c r="IK28">
        <v>-7.2130504814809596E-7</v>
      </c>
      <c r="IL28">
        <v>1.9987036519832741E-10</v>
      </c>
      <c r="IM28">
        <v>0.29376999999999498</v>
      </c>
      <c r="IN28">
        <v>0</v>
      </c>
      <c r="IO28">
        <v>0</v>
      </c>
      <c r="IP28">
        <v>0</v>
      </c>
      <c r="IQ28">
        <v>1</v>
      </c>
      <c r="IR28">
        <v>2126</v>
      </c>
      <c r="IS28">
        <v>0</v>
      </c>
      <c r="IT28">
        <v>20</v>
      </c>
      <c r="IU28">
        <v>2.4</v>
      </c>
      <c r="IV28">
        <v>2.1</v>
      </c>
      <c r="IW28">
        <v>0.31372100000000003</v>
      </c>
      <c r="IX28">
        <v>2.6928700000000001</v>
      </c>
      <c r="IY28">
        <v>1.69434</v>
      </c>
      <c r="IZ28">
        <v>2.34985</v>
      </c>
      <c r="JA28">
        <v>1.5466299999999999</v>
      </c>
      <c r="JB28">
        <v>2.4658199999999999</v>
      </c>
      <c r="JC28">
        <v>40.553100000000001</v>
      </c>
      <c r="JD28">
        <v>23.745999999999999</v>
      </c>
      <c r="JE28">
        <v>18</v>
      </c>
      <c r="JF28">
        <v>500.80099999999999</v>
      </c>
      <c r="JG28">
        <v>519.221</v>
      </c>
      <c r="JH28">
        <v>27.825800000000001</v>
      </c>
      <c r="JI28">
        <v>32.927199999999999</v>
      </c>
      <c r="JJ28">
        <v>30.0001</v>
      </c>
      <c r="JK28">
        <v>32.887799999999999</v>
      </c>
      <c r="JL28">
        <v>32.847700000000003</v>
      </c>
      <c r="JM28">
        <v>6.3536099999999998</v>
      </c>
      <c r="JN28">
        <v>34.627400000000002</v>
      </c>
      <c r="JO28">
        <v>80.037899999999993</v>
      </c>
      <c r="JP28">
        <v>27.831900000000001</v>
      </c>
      <c r="JQ28">
        <v>70</v>
      </c>
      <c r="JR28">
        <v>22.004200000000001</v>
      </c>
      <c r="JS28">
        <v>99.073899999999995</v>
      </c>
      <c r="JT28">
        <v>98.970799999999997</v>
      </c>
    </row>
    <row r="29" spans="1:280" x14ac:dyDescent="0.25">
      <c r="A29">
        <v>13</v>
      </c>
      <c r="B29">
        <v>1700236971</v>
      </c>
      <c r="C29">
        <v>1745.400000095367</v>
      </c>
      <c r="D29" t="s">
        <v>471</v>
      </c>
      <c r="E29" t="s">
        <v>472</v>
      </c>
      <c r="F29" t="s">
        <v>412</v>
      </c>
      <c r="G29" t="s">
        <v>413</v>
      </c>
      <c r="H29" t="s">
        <v>414</v>
      </c>
      <c r="I29">
        <v>1700236971</v>
      </c>
      <c r="J29">
        <f t="shared" si="0"/>
        <v>6.6407136260407344E-3</v>
      </c>
      <c r="K29">
        <f t="shared" si="1"/>
        <v>6.6407136260407347</v>
      </c>
      <c r="L29">
        <f t="shared" si="2"/>
        <v>5.0497467155315361</v>
      </c>
      <c r="M29">
        <f t="shared" si="3"/>
        <v>24.267700000000001</v>
      </c>
      <c r="N29">
        <f t="shared" si="4"/>
        <v>6.4880172836776255</v>
      </c>
      <c r="O29">
        <f t="shared" si="5"/>
        <v>0.64058309086581944</v>
      </c>
      <c r="P29">
        <f t="shared" si="6"/>
        <v>2.3960291094343003</v>
      </c>
      <c r="Q29">
        <f t="shared" si="7"/>
        <v>0.50025458322035643</v>
      </c>
      <c r="R29">
        <f t="shared" si="8"/>
        <v>2.9933943122174989</v>
      </c>
      <c r="S29">
        <f t="shared" si="9"/>
        <v>0.45802376318630328</v>
      </c>
      <c r="T29">
        <f t="shared" si="10"/>
        <v>0.28976145149227706</v>
      </c>
      <c r="U29">
        <f t="shared" si="11"/>
        <v>289.56385784752831</v>
      </c>
      <c r="V29">
        <f t="shared" si="12"/>
        <v>30.494120319265001</v>
      </c>
      <c r="W29">
        <f t="shared" si="13"/>
        <v>29.976199999999999</v>
      </c>
      <c r="X29">
        <f t="shared" si="14"/>
        <v>4.2546289822490992</v>
      </c>
      <c r="Y29">
        <f t="shared" si="15"/>
        <v>65.520815536892826</v>
      </c>
      <c r="Z29">
        <f t="shared" si="16"/>
        <v>2.874816302303</v>
      </c>
      <c r="AA29">
        <f t="shared" si="17"/>
        <v>4.3876381555175792</v>
      </c>
      <c r="AB29">
        <f t="shared" si="18"/>
        <v>1.3798126799460992</v>
      </c>
      <c r="AC29">
        <f t="shared" si="19"/>
        <v>-292.8554709083964</v>
      </c>
      <c r="AD29">
        <f t="shared" si="20"/>
        <v>86.644854436649311</v>
      </c>
      <c r="AE29">
        <f t="shared" si="21"/>
        <v>6.4516357259973089</v>
      </c>
      <c r="AF29">
        <f t="shared" si="22"/>
        <v>89.804877101778558</v>
      </c>
      <c r="AG29">
        <v>0</v>
      </c>
      <c r="AH29">
        <v>0</v>
      </c>
      <c r="AI29">
        <f t="shared" si="23"/>
        <v>1</v>
      </c>
      <c r="AJ29">
        <f t="shared" si="24"/>
        <v>0</v>
      </c>
      <c r="AK29">
        <f t="shared" si="25"/>
        <v>51433.299907744273</v>
      </c>
      <c r="AL29" t="s">
        <v>427</v>
      </c>
      <c r="AM29" t="s">
        <v>427</v>
      </c>
      <c r="AN29">
        <v>0</v>
      </c>
      <c r="AO29">
        <v>0</v>
      </c>
      <c r="AP29" t="e">
        <f t="shared" si="26"/>
        <v>#DIV/0!</v>
      </c>
      <c r="AQ29">
        <v>0</v>
      </c>
      <c r="AR29" t="s">
        <v>427</v>
      </c>
      <c r="AS29" t="s">
        <v>427</v>
      </c>
      <c r="AT29">
        <v>0</v>
      </c>
      <c r="AU29">
        <v>0</v>
      </c>
      <c r="AV29" t="e">
        <f t="shared" si="27"/>
        <v>#DIV/0!</v>
      </c>
      <c r="AW29">
        <v>0.5</v>
      </c>
      <c r="AX29">
        <f t="shared" si="28"/>
        <v>1513.1681999209991</v>
      </c>
      <c r="AY29">
        <f t="shared" si="29"/>
        <v>5.0497467155315361</v>
      </c>
      <c r="AZ29" t="e">
        <f t="shared" si="30"/>
        <v>#DIV/0!</v>
      </c>
      <c r="BA29">
        <f t="shared" si="31"/>
        <v>3.3372011887344566E-3</v>
      </c>
      <c r="BB29" t="e">
        <f t="shared" si="32"/>
        <v>#DIV/0!</v>
      </c>
      <c r="BC29" t="e">
        <f t="shared" si="33"/>
        <v>#DIV/0!</v>
      </c>
      <c r="BD29" t="s">
        <v>427</v>
      </c>
      <c r="BE29">
        <v>0</v>
      </c>
      <c r="BF29" t="e">
        <f t="shared" si="34"/>
        <v>#DIV/0!</v>
      </c>
      <c r="BG29" t="e">
        <f t="shared" si="35"/>
        <v>#DIV/0!</v>
      </c>
      <c r="BH29" t="e">
        <f t="shared" si="36"/>
        <v>#DIV/0!</v>
      </c>
      <c r="BI29" t="e">
        <f t="shared" si="37"/>
        <v>#DIV/0!</v>
      </c>
      <c r="BJ29" t="e">
        <f t="shared" si="38"/>
        <v>#DIV/0!</v>
      </c>
      <c r="BK29" t="e">
        <f t="shared" si="39"/>
        <v>#DIV/0!</v>
      </c>
      <c r="BL29" t="e">
        <f t="shared" si="40"/>
        <v>#DIV/0!</v>
      </c>
      <c r="BM29" t="e">
        <f t="shared" si="41"/>
        <v>#DIV/0!</v>
      </c>
      <c r="BN29">
        <v>155</v>
      </c>
      <c r="BO29">
        <v>290.00000000000011</v>
      </c>
      <c r="BP29">
        <v>791.95</v>
      </c>
      <c r="BQ29">
        <v>275</v>
      </c>
      <c r="BR29">
        <v>7122.27</v>
      </c>
      <c r="BS29">
        <v>793.19</v>
      </c>
      <c r="BT29">
        <v>-1.24</v>
      </c>
      <c r="BU29">
        <v>300.00000000000011</v>
      </c>
      <c r="BV29">
        <v>38.200000000000003</v>
      </c>
      <c r="BW29">
        <v>814.51770534396053</v>
      </c>
      <c r="BX29">
        <v>1.209239206620774</v>
      </c>
      <c r="BY29">
        <v>-15.189557220772549</v>
      </c>
      <c r="BZ29">
        <v>0.72189409053348175</v>
      </c>
      <c r="CA29">
        <v>0.94051847337254346</v>
      </c>
      <c r="CB29">
        <v>-7.027922580645155E-3</v>
      </c>
      <c r="CC29">
        <v>289.99999999999989</v>
      </c>
      <c r="CD29">
        <v>794.75</v>
      </c>
      <c r="CE29">
        <v>805</v>
      </c>
      <c r="CF29">
        <v>7117.09</v>
      </c>
      <c r="CG29">
        <v>793.18</v>
      </c>
      <c r="CH29">
        <v>1.57</v>
      </c>
      <c r="CV29">
        <f t="shared" si="42"/>
        <v>1799.98</v>
      </c>
      <c r="CW29">
        <f t="shared" si="43"/>
        <v>1513.1681999209991</v>
      </c>
      <c r="CX29">
        <f t="shared" si="44"/>
        <v>0.84065834060433953</v>
      </c>
      <c r="CY29">
        <f t="shared" si="45"/>
        <v>0.16087059736637535</v>
      </c>
      <c r="CZ29">
        <v>5.52</v>
      </c>
      <c r="DA29">
        <v>0.5</v>
      </c>
      <c r="DB29" t="s">
        <v>418</v>
      </c>
      <c r="DC29">
        <v>2</v>
      </c>
      <c r="DD29">
        <v>1700236971</v>
      </c>
      <c r="DE29">
        <v>24.267700000000001</v>
      </c>
      <c r="DF29">
        <v>30.019500000000001</v>
      </c>
      <c r="DG29">
        <v>29.117000000000001</v>
      </c>
      <c r="DH29">
        <v>22.000399999999999</v>
      </c>
      <c r="DI29">
        <v>23.278199999999998</v>
      </c>
      <c r="DJ29">
        <v>28.834099999999999</v>
      </c>
      <c r="DK29">
        <v>500.09</v>
      </c>
      <c r="DL29">
        <v>98.633200000000002</v>
      </c>
      <c r="DM29">
        <v>0.100059</v>
      </c>
      <c r="DN29">
        <v>30.513100000000001</v>
      </c>
      <c r="DO29">
        <v>29.976199999999999</v>
      </c>
      <c r="DP29">
        <v>999.9</v>
      </c>
      <c r="DQ29">
        <v>0</v>
      </c>
      <c r="DR29">
        <v>0</v>
      </c>
      <c r="DS29">
        <v>9976.25</v>
      </c>
      <c r="DT29">
        <v>0</v>
      </c>
      <c r="DU29">
        <v>266.197</v>
      </c>
      <c r="DV29">
        <v>-5.7518099999999999</v>
      </c>
      <c r="DW29">
        <v>24.9955</v>
      </c>
      <c r="DX29">
        <v>30.694800000000001</v>
      </c>
      <c r="DY29">
        <v>7.1165399999999996</v>
      </c>
      <c r="DZ29">
        <v>30.019500000000001</v>
      </c>
      <c r="EA29">
        <v>22.000399999999999</v>
      </c>
      <c r="EB29">
        <v>2.8719000000000001</v>
      </c>
      <c r="EC29">
        <v>2.1699700000000002</v>
      </c>
      <c r="ED29">
        <v>23.3033</v>
      </c>
      <c r="EE29">
        <v>18.7423</v>
      </c>
      <c r="EF29">
        <v>1799.98</v>
      </c>
      <c r="EG29">
        <v>0.977993</v>
      </c>
      <c r="EH29">
        <v>2.20074E-2</v>
      </c>
      <c r="EI29">
        <v>0</v>
      </c>
      <c r="EJ29">
        <v>742.97299999999996</v>
      </c>
      <c r="EK29">
        <v>5.0001199999999999</v>
      </c>
      <c r="EL29">
        <v>13378.7</v>
      </c>
      <c r="EM29">
        <v>15629.8</v>
      </c>
      <c r="EN29">
        <v>50.125</v>
      </c>
      <c r="EO29">
        <v>51.061999999999998</v>
      </c>
      <c r="EP29">
        <v>50.936999999999998</v>
      </c>
      <c r="EQ29">
        <v>51</v>
      </c>
      <c r="ER29">
        <v>51.686999999999998</v>
      </c>
      <c r="ES29">
        <v>1755.48</v>
      </c>
      <c r="ET29">
        <v>39.5</v>
      </c>
      <c r="EU29">
        <v>0</v>
      </c>
      <c r="EV29">
        <v>152.5999999046326</v>
      </c>
      <c r="EW29">
        <v>0</v>
      </c>
      <c r="EX29">
        <v>742.85442307692324</v>
      </c>
      <c r="EY29">
        <v>-0.12851281067203871</v>
      </c>
      <c r="EZ29">
        <v>-16.393162407884041</v>
      </c>
      <c r="FA29">
        <v>13381.00384615385</v>
      </c>
      <c r="FB29">
        <v>15</v>
      </c>
      <c r="FC29">
        <v>1700236937</v>
      </c>
      <c r="FD29" t="s">
        <v>473</v>
      </c>
      <c r="FE29">
        <v>1700236931.5</v>
      </c>
      <c r="FF29">
        <v>1700236937</v>
      </c>
      <c r="FG29">
        <v>14</v>
      </c>
      <c r="FH29">
        <v>0.04</v>
      </c>
      <c r="FI29">
        <v>5.0000000000000001E-3</v>
      </c>
      <c r="FJ29">
        <v>0.99399999999999999</v>
      </c>
      <c r="FK29">
        <v>0.28299999999999997</v>
      </c>
      <c r="FL29">
        <v>30</v>
      </c>
      <c r="FM29">
        <v>22</v>
      </c>
      <c r="FN29">
        <v>0.21</v>
      </c>
      <c r="FO29">
        <v>0.01</v>
      </c>
      <c r="FP29">
        <v>5.0297337610970656</v>
      </c>
      <c r="FQ29">
        <v>-0.13733975688174971</v>
      </c>
      <c r="FR29">
        <v>1.8882809548653519E-2</v>
      </c>
      <c r="FS29">
        <v>1</v>
      </c>
      <c r="FT29">
        <v>0.50128004694392825</v>
      </c>
      <c r="FU29">
        <v>3.3759247839822572E-2</v>
      </c>
      <c r="FV29">
        <v>3.841358684754664E-3</v>
      </c>
      <c r="FW29">
        <v>1</v>
      </c>
      <c r="FX29">
        <v>2</v>
      </c>
      <c r="FY29">
        <v>2</v>
      </c>
      <c r="FZ29" t="s">
        <v>420</v>
      </c>
      <c r="GA29">
        <v>2.9174000000000002</v>
      </c>
      <c r="GB29">
        <v>2.7508499999999998</v>
      </c>
      <c r="GC29">
        <v>6.4562500000000002E-3</v>
      </c>
      <c r="GD29">
        <v>8.5037199999999993E-3</v>
      </c>
      <c r="GE29">
        <v>0.13098699999999999</v>
      </c>
      <c r="GF29">
        <v>0.110017</v>
      </c>
      <c r="GG29">
        <v>30852</v>
      </c>
      <c r="GH29">
        <v>30643</v>
      </c>
      <c r="GI29">
        <v>28282.5</v>
      </c>
      <c r="GJ29">
        <v>28258.9</v>
      </c>
      <c r="GK29">
        <v>33490.9</v>
      </c>
      <c r="GL29">
        <v>35114.699999999997</v>
      </c>
      <c r="GM29">
        <v>42487.5</v>
      </c>
      <c r="GN29">
        <v>43918.7</v>
      </c>
      <c r="GO29">
        <v>1.7746500000000001</v>
      </c>
      <c r="GP29">
        <v>1.94265</v>
      </c>
      <c r="GQ29">
        <v>4.6618300000000001E-2</v>
      </c>
      <c r="GR29">
        <v>0</v>
      </c>
      <c r="GS29">
        <v>29.217099999999999</v>
      </c>
      <c r="GT29">
        <v>999.9</v>
      </c>
      <c r="GU29">
        <v>56.1</v>
      </c>
      <c r="GV29">
        <v>34.799999999999997</v>
      </c>
      <c r="GW29">
        <v>31.7715</v>
      </c>
      <c r="GX29">
        <v>60.609000000000002</v>
      </c>
      <c r="GY29">
        <v>31.286100000000001</v>
      </c>
      <c r="GZ29">
        <v>1</v>
      </c>
      <c r="HA29">
        <v>0.458648</v>
      </c>
      <c r="HB29">
        <v>1.7441800000000001</v>
      </c>
      <c r="HC29">
        <v>20.261700000000001</v>
      </c>
      <c r="HD29">
        <v>5.2712000000000003</v>
      </c>
      <c r="HE29">
        <v>12.0878</v>
      </c>
      <c r="HF29">
        <v>5.0117000000000003</v>
      </c>
      <c r="HG29">
        <v>3.29088</v>
      </c>
      <c r="HH29">
        <v>9999</v>
      </c>
      <c r="HI29">
        <v>9999</v>
      </c>
      <c r="HJ29">
        <v>9999</v>
      </c>
      <c r="HK29">
        <v>999.9</v>
      </c>
      <c r="HL29">
        <v>1.8758999999999999</v>
      </c>
      <c r="HM29">
        <v>1.8762700000000001</v>
      </c>
      <c r="HN29">
        <v>1.8760699999999999</v>
      </c>
      <c r="HO29">
        <v>1.8800399999999999</v>
      </c>
      <c r="HP29">
        <v>1.87347</v>
      </c>
      <c r="HQ29">
        <v>1.8766799999999999</v>
      </c>
      <c r="HR29">
        <v>1.8763700000000001</v>
      </c>
      <c r="HS29">
        <v>1.8777699999999999</v>
      </c>
      <c r="HT29">
        <v>0</v>
      </c>
      <c r="HU29">
        <v>0</v>
      </c>
      <c r="HV29">
        <v>0</v>
      </c>
      <c r="HW29">
        <v>0</v>
      </c>
      <c r="HX29" t="s">
        <v>421</v>
      </c>
      <c r="HY29" t="s">
        <v>422</v>
      </c>
      <c r="HZ29" t="s">
        <v>423</v>
      </c>
      <c r="IA29" t="s">
        <v>424</v>
      </c>
      <c r="IB29" t="s">
        <v>424</v>
      </c>
      <c r="IC29" t="s">
        <v>423</v>
      </c>
      <c r="ID29">
        <v>0</v>
      </c>
      <c r="IE29">
        <v>100</v>
      </c>
      <c r="IF29">
        <v>100</v>
      </c>
      <c r="IG29">
        <v>0.99</v>
      </c>
      <c r="IH29">
        <v>0.28289999999999998</v>
      </c>
      <c r="II29">
        <v>0.96902797143251485</v>
      </c>
      <c r="IJ29">
        <v>8.9576739069318506E-4</v>
      </c>
      <c r="IK29">
        <v>-7.2130504814809596E-7</v>
      </c>
      <c r="IL29">
        <v>1.9987036519832741E-10</v>
      </c>
      <c r="IM29">
        <v>0.28291500000000269</v>
      </c>
      <c r="IN29">
        <v>0</v>
      </c>
      <c r="IO29">
        <v>0</v>
      </c>
      <c r="IP29">
        <v>0</v>
      </c>
      <c r="IQ29">
        <v>1</v>
      </c>
      <c r="IR29">
        <v>2126</v>
      </c>
      <c r="IS29">
        <v>0</v>
      </c>
      <c r="IT29">
        <v>20</v>
      </c>
      <c r="IU29">
        <v>0.7</v>
      </c>
      <c r="IV29">
        <v>0.6</v>
      </c>
      <c r="IW29">
        <v>0.223389</v>
      </c>
      <c r="IX29">
        <v>2.7075200000000001</v>
      </c>
      <c r="IY29">
        <v>1.69434</v>
      </c>
      <c r="IZ29">
        <v>2.34985</v>
      </c>
      <c r="JA29">
        <v>1.5466299999999999</v>
      </c>
      <c r="JB29">
        <v>2.4694799999999999</v>
      </c>
      <c r="JC29">
        <v>40.604199999999999</v>
      </c>
      <c r="JD29">
        <v>23.763500000000001</v>
      </c>
      <c r="JE29">
        <v>18</v>
      </c>
      <c r="JF29">
        <v>500.34399999999999</v>
      </c>
      <c r="JG29">
        <v>517.67399999999998</v>
      </c>
      <c r="JH29">
        <v>27.8293</v>
      </c>
      <c r="JI29">
        <v>32.991799999999998</v>
      </c>
      <c r="JJ29">
        <v>30</v>
      </c>
      <c r="JK29">
        <v>32.945900000000002</v>
      </c>
      <c r="JL29">
        <v>32.898099999999999</v>
      </c>
      <c r="JM29">
        <v>4.5508300000000004</v>
      </c>
      <c r="JN29">
        <v>34.237400000000001</v>
      </c>
      <c r="JO29">
        <v>76.6203</v>
      </c>
      <c r="JP29">
        <v>27.845099999999999</v>
      </c>
      <c r="JQ29">
        <v>30</v>
      </c>
      <c r="JR29">
        <v>21.927299999999999</v>
      </c>
      <c r="JS29">
        <v>99.065899999999999</v>
      </c>
      <c r="JT29">
        <v>98.959100000000007</v>
      </c>
    </row>
    <row r="30" spans="1:280" x14ac:dyDescent="0.25">
      <c r="A30">
        <v>14</v>
      </c>
      <c r="B30">
        <v>1700237124.5</v>
      </c>
      <c r="C30">
        <v>1898.900000095367</v>
      </c>
      <c r="D30" t="s">
        <v>474</v>
      </c>
      <c r="E30" t="s">
        <v>475</v>
      </c>
      <c r="F30" t="s">
        <v>412</v>
      </c>
      <c r="G30" t="s">
        <v>413</v>
      </c>
      <c r="H30" t="s">
        <v>414</v>
      </c>
      <c r="I30">
        <v>1700237124.5</v>
      </c>
      <c r="J30">
        <f t="shared" si="0"/>
        <v>6.7083343872987962E-3</v>
      </c>
      <c r="K30">
        <f t="shared" si="1"/>
        <v>6.7083343872987964</v>
      </c>
      <c r="L30">
        <f t="shared" si="2"/>
        <v>1.7005990630954695</v>
      </c>
      <c r="M30">
        <f t="shared" si="3"/>
        <v>8.06358</v>
      </c>
      <c r="N30">
        <f t="shared" si="4"/>
        <v>2.1571629724589161</v>
      </c>
      <c r="O30">
        <f t="shared" si="5"/>
        <v>0.21299673168623104</v>
      </c>
      <c r="P30">
        <f t="shared" si="6"/>
        <v>0.79619213180388015</v>
      </c>
      <c r="Q30">
        <f t="shared" si="7"/>
        <v>0.50764715420271267</v>
      </c>
      <c r="R30">
        <f t="shared" si="8"/>
        <v>2.9935060604612271</v>
      </c>
      <c r="S30">
        <f t="shared" si="9"/>
        <v>0.46421842703108684</v>
      </c>
      <c r="T30">
        <f t="shared" si="10"/>
        <v>0.29372818339423401</v>
      </c>
      <c r="U30">
        <f t="shared" si="11"/>
        <v>289.56704984752997</v>
      </c>
      <c r="V30">
        <f t="shared" si="12"/>
        <v>30.54154671952643</v>
      </c>
      <c r="W30">
        <f t="shared" si="13"/>
        <v>29.9923</v>
      </c>
      <c r="X30">
        <f t="shared" si="14"/>
        <v>4.2585658166146194</v>
      </c>
      <c r="Y30">
        <f t="shared" si="15"/>
        <v>65.471887841098081</v>
      </c>
      <c r="Z30">
        <f t="shared" si="16"/>
        <v>2.8833056383432005</v>
      </c>
      <c r="AA30">
        <f t="shared" si="17"/>
        <v>4.4038834581050352</v>
      </c>
      <c r="AB30">
        <f t="shared" si="18"/>
        <v>1.3752601782714189</v>
      </c>
      <c r="AC30">
        <f t="shared" si="19"/>
        <v>-295.83754647987689</v>
      </c>
      <c r="AD30">
        <f t="shared" si="20"/>
        <v>94.475305117470242</v>
      </c>
      <c r="AE30">
        <f t="shared" si="21"/>
        <v>7.037243324302672</v>
      </c>
      <c r="AF30">
        <f t="shared" si="22"/>
        <v>95.242051809425988</v>
      </c>
      <c r="AG30">
        <v>0</v>
      </c>
      <c r="AH30">
        <v>0</v>
      </c>
      <c r="AI30">
        <f t="shared" si="23"/>
        <v>1</v>
      </c>
      <c r="AJ30">
        <f t="shared" si="24"/>
        <v>0</v>
      </c>
      <c r="AK30">
        <f t="shared" si="25"/>
        <v>51425.483223755684</v>
      </c>
      <c r="AL30" t="s">
        <v>415</v>
      </c>
      <c r="AM30">
        <v>6960.3</v>
      </c>
      <c r="AN30">
        <v>244.8124</v>
      </c>
      <c r="AO30">
        <v>892.86711584811997</v>
      </c>
      <c r="AP30">
        <f t="shared" si="26"/>
        <v>0.72581317459826411</v>
      </c>
      <c r="AQ30">
        <v>-0.43209471141234851</v>
      </c>
      <c r="AR30" t="s">
        <v>476</v>
      </c>
      <c r="AS30">
        <v>7129.59</v>
      </c>
      <c r="AT30">
        <v>749.16846153846177</v>
      </c>
      <c r="AU30">
        <v>786.1468005500526</v>
      </c>
      <c r="AV30">
        <f t="shared" si="27"/>
        <v>4.7037447695160495E-2</v>
      </c>
      <c r="AW30">
        <v>0.5</v>
      </c>
      <c r="AX30">
        <f t="shared" si="28"/>
        <v>1513.1849999209999</v>
      </c>
      <c r="AY30">
        <f t="shared" si="29"/>
        <v>1.7005990630954695</v>
      </c>
      <c r="AZ30">
        <f t="shared" si="30"/>
        <v>35.588180143442735</v>
      </c>
      <c r="BA30">
        <f t="shared" si="31"/>
        <v>1.4094071608026523E-3</v>
      </c>
      <c r="BB30">
        <f t="shared" si="32"/>
        <v>0.13575112844496359</v>
      </c>
      <c r="BC30">
        <f t="shared" si="33"/>
        <v>236.02719155361964</v>
      </c>
      <c r="BD30" t="s">
        <v>477</v>
      </c>
      <c r="BE30">
        <v>515</v>
      </c>
      <c r="BF30">
        <f t="shared" si="34"/>
        <v>515</v>
      </c>
      <c r="BG30">
        <f t="shared" si="35"/>
        <v>0.3449060663483412</v>
      </c>
      <c r="BH30">
        <f t="shared" si="36"/>
        <v>0.13637755981843047</v>
      </c>
      <c r="BI30">
        <f t="shared" si="37"/>
        <v>0.28242816276440036</v>
      </c>
      <c r="BJ30">
        <f t="shared" si="38"/>
        <v>6.8309604883814809E-2</v>
      </c>
      <c r="BK30">
        <f t="shared" si="39"/>
        <v>0.16467793951379664</v>
      </c>
      <c r="BL30">
        <f t="shared" si="40"/>
        <v>9.3749866568409876E-2</v>
      </c>
      <c r="BM30">
        <f t="shared" si="41"/>
        <v>0.90625013343159011</v>
      </c>
      <c r="BN30">
        <v>157</v>
      </c>
      <c r="BO30">
        <v>290.00000000000011</v>
      </c>
      <c r="BP30">
        <v>773.93</v>
      </c>
      <c r="BQ30">
        <v>65</v>
      </c>
      <c r="BR30">
        <v>7129.59</v>
      </c>
      <c r="BS30">
        <v>773.04</v>
      </c>
      <c r="BT30">
        <v>0.89</v>
      </c>
      <c r="BU30">
        <v>300.00000000000011</v>
      </c>
      <c r="BV30">
        <v>38.200000000000003</v>
      </c>
      <c r="BW30">
        <v>786.1468005500526</v>
      </c>
      <c r="BX30">
        <v>1.0279672231149111</v>
      </c>
      <c r="BY30">
        <v>-9.3460742919549276</v>
      </c>
      <c r="BZ30">
        <v>0.61367870674266012</v>
      </c>
      <c r="CA30">
        <v>0.89228298854477817</v>
      </c>
      <c r="CB30">
        <v>-7.0278422691879769E-3</v>
      </c>
      <c r="CC30">
        <v>289.99999999999989</v>
      </c>
      <c r="CD30">
        <v>772.76</v>
      </c>
      <c r="CE30">
        <v>645</v>
      </c>
      <c r="CF30">
        <v>7119.76</v>
      </c>
      <c r="CG30">
        <v>773.02</v>
      </c>
      <c r="CH30">
        <v>-0.26</v>
      </c>
      <c r="CV30">
        <f t="shared" si="42"/>
        <v>1800</v>
      </c>
      <c r="CW30">
        <f t="shared" si="43"/>
        <v>1513.1849999209999</v>
      </c>
      <c r="CX30">
        <f t="shared" si="44"/>
        <v>0.84065833328944439</v>
      </c>
      <c r="CY30">
        <f t="shared" si="45"/>
        <v>0.16087058324862777</v>
      </c>
      <c r="CZ30">
        <v>5.52</v>
      </c>
      <c r="DA30">
        <v>0.5</v>
      </c>
      <c r="DB30" t="s">
        <v>418</v>
      </c>
      <c r="DC30">
        <v>2</v>
      </c>
      <c r="DD30">
        <v>1700237124.5</v>
      </c>
      <c r="DE30">
        <v>8.06358</v>
      </c>
      <c r="DF30">
        <v>10.000400000000001</v>
      </c>
      <c r="DG30">
        <v>29.2012</v>
      </c>
      <c r="DH30">
        <v>22.012799999999999</v>
      </c>
      <c r="DI30">
        <v>7.14452</v>
      </c>
      <c r="DJ30">
        <v>28.926300000000001</v>
      </c>
      <c r="DK30">
        <v>500.09300000000002</v>
      </c>
      <c r="DL30">
        <v>98.639200000000002</v>
      </c>
      <c r="DM30">
        <v>0.10008599999999999</v>
      </c>
      <c r="DN30">
        <v>30.5777</v>
      </c>
      <c r="DO30">
        <v>29.9923</v>
      </c>
      <c r="DP30">
        <v>999.9</v>
      </c>
      <c r="DQ30">
        <v>0</v>
      </c>
      <c r="DR30">
        <v>0</v>
      </c>
      <c r="DS30">
        <v>9976.25</v>
      </c>
      <c r="DT30">
        <v>0</v>
      </c>
      <c r="DU30">
        <v>312.00200000000001</v>
      </c>
      <c r="DV30">
        <v>-1.93686</v>
      </c>
      <c r="DW30">
        <v>8.3061299999999996</v>
      </c>
      <c r="DX30">
        <v>10.2255</v>
      </c>
      <c r="DY30">
        <v>7.1883299999999997</v>
      </c>
      <c r="DZ30">
        <v>10.000400000000001</v>
      </c>
      <c r="EA30">
        <v>22.012799999999999</v>
      </c>
      <c r="EB30">
        <v>2.8803800000000002</v>
      </c>
      <c r="EC30">
        <v>2.1713300000000002</v>
      </c>
      <c r="ED30">
        <v>23.3521</v>
      </c>
      <c r="EE30">
        <v>18.752300000000002</v>
      </c>
      <c r="EF30">
        <v>1800</v>
      </c>
      <c r="EG30">
        <v>0.977993</v>
      </c>
      <c r="EH30">
        <v>2.20074E-2</v>
      </c>
      <c r="EI30">
        <v>0</v>
      </c>
      <c r="EJ30">
        <v>749.28599999999994</v>
      </c>
      <c r="EK30">
        <v>5.0001199999999999</v>
      </c>
      <c r="EL30">
        <v>13514.1</v>
      </c>
      <c r="EM30">
        <v>15629.9</v>
      </c>
      <c r="EN30">
        <v>50.186999999999998</v>
      </c>
      <c r="EO30">
        <v>51.125</v>
      </c>
      <c r="EP30">
        <v>50.936999999999998</v>
      </c>
      <c r="EQ30">
        <v>50.936999999999998</v>
      </c>
      <c r="ER30">
        <v>51.686999999999998</v>
      </c>
      <c r="ES30">
        <v>1755.5</v>
      </c>
      <c r="ET30">
        <v>39.5</v>
      </c>
      <c r="EU30">
        <v>0</v>
      </c>
      <c r="EV30">
        <v>306.20000004768372</v>
      </c>
      <c r="EW30">
        <v>0</v>
      </c>
      <c r="EX30">
        <v>749.16846153846177</v>
      </c>
      <c r="EY30">
        <v>-1.406427365310176</v>
      </c>
      <c r="EZ30">
        <v>-10.18803417110402</v>
      </c>
      <c r="FA30">
        <v>13515.99230769231</v>
      </c>
      <c r="FB30">
        <v>15</v>
      </c>
      <c r="FC30">
        <v>1700237090</v>
      </c>
      <c r="FD30" t="s">
        <v>478</v>
      </c>
      <c r="FE30">
        <v>1700237082</v>
      </c>
      <c r="FF30">
        <v>1700237090</v>
      </c>
      <c r="FG30">
        <v>15</v>
      </c>
      <c r="FH30">
        <v>-5.6000000000000001E-2</v>
      </c>
      <c r="FI30">
        <v>-8.0000000000000002E-3</v>
      </c>
      <c r="FJ30">
        <v>0.92100000000000004</v>
      </c>
      <c r="FK30">
        <v>0.27500000000000002</v>
      </c>
      <c r="FL30">
        <v>10</v>
      </c>
      <c r="FM30">
        <v>22</v>
      </c>
      <c r="FN30">
        <v>0.14000000000000001</v>
      </c>
      <c r="FO30">
        <v>0.01</v>
      </c>
      <c r="FP30">
        <v>1.717064713395315</v>
      </c>
      <c r="FQ30">
        <v>-7.3801407463426436E-2</v>
      </c>
      <c r="FR30">
        <v>1.465852304949697E-2</v>
      </c>
      <c r="FS30">
        <v>1</v>
      </c>
      <c r="FT30">
        <v>0.50585880452257692</v>
      </c>
      <c r="FU30">
        <v>4.1675023787735237E-2</v>
      </c>
      <c r="FV30">
        <v>4.2273295450778858E-3</v>
      </c>
      <c r="FW30">
        <v>1</v>
      </c>
      <c r="FX30">
        <v>2</v>
      </c>
      <c r="FY30">
        <v>2</v>
      </c>
      <c r="FZ30" t="s">
        <v>420</v>
      </c>
      <c r="GA30">
        <v>2.9173499999999999</v>
      </c>
      <c r="GB30">
        <v>2.75088</v>
      </c>
      <c r="GC30">
        <v>1.9873099999999999E-3</v>
      </c>
      <c r="GD30">
        <v>2.8457000000000001E-3</v>
      </c>
      <c r="GE30">
        <v>0.131269</v>
      </c>
      <c r="GF30">
        <v>0.110056</v>
      </c>
      <c r="GG30">
        <v>30989</v>
      </c>
      <c r="GH30">
        <v>30815.1</v>
      </c>
      <c r="GI30">
        <v>28281.3</v>
      </c>
      <c r="GJ30">
        <v>28256.9</v>
      </c>
      <c r="GK30">
        <v>33478.800000000003</v>
      </c>
      <c r="GL30">
        <v>35111.599999999999</v>
      </c>
      <c r="GM30">
        <v>42485.8</v>
      </c>
      <c r="GN30">
        <v>43916.6</v>
      </c>
      <c r="GO30">
        <v>1.7740499999999999</v>
      </c>
      <c r="GP30">
        <v>1.9403999999999999</v>
      </c>
      <c r="GQ30">
        <v>4.8082300000000001E-2</v>
      </c>
      <c r="GR30">
        <v>0</v>
      </c>
      <c r="GS30">
        <v>29.209299999999999</v>
      </c>
      <c r="GT30">
        <v>999.9</v>
      </c>
      <c r="GU30">
        <v>55</v>
      </c>
      <c r="GV30">
        <v>35</v>
      </c>
      <c r="GW30">
        <v>31.4939</v>
      </c>
      <c r="GX30">
        <v>60.908999999999999</v>
      </c>
      <c r="GY30">
        <v>31.3261</v>
      </c>
      <c r="GZ30">
        <v>1</v>
      </c>
      <c r="HA30">
        <v>0.46298800000000001</v>
      </c>
      <c r="HB30">
        <v>1.9757100000000001</v>
      </c>
      <c r="HC30">
        <v>20.258600000000001</v>
      </c>
      <c r="HD30">
        <v>5.2712000000000003</v>
      </c>
      <c r="HE30">
        <v>12.0878</v>
      </c>
      <c r="HF30">
        <v>5.0115999999999996</v>
      </c>
      <c r="HG30">
        <v>3.2912499999999998</v>
      </c>
      <c r="HH30">
        <v>9999</v>
      </c>
      <c r="HI30">
        <v>9999</v>
      </c>
      <c r="HJ30">
        <v>9999</v>
      </c>
      <c r="HK30">
        <v>999.9</v>
      </c>
      <c r="HL30">
        <v>1.8758699999999999</v>
      </c>
      <c r="HM30">
        <v>1.87629</v>
      </c>
      <c r="HN30">
        <v>1.8760699999999999</v>
      </c>
      <c r="HO30">
        <v>1.88002</v>
      </c>
      <c r="HP30">
        <v>1.87347</v>
      </c>
      <c r="HQ30">
        <v>1.8766700000000001</v>
      </c>
      <c r="HR30">
        <v>1.8763700000000001</v>
      </c>
      <c r="HS30">
        <v>1.87775</v>
      </c>
      <c r="HT30">
        <v>0</v>
      </c>
      <c r="HU30">
        <v>0</v>
      </c>
      <c r="HV30">
        <v>0</v>
      </c>
      <c r="HW30">
        <v>0</v>
      </c>
      <c r="HX30" t="s">
        <v>421</v>
      </c>
      <c r="HY30" t="s">
        <v>422</v>
      </c>
      <c r="HZ30" t="s">
        <v>423</v>
      </c>
      <c r="IA30" t="s">
        <v>424</v>
      </c>
      <c r="IB30" t="s">
        <v>424</v>
      </c>
      <c r="IC30" t="s">
        <v>423</v>
      </c>
      <c r="ID30">
        <v>0</v>
      </c>
      <c r="IE30">
        <v>100</v>
      </c>
      <c r="IF30">
        <v>100</v>
      </c>
      <c r="IG30">
        <v>0.91900000000000004</v>
      </c>
      <c r="IH30">
        <v>0.27489999999999998</v>
      </c>
      <c r="II30">
        <v>0.91270191118375399</v>
      </c>
      <c r="IJ30">
        <v>8.9576739069318506E-4</v>
      </c>
      <c r="IK30">
        <v>-7.2130504814809596E-7</v>
      </c>
      <c r="IL30">
        <v>1.9987036519832741E-10</v>
      </c>
      <c r="IM30">
        <v>0.27487500000000509</v>
      </c>
      <c r="IN30">
        <v>0</v>
      </c>
      <c r="IO30">
        <v>0</v>
      </c>
      <c r="IP30">
        <v>0</v>
      </c>
      <c r="IQ30">
        <v>1</v>
      </c>
      <c r="IR30">
        <v>2126</v>
      </c>
      <c r="IS30">
        <v>0</v>
      </c>
      <c r="IT30">
        <v>20</v>
      </c>
      <c r="IU30">
        <v>0.7</v>
      </c>
      <c r="IV30">
        <v>0.6</v>
      </c>
      <c r="IW30">
        <v>0.17944299999999999</v>
      </c>
      <c r="IX30">
        <v>2.7185100000000002</v>
      </c>
      <c r="IY30">
        <v>1.69434</v>
      </c>
      <c r="IZ30">
        <v>2.34863</v>
      </c>
      <c r="JA30">
        <v>1.5466299999999999</v>
      </c>
      <c r="JB30">
        <v>2.47437</v>
      </c>
      <c r="JC30">
        <v>40.629800000000003</v>
      </c>
      <c r="JD30">
        <v>23.754799999999999</v>
      </c>
      <c r="JE30">
        <v>18</v>
      </c>
      <c r="JF30">
        <v>500.23899999999998</v>
      </c>
      <c r="JG30">
        <v>516.37900000000002</v>
      </c>
      <c r="JH30">
        <v>27.740400000000001</v>
      </c>
      <c r="JI30">
        <v>33.029200000000003</v>
      </c>
      <c r="JJ30">
        <v>30.0001</v>
      </c>
      <c r="JK30">
        <v>32.987499999999997</v>
      </c>
      <c r="JL30">
        <v>32.939500000000002</v>
      </c>
      <c r="JM30">
        <v>3.6703899999999998</v>
      </c>
      <c r="JN30">
        <v>33.150799999999997</v>
      </c>
      <c r="JO30">
        <v>71.688299999999998</v>
      </c>
      <c r="JP30">
        <v>27.736499999999999</v>
      </c>
      <c r="JQ30">
        <v>10</v>
      </c>
      <c r="JR30">
        <v>21.970700000000001</v>
      </c>
      <c r="JS30">
        <v>99.061899999999994</v>
      </c>
      <c r="JT30">
        <v>98.953400000000002</v>
      </c>
    </row>
    <row r="31" spans="1:280" x14ac:dyDescent="0.25">
      <c r="A31">
        <v>15</v>
      </c>
      <c r="B31">
        <v>1700238182</v>
      </c>
      <c r="C31">
        <v>2956.400000095367</v>
      </c>
      <c r="D31" t="s">
        <v>479</v>
      </c>
      <c r="E31" t="s">
        <v>480</v>
      </c>
      <c r="F31" t="s">
        <v>412</v>
      </c>
      <c r="G31" t="s">
        <v>481</v>
      </c>
      <c r="H31" t="s">
        <v>482</v>
      </c>
      <c r="I31">
        <v>1700238182</v>
      </c>
      <c r="J31">
        <f t="shared" si="0"/>
        <v>4.0624857173064532E-3</v>
      </c>
      <c r="K31">
        <f t="shared" si="1"/>
        <v>4.062485717306453</v>
      </c>
      <c r="L31">
        <f t="shared" si="2"/>
        <v>49.649883179474756</v>
      </c>
      <c r="M31">
        <f t="shared" si="3"/>
        <v>407.40899999999999</v>
      </c>
      <c r="N31">
        <f t="shared" si="4"/>
        <v>96.152568132033053</v>
      </c>
      <c r="O31">
        <f t="shared" si="5"/>
        <v>9.4952423506956514</v>
      </c>
      <c r="P31">
        <f t="shared" si="6"/>
        <v>40.232385530697002</v>
      </c>
      <c r="Q31">
        <f t="shared" si="7"/>
        <v>0.27043096909738079</v>
      </c>
      <c r="R31">
        <f t="shared" si="8"/>
        <v>3.357722197074525</v>
      </c>
      <c r="S31">
        <f t="shared" si="9"/>
        <v>0.25888723439975631</v>
      </c>
      <c r="T31">
        <f t="shared" si="10"/>
        <v>0.1628006165672754</v>
      </c>
      <c r="U31">
        <f t="shared" si="11"/>
        <v>289.57923884757537</v>
      </c>
      <c r="V31">
        <f t="shared" si="12"/>
        <v>30.538828414950451</v>
      </c>
      <c r="W31">
        <f t="shared" si="13"/>
        <v>30.018799999999999</v>
      </c>
      <c r="X31">
        <f t="shared" si="14"/>
        <v>4.2650526126029344</v>
      </c>
      <c r="Y31">
        <f t="shared" si="15"/>
        <v>65.155937256769633</v>
      </c>
      <c r="Z31">
        <f t="shared" si="16"/>
        <v>2.7706308025645003</v>
      </c>
      <c r="AA31">
        <f t="shared" si="17"/>
        <v>4.252307493706776</v>
      </c>
      <c r="AB31">
        <f t="shared" si="18"/>
        <v>1.4944218100384341</v>
      </c>
      <c r="AC31">
        <f t="shared" si="19"/>
        <v>-179.1556201332146</v>
      </c>
      <c r="AD31">
        <f t="shared" si="20"/>
        <v>-9.4312211445202081</v>
      </c>
      <c r="AE31">
        <f t="shared" si="21"/>
        <v>-0.62449805228503674</v>
      </c>
      <c r="AF31">
        <f t="shared" si="22"/>
        <v>100.36789951755551</v>
      </c>
      <c r="AG31">
        <v>15</v>
      </c>
      <c r="AH31">
        <v>3</v>
      </c>
      <c r="AI31">
        <f t="shared" si="23"/>
        <v>1</v>
      </c>
      <c r="AJ31">
        <f t="shared" si="24"/>
        <v>0</v>
      </c>
      <c r="AK31">
        <f t="shared" si="25"/>
        <v>51715.501492216288</v>
      </c>
      <c r="AL31" t="s">
        <v>415</v>
      </c>
      <c r="AM31">
        <v>6960.3</v>
      </c>
      <c r="AN31">
        <v>244.8124</v>
      </c>
      <c r="AO31">
        <v>892.86711584811997</v>
      </c>
      <c r="AP31">
        <f t="shared" si="26"/>
        <v>0.72581317459826411</v>
      </c>
      <c r="AQ31">
        <v>-0.43209471141234851</v>
      </c>
      <c r="AR31" t="s">
        <v>483</v>
      </c>
      <c r="AS31">
        <v>7119.54</v>
      </c>
      <c r="AT31">
        <v>555.78836000000001</v>
      </c>
      <c r="AU31">
        <v>780.32812841838813</v>
      </c>
      <c r="AV31">
        <f t="shared" si="27"/>
        <v>0.28775044784493109</v>
      </c>
      <c r="AW31">
        <v>0.5</v>
      </c>
      <c r="AX31">
        <f t="shared" si="28"/>
        <v>1513.2518999210233</v>
      </c>
      <c r="AY31">
        <f t="shared" si="29"/>
        <v>49.649883179474756</v>
      </c>
      <c r="AZ31">
        <f t="shared" si="30"/>
        <v>217.71945595223366</v>
      </c>
      <c r="BA31">
        <f t="shared" si="31"/>
        <v>3.309559888442954E-2</v>
      </c>
      <c r="BB31">
        <f t="shared" si="32"/>
        <v>0.14422008297692923</v>
      </c>
      <c r="BC31">
        <f t="shared" si="33"/>
        <v>235.49996671581397</v>
      </c>
      <c r="BD31" t="s">
        <v>484</v>
      </c>
      <c r="BE31">
        <v>368.11</v>
      </c>
      <c r="BF31">
        <f t="shared" si="34"/>
        <v>368.11</v>
      </c>
      <c r="BG31">
        <f t="shared" si="35"/>
        <v>0.52826255187531745</v>
      </c>
      <c r="BH31">
        <f t="shared" si="36"/>
        <v>0.54471104723101238</v>
      </c>
      <c r="BI31">
        <f t="shared" si="37"/>
        <v>0.21445919270259864</v>
      </c>
      <c r="BJ31">
        <f t="shared" si="38"/>
        <v>0.41929630915146443</v>
      </c>
      <c r="BK31">
        <f t="shared" si="39"/>
        <v>0.17365661367412502</v>
      </c>
      <c r="BL31">
        <f t="shared" si="40"/>
        <v>0.36077326915628094</v>
      </c>
      <c r="BM31">
        <f t="shared" si="41"/>
        <v>0.63922673084371906</v>
      </c>
      <c r="BN31">
        <v>159</v>
      </c>
      <c r="BO31">
        <v>290.00000000000011</v>
      </c>
      <c r="BP31">
        <v>718.66</v>
      </c>
      <c r="BQ31">
        <v>295</v>
      </c>
      <c r="BR31">
        <v>7119.54</v>
      </c>
      <c r="BS31">
        <v>720.37</v>
      </c>
      <c r="BT31">
        <v>-1.71</v>
      </c>
      <c r="BU31">
        <v>300.00000000000011</v>
      </c>
      <c r="BV31">
        <v>38.200000000000003</v>
      </c>
      <c r="BW31">
        <v>780.32812841838813</v>
      </c>
      <c r="BX31">
        <v>1.0879069342462839</v>
      </c>
      <c r="BY31">
        <v>-42.68756324989689</v>
      </c>
      <c r="BZ31">
        <v>0.64922583038908721</v>
      </c>
      <c r="CA31">
        <v>0.9935650792545716</v>
      </c>
      <c r="CB31">
        <v>-7.025581535038938E-3</v>
      </c>
      <c r="CC31">
        <v>289.99999999999989</v>
      </c>
      <c r="CD31">
        <v>728.89</v>
      </c>
      <c r="CE31">
        <v>855</v>
      </c>
      <c r="CF31">
        <v>7114.04</v>
      </c>
      <c r="CG31">
        <v>720.32</v>
      </c>
      <c r="CH31">
        <v>8.57</v>
      </c>
      <c r="CV31">
        <f t="shared" si="42"/>
        <v>1800.08</v>
      </c>
      <c r="CW31">
        <f t="shared" si="43"/>
        <v>1513.2518999210233</v>
      </c>
      <c r="CX31">
        <f t="shared" si="44"/>
        <v>0.84065813737224093</v>
      </c>
      <c r="CY31">
        <f t="shared" si="45"/>
        <v>0.16087020512842506</v>
      </c>
      <c r="CZ31">
        <v>4.16</v>
      </c>
      <c r="DA31">
        <v>0.5</v>
      </c>
      <c r="DB31" t="s">
        <v>418</v>
      </c>
      <c r="DC31">
        <v>2</v>
      </c>
      <c r="DD31">
        <v>1700238182</v>
      </c>
      <c r="DE31">
        <v>407.40899999999999</v>
      </c>
      <c r="DF31">
        <v>450.08100000000002</v>
      </c>
      <c r="DG31">
        <v>28.0565</v>
      </c>
      <c r="DH31">
        <v>24.772400000000001</v>
      </c>
      <c r="DI31">
        <v>405.89100000000002</v>
      </c>
      <c r="DJ31">
        <v>27.735299999999999</v>
      </c>
      <c r="DK31">
        <v>500.161</v>
      </c>
      <c r="DL31">
        <v>98.652000000000001</v>
      </c>
      <c r="DM31">
        <v>9.9833000000000005E-2</v>
      </c>
      <c r="DN31">
        <v>29.966699999999999</v>
      </c>
      <c r="DO31">
        <v>30.018799999999999</v>
      </c>
      <c r="DP31">
        <v>999.9</v>
      </c>
      <c r="DQ31">
        <v>0</v>
      </c>
      <c r="DR31">
        <v>0</v>
      </c>
      <c r="DS31">
        <v>10012.5</v>
      </c>
      <c r="DT31">
        <v>0</v>
      </c>
      <c r="DU31">
        <v>297.50099999999998</v>
      </c>
      <c r="DV31">
        <v>-42.671399999999998</v>
      </c>
      <c r="DW31">
        <v>419.17</v>
      </c>
      <c r="DX31">
        <v>461.51400000000001</v>
      </c>
      <c r="DY31">
        <v>3.2840699999999998</v>
      </c>
      <c r="DZ31">
        <v>450.08100000000002</v>
      </c>
      <c r="EA31">
        <v>24.772400000000001</v>
      </c>
      <c r="EB31">
        <v>2.76783</v>
      </c>
      <c r="EC31">
        <v>2.4438499999999999</v>
      </c>
      <c r="ED31">
        <v>22.6935</v>
      </c>
      <c r="EE31">
        <v>20.657299999999999</v>
      </c>
      <c r="EF31">
        <v>1800.08</v>
      </c>
      <c r="EG31">
        <v>0.97800299999999996</v>
      </c>
      <c r="EH31">
        <v>2.1997099999999999E-2</v>
      </c>
      <c r="EI31">
        <v>0</v>
      </c>
      <c r="EJ31">
        <v>555.86900000000003</v>
      </c>
      <c r="EK31">
        <v>5.0001199999999999</v>
      </c>
      <c r="EL31">
        <v>10597.6</v>
      </c>
      <c r="EM31">
        <v>15630.7</v>
      </c>
      <c r="EN31">
        <v>50.5</v>
      </c>
      <c r="EO31">
        <v>51.686999999999998</v>
      </c>
      <c r="EP31">
        <v>51.5</v>
      </c>
      <c r="EQ31">
        <v>51.436999999999998</v>
      </c>
      <c r="ER31">
        <v>52</v>
      </c>
      <c r="ES31">
        <v>1755.59</v>
      </c>
      <c r="ET31">
        <v>39.49</v>
      </c>
      <c r="EU31">
        <v>0</v>
      </c>
      <c r="EV31">
        <v>1055.3999998569491</v>
      </c>
      <c r="EW31">
        <v>0</v>
      </c>
      <c r="EX31">
        <v>555.78836000000001</v>
      </c>
      <c r="EY31">
        <v>-0.59153846690296086</v>
      </c>
      <c r="EZ31">
        <v>106.2769231841028</v>
      </c>
      <c r="FA31">
        <v>10585.892</v>
      </c>
      <c r="FB31">
        <v>15</v>
      </c>
      <c r="FC31">
        <v>1700238110.5</v>
      </c>
      <c r="FD31" t="s">
        <v>485</v>
      </c>
      <c r="FE31">
        <v>1700238107.5</v>
      </c>
      <c r="FF31">
        <v>1700238110.5</v>
      </c>
      <c r="FG31">
        <v>17</v>
      </c>
      <c r="FH31">
        <v>-1E-3</v>
      </c>
      <c r="FI31">
        <v>-0.09</v>
      </c>
      <c r="FJ31">
        <v>1.5349999999999999</v>
      </c>
      <c r="FK31">
        <v>0.32100000000000001</v>
      </c>
      <c r="FL31">
        <v>450</v>
      </c>
      <c r="FM31">
        <v>24</v>
      </c>
      <c r="FN31">
        <v>0.05</v>
      </c>
      <c r="FO31">
        <v>0.02</v>
      </c>
      <c r="FP31">
        <v>49.788831746303948</v>
      </c>
      <c r="FQ31">
        <v>-0.62644001175065112</v>
      </c>
      <c r="FR31">
        <v>5.5943776593880418E-2</v>
      </c>
      <c r="FS31">
        <v>1</v>
      </c>
      <c r="FT31">
        <v>0.26549120008409532</v>
      </c>
      <c r="FU31">
        <v>-2.6929360037055458E-3</v>
      </c>
      <c r="FV31">
        <v>8.4198787631547579E-4</v>
      </c>
      <c r="FW31">
        <v>1</v>
      </c>
      <c r="FX31">
        <v>2</v>
      </c>
      <c r="FY31">
        <v>2</v>
      </c>
      <c r="FZ31" t="s">
        <v>420</v>
      </c>
      <c r="GA31">
        <v>2.9163100000000002</v>
      </c>
      <c r="GB31">
        <v>2.75095</v>
      </c>
      <c r="GC31">
        <v>9.1531199999999993E-2</v>
      </c>
      <c r="GD31">
        <v>0.10062699999999999</v>
      </c>
      <c r="GE31">
        <v>0.12740000000000001</v>
      </c>
      <c r="GF31">
        <v>0.11934599999999999</v>
      </c>
      <c r="GG31">
        <v>28192.1</v>
      </c>
      <c r="GH31">
        <v>27768.7</v>
      </c>
      <c r="GI31">
        <v>28264</v>
      </c>
      <c r="GJ31">
        <v>28230.9</v>
      </c>
      <c r="GK31">
        <v>33608.5</v>
      </c>
      <c r="GL31">
        <v>34717.699999999997</v>
      </c>
      <c r="GM31">
        <v>42460.2</v>
      </c>
      <c r="GN31">
        <v>43881.1</v>
      </c>
      <c r="GO31">
        <v>1.74013</v>
      </c>
      <c r="GP31">
        <v>1.9298500000000001</v>
      </c>
      <c r="GQ31">
        <v>2.3715199999999999E-2</v>
      </c>
      <c r="GR31">
        <v>0</v>
      </c>
      <c r="GS31">
        <v>29.6327</v>
      </c>
      <c r="GT31">
        <v>999.9</v>
      </c>
      <c r="GU31">
        <v>50.3</v>
      </c>
      <c r="GV31">
        <v>36.5</v>
      </c>
      <c r="GW31">
        <v>31.2822</v>
      </c>
      <c r="GX31">
        <v>60.679099999999998</v>
      </c>
      <c r="GY31">
        <v>31.554500000000001</v>
      </c>
      <c r="GZ31">
        <v>1</v>
      </c>
      <c r="HA31">
        <v>0.51296200000000003</v>
      </c>
      <c r="HB31">
        <v>2.7515100000000001</v>
      </c>
      <c r="HC31">
        <v>20.246200000000002</v>
      </c>
      <c r="HD31">
        <v>5.2765899999999997</v>
      </c>
      <c r="HE31">
        <v>12.0878</v>
      </c>
      <c r="HF31">
        <v>5.0132000000000003</v>
      </c>
      <c r="HG31">
        <v>3.2919200000000002</v>
      </c>
      <c r="HH31">
        <v>9999</v>
      </c>
      <c r="HI31">
        <v>9999</v>
      </c>
      <c r="HJ31">
        <v>9999</v>
      </c>
      <c r="HK31">
        <v>999.9</v>
      </c>
      <c r="HL31">
        <v>1.87591</v>
      </c>
      <c r="HM31">
        <v>1.87635</v>
      </c>
      <c r="HN31">
        <v>1.8760699999999999</v>
      </c>
      <c r="HO31">
        <v>1.88</v>
      </c>
      <c r="HP31">
        <v>1.87347</v>
      </c>
      <c r="HQ31">
        <v>1.87663</v>
      </c>
      <c r="HR31">
        <v>1.8763700000000001</v>
      </c>
      <c r="HS31">
        <v>1.8777900000000001</v>
      </c>
      <c r="HT31">
        <v>0</v>
      </c>
      <c r="HU31">
        <v>0</v>
      </c>
      <c r="HV31">
        <v>0</v>
      </c>
      <c r="HW31">
        <v>0</v>
      </c>
      <c r="HX31" t="s">
        <v>421</v>
      </c>
      <c r="HY31" t="s">
        <v>422</v>
      </c>
      <c r="HZ31" t="s">
        <v>423</v>
      </c>
      <c r="IA31" t="s">
        <v>424</v>
      </c>
      <c r="IB31" t="s">
        <v>424</v>
      </c>
      <c r="IC31" t="s">
        <v>423</v>
      </c>
      <c r="ID31">
        <v>0</v>
      </c>
      <c r="IE31">
        <v>100</v>
      </c>
      <c r="IF31">
        <v>100</v>
      </c>
      <c r="IG31">
        <v>1.518</v>
      </c>
      <c r="IH31">
        <v>0.32119999999999999</v>
      </c>
      <c r="II31">
        <v>1.26022735903438</v>
      </c>
      <c r="IJ31">
        <v>8.9576739069318506E-4</v>
      </c>
      <c r="IK31">
        <v>-7.2130504814809596E-7</v>
      </c>
      <c r="IL31">
        <v>1.9987036519832741E-10</v>
      </c>
      <c r="IM31">
        <v>0.32116999999999862</v>
      </c>
      <c r="IN31">
        <v>0</v>
      </c>
      <c r="IO31">
        <v>0</v>
      </c>
      <c r="IP31">
        <v>0</v>
      </c>
      <c r="IQ31">
        <v>1</v>
      </c>
      <c r="IR31">
        <v>2126</v>
      </c>
      <c r="IS31">
        <v>0</v>
      </c>
      <c r="IT31">
        <v>20</v>
      </c>
      <c r="IU31">
        <v>1.2</v>
      </c>
      <c r="IV31">
        <v>1.2</v>
      </c>
      <c r="IW31">
        <v>1.1450199999999999</v>
      </c>
      <c r="IX31">
        <v>2.6843300000000001</v>
      </c>
      <c r="IY31">
        <v>1.69434</v>
      </c>
      <c r="IZ31">
        <v>2.34619</v>
      </c>
      <c r="JA31">
        <v>1.5466299999999999</v>
      </c>
      <c r="JB31">
        <v>2.4865699999999999</v>
      </c>
      <c r="JC31">
        <v>42.0593</v>
      </c>
      <c r="JD31">
        <v>23.8248</v>
      </c>
      <c r="JE31">
        <v>18</v>
      </c>
      <c r="JF31">
        <v>478.17500000000001</v>
      </c>
      <c r="JG31">
        <v>513.25300000000004</v>
      </c>
      <c r="JH31">
        <v>26.690799999999999</v>
      </c>
      <c r="JI31">
        <v>33.606999999999999</v>
      </c>
      <c r="JJ31">
        <v>30.000900000000001</v>
      </c>
      <c r="JK31">
        <v>33.523499999999999</v>
      </c>
      <c r="JL31">
        <v>33.474899999999998</v>
      </c>
      <c r="JM31">
        <v>23.008299999999998</v>
      </c>
      <c r="JN31">
        <v>21.5793</v>
      </c>
      <c r="JO31">
        <v>60.713700000000003</v>
      </c>
      <c r="JP31">
        <v>26.665700000000001</v>
      </c>
      <c r="JQ31">
        <v>450</v>
      </c>
      <c r="JR31">
        <v>24.7332</v>
      </c>
      <c r="JS31">
        <v>99.001900000000006</v>
      </c>
      <c r="JT31">
        <v>98.869100000000003</v>
      </c>
    </row>
    <row r="32" spans="1:280" x14ac:dyDescent="0.25">
      <c r="A32">
        <v>16</v>
      </c>
      <c r="B32">
        <v>1700238388.5999999</v>
      </c>
      <c r="C32">
        <v>3163</v>
      </c>
      <c r="D32" t="s">
        <v>486</v>
      </c>
      <c r="E32" t="s">
        <v>487</v>
      </c>
      <c r="F32" t="s">
        <v>412</v>
      </c>
      <c r="G32" t="s">
        <v>481</v>
      </c>
      <c r="H32" t="s">
        <v>482</v>
      </c>
      <c r="I32">
        <v>1700238388.5999999</v>
      </c>
      <c r="J32">
        <f t="shared" si="0"/>
        <v>1.7279035699935741E-3</v>
      </c>
      <c r="K32">
        <f t="shared" si="1"/>
        <v>1.7279035699935741</v>
      </c>
      <c r="L32">
        <f t="shared" si="2"/>
        <v>50.307732370589406</v>
      </c>
      <c r="M32">
        <f t="shared" si="3"/>
        <v>1456.14</v>
      </c>
      <c r="N32">
        <f t="shared" si="4"/>
        <v>658.00642097240359</v>
      </c>
      <c r="O32">
        <f t="shared" si="5"/>
        <v>64.972308740179983</v>
      </c>
      <c r="P32">
        <f t="shared" si="6"/>
        <v>143.78093379258002</v>
      </c>
      <c r="Q32">
        <f t="shared" si="7"/>
        <v>0.10608036216398056</v>
      </c>
      <c r="R32">
        <f t="shared" si="8"/>
        <v>3.3593967797214455</v>
      </c>
      <c r="S32">
        <f t="shared" si="9"/>
        <v>0.10425397714763511</v>
      </c>
      <c r="T32">
        <f t="shared" si="10"/>
        <v>6.5320209943115909E-2</v>
      </c>
      <c r="U32">
        <f t="shared" si="11"/>
        <v>289.58823584761905</v>
      </c>
      <c r="V32">
        <f t="shared" si="12"/>
        <v>30.513669099897008</v>
      </c>
      <c r="W32">
        <f t="shared" si="13"/>
        <v>30.0486</v>
      </c>
      <c r="X32">
        <f t="shared" si="14"/>
        <v>4.2723574831430273</v>
      </c>
      <c r="Y32">
        <f t="shared" si="15"/>
        <v>65.413086636629785</v>
      </c>
      <c r="Z32">
        <f t="shared" si="16"/>
        <v>2.6935498748983</v>
      </c>
      <c r="AA32">
        <f t="shared" si="17"/>
        <v>4.11775382174058</v>
      </c>
      <c r="AB32">
        <f t="shared" si="18"/>
        <v>1.5788076082447273</v>
      </c>
      <c r="AC32">
        <f t="shared" si="19"/>
        <v>-76.200547436716619</v>
      </c>
      <c r="AD32">
        <f t="shared" si="20"/>
        <v>-115.98399620021452</v>
      </c>
      <c r="AE32">
        <f t="shared" si="21"/>
        <v>-7.6561063387956718</v>
      </c>
      <c r="AF32">
        <f t="shared" si="22"/>
        <v>89.747585871892241</v>
      </c>
      <c r="AG32">
        <v>16</v>
      </c>
      <c r="AH32">
        <v>3</v>
      </c>
      <c r="AI32">
        <f t="shared" si="23"/>
        <v>1</v>
      </c>
      <c r="AJ32">
        <f t="shared" si="24"/>
        <v>0</v>
      </c>
      <c r="AK32">
        <f t="shared" si="25"/>
        <v>51848.652964721274</v>
      </c>
      <c r="AL32" t="s">
        <v>415</v>
      </c>
      <c r="AM32">
        <v>6960.3</v>
      </c>
      <c r="AN32">
        <v>244.8124</v>
      </c>
      <c r="AO32">
        <v>892.86711584811997</v>
      </c>
      <c r="AP32">
        <f t="shared" si="26"/>
        <v>0.72581317459826411</v>
      </c>
      <c r="AQ32">
        <v>-0.43209471141234851</v>
      </c>
      <c r="AR32" t="s">
        <v>488</v>
      </c>
      <c r="AS32">
        <v>7118.64</v>
      </c>
      <c r="AT32">
        <v>550.77984615384617</v>
      </c>
      <c r="AU32">
        <v>786.35096981474328</v>
      </c>
      <c r="AV32">
        <f t="shared" si="27"/>
        <v>0.29957504053997086</v>
      </c>
      <c r="AW32">
        <v>0.5</v>
      </c>
      <c r="AX32">
        <f t="shared" si="28"/>
        <v>1513.301999921046</v>
      </c>
      <c r="AY32">
        <f t="shared" si="29"/>
        <v>50.307732370589406</v>
      </c>
      <c r="AZ32">
        <f t="shared" si="30"/>
        <v>226.67375398778316</v>
      </c>
      <c r="BA32">
        <f t="shared" si="31"/>
        <v>3.3529214317201073E-2</v>
      </c>
      <c r="BB32">
        <f t="shared" si="32"/>
        <v>0.13545624043481611</v>
      </c>
      <c r="BC32">
        <f t="shared" si="33"/>
        <v>236.04559199412654</v>
      </c>
      <c r="BD32" t="s">
        <v>489</v>
      </c>
      <c r="BE32">
        <v>371.18</v>
      </c>
      <c r="BF32">
        <f t="shared" si="34"/>
        <v>371.18</v>
      </c>
      <c r="BG32">
        <f t="shared" si="35"/>
        <v>0.52797158743576489</v>
      </c>
      <c r="BH32">
        <f t="shared" si="36"/>
        <v>0.56740750386765526</v>
      </c>
      <c r="BI32">
        <f t="shared" si="37"/>
        <v>0.2041763018437032</v>
      </c>
      <c r="BJ32">
        <f t="shared" si="38"/>
        <v>0.43500340842109259</v>
      </c>
      <c r="BK32">
        <f t="shared" si="39"/>
        <v>0.16436289009019436</v>
      </c>
      <c r="BL32">
        <f t="shared" si="40"/>
        <v>0.38238566417473402</v>
      </c>
      <c r="BM32">
        <f t="shared" si="41"/>
        <v>0.61761433582526593</v>
      </c>
      <c r="BN32">
        <v>161</v>
      </c>
      <c r="BO32">
        <v>290.00000000000011</v>
      </c>
      <c r="BP32">
        <v>720.64</v>
      </c>
      <c r="BQ32">
        <v>295</v>
      </c>
      <c r="BR32">
        <v>7118.64</v>
      </c>
      <c r="BS32">
        <v>722.58</v>
      </c>
      <c r="BT32">
        <v>-1.94</v>
      </c>
      <c r="BU32">
        <v>300.00000000000011</v>
      </c>
      <c r="BV32">
        <v>38.200000000000003</v>
      </c>
      <c r="BW32">
        <v>786.35096981474328</v>
      </c>
      <c r="BX32">
        <v>1.468903737905279</v>
      </c>
      <c r="BY32">
        <v>-45.398567991969067</v>
      </c>
      <c r="BZ32">
        <v>0.87648043593234337</v>
      </c>
      <c r="CA32">
        <v>0.98967121787924972</v>
      </c>
      <c r="CB32">
        <v>-7.0247931034482861E-3</v>
      </c>
      <c r="CC32">
        <v>289.99999999999989</v>
      </c>
      <c r="CD32">
        <v>730.67</v>
      </c>
      <c r="CE32">
        <v>835</v>
      </c>
      <c r="CF32">
        <v>7113.36</v>
      </c>
      <c r="CG32">
        <v>722.53</v>
      </c>
      <c r="CH32">
        <v>8.14</v>
      </c>
      <c r="CV32">
        <f t="shared" si="42"/>
        <v>1800.14</v>
      </c>
      <c r="CW32">
        <f t="shared" si="43"/>
        <v>1513.301999921046</v>
      </c>
      <c r="CX32">
        <f t="shared" si="44"/>
        <v>0.84065794878234246</v>
      </c>
      <c r="CY32">
        <f t="shared" si="45"/>
        <v>0.16086984114992114</v>
      </c>
      <c r="CZ32">
        <v>4.16</v>
      </c>
      <c r="DA32">
        <v>0.5</v>
      </c>
      <c r="DB32" t="s">
        <v>418</v>
      </c>
      <c r="DC32">
        <v>2</v>
      </c>
      <c r="DD32">
        <v>1700238388.5999999</v>
      </c>
      <c r="DE32">
        <v>1456.14</v>
      </c>
      <c r="DF32">
        <v>1500.08</v>
      </c>
      <c r="DG32">
        <v>27.2789</v>
      </c>
      <c r="DH32">
        <v>25.880800000000001</v>
      </c>
      <c r="DI32">
        <v>1453.91</v>
      </c>
      <c r="DJ32">
        <v>26.929200000000002</v>
      </c>
      <c r="DK32">
        <v>500.10700000000003</v>
      </c>
      <c r="DL32">
        <v>98.641499999999994</v>
      </c>
      <c r="DM32">
        <v>9.9646999999999999E-2</v>
      </c>
      <c r="DN32">
        <v>29.408200000000001</v>
      </c>
      <c r="DO32">
        <v>30.0486</v>
      </c>
      <c r="DP32">
        <v>999.9</v>
      </c>
      <c r="DQ32">
        <v>0</v>
      </c>
      <c r="DR32">
        <v>0</v>
      </c>
      <c r="DS32">
        <v>10021.200000000001</v>
      </c>
      <c r="DT32">
        <v>0</v>
      </c>
      <c r="DU32">
        <v>444.47899999999998</v>
      </c>
      <c r="DV32">
        <v>-43.947099999999999</v>
      </c>
      <c r="DW32">
        <v>1496.97</v>
      </c>
      <c r="DX32">
        <v>1539.94</v>
      </c>
      <c r="DY32">
        <v>1.3980900000000001</v>
      </c>
      <c r="DZ32">
        <v>1500.08</v>
      </c>
      <c r="EA32">
        <v>25.880800000000001</v>
      </c>
      <c r="EB32">
        <v>2.6908300000000001</v>
      </c>
      <c r="EC32">
        <v>2.5529199999999999</v>
      </c>
      <c r="ED32">
        <v>22.229199999999999</v>
      </c>
      <c r="EE32">
        <v>21.367899999999999</v>
      </c>
      <c r="EF32">
        <v>1800.14</v>
      </c>
      <c r="EG32">
        <v>0.97800600000000004</v>
      </c>
      <c r="EH32">
        <v>2.1993700000000001E-2</v>
      </c>
      <c r="EI32">
        <v>0</v>
      </c>
      <c r="EJ32">
        <v>550.53300000000002</v>
      </c>
      <c r="EK32">
        <v>5.0001199999999999</v>
      </c>
      <c r="EL32">
        <v>10571.8</v>
      </c>
      <c r="EM32">
        <v>15631.2</v>
      </c>
      <c r="EN32">
        <v>50.686999999999998</v>
      </c>
      <c r="EO32">
        <v>52.061999999999998</v>
      </c>
      <c r="EP32">
        <v>51.75</v>
      </c>
      <c r="EQ32">
        <v>51.686999999999998</v>
      </c>
      <c r="ER32">
        <v>52.186999999999998</v>
      </c>
      <c r="ES32">
        <v>1755.66</v>
      </c>
      <c r="ET32">
        <v>39.479999999999997</v>
      </c>
      <c r="EU32">
        <v>0</v>
      </c>
      <c r="EV32">
        <v>204.79999995231631</v>
      </c>
      <c r="EW32">
        <v>0</v>
      </c>
      <c r="EX32">
        <v>550.77984615384617</v>
      </c>
      <c r="EY32">
        <v>-2.1324444557661781</v>
      </c>
      <c r="EZ32">
        <v>-58.984615361037761</v>
      </c>
      <c r="FA32">
        <v>10575.81923076923</v>
      </c>
      <c r="FB32">
        <v>15</v>
      </c>
      <c r="FC32">
        <v>1700238361.5999999</v>
      </c>
      <c r="FD32" t="s">
        <v>490</v>
      </c>
      <c r="FE32">
        <v>1700238361.5999999</v>
      </c>
      <c r="FF32">
        <v>1700238341.0999999</v>
      </c>
      <c r="FG32">
        <v>18</v>
      </c>
      <c r="FH32">
        <v>0.57799999999999996</v>
      </c>
      <c r="FI32">
        <v>2.9000000000000001E-2</v>
      </c>
      <c r="FJ32">
        <v>2.2320000000000002</v>
      </c>
      <c r="FK32">
        <v>0.35</v>
      </c>
      <c r="FL32">
        <v>1500</v>
      </c>
      <c r="FM32">
        <v>26</v>
      </c>
      <c r="FN32">
        <v>0.09</v>
      </c>
      <c r="FO32">
        <v>7.0000000000000007E-2</v>
      </c>
      <c r="FP32">
        <v>50.06051591174672</v>
      </c>
      <c r="FQ32">
        <v>0.14870468011905391</v>
      </c>
      <c r="FR32">
        <v>8.3751482189543078E-2</v>
      </c>
      <c r="FS32">
        <v>1</v>
      </c>
      <c r="FT32">
        <v>0.1047200151517834</v>
      </c>
      <c r="FU32">
        <v>4.1181279546054807E-2</v>
      </c>
      <c r="FV32">
        <v>3.5474509175353361E-3</v>
      </c>
      <c r="FW32">
        <v>1</v>
      </c>
      <c r="FX32">
        <v>2</v>
      </c>
      <c r="FY32">
        <v>2</v>
      </c>
      <c r="FZ32" t="s">
        <v>420</v>
      </c>
      <c r="GA32">
        <v>2.9157099999999998</v>
      </c>
      <c r="GB32">
        <v>2.7508499999999998</v>
      </c>
      <c r="GC32">
        <v>0.21701400000000001</v>
      </c>
      <c r="GD32">
        <v>0.224054</v>
      </c>
      <c r="GE32">
        <v>0.124775</v>
      </c>
      <c r="GF32">
        <v>0.122942</v>
      </c>
      <c r="GG32">
        <v>24285.200000000001</v>
      </c>
      <c r="GH32">
        <v>23943.5</v>
      </c>
      <c r="GI32">
        <v>28255.3</v>
      </c>
      <c r="GJ32">
        <v>28220.6</v>
      </c>
      <c r="GK32">
        <v>33699.199999999997</v>
      </c>
      <c r="GL32">
        <v>34563.699999999997</v>
      </c>
      <c r="GM32">
        <v>42447.3</v>
      </c>
      <c r="GN32">
        <v>43865.9</v>
      </c>
      <c r="GO32">
        <v>1.7359800000000001</v>
      </c>
      <c r="GP32">
        <v>1.9292</v>
      </c>
      <c r="GQ32">
        <v>2.2612500000000001E-2</v>
      </c>
      <c r="GR32">
        <v>0</v>
      </c>
      <c r="GS32">
        <v>29.680599999999998</v>
      </c>
      <c r="GT32">
        <v>999.9</v>
      </c>
      <c r="GU32">
        <v>49.6</v>
      </c>
      <c r="GV32">
        <v>36.9</v>
      </c>
      <c r="GW32">
        <v>31.528600000000001</v>
      </c>
      <c r="GX32">
        <v>60.7791</v>
      </c>
      <c r="GY32">
        <v>31.234000000000002</v>
      </c>
      <c r="GZ32">
        <v>1</v>
      </c>
      <c r="HA32">
        <v>0.53754299999999999</v>
      </c>
      <c r="HB32">
        <v>3.91425</v>
      </c>
      <c r="HC32">
        <v>20.2225</v>
      </c>
      <c r="HD32">
        <v>5.27719</v>
      </c>
      <c r="HE32">
        <v>12.0878</v>
      </c>
      <c r="HF32">
        <v>5.0137499999999999</v>
      </c>
      <c r="HG32">
        <v>3.2919499999999999</v>
      </c>
      <c r="HH32">
        <v>9999</v>
      </c>
      <c r="HI32">
        <v>9999</v>
      </c>
      <c r="HJ32">
        <v>9999</v>
      </c>
      <c r="HK32">
        <v>999.9</v>
      </c>
      <c r="HL32">
        <v>1.87592</v>
      </c>
      <c r="HM32">
        <v>1.8763700000000001</v>
      </c>
      <c r="HN32">
        <v>1.87619</v>
      </c>
      <c r="HO32">
        <v>1.8800399999999999</v>
      </c>
      <c r="HP32">
        <v>1.8735599999999999</v>
      </c>
      <c r="HQ32">
        <v>1.8766799999999999</v>
      </c>
      <c r="HR32">
        <v>1.8765099999999999</v>
      </c>
      <c r="HS32">
        <v>1.8778900000000001</v>
      </c>
      <c r="HT32">
        <v>0</v>
      </c>
      <c r="HU32">
        <v>0</v>
      </c>
      <c r="HV32">
        <v>0</v>
      </c>
      <c r="HW32">
        <v>0</v>
      </c>
      <c r="HX32" t="s">
        <v>421</v>
      </c>
      <c r="HY32" t="s">
        <v>422</v>
      </c>
      <c r="HZ32" t="s">
        <v>423</v>
      </c>
      <c r="IA32" t="s">
        <v>424</v>
      </c>
      <c r="IB32" t="s">
        <v>424</v>
      </c>
      <c r="IC32" t="s">
        <v>423</v>
      </c>
      <c r="ID32">
        <v>0</v>
      </c>
      <c r="IE32">
        <v>100</v>
      </c>
      <c r="IF32">
        <v>100</v>
      </c>
      <c r="IG32">
        <v>2.23</v>
      </c>
      <c r="IH32">
        <v>0.34970000000000001</v>
      </c>
      <c r="II32">
        <v>1.836785393112351</v>
      </c>
      <c r="IJ32">
        <v>8.9576739069318506E-4</v>
      </c>
      <c r="IK32">
        <v>-7.2130504814809596E-7</v>
      </c>
      <c r="IL32">
        <v>1.9987036519832741E-10</v>
      </c>
      <c r="IM32">
        <v>0.34971999999999781</v>
      </c>
      <c r="IN32">
        <v>0</v>
      </c>
      <c r="IO32">
        <v>0</v>
      </c>
      <c r="IP32">
        <v>0</v>
      </c>
      <c r="IQ32">
        <v>1</v>
      </c>
      <c r="IR32">
        <v>2126</v>
      </c>
      <c r="IS32">
        <v>0</v>
      </c>
      <c r="IT32">
        <v>20</v>
      </c>
      <c r="IU32">
        <v>0.5</v>
      </c>
      <c r="IV32">
        <v>0.8</v>
      </c>
      <c r="IW32">
        <v>3.0456500000000002</v>
      </c>
      <c r="IX32">
        <v>2.6220699999999999</v>
      </c>
      <c r="IY32">
        <v>1.69434</v>
      </c>
      <c r="IZ32">
        <v>2.34619</v>
      </c>
      <c r="JA32">
        <v>1.5466299999999999</v>
      </c>
      <c r="JB32">
        <v>2.5134300000000001</v>
      </c>
      <c r="JC32">
        <v>42.617100000000001</v>
      </c>
      <c r="JD32">
        <v>23.807300000000001</v>
      </c>
      <c r="JE32">
        <v>18</v>
      </c>
      <c r="JF32">
        <v>476.48</v>
      </c>
      <c r="JG32">
        <v>514.20899999999995</v>
      </c>
      <c r="JH32">
        <v>25.479800000000001</v>
      </c>
      <c r="JI32">
        <v>33.831800000000001</v>
      </c>
      <c r="JJ32">
        <v>30.001000000000001</v>
      </c>
      <c r="JK32">
        <v>33.702800000000003</v>
      </c>
      <c r="JL32">
        <v>33.642600000000002</v>
      </c>
      <c r="JM32">
        <v>61.009799999999998</v>
      </c>
      <c r="JN32">
        <v>18.047899999999998</v>
      </c>
      <c r="JO32">
        <v>60.339799999999997</v>
      </c>
      <c r="JP32">
        <v>25.467199999999998</v>
      </c>
      <c r="JQ32">
        <v>1500</v>
      </c>
      <c r="JR32">
        <v>25.790099999999999</v>
      </c>
      <c r="JS32">
        <v>98.971599999999995</v>
      </c>
      <c r="JT32">
        <v>98.834199999999996</v>
      </c>
    </row>
    <row r="33" spans="1:280" x14ac:dyDescent="0.25">
      <c r="A33">
        <v>17</v>
      </c>
      <c r="B33">
        <v>1700238565.5999999</v>
      </c>
      <c r="C33">
        <v>3340</v>
      </c>
      <c r="D33" t="s">
        <v>491</v>
      </c>
      <c r="E33" t="s">
        <v>492</v>
      </c>
      <c r="F33" t="s">
        <v>412</v>
      </c>
      <c r="G33" t="s">
        <v>481</v>
      </c>
      <c r="H33" t="s">
        <v>482</v>
      </c>
      <c r="I33">
        <v>1700238565.5999999</v>
      </c>
      <c r="J33">
        <f t="shared" si="0"/>
        <v>1.8365228160214173E-3</v>
      </c>
      <c r="K33">
        <f t="shared" si="1"/>
        <v>1.8365228160214173</v>
      </c>
      <c r="L33">
        <f t="shared" si="2"/>
        <v>53.82625909208172</v>
      </c>
      <c r="M33">
        <f t="shared" si="3"/>
        <v>1203.3900000000001</v>
      </c>
      <c r="N33">
        <f t="shared" si="4"/>
        <v>405.44900191804464</v>
      </c>
      <c r="O33">
        <f t="shared" si="5"/>
        <v>40.037038421042944</v>
      </c>
      <c r="P33">
        <f t="shared" si="6"/>
        <v>118.83164451651001</v>
      </c>
      <c r="Q33">
        <f t="shared" si="7"/>
        <v>0.112664913441628</v>
      </c>
      <c r="R33">
        <f t="shared" si="8"/>
        <v>3.3491064574571849</v>
      </c>
      <c r="S33">
        <f t="shared" si="9"/>
        <v>0.1106009320106023</v>
      </c>
      <c r="T33">
        <f t="shared" si="10"/>
        <v>6.9307873629981573E-2</v>
      </c>
      <c r="U33">
        <f t="shared" si="11"/>
        <v>289.6010038476258</v>
      </c>
      <c r="V33">
        <f t="shared" si="12"/>
        <v>30.441468426041453</v>
      </c>
      <c r="W33">
        <f t="shared" si="13"/>
        <v>29.9879</v>
      </c>
      <c r="X33">
        <f t="shared" si="14"/>
        <v>4.2574895964460433</v>
      </c>
      <c r="Y33">
        <f t="shared" si="15"/>
        <v>65.161164407621669</v>
      </c>
      <c r="Z33">
        <f t="shared" si="16"/>
        <v>2.6753536772961</v>
      </c>
      <c r="AA33">
        <f t="shared" si="17"/>
        <v>4.1057487256676053</v>
      </c>
      <c r="AB33">
        <f t="shared" si="18"/>
        <v>1.5821359191499433</v>
      </c>
      <c r="AC33">
        <f t="shared" si="19"/>
        <v>-80.990656186544498</v>
      </c>
      <c r="AD33">
        <f t="shared" si="20"/>
        <v>-113.80509432889204</v>
      </c>
      <c r="AE33">
        <f t="shared" si="21"/>
        <v>-7.5312037478888492</v>
      </c>
      <c r="AF33">
        <f t="shared" si="22"/>
        <v>87.2740495843004</v>
      </c>
      <c r="AG33">
        <v>16</v>
      </c>
      <c r="AH33">
        <v>3</v>
      </c>
      <c r="AI33">
        <f t="shared" si="23"/>
        <v>1</v>
      </c>
      <c r="AJ33">
        <f t="shared" si="24"/>
        <v>0</v>
      </c>
      <c r="AK33">
        <f t="shared" si="25"/>
        <v>51624.820818827604</v>
      </c>
      <c r="AL33" t="s">
        <v>427</v>
      </c>
      <c r="AM33" t="s">
        <v>427</v>
      </c>
      <c r="AN33">
        <v>0</v>
      </c>
      <c r="AO33">
        <v>0</v>
      </c>
      <c r="AP33" t="e">
        <f t="shared" si="26"/>
        <v>#DIV/0!</v>
      </c>
      <c r="AQ33">
        <v>0</v>
      </c>
      <c r="AR33" t="s">
        <v>427</v>
      </c>
      <c r="AS33" t="s">
        <v>427</v>
      </c>
      <c r="AT33">
        <v>0</v>
      </c>
      <c r="AU33">
        <v>0</v>
      </c>
      <c r="AV33" t="e">
        <f t="shared" si="27"/>
        <v>#DIV/0!</v>
      </c>
      <c r="AW33">
        <v>0.5</v>
      </c>
      <c r="AX33">
        <f t="shared" si="28"/>
        <v>1513.3691999210496</v>
      </c>
      <c r="AY33">
        <f t="shared" si="29"/>
        <v>53.82625909208172</v>
      </c>
      <c r="AZ33" t="e">
        <f t="shared" si="30"/>
        <v>#DIV/0!</v>
      </c>
      <c r="BA33">
        <f t="shared" si="31"/>
        <v>3.5567169660179261E-2</v>
      </c>
      <c r="BB33" t="e">
        <f t="shared" si="32"/>
        <v>#DIV/0!</v>
      </c>
      <c r="BC33" t="e">
        <f t="shared" si="33"/>
        <v>#DIV/0!</v>
      </c>
      <c r="BD33" t="s">
        <v>427</v>
      </c>
      <c r="BE33">
        <v>0</v>
      </c>
      <c r="BF33" t="e">
        <f t="shared" si="34"/>
        <v>#DIV/0!</v>
      </c>
      <c r="BG33" t="e">
        <f t="shared" si="35"/>
        <v>#DIV/0!</v>
      </c>
      <c r="BH33" t="e">
        <f t="shared" si="36"/>
        <v>#DIV/0!</v>
      </c>
      <c r="BI33" t="e">
        <f t="shared" si="37"/>
        <v>#DIV/0!</v>
      </c>
      <c r="BJ33" t="e">
        <f t="shared" si="38"/>
        <v>#DIV/0!</v>
      </c>
      <c r="BK33" t="e">
        <f t="shared" si="39"/>
        <v>#DIV/0!</v>
      </c>
      <c r="BL33" t="e">
        <f t="shared" si="40"/>
        <v>#DIV/0!</v>
      </c>
      <c r="BM33" t="e">
        <f t="shared" si="41"/>
        <v>#DIV/0!</v>
      </c>
      <c r="BN33">
        <v>161</v>
      </c>
      <c r="BO33">
        <v>290.00000000000011</v>
      </c>
      <c r="BP33">
        <v>720.64</v>
      </c>
      <c r="BQ33">
        <v>295</v>
      </c>
      <c r="BR33">
        <v>7118.64</v>
      </c>
      <c r="BS33">
        <v>722.58</v>
      </c>
      <c r="BT33">
        <v>-1.94</v>
      </c>
      <c r="BU33">
        <v>300.00000000000011</v>
      </c>
      <c r="BV33">
        <v>38.200000000000003</v>
      </c>
      <c r="BW33">
        <v>786.35096981474328</v>
      </c>
      <c r="BX33">
        <v>1.468903737905279</v>
      </c>
      <c r="BY33">
        <v>-45.398567991969067</v>
      </c>
      <c r="BZ33">
        <v>0.87648043593234337</v>
      </c>
      <c r="CA33">
        <v>0.98967121787924972</v>
      </c>
      <c r="CB33">
        <v>-7.0247931034482861E-3</v>
      </c>
      <c r="CC33">
        <v>289.99999999999989</v>
      </c>
      <c r="CD33">
        <v>730.67</v>
      </c>
      <c r="CE33">
        <v>835</v>
      </c>
      <c r="CF33">
        <v>7113.36</v>
      </c>
      <c r="CG33">
        <v>722.53</v>
      </c>
      <c r="CH33">
        <v>8.14</v>
      </c>
      <c r="CV33">
        <f t="shared" si="42"/>
        <v>1800.22</v>
      </c>
      <c r="CW33">
        <f t="shared" si="43"/>
        <v>1513.3691999210496</v>
      </c>
      <c r="CX33">
        <f t="shared" si="44"/>
        <v>0.84065791954374991</v>
      </c>
      <c r="CY33">
        <f t="shared" si="45"/>
        <v>0.16086978471943753</v>
      </c>
      <c r="CZ33">
        <v>4.16</v>
      </c>
      <c r="DA33">
        <v>0.5</v>
      </c>
      <c r="DB33" t="s">
        <v>418</v>
      </c>
      <c r="DC33">
        <v>2</v>
      </c>
      <c r="DD33">
        <v>1700238565.5999999</v>
      </c>
      <c r="DE33">
        <v>1203.3900000000001</v>
      </c>
      <c r="DF33">
        <v>1250</v>
      </c>
      <c r="DG33">
        <v>27.0929</v>
      </c>
      <c r="DH33">
        <v>25.6067</v>
      </c>
      <c r="DI33">
        <v>1201.44</v>
      </c>
      <c r="DJ33">
        <v>26.753599999999999</v>
      </c>
      <c r="DK33">
        <v>500.13099999999997</v>
      </c>
      <c r="DL33">
        <v>98.647300000000001</v>
      </c>
      <c r="DM33">
        <v>0.100109</v>
      </c>
      <c r="DN33">
        <v>29.357600000000001</v>
      </c>
      <c r="DO33">
        <v>29.9879</v>
      </c>
      <c r="DP33">
        <v>999.9</v>
      </c>
      <c r="DQ33">
        <v>0</v>
      </c>
      <c r="DR33">
        <v>0</v>
      </c>
      <c r="DS33">
        <v>9973.75</v>
      </c>
      <c r="DT33">
        <v>0</v>
      </c>
      <c r="DU33">
        <v>582.22400000000005</v>
      </c>
      <c r="DV33">
        <v>-46.616500000000002</v>
      </c>
      <c r="DW33">
        <v>1236.9000000000001</v>
      </c>
      <c r="DX33">
        <v>1282.8499999999999</v>
      </c>
      <c r="DY33">
        <v>1.4862</v>
      </c>
      <c r="DZ33">
        <v>1250</v>
      </c>
      <c r="EA33">
        <v>25.6067</v>
      </c>
      <c r="EB33">
        <v>2.6726399999999999</v>
      </c>
      <c r="EC33">
        <v>2.52603</v>
      </c>
      <c r="ED33">
        <v>22.117799999999999</v>
      </c>
      <c r="EE33">
        <v>21.1952</v>
      </c>
      <c r="EF33">
        <v>1800.22</v>
      </c>
      <c r="EG33">
        <v>0.97801000000000005</v>
      </c>
      <c r="EH33">
        <v>2.1990300000000001E-2</v>
      </c>
      <c r="EI33">
        <v>0</v>
      </c>
      <c r="EJ33">
        <v>546.01599999999996</v>
      </c>
      <c r="EK33">
        <v>5.0001199999999999</v>
      </c>
      <c r="EL33">
        <v>10515.9</v>
      </c>
      <c r="EM33">
        <v>15632</v>
      </c>
      <c r="EN33">
        <v>50.811999999999998</v>
      </c>
      <c r="EO33">
        <v>52.436999999999998</v>
      </c>
      <c r="EP33">
        <v>51.875</v>
      </c>
      <c r="EQ33">
        <v>51.811999999999998</v>
      </c>
      <c r="ER33">
        <v>52.311999999999998</v>
      </c>
      <c r="ES33">
        <v>1755.74</v>
      </c>
      <c r="ET33">
        <v>39.479999999999997</v>
      </c>
      <c r="EU33">
        <v>0</v>
      </c>
      <c r="EV33">
        <v>175.20000004768369</v>
      </c>
      <c r="EW33">
        <v>0</v>
      </c>
      <c r="EX33">
        <v>546.23873076923076</v>
      </c>
      <c r="EY33">
        <v>-1.29165810421358</v>
      </c>
      <c r="EZ33">
        <v>-9.9247863586444378</v>
      </c>
      <c r="FA33">
        <v>10512.94230769231</v>
      </c>
      <c r="FB33">
        <v>15</v>
      </c>
      <c r="FC33">
        <v>1700238470.5999999</v>
      </c>
      <c r="FD33" t="s">
        <v>493</v>
      </c>
      <c r="FE33">
        <v>1700238470.5999999</v>
      </c>
      <c r="FF33">
        <v>1700238466.0999999</v>
      </c>
      <c r="FG33">
        <v>19</v>
      </c>
      <c r="FH33">
        <v>-0.27400000000000002</v>
      </c>
      <c r="FI33">
        <v>-0.01</v>
      </c>
      <c r="FJ33">
        <v>1.946</v>
      </c>
      <c r="FK33">
        <v>0.33900000000000002</v>
      </c>
      <c r="FL33">
        <v>1250</v>
      </c>
      <c r="FM33">
        <v>26</v>
      </c>
      <c r="FN33">
        <v>0.18</v>
      </c>
      <c r="FO33">
        <v>0.06</v>
      </c>
      <c r="FP33">
        <v>53.750202090734852</v>
      </c>
      <c r="FQ33">
        <v>0.46845608086656659</v>
      </c>
      <c r="FR33">
        <v>8.0730952915389967E-2</v>
      </c>
      <c r="FS33">
        <v>1</v>
      </c>
      <c r="FT33">
        <v>0.11276998673458589</v>
      </c>
      <c r="FU33">
        <v>1.8054688398579849E-2</v>
      </c>
      <c r="FV33">
        <v>1.63718310882259E-3</v>
      </c>
      <c r="FW33">
        <v>1</v>
      </c>
      <c r="FX33">
        <v>2</v>
      </c>
      <c r="FY33">
        <v>2</v>
      </c>
      <c r="FZ33" t="s">
        <v>420</v>
      </c>
      <c r="GA33">
        <v>2.91547</v>
      </c>
      <c r="GB33">
        <v>2.75088</v>
      </c>
      <c r="GC33">
        <v>0.19309100000000001</v>
      </c>
      <c r="GD33">
        <v>0.20061200000000001</v>
      </c>
      <c r="GE33">
        <v>0.124178</v>
      </c>
      <c r="GF33">
        <v>0.12200900000000001</v>
      </c>
      <c r="GG33">
        <v>25022.9</v>
      </c>
      <c r="GH33">
        <v>24659.8</v>
      </c>
      <c r="GI33">
        <v>28249</v>
      </c>
      <c r="GJ33">
        <v>28211</v>
      </c>
      <c r="GK33">
        <v>33715</v>
      </c>
      <c r="GL33">
        <v>34591.1</v>
      </c>
      <c r="GM33">
        <v>42437.599999999999</v>
      </c>
      <c r="GN33">
        <v>43853.4</v>
      </c>
      <c r="GO33">
        <v>1.7344200000000001</v>
      </c>
      <c r="GP33">
        <v>1.9239999999999999</v>
      </c>
      <c r="GQ33">
        <v>1.3261999999999999E-2</v>
      </c>
      <c r="GR33">
        <v>0</v>
      </c>
      <c r="GS33">
        <v>29.771999999999998</v>
      </c>
      <c r="GT33">
        <v>999.9</v>
      </c>
      <c r="GU33">
        <v>48.9</v>
      </c>
      <c r="GV33">
        <v>37.299999999999997</v>
      </c>
      <c r="GW33">
        <v>31.768000000000001</v>
      </c>
      <c r="GX33">
        <v>60.899099999999997</v>
      </c>
      <c r="GY33">
        <v>31.6266</v>
      </c>
      <c r="GZ33">
        <v>1</v>
      </c>
      <c r="HA33">
        <v>0.54920500000000005</v>
      </c>
      <c r="HB33">
        <v>3.34138</v>
      </c>
      <c r="HC33">
        <v>20.234400000000001</v>
      </c>
      <c r="HD33">
        <v>5.2762900000000004</v>
      </c>
      <c r="HE33">
        <v>12.0878</v>
      </c>
      <c r="HF33">
        <v>5.0130499999999998</v>
      </c>
      <c r="HG33">
        <v>3.2919200000000002</v>
      </c>
      <c r="HH33">
        <v>9999</v>
      </c>
      <c r="HI33">
        <v>9999</v>
      </c>
      <c r="HJ33">
        <v>9999</v>
      </c>
      <c r="HK33">
        <v>999.9</v>
      </c>
      <c r="HL33">
        <v>1.8759300000000001</v>
      </c>
      <c r="HM33">
        <v>1.8763799999999999</v>
      </c>
      <c r="HN33">
        <v>1.8762099999999999</v>
      </c>
      <c r="HO33">
        <v>1.8800399999999999</v>
      </c>
      <c r="HP33">
        <v>1.87361</v>
      </c>
      <c r="HQ33">
        <v>1.8766799999999999</v>
      </c>
      <c r="HR33">
        <v>1.87653</v>
      </c>
      <c r="HS33">
        <v>1.8778999999999999</v>
      </c>
      <c r="HT33">
        <v>0</v>
      </c>
      <c r="HU33">
        <v>0</v>
      </c>
      <c r="HV33">
        <v>0</v>
      </c>
      <c r="HW33">
        <v>0</v>
      </c>
      <c r="HX33" t="s">
        <v>421</v>
      </c>
      <c r="HY33" t="s">
        <v>422</v>
      </c>
      <c r="HZ33" t="s">
        <v>423</v>
      </c>
      <c r="IA33" t="s">
        <v>424</v>
      </c>
      <c r="IB33" t="s">
        <v>424</v>
      </c>
      <c r="IC33" t="s">
        <v>423</v>
      </c>
      <c r="ID33">
        <v>0</v>
      </c>
      <c r="IE33">
        <v>100</v>
      </c>
      <c r="IF33">
        <v>100</v>
      </c>
      <c r="IG33">
        <v>1.95</v>
      </c>
      <c r="IH33">
        <v>0.33929999999999999</v>
      </c>
      <c r="II33">
        <v>1.5627317583158891</v>
      </c>
      <c r="IJ33">
        <v>8.9576739069318506E-4</v>
      </c>
      <c r="IK33">
        <v>-7.2130504814809596E-7</v>
      </c>
      <c r="IL33">
        <v>1.9987036519832741E-10</v>
      </c>
      <c r="IM33">
        <v>0.33925499999999792</v>
      </c>
      <c r="IN33">
        <v>0</v>
      </c>
      <c r="IO33">
        <v>0</v>
      </c>
      <c r="IP33">
        <v>0</v>
      </c>
      <c r="IQ33">
        <v>1</v>
      </c>
      <c r="IR33">
        <v>2126</v>
      </c>
      <c r="IS33">
        <v>0</v>
      </c>
      <c r="IT33">
        <v>20</v>
      </c>
      <c r="IU33">
        <v>1.6</v>
      </c>
      <c r="IV33">
        <v>1.7</v>
      </c>
      <c r="IW33">
        <v>2.6293899999999999</v>
      </c>
      <c r="IX33">
        <v>2.6464799999999999</v>
      </c>
      <c r="IY33">
        <v>1.69434</v>
      </c>
      <c r="IZ33">
        <v>2.34619</v>
      </c>
      <c r="JA33">
        <v>1.5466299999999999</v>
      </c>
      <c r="JB33">
        <v>2.3779300000000001</v>
      </c>
      <c r="JC33">
        <v>43.0199</v>
      </c>
      <c r="JD33">
        <v>23.7986</v>
      </c>
      <c r="JE33">
        <v>18</v>
      </c>
      <c r="JF33">
        <v>476.57600000000002</v>
      </c>
      <c r="JG33">
        <v>511.71800000000002</v>
      </c>
      <c r="JH33">
        <v>25.637899999999998</v>
      </c>
      <c r="JI33">
        <v>33.978299999999997</v>
      </c>
      <c r="JJ33">
        <v>30.000499999999999</v>
      </c>
      <c r="JK33">
        <v>33.856099999999998</v>
      </c>
      <c r="JL33">
        <v>33.798099999999998</v>
      </c>
      <c r="JM33">
        <v>52.677300000000002</v>
      </c>
      <c r="JN33">
        <v>19.457599999999999</v>
      </c>
      <c r="JO33">
        <v>59.203000000000003</v>
      </c>
      <c r="JP33">
        <v>25.6355</v>
      </c>
      <c r="JQ33">
        <v>1250</v>
      </c>
      <c r="JR33">
        <v>25.529499999999999</v>
      </c>
      <c r="JS33">
        <v>98.949299999999994</v>
      </c>
      <c r="JT33">
        <v>98.803899999999999</v>
      </c>
    </row>
    <row r="34" spans="1:280" x14ac:dyDescent="0.25">
      <c r="A34">
        <v>18</v>
      </c>
      <c r="B34">
        <v>1700238735.5999999</v>
      </c>
      <c r="C34">
        <v>3510</v>
      </c>
      <c r="D34" t="s">
        <v>494</v>
      </c>
      <c r="E34" t="s">
        <v>495</v>
      </c>
      <c r="F34" t="s">
        <v>412</v>
      </c>
      <c r="G34" t="s">
        <v>481</v>
      </c>
      <c r="H34" t="s">
        <v>482</v>
      </c>
      <c r="I34">
        <v>1700238735.5999999</v>
      </c>
      <c r="J34">
        <f t="shared" si="0"/>
        <v>2.1191239144933444E-3</v>
      </c>
      <c r="K34">
        <f t="shared" si="1"/>
        <v>2.1191239144933443</v>
      </c>
      <c r="L34">
        <f t="shared" si="2"/>
        <v>53.444799277023321</v>
      </c>
      <c r="M34">
        <f t="shared" si="3"/>
        <v>953.83</v>
      </c>
      <c r="N34">
        <f t="shared" si="4"/>
        <v>268.58370174837205</v>
      </c>
      <c r="O34">
        <f t="shared" si="5"/>
        <v>26.522194967290542</v>
      </c>
      <c r="P34">
        <f t="shared" si="6"/>
        <v>94.189130096030013</v>
      </c>
      <c r="Q34">
        <f t="shared" si="7"/>
        <v>0.13017054487996021</v>
      </c>
      <c r="R34">
        <f t="shared" si="8"/>
        <v>3.3535236985599881</v>
      </c>
      <c r="S34">
        <f t="shared" si="9"/>
        <v>0.12742730249725043</v>
      </c>
      <c r="T34">
        <f t="shared" si="10"/>
        <v>7.988371841056191E-2</v>
      </c>
      <c r="U34">
        <f t="shared" si="11"/>
        <v>289.59954884750834</v>
      </c>
      <c r="V34">
        <f t="shared" si="12"/>
        <v>30.417623134042451</v>
      </c>
      <c r="W34">
        <f t="shared" si="13"/>
        <v>29.993200000000002</v>
      </c>
      <c r="X34">
        <f t="shared" si="14"/>
        <v>4.2587859817637721</v>
      </c>
      <c r="Y34">
        <f t="shared" si="15"/>
        <v>64.97570617270874</v>
      </c>
      <c r="Z34">
        <f t="shared" si="16"/>
        <v>2.6742433219574</v>
      </c>
      <c r="AA34">
        <f t="shared" si="17"/>
        <v>4.1157587650515479</v>
      </c>
      <c r="AB34">
        <f t="shared" si="18"/>
        <v>1.5845426598063721</v>
      </c>
      <c r="AC34">
        <f t="shared" si="19"/>
        <v>-93.453364629156496</v>
      </c>
      <c r="AD34">
        <f t="shared" si="20"/>
        <v>-107.28385366245746</v>
      </c>
      <c r="AE34">
        <f t="shared" si="21"/>
        <v>-7.0919686717717898</v>
      </c>
      <c r="AF34">
        <f t="shared" si="22"/>
        <v>81.770361884122593</v>
      </c>
      <c r="AG34">
        <v>16</v>
      </c>
      <c r="AH34">
        <v>3</v>
      </c>
      <c r="AI34">
        <f t="shared" si="23"/>
        <v>1</v>
      </c>
      <c r="AJ34">
        <f t="shared" si="24"/>
        <v>0</v>
      </c>
      <c r="AK34">
        <f t="shared" si="25"/>
        <v>51717.45367048958</v>
      </c>
      <c r="AL34" t="s">
        <v>415</v>
      </c>
      <c r="AM34">
        <v>6960.3</v>
      </c>
      <c r="AN34">
        <v>244.8124</v>
      </c>
      <c r="AO34">
        <v>892.86711584811997</v>
      </c>
      <c r="AP34">
        <f t="shared" si="26"/>
        <v>0.72581317459826411</v>
      </c>
      <c r="AQ34">
        <v>-0.43209471141234851</v>
      </c>
      <c r="AR34" t="s">
        <v>496</v>
      </c>
      <c r="AS34">
        <v>7116.7</v>
      </c>
      <c r="AT34">
        <v>546.2277600000001</v>
      </c>
      <c r="AU34">
        <v>778.52643597912061</v>
      </c>
      <c r="AV34">
        <f t="shared" si="27"/>
        <v>0.29838251502271473</v>
      </c>
      <c r="AW34">
        <v>0.5</v>
      </c>
      <c r="AX34">
        <f t="shared" si="28"/>
        <v>1513.353299920989</v>
      </c>
      <c r="AY34">
        <f t="shared" si="29"/>
        <v>53.444799277023321</v>
      </c>
      <c r="AZ34">
        <f t="shared" si="30"/>
        <v>225.77908187417472</v>
      </c>
      <c r="BA34">
        <f t="shared" si="31"/>
        <v>3.5601002086722601E-2</v>
      </c>
      <c r="BB34">
        <f t="shared" si="32"/>
        <v>0.14686807613051417</v>
      </c>
      <c r="BC34">
        <f t="shared" si="33"/>
        <v>235.33560203042768</v>
      </c>
      <c r="BD34" t="s">
        <v>497</v>
      </c>
      <c r="BE34">
        <v>368.89</v>
      </c>
      <c r="BF34">
        <f t="shared" si="34"/>
        <v>368.89</v>
      </c>
      <c r="BG34">
        <f t="shared" si="35"/>
        <v>0.52616894821810101</v>
      </c>
      <c r="BH34">
        <f t="shared" si="36"/>
        <v>0.56708499434108173</v>
      </c>
      <c r="BI34">
        <f t="shared" si="37"/>
        <v>0.21821693431005135</v>
      </c>
      <c r="BJ34">
        <f t="shared" si="38"/>
        <v>0.43524932889006551</v>
      </c>
      <c r="BK34">
        <f t="shared" si="39"/>
        <v>0.17643676849008005</v>
      </c>
      <c r="BL34">
        <f t="shared" si="40"/>
        <v>0.38297574543351948</v>
      </c>
      <c r="BM34">
        <f t="shared" si="41"/>
        <v>0.61702425456648058</v>
      </c>
      <c r="BN34">
        <v>163</v>
      </c>
      <c r="BO34">
        <v>290.00000000000011</v>
      </c>
      <c r="BP34">
        <v>713.82</v>
      </c>
      <c r="BQ34">
        <v>295</v>
      </c>
      <c r="BR34">
        <v>7116.7</v>
      </c>
      <c r="BS34">
        <v>715.72</v>
      </c>
      <c r="BT34">
        <v>-1.9</v>
      </c>
      <c r="BU34">
        <v>300.00000000000011</v>
      </c>
      <c r="BV34">
        <v>38.200000000000003</v>
      </c>
      <c r="BW34">
        <v>778.52643597912061</v>
      </c>
      <c r="BX34">
        <v>1.2658755335219629</v>
      </c>
      <c r="BY34">
        <v>-44.698122385963643</v>
      </c>
      <c r="BZ34">
        <v>0.75512590356553</v>
      </c>
      <c r="CA34">
        <v>0.99207204059465059</v>
      </c>
      <c r="CB34">
        <v>-7.0230311457174666E-3</v>
      </c>
      <c r="CC34">
        <v>289.99999999999989</v>
      </c>
      <c r="CD34">
        <v>723.36</v>
      </c>
      <c r="CE34">
        <v>845</v>
      </c>
      <c r="CF34">
        <v>7111.23</v>
      </c>
      <c r="CG34">
        <v>715.67</v>
      </c>
      <c r="CH34">
        <v>7.69</v>
      </c>
      <c r="CV34">
        <f t="shared" si="42"/>
        <v>1800.2</v>
      </c>
      <c r="CW34">
        <f t="shared" si="43"/>
        <v>1513.353299920989</v>
      </c>
      <c r="CX34">
        <f t="shared" si="44"/>
        <v>0.84065842679757186</v>
      </c>
      <c r="CY34">
        <f t="shared" si="45"/>
        <v>0.16087076371931361</v>
      </c>
      <c r="CZ34">
        <v>4.16</v>
      </c>
      <c r="DA34">
        <v>0.5</v>
      </c>
      <c r="DB34" t="s">
        <v>418</v>
      </c>
      <c r="DC34">
        <v>2</v>
      </c>
      <c r="DD34">
        <v>1700238735.5999999</v>
      </c>
      <c r="DE34">
        <v>953.83</v>
      </c>
      <c r="DF34">
        <v>999.96799999999996</v>
      </c>
      <c r="DG34">
        <v>27.081399999999999</v>
      </c>
      <c r="DH34">
        <v>25.366399999999999</v>
      </c>
      <c r="DI34">
        <v>951.85199999999998</v>
      </c>
      <c r="DJ34">
        <v>26.741399999999999</v>
      </c>
      <c r="DK34">
        <v>500.10599999999999</v>
      </c>
      <c r="DL34">
        <v>98.648300000000006</v>
      </c>
      <c r="DM34">
        <v>0.100041</v>
      </c>
      <c r="DN34">
        <v>29.399799999999999</v>
      </c>
      <c r="DO34">
        <v>29.993200000000002</v>
      </c>
      <c r="DP34">
        <v>999.9</v>
      </c>
      <c r="DQ34">
        <v>0</v>
      </c>
      <c r="DR34">
        <v>0</v>
      </c>
      <c r="DS34">
        <v>9993.75</v>
      </c>
      <c r="DT34">
        <v>0</v>
      </c>
      <c r="DU34">
        <v>588.84100000000001</v>
      </c>
      <c r="DV34">
        <v>-46.137999999999998</v>
      </c>
      <c r="DW34">
        <v>980.38</v>
      </c>
      <c r="DX34">
        <v>1025.99</v>
      </c>
      <c r="DY34">
        <v>1.7149300000000001</v>
      </c>
      <c r="DZ34">
        <v>999.96799999999996</v>
      </c>
      <c r="EA34">
        <v>25.366399999999999</v>
      </c>
      <c r="EB34">
        <v>2.6715300000000002</v>
      </c>
      <c r="EC34">
        <v>2.5023599999999999</v>
      </c>
      <c r="ED34">
        <v>22.1111</v>
      </c>
      <c r="EE34">
        <v>21.041799999999999</v>
      </c>
      <c r="EF34">
        <v>1800.2</v>
      </c>
      <c r="EG34">
        <v>0.97799199999999997</v>
      </c>
      <c r="EH34">
        <v>2.2007599999999999E-2</v>
      </c>
      <c r="EI34">
        <v>0</v>
      </c>
      <c r="EJ34">
        <v>546.11699999999996</v>
      </c>
      <c r="EK34">
        <v>5.0001199999999999</v>
      </c>
      <c r="EL34">
        <v>10525.9</v>
      </c>
      <c r="EM34">
        <v>15631.7</v>
      </c>
      <c r="EN34">
        <v>51.186999999999998</v>
      </c>
      <c r="EO34">
        <v>52.875</v>
      </c>
      <c r="EP34">
        <v>52.25</v>
      </c>
      <c r="EQ34">
        <v>52.25</v>
      </c>
      <c r="ER34">
        <v>52.625</v>
      </c>
      <c r="ES34">
        <v>1755.69</v>
      </c>
      <c r="ET34">
        <v>39.51</v>
      </c>
      <c r="EU34">
        <v>0</v>
      </c>
      <c r="EV34">
        <v>345</v>
      </c>
      <c r="EW34">
        <v>0</v>
      </c>
      <c r="EX34">
        <v>546.2277600000001</v>
      </c>
      <c r="EY34">
        <v>-1.267307694242733</v>
      </c>
      <c r="EZ34">
        <v>1.930769193250824</v>
      </c>
      <c r="FA34">
        <v>10524.508</v>
      </c>
      <c r="FB34">
        <v>15</v>
      </c>
      <c r="FC34">
        <v>1700238630.0999999</v>
      </c>
      <c r="FD34" t="s">
        <v>498</v>
      </c>
      <c r="FE34">
        <v>1700238630.0999999</v>
      </c>
      <c r="FF34">
        <v>1700238627.5999999</v>
      </c>
      <c r="FG34">
        <v>20</v>
      </c>
      <c r="FH34">
        <v>4.2999999999999997E-2</v>
      </c>
      <c r="FI34">
        <v>1E-3</v>
      </c>
      <c r="FJ34">
        <v>1.98</v>
      </c>
      <c r="FK34">
        <v>0.34</v>
      </c>
      <c r="FL34">
        <v>1000</v>
      </c>
      <c r="FM34">
        <v>26</v>
      </c>
      <c r="FN34">
        <v>0.1</v>
      </c>
      <c r="FO34">
        <v>7.0000000000000007E-2</v>
      </c>
      <c r="FP34">
        <v>53.356788181124678</v>
      </c>
      <c r="FQ34">
        <v>7.9216591249040319E-2</v>
      </c>
      <c r="FR34">
        <v>0.1150994764036372</v>
      </c>
      <c r="FS34">
        <v>1</v>
      </c>
      <c r="FT34">
        <v>0.12909273859671719</v>
      </c>
      <c r="FU34">
        <v>-6.4567680240525246E-3</v>
      </c>
      <c r="FV34">
        <v>4.959378868634348E-4</v>
      </c>
      <c r="FW34">
        <v>1</v>
      </c>
      <c r="FX34">
        <v>2</v>
      </c>
      <c r="FY34">
        <v>2</v>
      </c>
      <c r="FZ34" t="s">
        <v>420</v>
      </c>
      <c r="GA34">
        <v>2.91513</v>
      </c>
      <c r="GB34">
        <v>2.7509999999999999</v>
      </c>
      <c r="GC34">
        <v>0.16653699999999999</v>
      </c>
      <c r="GD34">
        <v>0.17437800000000001</v>
      </c>
      <c r="GE34">
        <v>0.124099</v>
      </c>
      <c r="GF34">
        <v>0.121181</v>
      </c>
      <c r="GG34">
        <v>25841.8</v>
      </c>
      <c r="GH34">
        <v>25464</v>
      </c>
      <c r="GI34">
        <v>28242.9</v>
      </c>
      <c r="GJ34">
        <v>28204.2</v>
      </c>
      <c r="GK34">
        <v>33711.1</v>
      </c>
      <c r="GL34">
        <v>34615.9</v>
      </c>
      <c r="GM34">
        <v>42428.5</v>
      </c>
      <c r="GN34">
        <v>43842.9</v>
      </c>
      <c r="GO34">
        <v>1.73295</v>
      </c>
      <c r="GP34">
        <v>1.9186799999999999</v>
      </c>
      <c r="GQ34">
        <v>8.1919100000000002E-3</v>
      </c>
      <c r="GR34">
        <v>0</v>
      </c>
      <c r="GS34">
        <v>29.8599</v>
      </c>
      <c r="GT34">
        <v>999.9</v>
      </c>
      <c r="GU34">
        <v>48.2</v>
      </c>
      <c r="GV34">
        <v>37.6</v>
      </c>
      <c r="GW34">
        <v>31.829499999999999</v>
      </c>
      <c r="GX34">
        <v>60.609099999999998</v>
      </c>
      <c r="GY34">
        <v>31.23</v>
      </c>
      <c r="GZ34">
        <v>1</v>
      </c>
      <c r="HA34">
        <v>0.56232700000000002</v>
      </c>
      <c r="HB34">
        <v>3.23983</v>
      </c>
      <c r="HC34">
        <v>20.235900000000001</v>
      </c>
      <c r="HD34">
        <v>5.2714999999999996</v>
      </c>
      <c r="HE34">
        <v>12.0878</v>
      </c>
      <c r="HF34">
        <v>5.0133000000000001</v>
      </c>
      <c r="HG34">
        <v>3.2919200000000002</v>
      </c>
      <c r="HH34">
        <v>9999</v>
      </c>
      <c r="HI34">
        <v>9999</v>
      </c>
      <c r="HJ34">
        <v>9999</v>
      </c>
      <c r="HK34">
        <v>999.9</v>
      </c>
      <c r="HL34">
        <v>1.8759699999999999</v>
      </c>
      <c r="HM34">
        <v>1.8765099999999999</v>
      </c>
      <c r="HN34">
        <v>1.87622</v>
      </c>
      <c r="HO34">
        <v>1.8800699999999999</v>
      </c>
      <c r="HP34">
        <v>1.8736299999999999</v>
      </c>
      <c r="HQ34">
        <v>1.8767</v>
      </c>
      <c r="HR34">
        <v>1.8765400000000001</v>
      </c>
      <c r="HS34">
        <v>1.8778999999999999</v>
      </c>
      <c r="HT34">
        <v>0</v>
      </c>
      <c r="HU34">
        <v>0</v>
      </c>
      <c r="HV34">
        <v>0</v>
      </c>
      <c r="HW34">
        <v>0</v>
      </c>
      <c r="HX34" t="s">
        <v>421</v>
      </c>
      <c r="HY34" t="s">
        <v>422</v>
      </c>
      <c r="HZ34" t="s">
        <v>423</v>
      </c>
      <c r="IA34" t="s">
        <v>424</v>
      </c>
      <c r="IB34" t="s">
        <v>424</v>
      </c>
      <c r="IC34" t="s">
        <v>423</v>
      </c>
      <c r="ID34">
        <v>0</v>
      </c>
      <c r="IE34">
        <v>100</v>
      </c>
      <c r="IF34">
        <v>100</v>
      </c>
      <c r="IG34">
        <v>1.978</v>
      </c>
      <c r="IH34">
        <v>0.34</v>
      </c>
      <c r="II34">
        <v>1.6058802882754999</v>
      </c>
      <c r="IJ34">
        <v>8.9576739069318506E-4</v>
      </c>
      <c r="IK34">
        <v>-7.2130504814809596E-7</v>
      </c>
      <c r="IL34">
        <v>1.9987036519832741E-10</v>
      </c>
      <c r="IM34">
        <v>0.34000500000000139</v>
      </c>
      <c r="IN34">
        <v>0</v>
      </c>
      <c r="IO34">
        <v>0</v>
      </c>
      <c r="IP34">
        <v>0</v>
      </c>
      <c r="IQ34">
        <v>1</v>
      </c>
      <c r="IR34">
        <v>2126</v>
      </c>
      <c r="IS34">
        <v>0</v>
      </c>
      <c r="IT34">
        <v>20</v>
      </c>
      <c r="IU34">
        <v>1.8</v>
      </c>
      <c r="IV34">
        <v>1.8</v>
      </c>
      <c r="IW34">
        <v>2.19116</v>
      </c>
      <c r="IX34">
        <v>2.63428</v>
      </c>
      <c r="IY34">
        <v>1.69434</v>
      </c>
      <c r="IZ34">
        <v>2.34619</v>
      </c>
      <c r="JA34">
        <v>1.5466299999999999</v>
      </c>
      <c r="JB34">
        <v>2.4853499999999999</v>
      </c>
      <c r="JC34">
        <v>43.399099999999997</v>
      </c>
      <c r="JD34">
        <v>23.807300000000001</v>
      </c>
      <c r="JE34">
        <v>18</v>
      </c>
      <c r="JF34">
        <v>476.65800000000002</v>
      </c>
      <c r="JG34">
        <v>509.06799999999998</v>
      </c>
      <c r="JH34">
        <v>25.752300000000002</v>
      </c>
      <c r="JI34">
        <v>34.114400000000003</v>
      </c>
      <c r="JJ34">
        <v>30.000499999999999</v>
      </c>
      <c r="JK34">
        <v>34.001399999999997</v>
      </c>
      <c r="JL34">
        <v>33.9452</v>
      </c>
      <c r="JM34">
        <v>43.9285</v>
      </c>
      <c r="JN34">
        <v>20.410900000000002</v>
      </c>
      <c r="JO34">
        <v>58.076900000000002</v>
      </c>
      <c r="JP34">
        <v>25.7499</v>
      </c>
      <c r="JQ34">
        <v>1000</v>
      </c>
      <c r="JR34">
        <v>25.314499999999999</v>
      </c>
      <c r="JS34">
        <v>98.928100000000001</v>
      </c>
      <c r="JT34">
        <v>98.780199999999994</v>
      </c>
    </row>
    <row r="35" spans="1:280" x14ac:dyDescent="0.25">
      <c r="A35">
        <v>19</v>
      </c>
      <c r="B35">
        <v>1700238943.0999999</v>
      </c>
      <c r="C35">
        <v>3717.5</v>
      </c>
      <c r="D35" t="s">
        <v>499</v>
      </c>
      <c r="E35" t="s">
        <v>500</v>
      </c>
      <c r="F35" t="s">
        <v>412</v>
      </c>
      <c r="G35" t="s">
        <v>481</v>
      </c>
      <c r="H35" t="s">
        <v>482</v>
      </c>
      <c r="I35">
        <v>1700238943.0999999</v>
      </c>
      <c r="J35">
        <f t="shared" si="0"/>
        <v>2.7919077349200946E-3</v>
      </c>
      <c r="K35">
        <f t="shared" si="1"/>
        <v>2.7919077349200947</v>
      </c>
      <c r="L35">
        <f t="shared" si="2"/>
        <v>53.588344510150925</v>
      </c>
      <c r="M35">
        <f t="shared" si="3"/>
        <v>703.64</v>
      </c>
      <c r="N35">
        <f t="shared" si="4"/>
        <v>178.97298082674175</v>
      </c>
      <c r="O35">
        <f t="shared" si="5"/>
        <v>17.671122875267976</v>
      </c>
      <c r="P35">
        <f t="shared" si="6"/>
        <v>69.474782408583991</v>
      </c>
      <c r="Q35">
        <f t="shared" si="7"/>
        <v>0.17120940125139289</v>
      </c>
      <c r="R35">
        <f t="shared" si="8"/>
        <v>3.3708157997301655</v>
      </c>
      <c r="S35">
        <f t="shared" si="9"/>
        <v>0.1665209525142296</v>
      </c>
      <c r="T35">
        <f t="shared" si="10"/>
        <v>0.10448613980080074</v>
      </c>
      <c r="U35">
        <f t="shared" si="11"/>
        <v>289.55108984752155</v>
      </c>
      <c r="V35">
        <f t="shared" si="12"/>
        <v>30.49293173817836</v>
      </c>
      <c r="W35">
        <f t="shared" si="13"/>
        <v>30.064399999999999</v>
      </c>
      <c r="X35">
        <f t="shared" si="14"/>
        <v>4.2762349564600992</v>
      </c>
      <c r="Y35">
        <f t="shared" si="15"/>
        <v>64.222774073619775</v>
      </c>
      <c r="Z35">
        <f t="shared" si="16"/>
        <v>2.6791195687464597</v>
      </c>
      <c r="AA35">
        <f t="shared" si="17"/>
        <v>4.1716036209761578</v>
      </c>
      <c r="AB35">
        <f t="shared" si="18"/>
        <v>1.5971153877136395</v>
      </c>
      <c r="AC35">
        <f t="shared" si="19"/>
        <v>-123.12313110997617</v>
      </c>
      <c r="AD35">
        <f t="shared" si="20"/>
        <v>-78.288173136988306</v>
      </c>
      <c r="AE35">
        <f t="shared" si="21"/>
        <v>-5.1564522141429929</v>
      </c>
      <c r="AF35">
        <f t="shared" si="22"/>
        <v>82.983333386414117</v>
      </c>
      <c r="AG35">
        <v>16</v>
      </c>
      <c r="AH35">
        <v>3</v>
      </c>
      <c r="AI35">
        <f t="shared" si="23"/>
        <v>1</v>
      </c>
      <c r="AJ35">
        <f t="shared" si="24"/>
        <v>0</v>
      </c>
      <c r="AK35">
        <f t="shared" si="25"/>
        <v>52068.15150960505</v>
      </c>
      <c r="AL35" t="s">
        <v>415</v>
      </c>
      <c r="AM35">
        <v>6960.3</v>
      </c>
      <c r="AN35">
        <v>244.8124</v>
      </c>
      <c r="AO35">
        <v>892.86711584811997</v>
      </c>
      <c r="AP35">
        <f t="shared" si="26"/>
        <v>0.72581317459826411</v>
      </c>
      <c r="AQ35">
        <v>-0.43209471141234851</v>
      </c>
      <c r="AR35" t="s">
        <v>501</v>
      </c>
      <c r="AS35">
        <v>7115.26</v>
      </c>
      <c r="AT35">
        <v>543.94219230769238</v>
      </c>
      <c r="AU35">
        <v>770.7109739109751</v>
      </c>
      <c r="AV35">
        <f t="shared" si="27"/>
        <v>0.29423323305303917</v>
      </c>
      <c r="AW35">
        <v>0.5</v>
      </c>
      <c r="AX35">
        <f t="shared" si="28"/>
        <v>1513.1009999209957</v>
      </c>
      <c r="AY35">
        <f t="shared" si="29"/>
        <v>53.588344510150925</v>
      </c>
      <c r="AZ35">
        <f t="shared" si="30"/>
        <v>222.60229957127046</v>
      </c>
      <c r="BA35">
        <f t="shared" si="31"/>
        <v>3.5701806570998147E-2</v>
      </c>
      <c r="BB35">
        <f t="shared" si="32"/>
        <v>0.158497992207459</v>
      </c>
      <c r="BC35">
        <f t="shared" si="33"/>
        <v>234.61642501593724</v>
      </c>
      <c r="BD35" t="s">
        <v>502</v>
      </c>
      <c r="BE35">
        <v>369.63</v>
      </c>
      <c r="BF35">
        <f t="shared" si="34"/>
        <v>369.63</v>
      </c>
      <c r="BG35">
        <f t="shared" si="35"/>
        <v>0.52040387056601589</v>
      </c>
      <c r="BH35">
        <f t="shared" si="36"/>
        <v>0.56539401356299901</v>
      </c>
      <c r="BI35">
        <f t="shared" si="37"/>
        <v>0.23346230272510546</v>
      </c>
      <c r="BJ35">
        <f t="shared" si="38"/>
        <v>0.43120250339692018</v>
      </c>
      <c r="BK35">
        <f t="shared" si="39"/>
        <v>0.18849664843079972</v>
      </c>
      <c r="BL35">
        <f t="shared" si="40"/>
        <v>0.38420735178982701</v>
      </c>
      <c r="BM35">
        <f t="shared" si="41"/>
        <v>0.61579264821017299</v>
      </c>
      <c r="BN35">
        <v>165</v>
      </c>
      <c r="BO35">
        <v>290.00000000000011</v>
      </c>
      <c r="BP35">
        <v>709.24</v>
      </c>
      <c r="BQ35">
        <v>295</v>
      </c>
      <c r="BR35">
        <v>7115.26</v>
      </c>
      <c r="BS35">
        <v>710.16</v>
      </c>
      <c r="BT35">
        <v>-0.92</v>
      </c>
      <c r="BU35">
        <v>300.00000000000011</v>
      </c>
      <c r="BV35">
        <v>38.299999999999997</v>
      </c>
      <c r="BW35">
        <v>770.7109739109751</v>
      </c>
      <c r="BX35">
        <v>1.643007392253639</v>
      </c>
      <c r="BY35">
        <v>-43.080067864384702</v>
      </c>
      <c r="BZ35">
        <v>0.97988896302106088</v>
      </c>
      <c r="CA35">
        <v>0.98572050668591649</v>
      </c>
      <c r="CB35">
        <v>-7.0216836484983357E-3</v>
      </c>
      <c r="CC35">
        <v>289.99999999999989</v>
      </c>
      <c r="CD35">
        <v>717.45</v>
      </c>
      <c r="CE35">
        <v>875</v>
      </c>
      <c r="CF35">
        <v>7109.36</v>
      </c>
      <c r="CG35">
        <v>710.11</v>
      </c>
      <c r="CH35">
        <v>7.34</v>
      </c>
      <c r="CV35">
        <f t="shared" si="42"/>
        <v>1799.9</v>
      </c>
      <c r="CW35">
        <f t="shared" si="43"/>
        <v>1513.1009999209957</v>
      </c>
      <c r="CX35">
        <f t="shared" si="44"/>
        <v>0.84065836986554565</v>
      </c>
      <c r="CY35">
        <f t="shared" si="45"/>
        <v>0.16087065384050311</v>
      </c>
      <c r="CZ35">
        <v>4.16</v>
      </c>
      <c r="DA35">
        <v>0.5</v>
      </c>
      <c r="DB35" t="s">
        <v>418</v>
      </c>
      <c r="DC35">
        <v>2</v>
      </c>
      <c r="DD35">
        <v>1700238943.0999999</v>
      </c>
      <c r="DE35">
        <v>703.64</v>
      </c>
      <c r="DF35">
        <v>749.851</v>
      </c>
      <c r="DG35">
        <v>27.1341</v>
      </c>
      <c r="DH35">
        <v>24.874700000000001</v>
      </c>
      <c r="DI35">
        <v>701.70100000000002</v>
      </c>
      <c r="DJ35">
        <v>26.787099999999999</v>
      </c>
      <c r="DK35">
        <v>500.09699999999998</v>
      </c>
      <c r="DL35">
        <v>98.637</v>
      </c>
      <c r="DM35">
        <v>9.9260600000000004E-2</v>
      </c>
      <c r="DN35">
        <v>29.633600000000001</v>
      </c>
      <c r="DO35">
        <v>30.064399999999999</v>
      </c>
      <c r="DP35">
        <v>999.9</v>
      </c>
      <c r="DQ35">
        <v>0</v>
      </c>
      <c r="DR35">
        <v>0</v>
      </c>
      <c r="DS35">
        <v>10073.799999999999</v>
      </c>
      <c r="DT35">
        <v>0</v>
      </c>
      <c r="DU35">
        <v>595.96900000000005</v>
      </c>
      <c r="DV35">
        <v>-46.210799999999999</v>
      </c>
      <c r="DW35">
        <v>723.26499999999999</v>
      </c>
      <c r="DX35">
        <v>768.97900000000004</v>
      </c>
      <c r="DY35">
        <v>2.2593800000000002</v>
      </c>
      <c r="DZ35">
        <v>749.851</v>
      </c>
      <c r="EA35">
        <v>24.874700000000001</v>
      </c>
      <c r="EB35">
        <v>2.6764199999999998</v>
      </c>
      <c r="EC35">
        <v>2.45357</v>
      </c>
      <c r="ED35">
        <v>22.141100000000002</v>
      </c>
      <c r="EE35">
        <v>20.721699999999998</v>
      </c>
      <c r="EF35">
        <v>1799.9</v>
      </c>
      <c r="EG35">
        <v>0.977993</v>
      </c>
      <c r="EH35">
        <v>2.20073E-2</v>
      </c>
      <c r="EI35">
        <v>0</v>
      </c>
      <c r="EJ35">
        <v>543.56600000000003</v>
      </c>
      <c r="EK35">
        <v>5.0001199999999999</v>
      </c>
      <c r="EL35">
        <v>10482.6</v>
      </c>
      <c r="EM35">
        <v>15629</v>
      </c>
      <c r="EN35">
        <v>51.625</v>
      </c>
      <c r="EO35">
        <v>53.311999999999998</v>
      </c>
      <c r="EP35">
        <v>52.75</v>
      </c>
      <c r="EQ35">
        <v>52.875</v>
      </c>
      <c r="ER35">
        <v>53.061999999999998</v>
      </c>
      <c r="ES35">
        <v>1755.4</v>
      </c>
      <c r="ET35">
        <v>39.5</v>
      </c>
      <c r="EU35">
        <v>0</v>
      </c>
      <c r="EV35">
        <v>205.4000000953674</v>
      </c>
      <c r="EW35">
        <v>0</v>
      </c>
      <c r="EX35">
        <v>543.94219230769238</v>
      </c>
      <c r="EY35">
        <v>-4.7644102544923754</v>
      </c>
      <c r="EZ35">
        <v>-74.068376126714568</v>
      </c>
      <c r="FA35">
        <v>10490.811538461539</v>
      </c>
      <c r="FB35">
        <v>15</v>
      </c>
      <c r="FC35">
        <v>1700238855.0999999</v>
      </c>
      <c r="FD35" t="s">
        <v>503</v>
      </c>
      <c r="FE35">
        <v>1700238855.0999999</v>
      </c>
      <c r="FF35">
        <v>1700238850.5999999</v>
      </c>
      <c r="FG35">
        <v>21</v>
      </c>
      <c r="FH35">
        <v>-8.9999999999999993E-3</v>
      </c>
      <c r="FI35">
        <v>7.0000000000000001E-3</v>
      </c>
      <c r="FJ35">
        <v>1.9470000000000001</v>
      </c>
      <c r="FK35">
        <v>0.34699999999999998</v>
      </c>
      <c r="FL35">
        <v>750</v>
      </c>
      <c r="FM35">
        <v>26</v>
      </c>
      <c r="FN35">
        <v>0.09</v>
      </c>
      <c r="FO35">
        <v>0.12</v>
      </c>
      <c r="FP35">
        <v>53.831440865177157</v>
      </c>
      <c r="FQ35">
        <v>0.63289612209044788</v>
      </c>
      <c r="FR35">
        <v>7.7874122245839339E-2</v>
      </c>
      <c r="FS35">
        <v>1</v>
      </c>
      <c r="FT35">
        <v>0.1813543443758058</v>
      </c>
      <c r="FU35">
        <v>-3.4986914098888509E-2</v>
      </c>
      <c r="FV35">
        <v>3.3602650145609651E-3</v>
      </c>
      <c r="FW35">
        <v>1</v>
      </c>
      <c r="FX35">
        <v>2</v>
      </c>
      <c r="FY35">
        <v>2</v>
      </c>
      <c r="FZ35" t="s">
        <v>420</v>
      </c>
      <c r="GA35">
        <v>2.9146800000000002</v>
      </c>
      <c r="GB35">
        <v>2.7509100000000002</v>
      </c>
      <c r="GC35">
        <v>0.135875</v>
      </c>
      <c r="GD35">
        <v>0.144292</v>
      </c>
      <c r="GE35">
        <v>0.124177</v>
      </c>
      <c r="GF35">
        <v>0.11949</v>
      </c>
      <c r="GG35">
        <v>26783.200000000001</v>
      </c>
      <c r="GH35">
        <v>26381.8</v>
      </c>
      <c r="GI35">
        <v>28232.9</v>
      </c>
      <c r="GJ35">
        <v>28193.1</v>
      </c>
      <c r="GK35">
        <v>33696.400000000001</v>
      </c>
      <c r="GL35">
        <v>34670.800000000003</v>
      </c>
      <c r="GM35">
        <v>42413.1</v>
      </c>
      <c r="GN35">
        <v>43827.199999999997</v>
      </c>
      <c r="GO35">
        <v>1.73092</v>
      </c>
      <c r="GP35">
        <v>1.9117999999999999</v>
      </c>
      <c r="GQ35">
        <v>7.3760700000000004E-4</v>
      </c>
      <c r="GR35">
        <v>0</v>
      </c>
      <c r="GS35">
        <v>30.052399999999999</v>
      </c>
      <c r="GT35">
        <v>999.9</v>
      </c>
      <c r="GU35">
        <v>47.1</v>
      </c>
      <c r="GV35">
        <v>38.1</v>
      </c>
      <c r="GW35">
        <v>31.961500000000001</v>
      </c>
      <c r="GX35">
        <v>60.569099999999999</v>
      </c>
      <c r="GY35">
        <v>31.1418</v>
      </c>
      <c r="GZ35">
        <v>1</v>
      </c>
      <c r="HA35">
        <v>0.59166700000000005</v>
      </c>
      <c r="HB35">
        <v>4.5661300000000002</v>
      </c>
      <c r="HC35">
        <v>20.201899999999998</v>
      </c>
      <c r="HD35">
        <v>5.2750899999999996</v>
      </c>
      <c r="HE35">
        <v>12.0883</v>
      </c>
      <c r="HF35">
        <v>5.0126499999999998</v>
      </c>
      <c r="HG35">
        <v>3.2919200000000002</v>
      </c>
      <c r="HH35">
        <v>9999</v>
      </c>
      <c r="HI35">
        <v>9999</v>
      </c>
      <c r="HJ35">
        <v>9999</v>
      </c>
      <c r="HK35">
        <v>999.9</v>
      </c>
      <c r="HL35">
        <v>1.8760699999999999</v>
      </c>
      <c r="HM35">
        <v>1.8765400000000001</v>
      </c>
      <c r="HN35">
        <v>1.87635</v>
      </c>
      <c r="HO35">
        <v>1.8801699999999999</v>
      </c>
      <c r="HP35">
        <v>1.87365</v>
      </c>
      <c r="HQ35">
        <v>1.8768199999999999</v>
      </c>
      <c r="HR35">
        <v>1.8766499999999999</v>
      </c>
      <c r="HS35">
        <v>1.8780300000000001</v>
      </c>
      <c r="HT35">
        <v>0</v>
      </c>
      <c r="HU35">
        <v>0</v>
      </c>
      <c r="HV35">
        <v>0</v>
      </c>
      <c r="HW35">
        <v>0</v>
      </c>
      <c r="HX35" t="s">
        <v>421</v>
      </c>
      <c r="HY35" t="s">
        <v>422</v>
      </c>
      <c r="HZ35" t="s">
        <v>423</v>
      </c>
      <c r="IA35" t="s">
        <v>424</v>
      </c>
      <c r="IB35" t="s">
        <v>424</v>
      </c>
      <c r="IC35" t="s">
        <v>423</v>
      </c>
      <c r="ID35">
        <v>0</v>
      </c>
      <c r="IE35">
        <v>100</v>
      </c>
      <c r="IF35">
        <v>100</v>
      </c>
      <c r="IG35">
        <v>1.9390000000000001</v>
      </c>
      <c r="IH35">
        <v>0.34699999999999998</v>
      </c>
      <c r="II35">
        <v>1.596843477125371</v>
      </c>
      <c r="IJ35">
        <v>8.9576739069318506E-4</v>
      </c>
      <c r="IK35">
        <v>-7.2130504814809596E-7</v>
      </c>
      <c r="IL35">
        <v>1.9987036519832741E-10</v>
      </c>
      <c r="IM35">
        <v>0.34703333333333569</v>
      </c>
      <c r="IN35">
        <v>0</v>
      </c>
      <c r="IO35">
        <v>0</v>
      </c>
      <c r="IP35">
        <v>0</v>
      </c>
      <c r="IQ35">
        <v>1</v>
      </c>
      <c r="IR35">
        <v>2126</v>
      </c>
      <c r="IS35">
        <v>0</v>
      </c>
      <c r="IT35">
        <v>20</v>
      </c>
      <c r="IU35">
        <v>1.5</v>
      </c>
      <c r="IV35">
        <v>1.5</v>
      </c>
      <c r="IW35">
        <v>1.7334000000000001</v>
      </c>
      <c r="IX35">
        <v>2.6428199999999999</v>
      </c>
      <c r="IY35">
        <v>1.69434</v>
      </c>
      <c r="IZ35">
        <v>2.34497</v>
      </c>
      <c r="JA35">
        <v>1.5466299999999999</v>
      </c>
      <c r="JB35">
        <v>2.4939</v>
      </c>
      <c r="JC35">
        <v>43.919199999999996</v>
      </c>
      <c r="JD35">
        <v>23.7986</v>
      </c>
      <c r="JE35">
        <v>18</v>
      </c>
      <c r="JF35">
        <v>476.74599999999998</v>
      </c>
      <c r="JG35">
        <v>505.68599999999998</v>
      </c>
      <c r="JH35">
        <v>25.633900000000001</v>
      </c>
      <c r="JI35">
        <v>34.326799999999999</v>
      </c>
      <c r="JJ35">
        <v>30.003599999999999</v>
      </c>
      <c r="JK35">
        <v>34.198799999999999</v>
      </c>
      <c r="JL35">
        <v>34.139499999999998</v>
      </c>
      <c r="JM35">
        <v>34.757300000000001</v>
      </c>
      <c r="JN35">
        <v>21.184000000000001</v>
      </c>
      <c r="JO35">
        <v>56.1815</v>
      </c>
      <c r="JP35">
        <v>25.5687</v>
      </c>
      <c r="JQ35">
        <v>750</v>
      </c>
      <c r="JR35">
        <v>25.081099999999999</v>
      </c>
      <c r="JS35">
        <v>98.892399999999995</v>
      </c>
      <c r="JT35">
        <v>98.743499999999997</v>
      </c>
    </row>
    <row r="36" spans="1:280" x14ac:dyDescent="0.25">
      <c r="A36">
        <v>20</v>
      </c>
      <c r="B36">
        <v>1700239162.5999999</v>
      </c>
      <c r="C36">
        <v>3937</v>
      </c>
      <c r="D36" t="s">
        <v>504</v>
      </c>
      <c r="E36" t="s">
        <v>505</v>
      </c>
      <c r="F36" t="s">
        <v>412</v>
      </c>
      <c r="G36" t="s">
        <v>481</v>
      </c>
      <c r="H36" t="s">
        <v>482</v>
      </c>
      <c r="I36">
        <v>1700239162.5999999</v>
      </c>
      <c r="J36">
        <f t="shared" si="0"/>
        <v>2.8710785067520882E-3</v>
      </c>
      <c r="K36">
        <f t="shared" si="1"/>
        <v>2.8710785067520881</v>
      </c>
      <c r="L36">
        <f t="shared" si="2"/>
        <v>52.79272698989768</v>
      </c>
      <c r="M36">
        <f t="shared" si="3"/>
        <v>554.71400000000006</v>
      </c>
      <c r="N36">
        <f t="shared" si="4"/>
        <v>64.706329260319194</v>
      </c>
      <c r="O36">
        <f t="shared" si="5"/>
        <v>6.3890683332777636</v>
      </c>
      <c r="P36">
        <f t="shared" si="6"/>
        <v>54.77216358801001</v>
      </c>
      <c r="Q36">
        <f t="shared" si="7"/>
        <v>0.1797502181984203</v>
      </c>
      <c r="R36">
        <f t="shared" si="8"/>
        <v>3.3500277586304126</v>
      </c>
      <c r="S36">
        <f t="shared" si="9"/>
        <v>0.17455889846818606</v>
      </c>
      <c r="T36">
        <f t="shared" si="10"/>
        <v>0.10955324251527643</v>
      </c>
      <c r="U36">
        <f t="shared" si="11"/>
        <v>289.55428184752327</v>
      </c>
      <c r="V36">
        <f t="shared" si="12"/>
        <v>30.547682112926044</v>
      </c>
      <c r="W36">
        <f t="shared" si="13"/>
        <v>30.055700000000002</v>
      </c>
      <c r="X36">
        <f t="shared" si="14"/>
        <v>4.274099512797032</v>
      </c>
      <c r="Y36">
        <f t="shared" si="15"/>
        <v>64.64949533220279</v>
      </c>
      <c r="Z36">
        <f t="shared" si="16"/>
        <v>2.7074855000325</v>
      </c>
      <c r="AA36">
        <f t="shared" si="17"/>
        <v>4.1879452981342373</v>
      </c>
      <c r="AB36">
        <f t="shared" si="18"/>
        <v>1.566614012764532</v>
      </c>
      <c r="AC36">
        <f t="shared" si="19"/>
        <v>-126.61456214776709</v>
      </c>
      <c r="AD36">
        <f t="shared" si="20"/>
        <v>-63.970891908547181</v>
      </c>
      <c r="AE36">
        <f t="shared" si="21"/>
        <v>-4.2408325445681667</v>
      </c>
      <c r="AF36">
        <f t="shared" si="22"/>
        <v>94.727995246640859</v>
      </c>
      <c r="AG36">
        <v>16</v>
      </c>
      <c r="AH36">
        <v>3</v>
      </c>
      <c r="AI36">
        <f t="shared" si="23"/>
        <v>1</v>
      </c>
      <c r="AJ36">
        <f t="shared" si="24"/>
        <v>0</v>
      </c>
      <c r="AK36">
        <f t="shared" si="25"/>
        <v>51586.794744659237</v>
      </c>
      <c r="AL36" t="s">
        <v>415</v>
      </c>
      <c r="AM36">
        <v>6960.3</v>
      </c>
      <c r="AN36">
        <v>244.8124</v>
      </c>
      <c r="AO36">
        <v>892.86711584811997</v>
      </c>
      <c r="AP36">
        <f t="shared" si="26"/>
        <v>0.72581317459826411</v>
      </c>
      <c r="AQ36">
        <v>-0.43209471141234851</v>
      </c>
      <c r="AR36" t="s">
        <v>506</v>
      </c>
      <c r="AS36">
        <v>7114.42</v>
      </c>
      <c r="AT36">
        <v>542.69452000000001</v>
      </c>
      <c r="AU36">
        <v>762.38633222372027</v>
      </c>
      <c r="AV36">
        <f t="shared" si="27"/>
        <v>0.28816336670533627</v>
      </c>
      <c r="AW36">
        <v>0.5</v>
      </c>
      <c r="AX36">
        <f t="shared" si="28"/>
        <v>1513.1177999209965</v>
      </c>
      <c r="AY36">
        <f t="shared" si="29"/>
        <v>52.79272698989768</v>
      </c>
      <c r="AZ36">
        <f t="shared" si="30"/>
        <v>218.01255972350287</v>
      </c>
      <c r="BA36">
        <f t="shared" si="31"/>
        <v>3.5175596839908313E-2</v>
      </c>
      <c r="BB36">
        <f t="shared" si="32"/>
        <v>0.17114785261668417</v>
      </c>
      <c r="BC36">
        <f t="shared" si="33"/>
        <v>233.83915029767539</v>
      </c>
      <c r="BD36" t="s">
        <v>507</v>
      </c>
      <c r="BE36">
        <v>371.84</v>
      </c>
      <c r="BF36">
        <f t="shared" si="34"/>
        <v>371.84</v>
      </c>
      <c r="BG36">
        <f t="shared" si="35"/>
        <v>0.51226827622234383</v>
      </c>
      <c r="BH36">
        <f t="shared" si="36"/>
        <v>0.56252432578952538</v>
      </c>
      <c r="BI36">
        <f t="shared" si="37"/>
        <v>0.25042992899132521</v>
      </c>
      <c r="BJ36">
        <f t="shared" si="38"/>
        <v>0.42446460021630095</v>
      </c>
      <c r="BK36">
        <f t="shared" si="39"/>
        <v>0.20134223304530285</v>
      </c>
      <c r="BL36">
        <f t="shared" si="40"/>
        <v>0.38542686095591516</v>
      </c>
      <c r="BM36">
        <f t="shared" si="41"/>
        <v>0.61457313904408484</v>
      </c>
      <c r="BN36">
        <v>167</v>
      </c>
      <c r="BO36">
        <v>290.00000000000011</v>
      </c>
      <c r="BP36">
        <v>702.76</v>
      </c>
      <c r="BQ36">
        <v>275</v>
      </c>
      <c r="BR36">
        <v>7114.42</v>
      </c>
      <c r="BS36">
        <v>704.46</v>
      </c>
      <c r="BT36">
        <v>-1.7</v>
      </c>
      <c r="BU36">
        <v>300.00000000000011</v>
      </c>
      <c r="BV36">
        <v>38.299999999999997</v>
      </c>
      <c r="BW36">
        <v>762.38633222372027</v>
      </c>
      <c r="BX36">
        <v>1.356274871121536</v>
      </c>
      <c r="BY36">
        <v>-41.212424140770182</v>
      </c>
      <c r="BZ36">
        <v>0.80875442895410921</v>
      </c>
      <c r="CA36">
        <v>0.98933214329791264</v>
      </c>
      <c r="CB36">
        <v>-7.0205997775305952E-3</v>
      </c>
      <c r="CC36">
        <v>289.99999999999989</v>
      </c>
      <c r="CD36">
        <v>712.63</v>
      </c>
      <c r="CE36">
        <v>835</v>
      </c>
      <c r="CF36">
        <v>7108.62</v>
      </c>
      <c r="CG36">
        <v>704.41</v>
      </c>
      <c r="CH36">
        <v>8.2200000000000006</v>
      </c>
      <c r="CV36">
        <f t="shared" si="42"/>
        <v>1799.92</v>
      </c>
      <c r="CW36">
        <f t="shared" si="43"/>
        <v>1513.1177999209965</v>
      </c>
      <c r="CX36">
        <f t="shared" si="44"/>
        <v>0.84065836255000026</v>
      </c>
      <c r="CY36">
        <f t="shared" si="45"/>
        <v>0.16087063972150054</v>
      </c>
      <c r="CZ36">
        <v>4.16</v>
      </c>
      <c r="DA36">
        <v>0.5</v>
      </c>
      <c r="DB36" t="s">
        <v>418</v>
      </c>
      <c r="DC36">
        <v>2</v>
      </c>
      <c r="DD36">
        <v>1700239162.5999999</v>
      </c>
      <c r="DE36">
        <v>554.71400000000006</v>
      </c>
      <c r="DF36">
        <v>599.95799999999997</v>
      </c>
      <c r="DG36">
        <v>27.420500000000001</v>
      </c>
      <c r="DH36">
        <v>25.0975</v>
      </c>
      <c r="DI36">
        <v>553.05200000000002</v>
      </c>
      <c r="DJ36">
        <v>27.085599999999999</v>
      </c>
      <c r="DK36">
        <v>500.05099999999999</v>
      </c>
      <c r="DL36">
        <v>98.639300000000006</v>
      </c>
      <c r="DM36">
        <v>0.100165</v>
      </c>
      <c r="DN36">
        <v>29.701499999999999</v>
      </c>
      <c r="DO36">
        <v>30.055700000000002</v>
      </c>
      <c r="DP36">
        <v>999.9</v>
      </c>
      <c r="DQ36">
        <v>0</v>
      </c>
      <c r="DR36">
        <v>0</v>
      </c>
      <c r="DS36">
        <v>9978.75</v>
      </c>
      <c r="DT36">
        <v>0</v>
      </c>
      <c r="DU36">
        <v>601.98500000000001</v>
      </c>
      <c r="DV36">
        <v>-45.243299999999998</v>
      </c>
      <c r="DW36">
        <v>570.35400000000004</v>
      </c>
      <c r="DX36">
        <v>615.40300000000002</v>
      </c>
      <c r="DY36">
        <v>2.3230300000000002</v>
      </c>
      <c r="DZ36">
        <v>599.95799999999997</v>
      </c>
      <c r="EA36">
        <v>25.0975</v>
      </c>
      <c r="EB36">
        <v>2.7047400000000001</v>
      </c>
      <c r="EC36">
        <v>2.4756</v>
      </c>
      <c r="ED36">
        <v>22.3139</v>
      </c>
      <c r="EE36">
        <v>20.866900000000001</v>
      </c>
      <c r="EF36">
        <v>1799.92</v>
      </c>
      <c r="EG36">
        <v>0.97799599999999998</v>
      </c>
      <c r="EH36">
        <v>2.20039E-2</v>
      </c>
      <c r="EI36">
        <v>0</v>
      </c>
      <c r="EJ36">
        <v>542.65499999999997</v>
      </c>
      <c r="EK36">
        <v>5.0001199999999999</v>
      </c>
      <c r="EL36">
        <v>10446.799999999999</v>
      </c>
      <c r="EM36">
        <v>15629.2</v>
      </c>
      <c r="EN36">
        <v>52.061999999999998</v>
      </c>
      <c r="EO36">
        <v>53.686999999999998</v>
      </c>
      <c r="EP36">
        <v>53.061999999999998</v>
      </c>
      <c r="EQ36">
        <v>53.186999999999998</v>
      </c>
      <c r="ER36">
        <v>53.436999999999998</v>
      </c>
      <c r="ES36">
        <v>1755.42</v>
      </c>
      <c r="ET36">
        <v>39.5</v>
      </c>
      <c r="EU36">
        <v>0</v>
      </c>
      <c r="EV36">
        <v>217.39999985694891</v>
      </c>
      <c r="EW36">
        <v>0</v>
      </c>
      <c r="EX36">
        <v>542.69452000000001</v>
      </c>
      <c r="EY36">
        <v>-0.3599230942714266</v>
      </c>
      <c r="EZ36">
        <v>-44.830769244323413</v>
      </c>
      <c r="FA36">
        <v>10451.208000000001</v>
      </c>
      <c r="FB36">
        <v>15</v>
      </c>
      <c r="FC36">
        <v>1700239058.5999999</v>
      </c>
      <c r="FD36" t="s">
        <v>508</v>
      </c>
      <c r="FE36">
        <v>1700239058.5999999</v>
      </c>
      <c r="FF36">
        <v>1700239046.0999999</v>
      </c>
      <c r="FG36">
        <v>22</v>
      </c>
      <c r="FH36">
        <v>-0.24299999999999999</v>
      </c>
      <c r="FI36">
        <v>-1.2E-2</v>
      </c>
      <c r="FJ36">
        <v>1.6739999999999999</v>
      </c>
      <c r="FK36">
        <v>0.33500000000000002</v>
      </c>
      <c r="FL36">
        <v>600</v>
      </c>
      <c r="FM36">
        <v>26</v>
      </c>
      <c r="FN36">
        <v>0.06</v>
      </c>
      <c r="FO36">
        <v>0.06</v>
      </c>
      <c r="FP36">
        <v>52.812952673364897</v>
      </c>
      <c r="FQ36">
        <v>0.69053990034143553</v>
      </c>
      <c r="FR36">
        <v>6.3048847454553691E-2</v>
      </c>
      <c r="FS36">
        <v>1</v>
      </c>
      <c r="FT36">
        <v>0.17884331903608039</v>
      </c>
      <c r="FU36">
        <v>-1.531269118108043E-2</v>
      </c>
      <c r="FV36">
        <v>2.4595866115812519E-3</v>
      </c>
      <c r="FW36">
        <v>1</v>
      </c>
      <c r="FX36">
        <v>2</v>
      </c>
      <c r="FY36">
        <v>2</v>
      </c>
      <c r="FZ36" t="s">
        <v>420</v>
      </c>
      <c r="GA36">
        <v>2.9141300000000001</v>
      </c>
      <c r="GB36">
        <v>2.7509800000000002</v>
      </c>
      <c r="GC36">
        <v>0.114923</v>
      </c>
      <c r="GD36">
        <v>0.1237</v>
      </c>
      <c r="GE36">
        <v>0.12507599999999999</v>
      </c>
      <c r="GF36">
        <v>0.12017600000000001</v>
      </c>
      <c r="GG36">
        <v>27425.9</v>
      </c>
      <c r="GH36">
        <v>27006.6</v>
      </c>
      <c r="GI36">
        <v>28226.5</v>
      </c>
      <c r="GJ36">
        <v>28183</v>
      </c>
      <c r="GK36">
        <v>33655.800000000003</v>
      </c>
      <c r="GL36">
        <v>34632.699999999997</v>
      </c>
      <c r="GM36">
        <v>42404.9</v>
      </c>
      <c r="GN36">
        <v>43812.6</v>
      </c>
      <c r="GO36">
        <v>1.7295700000000001</v>
      </c>
      <c r="GP36">
        <v>1.90587</v>
      </c>
      <c r="GQ36">
        <v>-3.2707999999999999E-3</v>
      </c>
      <c r="GR36">
        <v>0</v>
      </c>
      <c r="GS36">
        <v>30.109000000000002</v>
      </c>
      <c r="GT36">
        <v>999.9</v>
      </c>
      <c r="GU36">
        <v>45.9</v>
      </c>
      <c r="GV36">
        <v>38.6</v>
      </c>
      <c r="GW36">
        <v>31.998899999999999</v>
      </c>
      <c r="GX36">
        <v>61.409100000000002</v>
      </c>
      <c r="GY36">
        <v>31.806899999999999</v>
      </c>
      <c r="GZ36">
        <v>1</v>
      </c>
      <c r="HA36">
        <v>0.60401899999999997</v>
      </c>
      <c r="HB36">
        <v>4.3289600000000004</v>
      </c>
      <c r="HC36">
        <v>20.209199999999999</v>
      </c>
      <c r="HD36">
        <v>5.27644</v>
      </c>
      <c r="HE36">
        <v>12.0878</v>
      </c>
      <c r="HF36">
        <v>5.0133000000000001</v>
      </c>
      <c r="HG36">
        <v>3.2919800000000001</v>
      </c>
      <c r="HH36">
        <v>9999</v>
      </c>
      <c r="HI36">
        <v>9999</v>
      </c>
      <c r="HJ36">
        <v>9999</v>
      </c>
      <c r="HK36">
        <v>999.9</v>
      </c>
      <c r="HL36">
        <v>1.8761099999999999</v>
      </c>
      <c r="HM36">
        <v>1.87666</v>
      </c>
      <c r="HN36">
        <v>1.8763700000000001</v>
      </c>
      <c r="HO36">
        <v>1.88019</v>
      </c>
      <c r="HP36">
        <v>1.87378</v>
      </c>
      <c r="HQ36">
        <v>1.87683</v>
      </c>
      <c r="HR36">
        <v>1.8766799999999999</v>
      </c>
      <c r="HS36">
        <v>1.8780600000000001</v>
      </c>
      <c r="HT36">
        <v>0</v>
      </c>
      <c r="HU36">
        <v>0</v>
      </c>
      <c r="HV36">
        <v>0</v>
      </c>
      <c r="HW36">
        <v>0</v>
      </c>
      <c r="HX36" t="s">
        <v>421</v>
      </c>
      <c r="HY36" t="s">
        <v>422</v>
      </c>
      <c r="HZ36" t="s">
        <v>423</v>
      </c>
      <c r="IA36" t="s">
        <v>424</v>
      </c>
      <c r="IB36" t="s">
        <v>424</v>
      </c>
      <c r="IC36" t="s">
        <v>423</v>
      </c>
      <c r="ID36">
        <v>0</v>
      </c>
      <c r="IE36">
        <v>100</v>
      </c>
      <c r="IF36">
        <v>100</v>
      </c>
      <c r="IG36">
        <v>1.6619999999999999</v>
      </c>
      <c r="IH36">
        <v>0.33489999999999998</v>
      </c>
      <c r="II36">
        <v>1.3538739756163951</v>
      </c>
      <c r="IJ36">
        <v>8.9576739069318506E-4</v>
      </c>
      <c r="IK36">
        <v>-7.2130504814809596E-7</v>
      </c>
      <c r="IL36">
        <v>1.9987036519832741E-10</v>
      </c>
      <c r="IM36">
        <v>0.3349299999999964</v>
      </c>
      <c r="IN36">
        <v>0</v>
      </c>
      <c r="IO36">
        <v>0</v>
      </c>
      <c r="IP36">
        <v>0</v>
      </c>
      <c r="IQ36">
        <v>1</v>
      </c>
      <c r="IR36">
        <v>2126</v>
      </c>
      <c r="IS36">
        <v>0</v>
      </c>
      <c r="IT36">
        <v>20</v>
      </c>
      <c r="IU36">
        <v>1.7</v>
      </c>
      <c r="IV36">
        <v>1.9</v>
      </c>
      <c r="IW36">
        <v>1.4465300000000001</v>
      </c>
      <c r="IX36">
        <v>2.6672400000000001</v>
      </c>
      <c r="IY36">
        <v>1.69434</v>
      </c>
      <c r="IZ36">
        <v>2.34497</v>
      </c>
      <c r="JA36">
        <v>1.5466299999999999</v>
      </c>
      <c r="JB36">
        <v>2.3010299999999999</v>
      </c>
      <c r="JC36">
        <v>44.389899999999997</v>
      </c>
      <c r="JD36">
        <v>23.780999999999999</v>
      </c>
      <c r="JE36">
        <v>18</v>
      </c>
      <c r="JF36">
        <v>477.39400000000001</v>
      </c>
      <c r="JG36">
        <v>503.03899999999999</v>
      </c>
      <c r="JH36">
        <v>25.443000000000001</v>
      </c>
      <c r="JI36">
        <v>34.537199999999999</v>
      </c>
      <c r="JJ36">
        <v>29.999400000000001</v>
      </c>
      <c r="JK36">
        <v>34.4011</v>
      </c>
      <c r="JL36">
        <v>34.338999999999999</v>
      </c>
      <c r="JM36">
        <v>29.021699999999999</v>
      </c>
      <c r="JN36">
        <v>19.907399999999999</v>
      </c>
      <c r="JO36">
        <v>53.931100000000001</v>
      </c>
      <c r="JP36">
        <v>25.429500000000001</v>
      </c>
      <c r="JQ36">
        <v>600</v>
      </c>
      <c r="JR36">
        <v>25.190100000000001</v>
      </c>
      <c r="JS36">
        <v>98.872</v>
      </c>
      <c r="JT36">
        <v>98.709500000000006</v>
      </c>
    </row>
    <row r="37" spans="1:280" x14ac:dyDescent="0.25">
      <c r="A37">
        <v>21</v>
      </c>
      <c r="B37">
        <v>1700239393.0999999</v>
      </c>
      <c r="C37">
        <v>4167.5</v>
      </c>
      <c r="D37" t="s">
        <v>509</v>
      </c>
      <c r="E37" t="s">
        <v>510</v>
      </c>
      <c r="F37" t="s">
        <v>412</v>
      </c>
      <c r="G37" t="s">
        <v>481</v>
      </c>
      <c r="H37" t="s">
        <v>482</v>
      </c>
      <c r="I37">
        <v>1700239393.0999999</v>
      </c>
      <c r="J37">
        <f t="shared" si="0"/>
        <v>3.444706595769341E-3</v>
      </c>
      <c r="K37">
        <f t="shared" si="1"/>
        <v>3.444706595769341</v>
      </c>
      <c r="L37">
        <f t="shared" si="2"/>
        <v>50.859022238642055</v>
      </c>
      <c r="M37">
        <f t="shared" si="3"/>
        <v>456.32400000000001</v>
      </c>
      <c r="N37">
        <f t="shared" si="4"/>
        <v>68.088386558497433</v>
      </c>
      <c r="O37">
        <f t="shared" si="5"/>
        <v>6.7232252241666295</v>
      </c>
      <c r="P37">
        <f t="shared" si="6"/>
        <v>45.058624271509196</v>
      </c>
      <c r="Q37">
        <f t="shared" si="7"/>
        <v>0.21995081672001721</v>
      </c>
      <c r="R37">
        <f t="shared" si="8"/>
        <v>3.3594257435917569</v>
      </c>
      <c r="S37">
        <f t="shared" si="9"/>
        <v>0.2122522381290908</v>
      </c>
      <c r="T37">
        <f t="shared" si="10"/>
        <v>0.13332688668934267</v>
      </c>
      <c r="U37">
        <f t="shared" si="11"/>
        <v>289.56966284757027</v>
      </c>
      <c r="V37">
        <f t="shared" si="12"/>
        <v>30.495077702661348</v>
      </c>
      <c r="W37">
        <f t="shared" si="13"/>
        <v>30.0259</v>
      </c>
      <c r="X37">
        <f t="shared" si="14"/>
        <v>4.2667920463099209</v>
      </c>
      <c r="Y37">
        <f t="shared" si="15"/>
        <v>64.670839505982485</v>
      </c>
      <c r="Z37">
        <f t="shared" si="16"/>
        <v>2.7209712006174596</v>
      </c>
      <c r="AA37">
        <f t="shared" si="17"/>
        <v>4.2074159256363943</v>
      </c>
      <c r="AB37">
        <f t="shared" si="18"/>
        <v>1.5458208456924614</v>
      </c>
      <c r="AC37">
        <f t="shared" si="19"/>
        <v>-151.91156087342793</v>
      </c>
      <c r="AD37">
        <f t="shared" si="20"/>
        <v>-44.155437335860931</v>
      </c>
      <c r="AE37">
        <f t="shared" si="21"/>
        <v>-2.919748527854793</v>
      </c>
      <c r="AF37">
        <f t="shared" si="22"/>
        <v>90.582916110426623</v>
      </c>
      <c r="AG37">
        <v>15</v>
      </c>
      <c r="AH37">
        <v>3</v>
      </c>
      <c r="AI37">
        <f t="shared" si="23"/>
        <v>1</v>
      </c>
      <c r="AJ37">
        <f t="shared" si="24"/>
        <v>0</v>
      </c>
      <c r="AK37">
        <f t="shared" si="25"/>
        <v>51785.308496255799</v>
      </c>
      <c r="AL37" t="s">
        <v>415</v>
      </c>
      <c r="AM37">
        <v>6960.3</v>
      </c>
      <c r="AN37">
        <v>244.8124</v>
      </c>
      <c r="AO37">
        <v>892.86711584811997</v>
      </c>
      <c r="AP37">
        <f t="shared" si="26"/>
        <v>0.72581317459826411</v>
      </c>
      <c r="AQ37">
        <v>-0.43209471141234851</v>
      </c>
      <c r="AR37" t="s">
        <v>511</v>
      </c>
      <c r="AS37">
        <v>7113.48</v>
      </c>
      <c r="AT37">
        <v>542.88755999999989</v>
      </c>
      <c r="AU37">
        <v>757.51442223073286</v>
      </c>
      <c r="AV37">
        <f t="shared" si="27"/>
        <v>0.28333039732589982</v>
      </c>
      <c r="AW37">
        <v>0.5</v>
      </c>
      <c r="AX37">
        <f t="shared" si="28"/>
        <v>1513.201499921021</v>
      </c>
      <c r="AY37">
        <f t="shared" si="29"/>
        <v>50.859022238642055</v>
      </c>
      <c r="AZ37">
        <f t="shared" si="30"/>
        <v>214.36799110338521</v>
      </c>
      <c r="BA37">
        <f t="shared" si="31"/>
        <v>3.3895761372646972E-2</v>
      </c>
      <c r="BB37">
        <f t="shared" si="32"/>
        <v>0.17868002198400357</v>
      </c>
      <c r="BC37">
        <f t="shared" si="33"/>
        <v>233.37877519448958</v>
      </c>
      <c r="BD37" t="s">
        <v>512</v>
      </c>
      <c r="BE37">
        <v>369.55</v>
      </c>
      <c r="BF37">
        <f t="shared" si="34"/>
        <v>369.55</v>
      </c>
      <c r="BG37">
        <f t="shared" si="35"/>
        <v>0.51215450273310048</v>
      </c>
      <c r="BH37">
        <f t="shared" si="36"/>
        <v>0.55321274305685852</v>
      </c>
      <c r="BI37">
        <f t="shared" si="37"/>
        <v>0.25864373535351731</v>
      </c>
      <c r="BJ37">
        <f t="shared" si="38"/>
        <v>0.41861910607823544</v>
      </c>
      <c r="BK37">
        <f t="shared" si="39"/>
        <v>0.20885997788049238</v>
      </c>
      <c r="BL37">
        <f t="shared" si="40"/>
        <v>0.37657847454942994</v>
      </c>
      <c r="BM37">
        <f t="shared" si="41"/>
        <v>0.62342152545057006</v>
      </c>
      <c r="BN37">
        <v>169</v>
      </c>
      <c r="BO37">
        <v>290.00000000000011</v>
      </c>
      <c r="BP37">
        <v>697.61</v>
      </c>
      <c r="BQ37">
        <v>285</v>
      </c>
      <c r="BR37">
        <v>7113.48</v>
      </c>
      <c r="BS37">
        <v>699.77</v>
      </c>
      <c r="BT37">
        <v>-2.16</v>
      </c>
      <c r="BU37">
        <v>300.00000000000011</v>
      </c>
      <c r="BV37">
        <v>38.299999999999997</v>
      </c>
      <c r="BW37">
        <v>757.51442223073286</v>
      </c>
      <c r="BX37">
        <v>1.298285818992476</v>
      </c>
      <c r="BY37">
        <v>-41.073292246293803</v>
      </c>
      <c r="BZ37">
        <v>0.77409916172026227</v>
      </c>
      <c r="CA37">
        <v>0.99015231378801771</v>
      </c>
      <c r="CB37">
        <v>-7.0200073414905433E-3</v>
      </c>
      <c r="CC37">
        <v>289.99999999999989</v>
      </c>
      <c r="CD37">
        <v>707.23</v>
      </c>
      <c r="CE37">
        <v>875</v>
      </c>
      <c r="CF37">
        <v>7107.45</v>
      </c>
      <c r="CG37">
        <v>699.73</v>
      </c>
      <c r="CH37">
        <v>7.5</v>
      </c>
      <c r="CV37">
        <f t="shared" si="42"/>
        <v>1800.02</v>
      </c>
      <c r="CW37">
        <f t="shared" si="43"/>
        <v>1513.201499921021</v>
      </c>
      <c r="CX37">
        <f t="shared" si="44"/>
        <v>0.84065815930990817</v>
      </c>
      <c r="CY37">
        <f t="shared" si="45"/>
        <v>0.16087024746812273</v>
      </c>
      <c r="CZ37">
        <v>4.16</v>
      </c>
      <c r="DA37">
        <v>0.5</v>
      </c>
      <c r="DB37" t="s">
        <v>418</v>
      </c>
      <c r="DC37">
        <v>2</v>
      </c>
      <c r="DD37">
        <v>1700239393.0999999</v>
      </c>
      <c r="DE37">
        <v>456.32400000000001</v>
      </c>
      <c r="DF37">
        <v>499.92899999999997</v>
      </c>
      <c r="DG37">
        <v>27.5562</v>
      </c>
      <c r="DH37">
        <v>24.770299999999999</v>
      </c>
      <c r="DI37">
        <v>454.78899999999999</v>
      </c>
      <c r="DJ37">
        <v>27.233599999999999</v>
      </c>
      <c r="DK37">
        <v>500.20100000000002</v>
      </c>
      <c r="DL37">
        <v>98.642799999999994</v>
      </c>
      <c r="DM37">
        <v>9.9813299999999994E-2</v>
      </c>
      <c r="DN37">
        <v>29.7821</v>
      </c>
      <c r="DO37">
        <v>30.0259</v>
      </c>
      <c r="DP37">
        <v>999.9</v>
      </c>
      <c r="DQ37">
        <v>0</v>
      </c>
      <c r="DR37">
        <v>0</v>
      </c>
      <c r="DS37">
        <v>10021.200000000001</v>
      </c>
      <c r="DT37">
        <v>0</v>
      </c>
      <c r="DU37">
        <v>350.33600000000001</v>
      </c>
      <c r="DV37">
        <v>-43.605200000000004</v>
      </c>
      <c r="DW37">
        <v>469.255</v>
      </c>
      <c r="DX37">
        <v>512.62699999999995</v>
      </c>
      <c r="DY37">
        <v>2.7858200000000002</v>
      </c>
      <c r="DZ37">
        <v>499.92899999999997</v>
      </c>
      <c r="EA37">
        <v>24.770299999999999</v>
      </c>
      <c r="EB37">
        <v>2.7182200000000001</v>
      </c>
      <c r="EC37">
        <v>2.4434200000000001</v>
      </c>
      <c r="ED37">
        <v>22.395700000000001</v>
      </c>
      <c r="EE37">
        <v>20.654399999999999</v>
      </c>
      <c r="EF37">
        <v>1800.02</v>
      </c>
      <c r="EG37">
        <v>0.97799899999999995</v>
      </c>
      <c r="EH37">
        <v>2.2000599999999999E-2</v>
      </c>
      <c r="EI37">
        <v>0</v>
      </c>
      <c r="EJ37">
        <v>542.81700000000001</v>
      </c>
      <c r="EK37">
        <v>5.0001199999999999</v>
      </c>
      <c r="EL37">
        <v>10171.5</v>
      </c>
      <c r="EM37">
        <v>15630.1</v>
      </c>
      <c r="EN37">
        <v>52.311999999999998</v>
      </c>
      <c r="EO37">
        <v>53.811999999999998</v>
      </c>
      <c r="EP37">
        <v>53.311999999999998</v>
      </c>
      <c r="EQ37">
        <v>53.436999999999998</v>
      </c>
      <c r="ER37">
        <v>53.686999999999998</v>
      </c>
      <c r="ES37">
        <v>1755.53</v>
      </c>
      <c r="ET37">
        <v>39.49</v>
      </c>
      <c r="EU37">
        <v>0</v>
      </c>
      <c r="EV37">
        <v>228.79999995231631</v>
      </c>
      <c r="EW37">
        <v>0</v>
      </c>
      <c r="EX37">
        <v>542.88755999999989</v>
      </c>
      <c r="EY37">
        <v>-0.78330768590522215</v>
      </c>
      <c r="EZ37">
        <v>-157.9076925543813</v>
      </c>
      <c r="FA37">
        <v>10188.620000000001</v>
      </c>
      <c r="FB37">
        <v>15</v>
      </c>
      <c r="FC37">
        <v>1700239240.0999999</v>
      </c>
      <c r="FD37" t="s">
        <v>513</v>
      </c>
      <c r="FE37">
        <v>1700239240.0999999</v>
      </c>
      <c r="FF37">
        <v>1700239238.0999999</v>
      </c>
      <c r="FG37">
        <v>23</v>
      </c>
      <c r="FH37">
        <v>-9.6000000000000002E-2</v>
      </c>
      <c r="FI37">
        <v>-1.2E-2</v>
      </c>
      <c r="FJ37">
        <v>1.55</v>
      </c>
      <c r="FK37">
        <v>0.32300000000000001</v>
      </c>
      <c r="FL37">
        <v>500</v>
      </c>
      <c r="FM37">
        <v>25</v>
      </c>
      <c r="FN37">
        <v>0.05</v>
      </c>
      <c r="FO37">
        <v>0.02</v>
      </c>
      <c r="FP37">
        <v>50.852424200101467</v>
      </c>
      <c r="FQ37">
        <v>0.37057131593479181</v>
      </c>
      <c r="FR37">
        <v>4.3492444021291647E-2</v>
      </c>
      <c r="FS37">
        <v>1</v>
      </c>
      <c r="FT37">
        <v>0.2238455331975378</v>
      </c>
      <c r="FU37">
        <v>-4.6485569106739393E-2</v>
      </c>
      <c r="FV37">
        <v>3.857806324591768E-3</v>
      </c>
      <c r="FW37">
        <v>1</v>
      </c>
      <c r="FX37">
        <v>2</v>
      </c>
      <c r="FY37">
        <v>2</v>
      </c>
      <c r="FZ37" t="s">
        <v>420</v>
      </c>
      <c r="GA37">
        <v>2.91418</v>
      </c>
      <c r="GB37">
        <v>2.7509999999999999</v>
      </c>
      <c r="GC37">
        <v>9.9510199999999993E-2</v>
      </c>
      <c r="GD37">
        <v>0.108476</v>
      </c>
      <c r="GE37">
        <v>0.125503</v>
      </c>
      <c r="GF37">
        <v>0.11905</v>
      </c>
      <c r="GG37">
        <v>27899.1</v>
      </c>
      <c r="GH37">
        <v>27468.9</v>
      </c>
      <c r="GI37">
        <v>28222.799999999999</v>
      </c>
      <c r="GJ37">
        <v>28176.5</v>
      </c>
      <c r="GK37">
        <v>33635.599999999999</v>
      </c>
      <c r="GL37">
        <v>34670.699999999997</v>
      </c>
      <c r="GM37">
        <v>42399.7</v>
      </c>
      <c r="GN37">
        <v>43803.9</v>
      </c>
      <c r="GO37">
        <v>1.7290300000000001</v>
      </c>
      <c r="GP37">
        <v>1.9003000000000001</v>
      </c>
      <c r="GQ37">
        <v>-5.9679199999999998E-3</v>
      </c>
      <c r="GR37">
        <v>0</v>
      </c>
      <c r="GS37">
        <v>30.123000000000001</v>
      </c>
      <c r="GT37">
        <v>999.9</v>
      </c>
      <c r="GU37">
        <v>44.5</v>
      </c>
      <c r="GV37">
        <v>39</v>
      </c>
      <c r="GW37">
        <v>31.6998</v>
      </c>
      <c r="GX37">
        <v>61.049100000000003</v>
      </c>
      <c r="GY37">
        <v>31.330100000000002</v>
      </c>
      <c r="GZ37">
        <v>1</v>
      </c>
      <c r="HA37">
        <v>0.61421800000000004</v>
      </c>
      <c r="HB37">
        <v>3.96807</v>
      </c>
      <c r="HC37">
        <v>20.2179</v>
      </c>
      <c r="HD37">
        <v>5.2761399999999998</v>
      </c>
      <c r="HE37">
        <v>12.087999999999999</v>
      </c>
      <c r="HF37">
        <v>5.0130999999999997</v>
      </c>
      <c r="HG37">
        <v>3.2919999999999998</v>
      </c>
      <c r="HH37">
        <v>9999</v>
      </c>
      <c r="HI37">
        <v>9999</v>
      </c>
      <c r="HJ37">
        <v>9999</v>
      </c>
      <c r="HK37">
        <v>999.9</v>
      </c>
      <c r="HL37">
        <v>1.87616</v>
      </c>
      <c r="HM37">
        <v>1.8766799999999999</v>
      </c>
      <c r="HN37">
        <v>1.8763700000000001</v>
      </c>
      <c r="HO37">
        <v>1.8802000000000001</v>
      </c>
      <c r="HP37">
        <v>1.8737900000000001</v>
      </c>
      <c r="HQ37">
        <v>1.8768400000000001</v>
      </c>
      <c r="HR37">
        <v>1.87669</v>
      </c>
      <c r="HS37">
        <v>1.87815</v>
      </c>
      <c r="HT37">
        <v>0</v>
      </c>
      <c r="HU37">
        <v>0</v>
      </c>
      <c r="HV37">
        <v>0</v>
      </c>
      <c r="HW37">
        <v>0</v>
      </c>
      <c r="HX37" t="s">
        <v>421</v>
      </c>
      <c r="HY37" t="s">
        <v>422</v>
      </c>
      <c r="HZ37" t="s">
        <v>423</v>
      </c>
      <c r="IA37" t="s">
        <v>424</v>
      </c>
      <c r="IB37" t="s">
        <v>424</v>
      </c>
      <c r="IC37" t="s">
        <v>423</v>
      </c>
      <c r="ID37">
        <v>0</v>
      </c>
      <c r="IE37">
        <v>100</v>
      </c>
      <c r="IF37">
        <v>100</v>
      </c>
      <c r="IG37">
        <v>1.5349999999999999</v>
      </c>
      <c r="IH37">
        <v>0.3226</v>
      </c>
      <c r="II37">
        <v>1.2582069474740381</v>
      </c>
      <c r="IJ37">
        <v>8.9576739069318506E-4</v>
      </c>
      <c r="IK37">
        <v>-7.2130504814809596E-7</v>
      </c>
      <c r="IL37">
        <v>1.9987036519832741E-10</v>
      </c>
      <c r="IM37">
        <v>0.32255500000000131</v>
      </c>
      <c r="IN37">
        <v>0</v>
      </c>
      <c r="IO37">
        <v>0</v>
      </c>
      <c r="IP37">
        <v>0</v>
      </c>
      <c r="IQ37">
        <v>1</v>
      </c>
      <c r="IR37">
        <v>2126</v>
      </c>
      <c r="IS37">
        <v>0</v>
      </c>
      <c r="IT37">
        <v>20</v>
      </c>
      <c r="IU37">
        <v>2.5</v>
      </c>
      <c r="IV37">
        <v>2.6</v>
      </c>
      <c r="IW37">
        <v>1.24878</v>
      </c>
      <c r="IX37">
        <v>2.66479</v>
      </c>
      <c r="IY37">
        <v>1.69434</v>
      </c>
      <c r="IZ37">
        <v>2.34497</v>
      </c>
      <c r="JA37">
        <v>1.5466299999999999</v>
      </c>
      <c r="JB37">
        <v>2.50244</v>
      </c>
      <c r="JC37">
        <v>44.865900000000003</v>
      </c>
      <c r="JD37">
        <v>23.7986</v>
      </c>
      <c r="JE37">
        <v>18</v>
      </c>
      <c r="JF37">
        <v>478.40499999999997</v>
      </c>
      <c r="JG37">
        <v>500.43400000000003</v>
      </c>
      <c r="JH37">
        <v>25.725999999999999</v>
      </c>
      <c r="JI37">
        <v>34.705199999999998</v>
      </c>
      <c r="JJ37">
        <v>29.999400000000001</v>
      </c>
      <c r="JK37">
        <v>34.572899999999997</v>
      </c>
      <c r="JL37">
        <v>34.512900000000002</v>
      </c>
      <c r="JM37">
        <v>25.076000000000001</v>
      </c>
      <c r="JN37">
        <v>20.1188</v>
      </c>
      <c r="JO37">
        <v>50.9452</v>
      </c>
      <c r="JP37">
        <v>25.736599999999999</v>
      </c>
      <c r="JQ37">
        <v>500</v>
      </c>
      <c r="JR37">
        <v>24.839200000000002</v>
      </c>
      <c r="JS37">
        <v>98.859499999999997</v>
      </c>
      <c r="JT37">
        <v>98.688699999999997</v>
      </c>
    </row>
    <row r="38" spans="1:280" x14ac:dyDescent="0.25">
      <c r="A38">
        <v>22</v>
      </c>
      <c r="B38">
        <v>1700239622.5999999</v>
      </c>
      <c r="C38">
        <v>4397</v>
      </c>
      <c r="D38" t="s">
        <v>514</v>
      </c>
      <c r="E38" t="s">
        <v>515</v>
      </c>
      <c r="F38" t="s">
        <v>412</v>
      </c>
      <c r="G38" t="s">
        <v>481</v>
      </c>
      <c r="H38" t="s">
        <v>482</v>
      </c>
      <c r="I38">
        <v>1700239622.5999999</v>
      </c>
      <c r="J38">
        <f t="shared" si="0"/>
        <v>4.051267080328394E-3</v>
      </c>
      <c r="K38">
        <f t="shared" si="1"/>
        <v>4.0512670803283939</v>
      </c>
      <c r="L38">
        <f t="shared" si="2"/>
        <v>47.119837677378811</v>
      </c>
      <c r="M38">
        <f t="shared" si="3"/>
        <v>359.53</v>
      </c>
      <c r="N38">
        <f t="shared" si="4"/>
        <v>58.842559050891062</v>
      </c>
      <c r="O38">
        <f t="shared" si="5"/>
        <v>5.8106318951399309</v>
      </c>
      <c r="P38">
        <f t="shared" si="6"/>
        <v>35.503154841597997</v>
      </c>
      <c r="Q38">
        <f t="shared" si="7"/>
        <v>0.2647866668446282</v>
      </c>
      <c r="R38">
        <f t="shared" si="8"/>
        <v>3.3580722590647101</v>
      </c>
      <c r="S38">
        <f t="shared" si="9"/>
        <v>0.25371026582000206</v>
      </c>
      <c r="T38">
        <f t="shared" si="10"/>
        <v>0.15952547606866974</v>
      </c>
      <c r="U38">
        <f t="shared" si="11"/>
        <v>289.57764284757451</v>
      </c>
      <c r="V38">
        <f t="shared" si="12"/>
        <v>30.578214284570251</v>
      </c>
      <c r="W38">
        <f t="shared" si="13"/>
        <v>30.030200000000001</v>
      </c>
      <c r="X38">
        <f t="shared" si="14"/>
        <v>4.2678458067265934</v>
      </c>
      <c r="Y38">
        <f t="shared" si="15"/>
        <v>64.463984532166762</v>
      </c>
      <c r="Z38">
        <f t="shared" si="16"/>
        <v>2.7470236484577804</v>
      </c>
      <c r="AA38">
        <f t="shared" si="17"/>
        <v>4.2613308320819794</v>
      </c>
      <c r="AB38">
        <f t="shared" si="18"/>
        <v>1.5208221582688131</v>
      </c>
      <c r="AC38">
        <f t="shared" si="19"/>
        <v>-178.66087824248217</v>
      </c>
      <c r="AD38">
        <f t="shared" si="20"/>
        <v>-4.8156744173768855</v>
      </c>
      <c r="AE38">
        <f t="shared" si="21"/>
        <v>-0.31891785997530492</v>
      </c>
      <c r="AF38">
        <f t="shared" si="22"/>
        <v>105.78217232774013</v>
      </c>
      <c r="AG38">
        <v>15</v>
      </c>
      <c r="AH38">
        <v>3</v>
      </c>
      <c r="AI38">
        <f t="shared" si="23"/>
        <v>1</v>
      </c>
      <c r="AJ38">
        <f t="shared" si="24"/>
        <v>0</v>
      </c>
      <c r="AK38">
        <f t="shared" si="25"/>
        <v>51717.038989776651</v>
      </c>
      <c r="AL38" t="s">
        <v>415</v>
      </c>
      <c r="AM38">
        <v>6960.3</v>
      </c>
      <c r="AN38">
        <v>244.8124</v>
      </c>
      <c r="AO38">
        <v>892.86711584811997</v>
      </c>
      <c r="AP38">
        <f t="shared" si="26"/>
        <v>0.72581317459826411</v>
      </c>
      <c r="AQ38">
        <v>-0.43209471141234851</v>
      </c>
      <c r="AR38" t="s">
        <v>516</v>
      </c>
      <c r="AS38">
        <v>7113.77</v>
      </c>
      <c r="AT38">
        <v>545.89392307692299</v>
      </c>
      <c r="AU38">
        <v>744.30987492632653</v>
      </c>
      <c r="AV38">
        <f t="shared" si="27"/>
        <v>0.26657707835603173</v>
      </c>
      <c r="AW38">
        <v>0.5</v>
      </c>
      <c r="AX38">
        <f t="shared" si="28"/>
        <v>1513.2434999210229</v>
      </c>
      <c r="AY38">
        <f t="shared" si="29"/>
        <v>47.119837677378811</v>
      </c>
      <c r="AZ38">
        <f t="shared" si="30"/>
        <v>201.69801552510111</v>
      </c>
      <c r="BA38">
        <f t="shared" si="31"/>
        <v>3.1423847114673165E-2</v>
      </c>
      <c r="BB38">
        <f t="shared" si="32"/>
        <v>0.19959058172713073</v>
      </c>
      <c r="BC38">
        <f t="shared" si="33"/>
        <v>232.11014713394789</v>
      </c>
      <c r="BD38" t="s">
        <v>517</v>
      </c>
      <c r="BE38">
        <v>372.9</v>
      </c>
      <c r="BF38">
        <f t="shared" si="34"/>
        <v>372.9</v>
      </c>
      <c r="BG38">
        <f t="shared" si="35"/>
        <v>0.49899898877881954</v>
      </c>
      <c r="BH38">
        <f t="shared" si="36"/>
        <v>0.53422368451770874</v>
      </c>
      <c r="BI38">
        <f t="shared" si="37"/>
        <v>0.28570506940517049</v>
      </c>
      <c r="BJ38">
        <f t="shared" si="38"/>
        <v>0.39723114091551504</v>
      </c>
      <c r="BK38">
        <f t="shared" si="39"/>
        <v>0.22923564521457745</v>
      </c>
      <c r="BL38">
        <f t="shared" si="40"/>
        <v>0.36492806300864833</v>
      </c>
      <c r="BM38">
        <f t="shared" si="41"/>
        <v>0.63507193699135167</v>
      </c>
      <c r="BN38">
        <v>171</v>
      </c>
      <c r="BO38">
        <v>290.00000000000011</v>
      </c>
      <c r="BP38">
        <v>688.57</v>
      </c>
      <c r="BQ38">
        <v>275</v>
      </c>
      <c r="BR38">
        <v>7113.77</v>
      </c>
      <c r="BS38">
        <v>690.9</v>
      </c>
      <c r="BT38">
        <v>-2.33</v>
      </c>
      <c r="BU38">
        <v>300.00000000000011</v>
      </c>
      <c r="BV38">
        <v>38.299999999999997</v>
      </c>
      <c r="BW38">
        <v>744.30987492632653</v>
      </c>
      <c r="BX38">
        <v>1.375343167223511</v>
      </c>
      <c r="BY38">
        <v>-37.993511860261407</v>
      </c>
      <c r="BZ38">
        <v>0.82005053293974761</v>
      </c>
      <c r="CA38">
        <v>0.98712367433385861</v>
      </c>
      <c r="CB38">
        <v>-7.0199868743047837E-3</v>
      </c>
      <c r="CC38">
        <v>289.99999999999989</v>
      </c>
      <c r="CD38">
        <v>698.17</v>
      </c>
      <c r="CE38">
        <v>885</v>
      </c>
      <c r="CF38">
        <v>7107.39</v>
      </c>
      <c r="CG38">
        <v>690.85</v>
      </c>
      <c r="CH38">
        <v>7.32</v>
      </c>
      <c r="CV38">
        <f t="shared" si="42"/>
        <v>1800.07</v>
      </c>
      <c r="CW38">
        <f t="shared" si="43"/>
        <v>1513.2434999210229</v>
      </c>
      <c r="CX38">
        <f t="shared" si="44"/>
        <v>0.84065814102841718</v>
      </c>
      <c r="CY38">
        <f t="shared" si="45"/>
        <v>0.16087021218484532</v>
      </c>
      <c r="CZ38">
        <v>4.16</v>
      </c>
      <c r="DA38">
        <v>0.5</v>
      </c>
      <c r="DB38" t="s">
        <v>418</v>
      </c>
      <c r="DC38">
        <v>2</v>
      </c>
      <c r="DD38">
        <v>1700239622.5999999</v>
      </c>
      <c r="DE38">
        <v>359.53</v>
      </c>
      <c r="DF38">
        <v>399.94200000000001</v>
      </c>
      <c r="DG38">
        <v>27.818300000000001</v>
      </c>
      <c r="DH38">
        <v>24.541699999999999</v>
      </c>
      <c r="DI38">
        <v>358.00700000000001</v>
      </c>
      <c r="DJ38">
        <v>27.5001</v>
      </c>
      <c r="DK38">
        <v>500.04399999999998</v>
      </c>
      <c r="DL38">
        <v>98.649000000000001</v>
      </c>
      <c r="DM38">
        <v>9.9796599999999999E-2</v>
      </c>
      <c r="DN38">
        <v>30.003599999999999</v>
      </c>
      <c r="DO38">
        <v>30.030200000000001</v>
      </c>
      <c r="DP38">
        <v>999.9</v>
      </c>
      <c r="DQ38">
        <v>0</v>
      </c>
      <c r="DR38">
        <v>0</v>
      </c>
      <c r="DS38">
        <v>10014.4</v>
      </c>
      <c r="DT38">
        <v>0</v>
      </c>
      <c r="DU38">
        <v>310.762</v>
      </c>
      <c r="DV38">
        <v>-40.411999999999999</v>
      </c>
      <c r="DW38">
        <v>369.81799999999998</v>
      </c>
      <c r="DX38">
        <v>410.00400000000002</v>
      </c>
      <c r="DY38">
        <v>3.2766600000000001</v>
      </c>
      <c r="DZ38">
        <v>399.94200000000001</v>
      </c>
      <c r="EA38">
        <v>24.541699999999999</v>
      </c>
      <c r="EB38">
        <v>2.7442500000000001</v>
      </c>
      <c r="EC38">
        <v>2.4210099999999999</v>
      </c>
      <c r="ED38">
        <v>22.552499999999998</v>
      </c>
      <c r="EE38">
        <v>20.504999999999999</v>
      </c>
      <c r="EF38">
        <v>1800.07</v>
      </c>
      <c r="EG38">
        <v>0.97799899999999995</v>
      </c>
      <c r="EH38">
        <v>2.2000599999999999E-2</v>
      </c>
      <c r="EI38">
        <v>0</v>
      </c>
      <c r="EJ38">
        <v>545.99199999999996</v>
      </c>
      <c r="EK38">
        <v>5.0001199999999999</v>
      </c>
      <c r="EL38">
        <v>10068.6</v>
      </c>
      <c r="EM38">
        <v>15630.6</v>
      </c>
      <c r="EN38">
        <v>52.375</v>
      </c>
      <c r="EO38">
        <v>53.625</v>
      </c>
      <c r="EP38">
        <v>53.311999999999998</v>
      </c>
      <c r="EQ38">
        <v>53.436999999999998</v>
      </c>
      <c r="ER38">
        <v>53.811999999999998</v>
      </c>
      <c r="ES38">
        <v>1755.58</v>
      </c>
      <c r="ET38">
        <v>39.49</v>
      </c>
      <c r="EU38">
        <v>0</v>
      </c>
      <c r="EV38">
        <v>227.4000000953674</v>
      </c>
      <c r="EW38">
        <v>0</v>
      </c>
      <c r="EX38">
        <v>545.89392307692299</v>
      </c>
      <c r="EY38">
        <v>-0.2062222324182586</v>
      </c>
      <c r="EZ38">
        <v>-11.931623930035601</v>
      </c>
      <c r="FA38">
        <v>10072.23076923077</v>
      </c>
      <c r="FB38">
        <v>15</v>
      </c>
      <c r="FC38">
        <v>1700239467.5999999</v>
      </c>
      <c r="FD38" t="s">
        <v>518</v>
      </c>
      <c r="FE38">
        <v>1700239467.5999999</v>
      </c>
      <c r="FF38">
        <v>1700239467.5999999</v>
      </c>
      <c r="FG38">
        <v>24</v>
      </c>
      <c r="FH38">
        <v>2.8000000000000001E-2</v>
      </c>
      <c r="FI38">
        <v>-4.0000000000000001E-3</v>
      </c>
      <c r="FJ38">
        <v>1.5409999999999999</v>
      </c>
      <c r="FK38">
        <v>0.318</v>
      </c>
      <c r="FL38">
        <v>400</v>
      </c>
      <c r="FM38">
        <v>25</v>
      </c>
      <c r="FN38">
        <v>0.05</v>
      </c>
      <c r="FO38">
        <v>0.04</v>
      </c>
      <c r="FP38">
        <v>47.055480723927673</v>
      </c>
      <c r="FQ38">
        <v>0.64662733260967664</v>
      </c>
      <c r="FR38">
        <v>7.92128513330949E-2</v>
      </c>
      <c r="FS38">
        <v>1</v>
      </c>
      <c r="FT38">
        <v>0.273728643251132</v>
      </c>
      <c r="FU38">
        <v>-2.6274744213469581E-2</v>
      </c>
      <c r="FV38">
        <v>2.6770758071512509E-3</v>
      </c>
      <c r="FW38">
        <v>1</v>
      </c>
      <c r="FX38">
        <v>2</v>
      </c>
      <c r="FY38">
        <v>2</v>
      </c>
      <c r="FZ38" t="s">
        <v>420</v>
      </c>
      <c r="GA38">
        <v>2.9134099999999998</v>
      </c>
      <c r="GB38">
        <v>2.7509299999999999</v>
      </c>
      <c r="GC38">
        <v>8.2746799999999995E-2</v>
      </c>
      <c r="GD38">
        <v>9.1733400000000007E-2</v>
      </c>
      <c r="GE38">
        <v>0.126305</v>
      </c>
      <c r="GF38">
        <v>0.11824900000000001</v>
      </c>
      <c r="GG38">
        <v>28411.1</v>
      </c>
      <c r="GH38">
        <v>27977.9</v>
      </c>
      <c r="GI38">
        <v>28216.3</v>
      </c>
      <c r="GJ38">
        <v>28170.400000000001</v>
      </c>
      <c r="GK38">
        <v>33597.599999999999</v>
      </c>
      <c r="GL38">
        <v>34695.599999999999</v>
      </c>
      <c r="GM38">
        <v>42390.3</v>
      </c>
      <c r="GN38">
        <v>43794.9</v>
      </c>
      <c r="GO38">
        <v>1.7275499999999999</v>
      </c>
      <c r="GP38">
        <v>1.8951</v>
      </c>
      <c r="GQ38">
        <v>4.6826899999999998E-3</v>
      </c>
      <c r="GR38">
        <v>0</v>
      </c>
      <c r="GS38">
        <v>29.954000000000001</v>
      </c>
      <c r="GT38">
        <v>999.9</v>
      </c>
      <c r="GU38">
        <v>43.1</v>
      </c>
      <c r="GV38">
        <v>39.5</v>
      </c>
      <c r="GW38">
        <v>31.531400000000001</v>
      </c>
      <c r="GX38">
        <v>60.889099999999999</v>
      </c>
      <c r="GY38">
        <v>31.786899999999999</v>
      </c>
      <c r="GZ38">
        <v>1</v>
      </c>
      <c r="HA38">
        <v>0.62731999999999999</v>
      </c>
      <c r="HB38">
        <v>3.9820000000000002</v>
      </c>
      <c r="HC38">
        <v>20.216699999999999</v>
      </c>
      <c r="HD38">
        <v>5.2765899999999997</v>
      </c>
      <c r="HE38">
        <v>12.0878</v>
      </c>
      <c r="HF38">
        <v>5.01295</v>
      </c>
      <c r="HG38">
        <v>3.2919200000000002</v>
      </c>
      <c r="HH38">
        <v>9999</v>
      </c>
      <c r="HI38">
        <v>9999</v>
      </c>
      <c r="HJ38">
        <v>9999</v>
      </c>
      <c r="HK38">
        <v>999.9</v>
      </c>
      <c r="HL38">
        <v>1.8761399999999999</v>
      </c>
      <c r="HM38">
        <v>1.8766799999999999</v>
      </c>
      <c r="HN38">
        <v>1.8764099999999999</v>
      </c>
      <c r="HO38">
        <v>1.88029</v>
      </c>
      <c r="HP38">
        <v>1.87382</v>
      </c>
      <c r="HQ38">
        <v>1.8768499999999999</v>
      </c>
      <c r="HR38">
        <v>1.8767100000000001</v>
      </c>
      <c r="HS38">
        <v>1.87819</v>
      </c>
      <c r="HT38">
        <v>0</v>
      </c>
      <c r="HU38">
        <v>0</v>
      </c>
      <c r="HV38">
        <v>0</v>
      </c>
      <c r="HW38">
        <v>0</v>
      </c>
      <c r="HX38" t="s">
        <v>421</v>
      </c>
      <c r="HY38" t="s">
        <v>422</v>
      </c>
      <c r="HZ38" t="s">
        <v>423</v>
      </c>
      <c r="IA38" t="s">
        <v>424</v>
      </c>
      <c r="IB38" t="s">
        <v>424</v>
      </c>
      <c r="IC38" t="s">
        <v>423</v>
      </c>
      <c r="ID38">
        <v>0</v>
      </c>
      <c r="IE38">
        <v>100</v>
      </c>
      <c r="IF38">
        <v>100</v>
      </c>
      <c r="IG38">
        <v>1.5229999999999999</v>
      </c>
      <c r="IH38">
        <v>0.31819999999999998</v>
      </c>
      <c r="II38">
        <v>1.2861160064443</v>
      </c>
      <c r="IJ38">
        <v>8.9576739069318506E-4</v>
      </c>
      <c r="IK38">
        <v>-7.2130504814809596E-7</v>
      </c>
      <c r="IL38">
        <v>1.9987036519832741E-10</v>
      </c>
      <c r="IM38">
        <v>0.31825500000000062</v>
      </c>
      <c r="IN38">
        <v>0</v>
      </c>
      <c r="IO38">
        <v>0</v>
      </c>
      <c r="IP38">
        <v>0</v>
      </c>
      <c r="IQ38">
        <v>1</v>
      </c>
      <c r="IR38">
        <v>2126</v>
      </c>
      <c r="IS38">
        <v>0</v>
      </c>
      <c r="IT38">
        <v>20</v>
      </c>
      <c r="IU38">
        <v>2.6</v>
      </c>
      <c r="IV38">
        <v>2.6</v>
      </c>
      <c r="IW38">
        <v>1.0449200000000001</v>
      </c>
      <c r="IX38">
        <v>2.67822</v>
      </c>
      <c r="IY38">
        <v>1.69434</v>
      </c>
      <c r="IZ38">
        <v>2.34375</v>
      </c>
      <c r="JA38">
        <v>1.5466299999999999</v>
      </c>
      <c r="JB38">
        <v>2.33521</v>
      </c>
      <c r="JC38">
        <v>45.261899999999997</v>
      </c>
      <c r="JD38">
        <v>23.772300000000001</v>
      </c>
      <c r="JE38">
        <v>18</v>
      </c>
      <c r="JF38">
        <v>478.72699999999998</v>
      </c>
      <c r="JG38">
        <v>498.12900000000002</v>
      </c>
      <c r="JH38">
        <v>26.105699999999999</v>
      </c>
      <c r="JI38">
        <v>34.878500000000003</v>
      </c>
      <c r="JJ38">
        <v>29.999500000000001</v>
      </c>
      <c r="JK38">
        <v>34.749099999999999</v>
      </c>
      <c r="JL38">
        <v>34.690300000000001</v>
      </c>
      <c r="JM38">
        <v>20.997299999999999</v>
      </c>
      <c r="JN38">
        <v>19.632200000000001</v>
      </c>
      <c r="JO38">
        <v>47.944899999999997</v>
      </c>
      <c r="JP38">
        <v>26.124199999999998</v>
      </c>
      <c r="JQ38">
        <v>400</v>
      </c>
      <c r="JR38">
        <v>24.674199999999999</v>
      </c>
      <c r="JS38">
        <v>98.837299999999999</v>
      </c>
      <c r="JT38">
        <v>98.668000000000006</v>
      </c>
    </row>
    <row r="39" spans="1:280" x14ac:dyDescent="0.25">
      <c r="A39">
        <v>23</v>
      </c>
      <c r="B39">
        <v>1700239858.0999999</v>
      </c>
      <c r="C39">
        <v>4632.5</v>
      </c>
      <c r="D39" t="s">
        <v>519</v>
      </c>
      <c r="E39" t="s">
        <v>520</v>
      </c>
      <c r="F39" t="s">
        <v>412</v>
      </c>
      <c r="G39" t="s">
        <v>481</v>
      </c>
      <c r="H39" t="s">
        <v>482</v>
      </c>
      <c r="I39">
        <v>1700239858.0999999</v>
      </c>
      <c r="J39">
        <f t="shared" si="0"/>
        <v>4.8560085743195184E-3</v>
      </c>
      <c r="K39">
        <f t="shared" si="1"/>
        <v>4.8560085743195183</v>
      </c>
      <c r="L39">
        <f t="shared" si="2"/>
        <v>41.710241561596156</v>
      </c>
      <c r="M39">
        <f t="shared" si="3"/>
        <v>264.20800000000003</v>
      </c>
      <c r="N39">
        <f t="shared" si="4"/>
        <v>49.910800774837909</v>
      </c>
      <c r="O39">
        <f t="shared" si="5"/>
        <v>4.9286608015154858</v>
      </c>
      <c r="P39">
        <f t="shared" si="6"/>
        <v>26.090377089347207</v>
      </c>
      <c r="Q39">
        <f t="shared" si="7"/>
        <v>0.33194687282884189</v>
      </c>
      <c r="R39">
        <f t="shared" si="8"/>
        <v>3.3636983403421583</v>
      </c>
      <c r="S39">
        <f t="shared" si="9"/>
        <v>0.3147625109383847</v>
      </c>
      <c r="T39">
        <f t="shared" si="10"/>
        <v>0.19819635305605945</v>
      </c>
      <c r="U39">
        <f t="shared" si="11"/>
        <v>289.56226184752745</v>
      </c>
      <c r="V39">
        <f t="shared" si="12"/>
        <v>30.540132099982241</v>
      </c>
      <c r="W39">
        <f t="shared" si="13"/>
        <v>29.991700000000002</v>
      </c>
      <c r="X39">
        <f t="shared" si="14"/>
        <v>4.2584190453593012</v>
      </c>
      <c r="Y39">
        <f t="shared" si="15"/>
        <v>64.908464565242525</v>
      </c>
      <c r="Z39">
        <f t="shared" si="16"/>
        <v>2.7893244582081005</v>
      </c>
      <c r="AA39">
        <f t="shared" si="17"/>
        <v>4.2973200442977975</v>
      </c>
      <c r="AB39">
        <f t="shared" si="18"/>
        <v>1.4690945871512007</v>
      </c>
      <c r="AC39">
        <f t="shared" si="19"/>
        <v>-214.14997812749075</v>
      </c>
      <c r="AD39">
        <f t="shared" si="20"/>
        <v>28.724842860044401</v>
      </c>
      <c r="AE39">
        <f t="shared" si="21"/>
        <v>1.9001355094233223</v>
      </c>
      <c r="AF39">
        <f t="shared" si="22"/>
        <v>106.03726208950441</v>
      </c>
      <c r="AG39">
        <v>14</v>
      </c>
      <c r="AH39">
        <v>3</v>
      </c>
      <c r="AI39">
        <f t="shared" si="23"/>
        <v>1</v>
      </c>
      <c r="AJ39">
        <f t="shared" si="24"/>
        <v>0</v>
      </c>
      <c r="AK39">
        <f t="shared" si="25"/>
        <v>51819.008728569825</v>
      </c>
      <c r="AL39" t="s">
        <v>415</v>
      </c>
      <c r="AM39">
        <v>6960.3</v>
      </c>
      <c r="AN39">
        <v>244.8124</v>
      </c>
      <c r="AO39">
        <v>892.86711584811997</v>
      </c>
      <c r="AP39">
        <f t="shared" si="26"/>
        <v>0.72581317459826411</v>
      </c>
      <c r="AQ39">
        <v>-0.43209471141234851</v>
      </c>
      <c r="AR39" t="s">
        <v>521</v>
      </c>
      <c r="AS39">
        <v>7114.16</v>
      </c>
      <c r="AT39">
        <v>552.56016</v>
      </c>
      <c r="AU39">
        <v>727.86793180710117</v>
      </c>
      <c r="AV39">
        <f t="shared" si="27"/>
        <v>0.24085107221561319</v>
      </c>
      <c r="AW39">
        <v>0.5</v>
      </c>
      <c r="AX39">
        <f t="shared" si="28"/>
        <v>1513.1597999209987</v>
      </c>
      <c r="AY39">
        <f t="shared" si="29"/>
        <v>41.710241561596156</v>
      </c>
      <c r="AZ39">
        <f t="shared" si="30"/>
        <v>182.22308012226765</v>
      </c>
      <c r="BA39">
        <f t="shared" si="31"/>
        <v>2.785055238396416E-2</v>
      </c>
      <c r="BB39">
        <f t="shared" si="32"/>
        <v>0.22668835489340766</v>
      </c>
      <c r="BC39">
        <f t="shared" si="33"/>
        <v>230.48651951081339</v>
      </c>
      <c r="BD39" t="s">
        <v>522</v>
      </c>
      <c r="BE39">
        <v>376.17</v>
      </c>
      <c r="BF39">
        <f t="shared" si="34"/>
        <v>376.17</v>
      </c>
      <c r="BG39">
        <f t="shared" si="35"/>
        <v>0.48318921117177038</v>
      </c>
      <c r="BH39">
        <f t="shared" si="36"/>
        <v>0.49846119624966623</v>
      </c>
      <c r="BI39">
        <f t="shared" si="37"/>
        <v>0.31933443981041948</v>
      </c>
      <c r="BJ39">
        <f t="shared" si="38"/>
        <v>0.36291432405561797</v>
      </c>
      <c r="BK39">
        <f t="shared" si="39"/>
        <v>0.254606871929142</v>
      </c>
      <c r="BL39">
        <f t="shared" si="40"/>
        <v>0.33934069403997014</v>
      </c>
      <c r="BM39">
        <f t="shared" si="41"/>
        <v>0.66065930596002986</v>
      </c>
      <c r="BN39">
        <v>173</v>
      </c>
      <c r="BO39">
        <v>290.00000000000011</v>
      </c>
      <c r="BP39">
        <v>678.99</v>
      </c>
      <c r="BQ39">
        <v>295</v>
      </c>
      <c r="BR39">
        <v>7114.16</v>
      </c>
      <c r="BS39">
        <v>680.6</v>
      </c>
      <c r="BT39">
        <v>-1.61</v>
      </c>
      <c r="BU39">
        <v>300.00000000000011</v>
      </c>
      <c r="BV39">
        <v>38.299999999999997</v>
      </c>
      <c r="BW39">
        <v>727.86793180710117</v>
      </c>
      <c r="BX39">
        <v>1.5104632848180639</v>
      </c>
      <c r="BY39">
        <v>-33.626780130057938</v>
      </c>
      <c r="BZ39">
        <v>0.90069372937197456</v>
      </c>
      <c r="CA39">
        <v>0.98030735720603357</v>
      </c>
      <c r="CB39">
        <v>-7.0205764182424959E-3</v>
      </c>
      <c r="CC39">
        <v>289.99999999999989</v>
      </c>
      <c r="CD39">
        <v>684.48</v>
      </c>
      <c r="CE39">
        <v>655</v>
      </c>
      <c r="CF39">
        <v>7111.42</v>
      </c>
      <c r="CG39">
        <v>680.58</v>
      </c>
      <c r="CH39">
        <v>3.9</v>
      </c>
      <c r="CV39">
        <f t="shared" si="42"/>
        <v>1799.97</v>
      </c>
      <c r="CW39">
        <f t="shared" si="43"/>
        <v>1513.1597999209987</v>
      </c>
      <c r="CX39">
        <f t="shared" si="44"/>
        <v>0.84065834426184805</v>
      </c>
      <c r="CY39">
        <f t="shared" si="45"/>
        <v>0.1608706044253668</v>
      </c>
      <c r="CZ39">
        <v>4.16</v>
      </c>
      <c r="DA39">
        <v>0.5</v>
      </c>
      <c r="DB39" t="s">
        <v>418</v>
      </c>
      <c r="DC39">
        <v>2</v>
      </c>
      <c r="DD39">
        <v>1700239858.0999999</v>
      </c>
      <c r="DE39">
        <v>264.20800000000003</v>
      </c>
      <c r="DF39">
        <v>299.964</v>
      </c>
      <c r="DG39">
        <v>28.246500000000001</v>
      </c>
      <c r="DH39">
        <v>24.321999999999999</v>
      </c>
      <c r="DI39">
        <v>262.762</v>
      </c>
      <c r="DJ39">
        <v>27.934899999999999</v>
      </c>
      <c r="DK39">
        <v>500.20100000000002</v>
      </c>
      <c r="DL39">
        <v>98.649600000000007</v>
      </c>
      <c r="DM39">
        <v>9.9783399999999994E-2</v>
      </c>
      <c r="DN39">
        <v>30.150099999999998</v>
      </c>
      <c r="DO39">
        <v>29.991700000000002</v>
      </c>
      <c r="DP39">
        <v>999.9</v>
      </c>
      <c r="DQ39">
        <v>0</v>
      </c>
      <c r="DR39">
        <v>0</v>
      </c>
      <c r="DS39">
        <v>10040</v>
      </c>
      <c r="DT39">
        <v>0</v>
      </c>
      <c r="DU39">
        <v>297.279</v>
      </c>
      <c r="DV39">
        <v>-35.7562</v>
      </c>
      <c r="DW39">
        <v>271.88799999999998</v>
      </c>
      <c r="DX39">
        <v>307.44200000000001</v>
      </c>
      <c r="DY39">
        <v>3.92448</v>
      </c>
      <c r="DZ39">
        <v>299.964</v>
      </c>
      <c r="EA39">
        <v>24.321999999999999</v>
      </c>
      <c r="EB39">
        <v>2.7865000000000002</v>
      </c>
      <c r="EC39">
        <v>2.3993500000000001</v>
      </c>
      <c r="ED39">
        <v>22.804300000000001</v>
      </c>
      <c r="EE39">
        <v>20.359400000000001</v>
      </c>
      <c r="EF39">
        <v>1799.97</v>
      </c>
      <c r="EG39">
        <v>0.97799599999999998</v>
      </c>
      <c r="EH39">
        <v>2.2003999999999999E-2</v>
      </c>
      <c r="EI39">
        <v>0</v>
      </c>
      <c r="EJ39">
        <v>552.69399999999996</v>
      </c>
      <c r="EK39">
        <v>5.0001199999999999</v>
      </c>
      <c r="EL39">
        <v>10134.700000000001</v>
      </c>
      <c r="EM39">
        <v>15629.7</v>
      </c>
      <c r="EN39">
        <v>52.186999999999998</v>
      </c>
      <c r="EO39">
        <v>53.375</v>
      </c>
      <c r="EP39">
        <v>53.125</v>
      </c>
      <c r="EQ39">
        <v>53.061999999999998</v>
      </c>
      <c r="ER39">
        <v>53.5</v>
      </c>
      <c r="ES39">
        <v>1755.47</v>
      </c>
      <c r="ET39">
        <v>39.5</v>
      </c>
      <c r="EU39">
        <v>0</v>
      </c>
      <c r="EV39">
        <v>233.60000014305109</v>
      </c>
      <c r="EW39">
        <v>0</v>
      </c>
      <c r="EX39">
        <v>552.56016</v>
      </c>
      <c r="EY39">
        <v>-0.78353844803973671</v>
      </c>
      <c r="EZ39">
        <v>-63.707692185695308</v>
      </c>
      <c r="FA39">
        <v>10142.067999999999</v>
      </c>
      <c r="FB39">
        <v>15</v>
      </c>
      <c r="FC39">
        <v>1700239702.5999999</v>
      </c>
      <c r="FD39" t="s">
        <v>523</v>
      </c>
      <c r="FE39">
        <v>1700239698.5999999</v>
      </c>
      <c r="FF39">
        <v>1700239702.5999999</v>
      </c>
      <c r="FG39">
        <v>25</v>
      </c>
      <c r="FH39">
        <v>-2.9000000000000001E-2</v>
      </c>
      <c r="FI39">
        <v>-7.0000000000000001E-3</v>
      </c>
      <c r="FJ39">
        <v>1.4650000000000001</v>
      </c>
      <c r="FK39">
        <v>0.312</v>
      </c>
      <c r="FL39">
        <v>300</v>
      </c>
      <c r="FM39">
        <v>25</v>
      </c>
      <c r="FN39">
        <v>7.0000000000000007E-2</v>
      </c>
      <c r="FO39">
        <v>0.04</v>
      </c>
      <c r="FP39">
        <v>41.671189846323081</v>
      </c>
      <c r="FQ39">
        <v>0.50871957836232606</v>
      </c>
      <c r="FR39">
        <v>5.0263575926865908E-2</v>
      </c>
      <c r="FS39">
        <v>1</v>
      </c>
      <c r="FT39">
        <v>0.32676613605504418</v>
      </c>
      <c r="FU39">
        <v>1.6396871804338079E-2</v>
      </c>
      <c r="FV39">
        <v>1.6680544519848189E-3</v>
      </c>
      <c r="FW39">
        <v>1</v>
      </c>
      <c r="FX39">
        <v>2</v>
      </c>
      <c r="FY39">
        <v>2</v>
      </c>
      <c r="FZ39" t="s">
        <v>420</v>
      </c>
      <c r="GA39">
        <v>2.9135</v>
      </c>
      <c r="GB39">
        <v>2.7511399999999999</v>
      </c>
      <c r="GC39">
        <v>6.4280500000000004E-2</v>
      </c>
      <c r="GD39">
        <v>7.3020500000000002E-2</v>
      </c>
      <c r="GE39">
        <v>0.12762799999999999</v>
      </c>
      <c r="GF39">
        <v>0.11747</v>
      </c>
      <c r="GG39">
        <v>28979.599999999999</v>
      </c>
      <c r="GH39">
        <v>28549.9</v>
      </c>
      <c r="GI39">
        <v>28214.1</v>
      </c>
      <c r="GJ39">
        <v>28167.1</v>
      </c>
      <c r="GK39">
        <v>33544.6</v>
      </c>
      <c r="GL39">
        <v>34723.5</v>
      </c>
      <c r="GM39">
        <v>42387.1</v>
      </c>
      <c r="GN39">
        <v>43790.9</v>
      </c>
      <c r="GO39">
        <v>1.7266300000000001</v>
      </c>
      <c r="GP39">
        <v>1.8894299999999999</v>
      </c>
      <c r="GQ39">
        <v>1.0706500000000001E-2</v>
      </c>
      <c r="GR39">
        <v>0</v>
      </c>
      <c r="GS39">
        <v>29.817499999999999</v>
      </c>
      <c r="GT39">
        <v>999.9</v>
      </c>
      <c r="GU39">
        <v>41.6</v>
      </c>
      <c r="GV39">
        <v>39.9</v>
      </c>
      <c r="GW39">
        <v>31.0946</v>
      </c>
      <c r="GX39">
        <v>60.599200000000003</v>
      </c>
      <c r="GY39">
        <v>31.610600000000002</v>
      </c>
      <c r="GZ39">
        <v>1</v>
      </c>
      <c r="HA39">
        <v>0.63351400000000002</v>
      </c>
      <c r="HB39">
        <v>3.36239</v>
      </c>
      <c r="HC39">
        <v>20.2301</v>
      </c>
      <c r="HD39">
        <v>5.2758399999999996</v>
      </c>
      <c r="HE39">
        <v>12.0878</v>
      </c>
      <c r="HF39">
        <v>5.0125000000000002</v>
      </c>
      <c r="HG39">
        <v>3.2918799999999999</v>
      </c>
      <c r="HH39">
        <v>9999</v>
      </c>
      <c r="HI39">
        <v>9999</v>
      </c>
      <c r="HJ39">
        <v>9999</v>
      </c>
      <c r="HK39">
        <v>999.9</v>
      </c>
      <c r="HL39">
        <v>1.8762099999999999</v>
      </c>
      <c r="HM39">
        <v>1.8767499999999999</v>
      </c>
      <c r="HN39">
        <v>1.8765000000000001</v>
      </c>
      <c r="HO39">
        <v>1.8803399999999999</v>
      </c>
      <c r="HP39">
        <v>1.87388</v>
      </c>
      <c r="HQ39">
        <v>1.8769199999999999</v>
      </c>
      <c r="HR39">
        <v>1.8768199999999999</v>
      </c>
      <c r="HS39">
        <v>1.8782000000000001</v>
      </c>
      <c r="HT39">
        <v>0</v>
      </c>
      <c r="HU39">
        <v>0</v>
      </c>
      <c r="HV39">
        <v>0</v>
      </c>
      <c r="HW39">
        <v>0</v>
      </c>
      <c r="HX39" t="s">
        <v>421</v>
      </c>
      <c r="HY39" t="s">
        <v>422</v>
      </c>
      <c r="HZ39" t="s">
        <v>423</v>
      </c>
      <c r="IA39" t="s">
        <v>424</v>
      </c>
      <c r="IB39" t="s">
        <v>424</v>
      </c>
      <c r="IC39" t="s">
        <v>423</v>
      </c>
      <c r="ID39">
        <v>0</v>
      </c>
      <c r="IE39">
        <v>100</v>
      </c>
      <c r="IF39">
        <v>100</v>
      </c>
      <c r="IG39">
        <v>1.446</v>
      </c>
      <c r="IH39">
        <v>0.31159999999999999</v>
      </c>
      <c r="II39">
        <v>1.256606899711791</v>
      </c>
      <c r="IJ39">
        <v>8.9576739069318506E-4</v>
      </c>
      <c r="IK39">
        <v>-7.2130504814809596E-7</v>
      </c>
      <c r="IL39">
        <v>1.9987036519832741E-10</v>
      </c>
      <c r="IM39">
        <v>0.3115809523809574</v>
      </c>
      <c r="IN39">
        <v>0</v>
      </c>
      <c r="IO39">
        <v>0</v>
      </c>
      <c r="IP39">
        <v>0</v>
      </c>
      <c r="IQ39">
        <v>1</v>
      </c>
      <c r="IR39">
        <v>2126</v>
      </c>
      <c r="IS39">
        <v>0</v>
      </c>
      <c r="IT39">
        <v>20</v>
      </c>
      <c r="IU39">
        <v>2.7</v>
      </c>
      <c r="IV39">
        <v>2.6</v>
      </c>
      <c r="IW39">
        <v>0.83252000000000004</v>
      </c>
      <c r="IX39">
        <v>2.68066</v>
      </c>
      <c r="IY39">
        <v>1.69434</v>
      </c>
      <c r="IZ39">
        <v>2.34253</v>
      </c>
      <c r="JA39">
        <v>1.5466299999999999</v>
      </c>
      <c r="JB39">
        <v>2.3547400000000001</v>
      </c>
      <c r="JC39">
        <v>45.604500000000002</v>
      </c>
      <c r="JD39">
        <v>23.772300000000001</v>
      </c>
      <c r="JE39">
        <v>18</v>
      </c>
      <c r="JF39">
        <v>479.42500000000001</v>
      </c>
      <c r="JG39">
        <v>495.46600000000001</v>
      </c>
      <c r="JH39">
        <v>26.5457</v>
      </c>
      <c r="JI39">
        <v>35.037700000000001</v>
      </c>
      <c r="JJ39">
        <v>29.9999</v>
      </c>
      <c r="JK39">
        <v>34.919400000000003</v>
      </c>
      <c r="JL39">
        <v>34.866</v>
      </c>
      <c r="JM39">
        <v>16.7575</v>
      </c>
      <c r="JN39">
        <v>18.720099999999999</v>
      </c>
      <c r="JO39">
        <v>44.995399999999997</v>
      </c>
      <c r="JP39">
        <v>26.552499999999998</v>
      </c>
      <c r="JQ39">
        <v>300</v>
      </c>
      <c r="JR39">
        <v>24.334499999999998</v>
      </c>
      <c r="JS39">
        <v>98.829700000000003</v>
      </c>
      <c r="JT39">
        <v>98.658100000000005</v>
      </c>
    </row>
    <row r="40" spans="1:280" x14ac:dyDescent="0.25">
      <c r="A40">
        <v>24</v>
      </c>
      <c r="B40">
        <v>1700240037</v>
      </c>
      <c r="C40">
        <v>4811.4000000953674</v>
      </c>
      <c r="D40" t="s">
        <v>524</v>
      </c>
      <c r="E40" t="s">
        <v>525</v>
      </c>
      <c r="F40" t="s">
        <v>412</v>
      </c>
      <c r="G40" t="s">
        <v>481</v>
      </c>
      <c r="H40" t="s">
        <v>482</v>
      </c>
      <c r="I40">
        <v>1700240037</v>
      </c>
      <c r="J40">
        <f t="shared" si="0"/>
        <v>5.961272670509131E-3</v>
      </c>
      <c r="K40">
        <f t="shared" si="1"/>
        <v>5.961272670509131</v>
      </c>
      <c r="L40">
        <f t="shared" si="2"/>
        <v>31.910770959701477</v>
      </c>
      <c r="M40">
        <f t="shared" si="3"/>
        <v>172.57300000000001</v>
      </c>
      <c r="N40">
        <f t="shared" si="4"/>
        <v>41.679992926201372</v>
      </c>
      <c r="O40">
        <f t="shared" si="5"/>
        <v>4.1158667493879104</v>
      </c>
      <c r="P40">
        <f t="shared" si="6"/>
        <v>17.041448970487</v>
      </c>
      <c r="Q40">
        <f t="shared" si="7"/>
        <v>0.42156194037770262</v>
      </c>
      <c r="R40">
        <f t="shared" si="8"/>
        <v>3.3529945994296675</v>
      </c>
      <c r="S40">
        <f t="shared" si="9"/>
        <v>0.39417516853009749</v>
      </c>
      <c r="T40">
        <f t="shared" si="10"/>
        <v>0.24867165896038068</v>
      </c>
      <c r="U40">
        <f t="shared" si="11"/>
        <v>289.56704984752997</v>
      </c>
      <c r="V40">
        <f t="shared" si="12"/>
        <v>30.391566825171154</v>
      </c>
      <c r="W40">
        <f t="shared" si="13"/>
        <v>29.962900000000001</v>
      </c>
      <c r="X40">
        <f t="shared" si="14"/>
        <v>4.2513792074405856</v>
      </c>
      <c r="Y40">
        <f t="shared" si="15"/>
        <v>65.035547648396559</v>
      </c>
      <c r="Z40">
        <f t="shared" si="16"/>
        <v>2.8113606401642994</v>
      </c>
      <c r="AA40">
        <f t="shared" si="17"/>
        <v>4.3228061296007443</v>
      </c>
      <c r="AB40">
        <f t="shared" si="18"/>
        <v>1.4400185672762862</v>
      </c>
      <c r="AC40">
        <f t="shared" si="19"/>
        <v>-262.89212476945266</v>
      </c>
      <c r="AD40">
        <f t="shared" si="20"/>
        <v>52.476556998344208</v>
      </c>
      <c r="AE40">
        <f t="shared" si="21"/>
        <v>3.4836635010944201</v>
      </c>
      <c r="AF40">
        <f t="shared" si="22"/>
        <v>82.635145577515956</v>
      </c>
      <c r="AG40">
        <v>15</v>
      </c>
      <c r="AH40">
        <v>3</v>
      </c>
      <c r="AI40">
        <f t="shared" si="23"/>
        <v>1</v>
      </c>
      <c r="AJ40">
        <f t="shared" si="24"/>
        <v>0</v>
      </c>
      <c r="AK40">
        <f t="shared" si="25"/>
        <v>51560.00725658625</v>
      </c>
      <c r="AL40" t="s">
        <v>427</v>
      </c>
      <c r="AM40" t="s">
        <v>427</v>
      </c>
      <c r="AN40">
        <v>0</v>
      </c>
      <c r="AO40">
        <v>0</v>
      </c>
      <c r="AP40" t="e">
        <f t="shared" si="26"/>
        <v>#DIV/0!</v>
      </c>
      <c r="AQ40">
        <v>0</v>
      </c>
      <c r="AR40" t="s">
        <v>427</v>
      </c>
      <c r="AS40" t="s">
        <v>427</v>
      </c>
      <c r="AT40">
        <v>0</v>
      </c>
      <c r="AU40">
        <v>0</v>
      </c>
      <c r="AV40" t="e">
        <f t="shared" si="27"/>
        <v>#DIV/0!</v>
      </c>
      <c r="AW40">
        <v>0.5</v>
      </c>
      <c r="AX40">
        <f t="shared" si="28"/>
        <v>1513.1849999209999</v>
      </c>
      <c r="AY40">
        <f t="shared" si="29"/>
        <v>31.910770959701477</v>
      </c>
      <c r="AZ40" t="e">
        <f t="shared" si="30"/>
        <v>#DIV/0!</v>
      </c>
      <c r="BA40">
        <f t="shared" si="31"/>
        <v>2.1088479572139208E-2</v>
      </c>
      <c r="BB40" t="e">
        <f t="shared" si="32"/>
        <v>#DIV/0!</v>
      </c>
      <c r="BC40" t="e">
        <f t="shared" si="33"/>
        <v>#DIV/0!</v>
      </c>
      <c r="BD40" t="s">
        <v>427</v>
      </c>
      <c r="BE40">
        <v>0</v>
      </c>
      <c r="BF40" t="e">
        <f t="shared" si="34"/>
        <v>#DIV/0!</v>
      </c>
      <c r="BG40" t="e">
        <f t="shared" si="35"/>
        <v>#DIV/0!</v>
      </c>
      <c r="BH40" t="e">
        <f t="shared" si="36"/>
        <v>#DIV/0!</v>
      </c>
      <c r="BI40" t="e">
        <f t="shared" si="37"/>
        <v>#DIV/0!</v>
      </c>
      <c r="BJ40" t="e">
        <f t="shared" si="38"/>
        <v>#DIV/0!</v>
      </c>
      <c r="BK40" t="e">
        <f t="shared" si="39"/>
        <v>#DIV/0!</v>
      </c>
      <c r="BL40" t="e">
        <f t="shared" si="40"/>
        <v>#DIV/0!</v>
      </c>
      <c r="BM40" t="e">
        <f t="shared" si="41"/>
        <v>#DIV/0!</v>
      </c>
      <c r="BN40">
        <v>173</v>
      </c>
      <c r="BO40">
        <v>290.00000000000011</v>
      </c>
      <c r="BP40">
        <v>678.99</v>
      </c>
      <c r="BQ40">
        <v>295</v>
      </c>
      <c r="BR40">
        <v>7114.16</v>
      </c>
      <c r="BS40">
        <v>680.6</v>
      </c>
      <c r="BT40">
        <v>-1.61</v>
      </c>
      <c r="BU40">
        <v>300.00000000000011</v>
      </c>
      <c r="BV40">
        <v>38.299999999999997</v>
      </c>
      <c r="BW40">
        <v>727.86793180710117</v>
      </c>
      <c r="BX40">
        <v>1.5104632848180639</v>
      </c>
      <c r="BY40">
        <v>-33.626780130057938</v>
      </c>
      <c r="BZ40">
        <v>0.90069372937197456</v>
      </c>
      <c r="CA40">
        <v>0.98030735720603357</v>
      </c>
      <c r="CB40">
        <v>-7.0205764182424959E-3</v>
      </c>
      <c r="CC40">
        <v>289.99999999999989</v>
      </c>
      <c r="CD40">
        <v>684.48</v>
      </c>
      <c r="CE40">
        <v>655</v>
      </c>
      <c r="CF40">
        <v>7111.42</v>
      </c>
      <c r="CG40">
        <v>680.58</v>
      </c>
      <c r="CH40">
        <v>3.9</v>
      </c>
      <c r="CV40">
        <f t="shared" si="42"/>
        <v>1800</v>
      </c>
      <c r="CW40">
        <f t="shared" si="43"/>
        <v>1513.1849999209999</v>
      </c>
      <c r="CX40">
        <f t="shared" si="44"/>
        <v>0.84065833328944439</v>
      </c>
      <c r="CY40">
        <f t="shared" si="45"/>
        <v>0.16087058324862777</v>
      </c>
      <c r="CZ40">
        <v>4.16</v>
      </c>
      <c r="DA40">
        <v>0.5</v>
      </c>
      <c r="DB40" t="s">
        <v>418</v>
      </c>
      <c r="DC40">
        <v>2</v>
      </c>
      <c r="DD40">
        <v>1700240037</v>
      </c>
      <c r="DE40">
        <v>172.57300000000001</v>
      </c>
      <c r="DF40">
        <v>199.97200000000001</v>
      </c>
      <c r="DG40">
        <v>28.4697</v>
      </c>
      <c r="DH40">
        <v>23.6523</v>
      </c>
      <c r="DI40">
        <v>171.315</v>
      </c>
      <c r="DJ40">
        <v>28.161000000000001</v>
      </c>
      <c r="DK40">
        <v>500.12200000000001</v>
      </c>
      <c r="DL40">
        <v>98.649199999999993</v>
      </c>
      <c r="DM40">
        <v>0.100019</v>
      </c>
      <c r="DN40">
        <v>30.2532</v>
      </c>
      <c r="DO40">
        <v>29.962900000000001</v>
      </c>
      <c r="DP40">
        <v>999.9</v>
      </c>
      <c r="DQ40">
        <v>0</v>
      </c>
      <c r="DR40">
        <v>0</v>
      </c>
      <c r="DS40">
        <v>9991.25</v>
      </c>
      <c r="DT40">
        <v>0</v>
      </c>
      <c r="DU40">
        <v>301.137</v>
      </c>
      <c r="DV40">
        <v>-27.398900000000001</v>
      </c>
      <c r="DW40">
        <v>177.63</v>
      </c>
      <c r="DX40">
        <v>204.81700000000001</v>
      </c>
      <c r="DY40">
        <v>4.8173899999999996</v>
      </c>
      <c r="DZ40">
        <v>199.97200000000001</v>
      </c>
      <c r="EA40">
        <v>23.6523</v>
      </c>
      <c r="EB40">
        <v>2.8085100000000001</v>
      </c>
      <c r="EC40">
        <v>2.3332799999999998</v>
      </c>
      <c r="ED40">
        <v>22.934200000000001</v>
      </c>
      <c r="EE40">
        <v>19.908000000000001</v>
      </c>
      <c r="EF40">
        <v>1800</v>
      </c>
      <c r="EG40">
        <v>0.97799599999999998</v>
      </c>
      <c r="EH40">
        <v>2.2003999999999999E-2</v>
      </c>
      <c r="EI40">
        <v>0</v>
      </c>
      <c r="EJ40">
        <v>568.31899999999996</v>
      </c>
      <c r="EK40">
        <v>5.0001199999999999</v>
      </c>
      <c r="EL40">
        <v>10421.4</v>
      </c>
      <c r="EM40">
        <v>15629.9</v>
      </c>
      <c r="EN40">
        <v>52.125</v>
      </c>
      <c r="EO40">
        <v>53.311999999999998</v>
      </c>
      <c r="EP40">
        <v>53.125</v>
      </c>
      <c r="EQ40">
        <v>53.125</v>
      </c>
      <c r="ER40">
        <v>53.561999999999998</v>
      </c>
      <c r="ES40">
        <v>1755.5</v>
      </c>
      <c r="ET40">
        <v>39.5</v>
      </c>
      <c r="EU40">
        <v>0</v>
      </c>
      <c r="EV40">
        <v>177.19999980926511</v>
      </c>
      <c r="EW40">
        <v>0</v>
      </c>
      <c r="EX40">
        <v>568.58334615384604</v>
      </c>
      <c r="EY40">
        <v>-1.4614358925758251</v>
      </c>
      <c r="EZ40">
        <v>9.941880275234535</v>
      </c>
      <c r="FA40">
        <v>10422.06923076923</v>
      </c>
      <c r="FB40">
        <v>15</v>
      </c>
      <c r="FC40">
        <v>1700239941.5999999</v>
      </c>
      <c r="FD40" t="s">
        <v>526</v>
      </c>
      <c r="FE40">
        <v>1700239928.5999999</v>
      </c>
      <c r="FF40">
        <v>1700239941.5999999</v>
      </c>
      <c r="FG40">
        <v>26</v>
      </c>
      <c r="FH40">
        <v>-0.13100000000000001</v>
      </c>
      <c r="FI40">
        <v>-3.0000000000000001E-3</v>
      </c>
      <c r="FJ40">
        <v>1.276</v>
      </c>
      <c r="FK40">
        <v>0.309</v>
      </c>
      <c r="FL40">
        <v>200</v>
      </c>
      <c r="FM40">
        <v>24</v>
      </c>
      <c r="FN40">
        <v>0.06</v>
      </c>
      <c r="FO40">
        <v>0.02</v>
      </c>
      <c r="FP40">
        <v>31.828280512245382</v>
      </c>
      <c r="FQ40">
        <v>0.68036130094063396</v>
      </c>
      <c r="FR40">
        <v>7.5905703198086261E-2</v>
      </c>
      <c r="FS40">
        <v>1</v>
      </c>
      <c r="FT40">
        <v>0.42128042134479848</v>
      </c>
      <c r="FU40">
        <v>3.2199750579411407E-2</v>
      </c>
      <c r="FV40">
        <v>3.2362924554823558E-3</v>
      </c>
      <c r="FW40">
        <v>1</v>
      </c>
      <c r="FX40">
        <v>2</v>
      </c>
      <c r="FY40">
        <v>2</v>
      </c>
      <c r="FZ40" t="s">
        <v>420</v>
      </c>
      <c r="GA40">
        <v>2.91309</v>
      </c>
      <c r="GB40">
        <v>2.7509399999999999</v>
      </c>
      <c r="GC40">
        <v>4.4243299999999999E-2</v>
      </c>
      <c r="GD40">
        <v>5.1762099999999998E-2</v>
      </c>
      <c r="GE40">
        <v>0.128301</v>
      </c>
      <c r="GF40">
        <v>0.11518299999999999</v>
      </c>
      <c r="GG40">
        <v>29594.400000000001</v>
      </c>
      <c r="GH40">
        <v>29197.9</v>
      </c>
      <c r="GI40">
        <v>28209.9</v>
      </c>
      <c r="GJ40">
        <v>28161.8</v>
      </c>
      <c r="GK40">
        <v>33513.1</v>
      </c>
      <c r="GL40">
        <v>34807.599999999999</v>
      </c>
      <c r="GM40">
        <v>42379.6</v>
      </c>
      <c r="GN40">
        <v>43783.1</v>
      </c>
      <c r="GO40">
        <v>1.72488</v>
      </c>
      <c r="GP40">
        <v>1.88517</v>
      </c>
      <c r="GQ40">
        <v>8.6873799999999998E-3</v>
      </c>
      <c r="GR40">
        <v>0</v>
      </c>
      <c r="GS40">
        <v>29.8215</v>
      </c>
      <c r="GT40">
        <v>999.9</v>
      </c>
      <c r="GU40">
        <v>40.5</v>
      </c>
      <c r="GV40">
        <v>40.200000000000003</v>
      </c>
      <c r="GW40">
        <v>30.762899999999998</v>
      </c>
      <c r="GX40">
        <v>60.939100000000003</v>
      </c>
      <c r="GY40">
        <v>31.738800000000001</v>
      </c>
      <c r="GZ40">
        <v>1</v>
      </c>
      <c r="HA40">
        <v>0.63920999999999994</v>
      </c>
      <c r="HB40">
        <v>2.5717599999999998</v>
      </c>
      <c r="HC40">
        <v>20.245000000000001</v>
      </c>
      <c r="HD40">
        <v>5.2737499999999997</v>
      </c>
      <c r="HE40">
        <v>12.0878</v>
      </c>
      <c r="HF40">
        <v>5.0125500000000001</v>
      </c>
      <c r="HG40">
        <v>3.2919800000000001</v>
      </c>
      <c r="HH40">
        <v>9999</v>
      </c>
      <c r="HI40">
        <v>9999</v>
      </c>
      <c r="HJ40">
        <v>9999</v>
      </c>
      <c r="HK40">
        <v>999.9</v>
      </c>
      <c r="HL40">
        <v>1.87622</v>
      </c>
      <c r="HM40">
        <v>1.8768100000000001</v>
      </c>
      <c r="HN40">
        <v>1.87653</v>
      </c>
      <c r="HO40">
        <v>1.8803399999999999</v>
      </c>
      <c r="HP40">
        <v>1.8739300000000001</v>
      </c>
      <c r="HQ40">
        <v>1.8769800000000001</v>
      </c>
      <c r="HR40">
        <v>1.87683</v>
      </c>
      <c r="HS40">
        <v>1.8782000000000001</v>
      </c>
      <c r="HT40">
        <v>0</v>
      </c>
      <c r="HU40">
        <v>0</v>
      </c>
      <c r="HV40">
        <v>0</v>
      </c>
      <c r="HW40">
        <v>0</v>
      </c>
      <c r="HX40" t="s">
        <v>421</v>
      </c>
      <c r="HY40" t="s">
        <v>422</v>
      </c>
      <c r="HZ40" t="s">
        <v>423</v>
      </c>
      <c r="IA40" t="s">
        <v>424</v>
      </c>
      <c r="IB40" t="s">
        <v>424</v>
      </c>
      <c r="IC40" t="s">
        <v>423</v>
      </c>
      <c r="ID40">
        <v>0</v>
      </c>
      <c r="IE40">
        <v>100</v>
      </c>
      <c r="IF40">
        <v>100</v>
      </c>
      <c r="IG40">
        <v>1.258</v>
      </c>
      <c r="IH40">
        <v>0.30869999999999997</v>
      </c>
      <c r="II40">
        <v>1.1251295395498959</v>
      </c>
      <c r="IJ40">
        <v>8.9576739069318506E-4</v>
      </c>
      <c r="IK40">
        <v>-7.2130504814809596E-7</v>
      </c>
      <c r="IL40">
        <v>1.9987036519832741E-10</v>
      </c>
      <c r="IM40">
        <v>0.30865500000000518</v>
      </c>
      <c r="IN40">
        <v>0</v>
      </c>
      <c r="IO40">
        <v>0</v>
      </c>
      <c r="IP40">
        <v>0</v>
      </c>
      <c r="IQ40">
        <v>1</v>
      </c>
      <c r="IR40">
        <v>2126</v>
      </c>
      <c r="IS40">
        <v>0</v>
      </c>
      <c r="IT40">
        <v>20</v>
      </c>
      <c r="IU40">
        <v>1.8</v>
      </c>
      <c r="IV40">
        <v>1.6</v>
      </c>
      <c r="IW40">
        <v>0.611572</v>
      </c>
      <c r="IX40">
        <v>2.7002000000000002</v>
      </c>
      <c r="IY40">
        <v>1.69434</v>
      </c>
      <c r="IZ40">
        <v>2.34253</v>
      </c>
      <c r="JA40">
        <v>1.5466299999999999</v>
      </c>
      <c r="JB40">
        <v>2.35229</v>
      </c>
      <c r="JC40">
        <v>45.834400000000002</v>
      </c>
      <c r="JD40">
        <v>23.780999999999999</v>
      </c>
      <c r="JE40">
        <v>18</v>
      </c>
      <c r="JF40">
        <v>479.084</v>
      </c>
      <c r="JG40">
        <v>493.43099999999998</v>
      </c>
      <c r="JH40">
        <v>27.185300000000002</v>
      </c>
      <c r="JI40">
        <v>35.1404</v>
      </c>
      <c r="JJ40">
        <v>30.000399999999999</v>
      </c>
      <c r="JK40">
        <v>35.042900000000003</v>
      </c>
      <c r="JL40">
        <v>34.992100000000001</v>
      </c>
      <c r="JM40">
        <v>12.3293</v>
      </c>
      <c r="JN40">
        <v>20.351299999999998</v>
      </c>
      <c r="JO40">
        <v>42.639000000000003</v>
      </c>
      <c r="JP40">
        <v>27.202100000000002</v>
      </c>
      <c r="JQ40">
        <v>200</v>
      </c>
      <c r="JR40">
        <v>23.5931</v>
      </c>
      <c r="JS40">
        <v>98.813400000000001</v>
      </c>
      <c r="JT40">
        <v>98.64</v>
      </c>
    </row>
    <row r="41" spans="1:280" x14ac:dyDescent="0.25">
      <c r="A41">
        <v>25</v>
      </c>
      <c r="B41">
        <v>1700240190.5</v>
      </c>
      <c r="C41">
        <v>4964.9000000953674</v>
      </c>
      <c r="D41" t="s">
        <v>527</v>
      </c>
      <c r="E41" t="s">
        <v>528</v>
      </c>
      <c r="F41" t="s">
        <v>412</v>
      </c>
      <c r="G41" t="s">
        <v>481</v>
      </c>
      <c r="H41" t="s">
        <v>482</v>
      </c>
      <c r="I41">
        <v>1700240190.5</v>
      </c>
      <c r="J41">
        <f t="shared" si="0"/>
        <v>6.6836318422105094E-3</v>
      </c>
      <c r="K41">
        <f t="shared" si="1"/>
        <v>6.6836318422105094</v>
      </c>
      <c r="L41">
        <f t="shared" si="2"/>
        <v>21.749937117483004</v>
      </c>
      <c r="M41">
        <f t="shared" si="3"/>
        <v>101.301</v>
      </c>
      <c r="N41">
        <f t="shared" si="4"/>
        <v>23.508298114971215</v>
      </c>
      <c r="O41">
        <f t="shared" si="5"/>
        <v>2.3215693454937818</v>
      </c>
      <c r="P41">
        <f t="shared" si="6"/>
        <v>10.004011992603301</v>
      </c>
      <c r="Q41">
        <f t="shared" si="7"/>
        <v>0.48712454657181087</v>
      </c>
      <c r="R41">
        <f t="shared" si="8"/>
        <v>3.3679536974557704</v>
      </c>
      <c r="S41">
        <f t="shared" si="9"/>
        <v>0.45109657212032306</v>
      </c>
      <c r="T41">
        <f t="shared" si="10"/>
        <v>0.28494995391452826</v>
      </c>
      <c r="U41">
        <f t="shared" si="11"/>
        <v>289.54151384751646</v>
      </c>
      <c r="V41">
        <f t="shared" si="12"/>
        <v>30.282305761597932</v>
      </c>
      <c r="W41">
        <f t="shared" si="13"/>
        <v>29.948699999999999</v>
      </c>
      <c r="X41">
        <f t="shared" si="14"/>
        <v>4.2479119111242909</v>
      </c>
      <c r="Y41">
        <f t="shared" si="15"/>
        <v>65.422967263027644</v>
      </c>
      <c r="Z41">
        <f t="shared" si="16"/>
        <v>2.8372006489836799</v>
      </c>
      <c r="AA41">
        <f t="shared" si="17"/>
        <v>4.3367043221640325</v>
      </c>
      <c r="AB41">
        <f t="shared" si="18"/>
        <v>1.410711262140611</v>
      </c>
      <c r="AC41">
        <f t="shared" si="19"/>
        <v>-294.74816424148349</v>
      </c>
      <c r="AD41">
        <f t="shared" si="20"/>
        <v>65.457109665273734</v>
      </c>
      <c r="AE41">
        <f t="shared" si="21"/>
        <v>4.3269743356450041</v>
      </c>
      <c r="AF41">
        <f t="shared" si="22"/>
        <v>64.577433606951686</v>
      </c>
      <c r="AG41">
        <v>14</v>
      </c>
      <c r="AH41">
        <v>3</v>
      </c>
      <c r="AI41">
        <f t="shared" si="23"/>
        <v>1</v>
      </c>
      <c r="AJ41">
        <f t="shared" si="24"/>
        <v>0</v>
      </c>
      <c r="AK41">
        <f t="shared" si="25"/>
        <v>51887.986292854745</v>
      </c>
      <c r="AL41" t="s">
        <v>415</v>
      </c>
      <c r="AM41">
        <v>6960.3</v>
      </c>
      <c r="AN41">
        <v>244.8124</v>
      </c>
      <c r="AO41">
        <v>892.86711584811997</v>
      </c>
      <c r="AP41">
        <f t="shared" si="26"/>
        <v>0.72581317459826411</v>
      </c>
      <c r="AQ41">
        <v>-0.43209471141234851</v>
      </c>
      <c r="AR41" t="s">
        <v>529</v>
      </c>
      <c r="AS41">
        <v>7114.43</v>
      </c>
      <c r="AT41">
        <v>588.84692307692308</v>
      </c>
      <c r="AU41">
        <v>684.33212442545448</v>
      </c>
      <c r="AV41">
        <f t="shared" si="27"/>
        <v>0.13953049687488805</v>
      </c>
      <c r="AW41">
        <v>0.5</v>
      </c>
      <c r="AX41">
        <f t="shared" si="28"/>
        <v>1513.0505999209931</v>
      </c>
      <c r="AY41">
        <f t="shared" si="29"/>
        <v>21.749937117483004</v>
      </c>
      <c r="AZ41">
        <f t="shared" si="30"/>
        <v>105.55835100191182</v>
      </c>
      <c r="BA41">
        <f t="shared" si="31"/>
        <v>1.4660469273171451E-2</v>
      </c>
      <c r="BB41">
        <f t="shared" si="32"/>
        <v>0.30472775422861442</v>
      </c>
      <c r="BC41">
        <f t="shared" si="33"/>
        <v>225.9350028322805</v>
      </c>
      <c r="BD41" t="s">
        <v>530</v>
      </c>
      <c r="BE41">
        <v>390.8</v>
      </c>
      <c r="BF41">
        <f t="shared" si="34"/>
        <v>390.8</v>
      </c>
      <c r="BG41">
        <f t="shared" si="35"/>
        <v>0.42893225956898573</v>
      </c>
      <c r="BH41">
        <f t="shared" si="36"/>
        <v>0.32529727891088411</v>
      </c>
      <c r="BI41">
        <f t="shared" si="37"/>
        <v>0.41535281805978563</v>
      </c>
      <c r="BJ41">
        <f t="shared" si="38"/>
        <v>0.21724895617221918</v>
      </c>
      <c r="BK41">
        <f t="shared" si="39"/>
        <v>0.32178608738268694</v>
      </c>
      <c r="BL41">
        <f t="shared" si="40"/>
        <v>0.21589002441262073</v>
      </c>
      <c r="BM41">
        <f t="shared" si="41"/>
        <v>0.78410997558737927</v>
      </c>
      <c r="BN41">
        <v>175</v>
      </c>
      <c r="BO41">
        <v>290.00000000000011</v>
      </c>
      <c r="BP41">
        <v>661.39</v>
      </c>
      <c r="BQ41">
        <v>285</v>
      </c>
      <c r="BR41">
        <v>7114.43</v>
      </c>
      <c r="BS41">
        <v>662.79</v>
      </c>
      <c r="BT41">
        <v>-1.4</v>
      </c>
      <c r="BU41">
        <v>300.00000000000011</v>
      </c>
      <c r="BV41">
        <v>38.299999999999997</v>
      </c>
      <c r="BW41">
        <v>684.33212442545448</v>
      </c>
      <c r="BX41">
        <v>1.063874711307242</v>
      </c>
      <c r="BY41">
        <v>-15.32338200428287</v>
      </c>
      <c r="BZ41">
        <v>0.63442168509043861</v>
      </c>
      <c r="CA41">
        <v>0.95420213861955028</v>
      </c>
      <c r="CB41">
        <v>-7.0206387096774237E-3</v>
      </c>
      <c r="CC41">
        <v>289.99999999999989</v>
      </c>
      <c r="CD41">
        <v>667.78</v>
      </c>
      <c r="CE41">
        <v>835</v>
      </c>
      <c r="CF41">
        <v>7108.81</v>
      </c>
      <c r="CG41">
        <v>662.78</v>
      </c>
      <c r="CH41">
        <v>5</v>
      </c>
      <c r="CV41">
        <f t="shared" si="42"/>
        <v>1799.84</v>
      </c>
      <c r="CW41">
        <f t="shared" si="43"/>
        <v>1513.0505999209931</v>
      </c>
      <c r="CX41">
        <f t="shared" si="44"/>
        <v>0.84065839181315738</v>
      </c>
      <c r="CY41">
        <f t="shared" si="45"/>
        <v>0.16087069619939354</v>
      </c>
      <c r="CZ41">
        <v>4.16</v>
      </c>
      <c r="DA41">
        <v>0.5</v>
      </c>
      <c r="DB41" t="s">
        <v>418</v>
      </c>
      <c r="DC41">
        <v>2</v>
      </c>
      <c r="DD41">
        <v>1700240190.5</v>
      </c>
      <c r="DE41">
        <v>101.301</v>
      </c>
      <c r="DF41">
        <v>119.955</v>
      </c>
      <c r="DG41">
        <v>28.729600000000001</v>
      </c>
      <c r="DH41">
        <v>23.330100000000002</v>
      </c>
      <c r="DI41">
        <v>100.07899999999999</v>
      </c>
      <c r="DJ41">
        <v>28.4343</v>
      </c>
      <c r="DK41">
        <v>500.14100000000002</v>
      </c>
      <c r="DL41">
        <v>98.655799999999999</v>
      </c>
      <c r="DM41">
        <v>9.9513299999999999E-2</v>
      </c>
      <c r="DN41">
        <v>30.309200000000001</v>
      </c>
      <c r="DO41">
        <v>29.948699999999999</v>
      </c>
      <c r="DP41">
        <v>999.9</v>
      </c>
      <c r="DQ41">
        <v>0</v>
      </c>
      <c r="DR41">
        <v>0</v>
      </c>
      <c r="DS41">
        <v>10058.799999999999</v>
      </c>
      <c r="DT41">
        <v>0</v>
      </c>
      <c r="DU41">
        <v>301.584</v>
      </c>
      <c r="DV41">
        <v>-18.654199999999999</v>
      </c>
      <c r="DW41">
        <v>104.298</v>
      </c>
      <c r="DX41">
        <v>122.821</v>
      </c>
      <c r="DY41">
        <v>5.3994900000000001</v>
      </c>
      <c r="DZ41">
        <v>119.955</v>
      </c>
      <c r="EA41">
        <v>23.330100000000002</v>
      </c>
      <c r="EB41">
        <v>2.8343400000000001</v>
      </c>
      <c r="EC41">
        <v>2.30165</v>
      </c>
      <c r="ED41">
        <v>23.0855</v>
      </c>
      <c r="EE41">
        <v>19.687999999999999</v>
      </c>
      <c r="EF41">
        <v>1799.84</v>
      </c>
      <c r="EG41">
        <v>0.977993</v>
      </c>
      <c r="EH41">
        <v>2.20074E-2</v>
      </c>
      <c r="EI41">
        <v>0</v>
      </c>
      <c r="EJ41">
        <v>588.226</v>
      </c>
      <c r="EK41">
        <v>5.0001199999999999</v>
      </c>
      <c r="EL41">
        <v>10777.9</v>
      </c>
      <c r="EM41">
        <v>15628.5</v>
      </c>
      <c r="EN41">
        <v>52.061999999999998</v>
      </c>
      <c r="EO41">
        <v>53.311999999999998</v>
      </c>
      <c r="EP41">
        <v>53.061999999999998</v>
      </c>
      <c r="EQ41">
        <v>53.061999999999998</v>
      </c>
      <c r="ER41">
        <v>53.5</v>
      </c>
      <c r="ES41">
        <v>1755.34</v>
      </c>
      <c r="ET41">
        <v>39.5</v>
      </c>
      <c r="EU41">
        <v>0</v>
      </c>
      <c r="EV41">
        <v>330.79999995231628</v>
      </c>
      <c r="EW41">
        <v>0</v>
      </c>
      <c r="EX41">
        <v>588.84692307692308</v>
      </c>
      <c r="EY41">
        <v>-2.1008547164077789</v>
      </c>
      <c r="EZ41">
        <v>-43.27521362160909</v>
      </c>
      <c r="FA41">
        <v>10783.415384615389</v>
      </c>
      <c r="FB41">
        <v>15</v>
      </c>
      <c r="FC41">
        <v>1700240102</v>
      </c>
      <c r="FD41" t="s">
        <v>531</v>
      </c>
      <c r="FE41">
        <v>1700240101.5</v>
      </c>
      <c r="FF41">
        <v>1700240102</v>
      </c>
      <c r="FG41">
        <v>27</v>
      </c>
      <c r="FH41">
        <v>1.4E-2</v>
      </c>
      <c r="FI41">
        <v>-1.2999999999999999E-2</v>
      </c>
      <c r="FJ41">
        <v>1.236</v>
      </c>
      <c r="FK41">
        <v>0.29499999999999998</v>
      </c>
      <c r="FL41">
        <v>120</v>
      </c>
      <c r="FM41">
        <v>24</v>
      </c>
      <c r="FN41">
        <v>0.1</v>
      </c>
      <c r="FO41">
        <v>0.02</v>
      </c>
      <c r="FP41">
        <v>21.610360003861992</v>
      </c>
      <c r="FQ41">
        <v>0.6283453604162752</v>
      </c>
      <c r="FR41">
        <v>5.9295158960309548E-2</v>
      </c>
      <c r="FS41">
        <v>1</v>
      </c>
      <c r="FT41">
        <v>0.48483911455689049</v>
      </c>
      <c r="FU41">
        <v>2.5841063915914848E-2</v>
      </c>
      <c r="FV41">
        <v>2.791073752874382E-3</v>
      </c>
      <c r="FW41">
        <v>1</v>
      </c>
      <c r="FX41">
        <v>2</v>
      </c>
      <c r="FY41">
        <v>2</v>
      </c>
      <c r="FZ41" t="s">
        <v>420</v>
      </c>
      <c r="GA41">
        <v>2.9129999999999998</v>
      </c>
      <c r="GB41">
        <v>2.7510300000000001</v>
      </c>
      <c r="GC41">
        <v>2.68282E-2</v>
      </c>
      <c r="GD41">
        <v>3.25089E-2</v>
      </c>
      <c r="GE41">
        <v>0.129136</v>
      </c>
      <c r="GF41">
        <v>0.11407200000000001</v>
      </c>
      <c r="GG41">
        <v>30125.599999999999</v>
      </c>
      <c r="GH41">
        <v>29783.200000000001</v>
      </c>
      <c r="GI41">
        <v>28203.5</v>
      </c>
      <c r="GJ41">
        <v>28156</v>
      </c>
      <c r="GK41">
        <v>33473</v>
      </c>
      <c r="GL41">
        <v>34844.699999999997</v>
      </c>
      <c r="GM41">
        <v>42369.3</v>
      </c>
      <c r="GN41">
        <v>43774.400000000001</v>
      </c>
      <c r="GO41">
        <v>1.72397</v>
      </c>
      <c r="GP41">
        <v>1.8815299999999999</v>
      </c>
      <c r="GQ41">
        <v>-6.1839800000000004E-4</v>
      </c>
      <c r="GR41">
        <v>0</v>
      </c>
      <c r="GS41">
        <v>29.9588</v>
      </c>
      <c r="GT41">
        <v>999.9</v>
      </c>
      <c r="GU41">
        <v>39.700000000000003</v>
      </c>
      <c r="GV41">
        <v>40.5</v>
      </c>
      <c r="GW41">
        <v>30.6404</v>
      </c>
      <c r="GX41">
        <v>60.519199999999998</v>
      </c>
      <c r="GY41">
        <v>31.4223</v>
      </c>
      <c r="GZ41">
        <v>1</v>
      </c>
      <c r="HA41">
        <v>0.64907000000000004</v>
      </c>
      <c r="HB41">
        <v>2.73915</v>
      </c>
      <c r="HC41">
        <v>20.242100000000001</v>
      </c>
      <c r="HD41">
        <v>5.2743399999999996</v>
      </c>
      <c r="HE41">
        <v>12.0878</v>
      </c>
      <c r="HF41">
        <v>5.0125500000000001</v>
      </c>
      <c r="HG41">
        <v>3.2919999999999998</v>
      </c>
      <c r="HH41">
        <v>9999</v>
      </c>
      <c r="HI41">
        <v>9999</v>
      </c>
      <c r="HJ41">
        <v>9999</v>
      </c>
      <c r="HK41">
        <v>999.9</v>
      </c>
      <c r="HL41">
        <v>1.87622</v>
      </c>
      <c r="HM41">
        <v>1.8767799999999999</v>
      </c>
      <c r="HN41">
        <v>1.8765099999999999</v>
      </c>
      <c r="HO41">
        <v>1.88032</v>
      </c>
      <c r="HP41">
        <v>1.8738999999999999</v>
      </c>
      <c r="HQ41">
        <v>1.87696</v>
      </c>
      <c r="HR41">
        <v>1.87683</v>
      </c>
      <c r="HS41">
        <v>1.8782000000000001</v>
      </c>
      <c r="HT41">
        <v>0</v>
      </c>
      <c r="HU41">
        <v>0</v>
      </c>
      <c r="HV41">
        <v>0</v>
      </c>
      <c r="HW41">
        <v>0</v>
      </c>
      <c r="HX41" t="s">
        <v>421</v>
      </c>
      <c r="HY41" t="s">
        <v>422</v>
      </c>
      <c r="HZ41" t="s">
        <v>423</v>
      </c>
      <c r="IA41" t="s">
        <v>424</v>
      </c>
      <c r="IB41" t="s">
        <v>424</v>
      </c>
      <c r="IC41" t="s">
        <v>423</v>
      </c>
      <c r="ID41">
        <v>0</v>
      </c>
      <c r="IE41">
        <v>100</v>
      </c>
      <c r="IF41">
        <v>100</v>
      </c>
      <c r="IG41">
        <v>1.222</v>
      </c>
      <c r="IH41">
        <v>0.29530000000000001</v>
      </c>
      <c r="II41">
        <v>1.1390658114362739</v>
      </c>
      <c r="IJ41">
        <v>8.9576739069318506E-4</v>
      </c>
      <c r="IK41">
        <v>-7.2130504814809596E-7</v>
      </c>
      <c r="IL41">
        <v>1.9987036519832741E-10</v>
      </c>
      <c r="IM41">
        <v>0.29535714285713871</v>
      </c>
      <c r="IN41">
        <v>0</v>
      </c>
      <c r="IO41">
        <v>0</v>
      </c>
      <c r="IP41">
        <v>0</v>
      </c>
      <c r="IQ41">
        <v>1</v>
      </c>
      <c r="IR41">
        <v>2126</v>
      </c>
      <c r="IS41">
        <v>0</v>
      </c>
      <c r="IT41">
        <v>20</v>
      </c>
      <c r="IU41">
        <v>1.5</v>
      </c>
      <c r="IV41">
        <v>1.5</v>
      </c>
      <c r="IW41">
        <v>0.42968800000000001</v>
      </c>
      <c r="IX41">
        <v>2.7002000000000002</v>
      </c>
      <c r="IY41">
        <v>1.69434</v>
      </c>
      <c r="IZ41">
        <v>2.34253</v>
      </c>
      <c r="JA41">
        <v>1.5466299999999999</v>
      </c>
      <c r="JB41">
        <v>2.4499499999999999</v>
      </c>
      <c r="JC41">
        <v>45.9788</v>
      </c>
      <c r="JD41">
        <v>23.7986</v>
      </c>
      <c r="JE41">
        <v>18</v>
      </c>
      <c r="JF41">
        <v>479.15300000000002</v>
      </c>
      <c r="JG41">
        <v>491.59399999999999</v>
      </c>
      <c r="JH41">
        <v>27.099499999999999</v>
      </c>
      <c r="JI41">
        <v>35.208599999999997</v>
      </c>
      <c r="JJ41">
        <v>30.0002</v>
      </c>
      <c r="JK41">
        <v>35.136000000000003</v>
      </c>
      <c r="JL41">
        <v>35.089300000000001</v>
      </c>
      <c r="JM41">
        <v>8.6745400000000004</v>
      </c>
      <c r="JN41">
        <v>20.497900000000001</v>
      </c>
      <c r="JO41">
        <v>40.076500000000003</v>
      </c>
      <c r="JP41">
        <v>27.133299999999998</v>
      </c>
      <c r="JQ41">
        <v>120</v>
      </c>
      <c r="JR41">
        <v>23.209599999999998</v>
      </c>
      <c r="JS41">
        <v>98.79</v>
      </c>
      <c r="JT41">
        <v>98.620099999999994</v>
      </c>
    </row>
    <row r="42" spans="1:280" x14ac:dyDescent="0.25">
      <c r="A42">
        <v>26</v>
      </c>
      <c r="B42">
        <v>1700240299</v>
      </c>
      <c r="C42">
        <v>5073.4000000953674</v>
      </c>
      <c r="D42" t="s">
        <v>532</v>
      </c>
      <c r="E42" t="s">
        <v>533</v>
      </c>
      <c r="F42" t="s">
        <v>412</v>
      </c>
      <c r="G42" t="s">
        <v>481</v>
      </c>
      <c r="H42" t="s">
        <v>482</v>
      </c>
      <c r="I42">
        <v>1700240299</v>
      </c>
      <c r="J42">
        <f t="shared" si="0"/>
        <v>6.5541517759497032E-3</v>
      </c>
      <c r="K42">
        <f t="shared" si="1"/>
        <v>6.5541517759497028</v>
      </c>
      <c r="L42">
        <f t="shared" si="2"/>
        <v>13.078287255359735</v>
      </c>
      <c r="M42">
        <f t="shared" si="3"/>
        <v>58.785600000000002</v>
      </c>
      <c r="N42">
        <f t="shared" si="4"/>
        <v>11.154611955629179</v>
      </c>
      <c r="O42">
        <f t="shared" si="5"/>
        <v>1.1016141759567182</v>
      </c>
      <c r="P42">
        <f t="shared" si="6"/>
        <v>5.8055852197924809</v>
      </c>
      <c r="Q42">
        <f t="shared" si="7"/>
        <v>0.4771391107283639</v>
      </c>
      <c r="R42">
        <f t="shared" si="8"/>
        <v>3.3512877997572779</v>
      </c>
      <c r="S42">
        <f t="shared" si="9"/>
        <v>0.44235807919970471</v>
      </c>
      <c r="T42">
        <f t="shared" si="10"/>
        <v>0.27938716335598041</v>
      </c>
      <c r="U42">
        <f t="shared" si="11"/>
        <v>289.5925858475436</v>
      </c>
      <c r="V42">
        <f t="shared" si="12"/>
        <v>30.386377377742779</v>
      </c>
      <c r="W42">
        <f t="shared" si="13"/>
        <v>30.027100000000001</v>
      </c>
      <c r="X42">
        <f t="shared" si="14"/>
        <v>4.2670860961725143</v>
      </c>
      <c r="Y42">
        <f t="shared" si="15"/>
        <v>65.590793336451725</v>
      </c>
      <c r="Z42">
        <f t="shared" si="16"/>
        <v>2.85661307530316</v>
      </c>
      <c r="AA42">
        <f t="shared" si="17"/>
        <v>4.3552043358432941</v>
      </c>
      <c r="AB42">
        <f t="shared" si="18"/>
        <v>1.4104730208693543</v>
      </c>
      <c r="AC42">
        <f t="shared" si="19"/>
        <v>-289.03809331938191</v>
      </c>
      <c r="AD42">
        <f t="shared" si="20"/>
        <v>64.392437369487453</v>
      </c>
      <c r="AE42">
        <f t="shared" si="21"/>
        <v>4.2809963929438384</v>
      </c>
      <c r="AF42">
        <f t="shared" si="22"/>
        <v>69.22792629059299</v>
      </c>
      <c r="AG42">
        <v>15</v>
      </c>
      <c r="AH42">
        <v>3</v>
      </c>
      <c r="AI42">
        <f t="shared" si="23"/>
        <v>1</v>
      </c>
      <c r="AJ42">
        <f t="shared" si="24"/>
        <v>0</v>
      </c>
      <c r="AK42">
        <f t="shared" si="25"/>
        <v>51499.620774121242</v>
      </c>
      <c r="AL42" t="s">
        <v>427</v>
      </c>
      <c r="AM42" t="s">
        <v>427</v>
      </c>
      <c r="AN42">
        <v>0</v>
      </c>
      <c r="AO42">
        <v>0</v>
      </c>
      <c r="AP42" t="e">
        <f t="shared" si="26"/>
        <v>#DIV/0!</v>
      </c>
      <c r="AQ42">
        <v>0</v>
      </c>
      <c r="AR42" t="s">
        <v>427</v>
      </c>
      <c r="AS42" t="s">
        <v>427</v>
      </c>
      <c r="AT42">
        <v>0</v>
      </c>
      <c r="AU42">
        <v>0</v>
      </c>
      <c r="AV42" t="e">
        <f t="shared" si="27"/>
        <v>#DIV/0!</v>
      </c>
      <c r="AW42">
        <v>0.5</v>
      </c>
      <c r="AX42">
        <f t="shared" si="28"/>
        <v>1513.3193999210073</v>
      </c>
      <c r="AY42">
        <f t="shared" si="29"/>
        <v>13.078287255359735</v>
      </c>
      <c r="AZ42" t="e">
        <f t="shared" si="30"/>
        <v>#DIV/0!</v>
      </c>
      <c r="BA42">
        <f t="shared" si="31"/>
        <v>8.6421196054464102E-3</v>
      </c>
      <c r="BB42" t="e">
        <f t="shared" si="32"/>
        <v>#DIV/0!</v>
      </c>
      <c r="BC42" t="e">
        <f t="shared" si="33"/>
        <v>#DIV/0!</v>
      </c>
      <c r="BD42" t="s">
        <v>427</v>
      </c>
      <c r="BE42">
        <v>0</v>
      </c>
      <c r="BF42" t="e">
        <f t="shared" si="34"/>
        <v>#DIV/0!</v>
      </c>
      <c r="BG42" t="e">
        <f t="shared" si="35"/>
        <v>#DIV/0!</v>
      </c>
      <c r="BH42" t="e">
        <f t="shared" si="36"/>
        <v>#DIV/0!</v>
      </c>
      <c r="BI42" t="e">
        <f t="shared" si="37"/>
        <v>#DIV/0!</v>
      </c>
      <c r="BJ42" t="e">
        <f t="shared" si="38"/>
        <v>#DIV/0!</v>
      </c>
      <c r="BK42" t="e">
        <f t="shared" si="39"/>
        <v>#DIV/0!</v>
      </c>
      <c r="BL42" t="e">
        <f t="shared" si="40"/>
        <v>#DIV/0!</v>
      </c>
      <c r="BM42" t="e">
        <f t="shared" si="41"/>
        <v>#DIV/0!</v>
      </c>
      <c r="BN42">
        <v>175</v>
      </c>
      <c r="BO42">
        <v>290.00000000000011</v>
      </c>
      <c r="BP42">
        <v>661.39</v>
      </c>
      <c r="BQ42">
        <v>285</v>
      </c>
      <c r="BR42">
        <v>7114.43</v>
      </c>
      <c r="BS42">
        <v>662.79</v>
      </c>
      <c r="BT42">
        <v>-1.4</v>
      </c>
      <c r="BU42">
        <v>300.00000000000011</v>
      </c>
      <c r="BV42">
        <v>38.299999999999997</v>
      </c>
      <c r="BW42">
        <v>684.33212442545448</v>
      </c>
      <c r="BX42">
        <v>1.063874711307242</v>
      </c>
      <c r="BY42">
        <v>-15.32338200428287</v>
      </c>
      <c r="BZ42">
        <v>0.63442168509043861</v>
      </c>
      <c r="CA42">
        <v>0.95420213861955028</v>
      </c>
      <c r="CB42">
        <v>-7.0206387096774237E-3</v>
      </c>
      <c r="CC42">
        <v>289.99999999999989</v>
      </c>
      <c r="CD42">
        <v>667.78</v>
      </c>
      <c r="CE42">
        <v>835</v>
      </c>
      <c r="CF42">
        <v>7108.81</v>
      </c>
      <c r="CG42">
        <v>662.78</v>
      </c>
      <c r="CH42">
        <v>5</v>
      </c>
      <c r="CV42">
        <f t="shared" si="42"/>
        <v>1800.16</v>
      </c>
      <c r="CW42">
        <f t="shared" si="43"/>
        <v>1513.3193999210073</v>
      </c>
      <c r="CX42">
        <f t="shared" si="44"/>
        <v>0.84065827477613497</v>
      </c>
      <c r="CY42">
        <f t="shared" si="45"/>
        <v>0.16087047031794038</v>
      </c>
      <c r="CZ42">
        <v>4.16</v>
      </c>
      <c r="DA42">
        <v>0.5</v>
      </c>
      <c r="DB42" t="s">
        <v>418</v>
      </c>
      <c r="DC42">
        <v>2</v>
      </c>
      <c r="DD42">
        <v>1700240299</v>
      </c>
      <c r="DE42">
        <v>58.785600000000002</v>
      </c>
      <c r="DF42">
        <v>69.986400000000003</v>
      </c>
      <c r="DG42">
        <v>28.9252</v>
      </c>
      <c r="DH42">
        <v>23.630299999999998</v>
      </c>
      <c r="DI42">
        <v>57.585700000000003</v>
      </c>
      <c r="DJ42">
        <v>28.634499999999999</v>
      </c>
      <c r="DK42">
        <v>500.04</v>
      </c>
      <c r="DL42">
        <v>98.658900000000003</v>
      </c>
      <c r="DM42">
        <v>9.9728300000000006E-2</v>
      </c>
      <c r="DN42">
        <v>30.383500000000002</v>
      </c>
      <c r="DO42">
        <v>30.027100000000001</v>
      </c>
      <c r="DP42">
        <v>999.9</v>
      </c>
      <c r="DQ42">
        <v>0</v>
      </c>
      <c r="DR42">
        <v>0</v>
      </c>
      <c r="DS42">
        <v>9982.5</v>
      </c>
      <c r="DT42">
        <v>0</v>
      </c>
      <c r="DU42">
        <v>299.46699999999998</v>
      </c>
      <c r="DV42">
        <v>-11.200799999999999</v>
      </c>
      <c r="DW42">
        <v>60.5366</v>
      </c>
      <c r="DX42">
        <v>71.680300000000003</v>
      </c>
      <c r="DY42">
        <v>5.2949000000000002</v>
      </c>
      <c r="DZ42">
        <v>69.986400000000003</v>
      </c>
      <c r="EA42">
        <v>23.630299999999998</v>
      </c>
      <c r="EB42">
        <v>2.8537300000000001</v>
      </c>
      <c r="EC42">
        <v>2.33134</v>
      </c>
      <c r="ED42">
        <v>23.1982</v>
      </c>
      <c r="EE42">
        <v>19.894600000000001</v>
      </c>
      <c r="EF42">
        <v>1800.16</v>
      </c>
      <c r="EG42">
        <v>0.97799599999999998</v>
      </c>
      <c r="EH42">
        <v>2.2003999999999999E-2</v>
      </c>
      <c r="EI42">
        <v>0</v>
      </c>
      <c r="EJ42">
        <v>604.48900000000003</v>
      </c>
      <c r="EK42">
        <v>5.0001199999999999</v>
      </c>
      <c r="EL42">
        <v>11064.1</v>
      </c>
      <c r="EM42">
        <v>15631.3</v>
      </c>
      <c r="EN42">
        <v>52</v>
      </c>
      <c r="EO42">
        <v>53.25</v>
      </c>
      <c r="EP42">
        <v>53</v>
      </c>
      <c r="EQ42">
        <v>52.936999999999998</v>
      </c>
      <c r="ER42">
        <v>53.5</v>
      </c>
      <c r="ES42">
        <v>1755.66</v>
      </c>
      <c r="ET42">
        <v>39.5</v>
      </c>
      <c r="EU42">
        <v>0</v>
      </c>
      <c r="EV42">
        <v>106.7999999523163</v>
      </c>
      <c r="EW42">
        <v>0</v>
      </c>
      <c r="EX42">
        <v>604.60696153846152</v>
      </c>
      <c r="EY42">
        <v>-0.10519656990075631</v>
      </c>
      <c r="EZ42">
        <v>-10.07521366890902</v>
      </c>
      <c r="FA42">
        <v>11062.68076923077</v>
      </c>
      <c r="FB42">
        <v>15</v>
      </c>
      <c r="FC42">
        <v>1700240267</v>
      </c>
      <c r="FD42" t="s">
        <v>534</v>
      </c>
      <c r="FE42">
        <v>1700240264</v>
      </c>
      <c r="FF42">
        <v>1700240267</v>
      </c>
      <c r="FG42">
        <v>28</v>
      </c>
      <c r="FH42">
        <v>1.2E-2</v>
      </c>
      <c r="FI42">
        <v>-5.0000000000000001E-3</v>
      </c>
      <c r="FJ42">
        <v>1.2090000000000001</v>
      </c>
      <c r="FK42">
        <v>0.29099999999999998</v>
      </c>
      <c r="FL42">
        <v>70</v>
      </c>
      <c r="FM42">
        <v>23</v>
      </c>
      <c r="FN42">
        <v>0.16</v>
      </c>
      <c r="FO42">
        <v>0.02</v>
      </c>
      <c r="FP42">
        <v>13.113309135019991</v>
      </c>
      <c r="FQ42">
        <v>-0.13805900301209759</v>
      </c>
      <c r="FR42">
        <v>3.4289562667495277E-2</v>
      </c>
      <c r="FS42">
        <v>1</v>
      </c>
      <c r="FT42">
        <v>0.47530378599317391</v>
      </c>
      <c r="FU42">
        <v>4.8965434521205872E-2</v>
      </c>
      <c r="FV42">
        <v>4.8393484063014788E-3</v>
      </c>
      <c r="FW42">
        <v>1</v>
      </c>
      <c r="FX42">
        <v>2</v>
      </c>
      <c r="FY42">
        <v>2</v>
      </c>
      <c r="FZ42" t="s">
        <v>420</v>
      </c>
      <c r="GA42">
        <v>2.9126599999999998</v>
      </c>
      <c r="GB42">
        <v>2.7505799999999998</v>
      </c>
      <c r="GC42">
        <v>1.57056E-2</v>
      </c>
      <c r="GD42">
        <v>1.9418700000000001E-2</v>
      </c>
      <c r="GE42">
        <v>0.129747</v>
      </c>
      <c r="GF42">
        <v>0.11508</v>
      </c>
      <c r="GG42">
        <v>30466.400000000001</v>
      </c>
      <c r="GH42">
        <v>30181.7</v>
      </c>
      <c r="GI42">
        <v>28201.200000000001</v>
      </c>
      <c r="GJ42">
        <v>28152.799999999999</v>
      </c>
      <c r="GK42">
        <v>33446.300000000003</v>
      </c>
      <c r="GL42">
        <v>34802.199999999997</v>
      </c>
      <c r="GM42">
        <v>42365</v>
      </c>
      <c r="GN42">
        <v>43770.7</v>
      </c>
      <c r="GO42">
        <v>1.7228000000000001</v>
      </c>
      <c r="GP42">
        <v>1.8801000000000001</v>
      </c>
      <c r="GQ42">
        <v>7.2270600000000004E-4</v>
      </c>
      <c r="GR42">
        <v>0</v>
      </c>
      <c r="GS42">
        <v>30.0153</v>
      </c>
      <c r="GT42">
        <v>999.9</v>
      </c>
      <c r="GU42">
        <v>38.9</v>
      </c>
      <c r="GV42">
        <v>40.6</v>
      </c>
      <c r="GW42">
        <v>30.182600000000001</v>
      </c>
      <c r="GX42">
        <v>61.2592</v>
      </c>
      <c r="GY42">
        <v>31.782900000000001</v>
      </c>
      <c r="GZ42">
        <v>1</v>
      </c>
      <c r="HA42">
        <v>0.66130299999999997</v>
      </c>
      <c r="HB42">
        <v>3.9820700000000002</v>
      </c>
      <c r="HC42">
        <v>20.215499999999999</v>
      </c>
      <c r="HD42">
        <v>5.2724000000000002</v>
      </c>
      <c r="HE42">
        <v>12.0878</v>
      </c>
      <c r="HF42">
        <v>5.0109500000000002</v>
      </c>
      <c r="HG42">
        <v>3.2916300000000001</v>
      </c>
      <c r="HH42">
        <v>9999</v>
      </c>
      <c r="HI42">
        <v>9999</v>
      </c>
      <c r="HJ42">
        <v>9999</v>
      </c>
      <c r="HK42">
        <v>999.9</v>
      </c>
      <c r="HL42">
        <v>1.8762099999999999</v>
      </c>
      <c r="HM42">
        <v>1.87677</v>
      </c>
      <c r="HN42">
        <v>1.8765000000000001</v>
      </c>
      <c r="HO42">
        <v>1.8803000000000001</v>
      </c>
      <c r="HP42">
        <v>1.87391</v>
      </c>
      <c r="HQ42">
        <v>1.87697</v>
      </c>
      <c r="HR42">
        <v>1.87683</v>
      </c>
      <c r="HS42">
        <v>1.8782000000000001</v>
      </c>
      <c r="HT42">
        <v>0</v>
      </c>
      <c r="HU42">
        <v>0</v>
      </c>
      <c r="HV42">
        <v>0</v>
      </c>
      <c r="HW42">
        <v>0</v>
      </c>
      <c r="HX42" t="s">
        <v>421</v>
      </c>
      <c r="HY42" t="s">
        <v>422</v>
      </c>
      <c r="HZ42" t="s">
        <v>423</v>
      </c>
      <c r="IA42" t="s">
        <v>424</v>
      </c>
      <c r="IB42" t="s">
        <v>424</v>
      </c>
      <c r="IC42" t="s">
        <v>423</v>
      </c>
      <c r="ID42">
        <v>0</v>
      </c>
      <c r="IE42">
        <v>100</v>
      </c>
      <c r="IF42">
        <v>100</v>
      </c>
      <c r="IG42">
        <v>1.2</v>
      </c>
      <c r="IH42">
        <v>0.29070000000000001</v>
      </c>
      <c r="II42">
        <v>1.1506567066902771</v>
      </c>
      <c r="IJ42">
        <v>8.9576739069318506E-4</v>
      </c>
      <c r="IK42">
        <v>-7.2130504814809596E-7</v>
      </c>
      <c r="IL42">
        <v>1.9987036519832741E-10</v>
      </c>
      <c r="IM42">
        <v>0.29068000000000183</v>
      </c>
      <c r="IN42">
        <v>0</v>
      </c>
      <c r="IO42">
        <v>0</v>
      </c>
      <c r="IP42">
        <v>0</v>
      </c>
      <c r="IQ42">
        <v>1</v>
      </c>
      <c r="IR42">
        <v>2126</v>
      </c>
      <c r="IS42">
        <v>0</v>
      </c>
      <c r="IT42">
        <v>20</v>
      </c>
      <c r="IU42">
        <v>0.6</v>
      </c>
      <c r="IV42">
        <v>0.5</v>
      </c>
      <c r="IW42">
        <v>0.31494100000000003</v>
      </c>
      <c r="IX42">
        <v>2.7307100000000002</v>
      </c>
      <c r="IY42">
        <v>1.69434</v>
      </c>
      <c r="IZ42">
        <v>2.34253</v>
      </c>
      <c r="JA42">
        <v>1.5466299999999999</v>
      </c>
      <c r="JB42">
        <v>2.3046899999999999</v>
      </c>
      <c r="JC42">
        <v>46.036700000000003</v>
      </c>
      <c r="JD42">
        <v>23.772300000000001</v>
      </c>
      <c r="JE42">
        <v>18</v>
      </c>
      <c r="JF42">
        <v>478.69499999999999</v>
      </c>
      <c r="JG42">
        <v>491.00400000000002</v>
      </c>
      <c r="JH42">
        <v>26.429200000000002</v>
      </c>
      <c r="JI42">
        <v>35.247599999999998</v>
      </c>
      <c r="JJ42">
        <v>30.000399999999999</v>
      </c>
      <c r="JK42">
        <v>35.191899999999997</v>
      </c>
      <c r="JL42">
        <v>35.143300000000004</v>
      </c>
      <c r="JM42">
        <v>6.3785100000000003</v>
      </c>
      <c r="JN42">
        <v>17.2028</v>
      </c>
      <c r="JO42">
        <v>39.129800000000003</v>
      </c>
      <c r="JP42">
        <v>26.4085</v>
      </c>
      <c r="JQ42">
        <v>70</v>
      </c>
      <c r="JR42">
        <v>23.541799999999999</v>
      </c>
      <c r="JS42">
        <v>98.780799999999999</v>
      </c>
      <c r="JT42">
        <v>98.610600000000005</v>
      </c>
    </row>
    <row r="43" spans="1:280" x14ac:dyDescent="0.25">
      <c r="A43">
        <v>27</v>
      </c>
      <c r="B43">
        <v>1700240443</v>
      </c>
      <c r="C43">
        <v>5217.4000000953674</v>
      </c>
      <c r="D43" t="s">
        <v>535</v>
      </c>
      <c r="E43" t="s">
        <v>536</v>
      </c>
      <c r="F43" t="s">
        <v>412</v>
      </c>
      <c r="G43" t="s">
        <v>481</v>
      </c>
      <c r="H43" t="s">
        <v>482</v>
      </c>
      <c r="I43">
        <v>1700240443</v>
      </c>
      <c r="J43">
        <f t="shared" si="0"/>
        <v>7.1962937757883549E-3</v>
      </c>
      <c r="K43">
        <f t="shared" si="1"/>
        <v>7.1962937757883552</v>
      </c>
      <c r="L43">
        <f t="shared" si="2"/>
        <v>5.8102629761929965</v>
      </c>
      <c r="M43">
        <f t="shared" si="3"/>
        <v>24.995799999999999</v>
      </c>
      <c r="N43">
        <f t="shared" si="4"/>
        <v>5.6675840695087984</v>
      </c>
      <c r="O43">
        <f t="shared" si="5"/>
        <v>0.55969701150066742</v>
      </c>
      <c r="P43">
        <f t="shared" si="6"/>
        <v>2.4684370603929797</v>
      </c>
      <c r="Q43">
        <f t="shared" si="7"/>
        <v>0.52643906174080701</v>
      </c>
      <c r="R43">
        <f t="shared" si="8"/>
        <v>3.3594165317780904</v>
      </c>
      <c r="S43">
        <f t="shared" si="9"/>
        <v>0.4845311142929874</v>
      </c>
      <c r="T43">
        <f t="shared" si="10"/>
        <v>0.30631871857427762</v>
      </c>
      <c r="U43">
        <f t="shared" si="11"/>
        <v>289.56226184752745</v>
      </c>
      <c r="V43">
        <f t="shared" si="12"/>
        <v>30.283800763826477</v>
      </c>
      <c r="W43">
        <f t="shared" si="13"/>
        <v>30.031400000000001</v>
      </c>
      <c r="X43">
        <f t="shared" si="14"/>
        <v>4.2681399198760515</v>
      </c>
      <c r="Y43">
        <f t="shared" si="15"/>
        <v>65.372653860989075</v>
      </c>
      <c r="Z43">
        <f t="shared" si="16"/>
        <v>2.8543284764385404</v>
      </c>
      <c r="AA43">
        <f t="shared" si="17"/>
        <v>4.3662423167156321</v>
      </c>
      <c r="AB43">
        <f t="shared" si="18"/>
        <v>1.4138114434375111</v>
      </c>
      <c r="AC43">
        <f t="shared" si="19"/>
        <v>-317.35655551226643</v>
      </c>
      <c r="AD43">
        <f t="shared" si="20"/>
        <v>71.775028027461673</v>
      </c>
      <c r="AE43">
        <f t="shared" si="21"/>
        <v>4.761408832351294</v>
      </c>
      <c r="AF43">
        <f t="shared" si="22"/>
        <v>48.742143195074021</v>
      </c>
      <c r="AG43">
        <v>14</v>
      </c>
      <c r="AH43">
        <v>3</v>
      </c>
      <c r="AI43">
        <f t="shared" si="23"/>
        <v>1</v>
      </c>
      <c r="AJ43">
        <f t="shared" si="24"/>
        <v>0</v>
      </c>
      <c r="AK43">
        <f t="shared" si="25"/>
        <v>51675.164828490379</v>
      </c>
      <c r="AL43" t="s">
        <v>415</v>
      </c>
      <c r="AM43">
        <v>6960.3</v>
      </c>
      <c r="AN43">
        <v>244.8124</v>
      </c>
      <c r="AO43">
        <v>892.86711584811997</v>
      </c>
      <c r="AP43">
        <f t="shared" si="26"/>
        <v>0.72581317459826411</v>
      </c>
      <c r="AQ43">
        <v>-0.43209471141234851</v>
      </c>
      <c r="AR43" t="s">
        <v>537</v>
      </c>
      <c r="AS43">
        <v>7117.92</v>
      </c>
      <c r="AT43">
        <v>619.07150000000001</v>
      </c>
      <c r="AU43">
        <v>666.82902890688024</v>
      </c>
      <c r="AV43">
        <f t="shared" si="27"/>
        <v>7.1618851064669808E-2</v>
      </c>
      <c r="AW43">
        <v>0.5</v>
      </c>
      <c r="AX43">
        <f t="shared" si="28"/>
        <v>1513.1597999209987</v>
      </c>
      <c r="AY43">
        <f t="shared" si="29"/>
        <v>5.8102629761929965</v>
      </c>
      <c r="AZ43">
        <f t="shared" si="30"/>
        <v>54.185383173793788</v>
      </c>
      <c r="BA43">
        <f t="shared" si="31"/>
        <v>4.1253790167642941E-3</v>
      </c>
      <c r="BB43">
        <f t="shared" si="32"/>
        <v>0.33897457540470238</v>
      </c>
      <c r="BC43">
        <f t="shared" si="33"/>
        <v>223.99387959513484</v>
      </c>
      <c r="BD43" t="s">
        <v>538</v>
      </c>
      <c r="BE43">
        <v>421.6</v>
      </c>
      <c r="BF43">
        <f t="shared" si="34"/>
        <v>421.6</v>
      </c>
      <c r="BG43">
        <f t="shared" si="35"/>
        <v>0.36775397932042542</v>
      </c>
      <c r="BH43">
        <f t="shared" si="36"/>
        <v>0.19474663794805055</v>
      </c>
      <c r="BI43">
        <f t="shared" si="37"/>
        <v>0.47963899737508381</v>
      </c>
      <c r="BJ43">
        <f t="shared" si="38"/>
        <v>0.11316504051175227</v>
      </c>
      <c r="BK43">
        <f t="shared" si="39"/>
        <v>0.34879475669800497</v>
      </c>
      <c r="BL43">
        <f t="shared" si="40"/>
        <v>0.13262633243316502</v>
      </c>
      <c r="BM43">
        <f t="shared" si="41"/>
        <v>0.86737366756683498</v>
      </c>
      <c r="BN43">
        <v>177</v>
      </c>
      <c r="BO43">
        <v>290.00000000000011</v>
      </c>
      <c r="BP43">
        <v>652.76</v>
      </c>
      <c r="BQ43">
        <v>175</v>
      </c>
      <c r="BR43">
        <v>7117.92</v>
      </c>
      <c r="BS43">
        <v>653.34</v>
      </c>
      <c r="BT43">
        <v>-0.57999999999999996</v>
      </c>
      <c r="BU43">
        <v>300.00000000000011</v>
      </c>
      <c r="BV43">
        <v>38.299999999999997</v>
      </c>
      <c r="BW43">
        <v>666.82902890688024</v>
      </c>
      <c r="BX43">
        <v>1.0548939138905531</v>
      </c>
      <c r="BY43">
        <v>-9.6040555422716576</v>
      </c>
      <c r="BZ43">
        <v>0.62909858816936026</v>
      </c>
      <c r="CA43">
        <v>0.89274588064694571</v>
      </c>
      <c r="CB43">
        <v>-7.0208749721913316E-3</v>
      </c>
      <c r="CC43">
        <v>289.99999999999989</v>
      </c>
      <c r="CD43">
        <v>654.04</v>
      </c>
      <c r="CE43">
        <v>685</v>
      </c>
      <c r="CF43">
        <v>7111.45</v>
      </c>
      <c r="CG43">
        <v>653.32000000000005</v>
      </c>
      <c r="CH43">
        <v>0.72</v>
      </c>
      <c r="CV43">
        <f t="shared" si="42"/>
        <v>1799.97</v>
      </c>
      <c r="CW43">
        <f t="shared" si="43"/>
        <v>1513.1597999209987</v>
      </c>
      <c r="CX43">
        <f t="shared" si="44"/>
        <v>0.84065834426184805</v>
      </c>
      <c r="CY43">
        <f t="shared" si="45"/>
        <v>0.1608706044253668</v>
      </c>
      <c r="CZ43">
        <v>4.16</v>
      </c>
      <c r="DA43">
        <v>0.5</v>
      </c>
      <c r="DB43" t="s">
        <v>418</v>
      </c>
      <c r="DC43">
        <v>2</v>
      </c>
      <c r="DD43">
        <v>1700240443</v>
      </c>
      <c r="DE43">
        <v>24.995799999999999</v>
      </c>
      <c r="DF43">
        <v>29.9786</v>
      </c>
      <c r="DG43">
        <v>28.903400000000001</v>
      </c>
      <c r="DH43">
        <v>23.090299999999999</v>
      </c>
      <c r="DI43">
        <v>23.804500000000001</v>
      </c>
      <c r="DJ43">
        <v>28.623999999999999</v>
      </c>
      <c r="DK43">
        <v>500.1</v>
      </c>
      <c r="DL43">
        <v>98.654200000000003</v>
      </c>
      <c r="DM43">
        <v>9.9873100000000006E-2</v>
      </c>
      <c r="DN43">
        <v>30.427700000000002</v>
      </c>
      <c r="DO43">
        <v>30.031400000000001</v>
      </c>
      <c r="DP43">
        <v>999.9</v>
      </c>
      <c r="DQ43">
        <v>0</v>
      </c>
      <c r="DR43">
        <v>0</v>
      </c>
      <c r="DS43">
        <v>10020</v>
      </c>
      <c r="DT43">
        <v>0</v>
      </c>
      <c r="DU43">
        <v>288.85399999999998</v>
      </c>
      <c r="DV43">
        <v>-4.9827899999999996</v>
      </c>
      <c r="DW43">
        <v>25.739699999999999</v>
      </c>
      <c r="DX43">
        <v>30.687100000000001</v>
      </c>
      <c r="DY43">
        <v>5.8131500000000003</v>
      </c>
      <c r="DZ43">
        <v>29.9786</v>
      </c>
      <c r="EA43">
        <v>23.090299999999999</v>
      </c>
      <c r="EB43">
        <v>2.8514400000000002</v>
      </c>
      <c r="EC43">
        <v>2.2779500000000001</v>
      </c>
      <c r="ED43">
        <v>23.184999999999999</v>
      </c>
      <c r="EE43">
        <v>19.5213</v>
      </c>
      <c r="EF43">
        <v>1799.97</v>
      </c>
      <c r="EG43">
        <v>0.977993</v>
      </c>
      <c r="EH43">
        <v>2.20074E-2</v>
      </c>
      <c r="EI43">
        <v>0</v>
      </c>
      <c r="EJ43">
        <v>618.91399999999999</v>
      </c>
      <c r="EK43">
        <v>5.0001199999999999</v>
      </c>
      <c r="EL43">
        <v>11312.2</v>
      </c>
      <c r="EM43">
        <v>15629.7</v>
      </c>
      <c r="EN43">
        <v>52</v>
      </c>
      <c r="EO43">
        <v>53.186999999999998</v>
      </c>
      <c r="EP43">
        <v>52.936999999999998</v>
      </c>
      <c r="EQ43">
        <v>52.875</v>
      </c>
      <c r="ER43">
        <v>53.436999999999998</v>
      </c>
      <c r="ES43">
        <v>1755.47</v>
      </c>
      <c r="ET43">
        <v>39.5</v>
      </c>
      <c r="EU43">
        <v>0</v>
      </c>
      <c r="EV43">
        <v>250.79999995231631</v>
      </c>
      <c r="EW43">
        <v>0</v>
      </c>
      <c r="EX43">
        <v>619.07150000000001</v>
      </c>
      <c r="EY43">
        <v>0.32112820081677762</v>
      </c>
      <c r="EZ43">
        <v>-4.3623931595761132</v>
      </c>
      <c r="FA43">
        <v>11313.061538461539</v>
      </c>
      <c r="FB43">
        <v>15</v>
      </c>
      <c r="FC43">
        <v>1700240404</v>
      </c>
      <c r="FD43" t="s">
        <v>539</v>
      </c>
      <c r="FE43">
        <v>1700240404</v>
      </c>
      <c r="FF43">
        <v>1700240401.5</v>
      </c>
      <c r="FG43">
        <v>29</v>
      </c>
      <c r="FH43">
        <v>0.02</v>
      </c>
      <c r="FI43">
        <v>-1.0999999999999999E-2</v>
      </c>
      <c r="FJ43">
        <v>1.196</v>
      </c>
      <c r="FK43">
        <v>0.27900000000000003</v>
      </c>
      <c r="FL43">
        <v>30</v>
      </c>
      <c r="FM43">
        <v>23</v>
      </c>
      <c r="FN43">
        <v>0.31</v>
      </c>
      <c r="FO43">
        <v>0.01</v>
      </c>
      <c r="FP43">
        <v>5.8333635751607869</v>
      </c>
      <c r="FQ43">
        <v>-0.30038243827419581</v>
      </c>
      <c r="FR43">
        <v>3.0345099136137581E-2</v>
      </c>
      <c r="FS43">
        <v>1</v>
      </c>
      <c r="FT43">
        <v>0.52294066185817356</v>
      </c>
      <c r="FU43">
        <v>4.2452361496430661E-2</v>
      </c>
      <c r="FV43">
        <v>3.624596835518874E-3</v>
      </c>
      <c r="FW43">
        <v>1</v>
      </c>
      <c r="FX43">
        <v>2</v>
      </c>
      <c r="FY43">
        <v>2</v>
      </c>
      <c r="FZ43" t="s">
        <v>420</v>
      </c>
      <c r="GA43">
        <v>2.9127800000000001</v>
      </c>
      <c r="GB43">
        <v>2.7510500000000002</v>
      </c>
      <c r="GC43">
        <v>6.5543099999999998E-3</v>
      </c>
      <c r="GD43">
        <v>8.4317899999999998E-3</v>
      </c>
      <c r="GE43">
        <v>0.12969900000000001</v>
      </c>
      <c r="GF43">
        <v>0.113231</v>
      </c>
      <c r="GG43">
        <v>30748.400000000001</v>
      </c>
      <c r="GH43">
        <v>30516.7</v>
      </c>
      <c r="GI43">
        <v>28200.799999999999</v>
      </c>
      <c r="GJ43">
        <v>28150.7</v>
      </c>
      <c r="GK43">
        <v>33448.6</v>
      </c>
      <c r="GL43">
        <v>34872.9</v>
      </c>
      <c r="GM43">
        <v>42365.5</v>
      </c>
      <c r="GN43">
        <v>43768</v>
      </c>
      <c r="GO43">
        <v>1.72305</v>
      </c>
      <c r="GP43">
        <v>1.87748</v>
      </c>
      <c r="GQ43">
        <v>3.45707E-3</v>
      </c>
      <c r="GR43">
        <v>0</v>
      </c>
      <c r="GS43">
        <v>29.975200000000001</v>
      </c>
      <c r="GT43">
        <v>999.9</v>
      </c>
      <c r="GU43">
        <v>38.1</v>
      </c>
      <c r="GV43">
        <v>40.799999999999997</v>
      </c>
      <c r="GW43">
        <v>29.8796</v>
      </c>
      <c r="GX43">
        <v>61.019199999999998</v>
      </c>
      <c r="GY43">
        <v>32.103400000000001</v>
      </c>
      <c r="GZ43">
        <v>1</v>
      </c>
      <c r="HA43">
        <v>0.65950500000000001</v>
      </c>
      <c r="HB43">
        <v>3.3401100000000001</v>
      </c>
      <c r="HC43">
        <v>20.230499999999999</v>
      </c>
      <c r="HD43">
        <v>5.2719500000000004</v>
      </c>
      <c r="HE43">
        <v>12.0878</v>
      </c>
      <c r="HF43">
        <v>5.0130999999999997</v>
      </c>
      <c r="HG43">
        <v>3.2919999999999998</v>
      </c>
      <c r="HH43">
        <v>9999</v>
      </c>
      <c r="HI43">
        <v>9999</v>
      </c>
      <c r="HJ43">
        <v>9999</v>
      </c>
      <c r="HK43">
        <v>999.9</v>
      </c>
      <c r="HL43">
        <v>1.8762099999999999</v>
      </c>
      <c r="HM43">
        <v>1.8767199999999999</v>
      </c>
      <c r="HN43">
        <v>1.87645</v>
      </c>
      <c r="HO43">
        <v>1.88026</v>
      </c>
      <c r="HP43">
        <v>1.87388</v>
      </c>
      <c r="HQ43">
        <v>1.8769199999999999</v>
      </c>
      <c r="HR43">
        <v>1.8768100000000001</v>
      </c>
      <c r="HS43">
        <v>1.8782000000000001</v>
      </c>
      <c r="HT43">
        <v>0</v>
      </c>
      <c r="HU43">
        <v>0</v>
      </c>
      <c r="HV43">
        <v>0</v>
      </c>
      <c r="HW43">
        <v>0</v>
      </c>
      <c r="HX43" t="s">
        <v>421</v>
      </c>
      <c r="HY43" t="s">
        <v>422</v>
      </c>
      <c r="HZ43" t="s">
        <v>423</v>
      </c>
      <c r="IA43" t="s">
        <v>424</v>
      </c>
      <c r="IB43" t="s">
        <v>424</v>
      </c>
      <c r="IC43" t="s">
        <v>423</v>
      </c>
      <c r="ID43">
        <v>0</v>
      </c>
      <c r="IE43">
        <v>100</v>
      </c>
      <c r="IF43">
        <v>100</v>
      </c>
      <c r="IG43">
        <v>1.1910000000000001</v>
      </c>
      <c r="IH43">
        <v>0.27939999999999998</v>
      </c>
      <c r="II43">
        <v>1.170358533705522</v>
      </c>
      <c r="IJ43">
        <v>8.9576739069318506E-4</v>
      </c>
      <c r="IK43">
        <v>-7.2130504814809596E-7</v>
      </c>
      <c r="IL43">
        <v>1.9987036519832741E-10</v>
      </c>
      <c r="IM43">
        <v>0.27944000000000102</v>
      </c>
      <c r="IN43">
        <v>0</v>
      </c>
      <c r="IO43">
        <v>0</v>
      </c>
      <c r="IP43">
        <v>0</v>
      </c>
      <c r="IQ43">
        <v>1</v>
      </c>
      <c r="IR43">
        <v>2126</v>
      </c>
      <c r="IS43">
        <v>0</v>
      </c>
      <c r="IT43">
        <v>20</v>
      </c>
      <c r="IU43">
        <v>0.7</v>
      </c>
      <c r="IV43">
        <v>0.7</v>
      </c>
      <c r="IW43">
        <v>0.224609</v>
      </c>
      <c r="IX43">
        <v>2.7477999999999998</v>
      </c>
      <c r="IY43">
        <v>1.69434</v>
      </c>
      <c r="IZ43">
        <v>2.34253</v>
      </c>
      <c r="JA43">
        <v>1.5466299999999999</v>
      </c>
      <c r="JB43">
        <v>2.3864700000000001</v>
      </c>
      <c r="JC43">
        <v>46.0077</v>
      </c>
      <c r="JD43">
        <v>23.7898</v>
      </c>
      <c r="JE43">
        <v>18</v>
      </c>
      <c r="JF43">
        <v>479.15</v>
      </c>
      <c r="JG43">
        <v>489.37900000000002</v>
      </c>
      <c r="JH43">
        <v>26.8964</v>
      </c>
      <c r="JI43">
        <v>35.263500000000001</v>
      </c>
      <c r="JJ43">
        <v>30.0002</v>
      </c>
      <c r="JK43">
        <v>35.222999999999999</v>
      </c>
      <c r="JL43">
        <v>35.174399999999999</v>
      </c>
      <c r="JM43">
        <v>4.5506900000000003</v>
      </c>
      <c r="JN43">
        <v>17.853899999999999</v>
      </c>
      <c r="JO43">
        <v>37.164200000000001</v>
      </c>
      <c r="JP43">
        <v>26.8642</v>
      </c>
      <c r="JQ43">
        <v>30</v>
      </c>
      <c r="JR43">
        <v>22.9923</v>
      </c>
      <c r="JS43">
        <v>98.780799999999999</v>
      </c>
      <c r="JT43">
        <v>98.604200000000006</v>
      </c>
    </row>
    <row r="44" spans="1:280" x14ac:dyDescent="0.25">
      <c r="A44">
        <v>28</v>
      </c>
      <c r="B44">
        <v>1700240575</v>
      </c>
      <c r="C44">
        <v>5349.4000000953674</v>
      </c>
      <c r="D44" t="s">
        <v>540</v>
      </c>
      <c r="E44" t="s">
        <v>541</v>
      </c>
      <c r="F44" t="s">
        <v>412</v>
      </c>
      <c r="G44" t="s">
        <v>481</v>
      </c>
      <c r="H44" t="s">
        <v>482</v>
      </c>
      <c r="I44">
        <v>1700240575</v>
      </c>
      <c r="J44">
        <f t="shared" si="0"/>
        <v>7.4163077737846609E-3</v>
      </c>
      <c r="K44">
        <f t="shared" si="1"/>
        <v>7.416307773784661</v>
      </c>
      <c r="L44">
        <f t="shared" si="2"/>
        <v>2.0213636642488155</v>
      </c>
      <c r="M44">
        <f t="shared" si="3"/>
        <v>8.2754999999999992</v>
      </c>
      <c r="N44">
        <f t="shared" si="4"/>
        <v>1.7839375560325128</v>
      </c>
      <c r="O44">
        <f t="shared" si="5"/>
        <v>0.17617818186797382</v>
      </c>
      <c r="P44">
        <f t="shared" si="6"/>
        <v>0.81727218484649999</v>
      </c>
      <c r="Q44">
        <f t="shared" si="7"/>
        <v>0.5464143403771563</v>
      </c>
      <c r="R44">
        <f t="shared" si="8"/>
        <v>3.3614309195736949</v>
      </c>
      <c r="S44">
        <f t="shared" si="9"/>
        <v>0.5014358701392535</v>
      </c>
      <c r="T44">
        <f t="shared" si="10"/>
        <v>0.31712944679986182</v>
      </c>
      <c r="U44">
        <f t="shared" si="11"/>
        <v>289.57343384753341</v>
      </c>
      <c r="V44">
        <f t="shared" si="12"/>
        <v>30.226133449755654</v>
      </c>
      <c r="W44">
        <f t="shared" si="13"/>
        <v>30.003</v>
      </c>
      <c r="X44">
        <f t="shared" si="14"/>
        <v>4.2611839777791918</v>
      </c>
      <c r="Y44">
        <f t="shared" si="15"/>
        <v>65.374094532189858</v>
      </c>
      <c r="Z44">
        <f t="shared" si="16"/>
        <v>2.8531494896828997</v>
      </c>
      <c r="AA44">
        <f t="shared" si="17"/>
        <v>4.3643426499437394</v>
      </c>
      <c r="AB44">
        <f t="shared" si="18"/>
        <v>1.4080344880962921</v>
      </c>
      <c r="AC44">
        <f t="shared" si="19"/>
        <v>-327.05917282390357</v>
      </c>
      <c r="AD44">
        <f t="shared" si="20"/>
        <v>75.587472524309646</v>
      </c>
      <c r="AE44">
        <f t="shared" si="21"/>
        <v>5.0104215661889615</v>
      </c>
      <c r="AF44">
        <f t="shared" si="22"/>
        <v>43.112155114128427</v>
      </c>
      <c r="AG44">
        <v>14</v>
      </c>
      <c r="AH44">
        <v>3</v>
      </c>
      <c r="AI44">
        <f t="shared" si="23"/>
        <v>1</v>
      </c>
      <c r="AJ44">
        <f t="shared" si="24"/>
        <v>0</v>
      </c>
      <c r="AK44">
        <f t="shared" si="25"/>
        <v>51721.953457787626</v>
      </c>
      <c r="AL44" t="s">
        <v>427</v>
      </c>
      <c r="AM44" t="s">
        <v>427</v>
      </c>
      <c r="AN44">
        <v>0</v>
      </c>
      <c r="AO44">
        <v>0</v>
      </c>
      <c r="AP44" t="e">
        <f t="shared" si="26"/>
        <v>#DIV/0!</v>
      </c>
      <c r="AQ44">
        <v>0</v>
      </c>
      <c r="AR44" t="s">
        <v>427</v>
      </c>
      <c r="AS44" t="s">
        <v>427</v>
      </c>
      <c r="AT44">
        <v>0</v>
      </c>
      <c r="AU44">
        <v>0</v>
      </c>
      <c r="AV44" t="e">
        <f t="shared" si="27"/>
        <v>#DIV/0!</v>
      </c>
      <c r="AW44">
        <v>0.5</v>
      </c>
      <c r="AX44">
        <f t="shared" si="28"/>
        <v>1513.2185999210017</v>
      </c>
      <c r="AY44">
        <f t="shared" si="29"/>
        <v>2.0213636642488155</v>
      </c>
      <c r="AZ44" t="e">
        <f t="shared" si="30"/>
        <v>#DIV/0!</v>
      </c>
      <c r="BA44">
        <f t="shared" si="31"/>
        <v>1.3358041358692934E-3</v>
      </c>
      <c r="BB44" t="e">
        <f t="shared" si="32"/>
        <v>#DIV/0!</v>
      </c>
      <c r="BC44" t="e">
        <f t="shared" si="33"/>
        <v>#DIV/0!</v>
      </c>
      <c r="BD44" t="s">
        <v>427</v>
      </c>
      <c r="BE44">
        <v>0</v>
      </c>
      <c r="BF44" t="e">
        <f t="shared" si="34"/>
        <v>#DIV/0!</v>
      </c>
      <c r="BG44" t="e">
        <f t="shared" si="35"/>
        <v>#DIV/0!</v>
      </c>
      <c r="BH44" t="e">
        <f t="shared" si="36"/>
        <v>#DIV/0!</v>
      </c>
      <c r="BI44" t="e">
        <f t="shared" si="37"/>
        <v>#DIV/0!</v>
      </c>
      <c r="BJ44" t="e">
        <f t="shared" si="38"/>
        <v>#DIV/0!</v>
      </c>
      <c r="BK44" t="e">
        <f t="shared" si="39"/>
        <v>#DIV/0!</v>
      </c>
      <c r="BL44" t="e">
        <f t="shared" si="40"/>
        <v>#DIV/0!</v>
      </c>
      <c r="BM44" t="e">
        <f t="shared" si="41"/>
        <v>#DIV/0!</v>
      </c>
      <c r="BN44">
        <v>177</v>
      </c>
      <c r="BO44">
        <v>290.00000000000011</v>
      </c>
      <c r="BP44">
        <v>652.76</v>
      </c>
      <c r="BQ44">
        <v>175</v>
      </c>
      <c r="BR44">
        <v>7117.92</v>
      </c>
      <c r="BS44">
        <v>653.34</v>
      </c>
      <c r="BT44">
        <v>-0.57999999999999996</v>
      </c>
      <c r="BU44">
        <v>300.00000000000011</v>
      </c>
      <c r="BV44">
        <v>38.299999999999997</v>
      </c>
      <c r="BW44">
        <v>666.82902890688024</v>
      </c>
      <c r="BX44">
        <v>1.0548939138905531</v>
      </c>
      <c r="BY44">
        <v>-9.6040555422716576</v>
      </c>
      <c r="BZ44">
        <v>0.62909858816936026</v>
      </c>
      <c r="CA44">
        <v>0.89274588064694571</v>
      </c>
      <c r="CB44">
        <v>-7.0208749721913316E-3</v>
      </c>
      <c r="CC44">
        <v>289.99999999999989</v>
      </c>
      <c r="CD44">
        <v>654.04</v>
      </c>
      <c r="CE44">
        <v>685</v>
      </c>
      <c r="CF44">
        <v>7111.45</v>
      </c>
      <c r="CG44">
        <v>653.32000000000005</v>
      </c>
      <c r="CH44">
        <v>0.72</v>
      </c>
      <c r="CV44">
        <f t="shared" si="42"/>
        <v>1800.04</v>
      </c>
      <c r="CW44">
        <f t="shared" si="43"/>
        <v>1513.2185999210017</v>
      </c>
      <c r="CX44">
        <f t="shared" si="44"/>
        <v>0.84065831866014185</v>
      </c>
      <c r="CY44">
        <f t="shared" si="45"/>
        <v>0.1608705550140738</v>
      </c>
      <c r="CZ44">
        <v>4.16</v>
      </c>
      <c r="DA44">
        <v>0.5</v>
      </c>
      <c r="DB44" t="s">
        <v>418</v>
      </c>
      <c r="DC44">
        <v>2</v>
      </c>
      <c r="DD44">
        <v>1700240575</v>
      </c>
      <c r="DE44">
        <v>8.2754999999999992</v>
      </c>
      <c r="DF44">
        <v>10.0077</v>
      </c>
      <c r="DG44">
        <v>28.8903</v>
      </c>
      <c r="DH44">
        <v>22.900400000000001</v>
      </c>
      <c r="DI44">
        <v>7.1417400000000004</v>
      </c>
      <c r="DJ44">
        <v>28.607700000000001</v>
      </c>
      <c r="DK44">
        <v>500.18400000000003</v>
      </c>
      <c r="DL44">
        <v>98.658000000000001</v>
      </c>
      <c r="DM44">
        <v>0.10004300000000001</v>
      </c>
      <c r="DN44">
        <v>30.420100000000001</v>
      </c>
      <c r="DO44">
        <v>30.003</v>
      </c>
      <c r="DP44">
        <v>999.9</v>
      </c>
      <c r="DQ44">
        <v>0</v>
      </c>
      <c r="DR44">
        <v>0</v>
      </c>
      <c r="DS44">
        <v>10028.799999999999</v>
      </c>
      <c r="DT44">
        <v>0</v>
      </c>
      <c r="DU44">
        <v>285.09800000000001</v>
      </c>
      <c r="DV44">
        <v>-1.7321599999999999</v>
      </c>
      <c r="DW44">
        <v>8.5216999999999992</v>
      </c>
      <c r="DX44">
        <v>10.2422</v>
      </c>
      <c r="DY44">
        <v>5.9899199999999997</v>
      </c>
      <c r="DZ44">
        <v>10.0077</v>
      </c>
      <c r="EA44">
        <v>22.900400000000001</v>
      </c>
      <c r="EB44">
        <v>2.85026</v>
      </c>
      <c r="EC44">
        <v>2.2593000000000001</v>
      </c>
      <c r="ED44">
        <v>23.178100000000001</v>
      </c>
      <c r="EE44">
        <v>19.389099999999999</v>
      </c>
      <c r="EF44">
        <v>1800.04</v>
      </c>
      <c r="EG44">
        <v>0.977993</v>
      </c>
      <c r="EH44">
        <v>2.20074E-2</v>
      </c>
      <c r="EI44">
        <v>0</v>
      </c>
      <c r="EJ44">
        <v>625.71199999999999</v>
      </c>
      <c r="EK44">
        <v>5.0001199999999999</v>
      </c>
      <c r="EL44">
        <v>11427</v>
      </c>
      <c r="EM44">
        <v>15630.3</v>
      </c>
      <c r="EN44">
        <v>51.936999999999998</v>
      </c>
      <c r="EO44">
        <v>53.186999999999998</v>
      </c>
      <c r="EP44">
        <v>52.875</v>
      </c>
      <c r="EQ44">
        <v>52.875</v>
      </c>
      <c r="ER44">
        <v>53.5</v>
      </c>
      <c r="ES44">
        <v>1755.54</v>
      </c>
      <c r="ET44">
        <v>39.5</v>
      </c>
      <c r="EU44">
        <v>0</v>
      </c>
      <c r="EV44">
        <v>130.20000004768369</v>
      </c>
      <c r="EW44">
        <v>0</v>
      </c>
      <c r="EX44">
        <v>625.83483999999999</v>
      </c>
      <c r="EY44">
        <v>-0.6203845992212188</v>
      </c>
      <c r="EZ44">
        <v>-19.376923045870949</v>
      </c>
      <c r="FA44">
        <v>11429.796</v>
      </c>
      <c r="FB44">
        <v>15</v>
      </c>
      <c r="FC44">
        <v>1700240538.5</v>
      </c>
      <c r="FD44" t="s">
        <v>542</v>
      </c>
      <c r="FE44">
        <v>1700240532</v>
      </c>
      <c r="FF44">
        <v>1700240538.5</v>
      </c>
      <c r="FG44">
        <v>30</v>
      </c>
      <c r="FH44">
        <v>-4.2999999999999997E-2</v>
      </c>
      <c r="FI44">
        <v>3.0000000000000001E-3</v>
      </c>
      <c r="FJ44">
        <v>1.135</v>
      </c>
      <c r="FK44">
        <v>0.28299999999999997</v>
      </c>
      <c r="FL44">
        <v>10</v>
      </c>
      <c r="FM44">
        <v>23</v>
      </c>
      <c r="FN44">
        <v>0.39</v>
      </c>
      <c r="FO44">
        <v>0.01</v>
      </c>
      <c r="FP44">
        <v>1.9937205709988131</v>
      </c>
      <c r="FQ44">
        <v>6.7621998935281508E-2</v>
      </c>
      <c r="FR44">
        <v>2.556433578878169E-2</v>
      </c>
      <c r="FS44">
        <v>1</v>
      </c>
      <c r="FT44">
        <v>0.54264600756594572</v>
      </c>
      <c r="FU44">
        <v>4.6251720265056688E-2</v>
      </c>
      <c r="FV44">
        <v>3.5317293266529299E-3</v>
      </c>
      <c r="FW44">
        <v>1</v>
      </c>
      <c r="FX44">
        <v>2</v>
      </c>
      <c r="FY44">
        <v>2</v>
      </c>
      <c r="FZ44" t="s">
        <v>420</v>
      </c>
      <c r="GA44">
        <v>2.9130400000000001</v>
      </c>
      <c r="GB44">
        <v>2.7513000000000001</v>
      </c>
      <c r="GC44">
        <v>1.9725400000000001E-3</v>
      </c>
      <c r="GD44">
        <v>2.8276999999999998E-3</v>
      </c>
      <c r="GE44">
        <v>0.12965399999999999</v>
      </c>
      <c r="GF44">
        <v>0.11258600000000001</v>
      </c>
      <c r="GG44">
        <v>30892.400000000001</v>
      </c>
      <c r="GH44">
        <v>30689.200000000001</v>
      </c>
      <c r="GI44">
        <v>28203.1</v>
      </c>
      <c r="GJ44">
        <v>28151.1</v>
      </c>
      <c r="GK44">
        <v>33454.800000000003</v>
      </c>
      <c r="GL44">
        <v>34898.300000000003</v>
      </c>
      <c r="GM44">
        <v>42371.199999999997</v>
      </c>
      <c r="GN44">
        <v>43768</v>
      </c>
      <c r="GO44">
        <v>1.72357</v>
      </c>
      <c r="GP44">
        <v>1.8761699999999999</v>
      </c>
      <c r="GQ44">
        <v>1.7061800000000001E-3</v>
      </c>
      <c r="GR44">
        <v>0</v>
      </c>
      <c r="GS44">
        <v>29.975200000000001</v>
      </c>
      <c r="GT44">
        <v>999.9</v>
      </c>
      <c r="GU44">
        <v>37.4</v>
      </c>
      <c r="GV44">
        <v>40.9</v>
      </c>
      <c r="GW44">
        <v>29.4862</v>
      </c>
      <c r="GX44">
        <v>60.989199999999997</v>
      </c>
      <c r="GY44">
        <v>31.863</v>
      </c>
      <c r="GZ44">
        <v>1</v>
      </c>
      <c r="HA44">
        <v>0.65682399999999996</v>
      </c>
      <c r="HB44">
        <v>3.1244900000000002</v>
      </c>
      <c r="HC44">
        <v>20.235099999999999</v>
      </c>
      <c r="HD44">
        <v>5.27494</v>
      </c>
      <c r="HE44">
        <v>12.0878</v>
      </c>
      <c r="HF44">
        <v>5.0129000000000001</v>
      </c>
      <c r="HG44">
        <v>3.2919800000000001</v>
      </c>
      <c r="HH44">
        <v>9999</v>
      </c>
      <c r="HI44">
        <v>9999</v>
      </c>
      <c r="HJ44">
        <v>9999</v>
      </c>
      <c r="HK44">
        <v>999.9</v>
      </c>
      <c r="HL44">
        <v>1.8762099999999999</v>
      </c>
      <c r="HM44">
        <v>1.8767499999999999</v>
      </c>
      <c r="HN44">
        <v>1.87639</v>
      </c>
      <c r="HO44">
        <v>1.88025</v>
      </c>
      <c r="HP44">
        <v>1.8738699999999999</v>
      </c>
      <c r="HQ44">
        <v>1.8769400000000001</v>
      </c>
      <c r="HR44">
        <v>1.8768</v>
      </c>
      <c r="HS44">
        <v>1.8782000000000001</v>
      </c>
      <c r="HT44">
        <v>0</v>
      </c>
      <c r="HU44">
        <v>0</v>
      </c>
      <c r="HV44">
        <v>0</v>
      </c>
      <c r="HW44">
        <v>0</v>
      </c>
      <c r="HX44" t="s">
        <v>421</v>
      </c>
      <c r="HY44" t="s">
        <v>422</v>
      </c>
      <c r="HZ44" t="s">
        <v>423</v>
      </c>
      <c r="IA44" t="s">
        <v>424</v>
      </c>
      <c r="IB44" t="s">
        <v>424</v>
      </c>
      <c r="IC44" t="s">
        <v>423</v>
      </c>
      <c r="ID44">
        <v>0</v>
      </c>
      <c r="IE44">
        <v>100</v>
      </c>
      <c r="IF44">
        <v>100</v>
      </c>
      <c r="IG44">
        <v>1.1339999999999999</v>
      </c>
      <c r="IH44">
        <v>0.28260000000000002</v>
      </c>
      <c r="II44">
        <v>1.127406501092711</v>
      </c>
      <c r="IJ44">
        <v>8.9576739069318506E-4</v>
      </c>
      <c r="IK44">
        <v>-7.2130504814809596E-7</v>
      </c>
      <c r="IL44">
        <v>1.9987036519832741E-10</v>
      </c>
      <c r="IM44">
        <v>0.28260999999999831</v>
      </c>
      <c r="IN44">
        <v>0</v>
      </c>
      <c r="IO44">
        <v>0</v>
      </c>
      <c r="IP44">
        <v>0</v>
      </c>
      <c r="IQ44">
        <v>1</v>
      </c>
      <c r="IR44">
        <v>2126</v>
      </c>
      <c r="IS44">
        <v>0</v>
      </c>
      <c r="IT44">
        <v>20</v>
      </c>
      <c r="IU44">
        <v>0.7</v>
      </c>
      <c r="IV44">
        <v>0.6</v>
      </c>
      <c r="IW44">
        <v>0.17944299999999999</v>
      </c>
      <c r="IX44">
        <v>2.7526899999999999</v>
      </c>
      <c r="IY44">
        <v>1.69434</v>
      </c>
      <c r="IZ44">
        <v>2.34131</v>
      </c>
      <c r="JA44">
        <v>1.5466299999999999</v>
      </c>
      <c r="JB44">
        <v>2.4719199999999999</v>
      </c>
      <c r="JC44">
        <v>45.892099999999999</v>
      </c>
      <c r="JD44">
        <v>23.7986</v>
      </c>
      <c r="JE44">
        <v>18</v>
      </c>
      <c r="JF44">
        <v>479.52600000000001</v>
      </c>
      <c r="JG44">
        <v>488.42899999999997</v>
      </c>
      <c r="JH44">
        <v>27.0168</v>
      </c>
      <c r="JI44">
        <v>35.244100000000003</v>
      </c>
      <c r="JJ44">
        <v>30</v>
      </c>
      <c r="JK44">
        <v>35.218699999999998</v>
      </c>
      <c r="JL44">
        <v>35.171199999999999</v>
      </c>
      <c r="JM44">
        <v>3.6589900000000002</v>
      </c>
      <c r="JN44">
        <v>17.211400000000001</v>
      </c>
      <c r="JO44">
        <v>35.414000000000001</v>
      </c>
      <c r="JP44">
        <v>27.011099999999999</v>
      </c>
      <c r="JQ44">
        <v>10</v>
      </c>
      <c r="JR44">
        <v>22.815200000000001</v>
      </c>
      <c r="JS44">
        <v>98.792100000000005</v>
      </c>
      <c r="JT44">
        <v>98.604600000000005</v>
      </c>
    </row>
    <row r="45" spans="1:280" x14ac:dyDescent="0.25">
      <c r="A45">
        <v>29</v>
      </c>
      <c r="B45">
        <v>1700242451.5999999</v>
      </c>
      <c r="C45">
        <v>7226</v>
      </c>
      <c r="D45" t="s">
        <v>543</v>
      </c>
      <c r="E45" t="s">
        <v>544</v>
      </c>
      <c r="F45" t="s">
        <v>412</v>
      </c>
      <c r="G45" t="s">
        <v>545</v>
      </c>
      <c r="H45" t="s">
        <v>546</v>
      </c>
      <c r="I45">
        <v>1700242451.5999999</v>
      </c>
      <c r="J45">
        <f t="shared" si="0"/>
        <v>3.5328383130862396E-3</v>
      </c>
      <c r="K45">
        <f t="shared" si="1"/>
        <v>3.5328383130862395</v>
      </c>
      <c r="L45">
        <f t="shared" si="2"/>
        <v>42.565326888059865</v>
      </c>
      <c r="M45">
        <f t="shared" si="3"/>
        <v>404.44200000000001</v>
      </c>
      <c r="N45">
        <f t="shared" si="4"/>
        <v>97.041719752174075</v>
      </c>
      <c r="O45">
        <f t="shared" si="5"/>
        <v>9.5827427979160351</v>
      </c>
      <c r="P45">
        <f t="shared" si="6"/>
        <v>39.938118085422005</v>
      </c>
      <c r="Q45">
        <f t="shared" si="7"/>
        <v>0.23434665867431601</v>
      </c>
      <c r="R45">
        <f t="shared" si="8"/>
        <v>3.071179768305996</v>
      </c>
      <c r="S45">
        <f t="shared" si="9"/>
        <v>0.22484630218400667</v>
      </c>
      <c r="T45">
        <f t="shared" si="10"/>
        <v>0.1413504154983018</v>
      </c>
      <c r="U45">
        <f t="shared" si="11"/>
        <v>289.60433684751087</v>
      </c>
      <c r="V45">
        <f t="shared" si="12"/>
        <v>30.615548840817727</v>
      </c>
      <c r="W45">
        <f t="shared" si="13"/>
        <v>30.022400000000001</v>
      </c>
      <c r="X45">
        <f t="shared" si="14"/>
        <v>4.2659345017411789</v>
      </c>
      <c r="Y45">
        <f t="shared" si="15"/>
        <v>65.5262385888267</v>
      </c>
      <c r="Z45">
        <f t="shared" si="16"/>
        <v>2.7696440359534003</v>
      </c>
      <c r="AA45">
        <f t="shared" si="17"/>
        <v>4.2267709784667389</v>
      </c>
      <c r="AB45">
        <f t="shared" si="18"/>
        <v>1.4962904657877787</v>
      </c>
      <c r="AC45">
        <f t="shared" si="19"/>
        <v>-155.79816960710318</v>
      </c>
      <c r="AD45">
        <f t="shared" si="20"/>
        <v>-26.574537708860937</v>
      </c>
      <c r="AE45">
        <f t="shared" si="21"/>
        <v>-1.9228740049370696</v>
      </c>
      <c r="AF45">
        <f t="shared" si="22"/>
        <v>105.3087555266097</v>
      </c>
      <c r="AG45">
        <v>11</v>
      </c>
      <c r="AH45">
        <v>2</v>
      </c>
      <c r="AI45">
        <f t="shared" si="23"/>
        <v>1</v>
      </c>
      <c r="AJ45">
        <f t="shared" si="24"/>
        <v>0</v>
      </c>
      <c r="AK45">
        <f t="shared" si="25"/>
        <v>51595.167927921299</v>
      </c>
      <c r="AL45" t="s">
        <v>415</v>
      </c>
      <c r="AM45">
        <v>6960.3</v>
      </c>
      <c r="AN45">
        <v>244.8124</v>
      </c>
      <c r="AO45">
        <v>892.86711584811997</v>
      </c>
      <c r="AP45">
        <f t="shared" si="26"/>
        <v>0.72581317459826411</v>
      </c>
      <c r="AQ45">
        <v>-0.43209471141234851</v>
      </c>
      <c r="AR45" t="s">
        <v>547</v>
      </c>
      <c r="AS45">
        <v>7122.96</v>
      </c>
      <c r="AT45">
        <v>609.78200000000004</v>
      </c>
      <c r="AU45">
        <v>866.21350151388594</v>
      </c>
      <c r="AV45">
        <f t="shared" si="27"/>
        <v>0.29603729457659023</v>
      </c>
      <c r="AW45">
        <v>0.5</v>
      </c>
      <c r="AX45">
        <f t="shared" si="28"/>
        <v>1513.3784999209902</v>
      </c>
      <c r="AY45">
        <f t="shared" si="29"/>
        <v>42.565326888059865</v>
      </c>
      <c r="AZ45">
        <f t="shared" si="30"/>
        <v>224.0082383934942</v>
      </c>
      <c r="BA45">
        <f t="shared" si="31"/>
        <v>2.8411545163167708E-2</v>
      </c>
      <c r="BB45">
        <f t="shared" si="32"/>
        <v>3.0770259627275906E-2</v>
      </c>
      <c r="BC45">
        <f t="shared" si="33"/>
        <v>242.76424665143537</v>
      </c>
      <c r="BD45" t="s">
        <v>548</v>
      </c>
      <c r="BE45">
        <v>418.95</v>
      </c>
      <c r="BF45">
        <f t="shared" si="34"/>
        <v>418.95</v>
      </c>
      <c r="BG45">
        <f t="shared" si="35"/>
        <v>0.51634325802149372</v>
      </c>
      <c r="BH45">
        <f t="shared" si="36"/>
        <v>0.57333428872671965</v>
      </c>
      <c r="BI45">
        <f t="shared" si="37"/>
        <v>5.6241088247118549E-2</v>
      </c>
      <c r="BJ45">
        <f t="shared" si="38"/>
        <v>0.41266663494666439</v>
      </c>
      <c r="BK45">
        <f t="shared" si="39"/>
        <v>4.11286480638475E-2</v>
      </c>
      <c r="BL45">
        <f t="shared" si="40"/>
        <v>0.3939086431906143</v>
      </c>
      <c r="BM45">
        <f t="shared" si="41"/>
        <v>0.60609135680938575</v>
      </c>
      <c r="BN45">
        <v>179</v>
      </c>
      <c r="BO45">
        <v>290.00000000000011</v>
      </c>
      <c r="BP45">
        <v>792.27</v>
      </c>
      <c r="BQ45">
        <v>285</v>
      </c>
      <c r="BR45">
        <v>7122.96</v>
      </c>
      <c r="BS45">
        <v>793.31</v>
      </c>
      <c r="BT45">
        <v>-1.04</v>
      </c>
      <c r="BU45">
        <v>300.00000000000011</v>
      </c>
      <c r="BV45">
        <v>38.200000000000003</v>
      </c>
      <c r="BW45">
        <v>866.21350151388594</v>
      </c>
      <c r="BX45">
        <v>1.130297162060647</v>
      </c>
      <c r="BY45">
        <v>-51.926824913906493</v>
      </c>
      <c r="BZ45">
        <v>0.67482756649663278</v>
      </c>
      <c r="CA45">
        <v>0.99529335730103863</v>
      </c>
      <c r="CB45">
        <v>-7.0295096774193678E-3</v>
      </c>
      <c r="CC45">
        <v>289.99999999999989</v>
      </c>
      <c r="CD45">
        <v>799.27</v>
      </c>
      <c r="CE45">
        <v>895</v>
      </c>
      <c r="CF45">
        <v>7116.68</v>
      </c>
      <c r="CG45">
        <v>793.25</v>
      </c>
      <c r="CH45">
        <v>6.02</v>
      </c>
      <c r="CV45">
        <f t="shared" si="42"/>
        <v>1800.23</v>
      </c>
      <c r="CW45">
        <f t="shared" si="43"/>
        <v>1513.3784999209902</v>
      </c>
      <c r="CX45">
        <f t="shared" si="44"/>
        <v>0.84065841582519463</v>
      </c>
      <c r="CY45">
        <f t="shared" si="45"/>
        <v>0.16087074254262559</v>
      </c>
      <c r="CZ45">
        <v>5.18</v>
      </c>
      <c r="DA45">
        <v>0.5</v>
      </c>
      <c r="DB45" t="s">
        <v>418</v>
      </c>
      <c r="DC45">
        <v>2</v>
      </c>
      <c r="DD45">
        <v>1700242451.5999999</v>
      </c>
      <c r="DE45">
        <v>404.44200000000001</v>
      </c>
      <c r="DF45">
        <v>450.005</v>
      </c>
      <c r="DG45">
        <v>28.0474</v>
      </c>
      <c r="DH45">
        <v>24.491199999999999</v>
      </c>
      <c r="DI45">
        <v>402.79399999999998</v>
      </c>
      <c r="DJ45">
        <v>27.737100000000002</v>
      </c>
      <c r="DK45">
        <v>500.16399999999999</v>
      </c>
      <c r="DL45">
        <v>98.648300000000006</v>
      </c>
      <c r="DM45">
        <v>0.10039099999999999</v>
      </c>
      <c r="DN45">
        <v>29.861899999999999</v>
      </c>
      <c r="DO45">
        <v>30.022400000000001</v>
      </c>
      <c r="DP45">
        <v>999.9</v>
      </c>
      <c r="DQ45">
        <v>0</v>
      </c>
      <c r="DR45">
        <v>0</v>
      </c>
      <c r="DS45">
        <v>9985</v>
      </c>
      <c r="DT45">
        <v>0</v>
      </c>
      <c r="DU45">
        <v>234.65299999999999</v>
      </c>
      <c r="DV45">
        <v>-45.563099999999999</v>
      </c>
      <c r="DW45">
        <v>416.113</v>
      </c>
      <c r="DX45">
        <v>461.303</v>
      </c>
      <c r="DY45">
        <v>3.5561699999999998</v>
      </c>
      <c r="DZ45">
        <v>450.005</v>
      </c>
      <c r="EA45">
        <v>24.491199999999999</v>
      </c>
      <c r="EB45">
        <v>2.7668300000000001</v>
      </c>
      <c r="EC45">
        <v>2.4160200000000001</v>
      </c>
      <c r="ED45">
        <v>22.6875</v>
      </c>
      <c r="EE45">
        <v>20.471499999999999</v>
      </c>
      <c r="EF45">
        <v>1800.23</v>
      </c>
      <c r="EG45">
        <v>0.97799199999999997</v>
      </c>
      <c r="EH45">
        <v>2.2007499999999999E-2</v>
      </c>
      <c r="EI45">
        <v>0</v>
      </c>
      <c r="EJ45">
        <v>610.01900000000001</v>
      </c>
      <c r="EK45">
        <v>5.0001199999999999</v>
      </c>
      <c r="EL45">
        <v>11840.6</v>
      </c>
      <c r="EM45">
        <v>15631.9</v>
      </c>
      <c r="EN45">
        <v>52.686999999999998</v>
      </c>
      <c r="EO45">
        <v>53.875</v>
      </c>
      <c r="EP45">
        <v>53.75</v>
      </c>
      <c r="EQ45">
        <v>53.686999999999998</v>
      </c>
      <c r="ER45">
        <v>54.061999999999998</v>
      </c>
      <c r="ES45">
        <v>1755.72</v>
      </c>
      <c r="ET45">
        <v>39.51</v>
      </c>
      <c r="EU45">
        <v>0</v>
      </c>
      <c r="EV45">
        <v>2006.400000095367</v>
      </c>
      <c r="EW45">
        <v>0</v>
      </c>
      <c r="EX45">
        <v>609.78200000000004</v>
      </c>
      <c r="EY45">
        <v>-0.117880347593545</v>
      </c>
      <c r="EZ45">
        <v>90.707692384036889</v>
      </c>
      <c r="FA45">
        <v>11828.52307692308</v>
      </c>
      <c r="FB45">
        <v>15</v>
      </c>
      <c r="FC45">
        <v>1700242414.5999999</v>
      </c>
      <c r="FD45" t="s">
        <v>549</v>
      </c>
      <c r="FE45">
        <v>1700242407.5999999</v>
      </c>
      <c r="FF45">
        <v>1700242414.5999999</v>
      </c>
      <c r="FG45">
        <v>36</v>
      </c>
      <c r="FH45">
        <v>0.124</v>
      </c>
      <c r="FI45">
        <v>-2.7E-2</v>
      </c>
      <c r="FJ45">
        <v>1.6659999999999999</v>
      </c>
      <c r="FK45">
        <v>0.31</v>
      </c>
      <c r="FL45">
        <v>450</v>
      </c>
      <c r="FM45">
        <v>24</v>
      </c>
      <c r="FN45">
        <v>7.0000000000000007E-2</v>
      </c>
      <c r="FO45">
        <v>0.03</v>
      </c>
      <c r="FP45">
        <v>42.544110807822683</v>
      </c>
      <c r="FQ45">
        <v>0.25723035334453359</v>
      </c>
      <c r="FR45">
        <v>3.0989223607270942E-2</v>
      </c>
      <c r="FS45">
        <v>1</v>
      </c>
      <c r="FT45">
        <v>0.2285104888527329</v>
      </c>
      <c r="FU45">
        <v>4.4221824165332393E-2</v>
      </c>
      <c r="FV45">
        <v>3.2837012352856642E-3</v>
      </c>
      <c r="FW45">
        <v>1</v>
      </c>
      <c r="FX45">
        <v>2</v>
      </c>
      <c r="FY45">
        <v>2</v>
      </c>
      <c r="FZ45" t="s">
        <v>420</v>
      </c>
      <c r="GA45">
        <v>2.91242</v>
      </c>
      <c r="GB45">
        <v>2.7512599999999998</v>
      </c>
      <c r="GC45">
        <v>9.0576500000000004E-2</v>
      </c>
      <c r="GD45">
        <v>0.10016600000000001</v>
      </c>
      <c r="GE45">
        <v>0.126883</v>
      </c>
      <c r="GF45">
        <v>0.117922</v>
      </c>
      <c r="GG45">
        <v>28152.799999999999</v>
      </c>
      <c r="GH45">
        <v>27701.599999999999</v>
      </c>
      <c r="GI45">
        <v>28203</v>
      </c>
      <c r="GJ45">
        <v>28156.1</v>
      </c>
      <c r="GK45">
        <v>33562.1</v>
      </c>
      <c r="GL45">
        <v>34695.300000000003</v>
      </c>
      <c r="GM45">
        <v>42372.3</v>
      </c>
      <c r="GN45">
        <v>43776.7</v>
      </c>
      <c r="GO45">
        <v>1.7283999999999999</v>
      </c>
      <c r="GP45">
        <v>1.8784000000000001</v>
      </c>
      <c r="GQ45">
        <v>-1.79857E-2</v>
      </c>
      <c r="GR45">
        <v>0</v>
      </c>
      <c r="GS45">
        <v>30.315000000000001</v>
      </c>
      <c r="GT45">
        <v>999.9</v>
      </c>
      <c r="GU45">
        <v>36.1</v>
      </c>
      <c r="GV45">
        <v>41.9</v>
      </c>
      <c r="GW45">
        <v>30.008099999999999</v>
      </c>
      <c r="GX45">
        <v>61.756599999999999</v>
      </c>
      <c r="GY45">
        <v>30.661100000000001</v>
      </c>
      <c r="GZ45">
        <v>1</v>
      </c>
      <c r="HA45">
        <v>0.68051799999999996</v>
      </c>
      <c r="HB45">
        <v>4.8551599999999997</v>
      </c>
      <c r="HC45">
        <v>20.194800000000001</v>
      </c>
      <c r="HD45">
        <v>5.2755400000000003</v>
      </c>
      <c r="HE45">
        <v>12.0886</v>
      </c>
      <c r="HF45">
        <v>5.0130999999999997</v>
      </c>
      <c r="HG45">
        <v>3.2919999999999998</v>
      </c>
      <c r="HH45">
        <v>9999</v>
      </c>
      <c r="HI45">
        <v>9999</v>
      </c>
      <c r="HJ45">
        <v>9999</v>
      </c>
      <c r="HK45">
        <v>999.9</v>
      </c>
      <c r="HL45">
        <v>1.87612</v>
      </c>
      <c r="HM45">
        <v>1.8767199999999999</v>
      </c>
      <c r="HN45">
        <v>1.87639</v>
      </c>
      <c r="HO45">
        <v>1.8802000000000001</v>
      </c>
      <c r="HP45">
        <v>1.87381</v>
      </c>
      <c r="HQ45">
        <v>1.8768400000000001</v>
      </c>
      <c r="HR45">
        <v>1.8767100000000001</v>
      </c>
      <c r="HS45">
        <v>1.8781399999999999</v>
      </c>
      <c r="HT45">
        <v>0</v>
      </c>
      <c r="HU45">
        <v>0</v>
      </c>
      <c r="HV45">
        <v>0</v>
      </c>
      <c r="HW45">
        <v>0</v>
      </c>
      <c r="HX45" t="s">
        <v>421</v>
      </c>
      <c r="HY45" t="s">
        <v>422</v>
      </c>
      <c r="HZ45" t="s">
        <v>423</v>
      </c>
      <c r="IA45" t="s">
        <v>424</v>
      </c>
      <c r="IB45" t="s">
        <v>424</v>
      </c>
      <c r="IC45" t="s">
        <v>423</v>
      </c>
      <c r="ID45">
        <v>0</v>
      </c>
      <c r="IE45">
        <v>100</v>
      </c>
      <c r="IF45">
        <v>100</v>
      </c>
      <c r="IG45">
        <v>1.6479999999999999</v>
      </c>
      <c r="IH45">
        <v>0.31030000000000002</v>
      </c>
      <c r="II45">
        <v>1.390990357504053</v>
      </c>
      <c r="IJ45">
        <v>8.9576739069318506E-4</v>
      </c>
      <c r="IK45">
        <v>-7.2130504814809596E-7</v>
      </c>
      <c r="IL45">
        <v>1.9987036519832741E-10</v>
      </c>
      <c r="IM45">
        <v>0.31029500000000348</v>
      </c>
      <c r="IN45">
        <v>0</v>
      </c>
      <c r="IO45">
        <v>0</v>
      </c>
      <c r="IP45">
        <v>0</v>
      </c>
      <c r="IQ45">
        <v>1</v>
      </c>
      <c r="IR45">
        <v>2126</v>
      </c>
      <c r="IS45">
        <v>0</v>
      </c>
      <c r="IT45">
        <v>20</v>
      </c>
      <c r="IU45">
        <v>0.7</v>
      </c>
      <c r="IV45">
        <v>0.6</v>
      </c>
      <c r="IW45">
        <v>1.15845</v>
      </c>
      <c r="IX45">
        <v>2.6879900000000001</v>
      </c>
      <c r="IY45">
        <v>1.69434</v>
      </c>
      <c r="IZ45">
        <v>2.34009</v>
      </c>
      <c r="JA45">
        <v>1.5466299999999999</v>
      </c>
      <c r="JB45">
        <v>2.5329600000000001</v>
      </c>
      <c r="JC45">
        <v>45.863199999999999</v>
      </c>
      <c r="JD45">
        <v>23.780999999999999</v>
      </c>
      <c r="JE45">
        <v>18</v>
      </c>
      <c r="JF45">
        <v>484.39699999999999</v>
      </c>
      <c r="JG45">
        <v>490.90300000000002</v>
      </c>
      <c r="JH45">
        <v>25.4102</v>
      </c>
      <c r="JI45">
        <v>35.510300000000001</v>
      </c>
      <c r="JJ45">
        <v>30.000800000000002</v>
      </c>
      <c r="JK45">
        <v>35.347299999999997</v>
      </c>
      <c r="JL45">
        <v>35.283999999999999</v>
      </c>
      <c r="JM45">
        <v>23.266300000000001</v>
      </c>
      <c r="JN45">
        <v>13.045299999999999</v>
      </c>
      <c r="JO45">
        <v>38.8035</v>
      </c>
      <c r="JP45">
        <v>25.3825</v>
      </c>
      <c r="JQ45">
        <v>450</v>
      </c>
      <c r="JR45">
        <v>24.268000000000001</v>
      </c>
      <c r="JS45">
        <v>98.793499999999995</v>
      </c>
      <c r="JT45">
        <v>98.623500000000007</v>
      </c>
    </row>
    <row r="46" spans="1:280" x14ac:dyDescent="0.25">
      <c r="A46">
        <v>30</v>
      </c>
      <c r="B46">
        <v>1700242551.0999999</v>
      </c>
      <c r="C46">
        <v>7325.5</v>
      </c>
      <c r="D46" t="s">
        <v>550</v>
      </c>
      <c r="E46" t="s">
        <v>551</v>
      </c>
      <c r="F46" t="s">
        <v>412</v>
      </c>
      <c r="G46" t="s">
        <v>545</v>
      </c>
      <c r="H46" t="s">
        <v>546</v>
      </c>
      <c r="I46">
        <v>1700242551.0999999</v>
      </c>
      <c r="J46">
        <f t="shared" si="0"/>
        <v>3.0335562875180018E-3</v>
      </c>
      <c r="K46">
        <f t="shared" si="1"/>
        <v>3.0335562875180018</v>
      </c>
      <c r="L46">
        <f t="shared" si="2"/>
        <v>45.828308793830075</v>
      </c>
      <c r="M46">
        <f t="shared" si="3"/>
        <v>1447.8679999999999</v>
      </c>
      <c r="N46">
        <f t="shared" si="4"/>
        <v>1021.3077194727952</v>
      </c>
      <c r="O46">
        <f t="shared" si="5"/>
        <v>100.85159975677871</v>
      </c>
      <c r="P46">
        <f t="shared" si="6"/>
        <v>142.97336762716719</v>
      </c>
      <c r="Q46">
        <f t="shared" si="7"/>
        <v>0.19143981686422568</v>
      </c>
      <c r="R46">
        <f t="shared" si="8"/>
        <v>3.0757261373246698</v>
      </c>
      <c r="S46">
        <f t="shared" si="9"/>
        <v>0.18505792903727686</v>
      </c>
      <c r="T46">
        <f t="shared" si="10"/>
        <v>0.11621686973985654</v>
      </c>
      <c r="U46">
        <f t="shared" si="11"/>
        <v>289.59156884750411</v>
      </c>
      <c r="V46">
        <f t="shared" si="12"/>
        <v>30.687512666673928</v>
      </c>
      <c r="W46">
        <f t="shared" si="13"/>
        <v>30.089099999999998</v>
      </c>
      <c r="X46">
        <f t="shared" si="14"/>
        <v>4.2823027207450188</v>
      </c>
      <c r="Y46">
        <f t="shared" si="15"/>
        <v>64.563436536162371</v>
      </c>
      <c r="Z46">
        <f t="shared" si="16"/>
        <v>2.720987786847</v>
      </c>
      <c r="AA46">
        <f t="shared" si="17"/>
        <v>4.2144407621842719</v>
      </c>
      <c r="AB46">
        <f t="shared" si="18"/>
        <v>1.5613149338980188</v>
      </c>
      <c r="AC46">
        <f t="shared" si="19"/>
        <v>-133.77983227954388</v>
      </c>
      <c r="AD46">
        <f t="shared" si="20"/>
        <v>-46.097556209294211</v>
      </c>
      <c r="AE46">
        <f t="shared" si="21"/>
        <v>-3.3308481882339507</v>
      </c>
      <c r="AF46">
        <f t="shared" si="22"/>
        <v>106.38333217043204</v>
      </c>
      <c r="AG46">
        <v>11</v>
      </c>
      <c r="AH46">
        <v>2</v>
      </c>
      <c r="AI46">
        <f t="shared" si="23"/>
        <v>1</v>
      </c>
      <c r="AJ46">
        <f t="shared" si="24"/>
        <v>0</v>
      </c>
      <c r="AK46">
        <f t="shared" si="25"/>
        <v>51721.48668614823</v>
      </c>
      <c r="AL46" t="s">
        <v>427</v>
      </c>
      <c r="AM46" t="s">
        <v>427</v>
      </c>
      <c r="AN46">
        <v>0</v>
      </c>
      <c r="AO46">
        <v>0</v>
      </c>
      <c r="AP46" t="e">
        <f t="shared" si="26"/>
        <v>#DIV/0!</v>
      </c>
      <c r="AQ46">
        <v>0</v>
      </c>
      <c r="AR46" t="s">
        <v>427</v>
      </c>
      <c r="AS46" t="s">
        <v>427</v>
      </c>
      <c r="AT46">
        <v>0</v>
      </c>
      <c r="AU46">
        <v>0</v>
      </c>
      <c r="AV46" t="e">
        <f t="shared" si="27"/>
        <v>#DIV/0!</v>
      </c>
      <c r="AW46">
        <v>0.5</v>
      </c>
      <c r="AX46">
        <f t="shared" si="28"/>
        <v>1513.3112999209868</v>
      </c>
      <c r="AY46">
        <f t="shared" si="29"/>
        <v>45.828308793830075</v>
      </c>
      <c r="AZ46" t="e">
        <f t="shared" si="30"/>
        <v>#DIV/0!</v>
      </c>
      <c r="BA46">
        <f t="shared" si="31"/>
        <v>3.0283464344859429E-2</v>
      </c>
      <c r="BB46" t="e">
        <f t="shared" si="32"/>
        <v>#DIV/0!</v>
      </c>
      <c r="BC46" t="e">
        <f t="shared" si="33"/>
        <v>#DIV/0!</v>
      </c>
      <c r="BD46" t="s">
        <v>427</v>
      </c>
      <c r="BE46">
        <v>0</v>
      </c>
      <c r="BF46" t="e">
        <f t="shared" si="34"/>
        <v>#DIV/0!</v>
      </c>
      <c r="BG46" t="e">
        <f t="shared" si="35"/>
        <v>#DIV/0!</v>
      </c>
      <c r="BH46" t="e">
        <f t="shared" si="36"/>
        <v>#DIV/0!</v>
      </c>
      <c r="BI46" t="e">
        <f t="shared" si="37"/>
        <v>#DIV/0!</v>
      </c>
      <c r="BJ46" t="e">
        <f t="shared" si="38"/>
        <v>#DIV/0!</v>
      </c>
      <c r="BK46" t="e">
        <f t="shared" si="39"/>
        <v>#DIV/0!</v>
      </c>
      <c r="BL46" t="e">
        <f t="shared" si="40"/>
        <v>#DIV/0!</v>
      </c>
      <c r="BM46" t="e">
        <f t="shared" si="41"/>
        <v>#DIV/0!</v>
      </c>
      <c r="BN46">
        <v>179</v>
      </c>
      <c r="BO46">
        <v>290.00000000000011</v>
      </c>
      <c r="BP46">
        <v>792.27</v>
      </c>
      <c r="BQ46">
        <v>285</v>
      </c>
      <c r="BR46">
        <v>7122.96</v>
      </c>
      <c r="BS46">
        <v>793.31</v>
      </c>
      <c r="BT46">
        <v>-1.04</v>
      </c>
      <c r="BU46">
        <v>300.00000000000011</v>
      </c>
      <c r="BV46">
        <v>38.200000000000003</v>
      </c>
      <c r="BW46">
        <v>866.21350151388594</v>
      </c>
      <c r="BX46">
        <v>1.130297162060647</v>
      </c>
      <c r="BY46">
        <v>-51.926824913906493</v>
      </c>
      <c r="BZ46">
        <v>0.67482756649663278</v>
      </c>
      <c r="CA46">
        <v>0.99529335730103863</v>
      </c>
      <c r="CB46">
        <v>-7.0295096774193678E-3</v>
      </c>
      <c r="CC46">
        <v>289.99999999999989</v>
      </c>
      <c r="CD46">
        <v>799.27</v>
      </c>
      <c r="CE46">
        <v>895</v>
      </c>
      <c r="CF46">
        <v>7116.68</v>
      </c>
      <c r="CG46">
        <v>793.25</v>
      </c>
      <c r="CH46">
        <v>6.02</v>
      </c>
      <c r="CV46">
        <f t="shared" si="42"/>
        <v>1800.15</v>
      </c>
      <c r="CW46">
        <f t="shared" si="43"/>
        <v>1513.3112999209868</v>
      </c>
      <c r="CX46">
        <f t="shared" si="44"/>
        <v>0.84065844508567988</v>
      </c>
      <c r="CY46">
        <f t="shared" si="45"/>
        <v>0.16087079901536211</v>
      </c>
      <c r="CZ46">
        <v>5.18</v>
      </c>
      <c r="DA46">
        <v>0.5</v>
      </c>
      <c r="DB46" t="s">
        <v>418</v>
      </c>
      <c r="DC46">
        <v>2</v>
      </c>
      <c r="DD46">
        <v>1700242551.0999999</v>
      </c>
      <c r="DE46">
        <v>1447.8679999999999</v>
      </c>
      <c r="DF46">
        <v>1499.88</v>
      </c>
      <c r="DG46">
        <v>27.555</v>
      </c>
      <c r="DH46">
        <v>24.4998</v>
      </c>
      <c r="DI46">
        <v>1445.33</v>
      </c>
      <c r="DJ46">
        <v>27.234999999999999</v>
      </c>
      <c r="DK46">
        <v>500.15800000000002</v>
      </c>
      <c r="DL46">
        <v>98.6477</v>
      </c>
      <c r="DM46">
        <v>9.9815399999999999E-2</v>
      </c>
      <c r="DN46">
        <v>29.8111</v>
      </c>
      <c r="DO46">
        <v>30.089099999999998</v>
      </c>
      <c r="DP46">
        <v>999.9</v>
      </c>
      <c r="DQ46">
        <v>0</v>
      </c>
      <c r="DR46">
        <v>0</v>
      </c>
      <c r="DS46">
        <v>10008.799999999999</v>
      </c>
      <c r="DT46">
        <v>0</v>
      </c>
      <c r="DU46">
        <v>315.245</v>
      </c>
      <c r="DV46">
        <v>-52.767699999999998</v>
      </c>
      <c r="DW46">
        <v>1488.1</v>
      </c>
      <c r="DX46">
        <v>1537.55</v>
      </c>
      <c r="DY46">
        <v>3.0454699999999999</v>
      </c>
      <c r="DZ46">
        <v>1499.88</v>
      </c>
      <c r="EA46">
        <v>24.4998</v>
      </c>
      <c r="EB46">
        <v>2.7172800000000001</v>
      </c>
      <c r="EC46">
        <v>2.4168500000000002</v>
      </c>
      <c r="ED46">
        <v>22.39</v>
      </c>
      <c r="EE46">
        <v>20.4771</v>
      </c>
      <c r="EF46">
        <v>1800.15</v>
      </c>
      <c r="EG46">
        <v>0.977993</v>
      </c>
      <c r="EH46">
        <v>2.20074E-2</v>
      </c>
      <c r="EI46">
        <v>0</v>
      </c>
      <c r="EJ46">
        <v>602.29899999999998</v>
      </c>
      <c r="EK46">
        <v>5.0001199999999999</v>
      </c>
      <c r="EL46">
        <v>11616.8</v>
      </c>
      <c r="EM46">
        <v>15631.2</v>
      </c>
      <c r="EN46">
        <v>52.686999999999998</v>
      </c>
      <c r="EO46">
        <v>54</v>
      </c>
      <c r="EP46">
        <v>53.811999999999998</v>
      </c>
      <c r="EQ46">
        <v>53.75</v>
      </c>
      <c r="ER46">
        <v>54.061999999999998</v>
      </c>
      <c r="ES46">
        <v>1755.64</v>
      </c>
      <c r="ET46">
        <v>39.51</v>
      </c>
      <c r="EU46">
        <v>0</v>
      </c>
      <c r="EV46">
        <v>97.799999952316284</v>
      </c>
      <c r="EW46">
        <v>0</v>
      </c>
      <c r="EX46">
        <v>602.80238461538465</v>
      </c>
      <c r="EY46">
        <v>-2.5331282130881938</v>
      </c>
      <c r="EZ46">
        <v>-529.41196651836412</v>
      </c>
      <c r="FA46">
        <v>11743.042307692311</v>
      </c>
      <c r="FB46">
        <v>15</v>
      </c>
      <c r="FC46">
        <v>1700242589.0999999</v>
      </c>
      <c r="FD46" t="s">
        <v>552</v>
      </c>
      <c r="FE46">
        <v>1700242589.0999999</v>
      </c>
      <c r="FF46">
        <v>1700242578.0999999</v>
      </c>
      <c r="FG46">
        <v>37</v>
      </c>
      <c r="FH46">
        <v>0.752</v>
      </c>
      <c r="FI46">
        <v>0.01</v>
      </c>
      <c r="FJ46">
        <v>2.5379999999999998</v>
      </c>
      <c r="FK46">
        <v>0.32</v>
      </c>
      <c r="FL46">
        <v>1500</v>
      </c>
      <c r="FM46">
        <v>25</v>
      </c>
      <c r="FN46">
        <v>7.0000000000000007E-2</v>
      </c>
      <c r="FO46">
        <v>0.03</v>
      </c>
      <c r="FP46">
        <v>46.721599269550808</v>
      </c>
      <c r="FQ46">
        <v>-0.30666562691338622</v>
      </c>
      <c r="FR46">
        <v>8.5440662028973741E-2</v>
      </c>
      <c r="FS46">
        <v>1</v>
      </c>
      <c r="FT46">
        <v>0.1981864686188087</v>
      </c>
      <c r="FU46">
        <v>-5.018190840091289E-2</v>
      </c>
      <c r="FV46">
        <v>3.6289255405640201E-3</v>
      </c>
      <c r="FW46">
        <v>0</v>
      </c>
      <c r="FX46">
        <v>1</v>
      </c>
      <c r="FY46">
        <v>2</v>
      </c>
      <c r="FZ46" t="s">
        <v>553</v>
      </c>
      <c r="GA46">
        <v>2.9121299999999999</v>
      </c>
      <c r="GB46">
        <v>2.7508900000000001</v>
      </c>
      <c r="GC46">
        <v>0.21551999999999999</v>
      </c>
      <c r="GD46">
        <v>0.22323399999999999</v>
      </c>
      <c r="GE46">
        <v>0.12526100000000001</v>
      </c>
      <c r="GF46">
        <v>0.11791699999999999</v>
      </c>
      <c r="GG46">
        <v>24272.6</v>
      </c>
      <c r="GH46">
        <v>23899.1</v>
      </c>
      <c r="GI46">
        <v>28195.7</v>
      </c>
      <c r="GJ46">
        <v>28147.5</v>
      </c>
      <c r="GK46">
        <v>33615.1</v>
      </c>
      <c r="GL46">
        <v>34685.4</v>
      </c>
      <c r="GM46">
        <v>42361.2</v>
      </c>
      <c r="GN46">
        <v>43764.4</v>
      </c>
      <c r="GO46">
        <v>1.72715</v>
      </c>
      <c r="GP46">
        <v>1.88028</v>
      </c>
      <c r="GQ46">
        <v>-2.9541600000000001E-2</v>
      </c>
      <c r="GR46">
        <v>0</v>
      </c>
      <c r="GS46">
        <v>30.569600000000001</v>
      </c>
      <c r="GT46">
        <v>999.9</v>
      </c>
      <c r="GU46">
        <v>36</v>
      </c>
      <c r="GV46">
        <v>41.9</v>
      </c>
      <c r="GW46">
        <v>29.9236</v>
      </c>
      <c r="GX46">
        <v>61.986600000000003</v>
      </c>
      <c r="GY46">
        <v>31.1098</v>
      </c>
      <c r="GZ46">
        <v>1</v>
      </c>
      <c r="HA46">
        <v>0.69667400000000002</v>
      </c>
      <c r="HB46">
        <v>5.5787699999999996</v>
      </c>
      <c r="HC46">
        <v>20.1721</v>
      </c>
      <c r="HD46">
        <v>5.2743399999999996</v>
      </c>
      <c r="HE46">
        <v>12.089</v>
      </c>
      <c r="HF46">
        <v>5.0126999999999997</v>
      </c>
      <c r="HG46">
        <v>3.2919999999999998</v>
      </c>
      <c r="HH46">
        <v>9999</v>
      </c>
      <c r="HI46">
        <v>9999</v>
      </c>
      <c r="HJ46">
        <v>9999</v>
      </c>
      <c r="HK46">
        <v>999.9</v>
      </c>
      <c r="HL46">
        <v>1.87615</v>
      </c>
      <c r="HM46">
        <v>1.8767</v>
      </c>
      <c r="HN46">
        <v>1.8763700000000001</v>
      </c>
      <c r="HO46">
        <v>1.8802099999999999</v>
      </c>
      <c r="HP46">
        <v>1.87382</v>
      </c>
      <c r="HQ46">
        <v>1.87686</v>
      </c>
      <c r="HR46">
        <v>1.8767</v>
      </c>
      <c r="HS46">
        <v>1.8781099999999999</v>
      </c>
      <c r="HT46">
        <v>0</v>
      </c>
      <c r="HU46">
        <v>0</v>
      </c>
      <c r="HV46">
        <v>0</v>
      </c>
      <c r="HW46">
        <v>0</v>
      </c>
      <c r="HX46" t="s">
        <v>421</v>
      </c>
      <c r="HY46" t="s">
        <v>422</v>
      </c>
      <c r="HZ46" t="s">
        <v>423</v>
      </c>
      <c r="IA46" t="s">
        <v>424</v>
      </c>
      <c r="IB46" t="s">
        <v>424</v>
      </c>
      <c r="IC46" t="s">
        <v>423</v>
      </c>
      <c r="ID46">
        <v>0</v>
      </c>
      <c r="IE46">
        <v>100</v>
      </c>
      <c r="IF46">
        <v>100</v>
      </c>
      <c r="IG46">
        <v>2.5379999999999998</v>
      </c>
      <c r="IH46">
        <v>0.32</v>
      </c>
      <c r="II46">
        <v>1.390990357504053</v>
      </c>
      <c r="IJ46">
        <v>8.9576739069318506E-4</v>
      </c>
      <c r="IK46">
        <v>-7.2130504814809596E-7</v>
      </c>
      <c r="IL46">
        <v>1.9987036519832741E-10</v>
      </c>
      <c r="IM46">
        <v>0.31029500000000348</v>
      </c>
      <c r="IN46">
        <v>0</v>
      </c>
      <c r="IO46">
        <v>0</v>
      </c>
      <c r="IP46">
        <v>0</v>
      </c>
      <c r="IQ46">
        <v>1</v>
      </c>
      <c r="IR46">
        <v>2126</v>
      </c>
      <c r="IS46">
        <v>0</v>
      </c>
      <c r="IT46">
        <v>20</v>
      </c>
      <c r="IU46">
        <v>2.4</v>
      </c>
      <c r="IV46">
        <v>2.2999999999999998</v>
      </c>
      <c r="IW46">
        <v>3.0798299999999998</v>
      </c>
      <c r="IX46">
        <v>2.65503</v>
      </c>
      <c r="IY46">
        <v>1.69434</v>
      </c>
      <c r="IZ46">
        <v>2.33887</v>
      </c>
      <c r="JA46">
        <v>1.5466299999999999</v>
      </c>
      <c r="JB46">
        <v>2.4096700000000002</v>
      </c>
      <c r="JC46">
        <v>45.776800000000001</v>
      </c>
      <c r="JD46">
        <v>23.7285</v>
      </c>
      <c r="JE46">
        <v>18</v>
      </c>
      <c r="JF46">
        <v>484.46800000000002</v>
      </c>
      <c r="JG46">
        <v>493.25599999999997</v>
      </c>
      <c r="JH46">
        <v>24.998200000000001</v>
      </c>
      <c r="JI46">
        <v>35.640500000000003</v>
      </c>
      <c r="JJ46">
        <v>30.001300000000001</v>
      </c>
      <c r="JK46">
        <v>35.473999999999997</v>
      </c>
      <c r="JL46">
        <v>35.411799999999999</v>
      </c>
      <c r="JM46">
        <v>61.689599999999999</v>
      </c>
      <c r="JN46">
        <v>10.007099999999999</v>
      </c>
      <c r="JO46">
        <v>38.430799999999998</v>
      </c>
      <c r="JP46">
        <v>24.931699999999999</v>
      </c>
      <c r="JQ46">
        <v>1500</v>
      </c>
      <c r="JR46">
        <v>24.785900000000002</v>
      </c>
      <c r="JS46">
        <v>98.767799999999994</v>
      </c>
      <c r="JT46">
        <v>98.594899999999996</v>
      </c>
    </row>
    <row r="47" spans="1:280" x14ac:dyDescent="0.25">
      <c r="A47">
        <v>31</v>
      </c>
      <c r="B47">
        <v>1700242701.5999999</v>
      </c>
      <c r="C47">
        <v>7476</v>
      </c>
      <c r="D47" t="s">
        <v>554</v>
      </c>
      <c r="E47" t="s">
        <v>555</v>
      </c>
      <c r="F47" t="s">
        <v>412</v>
      </c>
      <c r="G47" t="s">
        <v>545</v>
      </c>
      <c r="H47" t="s">
        <v>546</v>
      </c>
      <c r="I47">
        <v>1700242701.5999999</v>
      </c>
      <c r="J47">
        <f t="shared" si="0"/>
        <v>2.4169017274901718E-3</v>
      </c>
      <c r="K47">
        <f t="shared" si="1"/>
        <v>2.4169017274901718</v>
      </c>
      <c r="L47">
        <f t="shared" si="2"/>
        <v>43.62258001442175</v>
      </c>
      <c r="M47">
        <f t="shared" si="3"/>
        <v>1201.81</v>
      </c>
      <c r="N47">
        <f t="shared" si="4"/>
        <v>705.56385902851434</v>
      </c>
      <c r="O47">
        <f t="shared" si="5"/>
        <v>69.675055361968262</v>
      </c>
      <c r="P47">
        <f t="shared" si="6"/>
        <v>118.679800861488</v>
      </c>
      <c r="Q47">
        <f t="shared" si="7"/>
        <v>0.15153849524762278</v>
      </c>
      <c r="R47">
        <f t="shared" si="8"/>
        <v>3.0806895440517987</v>
      </c>
      <c r="S47">
        <f t="shared" si="9"/>
        <v>0.14751585595131098</v>
      </c>
      <c r="T47">
        <f t="shared" si="10"/>
        <v>9.2549934014476462E-2</v>
      </c>
      <c r="U47">
        <f t="shared" si="11"/>
        <v>289.58678084750153</v>
      </c>
      <c r="V47">
        <f t="shared" si="12"/>
        <v>30.604862839404362</v>
      </c>
      <c r="W47">
        <f t="shared" si="13"/>
        <v>29.976099999999999</v>
      </c>
      <c r="X47">
        <f t="shared" si="14"/>
        <v>4.2546045397765999</v>
      </c>
      <c r="Y47">
        <f t="shared" si="15"/>
        <v>64.780863969485665</v>
      </c>
      <c r="Z47">
        <f t="shared" si="16"/>
        <v>2.6935883843356803</v>
      </c>
      <c r="AA47">
        <f t="shared" si="17"/>
        <v>4.1580000933677983</v>
      </c>
      <c r="AB47">
        <f t="shared" si="18"/>
        <v>1.5610161554409197</v>
      </c>
      <c r="AC47">
        <f t="shared" si="19"/>
        <v>-106.58536618231658</v>
      </c>
      <c r="AD47">
        <f t="shared" si="20"/>
        <v>-66.301584971809177</v>
      </c>
      <c r="AE47">
        <f t="shared" si="21"/>
        <v>-4.7747854922170951</v>
      </c>
      <c r="AF47">
        <f t="shared" si="22"/>
        <v>111.92504420115864</v>
      </c>
      <c r="AG47">
        <v>11</v>
      </c>
      <c r="AH47">
        <v>2</v>
      </c>
      <c r="AI47">
        <f t="shared" si="23"/>
        <v>1</v>
      </c>
      <c r="AJ47">
        <f t="shared" si="24"/>
        <v>0</v>
      </c>
      <c r="AK47">
        <f t="shared" si="25"/>
        <v>51890.267319118182</v>
      </c>
      <c r="AL47" t="s">
        <v>415</v>
      </c>
      <c r="AM47">
        <v>6960.3</v>
      </c>
      <c r="AN47">
        <v>244.8124</v>
      </c>
      <c r="AO47">
        <v>892.86711584811997</v>
      </c>
      <c r="AP47">
        <f t="shared" si="26"/>
        <v>0.72581317459826411</v>
      </c>
      <c r="AQ47">
        <v>-0.43209471141234851</v>
      </c>
      <c r="AR47" t="s">
        <v>556</v>
      </c>
      <c r="AS47">
        <v>7122.72</v>
      </c>
      <c r="AT47">
        <v>603.27192307692314</v>
      </c>
      <c r="AU47">
        <v>873.17204264540101</v>
      </c>
      <c r="AV47">
        <f t="shared" si="27"/>
        <v>0.30910302481831231</v>
      </c>
      <c r="AW47">
        <v>0.5</v>
      </c>
      <c r="AX47">
        <f t="shared" si="28"/>
        <v>1513.2860999209852</v>
      </c>
      <c r="AY47">
        <f t="shared" si="29"/>
        <v>43.62258001442175</v>
      </c>
      <c r="AZ47">
        <f t="shared" si="30"/>
        <v>233.88065545054167</v>
      </c>
      <c r="BA47">
        <f t="shared" si="31"/>
        <v>2.9111927168388299E-2</v>
      </c>
      <c r="BB47">
        <f t="shared" si="32"/>
        <v>2.2555776228301912E-2</v>
      </c>
      <c r="BC47">
        <f t="shared" si="33"/>
        <v>243.30766455669308</v>
      </c>
      <c r="BD47" t="s">
        <v>557</v>
      </c>
      <c r="BE47">
        <v>421.27</v>
      </c>
      <c r="BF47">
        <f t="shared" si="34"/>
        <v>421.27</v>
      </c>
      <c r="BG47">
        <f t="shared" si="35"/>
        <v>0.51754066847616698</v>
      </c>
      <c r="BH47">
        <f t="shared" si="36"/>
        <v>0.59725359502360864</v>
      </c>
      <c r="BI47">
        <f t="shared" si="37"/>
        <v>4.1762497141865147E-2</v>
      </c>
      <c r="BJ47">
        <f t="shared" si="38"/>
        <v>0.42953127675767877</v>
      </c>
      <c r="BK47">
        <f t="shared" si="39"/>
        <v>3.0391065323772375E-2</v>
      </c>
      <c r="BL47">
        <f t="shared" si="40"/>
        <v>0.41706734948364815</v>
      </c>
      <c r="BM47">
        <f t="shared" si="41"/>
        <v>0.5829326505163519</v>
      </c>
      <c r="BN47">
        <v>181</v>
      </c>
      <c r="BO47">
        <v>290.00000000000011</v>
      </c>
      <c r="BP47">
        <v>791.38</v>
      </c>
      <c r="BQ47">
        <v>295</v>
      </c>
      <c r="BR47">
        <v>7122.72</v>
      </c>
      <c r="BS47">
        <v>792.97</v>
      </c>
      <c r="BT47">
        <v>-1.59</v>
      </c>
      <c r="BU47">
        <v>300.00000000000011</v>
      </c>
      <c r="BV47">
        <v>38.200000000000003</v>
      </c>
      <c r="BW47">
        <v>873.17204264540101</v>
      </c>
      <c r="BX47">
        <v>1.4504315802854679</v>
      </c>
      <c r="BY47">
        <v>-57.12892514626833</v>
      </c>
      <c r="BZ47">
        <v>0.86592877864878626</v>
      </c>
      <c r="CA47">
        <v>0.9936081669279313</v>
      </c>
      <c r="CB47">
        <v>-7.0292878754171289E-3</v>
      </c>
      <c r="CC47">
        <v>289.99999999999989</v>
      </c>
      <c r="CD47">
        <v>796.2</v>
      </c>
      <c r="CE47">
        <v>835</v>
      </c>
      <c r="CF47">
        <v>7116.95</v>
      </c>
      <c r="CG47">
        <v>792.9</v>
      </c>
      <c r="CH47">
        <v>3.3</v>
      </c>
      <c r="CV47">
        <f t="shared" si="42"/>
        <v>1800.12</v>
      </c>
      <c r="CW47">
        <f t="shared" si="43"/>
        <v>1513.2860999209852</v>
      </c>
      <c r="CX47">
        <f t="shared" si="44"/>
        <v>0.84065845605903233</v>
      </c>
      <c r="CY47">
        <f t="shared" si="45"/>
        <v>0.16087082019393237</v>
      </c>
      <c r="CZ47">
        <v>5.18</v>
      </c>
      <c r="DA47">
        <v>0.5</v>
      </c>
      <c r="DB47" t="s">
        <v>418</v>
      </c>
      <c r="DC47">
        <v>2</v>
      </c>
      <c r="DD47">
        <v>1700242701.5999999</v>
      </c>
      <c r="DE47">
        <v>1201.81</v>
      </c>
      <c r="DF47">
        <v>1250.01</v>
      </c>
      <c r="DG47">
        <v>27.276599999999998</v>
      </c>
      <c r="DH47">
        <v>24.841100000000001</v>
      </c>
      <c r="DI47">
        <v>1199.6400000000001</v>
      </c>
      <c r="DJ47">
        <v>26.961600000000001</v>
      </c>
      <c r="DK47">
        <v>500.02300000000002</v>
      </c>
      <c r="DL47">
        <v>98.651200000000003</v>
      </c>
      <c r="DM47">
        <v>9.9684800000000004E-2</v>
      </c>
      <c r="DN47">
        <v>29.576899999999998</v>
      </c>
      <c r="DO47">
        <v>29.976099999999999</v>
      </c>
      <c r="DP47">
        <v>999.9</v>
      </c>
      <c r="DQ47">
        <v>0</v>
      </c>
      <c r="DR47">
        <v>0</v>
      </c>
      <c r="DS47">
        <v>10034.4</v>
      </c>
      <c r="DT47">
        <v>0</v>
      </c>
      <c r="DU47">
        <v>220.53899999999999</v>
      </c>
      <c r="DV47">
        <v>-48.191699999999997</v>
      </c>
      <c r="DW47">
        <v>1235.52</v>
      </c>
      <c r="DX47">
        <v>1281.8499999999999</v>
      </c>
      <c r="DY47">
        <v>2.4355000000000002</v>
      </c>
      <c r="DZ47">
        <v>1250.01</v>
      </c>
      <c r="EA47">
        <v>24.841100000000001</v>
      </c>
      <c r="EB47">
        <v>2.6908699999999999</v>
      </c>
      <c r="EC47">
        <v>2.4506100000000002</v>
      </c>
      <c r="ED47">
        <v>22.229500000000002</v>
      </c>
      <c r="EE47">
        <v>20.702100000000002</v>
      </c>
      <c r="EF47">
        <v>1800.12</v>
      </c>
      <c r="EG47">
        <v>0.977993</v>
      </c>
      <c r="EH47">
        <v>2.20074E-2</v>
      </c>
      <c r="EI47">
        <v>0</v>
      </c>
      <c r="EJ47">
        <v>602.86</v>
      </c>
      <c r="EK47">
        <v>5.0001199999999999</v>
      </c>
      <c r="EL47">
        <v>11308</v>
      </c>
      <c r="EM47">
        <v>15630.9</v>
      </c>
      <c r="EN47">
        <v>52.686999999999998</v>
      </c>
      <c r="EO47">
        <v>54.061999999999998</v>
      </c>
      <c r="EP47">
        <v>53.75</v>
      </c>
      <c r="EQ47">
        <v>53.686999999999998</v>
      </c>
      <c r="ER47">
        <v>54.061999999999998</v>
      </c>
      <c r="ES47">
        <v>1755.61</v>
      </c>
      <c r="ET47">
        <v>39.51</v>
      </c>
      <c r="EU47">
        <v>0</v>
      </c>
      <c r="EV47">
        <v>247.79999995231631</v>
      </c>
      <c r="EW47">
        <v>0</v>
      </c>
      <c r="EX47">
        <v>603.27192307692314</v>
      </c>
      <c r="EY47">
        <v>0.66017094912750574</v>
      </c>
      <c r="EZ47">
        <v>389.60683808386011</v>
      </c>
      <c r="FA47">
        <v>11210.215384615391</v>
      </c>
      <c r="FB47">
        <v>15</v>
      </c>
      <c r="FC47">
        <v>1700242669.0999999</v>
      </c>
      <c r="FD47" t="s">
        <v>558</v>
      </c>
      <c r="FE47">
        <v>1700242669.0999999</v>
      </c>
      <c r="FF47">
        <v>1700242666.0999999</v>
      </c>
      <c r="FG47">
        <v>38</v>
      </c>
      <c r="FH47">
        <v>-0.34599999999999997</v>
      </c>
      <c r="FI47">
        <v>-5.0000000000000001E-3</v>
      </c>
      <c r="FJ47">
        <v>2.1800000000000002</v>
      </c>
      <c r="FK47">
        <v>0.315</v>
      </c>
      <c r="FL47">
        <v>1250</v>
      </c>
      <c r="FM47">
        <v>24</v>
      </c>
      <c r="FN47">
        <v>0.11</v>
      </c>
      <c r="FO47">
        <v>0.03</v>
      </c>
      <c r="FP47">
        <v>43.55523743741653</v>
      </c>
      <c r="FQ47">
        <v>-0.61675120582835474</v>
      </c>
      <c r="FR47">
        <v>7.9879952780014224E-2</v>
      </c>
      <c r="FS47">
        <v>1</v>
      </c>
      <c r="FT47">
        <v>0.1530941953546559</v>
      </c>
      <c r="FU47">
        <v>-8.6960958191212457E-3</v>
      </c>
      <c r="FV47">
        <v>6.5260795493715651E-4</v>
      </c>
      <c r="FW47">
        <v>1</v>
      </c>
      <c r="FX47">
        <v>2</v>
      </c>
      <c r="FY47">
        <v>2</v>
      </c>
      <c r="FZ47" t="s">
        <v>420</v>
      </c>
      <c r="GA47">
        <v>2.9115199999999999</v>
      </c>
      <c r="GB47">
        <v>2.7509899999999998</v>
      </c>
      <c r="GC47">
        <v>0.19223499999999999</v>
      </c>
      <c r="GD47">
        <v>0.19989199999999999</v>
      </c>
      <c r="GE47">
        <v>0.12435400000000001</v>
      </c>
      <c r="GF47">
        <v>0.119015</v>
      </c>
      <c r="GG47">
        <v>24992.400000000001</v>
      </c>
      <c r="GH47">
        <v>24610.7</v>
      </c>
      <c r="GI47">
        <v>28193</v>
      </c>
      <c r="GJ47">
        <v>28137.9</v>
      </c>
      <c r="GK47">
        <v>33649.5</v>
      </c>
      <c r="GL47">
        <v>34631.699999999997</v>
      </c>
      <c r="GM47">
        <v>42360.1</v>
      </c>
      <c r="GN47">
        <v>43750.6</v>
      </c>
      <c r="GO47">
        <v>1.7238800000000001</v>
      </c>
      <c r="GP47">
        <v>1.87845</v>
      </c>
      <c r="GQ47">
        <v>-1.2368000000000001E-2</v>
      </c>
      <c r="GR47">
        <v>0</v>
      </c>
      <c r="GS47">
        <v>30.177299999999999</v>
      </c>
      <c r="GT47">
        <v>999.9</v>
      </c>
      <c r="GU47">
        <v>35.9</v>
      </c>
      <c r="GV47">
        <v>41.9</v>
      </c>
      <c r="GW47">
        <v>29.841200000000001</v>
      </c>
      <c r="GX47">
        <v>61.056600000000003</v>
      </c>
      <c r="GY47">
        <v>31.133800000000001</v>
      </c>
      <c r="GZ47">
        <v>1</v>
      </c>
      <c r="HA47">
        <v>0.700434</v>
      </c>
      <c r="HB47">
        <v>4.1807699999999999</v>
      </c>
      <c r="HC47">
        <v>20.212900000000001</v>
      </c>
      <c r="HD47">
        <v>5.2706</v>
      </c>
      <c r="HE47">
        <v>12.0878</v>
      </c>
      <c r="HF47">
        <v>5.0117500000000001</v>
      </c>
      <c r="HG47">
        <v>3.2912499999999998</v>
      </c>
      <c r="HH47">
        <v>9999</v>
      </c>
      <c r="HI47">
        <v>9999</v>
      </c>
      <c r="HJ47">
        <v>9999</v>
      </c>
      <c r="HK47">
        <v>999.9</v>
      </c>
      <c r="HL47">
        <v>1.87616</v>
      </c>
      <c r="HM47">
        <v>1.87669</v>
      </c>
      <c r="HN47">
        <v>1.8763799999999999</v>
      </c>
      <c r="HO47">
        <v>1.8802000000000001</v>
      </c>
      <c r="HP47">
        <v>1.8737900000000001</v>
      </c>
      <c r="HQ47">
        <v>1.8768499999999999</v>
      </c>
      <c r="HR47">
        <v>1.8767</v>
      </c>
      <c r="HS47">
        <v>1.87808</v>
      </c>
      <c r="HT47">
        <v>0</v>
      </c>
      <c r="HU47">
        <v>0</v>
      </c>
      <c r="HV47">
        <v>0</v>
      </c>
      <c r="HW47">
        <v>0</v>
      </c>
      <c r="HX47" t="s">
        <v>421</v>
      </c>
      <c r="HY47" t="s">
        <v>422</v>
      </c>
      <c r="HZ47" t="s">
        <v>423</v>
      </c>
      <c r="IA47" t="s">
        <v>424</v>
      </c>
      <c r="IB47" t="s">
        <v>424</v>
      </c>
      <c r="IC47" t="s">
        <v>423</v>
      </c>
      <c r="ID47">
        <v>0</v>
      </c>
      <c r="IE47">
        <v>100</v>
      </c>
      <c r="IF47">
        <v>100</v>
      </c>
      <c r="IG47">
        <v>2.17</v>
      </c>
      <c r="IH47">
        <v>0.315</v>
      </c>
      <c r="II47">
        <v>1.79752390502036</v>
      </c>
      <c r="IJ47">
        <v>8.9576739069318506E-4</v>
      </c>
      <c r="IK47">
        <v>-7.2130504814809596E-7</v>
      </c>
      <c r="IL47">
        <v>1.9987036519832741E-10</v>
      </c>
      <c r="IM47">
        <v>0.31505499999999742</v>
      </c>
      <c r="IN47">
        <v>0</v>
      </c>
      <c r="IO47">
        <v>0</v>
      </c>
      <c r="IP47">
        <v>0</v>
      </c>
      <c r="IQ47">
        <v>1</v>
      </c>
      <c r="IR47">
        <v>2126</v>
      </c>
      <c r="IS47">
        <v>0</v>
      </c>
      <c r="IT47">
        <v>20</v>
      </c>
      <c r="IU47">
        <v>0.5</v>
      </c>
      <c r="IV47">
        <v>0.6</v>
      </c>
      <c r="IW47">
        <v>2.65869</v>
      </c>
      <c r="IX47">
        <v>2.65869</v>
      </c>
      <c r="IY47">
        <v>1.69434</v>
      </c>
      <c r="IZ47">
        <v>2.33887</v>
      </c>
      <c r="JA47">
        <v>1.5466299999999999</v>
      </c>
      <c r="JB47">
        <v>2.3852500000000001</v>
      </c>
      <c r="JC47">
        <v>45.661799999999999</v>
      </c>
      <c r="JD47">
        <v>23.772300000000001</v>
      </c>
      <c r="JE47">
        <v>18</v>
      </c>
      <c r="JF47">
        <v>483.14800000000002</v>
      </c>
      <c r="JG47">
        <v>493.12099999999998</v>
      </c>
      <c r="JH47">
        <v>25.5487</v>
      </c>
      <c r="JI47">
        <v>35.763500000000001</v>
      </c>
      <c r="JJ47">
        <v>30.0002</v>
      </c>
      <c r="JK47">
        <v>35.626600000000003</v>
      </c>
      <c r="JL47">
        <v>35.560099999999998</v>
      </c>
      <c r="JM47">
        <v>53.274700000000003</v>
      </c>
      <c r="JN47">
        <v>7.5978199999999996</v>
      </c>
      <c r="JO47">
        <v>38.250100000000003</v>
      </c>
      <c r="JP47">
        <v>25.552299999999999</v>
      </c>
      <c r="JQ47">
        <v>1250</v>
      </c>
      <c r="JR47">
        <v>24.948699999999999</v>
      </c>
      <c r="JS47">
        <v>98.762500000000003</v>
      </c>
      <c r="JT47">
        <v>98.562700000000007</v>
      </c>
    </row>
    <row r="48" spans="1:280" x14ac:dyDescent="0.25">
      <c r="A48">
        <v>32</v>
      </c>
      <c r="B48">
        <v>1700242883.5999999</v>
      </c>
      <c r="C48">
        <v>7658</v>
      </c>
      <c r="D48" t="s">
        <v>559</v>
      </c>
      <c r="E48" t="s">
        <v>560</v>
      </c>
      <c r="F48" t="s">
        <v>412</v>
      </c>
      <c r="G48" t="s">
        <v>545</v>
      </c>
      <c r="H48" t="s">
        <v>546</v>
      </c>
      <c r="I48">
        <v>1700242883.5999999</v>
      </c>
      <c r="J48">
        <f t="shared" si="0"/>
        <v>1.8230241992866513E-3</v>
      </c>
      <c r="K48">
        <f t="shared" si="1"/>
        <v>1.8230241992866514</v>
      </c>
      <c r="L48">
        <f t="shared" si="2"/>
        <v>39.04327663014265</v>
      </c>
      <c r="M48">
        <f t="shared" si="3"/>
        <v>957.68100000000004</v>
      </c>
      <c r="N48">
        <f t="shared" si="4"/>
        <v>378.98591687813774</v>
      </c>
      <c r="O48">
        <f t="shared" si="5"/>
        <v>37.42683521059093</v>
      </c>
      <c r="P48">
        <f t="shared" si="6"/>
        <v>94.575991811429702</v>
      </c>
      <c r="Q48">
        <f t="shared" si="7"/>
        <v>0.11326325424443975</v>
      </c>
      <c r="R48">
        <f t="shared" si="8"/>
        <v>3.0775382714571915</v>
      </c>
      <c r="S48">
        <f t="shared" si="9"/>
        <v>0.11099742863519545</v>
      </c>
      <c r="T48">
        <f t="shared" si="10"/>
        <v>6.9573192985971283E-2</v>
      </c>
      <c r="U48">
        <f t="shared" si="11"/>
        <v>289.57010084764829</v>
      </c>
      <c r="V48">
        <f t="shared" si="12"/>
        <v>30.755604998369929</v>
      </c>
      <c r="W48">
        <f t="shared" si="13"/>
        <v>30.029699999999998</v>
      </c>
      <c r="X48">
        <f t="shared" si="14"/>
        <v>4.2677232647939567</v>
      </c>
      <c r="Y48">
        <f t="shared" si="15"/>
        <v>64.997696985527796</v>
      </c>
      <c r="Z48">
        <f t="shared" si="16"/>
        <v>2.7030092031399597</v>
      </c>
      <c r="AA48">
        <f t="shared" si="17"/>
        <v>4.1586230412776075</v>
      </c>
      <c r="AB48">
        <f t="shared" si="18"/>
        <v>1.564714061653997</v>
      </c>
      <c r="AC48">
        <f t="shared" si="19"/>
        <v>-80.395367188541329</v>
      </c>
      <c r="AD48">
        <f t="shared" si="20"/>
        <v>-74.695492729518008</v>
      </c>
      <c r="AE48">
        <f t="shared" si="21"/>
        <v>-5.3862906783081241</v>
      </c>
      <c r="AF48">
        <f t="shared" si="22"/>
        <v>129.09295025128083</v>
      </c>
      <c r="AG48">
        <v>11</v>
      </c>
      <c r="AH48">
        <v>2</v>
      </c>
      <c r="AI48">
        <f t="shared" si="23"/>
        <v>1</v>
      </c>
      <c r="AJ48">
        <f t="shared" si="24"/>
        <v>0</v>
      </c>
      <c r="AK48">
        <f t="shared" si="25"/>
        <v>51808.204939022871</v>
      </c>
      <c r="AL48" t="s">
        <v>427</v>
      </c>
      <c r="AM48" t="s">
        <v>427</v>
      </c>
      <c r="AN48">
        <v>0</v>
      </c>
      <c r="AO48">
        <v>0</v>
      </c>
      <c r="AP48" t="e">
        <f t="shared" si="26"/>
        <v>#DIV/0!</v>
      </c>
      <c r="AQ48">
        <v>0</v>
      </c>
      <c r="AR48" t="s">
        <v>427</v>
      </c>
      <c r="AS48" t="s">
        <v>427</v>
      </c>
      <c r="AT48">
        <v>0</v>
      </c>
      <c r="AU48">
        <v>0</v>
      </c>
      <c r="AV48" t="e">
        <f t="shared" si="27"/>
        <v>#DIV/0!</v>
      </c>
      <c r="AW48">
        <v>0.5</v>
      </c>
      <c r="AX48">
        <f t="shared" si="28"/>
        <v>1513.2092999210611</v>
      </c>
      <c r="AY48">
        <f t="shared" si="29"/>
        <v>39.04327663014265</v>
      </c>
      <c r="AZ48" t="e">
        <f t="shared" si="30"/>
        <v>#DIV/0!</v>
      </c>
      <c r="BA48">
        <f t="shared" si="31"/>
        <v>2.5801636714881018E-2</v>
      </c>
      <c r="BB48" t="e">
        <f t="shared" si="32"/>
        <v>#DIV/0!</v>
      </c>
      <c r="BC48" t="e">
        <f t="shared" si="33"/>
        <v>#DIV/0!</v>
      </c>
      <c r="BD48" t="s">
        <v>427</v>
      </c>
      <c r="BE48">
        <v>0</v>
      </c>
      <c r="BF48" t="e">
        <f t="shared" si="34"/>
        <v>#DIV/0!</v>
      </c>
      <c r="BG48" t="e">
        <f t="shared" si="35"/>
        <v>#DIV/0!</v>
      </c>
      <c r="BH48" t="e">
        <f t="shared" si="36"/>
        <v>#DIV/0!</v>
      </c>
      <c r="BI48" t="e">
        <f t="shared" si="37"/>
        <v>#DIV/0!</v>
      </c>
      <c r="BJ48" t="e">
        <f t="shared" si="38"/>
        <v>#DIV/0!</v>
      </c>
      <c r="BK48" t="e">
        <f t="shared" si="39"/>
        <v>#DIV/0!</v>
      </c>
      <c r="BL48" t="e">
        <f t="shared" si="40"/>
        <v>#DIV/0!</v>
      </c>
      <c r="BM48" t="e">
        <f t="shared" si="41"/>
        <v>#DIV/0!</v>
      </c>
      <c r="BN48">
        <v>181</v>
      </c>
      <c r="BO48">
        <v>290.00000000000011</v>
      </c>
      <c r="BP48">
        <v>791.38</v>
      </c>
      <c r="BQ48">
        <v>295</v>
      </c>
      <c r="BR48">
        <v>7122.72</v>
      </c>
      <c r="BS48">
        <v>792.97</v>
      </c>
      <c r="BT48">
        <v>-1.59</v>
      </c>
      <c r="BU48">
        <v>300.00000000000011</v>
      </c>
      <c r="BV48">
        <v>38.200000000000003</v>
      </c>
      <c r="BW48">
        <v>873.17204264540101</v>
      </c>
      <c r="BX48">
        <v>1.4504315802854679</v>
      </c>
      <c r="BY48">
        <v>-57.12892514626833</v>
      </c>
      <c r="BZ48">
        <v>0.86592877864878626</v>
      </c>
      <c r="CA48">
        <v>0.9936081669279313</v>
      </c>
      <c r="CB48">
        <v>-7.0292878754171289E-3</v>
      </c>
      <c r="CC48">
        <v>289.99999999999989</v>
      </c>
      <c r="CD48">
        <v>796.2</v>
      </c>
      <c r="CE48">
        <v>835</v>
      </c>
      <c r="CF48">
        <v>7116.95</v>
      </c>
      <c r="CG48">
        <v>792.9</v>
      </c>
      <c r="CH48">
        <v>3.3</v>
      </c>
      <c r="CV48">
        <f t="shared" si="42"/>
        <v>1800.03</v>
      </c>
      <c r="CW48">
        <f t="shared" si="43"/>
        <v>1513.2092999210611</v>
      </c>
      <c r="CX48">
        <f t="shared" si="44"/>
        <v>0.84065782232577302</v>
      </c>
      <c r="CY48">
        <f t="shared" si="45"/>
        <v>0.16086959708874202</v>
      </c>
      <c r="CZ48">
        <v>5.18</v>
      </c>
      <c r="DA48">
        <v>0.5</v>
      </c>
      <c r="DB48" t="s">
        <v>418</v>
      </c>
      <c r="DC48">
        <v>2</v>
      </c>
      <c r="DD48">
        <v>1700242883.5999999</v>
      </c>
      <c r="DE48">
        <v>957.68100000000004</v>
      </c>
      <c r="DF48">
        <v>999.928</v>
      </c>
      <c r="DG48">
        <v>27.370799999999999</v>
      </c>
      <c r="DH48">
        <v>25.534300000000002</v>
      </c>
      <c r="DI48">
        <v>955.63</v>
      </c>
      <c r="DJ48">
        <v>27.056799999999999</v>
      </c>
      <c r="DK48">
        <v>500.125</v>
      </c>
      <c r="DL48">
        <v>98.655299999999997</v>
      </c>
      <c r="DM48">
        <v>9.9913699999999994E-2</v>
      </c>
      <c r="DN48">
        <v>29.579499999999999</v>
      </c>
      <c r="DO48">
        <v>30.029699999999998</v>
      </c>
      <c r="DP48">
        <v>999.9</v>
      </c>
      <c r="DQ48">
        <v>0</v>
      </c>
      <c r="DR48">
        <v>0</v>
      </c>
      <c r="DS48">
        <v>10017.5</v>
      </c>
      <c r="DT48">
        <v>0</v>
      </c>
      <c r="DU48">
        <v>103.038</v>
      </c>
      <c r="DV48">
        <v>-42.246899999999997</v>
      </c>
      <c r="DW48">
        <v>984.63099999999997</v>
      </c>
      <c r="DX48">
        <v>1026.1300000000001</v>
      </c>
      <c r="DY48">
        <v>1.83653</v>
      </c>
      <c r="DZ48">
        <v>999.928</v>
      </c>
      <c r="EA48">
        <v>25.534300000000002</v>
      </c>
      <c r="EB48">
        <v>2.7002799999999998</v>
      </c>
      <c r="EC48">
        <v>2.5190899999999998</v>
      </c>
      <c r="ED48">
        <v>22.286799999999999</v>
      </c>
      <c r="EE48">
        <v>21.150400000000001</v>
      </c>
      <c r="EF48">
        <v>1800.03</v>
      </c>
      <c r="EG48">
        <v>0.97801000000000005</v>
      </c>
      <c r="EH48">
        <v>2.1990200000000001E-2</v>
      </c>
      <c r="EI48">
        <v>0</v>
      </c>
      <c r="EJ48">
        <v>608.68200000000002</v>
      </c>
      <c r="EK48">
        <v>5.0001199999999999</v>
      </c>
      <c r="EL48">
        <v>11091.1</v>
      </c>
      <c r="EM48">
        <v>15630.3</v>
      </c>
      <c r="EN48">
        <v>52.311999999999998</v>
      </c>
      <c r="EO48">
        <v>53.561999999999998</v>
      </c>
      <c r="EP48">
        <v>53.375</v>
      </c>
      <c r="EQ48">
        <v>53.25</v>
      </c>
      <c r="ER48">
        <v>53.75</v>
      </c>
      <c r="ES48">
        <v>1755.56</v>
      </c>
      <c r="ET48">
        <v>39.47</v>
      </c>
      <c r="EU48">
        <v>0</v>
      </c>
      <c r="EV48">
        <v>180</v>
      </c>
      <c r="EW48">
        <v>0</v>
      </c>
      <c r="EX48">
        <v>608.47761538461543</v>
      </c>
      <c r="EY48">
        <v>-1.3311452988360679</v>
      </c>
      <c r="EZ48">
        <v>-30.4307692299862</v>
      </c>
      <c r="FA48">
        <v>11094.08076923077</v>
      </c>
      <c r="FB48">
        <v>15</v>
      </c>
      <c r="FC48">
        <v>1700242770.0999999</v>
      </c>
      <c r="FD48" t="s">
        <v>561</v>
      </c>
      <c r="FE48">
        <v>1700242770.0999999</v>
      </c>
      <c r="FF48">
        <v>1700242764.5999999</v>
      </c>
      <c r="FG48">
        <v>39</v>
      </c>
      <c r="FH48">
        <v>-0.11799999999999999</v>
      </c>
      <c r="FI48">
        <v>-1E-3</v>
      </c>
      <c r="FJ48">
        <v>2.0529999999999999</v>
      </c>
      <c r="FK48">
        <v>0.314</v>
      </c>
      <c r="FL48">
        <v>1000</v>
      </c>
      <c r="FM48">
        <v>25</v>
      </c>
      <c r="FN48">
        <v>0.04</v>
      </c>
      <c r="FO48">
        <v>7.0000000000000007E-2</v>
      </c>
      <c r="FP48">
        <v>39.082975825733349</v>
      </c>
      <c r="FQ48">
        <v>-0.46759434390297289</v>
      </c>
      <c r="FR48">
        <v>8.087896202962612E-2</v>
      </c>
      <c r="FS48">
        <v>1</v>
      </c>
      <c r="FT48">
        <v>0.1130586314244529</v>
      </c>
      <c r="FU48">
        <v>-2.8962540569604671E-2</v>
      </c>
      <c r="FV48">
        <v>2.5619567751393952E-3</v>
      </c>
      <c r="FW48">
        <v>1</v>
      </c>
      <c r="FX48">
        <v>2</v>
      </c>
      <c r="FY48">
        <v>2</v>
      </c>
      <c r="FZ48" t="s">
        <v>420</v>
      </c>
      <c r="GA48">
        <v>2.9120699999999999</v>
      </c>
      <c r="GB48">
        <v>2.7510699999999999</v>
      </c>
      <c r="GC48">
        <v>0.166431</v>
      </c>
      <c r="GD48">
        <v>0.173818</v>
      </c>
      <c r="GE48">
        <v>0.12467499999999999</v>
      </c>
      <c r="GF48">
        <v>0.121311</v>
      </c>
      <c r="GG48">
        <v>25802.7</v>
      </c>
      <c r="GH48">
        <v>25420.6</v>
      </c>
      <c r="GI48">
        <v>28203.3</v>
      </c>
      <c r="GJ48">
        <v>28143.7</v>
      </c>
      <c r="GK48">
        <v>33653.199999999997</v>
      </c>
      <c r="GL48">
        <v>34547.9</v>
      </c>
      <c r="GM48">
        <v>42380.4</v>
      </c>
      <c r="GN48">
        <v>43759</v>
      </c>
      <c r="GO48">
        <v>1.7257199999999999</v>
      </c>
      <c r="GP48">
        <v>1.88175</v>
      </c>
      <c r="GQ48">
        <v>4.0948400000000003E-2</v>
      </c>
      <c r="GR48">
        <v>0</v>
      </c>
      <c r="GS48">
        <v>29.363</v>
      </c>
      <c r="GT48">
        <v>999.9</v>
      </c>
      <c r="GU48">
        <v>36.200000000000003</v>
      </c>
      <c r="GV48">
        <v>41.8</v>
      </c>
      <c r="GW48">
        <v>29.933199999999999</v>
      </c>
      <c r="GX48">
        <v>61.366599999999998</v>
      </c>
      <c r="GY48">
        <v>31.105799999999999</v>
      </c>
      <c r="GZ48">
        <v>1</v>
      </c>
      <c r="HA48">
        <v>0.68581000000000003</v>
      </c>
      <c r="HB48">
        <v>4.12202</v>
      </c>
      <c r="HC48">
        <v>20.214099999999998</v>
      </c>
      <c r="HD48">
        <v>5.2758399999999996</v>
      </c>
      <c r="HE48">
        <v>12.0892</v>
      </c>
      <c r="HF48">
        <v>5.0122999999999998</v>
      </c>
      <c r="HG48">
        <v>3.2919800000000001</v>
      </c>
      <c r="HH48">
        <v>9999</v>
      </c>
      <c r="HI48">
        <v>9999</v>
      </c>
      <c r="HJ48">
        <v>9999</v>
      </c>
      <c r="HK48">
        <v>999.9</v>
      </c>
      <c r="HL48">
        <v>1.87608</v>
      </c>
      <c r="HM48">
        <v>1.8766799999999999</v>
      </c>
      <c r="HN48">
        <v>1.8763700000000001</v>
      </c>
      <c r="HO48">
        <v>1.88019</v>
      </c>
      <c r="HP48">
        <v>1.87378</v>
      </c>
      <c r="HQ48">
        <v>1.87683</v>
      </c>
      <c r="HR48">
        <v>1.8766799999999999</v>
      </c>
      <c r="HS48">
        <v>1.8780600000000001</v>
      </c>
      <c r="HT48">
        <v>0</v>
      </c>
      <c r="HU48">
        <v>0</v>
      </c>
      <c r="HV48">
        <v>0</v>
      </c>
      <c r="HW48">
        <v>0</v>
      </c>
      <c r="HX48" t="s">
        <v>421</v>
      </c>
      <c r="HY48" t="s">
        <v>422</v>
      </c>
      <c r="HZ48" t="s">
        <v>423</v>
      </c>
      <c r="IA48" t="s">
        <v>424</v>
      </c>
      <c r="IB48" t="s">
        <v>424</v>
      </c>
      <c r="IC48" t="s">
        <v>423</v>
      </c>
      <c r="ID48">
        <v>0</v>
      </c>
      <c r="IE48">
        <v>100</v>
      </c>
      <c r="IF48">
        <v>100</v>
      </c>
      <c r="IG48">
        <v>2.0510000000000002</v>
      </c>
      <c r="IH48">
        <v>0.314</v>
      </c>
      <c r="II48">
        <v>1.679086930078852</v>
      </c>
      <c r="IJ48">
        <v>8.9576739069318506E-4</v>
      </c>
      <c r="IK48">
        <v>-7.2130504814809596E-7</v>
      </c>
      <c r="IL48">
        <v>1.9987036519832741E-10</v>
      </c>
      <c r="IM48">
        <v>0.31409047619047209</v>
      </c>
      <c r="IN48">
        <v>0</v>
      </c>
      <c r="IO48">
        <v>0</v>
      </c>
      <c r="IP48">
        <v>0</v>
      </c>
      <c r="IQ48">
        <v>1</v>
      </c>
      <c r="IR48">
        <v>2126</v>
      </c>
      <c r="IS48">
        <v>0</v>
      </c>
      <c r="IT48">
        <v>20</v>
      </c>
      <c r="IU48">
        <v>1.9</v>
      </c>
      <c r="IV48">
        <v>2</v>
      </c>
      <c r="IW48">
        <v>2.2180200000000001</v>
      </c>
      <c r="IX48">
        <v>2.65991</v>
      </c>
      <c r="IY48">
        <v>1.69434</v>
      </c>
      <c r="IZ48">
        <v>2.33887</v>
      </c>
      <c r="JA48">
        <v>1.5466299999999999</v>
      </c>
      <c r="JB48">
        <v>2.4511699999999998</v>
      </c>
      <c r="JC48">
        <v>45.461399999999998</v>
      </c>
      <c r="JD48">
        <v>23.7986</v>
      </c>
      <c r="JE48">
        <v>18</v>
      </c>
      <c r="JF48">
        <v>484.21300000000002</v>
      </c>
      <c r="JG48">
        <v>495.23399999999998</v>
      </c>
      <c r="JH48">
        <v>26.024000000000001</v>
      </c>
      <c r="JI48">
        <v>35.620699999999999</v>
      </c>
      <c r="JJ48">
        <v>30.0016</v>
      </c>
      <c r="JK48">
        <v>35.578600000000002</v>
      </c>
      <c r="JL48">
        <v>35.527299999999997</v>
      </c>
      <c r="JM48">
        <v>44.461500000000001</v>
      </c>
      <c r="JN48">
        <v>7.0239799999999999</v>
      </c>
      <c r="JO48">
        <v>40.465200000000003</v>
      </c>
      <c r="JP48">
        <v>25.914300000000001</v>
      </c>
      <c r="JQ48">
        <v>1000</v>
      </c>
      <c r="JR48">
        <v>25.480699999999999</v>
      </c>
      <c r="JS48">
        <v>98.805199999999999</v>
      </c>
      <c r="JT48">
        <v>98.5822</v>
      </c>
    </row>
    <row r="49" spans="1:280" x14ac:dyDescent="0.25">
      <c r="A49">
        <v>33</v>
      </c>
      <c r="B49">
        <v>1700243184.0999999</v>
      </c>
      <c r="C49">
        <v>7958.5</v>
      </c>
      <c r="D49" t="s">
        <v>562</v>
      </c>
      <c r="E49" t="s">
        <v>563</v>
      </c>
      <c r="F49" t="s">
        <v>412</v>
      </c>
      <c r="G49" t="s">
        <v>545</v>
      </c>
      <c r="H49" t="s">
        <v>546</v>
      </c>
      <c r="I49">
        <v>1700243184.0999999</v>
      </c>
      <c r="J49">
        <f t="shared" ref="J49:J58" si="46">(K49)/1000</f>
        <v>2.1052473002806326E-3</v>
      </c>
      <c r="K49">
        <f t="shared" ref="K49:K58" si="47">1000*DK49*AI49*(DG49-DH49)/(100*CZ49*(1000-AI49*DG49))</f>
        <v>2.1052473002806327</v>
      </c>
      <c r="L49">
        <f t="shared" ref="L49:L58" si="48">DK49*AI49*(DF49-DE49*(1000-AI49*DH49)/(1000-AI49*DG49))/(100*CZ49)</f>
        <v>40.773260853729184</v>
      </c>
      <c r="M49">
        <f t="shared" ref="M49:M58" si="49">DE49 - IF(AI49&gt;1, L49*CZ49*100/(AK49*DS49), 0)</f>
        <v>706.17</v>
      </c>
      <c r="N49">
        <f t="shared" ref="N49:N58" si="50">((T49-J49/2)*M49-L49)/(T49+J49/2)</f>
        <v>198.33596464567168</v>
      </c>
      <c r="O49">
        <f t="shared" ref="O49:O58" si="51">N49*(DL49+DM49)/1000</f>
        <v>19.586854227718145</v>
      </c>
      <c r="P49">
        <f t="shared" ref="P49:P58" si="52">(DE49 - IF(AI49&gt;1, L49*CZ49*100/(AK49*DS49), 0))*(DL49+DM49)/1000</f>
        <v>69.738480737459994</v>
      </c>
      <c r="Q49">
        <f t="shared" ref="Q49:Q58" si="53">2/((1/S49-1/R49)+SIGN(S49)*SQRT((1/S49-1/R49)*(1/S49-1/R49) + 4*DA49/((DA49+1)*(DA49+1))*(2*1/S49*1/R49-1/R49*1/R49)))</f>
        <v>0.13418875520083084</v>
      </c>
      <c r="R49">
        <f t="shared" ref="R49:R58" si="54">IF(LEFT(DB49,1)&lt;&gt;"0",IF(LEFT(DB49,1)="1",3,DC49),$D$5+$E$5*(DS49*DL49/($K$5*1000))+$F$5*(DS49*DL49/($K$5*1000))*MAX(MIN(CZ49,$J$5),$I$5)*MAX(MIN(CZ49,$J$5),$I$5)+$G$5*MAX(MIN(CZ49,$J$5),$I$5)*(DS49*DL49/($K$5*1000))+$H$5*(DS49*DL49/($K$5*1000))*(DS49*DL49/($K$5*1000)))</f>
        <v>3.071804362157271</v>
      </c>
      <c r="S49">
        <f t="shared" ref="S49:S58" si="55">J49*(1000-(1000*0.61365*EXP(17.502*W49/(240.97+W49))/(DL49+DM49)+DG49)/2)/(1000*0.61365*EXP(17.502*W49/(240.97+W49))/(DL49+DM49)-DG49)</f>
        <v>0.13101521586809065</v>
      </c>
      <c r="T49">
        <f t="shared" ref="T49:T58" si="56">1/((DA49+1)/(Q49/1.6)+1/(R49/1.37)) + DA49/((DA49+1)/(Q49/1.6) + DA49/(R49/1.37))</f>
        <v>8.2163388664360376E-2</v>
      </c>
      <c r="U49">
        <f t="shared" ref="U49:U58" si="57">(CV49*CY49)</f>
        <v>289.56589184760719</v>
      </c>
      <c r="V49">
        <f t="shared" ref="V49:V58" si="58">(DN49+(U49+2*0.95*0.0000000567*(((DN49+$B$7)+273)^4-(DN49+273)^4)-44100*J49)/(1.84*29.3*R49+8*0.95*0.0000000567*(DN49+273)^3))</f>
        <v>30.833620110363569</v>
      </c>
      <c r="W49">
        <f t="shared" ref="W49:W58" si="59">($C$7*DO49+$D$7*DP49+$E$7*V49)</f>
        <v>29.974699999999999</v>
      </c>
      <c r="X49">
        <f t="shared" ref="X49:X58" si="60">0.61365*EXP(17.502*W49/(240.97+W49))</f>
        <v>4.2542623580110366</v>
      </c>
      <c r="Y49">
        <f t="shared" ref="Y49:Y58" si="61">(Z49/AA49*100)</f>
        <v>64.939980145532786</v>
      </c>
      <c r="Z49">
        <f t="shared" ref="Z49:Z58" si="62">DG49*(DL49+DM49)/1000</f>
        <v>2.7234418801950002</v>
      </c>
      <c r="AA49">
        <f t="shared" ref="AA49:AA58" si="63">0.61365*EXP(17.502*DN49/(240.97+DN49))</f>
        <v>4.1937830502745319</v>
      </c>
      <c r="AB49">
        <f t="shared" ref="AB49:AB58" si="64">(X49-DG49*(DL49+DM49)/1000)</f>
        <v>1.5308204778160364</v>
      </c>
      <c r="AC49">
        <f t="shared" ref="AC49:AC58" si="65">(-J49*44100)</f>
        <v>-92.8414059423759</v>
      </c>
      <c r="AD49">
        <f t="shared" ref="AD49:AD58" si="66">2*29.3*R49*0.92*(DN49-W49)</f>
        <v>-41.236172076382871</v>
      </c>
      <c r="AE49">
        <f t="shared" ref="AE49:AE58" si="67">2*0.95*0.0000000567*(((DN49+$B$7)+273)^4-(W49+273)^4)</f>
        <v>-2.9804350774939508</v>
      </c>
      <c r="AF49">
        <f t="shared" ref="AF49:AF58" si="68">U49+AE49+AC49+AD49</f>
        <v>152.50787875135447</v>
      </c>
      <c r="AG49">
        <v>9</v>
      </c>
      <c r="AH49">
        <v>2</v>
      </c>
      <c r="AI49">
        <f t="shared" ref="AI49:AI58" si="69">IF(AG49*$H$13&gt;=AK49,1,(AK49/(AK49-AG49*$H$13)))</f>
        <v>1</v>
      </c>
      <c r="AJ49">
        <f t="shared" ref="AJ49:AJ58" si="70">(AI49-1)*100</f>
        <v>0</v>
      </c>
      <c r="AK49">
        <f t="shared" ref="AK49:AK58" si="71">MAX(0,($B$13+$C$13*DS49)/(1+$D$13*DS49)*DL49/(DN49+273)*$E$13)</f>
        <v>51634.706556124132</v>
      </c>
      <c r="AL49" t="s">
        <v>415</v>
      </c>
      <c r="AM49">
        <v>6960.3</v>
      </c>
      <c r="AN49">
        <v>244.8124</v>
      </c>
      <c r="AO49">
        <v>892.86711584811997</v>
      </c>
      <c r="AP49">
        <f t="shared" ref="AP49:AP58" si="72">1-AN49/AO49</f>
        <v>0.72581317459826411</v>
      </c>
      <c r="AQ49">
        <v>-0.43209471141234851</v>
      </c>
      <c r="AR49" t="s">
        <v>564</v>
      </c>
      <c r="AS49">
        <v>7125.8</v>
      </c>
      <c r="AT49">
        <v>605.16264000000012</v>
      </c>
      <c r="AU49">
        <v>842.0921910496503</v>
      </c>
      <c r="AV49">
        <f t="shared" ref="AV49:AV58" si="73">1-AT49/AU49</f>
        <v>0.28135820943111045</v>
      </c>
      <c r="AW49">
        <v>0.5</v>
      </c>
      <c r="AX49">
        <f t="shared" ref="AX49:AX58" si="74">CW49</f>
        <v>1513.18439992104</v>
      </c>
      <c r="AY49">
        <f t="shared" ref="AY49:AY58" si="75">L49</f>
        <v>40.773260853729184</v>
      </c>
      <c r="AZ49">
        <f t="shared" ref="AZ49:AZ58" si="76">AV49*AW49*AX49</f>
        <v>212.87342665043658</v>
      </c>
      <c r="BA49">
        <f t="shared" ref="BA49:BA58" si="77">(AY49-AQ49)/AX49</f>
        <v>2.7230888427934943E-2</v>
      </c>
      <c r="BB49">
        <f t="shared" ref="BB49:BB58" si="78">(AO49-AU49)/AU49</f>
        <v>6.0296159183212218E-2</v>
      </c>
      <c r="BC49">
        <f t="shared" ref="BC49:BC58" si="79">AN49/(AP49+AN49/AU49)</f>
        <v>240.830884482139</v>
      </c>
      <c r="BD49" t="s">
        <v>565</v>
      </c>
      <c r="BE49">
        <v>419.81</v>
      </c>
      <c r="BF49">
        <f t="shared" ref="BF49:BF58" si="80">IF(BE49&lt;&gt;0, BE49, BC49)</f>
        <v>419.81</v>
      </c>
      <c r="BG49">
        <f t="shared" ref="BG49:BG58" si="81">1-BF49/AU49</f>
        <v>0.5014678862219164</v>
      </c>
      <c r="BH49">
        <f t="shared" ref="BH49:BH58" si="82">(AU49-AT49)/(AU49-BF49)</f>
        <v>0.56106924722712948</v>
      </c>
      <c r="BI49">
        <f t="shared" ref="BI49:BI58" si="83">(AO49-AU49)/(AO49-BF49)</f>
        <v>0.10733360327417948</v>
      </c>
      <c r="BJ49">
        <f t="shared" ref="BJ49:BJ58" si="84">(AU49-AT49)/(AU49-AN49)</f>
        <v>0.39668101047462839</v>
      </c>
      <c r="BK49">
        <f t="shared" ref="BK49:BK58" si="85">(AO49-AU49)/(AO49-AN49)</f>
        <v>7.8349749730653048E-2</v>
      </c>
      <c r="BL49">
        <f t="shared" ref="BL49:BL58" si="86">(BH49*BF49/AT49)</f>
        <v>0.38922178123623291</v>
      </c>
      <c r="BM49">
        <f t="shared" ref="BM49:BM58" si="87">(1-BL49)</f>
        <v>0.61077821876376714</v>
      </c>
      <c r="BN49">
        <v>183</v>
      </c>
      <c r="BO49">
        <v>290.00000000000011</v>
      </c>
      <c r="BP49">
        <v>773.05</v>
      </c>
      <c r="BQ49">
        <v>295</v>
      </c>
      <c r="BR49">
        <v>7125.8</v>
      </c>
      <c r="BS49">
        <v>774.39</v>
      </c>
      <c r="BT49">
        <v>-1.34</v>
      </c>
      <c r="BU49">
        <v>300.00000000000011</v>
      </c>
      <c r="BV49">
        <v>38.200000000000003</v>
      </c>
      <c r="BW49">
        <v>842.0921910496503</v>
      </c>
      <c r="BX49">
        <v>1.265899352184789</v>
      </c>
      <c r="BY49">
        <v>-48.24190716604609</v>
      </c>
      <c r="BZ49">
        <v>0.75610183383339769</v>
      </c>
      <c r="CA49">
        <v>0.99316886648241998</v>
      </c>
      <c r="CB49">
        <v>-7.0320834260289272E-3</v>
      </c>
      <c r="CC49">
        <v>289.99999999999989</v>
      </c>
      <c r="CD49">
        <v>778.72</v>
      </c>
      <c r="CE49">
        <v>815</v>
      </c>
      <c r="CF49">
        <v>7120.53</v>
      </c>
      <c r="CG49">
        <v>774.34</v>
      </c>
      <c r="CH49">
        <v>4.38</v>
      </c>
      <c r="CV49">
        <f t="shared" ref="CV49:CV58" si="88">$B$11*DT49+$C$11*DU49+$F$11*EF49*(1-EI49)</f>
        <v>1800</v>
      </c>
      <c r="CW49">
        <f t="shared" ref="CW49:CW58" si="89">CV49*CX49</f>
        <v>1513.18439992104</v>
      </c>
      <c r="CX49">
        <f t="shared" ref="CX49:CX58" si="90">($B$11*$D$9+$C$11*$D$9+$F$11*((ES49+EK49)/MAX(ES49+EK49+ET49, 0.1)*$I$9+ET49/MAX(ES49+EK49+ET49, 0.1)*$J$9))/($B$11+$C$11+$F$11)</f>
        <v>0.84065799995613333</v>
      </c>
      <c r="CY49">
        <f t="shared" ref="CY49:CY58" si="91">($B$11*$K$9+$C$11*$K$9+$F$11*((ES49+EK49)/MAX(ES49+EK49+ET49, 0.1)*$P$9+ET49/MAX(ES49+EK49+ET49, 0.1)*$Q$9))/($B$11+$C$11+$F$11)</f>
        <v>0.16086993991533732</v>
      </c>
      <c r="CZ49">
        <v>5.18</v>
      </c>
      <c r="DA49">
        <v>0.5</v>
      </c>
      <c r="DB49" t="s">
        <v>418</v>
      </c>
      <c r="DC49">
        <v>2</v>
      </c>
      <c r="DD49">
        <v>1700243184.0999999</v>
      </c>
      <c r="DE49">
        <v>706.17</v>
      </c>
      <c r="DF49">
        <v>749.93499999999995</v>
      </c>
      <c r="DG49">
        <v>27.577500000000001</v>
      </c>
      <c r="DH49">
        <v>25.4574</v>
      </c>
      <c r="DI49">
        <v>704.28200000000004</v>
      </c>
      <c r="DJ49">
        <v>27.251300000000001</v>
      </c>
      <c r="DK49">
        <v>500.18599999999998</v>
      </c>
      <c r="DL49">
        <v>98.655799999999999</v>
      </c>
      <c r="DM49">
        <v>0.100138</v>
      </c>
      <c r="DN49">
        <v>29.7257</v>
      </c>
      <c r="DO49">
        <v>29.974699999999999</v>
      </c>
      <c r="DP49">
        <v>999.9</v>
      </c>
      <c r="DQ49">
        <v>0</v>
      </c>
      <c r="DR49">
        <v>0</v>
      </c>
      <c r="DS49">
        <v>9987.5</v>
      </c>
      <c r="DT49">
        <v>0</v>
      </c>
      <c r="DU49">
        <v>169.48599999999999</v>
      </c>
      <c r="DV49">
        <v>-43.765599999999999</v>
      </c>
      <c r="DW49">
        <v>726.19600000000003</v>
      </c>
      <c r="DX49">
        <v>769.52499999999998</v>
      </c>
      <c r="DY49">
        <v>2.1200999999999999</v>
      </c>
      <c r="DZ49">
        <v>749.93499999999995</v>
      </c>
      <c r="EA49">
        <v>25.4574</v>
      </c>
      <c r="EB49">
        <v>2.7206800000000002</v>
      </c>
      <c r="EC49">
        <v>2.51152</v>
      </c>
      <c r="ED49">
        <v>22.410499999999999</v>
      </c>
      <c r="EE49">
        <v>21.101299999999998</v>
      </c>
      <c r="EF49">
        <v>1800</v>
      </c>
      <c r="EG49">
        <v>0.97800299999999996</v>
      </c>
      <c r="EH49">
        <v>2.1996999999999999E-2</v>
      </c>
      <c r="EI49">
        <v>0</v>
      </c>
      <c r="EJ49">
        <v>604.84299999999996</v>
      </c>
      <c r="EK49">
        <v>5.0001199999999999</v>
      </c>
      <c r="EL49">
        <v>11032.1</v>
      </c>
      <c r="EM49">
        <v>15630</v>
      </c>
      <c r="EN49">
        <v>51.5</v>
      </c>
      <c r="EO49">
        <v>52.561999999999998</v>
      </c>
      <c r="EP49">
        <v>52.375</v>
      </c>
      <c r="EQ49">
        <v>52.186999999999998</v>
      </c>
      <c r="ER49">
        <v>52.936999999999998</v>
      </c>
      <c r="ES49">
        <v>1755.52</v>
      </c>
      <c r="ET49">
        <v>39.479999999999997</v>
      </c>
      <c r="EU49">
        <v>0</v>
      </c>
      <c r="EV49">
        <v>480.59999990463263</v>
      </c>
      <c r="EW49">
        <v>0</v>
      </c>
      <c r="EX49">
        <v>605.16264000000012</v>
      </c>
      <c r="EY49">
        <v>-1.527076931689656</v>
      </c>
      <c r="EZ49">
        <v>-33.44615376782621</v>
      </c>
      <c r="FA49">
        <v>11036.96</v>
      </c>
      <c r="FB49">
        <v>15</v>
      </c>
      <c r="FC49">
        <v>1700242949.5999999</v>
      </c>
      <c r="FD49" t="s">
        <v>566</v>
      </c>
      <c r="FE49">
        <v>1700242949.5999999</v>
      </c>
      <c r="FF49">
        <v>1700242942.0999999</v>
      </c>
      <c r="FG49">
        <v>40</v>
      </c>
      <c r="FH49">
        <v>-0.13400000000000001</v>
      </c>
      <c r="FI49">
        <v>1.2E-2</v>
      </c>
      <c r="FJ49">
        <v>1.895</v>
      </c>
      <c r="FK49">
        <v>0.32600000000000001</v>
      </c>
      <c r="FL49">
        <v>750</v>
      </c>
      <c r="FM49">
        <v>26</v>
      </c>
      <c r="FN49">
        <v>0.11</v>
      </c>
      <c r="FO49">
        <v>0.05</v>
      </c>
      <c r="FP49">
        <v>40.6140535843112</v>
      </c>
      <c r="FQ49">
        <v>2.0887333138883979</v>
      </c>
      <c r="FR49">
        <v>0.1585545509209873</v>
      </c>
      <c r="FS49">
        <v>0</v>
      </c>
      <c r="FT49">
        <v>0.1312323592012033</v>
      </c>
      <c r="FU49">
        <v>1.4890918741493739E-2</v>
      </c>
      <c r="FV49">
        <v>1.114159866651133E-3</v>
      </c>
      <c r="FW49">
        <v>1</v>
      </c>
      <c r="FX49">
        <v>1</v>
      </c>
      <c r="FY49">
        <v>2</v>
      </c>
      <c r="FZ49" t="s">
        <v>553</v>
      </c>
      <c r="GA49">
        <v>2.9136899999999999</v>
      </c>
      <c r="GB49">
        <v>2.7510300000000001</v>
      </c>
      <c r="GC49">
        <v>0.13599900000000001</v>
      </c>
      <c r="GD49">
        <v>0.144064</v>
      </c>
      <c r="GE49">
        <v>0.125446</v>
      </c>
      <c r="GF49">
        <v>0.121198</v>
      </c>
      <c r="GG49">
        <v>26781</v>
      </c>
      <c r="GH49">
        <v>26373.3</v>
      </c>
      <c r="GI49">
        <v>28237</v>
      </c>
      <c r="GJ49">
        <v>28178.799999999999</v>
      </c>
      <c r="GK49">
        <v>33662.800000000003</v>
      </c>
      <c r="GL49">
        <v>34591.5</v>
      </c>
      <c r="GM49">
        <v>42431.199999999997</v>
      </c>
      <c r="GN49">
        <v>43810.400000000001</v>
      </c>
      <c r="GO49">
        <v>1.7340500000000001</v>
      </c>
      <c r="GP49">
        <v>1.89272</v>
      </c>
      <c r="GQ49">
        <v>7.4315800000000001E-2</v>
      </c>
      <c r="GR49">
        <v>0</v>
      </c>
      <c r="GS49">
        <v>28.764099999999999</v>
      </c>
      <c r="GT49">
        <v>999.9</v>
      </c>
      <c r="GU49">
        <v>37</v>
      </c>
      <c r="GV49">
        <v>41.6</v>
      </c>
      <c r="GW49">
        <v>30.270700000000001</v>
      </c>
      <c r="GX49">
        <v>60.7866</v>
      </c>
      <c r="GY49">
        <v>30.572900000000001</v>
      </c>
      <c r="GZ49">
        <v>1</v>
      </c>
      <c r="HA49">
        <v>0.62015500000000001</v>
      </c>
      <c r="HB49">
        <v>2.68987</v>
      </c>
      <c r="HC49">
        <v>20.2455</v>
      </c>
      <c r="HD49">
        <v>5.27569</v>
      </c>
      <c r="HE49">
        <v>12.0878</v>
      </c>
      <c r="HF49">
        <v>5.0128500000000003</v>
      </c>
      <c r="HG49">
        <v>3.2919999999999998</v>
      </c>
      <c r="HH49">
        <v>9999</v>
      </c>
      <c r="HI49">
        <v>9999</v>
      </c>
      <c r="HJ49">
        <v>9999</v>
      </c>
      <c r="HK49">
        <v>999.9</v>
      </c>
      <c r="HL49">
        <v>1.8760600000000001</v>
      </c>
      <c r="HM49">
        <v>1.8766499999999999</v>
      </c>
      <c r="HN49">
        <v>1.8763300000000001</v>
      </c>
      <c r="HO49">
        <v>1.88019</v>
      </c>
      <c r="HP49">
        <v>1.8737600000000001</v>
      </c>
      <c r="HQ49">
        <v>1.87679</v>
      </c>
      <c r="HR49">
        <v>1.87666</v>
      </c>
      <c r="HS49">
        <v>1.8780300000000001</v>
      </c>
      <c r="HT49">
        <v>0</v>
      </c>
      <c r="HU49">
        <v>0</v>
      </c>
      <c r="HV49">
        <v>0</v>
      </c>
      <c r="HW49">
        <v>0</v>
      </c>
      <c r="HX49" t="s">
        <v>421</v>
      </c>
      <c r="HY49" t="s">
        <v>422</v>
      </c>
      <c r="HZ49" t="s">
        <v>423</v>
      </c>
      <c r="IA49" t="s">
        <v>424</v>
      </c>
      <c r="IB49" t="s">
        <v>424</v>
      </c>
      <c r="IC49" t="s">
        <v>423</v>
      </c>
      <c r="ID49">
        <v>0</v>
      </c>
      <c r="IE49">
        <v>100</v>
      </c>
      <c r="IF49">
        <v>100</v>
      </c>
      <c r="IG49">
        <v>1.8879999999999999</v>
      </c>
      <c r="IH49">
        <v>0.32619999999999999</v>
      </c>
      <c r="II49">
        <v>1.544450639122664</v>
      </c>
      <c r="IJ49">
        <v>8.9576739069318506E-4</v>
      </c>
      <c r="IK49">
        <v>-7.2130504814809596E-7</v>
      </c>
      <c r="IL49">
        <v>1.9987036519832741E-10</v>
      </c>
      <c r="IM49">
        <v>0.32622500000000437</v>
      </c>
      <c r="IN49">
        <v>0</v>
      </c>
      <c r="IO49">
        <v>0</v>
      </c>
      <c r="IP49">
        <v>0</v>
      </c>
      <c r="IQ49">
        <v>1</v>
      </c>
      <c r="IR49">
        <v>2126</v>
      </c>
      <c r="IS49">
        <v>0</v>
      </c>
      <c r="IT49">
        <v>20</v>
      </c>
      <c r="IU49">
        <v>3.9</v>
      </c>
      <c r="IV49">
        <v>4</v>
      </c>
      <c r="IW49">
        <v>1.7541500000000001</v>
      </c>
      <c r="IX49">
        <v>2.67334</v>
      </c>
      <c r="IY49">
        <v>1.69434</v>
      </c>
      <c r="IZ49">
        <v>2.33765</v>
      </c>
      <c r="JA49">
        <v>1.5466299999999999</v>
      </c>
      <c r="JB49">
        <v>2.36084</v>
      </c>
      <c r="JC49">
        <v>44.893999999999998</v>
      </c>
      <c r="JD49">
        <v>23.8248</v>
      </c>
      <c r="JE49">
        <v>18</v>
      </c>
      <c r="JF49">
        <v>486.20699999999999</v>
      </c>
      <c r="JG49">
        <v>499.03899999999999</v>
      </c>
      <c r="JH49">
        <v>26.4468</v>
      </c>
      <c r="JI49">
        <v>34.9009</v>
      </c>
      <c r="JJ49">
        <v>29.998799999999999</v>
      </c>
      <c r="JK49">
        <v>35.0304</v>
      </c>
      <c r="JL49">
        <v>35.014200000000002</v>
      </c>
      <c r="JM49">
        <v>35.1828</v>
      </c>
      <c r="JN49">
        <v>10.004300000000001</v>
      </c>
      <c r="JO49">
        <v>43.098199999999999</v>
      </c>
      <c r="JP49">
        <v>26.474599999999999</v>
      </c>
      <c r="JQ49">
        <v>750</v>
      </c>
      <c r="JR49">
        <v>25.3887</v>
      </c>
      <c r="JS49">
        <v>98.923599999999993</v>
      </c>
      <c r="JT49">
        <v>98.700800000000001</v>
      </c>
    </row>
    <row r="50" spans="1:280" x14ac:dyDescent="0.25">
      <c r="A50">
        <v>34</v>
      </c>
      <c r="B50">
        <v>1700243373.5999999</v>
      </c>
      <c r="C50">
        <v>8148</v>
      </c>
      <c r="D50" t="s">
        <v>567</v>
      </c>
      <c r="E50" t="s">
        <v>568</v>
      </c>
      <c r="F50" t="s">
        <v>412</v>
      </c>
      <c r="G50" t="s">
        <v>545</v>
      </c>
      <c r="H50" t="s">
        <v>546</v>
      </c>
      <c r="I50">
        <v>1700243373.5999999</v>
      </c>
      <c r="J50">
        <f t="shared" si="46"/>
        <v>2.8368931569505438E-3</v>
      </c>
      <c r="K50">
        <f t="shared" si="47"/>
        <v>2.8368931569505436</v>
      </c>
      <c r="L50">
        <f t="shared" si="48"/>
        <v>42.439192593730382</v>
      </c>
      <c r="M50">
        <f t="shared" si="49"/>
        <v>554.41399999999999</v>
      </c>
      <c r="N50">
        <f t="shared" si="50"/>
        <v>164.14309047462433</v>
      </c>
      <c r="O50">
        <f t="shared" si="51"/>
        <v>16.211932927639005</v>
      </c>
      <c r="P50">
        <f t="shared" si="52"/>
        <v>54.757849119049993</v>
      </c>
      <c r="Q50">
        <f t="shared" si="53"/>
        <v>0.18321541898435897</v>
      </c>
      <c r="R50">
        <f t="shared" si="54"/>
        <v>3.0691341353934707</v>
      </c>
      <c r="S50">
        <f t="shared" si="55"/>
        <v>0.17734892956604145</v>
      </c>
      <c r="T50">
        <f t="shared" si="56"/>
        <v>0.11135451395289704</v>
      </c>
      <c r="U50">
        <f t="shared" si="57"/>
        <v>289.53774284755337</v>
      </c>
      <c r="V50">
        <f t="shared" si="58"/>
        <v>30.866665796647474</v>
      </c>
      <c r="W50">
        <f t="shared" si="59"/>
        <v>30.0382</v>
      </c>
      <c r="X50">
        <f t="shared" si="60"/>
        <v>4.269806894726365</v>
      </c>
      <c r="Y50">
        <f t="shared" si="61"/>
        <v>64.676577018910578</v>
      </c>
      <c r="Z50">
        <f t="shared" si="62"/>
        <v>2.7460308629324999</v>
      </c>
      <c r="AA50">
        <f t="shared" si="63"/>
        <v>4.2457887994437256</v>
      </c>
      <c r="AB50">
        <f t="shared" si="64"/>
        <v>1.5237760317938651</v>
      </c>
      <c r="AC50">
        <f t="shared" si="65"/>
        <v>-125.10698822151898</v>
      </c>
      <c r="AD50">
        <f t="shared" si="66"/>
        <v>-16.248482263619838</v>
      </c>
      <c r="AE50">
        <f t="shared" si="67"/>
        <v>-1.1770344268538551</v>
      </c>
      <c r="AF50">
        <f t="shared" si="68"/>
        <v>147.00523793556067</v>
      </c>
      <c r="AG50">
        <v>9</v>
      </c>
      <c r="AH50">
        <v>2</v>
      </c>
      <c r="AI50">
        <f t="shared" si="69"/>
        <v>1</v>
      </c>
      <c r="AJ50">
        <f t="shared" si="70"/>
        <v>0</v>
      </c>
      <c r="AK50">
        <f t="shared" si="71"/>
        <v>51529.349693934106</v>
      </c>
      <c r="AL50" t="s">
        <v>415</v>
      </c>
      <c r="AM50">
        <v>6960.3</v>
      </c>
      <c r="AN50">
        <v>244.8124</v>
      </c>
      <c r="AO50">
        <v>892.86711584811997</v>
      </c>
      <c r="AP50">
        <f t="shared" si="72"/>
        <v>0.72581317459826411</v>
      </c>
      <c r="AQ50">
        <v>-0.43209471141234851</v>
      </c>
      <c r="AR50" t="s">
        <v>569</v>
      </c>
      <c r="AS50">
        <v>7127.38</v>
      </c>
      <c r="AT50">
        <v>602.41076923076923</v>
      </c>
      <c r="AU50">
        <v>848.26831284585705</v>
      </c>
      <c r="AV50">
        <f t="shared" si="73"/>
        <v>0.28983464299197959</v>
      </c>
      <c r="AW50">
        <v>0.5</v>
      </c>
      <c r="AX50">
        <f t="shared" si="74"/>
        <v>1513.033499921012</v>
      </c>
      <c r="AY50">
        <f t="shared" si="75"/>
        <v>42.439192593730382</v>
      </c>
      <c r="AZ50">
        <f t="shared" si="76"/>
        <v>219.26476214225593</v>
      </c>
      <c r="BA50">
        <f t="shared" si="77"/>
        <v>2.833465835844403E-2</v>
      </c>
      <c r="BB50">
        <f t="shared" si="78"/>
        <v>5.2576292579688967E-2</v>
      </c>
      <c r="BC50">
        <f t="shared" si="79"/>
        <v>241.33340359717428</v>
      </c>
      <c r="BD50" t="s">
        <v>570</v>
      </c>
      <c r="BE50">
        <v>423.31</v>
      </c>
      <c r="BF50">
        <f t="shared" si="80"/>
        <v>423.31</v>
      </c>
      <c r="BG50">
        <f t="shared" si="81"/>
        <v>0.50097157516135848</v>
      </c>
      <c r="BH50">
        <f t="shared" si="82"/>
        <v>0.57854508591355991</v>
      </c>
      <c r="BI50">
        <f t="shared" si="83"/>
        <v>9.4980571046629741E-2</v>
      </c>
      <c r="BJ50">
        <f t="shared" si="84"/>
        <v>0.40741591619450768</v>
      </c>
      <c r="BK50">
        <f t="shared" si="85"/>
        <v>6.8819502291400991E-2</v>
      </c>
      <c r="BL50">
        <f t="shared" si="86"/>
        <v>0.40653974468416615</v>
      </c>
      <c r="BM50">
        <f t="shared" si="87"/>
        <v>0.59346025531583391</v>
      </c>
      <c r="BN50">
        <v>185</v>
      </c>
      <c r="BO50">
        <v>290.00000000000011</v>
      </c>
      <c r="BP50">
        <v>777.5</v>
      </c>
      <c r="BQ50">
        <v>295</v>
      </c>
      <c r="BR50">
        <v>7127.38</v>
      </c>
      <c r="BS50">
        <v>778.78</v>
      </c>
      <c r="BT50">
        <v>-1.28</v>
      </c>
      <c r="BU50">
        <v>300.00000000000011</v>
      </c>
      <c r="BV50">
        <v>38.200000000000003</v>
      </c>
      <c r="BW50">
        <v>848.26831284585705</v>
      </c>
      <c r="BX50">
        <v>1.857790195039138</v>
      </c>
      <c r="BY50">
        <v>-49.526530982779761</v>
      </c>
      <c r="BZ50">
        <v>1.1098783617352841</v>
      </c>
      <c r="CA50">
        <v>0.98613344213645915</v>
      </c>
      <c r="CB50">
        <v>-7.0335154616240269E-3</v>
      </c>
      <c r="CC50">
        <v>289.99999999999989</v>
      </c>
      <c r="CD50">
        <v>783.39</v>
      </c>
      <c r="CE50">
        <v>855</v>
      </c>
      <c r="CF50">
        <v>7121.77</v>
      </c>
      <c r="CG50">
        <v>778.73</v>
      </c>
      <c r="CH50">
        <v>4.66</v>
      </c>
      <c r="CV50">
        <f t="shared" si="88"/>
        <v>1799.82</v>
      </c>
      <c r="CW50">
        <f t="shared" si="89"/>
        <v>1513.033499921012</v>
      </c>
      <c r="CX50">
        <f t="shared" si="90"/>
        <v>0.84065823244602911</v>
      </c>
      <c r="CY50">
        <f t="shared" si="91"/>
        <v>0.16087038862083619</v>
      </c>
      <c r="CZ50">
        <v>5.18</v>
      </c>
      <c r="DA50">
        <v>0.5</v>
      </c>
      <c r="DB50" t="s">
        <v>418</v>
      </c>
      <c r="DC50">
        <v>2</v>
      </c>
      <c r="DD50">
        <v>1700243373.5999999</v>
      </c>
      <c r="DE50">
        <v>554.41399999999999</v>
      </c>
      <c r="DF50">
        <v>599.98</v>
      </c>
      <c r="DG50">
        <v>27.803100000000001</v>
      </c>
      <c r="DH50">
        <v>24.947700000000001</v>
      </c>
      <c r="DI50">
        <v>552.80999999999995</v>
      </c>
      <c r="DJ50">
        <v>27.471699999999998</v>
      </c>
      <c r="DK50">
        <v>500.334</v>
      </c>
      <c r="DL50">
        <v>98.666399999999996</v>
      </c>
      <c r="DM50">
        <v>0.100675</v>
      </c>
      <c r="DN50">
        <v>29.94</v>
      </c>
      <c r="DO50">
        <v>30.0382</v>
      </c>
      <c r="DP50">
        <v>999.9</v>
      </c>
      <c r="DQ50">
        <v>0</v>
      </c>
      <c r="DR50">
        <v>0</v>
      </c>
      <c r="DS50">
        <v>9972.5</v>
      </c>
      <c r="DT50">
        <v>0</v>
      </c>
      <c r="DU50">
        <v>163.21600000000001</v>
      </c>
      <c r="DV50">
        <v>-45.565899999999999</v>
      </c>
      <c r="DW50">
        <v>570.27</v>
      </c>
      <c r="DX50">
        <v>615.33100000000002</v>
      </c>
      <c r="DY50">
        <v>2.8553500000000001</v>
      </c>
      <c r="DZ50">
        <v>599.98</v>
      </c>
      <c r="EA50">
        <v>24.947700000000001</v>
      </c>
      <c r="EB50">
        <v>2.7432300000000001</v>
      </c>
      <c r="EC50">
        <v>2.4615</v>
      </c>
      <c r="ED50">
        <v>22.546399999999998</v>
      </c>
      <c r="EE50">
        <v>20.7742</v>
      </c>
      <c r="EF50">
        <v>1799.82</v>
      </c>
      <c r="EG50">
        <v>0.97799599999999998</v>
      </c>
      <c r="EH50">
        <v>2.20039E-2</v>
      </c>
      <c r="EI50">
        <v>0</v>
      </c>
      <c r="EJ50">
        <v>602.17999999999995</v>
      </c>
      <c r="EK50">
        <v>5.0001199999999999</v>
      </c>
      <c r="EL50">
        <v>11218</v>
      </c>
      <c r="EM50">
        <v>15628.4</v>
      </c>
      <c r="EN50">
        <v>51.061999999999998</v>
      </c>
      <c r="EO50">
        <v>52.186999999999998</v>
      </c>
      <c r="EP50">
        <v>52</v>
      </c>
      <c r="EQ50">
        <v>51.811999999999998</v>
      </c>
      <c r="ER50">
        <v>52.625</v>
      </c>
      <c r="ES50">
        <v>1755.33</v>
      </c>
      <c r="ET50">
        <v>39.49</v>
      </c>
      <c r="EU50">
        <v>0</v>
      </c>
      <c r="EV50">
        <v>187.39999985694891</v>
      </c>
      <c r="EW50">
        <v>0</v>
      </c>
      <c r="EX50">
        <v>602.41076923076923</v>
      </c>
      <c r="EY50">
        <v>-1.702700859678878</v>
      </c>
      <c r="EZ50">
        <v>-747.51453014426818</v>
      </c>
      <c r="FA50">
        <v>11343.107692307691</v>
      </c>
      <c r="FB50">
        <v>15</v>
      </c>
      <c r="FC50">
        <v>1700243262.5999999</v>
      </c>
      <c r="FD50" t="s">
        <v>571</v>
      </c>
      <c r="FE50">
        <v>1700243262.5999999</v>
      </c>
      <c r="FF50">
        <v>1700243258.0999999</v>
      </c>
      <c r="FG50">
        <v>41</v>
      </c>
      <c r="FH50">
        <v>-0.249</v>
      </c>
      <c r="FI50">
        <v>5.0000000000000001E-3</v>
      </c>
      <c r="FJ50">
        <v>1.6160000000000001</v>
      </c>
      <c r="FK50">
        <v>0.33100000000000002</v>
      </c>
      <c r="FL50">
        <v>600</v>
      </c>
      <c r="FM50">
        <v>25</v>
      </c>
      <c r="FN50">
        <v>0.05</v>
      </c>
      <c r="FO50">
        <v>0.05</v>
      </c>
      <c r="FP50">
        <v>42.325904755212598</v>
      </c>
      <c r="FQ50">
        <v>0.55097198538528591</v>
      </c>
      <c r="FR50">
        <v>5.3465017677632599E-2</v>
      </c>
      <c r="FS50">
        <v>1</v>
      </c>
      <c r="FT50">
        <v>0.18462550845777859</v>
      </c>
      <c r="FU50">
        <v>1.3910155655840939E-4</v>
      </c>
      <c r="FV50">
        <v>2.0738677509243991E-4</v>
      </c>
      <c r="FW50">
        <v>1</v>
      </c>
      <c r="FX50">
        <v>2</v>
      </c>
      <c r="FY50">
        <v>2</v>
      </c>
      <c r="FZ50" t="s">
        <v>420</v>
      </c>
      <c r="GA50">
        <v>2.9149099999999999</v>
      </c>
      <c r="GB50">
        <v>2.7514400000000001</v>
      </c>
      <c r="GC50">
        <v>0.114857</v>
      </c>
      <c r="GD50">
        <v>0.12365</v>
      </c>
      <c r="GE50">
        <v>0.12626599999999999</v>
      </c>
      <c r="GF50">
        <v>0.119633</v>
      </c>
      <c r="GG50">
        <v>27455.200000000001</v>
      </c>
      <c r="GH50">
        <v>27024.2</v>
      </c>
      <c r="GI50">
        <v>28254.400000000001</v>
      </c>
      <c r="GJ50">
        <v>28199.599999999999</v>
      </c>
      <c r="GK50">
        <v>33650.800000000003</v>
      </c>
      <c r="GL50">
        <v>34676.400000000001</v>
      </c>
      <c r="GM50">
        <v>42456.6</v>
      </c>
      <c r="GN50">
        <v>43840.9</v>
      </c>
      <c r="GO50">
        <v>1.7396</v>
      </c>
      <c r="GP50">
        <v>1.8978999999999999</v>
      </c>
      <c r="GQ50">
        <v>7.4580300000000002E-2</v>
      </c>
      <c r="GR50">
        <v>0</v>
      </c>
      <c r="GS50">
        <v>28.823399999999999</v>
      </c>
      <c r="GT50">
        <v>999.9</v>
      </c>
      <c r="GU50">
        <v>37.1</v>
      </c>
      <c r="GV50">
        <v>41.5</v>
      </c>
      <c r="GW50">
        <v>30.187000000000001</v>
      </c>
      <c r="GX50">
        <v>61.056600000000003</v>
      </c>
      <c r="GY50">
        <v>30.568899999999999</v>
      </c>
      <c r="GZ50">
        <v>1</v>
      </c>
      <c r="HA50">
        <v>0.58704000000000001</v>
      </c>
      <c r="HB50">
        <v>2.9231799999999999</v>
      </c>
      <c r="HC50">
        <v>20.241399999999999</v>
      </c>
      <c r="HD50">
        <v>5.2753899999999998</v>
      </c>
      <c r="HE50">
        <v>12.0878</v>
      </c>
      <c r="HF50">
        <v>5.0128000000000004</v>
      </c>
      <c r="HG50">
        <v>3.2917999999999998</v>
      </c>
      <c r="HH50">
        <v>9999</v>
      </c>
      <c r="HI50">
        <v>9999</v>
      </c>
      <c r="HJ50">
        <v>9999</v>
      </c>
      <c r="HK50">
        <v>999.9</v>
      </c>
      <c r="HL50">
        <v>1.8759600000000001</v>
      </c>
      <c r="HM50">
        <v>1.87653</v>
      </c>
      <c r="HN50">
        <v>1.8762399999999999</v>
      </c>
      <c r="HO50">
        <v>1.88008</v>
      </c>
      <c r="HP50">
        <v>1.8736600000000001</v>
      </c>
      <c r="HQ50">
        <v>1.87673</v>
      </c>
      <c r="HR50">
        <v>1.87663</v>
      </c>
      <c r="HS50">
        <v>1.8779999999999999</v>
      </c>
      <c r="HT50">
        <v>0</v>
      </c>
      <c r="HU50">
        <v>0</v>
      </c>
      <c r="HV50">
        <v>0</v>
      </c>
      <c r="HW50">
        <v>0</v>
      </c>
      <c r="HX50" t="s">
        <v>421</v>
      </c>
      <c r="HY50" t="s">
        <v>422</v>
      </c>
      <c r="HZ50" t="s">
        <v>423</v>
      </c>
      <c r="IA50" t="s">
        <v>424</v>
      </c>
      <c r="IB50" t="s">
        <v>424</v>
      </c>
      <c r="IC50" t="s">
        <v>423</v>
      </c>
      <c r="ID50">
        <v>0</v>
      </c>
      <c r="IE50">
        <v>100</v>
      </c>
      <c r="IF50">
        <v>100</v>
      </c>
      <c r="IG50">
        <v>1.6040000000000001</v>
      </c>
      <c r="IH50">
        <v>0.33139999999999997</v>
      </c>
      <c r="II50">
        <v>1.295445062730614</v>
      </c>
      <c r="IJ50">
        <v>8.9576739069318506E-4</v>
      </c>
      <c r="IK50">
        <v>-7.2130504814809596E-7</v>
      </c>
      <c r="IL50">
        <v>1.9987036519832741E-10</v>
      </c>
      <c r="IM50">
        <v>0.3314095238095156</v>
      </c>
      <c r="IN50">
        <v>0</v>
      </c>
      <c r="IO50">
        <v>0</v>
      </c>
      <c r="IP50">
        <v>0</v>
      </c>
      <c r="IQ50">
        <v>1</v>
      </c>
      <c r="IR50">
        <v>2126</v>
      </c>
      <c r="IS50">
        <v>0</v>
      </c>
      <c r="IT50">
        <v>20</v>
      </c>
      <c r="IU50">
        <v>1.9</v>
      </c>
      <c r="IV50">
        <v>1.9</v>
      </c>
      <c r="IW50">
        <v>1.4636199999999999</v>
      </c>
      <c r="IX50">
        <v>2.6709000000000001</v>
      </c>
      <c r="IY50">
        <v>1.69434</v>
      </c>
      <c r="IZ50">
        <v>2.33765</v>
      </c>
      <c r="JA50">
        <v>1.5466299999999999</v>
      </c>
      <c r="JB50">
        <v>2.4169900000000002</v>
      </c>
      <c r="JC50">
        <v>44.557299999999998</v>
      </c>
      <c r="JD50">
        <v>23.833600000000001</v>
      </c>
      <c r="JE50">
        <v>18</v>
      </c>
      <c r="JF50">
        <v>487.32900000000001</v>
      </c>
      <c r="JG50">
        <v>499.69799999999998</v>
      </c>
      <c r="JH50">
        <v>26.8399</v>
      </c>
      <c r="JI50">
        <v>34.497999999999998</v>
      </c>
      <c r="JJ50">
        <v>30.001100000000001</v>
      </c>
      <c r="JK50">
        <v>34.644599999999997</v>
      </c>
      <c r="JL50">
        <v>34.634799999999998</v>
      </c>
      <c r="JM50">
        <v>29.350999999999999</v>
      </c>
      <c r="JN50">
        <v>13.516999999999999</v>
      </c>
      <c r="JO50">
        <v>43.405000000000001</v>
      </c>
      <c r="JP50">
        <v>26.799800000000001</v>
      </c>
      <c r="JQ50">
        <v>600</v>
      </c>
      <c r="JR50">
        <v>24.9894</v>
      </c>
      <c r="JS50">
        <v>98.983500000000006</v>
      </c>
      <c r="JT50">
        <v>98.771100000000004</v>
      </c>
    </row>
    <row r="51" spans="1:280" x14ac:dyDescent="0.25">
      <c r="A51">
        <v>35</v>
      </c>
      <c r="B51">
        <v>1700243512.5</v>
      </c>
      <c r="C51">
        <v>8286.9000000953674</v>
      </c>
      <c r="D51" t="s">
        <v>572</v>
      </c>
      <c r="E51" t="s">
        <v>573</v>
      </c>
      <c r="F51" t="s">
        <v>412</v>
      </c>
      <c r="G51" t="s">
        <v>545</v>
      </c>
      <c r="H51" t="s">
        <v>546</v>
      </c>
      <c r="I51">
        <v>1700243512.5</v>
      </c>
      <c r="J51">
        <f t="shared" si="46"/>
        <v>3.1524941977806036E-3</v>
      </c>
      <c r="K51">
        <f t="shared" si="47"/>
        <v>3.1524941977806034</v>
      </c>
      <c r="L51">
        <f t="shared" si="48"/>
        <v>40.164316688848864</v>
      </c>
      <c r="M51">
        <f t="shared" si="49"/>
        <v>456.911</v>
      </c>
      <c r="N51">
        <f t="shared" si="50"/>
        <v>133.83744428508328</v>
      </c>
      <c r="O51">
        <f t="shared" si="51"/>
        <v>13.219528561119418</v>
      </c>
      <c r="P51">
        <f t="shared" si="52"/>
        <v>45.130479341220003</v>
      </c>
      <c r="Q51">
        <f t="shared" si="53"/>
        <v>0.21013037455188718</v>
      </c>
      <c r="R51">
        <f t="shared" si="54"/>
        <v>3.0709380922862324</v>
      </c>
      <c r="S51">
        <f t="shared" si="55"/>
        <v>0.20245686370978938</v>
      </c>
      <c r="T51">
        <f t="shared" si="56"/>
        <v>0.12720162787507824</v>
      </c>
      <c r="U51">
        <f t="shared" si="57"/>
        <v>289.55906984752579</v>
      </c>
      <c r="V51">
        <f t="shared" si="58"/>
        <v>30.675748522651144</v>
      </c>
      <c r="W51">
        <f t="shared" si="59"/>
        <v>29.943100000000001</v>
      </c>
      <c r="X51">
        <f t="shared" si="60"/>
        <v>4.246545204422385</v>
      </c>
      <c r="Y51">
        <f t="shared" si="61"/>
        <v>65.499873448809737</v>
      </c>
      <c r="Z51">
        <f t="shared" si="62"/>
        <v>2.7631060933859999</v>
      </c>
      <c r="AA51">
        <f t="shared" si="63"/>
        <v>4.2184907357805148</v>
      </c>
      <c r="AB51">
        <f t="shared" si="64"/>
        <v>1.4834391110363851</v>
      </c>
      <c r="AC51">
        <f t="shared" si="65"/>
        <v>-139.02499412212461</v>
      </c>
      <c r="AD51">
        <f t="shared" si="66"/>
        <v>-19.089115783933181</v>
      </c>
      <c r="AE51">
        <f t="shared" si="67"/>
        <v>-1.3805788244994031</v>
      </c>
      <c r="AF51">
        <f t="shared" si="68"/>
        <v>130.06438111696858</v>
      </c>
      <c r="AG51">
        <v>8</v>
      </c>
      <c r="AH51">
        <v>2</v>
      </c>
      <c r="AI51">
        <f t="shared" si="69"/>
        <v>1</v>
      </c>
      <c r="AJ51">
        <f t="shared" si="70"/>
        <v>0</v>
      </c>
      <c r="AK51">
        <f t="shared" si="71"/>
        <v>51595.245582533644</v>
      </c>
      <c r="AL51" t="s">
        <v>427</v>
      </c>
      <c r="AM51" t="s">
        <v>427</v>
      </c>
      <c r="AN51">
        <v>0</v>
      </c>
      <c r="AO51">
        <v>0</v>
      </c>
      <c r="AP51" t="e">
        <f t="shared" si="72"/>
        <v>#DIV/0!</v>
      </c>
      <c r="AQ51">
        <v>0</v>
      </c>
      <c r="AR51" t="s">
        <v>427</v>
      </c>
      <c r="AS51" t="s">
        <v>427</v>
      </c>
      <c r="AT51">
        <v>0</v>
      </c>
      <c r="AU51">
        <v>0</v>
      </c>
      <c r="AV51" t="e">
        <f t="shared" si="73"/>
        <v>#DIV/0!</v>
      </c>
      <c r="AW51">
        <v>0.5</v>
      </c>
      <c r="AX51">
        <f t="shared" si="74"/>
        <v>1513.1429999209977</v>
      </c>
      <c r="AY51">
        <f t="shared" si="75"/>
        <v>40.164316688848864</v>
      </c>
      <c r="AZ51" t="e">
        <f t="shared" si="76"/>
        <v>#DIV/0!</v>
      </c>
      <c r="BA51">
        <f t="shared" si="77"/>
        <v>2.6543635790500879E-2</v>
      </c>
      <c r="BB51" t="e">
        <f t="shared" si="78"/>
        <v>#DIV/0!</v>
      </c>
      <c r="BC51" t="e">
        <f t="shared" si="79"/>
        <v>#DIV/0!</v>
      </c>
      <c r="BD51" t="s">
        <v>427</v>
      </c>
      <c r="BE51">
        <v>0</v>
      </c>
      <c r="BF51" t="e">
        <f t="shared" si="80"/>
        <v>#DIV/0!</v>
      </c>
      <c r="BG51" t="e">
        <f t="shared" si="81"/>
        <v>#DIV/0!</v>
      </c>
      <c r="BH51" t="e">
        <f t="shared" si="82"/>
        <v>#DIV/0!</v>
      </c>
      <c r="BI51" t="e">
        <f t="shared" si="83"/>
        <v>#DIV/0!</v>
      </c>
      <c r="BJ51" t="e">
        <f t="shared" si="84"/>
        <v>#DIV/0!</v>
      </c>
      <c r="BK51" t="e">
        <f t="shared" si="85"/>
        <v>#DIV/0!</v>
      </c>
      <c r="BL51" t="e">
        <f t="shared" si="86"/>
        <v>#DIV/0!</v>
      </c>
      <c r="BM51" t="e">
        <f t="shared" si="87"/>
        <v>#DIV/0!</v>
      </c>
      <c r="BN51">
        <v>185</v>
      </c>
      <c r="BO51">
        <v>290.00000000000011</v>
      </c>
      <c r="BP51">
        <v>777.5</v>
      </c>
      <c r="BQ51">
        <v>295</v>
      </c>
      <c r="BR51">
        <v>7127.38</v>
      </c>
      <c r="BS51">
        <v>778.78</v>
      </c>
      <c r="BT51">
        <v>-1.28</v>
      </c>
      <c r="BU51">
        <v>300.00000000000011</v>
      </c>
      <c r="BV51">
        <v>38.200000000000003</v>
      </c>
      <c r="BW51">
        <v>848.26831284585705</v>
      </c>
      <c r="BX51">
        <v>1.857790195039138</v>
      </c>
      <c r="BY51">
        <v>-49.526530982779761</v>
      </c>
      <c r="BZ51">
        <v>1.1098783617352841</v>
      </c>
      <c r="CA51">
        <v>0.98613344213645915</v>
      </c>
      <c r="CB51">
        <v>-7.0335154616240269E-3</v>
      </c>
      <c r="CC51">
        <v>289.99999999999989</v>
      </c>
      <c r="CD51">
        <v>783.39</v>
      </c>
      <c r="CE51">
        <v>855</v>
      </c>
      <c r="CF51">
        <v>7121.77</v>
      </c>
      <c r="CG51">
        <v>778.73</v>
      </c>
      <c r="CH51">
        <v>4.66</v>
      </c>
      <c r="CV51">
        <f t="shared" si="88"/>
        <v>1799.95</v>
      </c>
      <c r="CW51">
        <f t="shared" si="89"/>
        <v>1513.1429999209977</v>
      </c>
      <c r="CX51">
        <f t="shared" si="90"/>
        <v>0.84065835157698698</v>
      </c>
      <c r="CY51">
        <f t="shared" si="91"/>
        <v>0.16087061854358498</v>
      </c>
      <c r="CZ51">
        <v>5.18</v>
      </c>
      <c r="DA51">
        <v>0.5</v>
      </c>
      <c r="DB51" t="s">
        <v>418</v>
      </c>
      <c r="DC51">
        <v>2</v>
      </c>
      <c r="DD51">
        <v>1700243512.5</v>
      </c>
      <c r="DE51">
        <v>456.911</v>
      </c>
      <c r="DF51">
        <v>500.00099999999998</v>
      </c>
      <c r="DG51">
        <v>27.974299999999999</v>
      </c>
      <c r="DH51">
        <v>24.800599999999999</v>
      </c>
      <c r="DI51">
        <v>455.40899999999999</v>
      </c>
      <c r="DJ51">
        <v>27.639500000000002</v>
      </c>
      <c r="DK51">
        <v>500.14499999999998</v>
      </c>
      <c r="DL51">
        <v>98.672899999999998</v>
      </c>
      <c r="DM51">
        <v>0.10012</v>
      </c>
      <c r="DN51">
        <v>29.8278</v>
      </c>
      <c r="DO51">
        <v>29.943100000000001</v>
      </c>
      <c r="DP51">
        <v>999.9</v>
      </c>
      <c r="DQ51">
        <v>0</v>
      </c>
      <c r="DR51">
        <v>0</v>
      </c>
      <c r="DS51">
        <v>9981.25</v>
      </c>
      <c r="DT51">
        <v>0</v>
      </c>
      <c r="DU51">
        <v>95.324299999999994</v>
      </c>
      <c r="DV51">
        <v>-43.089700000000001</v>
      </c>
      <c r="DW51">
        <v>470.06099999999998</v>
      </c>
      <c r="DX51">
        <v>512.71600000000001</v>
      </c>
      <c r="DY51">
        <v>3.1737199999999999</v>
      </c>
      <c r="DZ51">
        <v>500.00099999999998</v>
      </c>
      <c r="EA51">
        <v>24.800599999999999</v>
      </c>
      <c r="EB51">
        <v>2.76031</v>
      </c>
      <c r="EC51">
        <v>2.4471500000000002</v>
      </c>
      <c r="ED51">
        <v>22.648599999999998</v>
      </c>
      <c r="EE51">
        <v>20.679200000000002</v>
      </c>
      <c r="EF51">
        <v>1799.95</v>
      </c>
      <c r="EG51">
        <v>0.97799599999999998</v>
      </c>
      <c r="EH51">
        <v>2.20039E-2</v>
      </c>
      <c r="EI51">
        <v>0</v>
      </c>
      <c r="EJ51">
        <v>602.97299999999996</v>
      </c>
      <c r="EK51">
        <v>5.0001199999999999</v>
      </c>
      <c r="EL51">
        <v>10913</v>
      </c>
      <c r="EM51">
        <v>15629.6</v>
      </c>
      <c r="EN51">
        <v>50.875</v>
      </c>
      <c r="EO51">
        <v>51.936999999999998</v>
      </c>
      <c r="EP51">
        <v>51.875</v>
      </c>
      <c r="EQ51">
        <v>51.75</v>
      </c>
      <c r="ER51">
        <v>52.375</v>
      </c>
      <c r="ES51">
        <v>1755.45</v>
      </c>
      <c r="ET51">
        <v>39.5</v>
      </c>
      <c r="EU51">
        <v>0</v>
      </c>
      <c r="EV51">
        <v>137</v>
      </c>
      <c r="EW51">
        <v>0</v>
      </c>
      <c r="EX51">
        <v>603.0308399999999</v>
      </c>
      <c r="EY51">
        <v>-1.081615398345487</v>
      </c>
      <c r="EZ51">
        <v>-0.20769233879710181</v>
      </c>
      <c r="FA51">
        <v>10913.716</v>
      </c>
      <c r="FB51">
        <v>15</v>
      </c>
      <c r="FC51">
        <v>1700243471.5</v>
      </c>
      <c r="FD51" t="s">
        <v>574</v>
      </c>
      <c r="FE51">
        <v>1700243467</v>
      </c>
      <c r="FF51">
        <v>1700243471.5</v>
      </c>
      <c r="FG51">
        <v>42</v>
      </c>
      <c r="FH51">
        <v>-7.0999999999999994E-2</v>
      </c>
      <c r="FI51">
        <v>3.0000000000000001E-3</v>
      </c>
      <c r="FJ51">
        <v>1.5169999999999999</v>
      </c>
      <c r="FK51">
        <v>0.33500000000000002</v>
      </c>
      <c r="FL51">
        <v>500</v>
      </c>
      <c r="FM51">
        <v>25</v>
      </c>
      <c r="FN51">
        <v>0.06</v>
      </c>
      <c r="FO51">
        <v>7.0000000000000007E-2</v>
      </c>
      <c r="FP51">
        <v>40.142274679842309</v>
      </c>
      <c r="FQ51">
        <v>0.59010490215092049</v>
      </c>
      <c r="FR51">
        <v>5.4615448760526472E-2</v>
      </c>
      <c r="FS51">
        <v>1</v>
      </c>
      <c r="FT51">
        <v>0.20714082138013479</v>
      </c>
      <c r="FU51">
        <v>4.3260022155311988E-2</v>
      </c>
      <c r="FV51">
        <v>3.7872189008662971E-3</v>
      </c>
      <c r="FW51">
        <v>1</v>
      </c>
      <c r="FX51">
        <v>2</v>
      </c>
      <c r="FY51">
        <v>2</v>
      </c>
      <c r="FZ51" t="s">
        <v>420</v>
      </c>
      <c r="GA51">
        <v>2.91486</v>
      </c>
      <c r="GB51">
        <v>2.7509600000000001</v>
      </c>
      <c r="GC51">
        <v>9.9684499999999995E-2</v>
      </c>
      <c r="GD51">
        <v>0.10854900000000001</v>
      </c>
      <c r="GE51">
        <v>0.12687100000000001</v>
      </c>
      <c r="GF51">
        <v>0.119217</v>
      </c>
      <c r="GG51">
        <v>27935.200000000001</v>
      </c>
      <c r="GH51">
        <v>27501.5</v>
      </c>
      <c r="GI51">
        <v>28262.9</v>
      </c>
      <c r="GJ51">
        <v>28210.5</v>
      </c>
      <c r="GK51">
        <v>33637.199999999997</v>
      </c>
      <c r="GL51">
        <v>34704.800000000003</v>
      </c>
      <c r="GM51">
        <v>42469.2</v>
      </c>
      <c r="GN51">
        <v>43856.5</v>
      </c>
      <c r="GO51">
        <v>1.74312</v>
      </c>
      <c r="GP51">
        <v>1.9014</v>
      </c>
      <c r="GQ51">
        <v>6.2815800000000005E-2</v>
      </c>
      <c r="GR51">
        <v>0</v>
      </c>
      <c r="GS51">
        <v>28.919899999999998</v>
      </c>
      <c r="GT51">
        <v>999.9</v>
      </c>
      <c r="GU51">
        <v>37.200000000000003</v>
      </c>
      <c r="GV51">
        <v>41.3</v>
      </c>
      <c r="GW51">
        <v>29.948899999999998</v>
      </c>
      <c r="GX51">
        <v>61.076599999999999</v>
      </c>
      <c r="GY51">
        <v>30.9054</v>
      </c>
      <c r="GZ51">
        <v>1</v>
      </c>
      <c r="HA51">
        <v>0.56571099999999996</v>
      </c>
      <c r="HB51">
        <v>2.1781600000000001</v>
      </c>
      <c r="HC51">
        <v>20.254799999999999</v>
      </c>
      <c r="HD51">
        <v>5.2722499999999997</v>
      </c>
      <c r="HE51">
        <v>12.0878</v>
      </c>
      <c r="HF51">
        <v>5.01295</v>
      </c>
      <c r="HG51">
        <v>3.2919499999999999</v>
      </c>
      <c r="HH51">
        <v>9999</v>
      </c>
      <c r="HI51">
        <v>9999</v>
      </c>
      <c r="HJ51">
        <v>9999</v>
      </c>
      <c r="HK51">
        <v>999.9</v>
      </c>
      <c r="HL51">
        <v>1.87592</v>
      </c>
      <c r="HM51">
        <v>1.87653</v>
      </c>
      <c r="HN51">
        <v>1.8762300000000001</v>
      </c>
      <c r="HO51">
        <v>1.8800699999999999</v>
      </c>
      <c r="HP51">
        <v>1.8736299999999999</v>
      </c>
      <c r="HQ51">
        <v>1.87669</v>
      </c>
      <c r="HR51">
        <v>1.8765400000000001</v>
      </c>
      <c r="HS51">
        <v>1.8779600000000001</v>
      </c>
      <c r="HT51">
        <v>0</v>
      </c>
      <c r="HU51">
        <v>0</v>
      </c>
      <c r="HV51">
        <v>0</v>
      </c>
      <c r="HW51">
        <v>0</v>
      </c>
      <c r="HX51" t="s">
        <v>421</v>
      </c>
      <c r="HY51" t="s">
        <v>422</v>
      </c>
      <c r="HZ51" t="s">
        <v>423</v>
      </c>
      <c r="IA51" t="s">
        <v>424</v>
      </c>
      <c r="IB51" t="s">
        <v>424</v>
      </c>
      <c r="IC51" t="s">
        <v>423</v>
      </c>
      <c r="ID51">
        <v>0</v>
      </c>
      <c r="IE51">
        <v>100</v>
      </c>
      <c r="IF51">
        <v>100</v>
      </c>
      <c r="IG51">
        <v>1.502</v>
      </c>
      <c r="IH51">
        <v>0.33479999999999999</v>
      </c>
      <c r="II51">
        <v>1.224653057353102</v>
      </c>
      <c r="IJ51">
        <v>8.9576739069318506E-4</v>
      </c>
      <c r="IK51">
        <v>-7.2130504814809596E-7</v>
      </c>
      <c r="IL51">
        <v>1.9987036519832741E-10</v>
      </c>
      <c r="IM51">
        <v>0.33480952380952189</v>
      </c>
      <c r="IN51">
        <v>0</v>
      </c>
      <c r="IO51">
        <v>0</v>
      </c>
      <c r="IP51">
        <v>0</v>
      </c>
      <c r="IQ51">
        <v>1</v>
      </c>
      <c r="IR51">
        <v>2126</v>
      </c>
      <c r="IS51">
        <v>0</v>
      </c>
      <c r="IT51">
        <v>20</v>
      </c>
      <c r="IU51">
        <v>0.8</v>
      </c>
      <c r="IV51">
        <v>0.7</v>
      </c>
      <c r="IW51">
        <v>1.2622100000000001</v>
      </c>
      <c r="IX51">
        <v>2.68066</v>
      </c>
      <c r="IY51">
        <v>1.69434</v>
      </c>
      <c r="IZ51">
        <v>2.33765</v>
      </c>
      <c r="JA51">
        <v>1.5466299999999999</v>
      </c>
      <c r="JB51">
        <v>2.35107</v>
      </c>
      <c r="JC51">
        <v>44.362099999999998</v>
      </c>
      <c r="JD51">
        <v>23.833600000000001</v>
      </c>
      <c r="JE51">
        <v>18</v>
      </c>
      <c r="JF51">
        <v>488.13600000000002</v>
      </c>
      <c r="JG51">
        <v>500.29500000000002</v>
      </c>
      <c r="JH51">
        <v>26.873999999999999</v>
      </c>
      <c r="JI51">
        <v>34.2819</v>
      </c>
      <c r="JJ51">
        <v>29.999500000000001</v>
      </c>
      <c r="JK51">
        <v>34.412599999999998</v>
      </c>
      <c r="JL51">
        <v>34.398600000000002</v>
      </c>
      <c r="JM51">
        <v>25.346599999999999</v>
      </c>
      <c r="JN51">
        <v>14.087999999999999</v>
      </c>
      <c r="JO51">
        <v>43.633299999999998</v>
      </c>
      <c r="JP51">
        <v>26.909800000000001</v>
      </c>
      <c r="JQ51">
        <v>500</v>
      </c>
      <c r="JR51">
        <v>24.687899999999999</v>
      </c>
      <c r="JS51">
        <v>99.013000000000005</v>
      </c>
      <c r="JT51">
        <v>98.807500000000005</v>
      </c>
    </row>
    <row r="52" spans="1:280" x14ac:dyDescent="0.25">
      <c r="A52">
        <v>36</v>
      </c>
      <c r="B52">
        <v>1700243604.5</v>
      </c>
      <c r="C52">
        <v>8378.9000000953674</v>
      </c>
      <c r="D52" t="s">
        <v>575</v>
      </c>
      <c r="E52" t="s">
        <v>576</v>
      </c>
      <c r="F52" t="s">
        <v>412</v>
      </c>
      <c r="G52" t="s">
        <v>545</v>
      </c>
      <c r="H52" t="s">
        <v>546</v>
      </c>
      <c r="I52">
        <v>1700243604.5</v>
      </c>
      <c r="J52">
        <f t="shared" si="46"/>
        <v>3.0205916323612905E-3</v>
      </c>
      <c r="K52">
        <f t="shared" si="47"/>
        <v>3.0205916323612905</v>
      </c>
      <c r="L52">
        <f t="shared" si="48"/>
        <v>36.072860736231284</v>
      </c>
      <c r="M52">
        <f t="shared" si="49"/>
        <v>361.51100000000002</v>
      </c>
      <c r="N52">
        <f t="shared" si="50"/>
        <v>57.12026730843457</v>
      </c>
      <c r="O52">
        <f t="shared" si="51"/>
        <v>5.6416195353715519</v>
      </c>
      <c r="P52">
        <f t="shared" si="52"/>
        <v>35.705496769454804</v>
      </c>
      <c r="Q52">
        <f t="shared" si="53"/>
        <v>0.1988599568261652</v>
      </c>
      <c r="R52">
        <f t="shared" si="54"/>
        <v>3.0739451817382744</v>
      </c>
      <c r="S52">
        <f t="shared" si="55"/>
        <v>0.19197948755552866</v>
      </c>
      <c r="T52">
        <f t="shared" si="56"/>
        <v>0.12058552986553096</v>
      </c>
      <c r="U52">
        <f t="shared" si="57"/>
        <v>289.54630184751898</v>
      </c>
      <c r="V52">
        <f t="shared" si="58"/>
        <v>30.872942227815244</v>
      </c>
      <c r="W52">
        <f t="shared" si="59"/>
        <v>30.027000000000001</v>
      </c>
      <c r="X52">
        <f t="shared" si="60"/>
        <v>4.2670615913427854</v>
      </c>
      <c r="Y52">
        <f t="shared" si="61"/>
        <v>65.004683421606103</v>
      </c>
      <c r="Z52">
        <f t="shared" si="62"/>
        <v>2.7684103450492796</v>
      </c>
      <c r="AA52">
        <f t="shared" si="63"/>
        <v>4.2587859817637721</v>
      </c>
      <c r="AB52">
        <f t="shared" si="64"/>
        <v>1.4986512462935058</v>
      </c>
      <c r="AC52">
        <f t="shared" si="65"/>
        <v>-133.20809098713292</v>
      </c>
      <c r="AD52">
        <f t="shared" si="66"/>
        <v>-5.6014216031600341</v>
      </c>
      <c r="AE52">
        <f t="shared" si="67"/>
        <v>-0.40521421027504279</v>
      </c>
      <c r="AF52">
        <f t="shared" si="68"/>
        <v>150.33157504695095</v>
      </c>
      <c r="AG52">
        <v>8</v>
      </c>
      <c r="AH52">
        <v>2</v>
      </c>
      <c r="AI52">
        <f t="shared" si="69"/>
        <v>1</v>
      </c>
      <c r="AJ52">
        <f t="shared" si="70"/>
        <v>0</v>
      </c>
      <c r="AK52">
        <f t="shared" si="71"/>
        <v>51644.742924608639</v>
      </c>
      <c r="AL52" t="s">
        <v>415</v>
      </c>
      <c r="AM52">
        <v>6960.3</v>
      </c>
      <c r="AN52">
        <v>244.8124</v>
      </c>
      <c r="AO52">
        <v>892.86711584811997</v>
      </c>
      <c r="AP52">
        <f t="shared" si="72"/>
        <v>0.72581317459826411</v>
      </c>
      <c r="AQ52">
        <v>-0.43209471141234851</v>
      </c>
      <c r="AR52" t="s">
        <v>577</v>
      </c>
      <c r="AS52">
        <v>7128.82</v>
      </c>
      <c r="AT52">
        <v>607.01565384615378</v>
      </c>
      <c r="AU52">
        <v>819.87229887697868</v>
      </c>
      <c r="AV52">
        <f t="shared" si="73"/>
        <v>0.25962170611494695</v>
      </c>
      <c r="AW52">
        <v>0.5</v>
      </c>
      <c r="AX52">
        <f t="shared" si="74"/>
        <v>1513.0757999209943</v>
      </c>
      <c r="AY52">
        <f t="shared" si="75"/>
        <v>36.072860736231284</v>
      </c>
      <c r="AZ52">
        <f t="shared" si="76"/>
        <v>196.41366032836333</v>
      </c>
      <c r="BA52">
        <f t="shared" si="77"/>
        <v>2.4126322983653397E-2</v>
      </c>
      <c r="BB52">
        <f t="shared" si="78"/>
        <v>8.9031934694129872E-2</v>
      </c>
      <c r="BC52">
        <f t="shared" si="79"/>
        <v>238.97860169773861</v>
      </c>
      <c r="BD52" t="s">
        <v>578</v>
      </c>
      <c r="BE52">
        <v>420.03</v>
      </c>
      <c r="BF52">
        <f t="shared" si="80"/>
        <v>420.03</v>
      </c>
      <c r="BG52">
        <f t="shared" si="81"/>
        <v>0.48768850883809989</v>
      </c>
      <c r="BH52">
        <f t="shared" si="82"/>
        <v>0.53235149364803813</v>
      </c>
      <c r="BI52">
        <f t="shared" si="83"/>
        <v>0.15437624189085011</v>
      </c>
      <c r="BJ52">
        <f t="shared" si="84"/>
        <v>0.37014691068966515</v>
      </c>
      <c r="BK52">
        <f t="shared" si="85"/>
        <v>0.11263681165503404</v>
      </c>
      <c r="BL52">
        <f t="shared" si="86"/>
        <v>0.36836545558618672</v>
      </c>
      <c r="BM52">
        <f t="shared" si="87"/>
        <v>0.63163454441381328</v>
      </c>
      <c r="BN52">
        <v>187</v>
      </c>
      <c r="BO52">
        <v>290.00000000000011</v>
      </c>
      <c r="BP52">
        <v>758.65</v>
      </c>
      <c r="BQ52">
        <v>275</v>
      </c>
      <c r="BR52">
        <v>7128.82</v>
      </c>
      <c r="BS52">
        <v>760</v>
      </c>
      <c r="BT52">
        <v>-1.35</v>
      </c>
      <c r="BU52">
        <v>300.00000000000011</v>
      </c>
      <c r="BV52">
        <v>38.200000000000003</v>
      </c>
      <c r="BW52">
        <v>819.87229887697868</v>
      </c>
      <c r="BX52">
        <v>1.418759469322449</v>
      </c>
      <c r="BY52">
        <v>-42.684911739095398</v>
      </c>
      <c r="BZ52">
        <v>0.84774144909206495</v>
      </c>
      <c r="CA52">
        <v>0.98907639646116585</v>
      </c>
      <c r="CB52">
        <v>-7.034628921023362E-3</v>
      </c>
      <c r="CC52">
        <v>289.99999999999989</v>
      </c>
      <c r="CD52">
        <v>764.36</v>
      </c>
      <c r="CE52">
        <v>885</v>
      </c>
      <c r="CF52">
        <v>7122.76</v>
      </c>
      <c r="CG52">
        <v>759.94</v>
      </c>
      <c r="CH52">
        <v>4.42</v>
      </c>
      <c r="CV52">
        <f t="shared" si="88"/>
        <v>1799.87</v>
      </c>
      <c r="CW52">
        <f t="shared" si="89"/>
        <v>1513.0757999209943</v>
      </c>
      <c r="CX52">
        <f t="shared" si="90"/>
        <v>0.84065838083916855</v>
      </c>
      <c r="CY52">
        <f t="shared" si="91"/>
        <v>0.16087067501959529</v>
      </c>
      <c r="CZ52">
        <v>5.18</v>
      </c>
      <c r="DA52">
        <v>0.5</v>
      </c>
      <c r="DB52" t="s">
        <v>418</v>
      </c>
      <c r="DC52">
        <v>2</v>
      </c>
      <c r="DD52">
        <v>1700243604.5</v>
      </c>
      <c r="DE52">
        <v>361.51100000000002</v>
      </c>
      <c r="DF52">
        <v>400.01100000000002</v>
      </c>
      <c r="DG52">
        <v>28.029599999999999</v>
      </c>
      <c r="DH52">
        <v>24.988199999999999</v>
      </c>
      <c r="DI52">
        <v>360.053</v>
      </c>
      <c r="DJ52">
        <v>27.707599999999999</v>
      </c>
      <c r="DK52">
        <v>500.036</v>
      </c>
      <c r="DL52">
        <v>98.667400000000001</v>
      </c>
      <c r="DM52">
        <v>9.9986800000000001E-2</v>
      </c>
      <c r="DN52">
        <v>29.993200000000002</v>
      </c>
      <c r="DO52">
        <v>30.027000000000001</v>
      </c>
      <c r="DP52">
        <v>999.9</v>
      </c>
      <c r="DQ52">
        <v>0</v>
      </c>
      <c r="DR52">
        <v>0</v>
      </c>
      <c r="DS52">
        <v>9997.5</v>
      </c>
      <c r="DT52">
        <v>0</v>
      </c>
      <c r="DU52">
        <v>100.78100000000001</v>
      </c>
      <c r="DV52">
        <v>-38.4998</v>
      </c>
      <c r="DW52">
        <v>371.93599999999998</v>
      </c>
      <c r="DX52">
        <v>410.262</v>
      </c>
      <c r="DY52">
        <v>3.0413700000000001</v>
      </c>
      <c r="DZ52">
        <v>400.01100000000002</v>
      </c>
      <c r="EA52">
        <v>24.988199999999999</v>
      </c>
      <c r="EB52">
        <v>2.7656100000000001</v>
      </c>
      <c r="EC52">
        <v>2.4655300000000002</v>
      </c>
      <c r="ED52">
        <v>22.680199999999999</v>
      </c>
      <c r="EE52">
        <v>20.800699999999999</v>
      </c>
      <c r="EF52">
        <v>1799.87</v>
      </c>
      <c r="EG52">
        <v>0.977993</v>
      </c>
      <c r="EH52">
        <v>2.2007200000000001E-2</v>
      </c>
      <c r="EI52">
        <v>0</v>
      </c>
      <c r="EJ52">
        <v>607.06799999999998</v>
      </c>
      <c r="EK52">
        <v>5.0001199999999999</v>
      </c>
      <c r="EL52">
        <v>10975.7</v>
      </c>
      <c r="EM52">
        <v>15628.8</v>
      </c>
      <c r="EN52">
        <v>50.75</v>
      </c>
      <c r="EO52">
        <v>51.75</v>
      </c>
      <c r="EP52">
        <v>51.686999999999998</v>
      </c>
      <c r="EQ52">
        <v>51.625</v>
      </c>
      <c r="ER52">
        <v>52.25</v>
      </c>
      <c r="ES52">
        <v>1755.37</v>
      </c>
      <c r="ET52">
        <v>39.5</v>
      </c>
      <c r="EU52">
        <v>0</v>
      </c>
      <c r="EV52">
        <v>228.79999995231631</v>
      </c>
      <c r="EW52">
        <v>0</v>
      </c>
      <c r="EX52">
        <v>607.01565384615378</v>
      </c>
      <c r="EY52">
        <v>-0.38027350158883932</v>
      </c>
      <c r="EZ52">
        <v>-2.936752130082624</v>
      </c>
      <c r="FA52">
        <v>10976.24230769231</v>
      </c>
      <c r="FB52">
        <v>15</v>
      </c>
      <c r="FC52">
        <v>1700243578.5</v>
      </c>
      <c r="FD52" t="s">
        <v>579</v>
      </c>
      <c r="FE52">
        <v>1700243578.5</v>
      </c>
      <c r="FF52">
        <v>1700243575</v>
      </c>
      <c r="FG52">
        <v>43</v>
      </c>
      <c r="FH52">
        <v>-5.0000000000000001E-3</v>
      </c>
      <c r="FI52">
        <v>-1.2999999999999999E-2</v>
      </c>
      <c r="FJ52">
        <v>1.4750000000000001</v>
      </c>
      <c r="FK52">
        <v>0.32200000000000001</v>
      </c>
      <c r="FL52">
        <v>400</v>
      </c>
      <c r="FM52">
        <v>25</v>
      </c>
      <c r="FN52">
        <v>0.06</v>
      </c>
      <c r="FO52">
        <v>0.03</v>
      </c>
      <c r="FP52">
        <v>36.048267945663852</v>
      </c>
      <c r="FQ52">
        <v>-0.1757400232919723</v>
      </c>
      <c r="FR52">
        <v>4.4421150116445172E-2</v>
      </c>
      <c r="FS52">
        <v>1</v>
      </c>
      <c r="FT52">
        <v>0.19684175181394001</v>
      </c>
      <c r="FU52">
        <v>3.8084845488279097E-2</v>
      </c>
      <c r="FV52">
        <v>3.493859043260461E-3</v>
      </c>
      <c r="FW52">
        <v>1</v>
      </c>
      <c r="FX52">
        <v>2</v>
      </c>
      <c r="FY52">
        <v>2</v>
      </c>
      <c r="FZ52" t="s">
        <v>420</v>
      </c>
      <c r="GA52">
        <v>2.9148499999999999</v>
      </c>
      <c r="GB52">
        <v>2.7509700000000001</v>
      </c>
      <c r="GC52">
        <v>8.3238199999999998E-2</v>
      </c>
      <c r="GD52">
        <v>9.18659E-2</v>
      </c>
      <c r="GE52">
        <v>0.12711900000000001</v>
      </c>
      <c r="GF52">
        <v>0.11987100000000001</v>
      </c>
      <c r="GG52">
        <v>28450.2</v>
      </c>
      <c r="GH52">
        <v>28022.5</v>
      </c>
      <c r="GI52">
        <v>28267.200000000001</v>
      </c>
      <c r="GJ52">
        <v>28216.400000000001</v>
      </c>
      <c r="GK52">
        <v>33633</v>
      </c>
      <c r="GL52">
        <v>34685.9</v>
      </c>
      <c r="GM52">
        <v>42476.2</v>
      </c>
      <c r="GN52">
        <v>43865.599999999999</v>
      </c>
      <c r="GO52">
        <v>1.7444500000000001</v>
      </c>
      <c r="GP52">
        <v>1.9036999999999999</v>
      </c>
      <c r="GQ52">
        <v>7.2013599999999997E-2</v>
      </c>
      <c r="GR52">
        <v>0</v>
      </c>
      <c r="GS52">
        <v>28.853999999999999</v>
      </c>
      <c r="GT52">
        <v>999.9</v>
      </c>
      <c r="GU52">
        <v>37.299999999999997</v>
      </c>
      <c r="GV52">
        <v>41.2</v>
      </c>
      <c r="GW52">
        <v>29.8736</v>
      </c>
      <c r="GX52">
        <v>61.056600000000003</v>
      </c>
      <c r="GY52">
        <v>31.354199999999999</v>
      </c>
      <c r="GZ52">
        <v>1</v>
      </c>
      <c r="HA52">
        <v>0.55735800000000002</v>
      </c>
      <c r="HB52">
        <v>2.6710099999999999</v>
      </c>
      <c r="HC52">
        <v>20.2471</v>
      </c>
      <c r="HD52">
        <v>5.2746399999999998</v>
      </c>
      <c r="HE52">
        <v>12.0878</v>
      </c>
      <c r="HF52">
        <v>5.0118</v>
      </c>
      <c r="HG52">
        <v>3.2919200000000002</v>
      </c>
      <c r="HH52">
        <v>9999</v>
      </c>
      <c r="HI52">
        <v>9999</v>
      </c>
      <c r="HJ52">
        <v>9999</v>
      </c>
      <c r="HK52">
        <v>999.9</v>
      </c>
      <c r="HL52">
        <v>1.8759300000000001</v>
      </c>
      <c r="HM52">
        <v>1.87652</v>
      </c>
      <c r="HN52">
        <v>1.87622</v>
      </c>
      <c r="HO52">
        <v>1.8800399999999999</v>
      </c>
      <c r="HP52">
        <v>1.8736299999999999</v>
      </c>
      <c r="HQ52">
        <v>1.8766799999999999</v>
      </c>
      <c r="HR52">
        <v>1.8765499999999999</v>
      </c>
      <c r="HS52">
        <v>1.87795</v>
      </c>
      <c r="HT52">
        <v>0</v>
      </c>
      <c r="HU52">
        <v>0</v>
      </c>
      <c r="HV52">
        <v>0</v>
      </c>
      <c r="HW52">
        <v>0</v>
      </c>
      <c r="HX52" t="s">
        <v>421</v>
      </c>
      <c r="HY52" t="s">
        <v>422</v>
      </c>
      <c r="HZ52" t="s">
        <v>423</v>
      </c>
      <c r="IA52" t="s">
        <v>424</v>
      </c>
      <c r="IB52" t="s">
        <v>424</v>
      </c>
      <c r="IC52" t="s">
        <v>423</v>
      </c>
      <c r="ID52">
        <v>0</v>
      </c>
      <c r="IE52">
        <v>100</v>
      </c>
      <c r="IF52">
        <v>100</v>
      </c>
      <c r="IG52">
        <v>1.458</v>
      </c>
      <c r="IH52">
        <v>0.32200000000000001</v>
      </c>
      <c r="II52">
        <v>1.219768884892017</v>
      </c>
      <c r="IJ52">
        <v>8.9576739069318506E-4</v>
      </c>
      <c r="IK52">
        <v>-7.2130504814809596E-7</v>
      </c>
      <c r="IL52">
        <v>1.9987036519832741E-10</v>
      </c>
      <c r="IM52">
        <v>0.32203000000000509</v>
      </c>
      <c r="IN52">
        <v>0</v>
      </c>
      <c r="IO52">
        <v>0</v>
      </c>
      <c r="IP52">
        <v>0</v>
      </c>
      <c r="IQ52">
        <v>1</v>
      </c>
      <c r="IR52">
        <v>2126</v>
      </c>
      <c r="IS52">
        <v>0</v>
      </c>
      <c r="IT52">
        <v>20</v>
      </c>
      <c r="IU52">
        <v>0.4</v>
      </c>
      <c r="IV52">
        <v>0.5</v>
      </c>
      <c r="IW52">
        <v>1.0546899999999999</v>
      </c>
      <c r="IX52">
        <v>2.6721200000000001</v>
      </c>
      <c r="IY52">
        <v>1.69434</v>
      </c>
      <c r="IZ52">
        <v>2.33643</v>
      </c>
      <c r="JA52">
        <v>1.5466299999999999</v>
      </c>
      <c r="JB52">
        <v>2.50122</v>
      </c>
      <c r="JC52">
        <v>44.195399999999999</v>
      </c>
      <c r="JD52">
        <v>23.833600000000001</v>
      </c>
      <c r="JE52">
        <v>18</v>
      </c>
      <c r="JF52">
        <v>487.96300000000002</v>
      </c>
      <c r="JG52">
        <v>500.77100000000002</v>
      </c>
      <c r="JH52">
        <v>26.893899999999999</v>
      </c>
      <c r="JI52">
        <v>34.145699999999998</v>
      </c>
      <c r="JJ52">
        <v>29.999400000000001</v>
      </c>
      <c r="JK52">
        <v>34.270200000000003</v>
      </c>
      <c r="JL52">
        <v>34.254100000000001</v>
      </c>
      <c r="JM52">
        <v>21.209599999999998</v>
      </c>
      <c r="JN52">
        <v>11.588900000000001</v>
      </c>
      <c r="JO52">
        <v>43.7408</v>
      </c>
      <c r="JP52">
        <v>26.914300000000001</v>
      </c>
      <c r="JQ52">
        <v>400</v>
      </c>
      <c r="JR52">
        <v>24.999500000000001</v>
      </c>
      <c r="JS52">
        <v>99.028800000000004</v>
      </c>
      <c r="JT52">
        <v>98.828000000000003</v>
      </c>
    </row>
    <row r="53" spans="1:280" x14ac:dyDescent="0.25">
      <c r="A53">
        <v>37</v>
      </c>
      <c r="B53">
        <v>1700243832</v>
      </c>
      <c r="C53">
        <v>8606.4000000953674</v>
      </c>
      <c r="D53" t="s">
        <v>580</v>
      </c>
      <c r="E53" t="s">
        <v>581</v>
      </c>
      <c r="F53" t="s">
        <v>412</v>
      </c>
      <c r="G53" t="s">
        <v>545</v>
      </c>
      <c r="H53" t="s">
        <v>546</v>
      </c>
      <c r="I53">
        <v>1700243832</v>
      </c>
      <c r="J53">
        <f t="shared" si="46"/>
        <v>3.8696937132051256E-3</v>
      </c>
      <c r="K53">
        <f t="shared" si="47"/>
        <v>3.8696937132051255</v>
      </c>
      <c r="L53">
        <f t="shared" si="48"/>
        <v>31.976924649517048</v>
      </c>
      <c r="M53">
        <f t="shared" si="49"/>
        <v>265.77300000000002</v>
      </c>
      <c r="N53">
        <f t="shared" si="50"/>
        <v>58.752024063871509</v>
      </c>
      <c r="O53">
        <f t="shared" si="51"/>
        <v>5.8034768896239486</v>
      </c>
      <c r="P53">
        <f t="shared" si="52"/>
        <v>26.252839590840605</v>
      </c>
      <c r="Q53">
        <f t="shared" si="53"/>
        <v>0.26215376569838988</v>
      </c>
      <c r="R53">
        <f t="shared" si="54"/>
        <v>3.0829016685506607</v>
      </c>
      <c r="S53">
        <f t="shared" si="55"/>
        <v>0.25036902405370792</v>
      </c>
      <c r="T53">
        <f t="shared" si="56"/>
        <v>0.15749530077703505</v>
      </c>
      <c r="U53">
        <f t="shared" si="57"/>
        <v>289.54209284747782</v>
      </c>
      <c r="V53">
        <f t="shared" si="58"/>
        <v>30.837415172436128</v>
      </c>
      <c r="W53">
        <f t="shared" si="59"/>
        <v>29.991</v>
      </c>
      <c r="X53">
        <f t="shared" si="60"/>
        <v>4.2582478177999326</v>
      </c>
      <c r="Y53">
        <f t="shared" si="61"/>
        <v>64.755041963494122</v>
      </c>
      <c r="Z53">
        <f t="shared" si="62"/>
        <v>2.7859581768505803</v>
      </c>
      <c r="AA53">
        <f t="shared" si="63"/>
        <v>4.3023030985311905</v>
      </c>
      <c r="AB53">
        <f t="shared" si="64"/>
        <v>1.4722896409493522</v>
      </c>
      <c r="AC53">
        <f t="shared" si="65"/>
        <v>-170.65349275234604</v>
      </c>
      <c r="AD53">
        <f t="shared" si="66"/>
        <v>29.800627279554373</v>
      </c>
      <c r="AE53">
        <f t="shared" si="67"/>
        <v>2.1510554643480941</v>
      </c>
      <c r="AF53">
        <f t="shared" si="68"/>
        <v>150.84028283903422</v>
      </c>
      <c r="AG53">
        <v>7</v>
      </c>
      <c r="AH53">
        <v>1</v>
      </c>
      <c r="AI53">
        <f t="shared" si="69"/>
        <v>1</v>
      </c>
      <c r="AJ53">
        <f t="shared" si="70"/>
        <v>0</v>
      </c>
      <c r="AK53">
        <f t="shared" si="71"/>
        <v>51846.594492247117</v>
      </c>
      <c r="AL53" t="s">
        <v>415</v>
      </c>
      <c r="AM53">
        <v>6960.3</v>
      </c>
      <c r="AN53">
        <v>244.8124</v>
      </c>
      <c r="AO53">
        <v>892.86711584811997</v>
      </c>
      <c r="AP53">
        <f t="shared" si="72"/>
        <v>0.72581317459826411</v>
      </c>
      <c r="AQ53">
        <v>-0.43209471141234851</v>
      </c>
      <c r="AR53" t="s">
        <v>582</v>
      </c>
      <c r="AS53">
        <v>7129.94</v>
      </c>
      <c r="AT53">
        <v>613.6501538461539</v>
      </c>
      <c r="AU53">
        <v>799.22001385560134</v>
      </c>
      <c r="AV53">
        <f t="shared" si="73"/>
        <v>0.23218870497777</v>
      </c>
      <c r="AW53">
        <v>0.5</v>
      </c>
      <c r="AX53">
        <f t="shared" si="74"/>
        <v>1513.0508999209728</v>
      </c>
      <c r="AY53">
        <f t="shared" si="75"/>
        <v>31.976924649517048</v>
      </c>
      <c r="AZ53">
        <f t="shared" si="76"/>
        <v>175.65666450905007</v>
      </c>
      <c r="BA53">
        <f t="shared" si="77"/>
        <v>2.1419649109373738E-2</v>
      </c>
      <c r="BB53">
        <f t="shared" si="78"/>
        <v>0.11717311925253948</v>
      </c>
      <c r="BC53">
        <f t="shared" si="79"/>
        <v>237.19205366449526</v>
      </c>
      <c r="BD53" t="s">
        <v>583</v>
      </c>
      <c r="BE53">
        <v>422.75</v>
      </c>
      <c r="BF53">
        <f t="shared" si="80"/>
        <v>422.75</v>
      </c>
      <c r="BG53">
        <f t="shared" si="81"/>
        <v>0.47104677977148335</v>
      </c>
      <c r="BH53">
        <f t="shared" si="82"/>
        <v>0.49292069269725297</v>
      </c>
      <c r="BI53">
        <f t="shared" si="83"/>
        <v>0.19919951611115783</v>
      </c>
      <c r="BJ53">
        <f t="shared" si="84"/>
        <v>0.33471737287103742</v>
      </c>
      <c r="BK53">
        <f t="shared" si="85"/>
        <v>0.1445049309917622</v>
      </c>
      <c r="BL53">
        <f t="shared" si="86"/>
        <v>0.3395782133055677</v>
      </c>
      <c r="BM53">
        <f t="shared" si="87"/>
        <v>0.6604217866944323</v>
      </c>
      <c r="BN53">
        <v>189</v>
      </c>
      <c r="BO53">
        <v>290.00000000000011</v>
      </c>
      <c r="BP53">
        <v>745.62</v>
      </c>
      <c r="BQ53">
        <v>275</v>
      </c>
      <c r="BR53">
        <v>7129.94</v>
      </c>
      <c r="BS53">
        <v>746.85</v>
      </c>
      <c r="BT53">
        <v>-1.23</v>
      </c>
      <c r="BU53">
        <v>300.00000000000011</v>
      </c>
      <c r="BV53">
        <v>38.200000000000003</v>
      </c>
      <c r="BW53">
        <v>799.22001385560134</v>
      </c>
      <c r="BX53">
        <v>1.340434656748271</v>
      </c>
      <c r="BY53">
        <v>-37.342120416885251</v>
      </c>
      <c r="BZ53">
        <v>0.80107028270048286</v>
      </c>
      <c r="CA53">
        <v>0.98727842248285436</v>
      </c>
      <c r="CB53">
        <v>-7.0356558398220288E-3</v>
      </c>
      <c r="CC53">
        <v>289.99999999999989</v>
      </c>
      <c r="CD53">
        <v>750.7</v>
      </c>
      <c r="CE53">
        <v>825</v>
      </c>
      <c r="CF53">
        <v>7124.56</v>
      </c>
      <c r="CG53">
        <v>746.81</v>
      </c>
      <c r="CH53">
        <v>3.89</v>
      </c>
      <c r="CV53">
        <f t="shared" si="88"/>
        <v>1799.84</v>
      </c>
      <c r="CW53">
        <f t="shared" si="89"/>
        <v>1513.0508999209728</v>
      </c>
      <c r="CX53">
        <f t="shared" si="90"/>
        <v>0.84065855849462889</v>
      </c>
      <c r="CY53">
        <f t="shared" si="91"/>
        <v>0.16087101789463387</v>
      </c>
      <c r="CZ53">
        <v>5.18</v>
      </c>
      <c r="DA53">
        <v>0.5</v>
      </c>
      <c r="DB53" t="s">
        <v>418</v>
      </c>
      <c r="DC53">
        <v>2</v>
      </c>
      <c r="DD53">
        <v>1700243832</v>
      </c>
      <c r="DE53">
        <v>265.77300000000002</v>
      </c>
      <c r="DF53">
        <v>299.95400000000001</v>
      </c>
      <c r="DG53">
        <v>28.203900000000001</v>
      </c>
      <c r="DH53">
        <v>24.3094</v>
      </c>
      <c r="DI53">
        <v>264.452</v>
      </c>
      <c r="DJ53">
        <v>27.881799999999998</v>
      </c>
      <c r="DK53">
        <v>500.18400000000003</v>
      </c>
      <c r="DL53">
        <v>98.679500000000004</v>
      </c>
      <c r="DM53">
        <v>9.9682199999999999E-2</v>
      </c>
      <c r="DN53">
        <v>30.170300000000001</v>
      </c>
      <c r="DO53">
        <v>29.991</v>
      </c>
      <c r="DP53">
        <v>999.9</v>
      </c>
      <c r="DQ53">
        <v>0</v>
      </c>
      <c r="DR53">
        <v>0</v>
      </c>
      <c r="DS53">
        <v>10043.1</v>
      </c>
      <c r="DT53">
        <v>0</v>
      </c>
      <c r="DU53">
        <v>122.911</v>
      </c>
      <c r="DV53">
        <v>-34.181100000000001</v>
      </c>
      <c r="DW53">
        <v>273.48599999999999</v>
      </c>
      <c r="DX53">
        <v>307.42700000000002</v>
      </c>
      <c r="DY53">
        <v>3.8945500000000002</v>
      </c>
      <c r="DZ53">
        <v>299.95400000000001</v>
      </c>
      <c r="EA53">
        <v>24.3094</v>
      </c>
      <c r="EB53">
        <v>2.78315</v>
      </c>
      <c r="EC53">
        <v>2.3988399999999999</v>
      </c>
      <c r="ED53">
        <v>22.784500000000001</v>
      </c>
      <c r="EE53">
        <v>20.355899999999998</v>
      </c>
      <c r="EF53">
        <v>1799.84</v>
      </c>
      <c r="EG53">
        <v>0.977989</v>
      </c>
      <c r="EH53">
        <v>2.2010700000000001E-2</v>
      </c>
      <c r="EI53">
        <v>0</v>
      </c>
      <c r="EJ53">
        <v>613.33000000000004</v>
      </c>
      <c r="EK53">
        <v>5.0001199999999999</v>
      </c>
      <c r="EL53">
        <v>11084.5</v>
      </c>
      <c r="EM53">
        <v>15628.5</v>
      </c>
      <c r="EN53">
        <v>50.375</v>
      </c>
      <c r="EO53">
        <v>51.311999999999998</v>
      </c>
      <c r="EP53">
        <v>51.25</v>
      </c>
      <c r="EQ53">
        <v>51.186999999999998</v>
      </c>
      <c r="ER53">
        <v>51.875</v>
      </c>
      <c r="ES53">
        <v>1755.33</v>
      </c>
      <c r="ET53">
        <v>39.51</v>
      </c>
      <c r="EU53">
        <v>0</v>
      </c>
      <c r="EV53">
        <v>225.5999999046326</v>
      </c>
      <c r="EW53">
        <v>0</v>
      </c>
      <c r="EX53">
        <v>613.6501538461539</v>
      </c>
      <c r="EY53">
        <v>-1.4248888919818019</v>
      </c>
      <c r="EZ53">
        <v>-26.882051226379492</v>
      </c>
      <c r="FA53">
        <v>11089.45</v>
      </c>
      <c r="FB53">
        <v>15</v>
      </c>
      <c r="FC53">
        <v>1700243713</v>
      </c>
      <c r="FD53" t="s">
        <v>584</v>
      </c>
      <c r="FE53">
        <v>1700243710</v>
      </c>
      <c r="FF53">
        <v>1700243713</v>
      </c>
      <c r="FG53">
        <v>44</v>
      </c>
      <c r="FH53">
        <v>-8.8999999999999996E-2</v>
      </c>
      <c r="FI53">
        <v>0</v>
      </c>
      <c r="FJ53">
        <v>1.339</v>
      </c>
      <c r="FK53">
        <v>0.32200000000000001</v>
      </c>
      <c r="FL53">
        <v>300</v>
      </c>
      <c r="FM53">
        <v>25</v>
      </c>
      <c r="FN53">
        <v>0.05</v>
      </c>
      <c r="FO53">
        <v>0.03</v>
      </c>
      <c r="FP53">
        <v>31.91026742338267</v>
      </c>
      <c r="FQ53">
        <v>0.63002526659777414</v>
      </c>
      <c r="FR53">
        <v>5.5067352876708567E-2</v>
      </c>
      <c r="FS53">
        <v>1</v>
      </c>
      <c r="FT53">
        <v>0.26100951926942467</v>
      </c>
      <c r="FU53">
        <v>2.459885967096365E-3</v>
      </c>
      <c r="FV53">
        <v>5.1867124273324763E-4</v>
      </c>
      <c r="FW53">
        <v>1</v>
      </c>
      <c r="FX53">
        <v>2</v>
      </c>
      <c r="FY53">
        <v>2</v>
      </c>
      <c r="FZ53" t="s">
        <v>420</v>
      </c>
      <c r="GA53">
        <v>2.9160200000000001</v>
      </c>
      <c r="GB53">
        <v>2.7510699999999999</v>
      </c>
      <c r="GC53">
        <v>6.4827899999999994E-2</v>
      </c>
      <c r="GD53">
        <v>7.3231199999999996E-2</v>
      </c>
      <c r="GE53">
        <v>0.12779199999999999</v>
      </c>
      <c r="GF53">
        <v>0.117724</v>
      </c>
      <c r="GG53">
        <v>29040.7</v>
      </c>
      <c r="GH53">
        <v>28617.599999999999</v>
      </c>
      <c r="GI53">
        <v>28284.7</v>
      </c>
      <c r="GJ53">
        <v>28235</v>
      </c>
      <c r="GK53">
        <v>33626.6</v>
      </c>
      <c r="GL53">
        <v>34791</v>
      </c>
      <c r="GM53">
        <v>42501.7</v>
      </c>
      <c r="GN53">
        <v>43892.3</v>
      </c>
      <c r="GO53">
        <v>1.7502</v>
      </c>
      <c r="GP53">
        <v>1.9097</v>
      </c>
      <c r="GQ53">
        <v>7.30827E-2</v>
      </c>
      <c r="GR53">
        <v>0</v>
      </c>
      <c r="GS53">
        <v>28.8005</v>
      </c>
      <c r="GT53">
        <v>999.9</v>
      </c>
      <c r="GU53">
        <v>37.4</v>
      </c>
      <c r="GV53">
        <v>41</v>
      </c>
      <c r="GW53">
        <v>29.634399999999999</v>
      </c>
      <c r="GX53">
        <v>60.456600000000002</v>
      </c>
      <c r="GY53">
        <v>30.6571</v>
      </c>
      <c r="GZ53">
        <v>1</v>
      </c>
      <c r="HA53">
        <v>0.52014499999999997</v>
      </c>
      <c r="HB53">
        <v>1.9281299999999999</v>
      </c>
      <c r="HC53">
        <v>20.258800000000001</v>
      </c>
      <c r="HD53">
        <v>5.2755400000000003</v>
      </c>
      <c r="HE53">
        <v>12.0878</v>
      </c>
      <c r="HF53">
        <v>5.0128000000000004</v>
      </c>
      <c r="HG53">
        <v>3.2919800000000001</v>
      </c>
      <c r="HH53">
        <v>9999</v>
      </c>
      <c r="HI53">
        <v>9999</v>
      </c>
      <c r="HJ53">
        <v>9999</v>
      </c>
      <c r="HK53">
        <v>999.9</v>
      </c>
      <c r="HL53">
        <v>1.87592</v>
      </c>
      <c r="HM53">
        <v>1.8765099999999999</v>
      </c>
      <c r="HN53">
        <v>1.87622</v>
      </c>
      <c r="HO53">
        <v>1.8800399999999999</v>
      </c>
      <c r="HP53">
        <v>1.8736299999999999</v>
      </c>
      <c r="HQ53">
        <v>1.8766799999999999</v>
      </c>
      <c r="HR53">
        <v>1.87653</v>
      </c>
      <c r="HS53">
        <v>1.8778999999999999</v>
      </c>
      <c r="HT53">
        <v>0</v>
      </c>
      <c r="HU53">
        <v>0</v>
      </c>
      <c r="HV53">
        <v>0</v>
      </c>
      <c r="HW53">
        <v>0</v>
      </c>
      <c r="HX53" t="s">
        <v>421</v>
      </c>
      <c r="HY53" t="s">
        <v>422</v>
      </c>
      <c r="HZ53" t="s">
        <v>423</v>
      </c>
      <c r="IA53" t="s">
        <v>424</v>
      </c>
      <c r="IB53" t="s">
        <v>424</v>
      </c>
      <c r="IC53" t="s">
        <v>423</v>
      </c>
      <c r="ID53">
        <v>0</v>
      </c>
      <c r="IE53">
        <v>100</v>
      </c>
      <c r="IF53">
        <v>100</v>
      </c>
      <c r="IG53">
        <v>1.321</v>
      </c>
      <c r="IH53">
        <v>0.3221</v>
      </c>
      <c r="II53">
        <v>1.130919881331679</v>
      </c>
      <c r="IJ53">
        <v>8.9576739069318506E-4</v>
      </c>
      <c r="IK53">
        <v>-7.2130504814809596E-7</v>
      </c>
      <c r="IL53">
        <v>1.9987036519832741E-10</v>
      </c>
      <c r="IM53">
        <v>0.3221350000000065</v>
      </c>
      <c r="IN53">
        <v>0</v>
      </c>
      <c r="IO53">
        <v>0</v>
      </c>
      <c r="IP53">
        <v>0</v>
      </c>
      <c r="IQ53">
        <v>1</v>
      </c>
      <c r="IR53">
        <v>2126</v>
      </c>
      <c r="IS53">
        <v>0</v>
      </c>
      <c r="IT53">
        <v>20</v>
      </c>
      <c r="IU53">
        <v>2</v>
      </c>
      <c r="IV53">
        <v>2</v>
      </c>
      <c r="IW53">
        <v>0.84106400000000003</v>
      </c>
      <c r="IX53">
        <v>2.6831100000000001</v>
      </c>
      <c r="IY53">
        <v>1.69434</v>
      </c>
      <c r="IZ53">
        <v>2.33643</v>
      </c>
      <c r="JA53">
        <v>1.5466299999999999</v>
      </c>
      <c r="JB53">
        <v>2.4584999999999999</v>
      </c>
      <c r="JC53">
        <v>43.809199999999997</v>
      </c>
      <c r="JD53">
        <v>23.851099999999999</v>
      </c>
      <c r="JE53">
        <v>18</v>
      </c>
      <c r="JF53">
        <v>489.23200000000003</v>
      </c>
      <c r="JG53">
        <v>501.99599999999998</v>
      </c>
      <c r="JH53">
        <v>27.357500000000002</v>
      </c>
      <c r="JI53">
        <v>33.762300000000003</v>
      </c>
      <c r="JJ53">
        <v>29.999199999999998</v>
      </c>
      <c r="JK53">
        <v>33.8902</v>
      </c>
      <c r="JL53">
        <v>33.878</v>
      </c>
      <c r="JM53">
        <v>16.908100000000001</v>
      </c>
      <c r="JN53">
        <v>14.263999999999999</v>
      </c>
      <c r="JO53">
        <v>44.005400000000002</v>
      </c>
      <c r="JP53">
        <v>27.372</v>
      </c>
      <c r="JQ53">
        <v>300</v>
      </c>
      <c r="JR53">
        <v>24.393000000000001</v>
      </c>
      <c r="JS53">
        <v>99.088899999999995</v>
      </c>
      <c r="JT53">
        <v>98.890199999999993</v>
      </c>
    </row>
    <row r="54" spans="1:280" x14ac:dyDescent="0.25">
      <c r="A54">
        <v>38</v>
      </c>
      <c r="B54">
        <v>1700244008</v>
      </c>
      <c r="C54">
        <v>8782.4000000953674</v>
      </c>
      <c r="D54" t="s">
        <v>585</v>
      </c>
      <c r="E54" t="s">
        <v>586</v>
      </c>
      <c r="F54" t="s">
        <v>412</v>
      </c>
      <c r="G54" t="s">
        <v>545</v>
      </c>
      <c r="H54" t="s">
        <v>546</v>
      </c>
      <c r="I54">
        <v>1700244008</v>
      </c>
      <c r="J54">
        <f t="shared" si="46"/>
        <v>4.5687417916901122E-3</v>
      </c>
      <c r="K54">
        <f t="shared" si="47"/>
        <v>4.5687417916901119</v>
      </c>
      <c r="L54">
        <f t="shared" si="48"/>
        <v>24.606584333353275</v>
      </c>
      <c r="M54">
        <f t="shared" si="49"/>
        <v>173.655</v>
      </c>
      <c r="N54">
        <f t="shared" si="50"/>
        <v>42.155830878800991</v>
      </c>
      <c r="O54">
        <f t="shared" si="51"/>
        <v>4.1644713645518392</v>
      </c>
      <c r="P54">
        <f t="shared" si="52"/>
        <v>17.154952464118498</v>
      </c>
      <c r="Q54">
        <f t="shared" si="53"/>
        <v>0.3204170064994904</v>
      </c>
      <c r="R54">
        <f t="shared" si="54"/>
        <v>3.087130742012171</v>
      </c>
      <c r="S54">
        <f t="shared" si="55"/>
        <v>0.30302130583554499</v>
      </c>
      <c r="T54">
        <f t="shared" si="56"/>
        <v>0.19087250879347678</v>
      </c>
      <c r="U54">
        <f t="shared" si="57"/>
        <v>289.56850484764743</v>
      </c>
      <c r="V54">
        <f t="shared" si="58"/>
        <v>30.734524493297137</v>
      </c>
      <c r="W54">
        <f t="shared" si="59"/>
        <v>29.972799999999999</v>
      </c>
      <c r="X54">
        <f t="shared" si="60"/>
        <v>4.2537980068349395</v>
      </c>
      <c r="Y54">
        <f t="shared" si="61"/>
        <v>65.227210411846443</v>
      </c>
      <c r="Z54">
        <f t="shared" si="62"/>
        <v>2.8176580931304795</v>
      </c>
      <c r="AA54">
        <f t="shared" si="63"/>
        <v>4.3197586947835216</v>
      </c>
      <c r="AB54">
        <f t="shared" si="64"/>
        <v>1.4361399137044599</v>
      </c>
      <c r="AC54">
        <f t="shared" si="65"/>
        <v>-201.48151301353394</v>
      </c>
      <c r="AD54">
        <f t="shared" si="66"/>
        <v>44.620792546236935</v>
      </c>
      <c r="AE54">
        <f t="shared" si="67"/>
        <v>3.2172203254035909</v>
      </c>
      <c r="AF54">
        <f t="shared" si="68"/>
        <v>135.92500470575405</v>
      </c>
      <c r="AG54">
        <v>7</v>
      </c>
      <c r="AH54">
        <v>1</v>
      </c>
      <c r="AI54">
        <f t="shared" si="69"/>
        <v>1</v>
      </c>
      <c r="AJ54">
        <f t="shared" si="70"/>
        <v>0</v>
      </c>
      <c r="AK54">
        <f t="shared" si="71"/>
        <v>51944.238920478958</v>
      </c>
      <c r="AL54" t="s">
        <v>427</v>
      </c>
      <c r="AM54" t="s">
        <v>427</v>
      </c>
      <c r="AN54">
        <v>0</v>
      </c>
      <c r="AO54">
        <v>0</v>
      </c>
      <c r="AP54" t="e">
        <f t="shared" si="72"/>
        <v>#DIV/0!</v>
      </c>
      <c r="AQ54">
        <v>0</v>
      </c>
      <c r="AR54" t="s">
        <v>427</v>
      </c>
      <c r="AS54" t="s">
        <v>427</v>
      </c>
      <c r="AT54">
        <v>0</v>
      </c>
      <c r="AU54">
        <v>0</v>
      </c>
      <c r="AV54" t="e">
        <f t="shared" si="73"/>
        <v>#DIV/0!</v>
      </c>
      <c r="AW54">
        <v>0.5</v>
      </c>
      <c r="AX54">
        <f t="shared" si="74"/>
        <v>1513.2008999210607</v>
      </c>
      <c r="AY54">
        <f t="shared" si="75"/>
        <v>24.606584333353275</v>
      </c>
      <c r="AZ54" t="e">
        <f t="shared" si="76"/>
        <v>#DIV/0!</v>
      </c>
      <c r="BA54">
        <f t="shared" si="77"/>
        <v>1.6261280530983645E-2</v>
      </c>
      <c r="BB54" t="e">
        <f t="shared" si="78"/>
        <v>#DIV/0!</v>
      </c>
      <c r="BC54" t="e">
        <f t="shared" si="79"/>
        <v>#DIV/0!</v>
      </c>
      <c r="BD54" t="s">
        <v>427</v>
      </c>
      <c r="BE54">
        <v>0</v>
      </c>
      <c r="BF54" t="e">
        <f t="shared" si="80"/>
        <v>#DIV/0!</v>
      </c>
      <c r="BG54" t="e">
        <f t="shared" si="81"/>
        <v>#DIV/0!</v>
      </c>
      <c r="BH54" t="e">
        <f t="shared" si="82"/>
        <v>#DIV/0!</v>
      </c>
      <c r="BI54" t="e">
        <f t="shared" si="83"/>
        <v>#DIV/0!</v>
      </c>
      <c r="BJ54" t="e">
        <f t="shared" si="84"/>
        <v>#DIV/0!</v>
      </c>
      <c r="BK54" t="e">
        <f t="shared" si="85"/>
        <v>#DIV/0!</v>
      </c>
      <c r="BL54" t="e">
        <f t="shared" si="86"/>
        <v>#DIV/0!</v>
      </c>
      <c r="BM54" t="e">
        <f t="shared" si="87"/>
        <v>#DIV/0!</v>
      </c>
      <c r="BN54">
        <v>189</v>
      </c>
      <c r="BO54">
        <v>290.00000000000011</v>
      </c>
      <c r="BP54">
        <v>745.62</v>
      </c>
      <c r="BQ54">
        <v>275</v>
      </c>
      <c r="BR54">
        <v>7129.94</v>
      </c>
      <c r="BS54">
        <v>746.85</v>
      </c>
      <c r="BT54">
        <v>-1.23</v>
      </c>
      <c r="BU54">
        <v>300.00000000000011</v>
      </c>
      <c r="BV54">
        <v>38.200000000000003</v>
      </c>
      <c r="BW54">
        <v>799.22001385560134</v>
      </c>
      <c r="BX54">
        <v>1.340434656748271</v>
      </c>
      <c r="BY54">
        <v>-37.342120416885251</v>
      </c>
      <c r="BZ54">
        <v>0.80107028270048286</v>
      </c>
      <c r="CA54">
        <v>0.98727842248285436</v>
      </c>
      <c r="CB54">
        <v>-7.0356558398220288E-3</v>
      </c>
      <c r="CC54">
        <v>289.99999999999989</v>
      </c>
      <c r="CD54">
        <v>750.7</v>
      </c>
      <c r="CE54">
        <v>825</v>
      </c>
      <c r="CF54">
        <v>7124.56</v>
      </c>
      <c r="CG54">
        <v>746.81</v>
      </c>
      <c r="CH54">
        <v>3.89</v>
      </c>
      <c r="CV54">
        <f t="shared" si="88"/>
        <v>1800.02</v>
      </c>
      <c r="CW54">
        <f t="shared" si="89"/>
        <v>1513.2008999210607</v>
      </c>
      <c r="CX54">
        <f t="shared" si="90"/>
        <v>0.84065782598030059</v>
      </c>
      <c r="CY54">
        <f t="shared" si="91"/>
        <v>0.16086960414198034</v>
      </c>
      <c r="CZ54">
        <v>5.18</v>
      </c>
      <c r="DA54">
        <v>0.5</v>
      </c>
      <c r="DB54" t="s">
        <v>418</v>
      </c>
      <c r="DC54">
        <v>2</v>
      </c>
      <c r="DD54">
        <v>1700244008</v>
      </c>
      <c r="DE54">
        <v>173.655</v>
      </c>
      <c r="DF54">
        <v>199.96700000000001</v>
      </c>
      <c r="DG54">
        <v>28.522400000000001</v>
      </c>
      <c r="DH54">
        <v>23.924600000000002</v>
      </c>
      <c r="DI54">
        <v>172.46899999999999</v>
      </c>
      <c r="DJ54">
        <v>28.2</v>
      </c>
      <c r="DK54">
        <v>500.04500000000002</v>
      </c>
      <c r="DL54">
        <v>98.687899999999999</v>
      </c>
      <c r="DM54">
        <v>9.9652699999999997E-2</v>
      </c>
      <c r="DN54">
        <v>30.2409</v>
      </c>
      <c r="DO54">
        <v>29.972799999999999</v>
      </c>
      <c r="DP54">
        <v>999.9</v>
      </c>
      <c r="DQ54">
        <v>0</v>
      </c>
      <c r="DR54">
        <v>0</v>
      </c>
      <c r="DS54">
        <v>10064.4</v>
      </c>
      <c r="DT54">
        <v>0</v>
      </c>
      <c r="DU54">
        <v>134.81800000000001</v>
      </c>
      <c r="DV54">
        <v>-26.311699999999998</v>
      </c>
      <c r="DW54">
        <v>178.75399999999999</v>
      </c>
      <c r="DX54">
        <v>204.86799999999999</v>
      </c>
      <c r="DY54">
        <v>4.59781</v>
      </c>
      <c r="DZ54">
        <v>199.96700000000001</v>
      </c>
      <c r="EA54">
        <v>23.924600000000002</v>
      </c>
      <c r="EB54">
        <v>2.8148200000000001</v>
      </c>
      <c r="EC54">
        <v>2.3610699999999998</v>
      </c>
      <c r="ED54">
        <v>22.971299999999999</v>
      </c>
      <c r="EE54">
        <v>20.0992</v>
      </c>
      <c r="EF54">
        <v>1800.02</v>
      </c>
      <c r="EG54">
        <v>0.97801000000000005</v>
      </c>
      <c r="EH54">
        <v>2.1990099999999999E-2</v>
      </c>
      <c r="EI54">
        <v>0</v>
      </c>
      <c r="EJ54">
        <v>625.91800000000001</v>
      </c>
      <c r="EK54">
        <v>5.0001199999999999</v>
      </c>
      <c r="EL54">
        <v>11304.7</v>
      </c>
      <c r="EM54">
        <v>15630.2</v>
      </c>
      <c r="EN54">
        <v>50.186999999999998</v>
      </c>
      <c r="EO54">
        <v>51.125</v>
      </c>
      <c r="EP54">
        <v>51.061999999999998</v>
      </c>
      <c r="EQ54">
        <v>51</v>
      </c>
      <c r="ER54">
        <v>51.75</v>
      </c>
      <c r="ES54">
        <v>1755.55</v>
      </c>
      <c r="ET54">
        <v>39.47</v>
      </c>
      <c r="EU54">
        <v>0</v>
      </c>
      <c r="EV54">
        <v>174.19999980926511</v>
      </c>
      <c r="EW54">
        <v>0</v>
      </c>
      <c r="EX54">
        <v>625.99738461538459</v>
      </c>
      <c r="EY54">
        <v>-0.64417094724851043</v>
      </c>
      <c r="EZ54">
        <v>-13.74358975030912</v>
      </c>
      <c r="FA54">
        <v>11306.08461538462</v>
      </c>
      <c r="FB54">
        <v>15</v>
      </c>
      <c r="FC54">
        <v>1700243909</v>
      </c>
      <c r="FD54" t="s">
        <v>587</v>
      </c>
      <c r="FE54">
        <v>1700243900.5</v>
      </c>
      <c r="FF54">
        <v>1700243909</v>
      </c>
      <c r="FG54">
        <v>45</v>
      </c>
      <c r="FH54">
        <v>-7.9000000000000001E-2</v>
      </c>
      <c r="FI54">
        <v>0</v>
      </c>
      <c r="FJ54">
        <v>1.2030000000000001</v>
      </c>
      <c r="FK54">
        <v>0.32200000000000001</v>
      </c>
      <c r="FL54">
        <v>200</v>
      </c>
      <c r="FM54">
        <v>24</v>
      </c>
      <c r="FN54">
        <v>0.05</v>
      </c>
      <c r="FO54">
        <v>0.02</v>
      </c>
      <c r="FP54">
        <v>24.512841239618869</v>
      </c>
      <c r="FQ54">
        <v>0.52349410067511348</v>
      </c>
      <c r="FR54">
        <v>6.0120968238922337E-2</v>
      </c>
      <c r="FS54">
        <v>1</v>
      </c>
      <c r="FT54">
        <v>0.31769220743730309</v>
      </c>
      <c r="FU54">
        <v>4.9882419945538646E-3</v>
      </c>
      <c r="FV54">
        <v>1.0162385249976699E-3</v>
      </c>
      <c r="FW54">
        <v>1</v>
      </c>
      <c r="FX54">
        <v>2</v>
      </c>
      <c r="FY54">
        <v>2</v>
      </c>
      <c r="FZ54" t="s">
        <v>420</v>
      </c>
      <c r="GA54">
        <v>2.91608</v>
      </c>
      <c r="GB54">
        <v>2.75122</v>
      </c>
      <c r="GC54">
        <v>4.4709400000000003E-2</v>
      </c>
      <c r="GD54">
        <v>5.1980600000000002E-2</v>
      </c>
      <c r="GE54">
        <v>0.12886900000000001</v>
      </c>
      <c r="GF54">
        <v>0.11650000000000001</v>
      </c>
      <c r="GG54">
        <v>29673.4</v>
      </c>
      <c r="GH54">
        <v>29285.1</v>
      </c>
      <c r="GI54">
        <v>28292</v>
      </c>
      <c r="GJ54">
        <v>28245.7</v>
      </c>
      <c r="GK54">
        <v>33593.4</v>
      </c>
      <c r="GL54">
        <v>34851.199999999997</v>
      </c>
      <c r="GM54">
        <v>42512.5</v>
      </c>
      <c r="GN54">
        <v>43907.8</v>
      </c>
      <c r="GO54">
        <v>1.7536</v>
      </c>
      <c r="GP54">
        <v>1.9128000000000001</v>
      </c>
      <c r="GQ54">
        <v>6.6615599999999997E-2</v>
      </c>
      <c r="GR54">
        <v>0</v>
      </c>
      <c r="GS54">
        <v>28.887699999999999</v>
      </c>
      <c r="GT54">
        <v>999.9</v>
      </c>
      <c r="GU54">
        <v>37.4</v>
      </c>
      <c r="GV54">
        <v>40.799999999999997</v>
      </c>
      <c r="GW54">
        <v>29.318000000000001</v>
      </c>
      <c r="GX54">
        <v>60.2866</v>
      </c>
      <c r="GY54">
        <v>31.5625</v>
      </c>
      <c r="GZ54">
        <v>1</v>
      </c>
      <c r="HA54">
        <v>0.50176100000000001</v>
      </c>
      <c r="HB54">
        <v>1.3731500000000001</v>
      </c>
      <c r="HC54">
        <v>20.264700000000001</v>
      </c>
      <c r="HD54">
        <v>5.2736000000000001</v>
      </c>
      <c r="HE54">
        <v>12.0878</v>
      </c>
      <c r="HF54">
        <v>5.0126499999999998</v>
      </c>
      <c r="HG54">
        <v>3.2919200000000002</v>
      </c>
      <c r="HH54">
        <v>9999</v>
      </c>
      <c r="HI54">
        <v>9999</v>
      </c>
      <c r="HJ54">
        <v>9999</v>
      </c>
      <c r="HK54">
        <v>999.9</v>
      </c>
      <c r="HL54">
        <v>1.87592</v>
      </c>
      <c r="HM54">
        <v>1.8764700000000001</v>
      </c>
      <c r="HN54">
        <v>1.87616</v>
      </c>
      <c r="HO54">
        <v>1.8800399999999999</v>
      </c>
      <c r="HP54">
        <v>1.87357</v>
      </c>
      <c r="HQ54">
        <v>1.8766799999999999</v>
      </c>
      <c r="HR54">
        <v>1.87653</v>
      </c>
      <c r="HS54">
        <v>1.8778999999999999</v>
      </c>
      <c r="HT54">
        <v>0</v>
      </c>
      <c r="HU54">
        <v>0</v>
      </c>
      <c r="HV54">
        <v>0</v>
      </c>
      <c r="HW54">
        <v>0</v>
      </c>
      <c r="HX54" t="s">
        <v>421</v>
      </c>
      <c r="HY54" t="s">
        <v>422</v>
      </c>
      <c r="HZ54" t="s">
        <v>423</v>
      </c>
      <c r="IA54" t="s">
        <v>424</v>
      </c>
      <c r="IB54" t="s">
        <v>424</v>
      </c>
      <c r="IC54" t="s">
        <v>423</v>
      </c>
      <c r="ID54">
        <v>0</v>
      </c>
      <c r="IE54">
        <v>100</v>
      </c>
      <c r="IF54">
        <v>100</v>
      </c>
      <c r="IG54">
        <v>1.1859999999999999</v>
      </c>
      <c r="IH54">
        <v>0.32240000000000002</v>
      </c>
      <c r="II54">
        <v>1.051782778182371</v>
      </c>
      <c r="IJ54">
        <v>8.9576739069318506E-4</v>
      </c>
      <c r="IK54">
        <v>-7.2130504814809596E-7</v>
      </c>
      <c r="IL54">
        <v>1.9987036519832741E-10</v>
      </c>
      <c r="IM54">
        <v>0.32244761904761893</v>
      </c>
      <c r="IN54">
        <v>0</v>
      </c>
      <c r="IO54">
        <v>0</v>
      </c>
      <c r="IP54">
        <v>0</v>
      </c>
      <c r="IQ54">
        <v>1</v>
      </c>
      <c r="IR54">
        <v>2126</v>
      </c>
      <c r="IS54">
        <v>0</v>
      </c>
      <c r="IT54">
        <v>20</v>
      </c>
      <c r="IU54">
        <v>1.8</v>
      </c>
      <c r="IV54">
        <v>1.6</v>
      </c>
      <c r="IW54">
        <v>0.61645499999999998</v>
      </c>
      <c r="IX54">
        <v>2.6916500000000001</v>
      </c>
      <c r="IY54">
        <v>1.69434</v>
      </c>
      <c r="IZ54">
        <v>2.33765</v>
      </c>
      <c r="JA54">
        <v>1.5466299999999999</v>
      </c>
      <c r="JB54">
        <v>2.36938</v>
      </c>
      <c r="JC54">
        <v>43.535400000000003</v>
      </c>
      <c r="JD54">
        <v>23.8248</v>
      </c>
      <c r="JE54">
        <v>18</v>
      </c>
      <c r="JF54">
        <v>489.94</v>
      </c>
      <c r="JG54">
        <v>502.30200000000002</v>
      </c>
      <c r="JH54">
        <v>27.847999999999999</v>
      </c>
      <c r="JI54">
        <v>33.558399999999999</v>
      </c>
      <c r="JJ54">
        <v>29.9998</v>
      </c>
      <c r="JK54">
        <v>33.662399999999998</v>
      </c>
      <c r="JL54">
        <v>33.645800000000001</v>
      </c>
      <c r="JM54">
        <v>12.4292</v>
      </c>
      <c r="JN54">
        <v>15.2026</v>
      </c>
      <c r="JO54">
        <v>43.7102</v>
      </c>
      <c r="JP54">
        <v>27.848099999999999</v>
      </c>
      <c r="JQ54">
        <v>200</v>
      </c>
      <c r="JR54">
        <v>23.846499999999999</v>
      </c>
      <c r="JS54">
        <v>99.1143</v>
      </c>
      <c r="JT54">
        <v>98.926000000000002</v>
      </c>
    </row>
    <row r="55" spans="1:280" x14ac:dyDescent="0.25">
      <c r="A55">
        <v>39</v>
      </c>
      <c r="B55">
        <v>1700244115.5</v>
      </c>
      <c r="C55">
        <v>8889.9000000953674</v>
      </c>
      <c r="D55" t="s">
        <v>588</v>
      </c>
      <c r="E55" t="s">
        <v>589</v>
      </c>
      <c r="F55" t="s">
        <v>412</v>
      </c>
      <c r="G55" t="s">
        <v>545</v>
      </c>
      <c r="H55" t="s">
        <v>546</v>
      </c>
      <c r="I55">
        <v>1700244115.5</v>
      </c>
      <c r="J55">
        <f t="shared" si="46"/>
        <v>4.9169648802300028E-3</v>
      </c>
      <c r="K55">
        <f t="shared" si="47"/>
        <v>4.9169648802300028</v>
      </c>
      <c r="L55">
        <f t="shared" si="48"/>
        <v>15.597148672118527</v>
      </c>
      <c r="M55">
        <f t="shared" si="49"/>
        <v>103.277</v>
      </c>
      <c r="N55">
        <f t="shared" si="50"/>
        <v>26.280696322274345</v>
      </c>
      <c r="O55">
        <f t="shared" si="51"/>
        <v>2.5962329864570606</v>
      </c>
      <c r="P55">
        <f t="shared" si="52"/>
        <v>10.202589415983999</v>
      </c>
      <c r="Q55">
        <f t="shared" si="53"/>
        <v>0.34853903228902433</v>
      </c>
      <c r="R55">
        <f t="shared" si="54"/>
        <v>3.0664321930045375</v>
      </c>
      <c r="S55">
        <f t="shared" si="55"/>
        <v>0.32793108729658343</v>
      </c>
      <c r="T55">
        <f t="shared" si="56"/>
        <v>0.20670685777495124</v>
      </c>
      <c r="U55">
        <f t="shared" si="57"/>
        <v>289.54993184759871</v>
      </c>
      <c r="V55">
        <f t="shared" si="58"/>
        <v>30.701814473971922</v>
      </c>
      <c r="W55">
        <f t="shared" si="59"/>
        <v>30.0091</v>
      </c>
      <c r="X55">
        <f t="shared" si="60"/>
        <v>4.2626772020649577</v>
      </c>
      <c r="Y55">
        <f t="shared" si="61"/>
        <v>65.429589376215759</v>
      </c>
      <c r="Z55">
        <f t="shared" si="62"/>
        <v>2.8346596165663995</v>
      </c>
      <c r="AA55">
        <f t="shared" si="63"/>
        <v>4.3323817917720628</v>
      </c>
      <c r="AB55">
        <f t="shared" si="64"/>
        <v>1.4280175854985582</v>
      </c>
      <c r="AC55">
        <f t="shared" si="65"/>
        <v>-216.83815121814314</v>
      </c>
      <c r="AD55">
        <f t="shared" si="66"/>
        <v>46.735255098443723</v>
      </c>
      <c r="AE55">
        <f t="shared" si="67"/>
        <v>3.3938856519020697</v>
      </c>
      <c r="AF55">
        <f t="shared" si="68"/>
        <v>122.84092137980136</v>
      </c>
      <c r="AG55">
        <v>7</v>
      </c>
      <c r="AH55">
        <v>1</v>
      </c>
      <c r="AI55">
        <f t="shared" si="69"/>
        <v>1</v>
      </c>
      <c r="AJ55">
        <f t="shared" si="70"/>
        <v>0</v>
      </c>
      <c r="AK55">
        <f t="shared" si="71"/>
        <v>51400.26128144392</v>
      </c>
      <c r="AL55" t="s">
        <v>415</v>
      </c>
      <c r="AM55">
        <v>6960.3</v>
      </c>
      <c r="AN55">
        <v>244.8124</v>
      </c>
      <c r="AO55">
        <v>892.86711584811997</v>
      </c>
      <c r="AP55">
        <f t="shared" si="72"/>
        <v>0.72581317459826411</v>
      </c>
      <c r="AQ55">
        <v>-0.43209471141234851</v>
      </c>
      <c r="AR55" t="s">
        <v>590</v>
      </c>
      <c r="AS55">
        <v>7131.13</v>
      </c>
      <c r="AT55">
        <v>643.68284000000006</v>
      </c>
      <c r="AU55">
        <v>749.14958873214709</v>
      </c>
      <c r="AV55">
        <f t="shared" si="73"/>
        <v>0.14078196173161872</v>
      </c>
      <c r="AW55">
        <v>0.5</v>
      </c>
      <c r="AX55">
        <f t="shared" si="74"/>
        <v>1513.1003999210357</v>
      </c>
      <c r="AY55">
        <f t="shared" si="75"/>
        <v>15.597148672118527</v>
      </c>
      <c r="AZ55">
        <f t="shared" si="76"/>
        <v>106.50862129889011</v>
      </c>
      <c r="BA55">
        <f t="shared" si="77"/>
        <v>1.0593641627725031E-2</v>
      </c>
      <c r="BB55">
        <f t="shared" si="78"/>
        <v>0.19184089436556845</v>
      </c>
      <c r="BC55">
        <f t="shared" si="79"/>
        <v>232.57870304979915</v>
      </c>
      <c r="BD55" t="s">
        <v>591</v>
      </c>
      <c r="BE55">
        <v>433</v>
      </c>
      <c r="BF55">
        <f t="shared" si="80"/>
        <v>433</v>
      </c>
      <c r="BG55">
        <f t="shared" si="81"/>
        <v>0.422011295857741</v>
      </c>
      <c r="BH55">
        <f t="shared" si="82"/>
        <v>0.33359761483511569</v>
      </c>
      <c r="BI55">
        <f t="shared" si="83"/>
        <v>0.31251968702071398</v>
      </c>
      <c r="BJ55">
        <f t="shared" si="84"/>
        <v>0.20911951584867225</v>
      </c>
      <c r="BK55">
        <f t="shared" si="85"/>
        <v>0.22176758165842117</v>
      </c>
      <c r="BL55">
        <f t="shared" si="86"/>
        <v>0.22440829279153238</v>
      </c>
      <c r="BM55">
        <f t="shared" si="87"/>
        <v>0.7755917072084676</v>
      </c>
      <c r="BN55">
        <v>191</v>
      </c>
      <c r="BO55">
        <v>290.00000000000011</v>
      </c>
      <c r="BP55">
        <v>720.09</v>
      </c>
      <c r="BQ55">
        <v>275</v>
      </c>
      <c r="BR55">
        <v>7131.13</v>
      </c>
      <c r="BS55">
        <v>721.38</v>
      </c>
      <c r="BT55">
        <v>-1.29</v>
      </c>
      <c r="BU55">
        <v>300.00000000000011</v>
      </c>
      <c r="BV55">
        <v>38.200000000000003</v>
      </c>
      <c r="BW55">
        <v>749.14958873214709</v>
      </c>
      <c r="BX55">
        <v>1.13286600489761</v>
      </c>
      <c r="BY55">
        <v>-19.805680686018349</v>
      </c>
      <c r="BZ55">
        <v>0.67714255339687168</v>
      </c>
      <c r="CA55">
        <v>0.96830781826854684</v>
      </c>
      <c r="CB55">
        <v>-7.0367606229143499E-3</v>
      </c>
      <c r="CC55">
        <v>289.99999999999989</v>
      </c>
      <c r="CD55">
        <v>722.35</v>
      </c>
      <c r="CE55">
        <v>715</v>
      </c>
      <c r="CF55">
        <v>7127.29</v>
      </c>
      <c r="CG55">
        <v>721.36</v>
      </c>
      <c r="CH55">
        <v>0.99</v>
      </c>
      <c r="CV55">
        <f t="shared" si="88"/>
        <v>1799.9</v>
      </c>
      <c r="CW55">
        <f t="shared" si="89"/>
        <v>1513.1003999210357</v>
      </c>
      <c r="CX55">
        <f t="shared" si="90"/>
        <v>0.84065803651371496</v>
      </c>
      <c r="CY55">
        <f t="shared" si="91"/>
        <v>0.16087001047146993</v>
      </c>
      <c r="CZ55">
        <v>5.18</v>
      </c>
      <c r="DA55">
        <v>0.5</v>
      </c>
      <c r="DB55" t="s">
        <v>418</v>
      </c>
      <c r="DC55">
        <v>2</v>
      </c>
      <c r="DD55">
        <v>1700244115.5</v>
      </c>
      <c r="DE55">
        <v>103.277</v>
      </c>
      <c r="DF55">
        <v>119.958</v>
      </c>
      <c r="DG55">
        <v>28.694199999999999</v>
      </c>
      <c r="DH55">
        <v>23.747499999999999</v>
      </c>
      <c r="DI55">
        <v>102.214</v>
      </c>
      <c r="DJ55">
        <v>28.383099999999999</v>
      </c>
      <c r="DK55">
        <v>500.11200000000002</v>
      </c>
      <c r="DL55">
        <v>98.687899999999999</v>
      </c>
      <c r="DM55">
        <v>0.100692</v>
      </c>
      <c r="DN55">
        <v>30.291799999999999</v>
      </c>
      <c r="DO55">
        <v>30.0091</v>
      </c>
      <c r="DP55">
        <v>999.9</v>
      </c>
      <c r="DQ55">
        <v>0</v>
      </c>
      <c r="DR55">
        <v>0</v>
      </c>
      <c r="DS55">
        <v>9956.25</v>
      </c>
      <c r="DT55">
        <v>0</v>
      </c>
      <c r="DU55">
        <v>170.613</v>
      </c>
      <c r="DV55">
        <v>-16.681100000000001</v>
      </c>
      <c r="DW55">
        <v>106.328</v>
      </c>
      <c r="DX55">
        <v>122.876</v>
      </c>
      <c r="DY55">
        <v>4.94672</v>
      </c>
      <c r="DZ55">
        <v>119.958</v>
      </c>
      <c r="EA55">
        <v>23.747499999999999</v>
      </c>
      <c r="EB55">
        <v>2.8317700000000001</v>
      </c>
      <c r="EC55">
        <v>2.3435899999999998</v>
      </c>
      <c r="ED55">
        <v>23.070499999999999</v>
      </c>
      <c r="EE55">
        <v>19.979199999999999</v>
      </c>
      <c r="EF55">
        <v>1799.9</v>
      </c>
      <c r="EG55">
        <v>0.97800600000000004</v>
      </c>
      <c r="EH55">
        <v>2.1993499999999999E-2</v>
      </c>
      <c r="EI55">
        <v>0</v>
      </c>
      <c r="EJ55">
        <v>643.62800000000004</v>
      </c>
      <c r="EK55">
        <v>5.0001199999999999</v>
      </c>
      <c r="EL55">
        <v>11661.6</v>
      </c>
      <c r="EM55">
        <v>15629.2</v>
      </c>
      <c r="EN55">
        <v>50.061999999999998</v>
      </c>
      <c r="EO55">
        <v>51.061999999999998</v>
      </c>
      <c r="EP55">
        <v>50.936999999999998</v>
      </c>
      <c r="EQ55">
        <v>50.936999999999998</v>
      </c>
      <c r="ER55">
        <v>51.625</v>
      </c>
      <c r="ES55">
        <v>1755.42</v>
      </c>
      <c r="ET55">
        <v>39.479999999999997</v>
      </c>
      <c r="EU55">
        <v>0</v>
      </c>
      <c r="EV55">
        <v>281.59999990463263</v>
      </c>
      <c r="EW55">
        <v>0</v>
      </c>
      <c r="EX55">
        <v>643.68284000000006</v>
      </c>
      <c r="EY55">
        <v>-0.76084616566887719</v>
      </c>
      <c r="EZ55">
        <v>-0.35384608619139413</v>
      </c>
      <c r="FA55">
        <v>11661.772000000001</v>
      </c>
      <c r="FB55">
        <v>15</v>
      </c>
      <c r="FC55">
        <v>1700244075.5</v>
      </c>
      <c r="FD55" t="s">
        <v>592</v>
      </c>
      <c r="FE55">
        <v>1700244065.5</v>
      </c>
      <c r="FF55">
        <v>1700244075.5</v>
      </c>
      <c r="FG55">
        <v>46</v>
      </c>
      <c r="FH55">
        <v>-7.2999999999999995E-2</v>
      </c>
      <c r="FI55">
        <v>-1.0999999999999999E-2</v>
      </c>
      <c r="FJ55">
        <v>1.0760000000000001</v>
      </c>
      <c r="FK55">
        <v>0.311</v>
      </c>
      <c r="FL55">
        <v>120</v>
      </c>
      <c r="FM55">
        <v>24</v>
      </c>
      <c r="FN55">
        <v>7.0000000000000007E-2</v>
      </c>
      <c r="FO55">
        <v>0.02</v>
      </c>
      <c r="FP55">
        <v>15.60661373182354</v>
      </c>
      <c r="FQ55">
        <v>0.2017009224706077</v>
      </c>
      <c r="FR55">
        <v>2.8230203556385169E-2</v>
      </c>
      <c r="FS55">
        <v>1</v>
      </c>
      <c r="FT55">
        <v>0.34433276187877049</v>
      </c>
      <c r="FU55">
        <v>4.4475681357445881E-2</v>
      </c>
      <c r="FV55">
        <v>3.4256282138936862E-3</v>
      </c>
      <c r="FW55">
        <v>1</v>
      </c>
      <c r="FX55">
        <v>2</v>
      </c>
      <c r="FY55">
        <v>2</v>
      </c>
      <c r="FZ55" t="s">
        <v>420</v>
      </c>
      <c r="GA55">
        <v>2.9164500000000002</v>
      </c>
      <c r="GB55">
        <v>2.7513200000000002</v>
      </c>
      <c r="GC55">
        <v>2.7516200000000001E-2</v>
      </c>
      <c r="GD55">
        <v>3.2674799999999997E-2</v>
      </c>
      <c r="GE55">
        <v>0.12947400000000001</v>
      </c>
      <c r="GF55">
        <v>0.11593000000000001</v>
      </c>
      <c r="GG55">
        <v>30210.7</v>
      </c>
      <c r="GH55">
        <v>29886.1</v>
      </c>
      <c r="GI55">
        <v>28295.4</v>
      </c>
      <c r="GJ55">
        <v>28250.5</v>
      </c>
      <c r="GK55">
        <v>33572.6</v>
      </c>
      <c r="GL55">
        <v>34879.4</v>
      </c>
      <c r="GM55">
        <v>42516</v>
      </c>
      <c r="GN55">
        <v>43915.1</v>
      </c>
      <c r="GO55">
        <v>1.75485</v>
      </c>
      <c r="GP55">
        <v>1.9145700000000001</v>
      </c>
      <c r="GQ55">
        <v>6.4738100000000007E-2</v>
      </c>
      <c r="GR55">
        <v>0</v>
      </c>
      <c r="GS55">
        <v>28.954699999999999</v>
      </c>
      <c r="GT55">
        <v>999.9</v>
      </c>
      <c r="GU55">
        <v>37.5</v>
      </c>
      <c r="GV55">
        <v>40.700000000000003</v>
      </c>
      <c r="GW55">
        <v>29.243600000000001</v>
      </c>
      <c r="GX55">
        <v>60.986600000000003</v>
      </c>
      <c r="GY55">
        <v>31.177900000000001</v>
      </c>
      <c r="GZ55">
        <v>1</v>
      </c>
      <c r="HA55">
        <v>0.496311</v>
      </c>
      <c r="HB55">
        <v>1.91395</v>
      </c>
      <c r="HC55">
        <v>20.259799999999998</v>
      </c>
      <c r="HD55">
        <v>5.2753899999999998</v>
      </c>
      <c r="HE55">
        <v>12.0878</v>
      </c>
      <c r="HF55">
        <v>5.0129000000000001</v>
      </c>
      <c r="HG55">
        <v>3.2919200000000002</v>
      </c>
      <c r="HH55">
        <v>9999</v>
      </c>
      <c r="HI55">
        <v>9999</v>
      </c>
      <c r="HJ55">
        <v>9999</v>
      </c>
      <c r="HK55">
        <v>999.9</v>
      </c>
      <c r="HL55">
        <v>1.87592</v>
      </c>
      <c r="HM55">
        <v>1.8764000000000001</v>
      </c>
      <c r="HN55">
        <v>1.87615</v>
      </c>
      <c r="HO55">
        <v>1.88001</v>
      </c>
      <c r="HP55">
        <v>1.8734999999999999</v>
      </c>
      <c r="HQ55">
        <v>1.8766799999999999</v>
      </c>
      <c r="HR55">
        <v>1.8764700000000001</v>
      </c>
      <c r="HS55">
        <v>1.8778999999999999</v>
      </c>
      <c r="HT55">
        <v>0</v>
      </c>
      <c r="HU55">
        <v>0</v>
      </c>
      <c r="HV55">
        <v>0</v>
      </c>
      <c r="HW55">
        <v>0</v>
      </c>
      <c r="HX55" t="s">
        <v>421</v>
      </c>
      <c r="HY55" t="s">
        <v>422</v>
      </c>
      <c r="HZ55" t="s">
        <v>423</v>
      </c>
      <c r="IA55" t="s">
        <v>424</v>
      </c>
      <c r="IB55" t="s">
        <v>424</v>
      </c>
      <c r="IC55" t="s">
        <v>423</v>
      </c>
      <c r="ID55">
        <v>0</v>
      </c>
      <c r="IE55">
        <v>100</v>
      </c>
      <c r="IF55">
        <v>100</v>
      </c>
      <c r="IG55">
        <v>1.0629999999999999</v>
      </c>
      <c r="IH55">
        <v>0.31109999999999999</v>
      </c>
      <c r="II55">
        <v>0.9790491477962342</v>
      </c>
      <c r="IJ55">
        <v>8.9576739069318506E-4</v>
      </c>
      <c r="IK55">
        <v>-7.2130504814809596E-7</v>
      </c>
      <c r="IL55">
        <v>1.9987036519832741E-10</v>
      </c>
      <c r="IM55">
        <v>0.31111500000000453</v>
      </c>
      <c r="IN55">
        <v>0</v>
      </c>
      <c r="IO55">
        <v>0</v>
      </c>
      <c r="IP55">
        <v>0</v>
      </c>
      <c r="IQ55">
        <v>1</v>
      </c>
      <c r="IR55">
        <v>2126</v>
      </c>
      <c r="IS55">
        <v>0</v>
      </c>
      <c r="IT55">
        <v>20</v>
      </c>
      <c r="IU55">
        <v>0.8</v>
      </c>
      <c r="IV55">
        <v>0.7</v>
      </c>
      <c r="IW55">
        <v>0.43335000000000001</v>
      </c>
      <c r="IX55">
        <v>2.7111800000000001</v>
      </c>
      <c r="IY55">
        <v>1.69434</v>
      </c>
      <c r="IZ55">
        <v>2.33643</v>
      </c>
      <c r="JA55">
        <v>1.5466299999999999</v>
      </c>
      <c r="JB55">
        <v>2.32544</v>
      </c>
      <c r="JC55">
        <v>43.399099999999997</v>
      </c>
      <c r="JD55">
        <v>23.816099999999999</v>
      </c>
      <c r="JE55">
        <v>18</v>
      </c>
      <c r="JF55">
        <v>489.97699999999998</v>
      </c>
      <c r="JG55">
        <v>502.63900000000001</v>
      </c>
      <c r="JH55">
        <v>27.536100000000001</v>
      </c>
      <c r="JI55">
        <v>33.465600000000002</v>
      </c>
      <c r="JJ55">
        <v>29.9999</v>
      </c>
      <c r="JK55">
        <v>33.5535</v>
      </c>
      <c r="JL55">
        <v>33.532699999999998</v>
      </c>
      <c r="JM55">
        <v>8.7312700000000003</v>
      </c>
      <c r="JN55">
        <v>15.9893</v>
      </c>
      <c r="JO55">
        <v>43.683700000000002</v>
      </c>
      <c r="JP55">
        <v>27.5291</v>
      </c>
      <c r="JQ55">
        <v>120</v>
      </c>
      <c r="JR55">
        <v>23.6296</v>
      </c>
      <c r="JS55">
        <v>99.123900000000006</v>
      </c>
      <c r="JT55">
        <v>98.942599999999999</v>
      </c>
    </row>
    <row r="56" spans="1:280" x14ac:dyDescent="0.25">
      <c r="A56">
        <v>40</v>
      </c>
      <c r="B56">
        <v>1700244232</v>
      </c>
      <c r="C56">
        <v>9006.4000000953674</v>
      </c>
      <c r="D56" t="s">
        <v>593</v>
      </c>
      <c r="E56" t="s">
        <v>594</v>
      </c>
      <c r="F56" t="s">
        <v>412</v>
      </c>
      <c r="G56" t="s">
        <v>545</v>
      </c>
      <c r="H56" t="s">
        <v>546</v>
      </c>
      <c r="I56">
        <v>1700244232</v>
      </c>
      <c r="J56">
        <f t="shared" si="46"/>
        <v>5.0637924750897671E-3</v>
      </c>
      <c r="K56">
        <f t="shared" si="47"/>
        <v>5.0637924750897669</v>
      </c>
      <c r="L56">
        <f t="shared" si="48"/>
        <v>9.6049253690563692</v>
      </c>
      <c r="M56">
        <f t="shared" si="49"/>
        <v>59.743899999999996</v>
      </c>
      <c r="N56">
        <f t="shared" si="50"/>
        <v>14.129602342374893</v>
      </c>
      <c r="O56">
        <f t="shared" si="51"/>
        <v>1.3958392382406475</v>
      </c>
      <c r="P56">
        <f t="shared" si="52"/>
        <v>5.9019976532127094</v>
      </c>
      <c r="Q56">
        <f t="shared" si="53"/>
        <v>0.36263266545403416</v>
      </c>
      <c r="R56">
        <f t="shared" si="54"/>
        <v>3.0786593173482553</v>
      </c>
      <c r="S56">
        <f t="shared" si="55"/>
        <v>0.34046406811941948</v>
      </c>
      <c r="T56">
        <f t="shared" si="56"/>
        <v>0.21466877524210698</v>
      </c>
      <c r="U56">
        <f t="shared" si="57"/>
        <v>289.56269984760553</v>
      </c>
      <c r="V56">
        <f t="shared" si="58"/>
        <v>30.660791372375495</v>
      </c>
      <c r="W56">
        <f t="shared" si="59"/>
        <v>30.008400000000002</v>
      </c>
      <c r="X56">
        <f t="shared" si="60"/>
        <v>4.2625058252990362</v>
      </c>
      <c r="Y56">
        <f t="shared" si="61"/>
        <v>65.705033274284659</v>
      </c>
      <c r="Z56">
        <f t="shared" si="62"/>
        <v>2.8460708455512198</v>
      </c>
      <c r="AA56">
        <f t="shared" si="63"/>
        <v>4.331587252486945</v>
      </c>
      <c r="AB56">
        <f t="shared" si="64"/>
        <v>1.4164349797478164</v>
      </c>
      <c r="AC56">
        <f t="shared" si="65"/>
        <v>-223.31324815145874</v>
      </c>
      <c r="AD56">
        <f t="shared" si="66"/>
        <v>46.506666048949057</v>
      </c>
      <c r="AE56">
        <f t="shared" si="67"/>
        <v>3.3638075875685458</v>
      </c>
      <c r="AF56">
        <f t="shared" si="68"/>
        <v>116.11992533266439</v>
      </c>
      <c r="AG56">
        <v>6</v>
      </c>
      <c r="AH56">
        <v>1</v>
      </c>
      <c r="AI56">
        <f t="shared" si="69"/>
        <v>1</v>
      </c>
      <c r="AJ56">
        <f t="shared" si="70"/>
        <v>0</v>
      </c>
      <c r="AK56">
        <f t="shared" si="71"/>
        <v>51716.787286727689</v>
      </c>
      <c r="AL56" t="s">
        <v>427</v>
      </c>
      <c r="AM56" t="s">
        <v>427</v>
      </c>
      <c r="AN56">
        <v>0</v>
      </c>
      <c r="AO56">
        <v>0</v>
      </c>
      <c r="AP56" t="e">
        <f t="shared" si="72"/>
        <v>#DIV/0!</v>
      </c>
      <c r="AQ56">
        <v>0</v>
      </c>
      <c r="AR56" t="s">
        <v>427</v>
      </c>
      <c r="AS56" t="s">
        <v>427</v>
      </c>
      <c r="AT56">
        <v>0</v>
      </c>
      <c r="AU56">
        <v>0</v>
      </c>
      <c r="AV56" t="e">
        <f t="shared" si="73"/>
        <v>#DIV/0!</v>
      </c>
      <c r="AW56">
        <v>0.5</v>
      </c>
      <c r="AX56">
        <f t="shared" si="74"/>
        <v>1513.167599921039</v>
      </c>
      <c r="AY56">
        <f t="shared" si="75"/>
        <v>9.6049253690563692</v>
      </c>
      <c r="AZ56" t="e">
        <f t="shared" si="76"/>
        <v>#DIV/0!</v>
      </c>
      <c r="BA56">
        <f t="shared" si="77"/>
        <v>6.3475621402134036E-3</v>
      </c>
      <c r="BB56" t="e">
        <f t="shared" si="78"/>
        <v>#DIV/0!</v>
      </c>
      <c r="BC56" t="e">
        <f t="shared" si="79"/>
        <v>#DIV/0!</v>
      </c>
      <c r="BD56" t="s">
        <v>427</v>
      </c>
      <c r="BE56">
        <v>0</v>
      </c>
      <c r="BF56" t="e">
        <f t="shared" si="80"/>
        <v>#DIV/0!</v>
      </c>
      <c r="BG56" t="e">
        <f t="shared" si="81"/>
        <v>#DIV/0!</v>
      </c>
      <c r="BH56" t="e">
        <f t="shared" si="82"/>
        <v>#DIV/0!</v>
      </c>
      <c r="BI56" t="e">
        <f t="shared" si="83"/>
        <v>#DIV/0!</v>
      </c>
      <c r="BJ56" t="e">
        <f t="shared" si="84"/>
        <v>#DIV/0!</v>
      </c>
      <c r="BK56" t="e">
        <f t="shared" si="85"/>
        <v>#DIV/0!</v>
      </c>
      <c r="BL56" t="e">
        <f t="shared" si="86"/>
        <v>#DIV/0!</v>
      </c>
      <c r="BM56" t="e">
        <f t="shared" si="87"/>
        <v>#DIV/0!</v>
      </c>
      <c r="BN56">
        <v>191</v>
      </c>
      <c r="BO56">
        <v>290.00000000000011</v>
      </c>
      <c r="BP56">
        <v>720.09</v>
      </c>
      <c r="BQ56">
        <v>275</v>
      </c>
      <c r="BR56">
        <v>7131.13</v>
      </c>
      <c r="BS56">
        <v>721.38</v>
      </c>
      <c r="BT56">
        <v>-1.29</v>
      </c>
      <c r="BU56">
        <v>300.00000000000011</v>
      </c>
      <c r="BV56">
        <v>38.200000000000003</v>
      </c>
      <c r="BW56">
        <v>749.14958873214709</v>
      </c>
      <c r="BX56">
        <v>1.13286600489761</v>
      </c>
      <c r="BY56">
        <v>-19.805680686018349</v>
      </c>
      <c r="BZ56">
        <v>0.67714255339687168</v>
      </c>
      <c r="CA56">
        <v>0.96830781826854684</v>
      </c>
      <c r="CB56">
        <v>-7.0367606229143499E-3</v>
      </c>
      <c r="CC56">
        <v>289.99999999999989</v>
      </c>
      <c r="CD56">
        <v>722.35</v>
      </c>
      <c r="CE56">
        <v>715</v>
      </c>
      <c r="CF56">
        <v>7127.29</v>
      </c>
      <c r="CG56">
        <v>721.36</v>
      </c>
      <c r="CH56">
        <v>0.99</v>
      </c>
      <c r="CV56">
        <f t="shared" si="88"/>
        <v>1799.98</v>
      </c>
      <c r="CW56">
        <f t="shared" si="89"/>
        <v>1513.167599921039</v>
      </c>
      <c r="CX56">
        <f t="shared" si="90"/>
        <v>0.84065800726732465</v>
      </c>
      <c r="CY56">
        <f t="shared" si="91"/>
        <v>0.16086995402593668</v>
      </c>
      <c r="CZ56">
        <v>5.18</v>
      </c>
      <c r="DA56">
        <v>0.5</v>
      </c>
      <c r="DB56" t="s">
        <v>418</v>
      </c>
      <c r="DC56">
        <v>2</v>
      </c>
      <c r="DD56">
        <v>1700244232</v>
      </c>
      <c r="DE56">
        <v>59.743899999999996</v>
      </c>
      <c r="DF56">
        <v>70.0047</v>
      </c>
      <c r="DG56">
        <v>28.809799999999999</v>
      </c>
      <c r="DH56">
        <v>23.7165</v>
      </c>
      <c r="DI56">
        <v>58.689300000000003</v>
      </c>
      <c r="DJ56">
        <v>28.5</v>
      </c>
      <c r="DK56">
        <v>500.16199999999998</v>
      </c>
      <c r="DL56">
        <v>98.688400000000001</v>
      </c>
      <c r="DM56">
        <v>9.9888900000000003E-2</v>
      </c>
      <c r="DN56">
        <v>30.288599999999999</v>
      </c>
      <c r="DO56">
        <v>30.008400000000002</v>
      </c>
      <c r="DP56">
        <v>999.9</v>
      </c>
      <c r="DQ56">
        <v>0</v>
      </c>
      <c r="DR56">
        <v>0</v>
      </c>
      <c r="DS56">
        <v>10020</v>
      </c>
      <c r="DT56">
        <v>0</v>
      </c>
      <c r="DU56">
        <v>204.98500000000001</v>
      </c>
      <c r="DV56">
        <v>-10.2608</v>
      </c>
      <c r="DW56">
        <v>61.516100000000002</v>
      </c>
      <c r="DX56">
        <v>71.705299999999994</v>
      </c>
      <c r="DY56">
        <v>5.0933099999999998</v>
      </c>
      <c r="DZ56">
        <v>70.0047</v>
      </c>
      <c r="EA56">
        <v>23.7165</v>
      </c>
      <c r="EB56">
        <v>2.8431899999999999</v>
      </c>
      <c r="EC56">
        <v>2.3405399999999998</v>
      </c>
      <c r="ED56">
        <v>23.137</v>
      </c>
      <c r="EE56">
        <v>19.958200000000001</v>
      </c>
      <c r="EF56">
        <v>1799.98</v>
      </c>
      <c r="EG56">
        <v>0.97800600000000004</v>
      </c>
      <c r="EH56">
        <v>2.1993499999999999E-2</v>
      </c>
      <c r="EI56">
        <v>0</v>
      </c>
      <c r="EJ56">
        <v>657.26099999999997</v>
      </c>
      <c r="EK56">
        <v>5.0001199999999999</v>
      </c>
      <c r="EL56">
        <v>11936.5</v>
      </c>
      <c r="EM56">
        <v>15629.8</v>
      </c>
      <c r="EN56">
        <v>50</v>
      </c>
      <c r="EO56">
        <v>51</v>
      </c>
      <c r="EP56">
        <v>50.875</v>
      </c>
      <c r="EQ56">
        <v>50.811999999999998</v>
      </c>
      <c r="ER56">
        <v>51.625</v>
      </c>
      <c r="ES56">
        <v>1755.5</v>
      </c>
      <c r="ET56">
        <v>39.479999999999997</v>
      </c>
      <c r="EU56">
        <v>0</v>
      </c>
      <c r="EV56">
        <v>114.7999999523163</v>
      </c>
      <c r="EW56">
        <v>0</v>
      </c>
      <c r="EX56">
        <v>656.88767999999993</v>
      </c>
      <c r="EY56">
        <v>0.16738463160327091</v>
      </c>
      <c r="EZ56">
        <v>-39.692307713687519</v>
      </c>
      <c r="FA56">
        <v>11939</v>
      </c>
      <c r="FB56">
        <v>15</v>
      </c>
      <c r="FC56">
        <v>1700244191</v>
      </c>
      <c r="FD56" t="s">
        <v>595</v>
      </c>
      <c r="FE56">
        <v>1700244184</v>
      </c>
      <c r="FF56">
        <v>1700244191</v>
      </c>
      <c r="FG56">
        <v>47</v>
      </c>
      <c r="FH56">
        <v>2.5000000000000001E-2</v>
      </c>
      <c r="FI56">
        <v>-1E-3</v>
      </c>
      <c r="FJ56">
        <v>1.0629999999999999</v>
      </c>
      <c r="FK56">
        <v>0.31</v>
      </c>
      <c r="FL56">
        <v>70</v>
      </c>
      <c r="FM56">
        <v>24</v>
      </c>
      <c r="FN56">
        <v>0.14000000000000001</v>
      </c>
      <c r="FO56">
        <v>0.02</v>
      </c>
      <c r="FP56">
        <v>9.5774240095877765</v>
      </c>
      <c r="FQ56">
        <v>-0.1229165130829032</v>
      </c>
      <c r="FR56">
        <v>2.0106917574206431E-2</v>
      </c>
      <c r="FS56">
        <v>1</v>
      </c>
      <c r="FT56">
        <v>0.35922597636251857</v>
      </c>
      <c r="FU56">
        <v>4.7045706491489293E-2</v>
      </c>
      <c r="FV56">
        <v>3.5577716138414008E-3</v>
      </c>
      <c r="FW56">
        <v>1</v>
      </c>
      <c r="FX56">
        <v>2</v>
      </c>
      <c r="FY56">
        <v>2</v>
      </c>
      <c r="FZ56" t="s">
        <v>420</v>
      </c>
      <c r="GA56">
        <v>2.9167200000000002</v>
      </c>
      <c r="GB56">
        <v>2.7510699999999999</v>
      </c>
      <c r="GC56">
        <v>1.60936E-2</v>
      </c>
      <c r="GD56">
        <v>1.9534300000000001E-2</v>
      </c>
      <c r="GE56">
        <v>0.12986700000000001</v>
      </c>
      <c r="GF56">
        <v>0.115851</v>
      </c>
      <c r="GG56">
        <v>30566.400000000001</v>
      </c>
      <c r="GH56">
        <v>30296.7</v>
      </c>
      <c r="GI56">
        <v>28296.400000000001</v>
      </c>
      <c r="GJ56">
        <v>28255.1</v>
      </c>
      <c r="GK56">
        <v>33558.400000000001</v>
      </c>
      <c r="GL56">
        <v>34887.5</v>
      </c>
      <c r="GM56">
        <v>42517.3</v>
      </c>
      <c r="GN56">
        <v>43921.5</v>
      </c>
      <c r="GO56">
        <v>1.75627</v>
      </c>
      <c r="GP56">
        <v>1.9162999999999999</v>
      </c>
      <c r="GQ56">
        <v>5.3986899999999997E-2</v>
      </c>
      <c r="GR56">
        <v>0</v>
      </c>
      <c r="GS56">
        <v>29.129300000000001</v>
      </c>
      <c r="GT56">
        <v>999.9</v>
      </c>
      <c r="GU56">
        <v>37.5</v>
      </c>
      <c r="GV56">
        <v>40.5</v>
      </c>
      <c r="GW56">
        <v>28.933499999999999</v>
      </c>
      <c r="GX56">
        <v>60.7166</v>
      </c>
      <c r="GY56">
        <v>30.785299999999999</v>
      </c>
      <c r="GZ56">
        <v>1</v>
      </c>
      <c r="HA56">
        <v>0.494085</v>
      </c>
      <c r="HB56">
        <v>2.8576000000000001</v>
      </c>
      <c r="HC56">
        <v>20.245000000000001</v>
      </c>
      <c r="HD56">
        <v>5.2717999999999998</v>
      </c>
      <c r="HE56">
        <v>12.0878</v>
      </c>
      <c r="HF56">
        <v>5.0134999999999996</v>
      </c>
      <c r="HG56">
        <v>3.2919</v>
      </c>
      <c r="HH56">
        <v>9999</v>
      </c>
      <c r="HI56">
        <v>9999</v>
      </c>
      <c r="HJ56">
        <v>9999</v>
      </c>
      <c r="HK56">
        <v>999.9</v>
      </c>
      <c r="HL56">
        <v>1.8758900000000001</v>
      </c>
      <c r="HM56">
        <v>1.8763700000000001</v>
      </c>
      <c r="HN56">
        <v>1.8761300000000001</v>
      </c>
      <c r="HO56">
        <v>1.8800399999999999</v>
      </c>
      <c r="HP56">
        <v>1.87348</v>
      </c>
      <c r="HQ56">
        <v>1.8766700000000001</v>
      </c>
      <c r="HR56">
        <v>1.87649</v>
      </c>
      <c r="HS56">
        <v>1.8778999999999999</v>
      </c>
      <c r="HT56">
        <v>0</v>
      </c>
      <c r="HU56">
        <v>0</v>
      </c>
      <c r="HV56">
        <v>0</v>
      </c>
      <c r="HW56">
        <v>0</v>
      </c>
      <c r="HX56" t="s">
        <v>421</v>
      </c>
      <c r="HY56" t="s">
        <v>422</v>
      </c>
      <c r="HZ56" t="s">
        <v>423</v>
      </c>
      <c r="IA56" t="s">
        <v>424</v>
      </c>
      <c r="IB56" t="s">
        <v>424</v>
      </c>
      <c r="IC56" t="s">
        <v>423</v>
      </c>
      <c r="ID56">
        <v>0</v>
      </c>
      <c r="IE56">
        <v>100</v>
      </c>
      <c r="IF56">
        <v>100</v>
      </c>
      <c r="IG56">
        <v>1.0549999999999999</v>
      </c>
      <c r="IH56">
        <v>0.30980000000000002</v>
      </c>
      <c r="II56">
        <v>1.004440708787574</v>
      </c>
      <c r="IJ56">
        <v>8.9576739069318506E-4</v>
      </c>
      <c r="IK56">
        <v>-7.2130504814809596E-7</v>
      </c>
      <c r="IL56">
        <v>1.9987036519832741E-10</v>
      </c>
      <c r="IM56">
        <v>0.30973999999999441</v>
      </c>
      <c r="IN56">
        <v>0</v>
      </c>
      <c r="IO56">
        <v>0</v>
      </c>
      <c r="IP56">
        <v>0</v>
      </c>
      <c r="IQ56">
        <v>1</v>
      </c>
      <c r="IR56">
        <v>2126</v>
      </c>
      <c r="IS56">
        <v>0</v>
      </c>
      <c r="IT56">
        <v>20</v>
      </c>
      <c r="IU56">
        <v>0.8</v>
      </c>
      <c r="IV56">
        <v>0.7</v>
      </c>
      <c r="IW56">
        <v>0.316162</v>
      </c>
      <c r="IX56">
        <v>2.7221700000000002</v>
      </c>
      <c r="IY56">
        <v>1.69434</v>
      </c>
      <c r="IZ56">
        <v>2.33643</v>
      </c>
      <c r="JA56">
        <v>1.5466299999999999</v>
      </c>
      <c r="JB56">
        <v>2.4108900000000002</v>
      </c>
      <c r="JC56">
        <v>43.290399999999998</v>
      </c>
      <c r="JD56">
        <v>23.8248</v>
      </c>
      <c r="JE56">
        <v>18</v>
      </c>
      <c r="JF56">
        <v>490.286</v>
      </c>
      <c r="JG56">
        <v>503.08100000000002</v>
      </c>
      <c r="JH56">
        <v>26.8813</v>
      </c>
      <c r="JI56">
        <v>33.395000000000003</v>
      </c>
      <c r="JJ56">
        <v>30.0001</v>
      </c>
      <c r="JK56">
        <v>33.46</v>
      </c>
      <c r="JL56">
        <v>33.436700000000002</v>
      </c>
      <c r="JM56">
        <v>6.4066700000000001</v>
      </c>
      <c r="JN56">
        <v>15.1966</v>
      </c>
      <c r="JO56">
        <v>43.569899999999997</v>
      </c>
      <c r="JP56">
        <v>26.877500000000001</v>
      </c>
      <c r="JQ56">
        <v>70</v>
      </c>
      <c r="JR56">
        <v>23.626799999999999</v>
      </c>
      <c r="JS56">
        <v>99.127200000000002</v>
      </c>
      <c r="JT56">
        <v>98.957700000000003</v>
      </c>
    </row>
    <row r="57" spans="1:280" x14ac:dyDescent="0.25">
      <c r="A57">
        <v>41</v>
      </c>
      <c r="B57">
        <v>1700244350</v>
      </c>
      <c r="C57">
        <v>9124.4000000953674</v>
      </c>
      <c r="D57" t="s">
        <v>596</v>
      </c>
      <c r="E57" t="s">
        <v>597</v>
      </c>
      <c r="F57" t="s">
        <v>412</v>
      </c>
      <c r="G57" t="s">
        <v>545</v>
      </c>
      <c r="H57" t="s">
        <v>546</v>
      </c>
      <c r="I57">
        <v>1700244350</v>
      </c>
      <c r="J57">
        <f t="shared" si="46"/>
        <v>5.5132952944958865E-3</v>
      </c>
      <c r="K57">
        <f t="shared" si="47"/>
        <v>5.5132952944958866</v>
      </c>
      <c r="L57">
        <f t="shared" si="48"/>
        <v>4.2931603266425542</v>
      </c>
      <c r="M57">
        <f t="shared" si="49"/>
        <v>25.396899999999999</v>
      </c>
      <c r="N57">
        <f t="shared" si="50"/>
        <v>6.4887833359990648</v>
      </c>
      <c r="O57">
        <f t="shared" si="51"/>
        <v>0.64102347319696285</v>
      </c>
      <c r="P57">
        <f t="shared" si="52"/>
        <v>2.5089463160398999</v>
      </c>
      <c r="Q57">
        <f t="shared" si="53"/>
        <v>0.39314659728273477</v>
      </c>
      <c r="R57">
        <f t="shared" si="54"/>
        <v>3.0777222124289541</v>
      </c>
      <c r="S57">
        <f t="shared" si="55"/>
        <v>0.36722591294837897</v>
      </c>
      <c r="T57">
        <f t="shared" si="56"/>
        <v>0.23170250101813167</v>
      </c>
      <c r="U57">
        <f t="shared" si="57"/>
        <v>289.5371638475919</v>
      </c>
      <c r="V57">
        <f t="shared" si="58"/>
        <v>30.597246956947235</v>
      </c>
      <c r="W57">
        <f t="shared" si="59"/>
        <v>30.034800000000001</v>
      </c>
      <c r="X57">
        <f t="shared" si="60"/>
        <v>4.2689733363917428</v>
      </c>
      <c r="Y57">
        <f t="shared" si="61"/>
        <v>65.366039728625353</v>
      </c>
      <c r="Z57">
        <f t="shared" si="62"/>
        <v>2.8391698807516002</v>
      </c>
      <c r="AA57">
        <f t="shared" si="63"/>
        <v>4.343493796685161</v>
      </c>
      <c r="AB57">
        <f t="shared" si="64"/>
        <v>1.4298034556401427</v>
      </c>
      <c r="AC57">
        <f t="shared" si="65"/>
        <v>-243.13632248726859</v>
      </c>
      <c r="AD57">
        <f t="shared" si="66"/>
        <v>50.059922446798979</v>
      </c>
      <c r="AE57">
        <f t="shared" si="67"/>
        <v>3.6232474461685733</v>
      </c>
      <c r="AF57">
        <f t="shared" si="68"/>
        <v>100.08401125329088</v>
      </c>
      <c r="AG57">
        <v>6</v>
      </c>
      <c r="AH57">
        <v>1</v>
      </c>
      <c r="AI57">
        <f t="shared" si="69"/>
        <v>1</v>
      </c>
      <c r="AJ57">
        <f t="shared" si="70"/>
        <v>0</v>
      </c>
      <c r="AK57">
        <f t="shared" si="71"/>
        <v>51684.406901310969</v>
      </c>
      <c r="AL57" t="s">
        <v>415</v>
      </c>
      <c r="AM57">
        <v>6960.3</v>
      </c>
      <c r="AN57">
        <v>244.8124</v>
      </c>
      <c r="AO57">
        <v>892.86711584811997</v>
      </c>
      <c r="AP57">
        <f t="shared" si="72"/>
        <v>0.72581317459826411</v>
      </c>
      <c r="AQ57">
        <v>-0.43209471141234851</v>
      </c>
      <c r="AR57" t="s">
        <v>598</v>
      </c>
      <c r="AS57">
        <v>7135.82</v>
      </c>
      <c r="AT57">
        <v>670.91756000000009</v>
      </c>
      <c r="AU57">
        <v>720.81947433104892</v>
      </c>
      <c r="AV57">
        <f t="shared" si="73"/>
        <v>6.9229420275249809E-2</v>
      </c>
      <c r="AW57">
        <v>0.5</v>
      </c>
      <c r="AX57">
        <f t="shared" si="74"/>
        <v>1513.0331999210321</v>
      </c>
      <c r="AY57">
        <f t="shared" si="75"/>
        <v>4.2931603266425542</v>
      </c>
      <c r="AZ57">
        <f t="shared" si="76"/>
        <v>52.373205643869596</v>
      </c>
      <c r="BA57">
        <f t="shared" si="77"/>
        <v>3.1230346024803176E-3</v>
      </c>
      <c r="BB57">
        <f t="shared" si="78"/>
        <v>0.23868339805433053</v>
      </c>
      <c r="BC57">
        <f t="shared" si="79"/>
        <v>229.77503841716864</v>
      </c>
      <c r="BD57" t="s">
        <v>599</v>
      </c>
      <c r="BE57">
        <v>453.14</v>
      </c>
      <c r="BF57">
        <f t="shared" si="80"/>
        <v>453.14</v>
      </c>
      <c r="BG57">
        <f t="shared" si="81"/>
        <v>0.37135438742060467</v>
      </c>
      <c r="BH57">
        <f t="shared" si="82"/>
        <v>0.18642413452042766</v>
      </c>
      <c r="BI57">
        <f t="shared" si="83"/>
        <v>0.39126002312874336</v>
      </c>
      <c r="BJ57">
        <f t="shared" si="84"/>
        <v>0.10483439642399835</v>
      </c>
      <c r="BK57">
        <f t="shared" si="85"/>
        <v>0.26548320274455445</v>
      </c>
      <c r="BL57">
        <f t="shared" si="86"/>
        <v>0.12591149397935952</v>
      </c>
      <c r="BM57">
        <f t="shared" si="87"/>
        <v>0.87408850602064048</v>
      </c>
      <c r="BN57">
        <v>193</v>
      </c>
      <c r="BO57">
        <v>290.00000000000011</v>
      </c>
      <c r="BP57">
        <v>703.73</v>
      </c>
      <c r="BQ57">
        <v>135</v>
      </c>
      <c r="BR57">
        <v>7135.82</v>
      </c>
      <c r="BS57">
        <v>703.99</v>
      </c>
      <c r="BT57">
        <v>-0.26</v>
      </c>
      <c r="BU57">
        <v>300.00000000000011</v>
      </c>
      <c r="BV57">
        <v>38.200000000000003</v>
      </c>
      <c r="BW57">
        <v>720.81947433104892</v>
      </c>
      <c r="BX57">
        <v>1.120870878689509</v>
      </c>
      <c r="BY57">
        <v>-12.007060215432929</v>
      </c>
      <c r="BZ57">
        <v>0.67002568247990202</v>
      </c>
      <c r="CA57">
        <v>0.91980227764771072</v>
      </c>
      <c r="CB57">
        <v>-7.037185761957737E-3</v>
      </c>
      <c r="CC57">
        <v>289.99999999999989</v>
      </c>
      <c r="CD57">
        <v>703.39</v>
      </c>
      <c r="CE57">
        <v>645</v>
      </c>
      <c r="CF57">
        <v>7129.21</v>
      </c>
      <c r="CG57">
        <v>703.98</v>
      </c>
      <c r="CH57">
        <v>-0.59</v>
      </c>
      <c r="CV57">
        <f t="shared" si="88"/>
        <v>1799.82</v>
      </c>
      <c r="CW57">
        <f t="shared" si="89"/>
        <v>1513.0331999210321</v>
      </c>
      <c r="CX57">
        <f t="shared" si="90"/>
        <v>0.84065806576270519</v>
      </c>
      <c r="CY57">
        <f t="shared" si="91"/>
        <v>0.16087006692202105</v>
      </c>
      <c r="CZ57">
        <v>5.18</v>
      </c>
      <c r="DA57">
        <v>0.5</v>
      </c>
      <c r="DB57" t="s">
        <v>418</v>
      </c>
      <c r="DC57">
        <v>2</v>
      </c>
      <c r="DD57">
        <v>1700244350</v>
      </c>
      <c r="DE57">
        <v>25.396899999999999</v>
      </c>
      <c r="DF57">
        <v>29.988499999999998</v>
      </c>
      <c r="DG57">
        <v>28.739599999999999</v>
      </c>
      <c r="DH57">
        <v>23.1934</v>
      </c>
      <c r="DI57">
        <v>24.360900000000001</v>
      </c>
      <c r="DJ57">
        <v>28.435099999999998</v>
      </c>
      <c r="DK57">
        <v>500.12799999999999</v>
      </c>
      <c r="DL57">
        <v>98.689400000000006</v>
      </c>
      <c r="DM57">
        <v>0.10007099999999999</v>
      </c>
      <c r="DN57">
        <v>30.336500000000001</v>
      </c>
      <c r="DO57">
        <v>30.034800000000001</v>
      </c>
      <c r="DP57">
        <v>999.9</v>
      </c>
      <c r="DQ57">
        <v>0</v>
      </c>
      <c r="DR57">
        <v>0</v>
      </c>
      <c r="DS57">
        <v>10015</v>
      </c>
      <c r="DT57">
        <v>0</v>
      </c>
      <c r="DU57">
        <v>228.37</v>
      </c>
      <c r="DV57">
        <v>-4.5915499999999998</v>
      </c>
      <c r="DW57">
        <v>26.148399999999999</v>
      </c>
      <c r="DX57">
        <v>30.700500000000002</v>
      </c>
      <c r="DY57">
        <v>5.5461799999999997</v>
      </c>
      <c r="DZ57">
        <v>29.988499999999998</v>
      </c>
      <c r="EA57">
        <v>23.1934</v>
      </c>
      <c r="EB57">
        <v>2.83629</v>
      </c>
      <c r="EC57">
        <v>2.2889400000000002</v>
      </c>
      <c r="ED57">
        <v>23.096800000000002</v>
      </c>
      <c r="EE57">
        <v>19.598800000000001</v>
      </c>
      <c r="EF57">
        <v>1799.82</v>
      </c>
      <c r="EG57">
        <v>0.97800299999999996</v>
      </c>
      <c r="EH57">
        <v>2.19968E-2</v>
      </c>
      <c r="EI57">
        <v>0</v>
      </c>
      <c r="EJ57">
        <v>670.81500000000005</v>
      </c>
      <c r="EK57">
        <v>5.0001199999999999</v>
      </c>
      <c r="EL57">
        <v>12206</v>
      </c>
      <c r="EM57">
        <v>15628.4</v>
      </c>
      <c r="EN57">
        <v>50</v>
      </c>
      <c r="EO57">
        <v>51.061999999999998</v>
      </c>
      <c r="EP57">
        <v>50.936999999999998</v>
      </c>
      <c r="EQ57">
        <v>50.811999999999998</v>
      </c>
      <c r="ER57">
        <v>51.625</v>
      </c>
      <c r="ES57">
        <v>1755.34</v>
      </c>
      <c r="ET57">
        <v>39.479999999999997</v>
      </c>
      <c r="EU57">
        <v>0</v>
      </c>
      <c r="EV57">
        <v>232.39999985694891</v>
      </c>
      <c r="EW57">
        <v>0</v>
      </c>
      <c r="EX57">
        <v>670.91756000000009</v>
      </c>
      <c r="EY57">
        <v>2.0230761810175829E-2</v>
      </c>
      <c r="EZ57">
        <v>-83.246154120786684</v>
      </c>
      <c r="FA57">
        <v>12210.444</v>
      </c>
      <c r="FB57">
        <v>15</v>
      </c>
      <c r="FC57">
        <v>1700244309.5</v>
      </c>
      <c r="FD57" t="s">
        <v>600</v>
      </c>
      <c r="FE57">
        <v>1700244297</v>
      </c>
      <c r="FF57">
        <v>1700244309.5</v>
      </c>
      <c r="FG57">
        <v>48</v>
      </c>
      <c r="FH57">
        <v>0.01</v>
      </c>
      <c r="FI57">
        <v>-5.0000000000000001E-3</v>
      </c>
      <c r="FJ57">
        <v>1.04</v>
      </c>
      <c r="FK57">
        <v>0.30399999999999999</v>
      </c>
      <c r="FL57">
        <v>30</v>
      </c>
      <c r="FM57">
        <v>23</v>
      </c>
      <c r="FN57">
        <v>0.42</v>
      </c>
      <c r="FO57">
        <v>0.02</v>
      </c>
      <c r="FP57">
        <v>4.2886826454606872</v>
      </c>
      <c r="FQ57">
        <v>6.9491927435600093E-2</v>
      </c>
      <c r="FR57">
        <v>1.056608281794357E-2</v>
      </c>
      <c r="FS57">
        <v>1</v>
      </c>
      <c r="FT57">
        <v>0.38902742504944648</v>
      </c>
      <c r="FU57">
        <v>4.2533506807607278E-2</v>
      </c>
      <c r="FV57">
        <v>3.3263610706872121E-3</v>
      </c>
      <c r="FW57">
        <v>1</v>
      </c>
      <c r="FX57">
        <v>2</v>
      </c>
      <c r="FY57">
        <v>2</v>
      </c>
      <c r="FZ57" t="s">
        <v>420</v>
      </c>
      <c r="GA57">
        <v>2.91669</v>
      </c>
      <c r="GB57">
        <v>2.7512099999999999</v>
      </c>
      <c r="GC57">
        <v>6.7484900000000002E-3</v>
      </c>
      <c r="GD57">
        <v>8.4864799999999994E-3</v>
      </c>
      <c r="GE57">
        <v>0.12967999999999999</v>
      </c>
      <c r="GF57">
        <v>0.11408500000000001</v>
      </c>
      <c r="GG57">
        <v>30857.1</v>
      </c>
      <c r="GH57">
        <v>30639.599999999999</v>
      </c>
      <c r="GI57">
        <v>28297.200000000001</v>
      </c>
      <c r="GJ57">
        <v>28257</v>
      </c>
      <c r="GK57">
        <v>33565.5</v>
      </c>
      <c r="GL57">
        <v>34960</v>
      </c>
      <c r="GM57">
        <v>42517.1</v>
      </c>
      <c r="GN57">
        <v>43924.9</v>
      </c>
      <c r="GO57">
        <v>1.75695</v>
      </c>
      <c r="GP57">
        <v>1.91665</v>
      </c>
      <c r="GQ57">
        <v>4.6245799999999997E-2</v>
      </c>
      <c r="GR57">
        <v>0</v>
      </c>
      <c r="GS57">
        <v>29.2818</v>
      </c>
      <c r="GT57">
        <v>999.9</v>
      </c>
      <c r="GU57">
        <v>37.299999999999997</v>
      </c>
      <c r="GV57">
        <v>40.4</v>
      </c>
      <c r="GW57">
        <v>28.625499999999999</v>
      </c>
      <c r="GX57">
        <v>60.496600000000001</v>
      </c>
      <c r="GY57">
        <v>30.793299999999999</v>
      </c>
      <c r="GZ57">
        <v>1</v>
      </c>
      <c r="HA57">
        <v>0.490701</v>
      </c>
      <c r="HB57">
        <v>2.4949300000000001</v>
      </c>
      <c r="HC57">
        <v>20.251000000000001</v>
      </c>
      <c r="HD57">
        <v>5.27719</v>
      </c>
      <c r="HE57">
        <v>12.0878</v>
      </c>
      <c r="HF57">
        <v>5.0136000000000003</v>
      </c>
      <c r="HG57">
        <v>3.2918500000000002</v>
      </c>
      <c r="HH57">
        <v>9999</v>
      </c>
      <c r="HI57">
        <v>9999</v>
      </c>
      <c r="HJ57">
        <v>9999</v>
      </c>
      <c r="HK57">
        <v>999.9</v>
      </c>
      <c r="HL57">
        <v>1.8758999999999999</v>
      </c>
      <c r="HM57">
        <v>1.8763700000000001</v>
      </c>
      <c r="HN57">
        <v>1.87616</v>
      </c>
      <c r="HO57">
        <v>1.8800399999999999</v>
      </c>
      <c r="HP57">
        <v>1.8734900000000001</v>
      </c>
      <c r="HQ57">
        <v>1.8766799999999999</v>
      </c>
      <c r="HR57">
        <v>1.87646</v>
      </c>
      <c r="HS57">
        <v>1.8778699999999999</v>
      </c>
      <c r="HT57">
        <v>0</v>
      </c>
      <c r="HU57">
        <v>0</v>
      </c>
      <c r="HV57">
        <v>0</v>
      </c>
      <c r="HW57">
        <v>0</v>
      </c>
      <c r="HX57" t="s">
        <v>421</v>
      </c>
      <c r="HY57" t="s">
        <v>422</v>
      </c>
      <c r="HZ57" t="s">
        <v>423</v>
      </c>
      <c r="IA57" t="s">
        <v>424</v>
      </c>
      <c r="IB57" t="s">
        <v>424</v>
      </c>
      <c r="IC57" t="s">
        <v>423</v>
      </c>
      <c r="ID57">
        <v>0</v>
      </c>
      <c r="IE57">
        <v>100</v>
      </c>
      <c r="IF57">
        <v>100</v>
      </c>
      <c r="IG57">
        <v>1.036</v>
      </c>
      <c r="IH57">
        <v>0.30449999999999999</v>
      </c>
      <c r="II57">
        <v>1.0145943994959179</v>
      </c>
      <c r="IJ57">
        <v>8.9576739069318506E-4</v>
      </c>
      <c r="IK57">
        <v>-7.2130504814809596E-7</v>
      </c>
      <c r="IL57">
        <v>1.9987036519832741E-10</v>
      </c>
      <c r="IM57">
        <v>0.30444499999999758</v>
      </c>
      <c r="IN57">
        <v>0</v>
      </c>
      <c r="IO57">
        <v>0</v>
      </c>
      <c r="IP57">
        <v>0</v>
      </c>
      <c r="IQ57">
        <v>1</v>
      </c>
      <c r="IR57">
        <v>2126</v>
      </c>
      <c r="IS57">
        <v>0</v>
      </c>
      <c r="IT57">
        <v>20</v>
      </c>
      <c r="IU57">
        <v>0.9</v>
      </c>
      <c r="IV57">
        <v>0.7</v>
      </c>
      <c r="IW57">
        <v>0.224609</v>
      </c>
      <c r="IX57">
        <v>2.7380399999999998</v>
      </c>
      <c r="IY57">
        <v>1.69434</v>
      </c>
      <c r="IZ57">
        <v>2.33643</v>
      </c>
      <c r="JA57">
        <v>1.5466299999999999</v>
      </c>
      <c r="JB57">
        <v>2.4023400000000001</v>
      </c>
      <c r="JC57">
        <v>43.209099999999999</v>
      </c>
      <c r="JD57">
        <v>23.8248</v>
      </c>
      <c r="JE57">
        <v>18</v>
      </c>
      <c r="JF57">
        <v>490.36799999999999</v>
      </c>
      <c r="JG57">
        <v>502.85199999999998</v>
      </c>
      <c r="JH57">
        <v>27.240500000000001</v>
      </c>
      <c r="JI57">
        <v>33.371099999999998</v>
      </c>
      <c r="JJ57">
        <v>30.000299999999999</v>
      </c>
      <c r="JK57">
        <v>33.408499999999997</v>
      </c>
      <c r="JL57">
        <v>33.379300000000001</v>
      </c>
      <c r="JM57">
        <v>4.5622699999999998</v>
      </c>
      <c r="JN57">
        <v>16.1007</v>
      </c>
      <c r="JO57">
        <v>43.438200000000002</v>
      </c>
      <c r="JP57">
        <v>27.215800000000002</v>
      </c>
      <c r="JQ57">
        <v>30</v>
      </c>
      <c r="JR57">
        <v>23.0838</v>
      </c>
      <c r="JS57">
        <v>99.128</v>
      </c>
      <c r="JT57">
        <v>98.965000000000003</v>
      </c>
    </row>
    <row r="58" spans="1:280" x14ac:dyDescent="0.25">
      <c r="A58">
        <v>42</v>
      </c>
      <c r="B58">
        <v>1700244460</v>
      </c>
      <c r="C58">
        <v>9234.4000000953674</v>
      </c>
      <c r="D58" t="s">
        <v>601</v>
      </c>
      <c r="E58" t="s">
        <v>602</v>
      </c>
      <c r="F58" t="s">
        <v>412</v>
      </c>
      <c r="G58" t="s">
        <v>545</v>
      </c>
      <c r="H58" t="s">
        <v>546</v>
      </c>
      <c r="I58">
        <v>1700244460</v>
      </c>
      <c r="J58">
        <f t="shared" si="46"/>
        <v>5.6055604564599834E-3</v>
      </c>
      <c r="K58">
        <f t="shared" si="47"/>
        <v>5.6055604564599832</v>
      </c>
      <c r="L58">
        <f t="shared" si="48"/>
        <v>1.4400654170817404</v>
      </c>
      <c r="M58">
        <f t="shared" si="49"/>
        <v>8.4730299999999996</v>
      </c>
      <c r="N58">
        <f t="shared" si="50"/>
        <v>2.2735741369162583</v>
      </c>
      <c r="O58">
        <f t="shared" si="51"/>
        <v>0.22460506531109467</v>
      </c>
      <c r="P58">
        <f t="shared" si="52"/>
        <v>0.83704570070193407</v>
      </c>
      <c r="Q58">
        <f t="shared" si="53"/>
        <v>0.40292761850721664</v>
      </c>
      <c r="R58">
        <f t="shared" si="54"/>
        <v>3.0811912268967174</v>
      </c>
      <c r="S58">
        <f t="shared" si="55"/>
        <v>0.37577733267691021</v>
      </c>
      <c r="T58">
        <f t="shared" si="56"/>
        <v>0.23714755280893351</v>
      </c>
      <c r="U58">
        <f t="shared" si="57"/>
        <v>289.54195184759442</v>
      </c>
      <c r="V58">
        <f t="shared" si="58"/>
        <v>30.547263439463887</v>
      </c>
      <c r="W58">
        <f t="shared" si="59"/>
        <v>30.0275</v>
      </c>
      <c r="X58">
        <f t="shared" si="60"/>
        <v>4.2671841167178455</v>
      </c>
      <c r="Y58">
        <f t="shared" si="61"/>
        <v>65.637684621633667</v>
      </c>
      <c r="Z58">
        <f t="shared" si="62"/>
        <v>2.8465775581398804</v>
      </c>
      <c r="AA58">
        <f t="shared" si="63"/>
        <v>4.336803734849707</v>
      </c>
      <c r="AB58">
        <f t="shared" si="64"/>
        <v>1.420606558577965</v>
      </c>
      <c r="AC58">
        <f t="shared" si="65"/>
        <v>-247.20521612988526</v>
      </c>
      <c r="AD58">
        <f t="shared" si="66"/>
        <v>46.860528479838955</v>
      </c>
      <c r="AE58">
        <f t="shared" si="67"/>
        <v>3.3872891508982517</v>
      </c>
      <c r="AF58">
        <f t="shared" si="68"/>
        <v>92.584553348446377</v>
      </c>
      <c r="AG58">
        <v>6</v>
      </c>
      <c r="AH58">
        <v>1</v>
      </c>
      <c r="AI58">
        <f t="shared" si="69"/>
        <v>1</v>
      </c>
      <c r="AJ58">
        <f t="shared" si="70"/>
        <v>0</v>
      </c>
      <c r="AK58">
        <f t="shared" si="71"/>
        <v>51778.741950664931</v>
      </c>
      <c r="AL58" t="s">
        <v>427</v>
      </c>
      <c r="AM58" t="s">
        <v>427</v>
      </c>
      <c r="AN58">
        <v>0</v>
      </c>
      <c r="AO58">
        <v>0</v>
      </c>
      <c r="AP58" t="e">
        <f t="shared" si="72"/>
        <v>#DIV/0!</v>
      </c>
      <c r="AQ58">
        <v>0</v>
      </c>
      <c r="AR58" t="s">
        <v>427</v>
      </c>
      <c r="AS58" t="s">
        <v>427</v>
      </c>
      <c r="AT58">
        <v>0</v>
      </c>
      <c r="AU58">
        <v>0</v>
      </c>
      <c r="AV58" t="e">
        <f t="shared" si="73"/>
        <v>#DIV/0!</v>
      </c>
      <c r="AW58">
        <v>0.5</v>
      </c>
      <c r="AX58">
        <f t="shared" si="74"/>
        <v>1513.0583999210332</v>
      </c>
      <c r="AY58">
        <f t="shared" si="75"/>
        <v>1.4400654170817404</v>
      </c>
      <c r="AZ58" t="e">
        <f t="shared" si="76"/>
        <v>#DIV/0!</v>
      </c>
      <c r="BA58">
        <f t="shared" si="77"/>
        <v>9.5175798710538714E-4</v>
      </c>
      <c r="BB58" t="e">
        <f t="shared" si="78"/>
        <v>#DIV/0!</v>
      </c>
      <c r="BC58" t="e">
        <f t="shared" si="79"/>
        <v>#DIV/0!</v>
      </c>
      <c r="BD58" t="s">
        <v>427</v>
      </c>
      <c r="BE58">
        <v>0</v>
      </c>
      <c r="BF58" t="e">
        <f t="shared" si="80"/>
        <v>#DIV/0!</v>
      </c>
      <c r="BG58" t="e">
        <f t="shared" si="81"/>
        <v>#DIV/0!</v>
      </c>
      <c r="BH58" t="e">
        <f t="shared" si="82"/>
        <v>#DIV/0!</v>
      </c>
      <c r="BI58" t="e">
        <f t="shared" si="83"/>
        <v>#DIV/0!</v>
      </c>
      <c r="BJ58" t="e">
        <f t="shared" si="84"/>
        <v>#DIV/0!</v>
      </c>
      <c r="BK58" t="e">
        <f t="shared" si="85"/>
        <v>#DIV/0!</v>
      </c>
      <c r="BL58" t="e">
        <f t="shared" si="86"/>
        <v>#DIV/0!</v>
      </c>
      <c r="BM58" t="e">
        <f t="shared" si="87"/>
        <v>#DIV/0!</v>
      </c>
      <c r="BN58">
        <v>193</v>
      </c>
      <c r="BO58">
        <v>290.00000000000011</v>
      </c>
      <c r="BP58">
        <v>703.73</v>
      </c>
      <c r="BQ58">
        <v>135</v>
      </c>
      <c r="BR58">
        <v>7135.82</v>
      </c>
      <c r="BS58">
        <v>703.99</v>
      </c>
      <c r="BT58">
        <v>-0.26</v>
      </c>
      <c r="BU58">
        <v>300.00000000000011</v>
      </c>
      <c r="BV58">
        <v>38.200000000000003</v>
      </c>
      <c r="BW58">
        <v>720.81947433104892</v>
      </c>
      <c r="BX58">
        <v>1.120870878689509</v>
      </c>
      <c r="BY58">
        <v>-12.007060215432929</v>
      </c>
      <c r="BZ58">
        <v>0.67002568247990202</v>
      </c>
      <c r="CA58">
        <v>0.91980227764771072</v>
      </c>
      <c r="CB58">
        <v>-7.037185761957737E-3</v>
      </c>
      <c r="CC58">
        <v>289.99999999999989</v>
      </c>
      <c r="CD58">
        <v>703.39</v>
      </c>
      <c r="CE58">
        <v>645</v>
      </c>
      <c r="CF58">
        <v>7129.21</v>
      </c>
      <c r="CG58">
        <v>703.98</v>
      </c>
      <c r="CH58">
        <v>-0.59</v>
      </c>
      <c r="CV58">
        <f t="shared" si="88"/>
        <v>1799.85</v>
      </c>
      <c r="CW58">
        <f t="shared" si="89"/>
        <v>1513.0583999210332</v>
      </c>
      <c r="CX58">
        <f t="shared" si="90"/>
        <v>0.84065805479402911</v>
      </c>
      <c r="CY58">
        <f t="shared" si="91"/>
        <v>0.16087004575247629</v>
      </c>
      <c r="CZ58">
        <v>5.18</v>
      </c>
      <c r="DA58">
        <v>0.5</v>
      </c>
      <c r="DB58" t="s">
        <v>418</v>
      </c>
      <c r="DC58">
        <v>2</v>
      </c>
      <c r="DD58">
        <v>1700244460</v>
      </c>
      <c r="DE58">
        <v>8.4730299999999996</v>
      </c>
      <c r="DF58">
        <v>10.0137</v>
      </c>
      <c r="DG58">
        <v>28.814599999999999</v>
      </c>
      <c r="DH58">
        <v>23.176200000000001</v>
      </c>
      <c r="DI58">
        <v>7.40679</v>
      </c>
      <c r="DJ58">
        <v>28.509899999999998</v>
      </c>
      <c r="DK58">
        <v>500.14400000000001</v>
      </c>
      <c r="DL58">
        <v>98.689800000000005</v>
      </c>
      <c r="DM58">
        <v>9.9617800000000006E-2</v>
      </c>
      <c r="DN58">
        <v>30.3096</v>
      </c>
      <c r="DO58">
        <v>30.0275</v>
      </c>
      <c r="DP58">
        <v>999.9</v>
      </c>
      <c r="DQ58">
        <v>0</v>
      </c>
      <c r="DR58">
        <v>0</v>
      </c>
      <c r="DS58">
        <v>10033.1</v>
      </c>
      <c r="DT58">
        <v>0</v>
      </c>
      <c r="DU58">
        <v>378.03199999999998</v>
      </c>
      <c r="DV58">
        <v>-1.5406200000000001</v>
      </c>
      <c r="DW58">
        <v>8.7244200000000003</v>
      </c>
      <c r="DX58">
        <v>10.251200000000001</v>
      </c>
      <c r="DY58">
        <v>5.63835</v>
      </c>
      <c r="DZ58">
        <v>10.0137</v>
      </c>
      <c r="EA58">
        <v>23.176200000000001</v>
      </c>
      <c r="EB58">
        <v>2.8437000000000001</v>
      </c>
      <c r="EC58">
        <v>2.2872499999999998</v>
      </c>
      <c r="ED58">
        <v>23.14</v>
      </c>
      <c r="EE58">
        <v>19.5869</v>
      </c>
      <c r="EF58">
        <v>1799.85</v>
      </c>
      <c r="EG58">
        <v>0.97800299999999996</v>
      </c>
      <c r="EH58">
        <v>2.1996999999999999E-2</v>
      </c>
      <c r="EI58">
        <v>0</v>
      </c>
      <c r="EJ58">
        <v>679.19600000000003</v>
      </c>
      <c r="EK58">
        <v>5.0001199999999999</v>
      </c>
      <c r="EL58">
        <v>12499.4</v>
      </c>
      <c r="EM58">
        <v>15628.7</v>
      </c>
      <c r="EN58">
        <v>50.125</v>
      </c>
      <c r="EO58">
        <v>51.25</v>
      </c>
      <c r="EP58">
        <v>51</v>
      </c>
      <c r="EQ58">
        <v>51.061999999999998</v>
      </c>
      <c r="ER58">
        <v>51.686999999999998</v>
      </c>
      <c r="ES58">
        <v>1755.37</v>
      </c>
      <c r="ET58">
        <v>39.479999999999997</v>
      </c>
      <c r="EU58">
        <v>0</v>
      </c>
      <c r="EV58">
        <v>108.19999980926509</v>
      </c>
      <c r="EW58">
        <v>0</v>
      </c>
      <c r="EX58">
        <v>679.46469230769242</v>
      </c>
      <c r="EY58">
        <v>-1.513094014304033</v>
      </c>
      <c r="EZ58">
        <v>404.32136761799671</v>
      </c>
      <c r="FA58">
        <v>12468.646153846161</v>
      </c>
      <c r="FB58">
        <v>15</v>
      </c>
      <c r="FC58">
        <v>1700244420.5</v>
      </c>
      <c r="FD58" t="s">
        <v>603</v>
      </c>
      <c r="FE58">
        <v>1700244418.5</v>
      </c>
      <c r="FF58">
        <v>1700244420.5</v>
      </c>
      <c r="FG58">
        <v>49</v>
      </c>
      <c r="FH58">
        <v>4.4999999999999998E-2</v>
      </c>
      <c r="FI58">
        <v>0</v>
      </c>
      <c r="FJ58">
        <v>1.0680000000000001</v>
      </c>
      <c r="FK58">
        <v>0.30499999999999999</v>
      </c>
      <c r="FL58">
        <v>10</v>
      </c>
      <c r="FM58">
        <v>23</v>
      </c>
      <c r="FN58">
        <v>0.26</v>
      </c>
      <c r="FO58">
        <v>0.01</v>
      </c>
      <c r="FP58">
        <v>1.406174255912678</v>
      </c>
      <c r="FQ58">
        <v>-0.10068560459233961</v>
      </c>
      <c r="FR58">
        <v>1.7911193144993041E-2</v>
      </c>
      <c r="FS58">
        <v>1</v>
      </c>
      <c r="FT58">
        <v>0.39768854444675938</v>
      </c>
      <c r="FU58">
        <v>4.6728455939086547E-2</v>
      </c>
      <c r="FV58">
        <v>3.663643779949479E-3</v>
      </c>
      <c r="FW58">
        <v>1</v>
      </c>
      <c r="FX58">
        <v>2</v>
      </c>
      <c r="FY58">
        <v>2</v>
      </c>
      <c r="FZ58" t="s">
        <v>420</v>
      </c>
      <c r="GA58">
        <v>2.9166699999999999</v>
      </c>
      <c r="GB58">
        <v>2.7509100000000002</v>
      </c>
      <c r="GC58">
        <v>2.0584100000000001E-3</v>
      </c>
      <c r="GD58">
        <v>2.84687E-3</v>
      </c>
      <c r="GE58">
        <v>0.129916</v>
      </c>
      <c r="GF58">
        <v>0.11402900000000001</v>
      </c>
      <c r="GG58">
        <v>30999.9</v>
      </c>
      <c r="GH58">
        <v>30811.5</v>
      </c>
      <c r="GI58">
        <v>28295</v>
      </c>
      <c r="GJ58">
        <v>28255.3</v>
      </c>
      <c r="GK58">
        <v>33552.1</v>
      </c>
      <c r="GL58">
        <v>34960.400000000001</v>
      </c>
      <c r="GM58">
        <v>42511.6</v>
      </c>
      <c r="GN58">
        <v>43922.6</v>
      </c>
      <c r="GO58">
        <v>1.7571300000000001</v>
      </c>
      <c r="GP58">
        <v>1.9168799999999999</v>
      </c>
      <c r="GQ58">
        <v>3.5501999999999999E-2</v>
      </c>
      <c r="GR58">
        <v>0</v>
      </c>
      <c r="GS58">
        <v>29.4495</v>
      </c>
      <c r="GT58">
        <v>999.9</v>
      </c>
      <c r="GU58">
        <v>37.299999999999997</v>
      </c>
      <c r="GV58">
        <v>40.4</v>
      </c>
      <c r="GW58">
        <v>28.6235</v>
      </c>
      <c r="GX58">
        <v>60.476599999999998</v>
      </c>
      <c r="GY58">
        <v>31.049700000000001</v>
      </c>
      <c r="GZ58">
        <v>1</v>
      </c>
      <c r="HA58">
        <v>0.495813</v>
      </c>
      <c r="HB58">
        <v>3.0333600000000001</v>
      </c>
      <c r="HC58">
        <v>20.241599999999998</v>
      </c>
      <c r="HD58">
        <v>5.27644</v>
      </c>
      <c r="HE58">
        <v>12.0878</v>
      </c>
      <c r="HF58">
        <v>5.0136500000000002</v>
      </c>
      <c r="HG58">
        <v>3.2919800000000001</v>
      </c>
      <c r="HH58">
        <v>9999</v>
      </c>
      <c r="HI58">
        <v>9999</v>
      </c>
      <c r="HJ58">
        <v>9999</v>
      </c>
      <c r="HK58">
        <v>999.9</v>
      </c>
      <c r="HL58">
        <v>1.8758999999999999</v>
      </c>
      <c r="HM58">
        <v>1.8763700000000001</v>
      </c>
      <c r="HN58">
        <v>1.87616</v>
      </c>
      <c r="HO58">
        <v>1.8800300000000001</v>
      </c>
      <c r="HP58">
        <v>1.87347</v>
      </c>
      <c r="HQ58">
        <v>1.8766799999999999</v>
      </c>
      <c r="HR58">
        <v>1.87649</v>
      </c>
      <c r="HS58">
        <v>1.87788</v>
      </c>
      <c r="HT58">
        <v>0</v>
      </c>
      <c r="HU58">
        <v>0</v>
      </c>
      <c r="HV58">
        <v>0</v>
      </c>
      <c r="HW58">
        <v>0</v>
      </c>
      <c r="HX58" t="s">
        <v>421</v>
      </c>
      <c r="HY58" t="s">
        <v>422</v>
      </c>
      <c r="HZ58" t="s">
        <v>423</v>
      </c>
      <c r="IA58" t="s">
        <v>424</v>
      </c>
      <c r="IB58" t="s">
        <v>424</v>
      </c>
      <c r="IC58" t="s">
        <v>423</v>
      </c>
      <c r="ID58">
        <v>0</v>
      </c>
      <c r="IE58">
        <v>100</v>
      </c>
      <c r="IF58">
        <v>100</v>
      </c>
      <c r="IG58">
        <v>1.0660000000000001</v>
      </c>
      <c r="IH58">
        <v>0.30470000000000003</v>
      </c>
      <c r="II58">
        <v>1.0596471901565241</v>
      </c>
      <c r="IJ58">
        <v>8.9576739069318506E-4</v>
      </c>
      <c r="IK58">
        <v>-7.2130504814809596E-7</v>
      </c>
      <c r="IL58">
        <v>1.9987036519832741E-10</v>
      </c>
      <c r="IM58">
        <v>0.30463999999999197</v>
      </c>
      <c r="IN58">
        <v>0</v>
      </c>
      <c r="IO58">
        <v>0</v>
      </c>
      <c r="IP58">
        <v>0</v>
      </c>
      <c r="IQ58">
        <v>1</v>
      </c>
      <c r="IR58">
        <v>2126</v>
      </c>
      <c r="IS58">
        <v>0</v>
      </c>
      <c r="IT58">
        <v>20</v>
      </c>
      <c r="IU58">
        <v>0.7</v>
      </c>
      <c r="IV58">
        <v>0.7</v>
      </c>
      <c r="IW58">
        <v>0.17944299999999999</v>
      </c>
      <c r="IX58">
        <v>2.7514599999999998</v>
      </c>
      <c r="IY58">
        <v>1.69434</v>
      </c>
      <c r="IZ58">
        <v>2.33765</v>
      </c>
      <c r="JA58">
        <v>1.5466299999999999</v>
      </c>
      <c r="JB58">
        <v>2.3767100000000001</v>
      </c>
      <c r="JC58">
        <v>43.182000000000002</v>
      </c>
      <c r="JD58">
        <v>23.816099999999999</v>
      </c>
      <c r="JE58">
        <v>18</v>
      </c>
      <c r="JF58">
        <v>490.45299999999997</v>
      </c>
      <c r="JG58">
        <v>502.93299999999999</v>
      </c>
      <c r="JH58">
        <v>26.819700000000001</v>
      </c>
      <c r="JI58">
        <v>33.398200000000003</v>
      </c>
      <c r="JJ58">
        <v>30.000399999999999</v>
      </c>
      <c r="JK58">
        <v>33.402500000000003</v>
      </c>
      <c r="JL58">
        <v>33.369599999999998</v>
      </c>
      <c r="JM58">
        <v>3.6621100000000002</v>
      </c>
      <c r="JN58">
        <v>16.164000000000001</v>
      </c>
      <c r="JO58">
        <v>43.285699999999999</v>
      </c>
      <c r="JP58">
        <v>26.802800000000001</v>
      </c>
      <c r="JQ58">
        <v>10</v>
      </c>
      <c r="JR58">
        <v>23.061800000000002</v>
      </c>
      <c r="JS58">
        <v>99.117199999999997</v>
      </c>
      <c r="JT58">
        <v>98.959400000000002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23</v>
      </c>
    </row>
    <row r="14" spans="1:2" x14ac:dyDescent="0.25">
      <c r="A14" t="s">
        <v>25</v>
      </c>
      <c r="B14" t="s">
        <v>21</v>
      </c>
    </row>
    <row r="15" spans="1:2" x14ac:dyDescent="0.25">
      <c r="A15" t="s">
        <v>26</v>
      </c>
      <c r="B15" t="s">
        <v>11</v>
      </c>
    </row>
    <row r="16" spans="1:2" x14ac:dyDescent="0.25">
      <c r="A16" t="s">
        <v>27</v>
      </c>
      <c r="B1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IGB</cp:lastModifiedBy>
  <dcterms:created xsi:type="dcterms:W3CDTF">2023-11-17T19:09:30Z</dcterms:created>
  <dcterms:modified xsi:type="dcterms:W3CDTF">2023-11-17T23:33:13Z</dcterms:modified>
</cp:coreProperties>
</file>