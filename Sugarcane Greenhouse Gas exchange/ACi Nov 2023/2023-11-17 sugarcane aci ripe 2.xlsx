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72" i="1" l="1"/>
  <c r="U72" i="1" s="1"/>
  <c r="CX72" i="1"/>
  <c r="CV72" i="1"/>
  <c r="CW72" i="1" s="1"/>
  <c r="AX72" i="1" s="1"/>
  <c r="AZ72" i="1" s="1"/>
  <c r="BK72" i="1"/>
  <c r="BJ72" i="1"/>
  <c r="BI72" i="1"/>
  <c r="BH72" i="1"/>
  <c r="BL72" i="1" s="1"/>
  <c r="BM72" i="1" s="1"/>
  <c r="BF72" i="1"/>
  <c r="BG72" i="1" s="1"/>
  <c r="BB72" i="1"/>
  <c r="AV72" i="1"/>
  <c r="AP72" i="1"/>
  <c r="BC72" i="1" s="1"/>
  <c r="AK72" i="1"/>
  <c r="AI72" i="1"/>
  <c r="M72" i="1" s="1"/>
  <c r="AA72" i="1"/>
  <c r="Z72" i="1"/>
  <c r="Y72" i="1"/>
  <c r="R72" i="1"/>
  <c r="P72" i="1"/>
  <c r="CY71" i="1"/>
  <c r="U71" i="1" s="1"/>
  <c r="CX71" i="1"/>
  <c r="CV71" i="1"/>
  <c r="CW71" i="1" s="1"/>
  <c r="AX71" i="1" s="1"/>
  <c r="AZ71" i="1" s="1"/>
  <c r="BK71" i="1"/>
  <c r="BJ71" i="1"/>
  <c r="BB71" i="1"/>
  <c r="AY71" i="1"/>
  <c r="AV71" i="1"/>
  <c r="AP71" i="1"/>
  <c r="BC71" i="1" s="1"/>
  <c r="BF71" i="1" s="1"/>
  <c r="AK71" i="1"/>
  <c r="AI71" i="1"/>
  <c r="AJ71" i="1" s="1"/>
  <c r="AA71" i="1"/>
  <c r="Z71" i="1"/>
  <c r="Y71" i="1"/>
  <c r="V71" i="1"/>
  <c r="W71" i="1" s="1"/>
  <c r="R71" i="1"/>
  <c r="P71" i="1"/>
  <c r="M71" i="1"/>
  <c r="L71" i="1"/>
  <c r="K71" i="1"/>
  <c r="J71" i="1"/>
  <c r="AC71" i="1" s="1"/>
  <c r="CY70" i="1"/>
  <c r="CX70" i="1"/>
  <c r="CV70" i="1"/>
  <c r="BK70" i="1"/>
  <c r="BJ70" i="1"/>
  <c r="BF70" i="1"/>
  <c r="BB70" i="1"/>
  <c r="AV70" i="1"/>
  <c r="AP70" i="1"/>
  <c r="BC70" i="1" s="1"/>
  <c r="AK70" i="1"/>
  <c r="AI70" i="1" s="1"/>
  <c r="AA70" i="1"/>
  <c r="Z70" i="1"/>
  <c r="Y70" i="1" s="1"/>
  <c r="R70" i="1"/>
  <c r="CY69" i="1"/>
  <c r="CX69" i="1"/>
  <c r="CV69" i="1"/>
  <c r="CW69" i="1" s="1"/>
  <c r="AX69" i="1" s="1"/>
  <c r="AZ69" i="1" s="1"/>
  <c r="BK69" i="1"/>
  <c r="BJ69" i="1"/>
  <c r="BB69" i="1"/>
  <c r="AV69" i="1"/>
  <c r="AP69" i="1"/>
  <c r="BC69" i="1" s="1"/>
  <c r="BF69" i="1" s="1"/>
  <c r="AK69" i="1"/>
  <c r="AI69" i="1" s="1"/>
  <c r="AA69" i="1"/>
  <c r="Z69" i="1"/>
  <c r="Y69" i="1" s="1"/>
  <c r="R69" i="1"/>
  <c r="CY68" i="1"/>
  <c r="CX68" i="1"/>
  <c r="CV68" i="1"/>
  <c r="CW68" i="1" s="1"/>
  <c r="AX68" i="1" s="1"/>
  <c r="AZ68" i="1" s="1"/>
  <c r="BK68" i="1"/>
  <c r="BJ68" i="1"/>
  <c r="BF68" i="1"/>
  <c r="BI68" i="1" s="1"/>
  <c r="BB68" i="1"/>
  <c r="AV68" i="1"/>
  <c r="AP68" i="1"/>
  <c r="BC68" i="1" s="1"/>
  <c r="AK68" i="1"/>
  <c r="AJ68" i="1"/>
  <c r="AI68" i="1"/>
  <c r="M68" i="1" s="1"/>
  <c r="AA68" i="1"/>
  <c r="Z68" i="1"/>
  <c r="Y68" i="1" s="1"/>
  <c r="R68" i="1"/>
  <c r="P68" i="1"/>
  <c r="L68" i="1"/>
  <c r="AY68" i="1" s="1"/>
  <c r="CY67" i="1"/>
  <c r="CX67" i="1"/>
  <c r="CV67" i="1"/>
  <c r="CW67" i="1" s="1"/>
  <c r="AX67" i="1" s="1"/>
  <c r="AZ67" i="1" s="1"/>
  <c r="BK67" i="1"/>
  <c r="BJ67" i="1"/>
  <c r="BH67" i="1"/>
  <c r="BL67" i="1" s="1"/>
  <c r="BM67" i="1" s="1"/>
  <c r="BB67" i="1"/>
  <c r="AV67" i="1"/>
  <c r="AP67" i="1"/>
  <c r="BC67" i="1" s="1"/>
  <c r="BF67" i="1" s="1"/>
  <c r="AK67" i="1"/>
  <c r="AI67" i="1" s="1"/>
  <c r="AA67" i="1"/>
  <c r="Z67" i="1"/>
  <c r="Y67" i="1" s="1"/>
  <c r="R67" i="1"/>
  <c r="CY66" i="1"/>
  <c r="CX66" i="1"/>
  <c r="CV66" i="1"/>
  <c r="BK66" i="1"/>
  <c r="BJ66" i="1"/>
  <c r="BF66" i="1"/>
  <c r="BB66" i="1"/>
  <c r="AV66" i="1"/>
  <c r="AP66" i="1"/>
  <c r="BC66" i="1" s="1"/>
  <c r="AK66" i="1"/>
  <c r="AJ66" i="1"/>
  <c r="AI66" i="1"/>
  <c r="AA66" i="1"/>
  <c r="Z66" i="1"/>
  <c r="Y66" i="1" s="1"/>
  <c r="R66" i="1"/>
  <c r="P66" i="1"/>
  <c r="M66" i="1"/>
  <c r="L66" i="1"/>
  <c r="AY66" i="1" s="1"/>
  <c r="K66" i="1"/>
  <c r="J66" i="1"/>
  <c r="CY65" i="1"/>
  <c r="CX65" i="1"/>
  <c r="CV65" i="1"/>
  <c r="CW65" i="1" s="1"/>
  <c r="AX65" i="1" s="1"/>
  <c r="AZ65" i="1" s="1"/>
  <c r="BK65" i="1"/>
  <c r="BJ65" i="1"/>
  <c r="BB65" i="1"/>
  <c r="AV65" i="1"/>
  <c r="AP65" i="1"/>
  <c r="BC65" i="1" s="1"/>
  <c r="BF65" i="1" s="1"/>
  <c r="AK65" i="1"/>
  <c r="AI65" i="1" s="1"/>
  <c r="AJ65" i="1"/>
  <c r="AA65" i="1"/>
  <c r="Z65" i="1"/>
  <c r="Y65" i="1" s="1"/>
  <c r="R65" i="1"/>
  <c r="CY64" i="1"/>
  <c r="CX64" i="1"/>
  <c r="CV64" i="1"/>
  <c r="CW64" i="1" s="1"/>
  <c r="AX64" i="1" s="1"/>
  <c r="BK64" i="1"/>
  <c r="BJ64" i="1"/>
  <c r="BF64" i="1"/>
  <c r="BI64" i="1" s="1"/>
  <c r="BB64" i="1"/>
  <c r="AZ64" i="1"/>
  <c r="AV64" i="1"/>
  <c r="AP64" i="1"/>
  <c r="BC64" i="1" s="1"/>
  <c r="AK64" i="1"/>
  <c r="AJ64" i="1"/>
  <c r="AI64" i="1"/>
  <c r="M64" i="1" s="1"/>
  <c r="AA64" i="1"/>
  <c r="Z64" i="1"/>
  <c r="Y64" i="1" s="1"/>
  <c r="R64" i="1"/>
  <c r="P64" i="1"/>
  <c r="L64" i="1"/>
  <c r="AY64" i="1" s="1"/>
  <c r="BA64" i="1" s="1"/>
  <c r="K64" i="1"/>
  <c r="J64" i="1"/>
  <c r="AC64" i="1" s="1"/>
  <c r="CY63" i="1"/>
  <c r="CX63" i="1"/>
  <c r="CV63" i="1"/>
  <c r="CW63" i="1" s="1"/>
  <c r="AX63" i="1" s="1"/>
  <c r="AZ63" i="1" s="1"/>
  <c r="BK63" i="1"/>
  <c r="BJ63" i="1"/>
  <c r="BH63" i="1"/>
  <c r="BL63" i="1" s="1"/>
  <c r="BM63" i="1" s="1"/>
  <c r="BF63" i="1"/>
  <c r="BG63" i="1" s="1"/>
  <c r="BB63" i="1"/>
  <c r="AV63" i="1"/>
  <c r="AP63" i="1"/>
  <c r="BC63" i="1" s="1"/>
  <c r="AK63" i="1"/>
  <c r="AJ63" i="1"/>
  <c r="AI63" i="1"/>
  <c r="M63" i="1" s="1"/>
  <c r="AA63" i="1"/>
  <c r="Z63" i="1"/>
  <c r="Y63" i="1" s="1"/>
  <c r="R63" i="1"/>
  <c r="P63" i="1"/>
  <c r="L63" i="1"/>
  <c r="AY63" i="1" s="1"/>
  <c r="CY62" i="1"/>
  <c r="CX62" i="1"/>
  <c r="CV62" i="1"/>
  <c r="BK62" i="1"/>
  <c r="BJ62" i="1"/>
  <c r="BB62" i="1"/>
  <c r="AV62" i="1"/>
  <c r="AP62" i="1"/>
  <c r="BC62" i="1" s="1"/>
  <c r="BF62" i="1" s="1"/>
  <c r="AK62" i="1"/>
  <c r="AJ62" i="1"/>
  <c r="AI62" i="1"/>
  <c r="K62" i="1" s="1"/>
  <c r="J62" i="1" s="1"/>
  <c r="AA62" i="1"/>
  <c r="Z62" i="1"/>
  <c r="Y62" i="1" s="1"/>
  <c r="R62" i="1"/>
  <c r="P62" i="1"/>
  <c r="M62" i="1"/>
  <c r="L62" i="1"/>
  <c r="AY62" i="1" s="1"/>
  <c r="CY61" i="1"/>
  <c r="CX61" i="1"/>
  <c r="CV61" i="1"/>
  <c r="CW61" i="1" s="1"/>
  <c r="AX61" i="1" s="1"/>
  <c r="AZ61" i="1" s="1"/>
  <c r="BL61" i="1"/>
  <c r="BM61" i="1" s="1"/>
  <c r="BK61" i="1"/>
  <c r="BJ61" i="1"/>
  <c r="BH61" i="1"/>
  <c r="BF61" i="1"/>
  <c r="BI61" i="1" s="1"/>
  <c r="BB61" i="1"/>
  <c r="AV61" i="1"/>
  <c r="AP61" i="1"/>
  <c r="BC61" i="1" s="1"/>
  <c r="AK61" i="1"/>
  <c r="AI61" i="1" s="1"/>
  <c r="AJ61" i="1"/>
  <c r="AA61" i="1"/>
  <c r="Z61" i="1"/>
  <c r="Y61" i="1" s="1"/>
  <c r="R61" i="1"/>
  <c r="CY60" i="1"/>
  <c r="CX60" i="1"/>
  <c r="CV60" i="1"/>
  <c r="CW60" i="1" s="1"/>
  <c r="AX60" i="1" s="1"/>
  <c r="BK60" i="1"/>
  <c r="BJ60" i="1"/>
  <c r="BB60" i="1"/>
  <c r="AZ60" i="1"/>
  <c r="AV60" i="1"/>
  <c r="AP60" i="1"/>
  <c r="BC60" i="1" s="1"/>
  <c r="BF60" i="1" s="1"/>
  <c r="AK60" i="1"/>
  <c r="AI60" i="1" s="1"/>
  <c r="AA60" i="1"/>
  <c r="Z60" i="1"/>
  <c r="Y60" i="1" s="1"/>
  <c r="R60" i="1"/>
  <c r="P60" i="1"/>
  <c r="L60" i="1"/>
  <c r="AY60" i="1" s="1"/>
  <c r="BA60" i="1" s="1"/>
  <c r="CY59" i="1"/>
  <c r="CX59" i="1"/>
  <c r="CV59" i="1"/>
  <c r="BL59" i="1"/>
  <c r="BM59" i="1" s="1"/>
  <c r="BK59" i="1"/>
  <c r="BJ59" i="1"/>
  <c r="BH59" i="1"/>
  <c r="BF59" i="1"/>
  <c r="BG59" i="1" s="1"/>
  <c r="BB59" i="1"/>
  <c r="AV59" i="1"/>
  <c r="AP59" i="1"/>
  <c r="BC59" i="1" s="1"/>
  <c r="AK59" i="1"/>
  <c r="AJ59" i="1"/>
  <c r="AI59" i="1"/>
  <c r="M59" i="1" s="1"/>
  <c r="AA59" i="1"/>
  <c r="Z59" i="1"/>
  <c r="Y59" i="1" s="1"/>
  <c r="R59" i="1"/>
  <c r="P59" i="1"/>
  <c r="L59" i="1"/>
  <c r="AY59" i="1" s="1"/>
  <c r="K59" i="1"/>
  <c r="J59" i="1"/>
  <c r="CY58" i="1"/>
  <c r="CX58" i="1"/>
  <c r="CV58" i="1"/>
  <c r="BK58" i="1"/>
  <c r="BJ58" i="1"/>
  <c r="BF58" i="1"/>
  <c r="BB58" i="1"/>
  <c r="AV58" i="1"/>
  <c r="AP58" i="1"/>
  <c r="BC58" i="1" s="1"/>
  <c r="AK58" i="1"/>
  <c r="AJ58" i="1"/>
  <c r="AI58" i="1"/>
  <c r="K58" i="1" s="1"/>
  <c r="J58" i="1" s="1"/>
  <c r="AA58" i="1"/>
  <c r="Z58" i="1"/>
  <c r="Y58" i="1" s="1"/>
  <c r="R58" i="1"/>
  <c r="P58" i="1"/>
  <c r="L58" i="1"/>
  <c r="AY58" i="1" s="1"/>
  <c r="CY57" i="1"/>
  <c r="CX57" i="1"/>
  <c r="CV57" i="1"/>
  <c r="BK57" i="1"/>
  <c r="BJ57" i="1"/>
  <c r="BF57" i="1"/>
  <c r="BB57" i="1"/>
  <c r="AV57" i="1"/>
  <c r="AP57" i="1"/>
  <c r="BC57" i="1" s="1"/>
  <c r="AK57" i="1"/>
  <c r="AI57" i="1" s="1"/>
  <c r="AJ57" i="1"/>
  <c r="AA57" i="1"/>
  <c r="Z57" i="1"/>
  <c r="Y57" i="1" s="1"/>
  <c r="R57" i="1"/>
  <c r="L57" i="1"/>
  <c r="AY57" i="1" s="1"/>
  <c r="CY56" i="1"/>
  <c r="CX56" i="1"/>
  <c r="CV56" i="1"/>
  <c r="BK56" i="1"/>
  <c r="BJ56" i="1"/>
  <c r="BF56" i="1"/>
  <c r="BB56" i="1"/>
  <c r="AV56" i="1"/>
  <c r="AP56" i="1"/>
  <c r="BC56" i="1" s="1"/>
  <c r="AK56" i="1"/>
  <c r="AI56" i="1" s="1"/>
  <c r="AA56" i="1"/>
  <c r="Z56" i="1"/>
  <c r="Y56" i="1" s="1"/>
  <c r="R56" i="1"/>
  <c r="P56" i="1"/>
  <c r="CY55" i="1"/>
  <c r="CX55" i="1"/>
  <c r="CV55" i="1"/>
  <c r="BK55" i="1"/>
  <c r="BJ55" i="1"/>
  <c r="BF55" i="1"/>
  <c r="BB55" i="1"/>
  <c r="AV55" i="1"/>
  <c r="AP55" i="1"/>
  <c r="BC55" i="1" s="1"/>
  <c r="AK55" i="1"/>
  <c r="AJ55" i="1"/>
  <c r="AI55" i="1"/>
  <c r="M55" i="1" s="1"/>
  <c r="AA55" i="1"/>
  <c r="Z55" i="1"/>
  <c r="R55" i="1"/>
  <c r="L55" i="1"/>
  <c r="AY55" i="1" s="1"/>
  <c r="K55" i="1"/>
  <c r="J55" i="1"/>
  <c r="CY54" i="1"/>
  <c r="CX54" i="1"/>
  <c r="CV54" i="1"/>
  <c r="BK54" i="1"/>
  <c r="BJ54" i="1"/>
  <c r="BH54" i="1"/>
  <c r="BL54" i="1" s="1"/>
  <c r="BM54" i="1" s="1"/>
  <c r="BF54" i="1"/>
  <c r="BI54" i="1" s="1"/>
  <c r="BB54" i="1"/>
  <c r="AV54" i="1"/>
  <c r="AP54" i="1"/>
  <c r="BC54" i="1" s="1"/>
  <c r="AK54" i="1"/>
  <c r="AJ54" i="1"/>
  <c r="AI54" i="1"/>
  <c r="K54" i="1" s="1"/>
  <c r="AC54" i="1"/>
  <c r="AA54" i="1"/>
  <c r="Z54" i="1"/>
  <c r="Y54" i="1" s="1"/>
  <c r="R54" i="1"/>
  <c r="P54" i="1"/>
  <c r="M54" i="1"/>
  <c r="L54" i="1"/>
  <c r="AY54" i="1" s="1"/>
  <c r="J54" i="1"/>
  <c r="CY53" i="1"/>
  <c r="CX53" i="1"/>
  <c r="CW53" i="1" s="1"/>
  <c r="AX53" i="1" s="1"/>
  <c r="CV53" i="1"/>
  <c r="BK53" i="1"/>
  <c r="BJ53" i="1"/>
  <c r="BC53" i="1"/>
  <c r="BF53" i="1" s="1"/>
  <c r="BB53" i="1"/>
  <c r="AZ53" i="1"/>
  <c r="AV53" i="1"/>
  <c r="AP53" i="1"/>
  <c r="AK53" i="1"/>
  <c r="AI53" i="1" s="1"/>
  <c r="AJ53" i="1"/>
  <c r="AC53" i="1"/>
  <c r="AA53" i="1"/>
  <c r="Z53" i="1"/>
  <c r="Y53" i="1"/>
  <c r="U53" i="1"/>
  <c r="R53" i="1"/>
  <c r="P53" i="1"/>
  <c r="M53" i="1"/>
  <c r="L53" i="1"/>
  <c r="AY53" i="1" s="1"/>
  <c r="K53" i="1"/>
  <c r="J53" i="1"/>
  <c r="CY52" i="1"/>
  <c r="CX52" i="1"/>
  <c r="CW52" i="1"/>
  <c r="AX52" i="1" s="1"/>
  <c r="CV52" i="1"/>
  <c r="BK52" i="1"/>
  <c r="BJ52" i="1"/>
  <c r="BG52" i="1"/>
  <c r="BF52" i="1"/>
  <c r="BI52" i="1" s="1"/>
  <c r="BC52" i="1"/>
  <c r="BB52" i="1"/>
  <c r="AV52" i="1"/>
  <c r="AZ52" i="1" s="1"/>
  <c r="AP52" i="1"/>
  <c r="AK52" i="1"/>
  <c r="AI52" i="1" s="1"/>
  <c r="AJ52" i="1"/>
  <c r="AA52" i="1"/>
  <c r="Z52" i="1"/>
  <c r="Y52" i="1" s="1"/>
  <c r="U52" i="1"/>
  <c r="R52" i="1"/>
  <c r="M52" i="1"/>
  <c r="CY51" i="1"/>
  <c r="CX51" i="1"/>
  <c r="CW51" i="1"/>
  <c r="AX51" i="1" s="1"/>
  <c r="CV51" i="1"/>
  <c r="BK51" i="1"/>
  <c r="BJ51" i="1"/>
  <c r="BC51" i="1"/>
  <c r="BF51" i="1" s="1"/>
  <c r="BB51" i="1"/>
  <c r="AZ51" i="1"/>
  <c r="AV51" i="1"/>
  <c r="AP51" i="1"/>
  <c r="AK51" i="1"/>
  <c r="AI51" i="1" s="1"/>
  <c r="AA51" i="1"/>
  <c r="Y51" i="1" s="1"/>
  <c r="Z51" i="1"/>
  <c r="U51" i="1"/>
  <c r="R51" i="1"/>
  <c r="P51" i="1"/>
  <c r="K51" i="1"/>
  <c r="J51" i="1" s="1"/>
  <c r="CY50" i="1"/>
  <c r="CX50" i="1"/>
  <c r="CV50" i="1"/>
  <c r="CW50" i="1" s="1"/>
  <c r="AX50" i="1" s="1"/>
  <c r="AZ50" i="1" s="1"/>
  <c r="BK50" i="1"/>
  <c r="BJ50" i="1"/>
  <c r="BI50" i="1"/>
  <c r="BH50" i="1"/>
  <c r="BL50" i="1" s="1"/>
  <c r="BM50" i="1" s="1"/>
  <c r="BF50" i="1"/>
  <c r="BG50" i="1" s="1"/>
  <c r="BC50" i="1"/>
  <c r="BB50" i="1"/>
  <c r="AV50" i="1"/>
  <c r="AP50" i="1"/>
  <c r="AK50" i="1"/>
  <c r="AI50" i="1"/>
  <c r="AA50" i="1"/>
  <c r="Z50" i="1"/>
  <c r="Y50" i="1"/>
  <c r="R50" i="1"/>
  <c r="CY49" i="1"/>
  <c r="CX49" i="1"/>
  <c r="CV49" i="1"/>
  <c r="BK49" i="1"/>
  <c r="BJ49" i="1"/>
  <c r="BB49" i="1"/>
  <c r="AV49" i="1"/>
  <c r="AP49" i="1"/>
  <c r="BC49" i="1" s="1"/>
  <c r="BF49" i="1" s="1"/>
  <c r="AK49" i="1"/>
  <c r="AI49" i="1"/>
  <c r="K49" i="1" s="1"/>
  <c r="J49" i="1" s="1"/>
  <c r="AA49" i="1"/>
  <c r="Z49" i="1"/>
  <c r="Y49" i="1"/>
  <c r="R49" i="1"/>
  <c r="M49" i="1"/>
  <c r="L49" i="1"/>
  <c r="AY49" i="1" s="1"/>
  <c r="CY48" i="1"/>
  <c r="CX48" i="1"/>
  <c r="CW48" i="1"/>
  <c r="AX48" i="1" s="1"/>
  <c r="CV48" i="1"/>
  <c r="BK48" i="1"/>
  <c r="BJ48" i="1"/>
  <c r="BG48" i="1"/>
  <c r="BF48" i="1"/>
  <c r="BI48" i="1" s="1"/>
  <c r="BC48" i="1"/>
  <c r="BB48" i="1"/>
  <c r="AV48" i="1"/>
  <c r="AP48" i="1"/>
  <c r="AK48" i="1"/>
  <c r="AI48" i="1" s="1"/>
  <c r="AJ48" i="1"/>
  <c r="AA48" i="1"/>
  <c r="Z48" i="1"/>
  <c r="Y48" i="1" s="1"/>
  <c r="U48" i="1"/>
  <c r="R48" i="1"/>
  <c r="CY47" i="1"/>
  <c r="CX47" i="1"/>
  <c r="CW47" i="1"/>
  <c r="AX47" i="1" s="1"/>
  <c r="CV47" i="1"/>
  <c r="BK47" i="1"/>
  <c r="BJ47" i="1"/>
  <c r="BC47" i="1"/>
  <c r="BF47" i="1" s="1"/>
  <c r="BB47" i="1"/>
  <c r="AZ47" i="1"/>
  <c r="AV47" i="1"/>
  <c r="AP47" i="1"/>
  <c r="AK47" i="1"/>
  <c r="AI47" i="1" s="1"/>
  <c r="P47" i="1" s="1"/>
  <c r="AA47" i="1"/>
  <c r="Y47" i="1" s="1"/>
  <c r="Z47" i="1"/>
  <c r="U47" i="1"/>
  <c r="R47" i="1"/>
  <c r="CY46" i="1"/>
  <c r="CX46" i="1"/>
  <c r="CV46" i="1"/>
  <c r="BK46" i="1"/>
  <c r="BJ46" i="1"/>
  <c r="BI46" i="1"/>
  <c r="BH46" i="1"/>
  <c r="BL46" i="1" s="1"/>
  <c r="BM46" i="1" s="1"/>
  <c r="BF46" i="1"/>
  <c r="BG46" i="1" s="1"/>
  <c r="BC46" i="1"/>
  <c r="BB46" i="1"/>
  <c r="AV46" i="1"/>
  <c r="AP46" i="1"/>
  <c r="AK46" i="1"/>
  <c r="AI46" i="1"/>
  <c r="AA46" i="1"/>
  <c r="Z46" i="1"/>
  <c r="Y46" i="1"/>
  <c r="R46" i="1"/>
  <c r="CY45" i="1"/>
  <c r="U45" i="1" s="1"/>
  <c r="CX45" i="1"/>
  <c r="CW45" i="1"/>
  <c r="AX45" i="1" s="1"/>
  <c r="CV45" i="1"/>
  <c r="BK45" i="1"/>
  <c r="BJ45" i="1"/>
  <c r="BG45" i="1"/>
  <c r="BF45" i="1"/>
  <c r="BH45" i="1" s="1"/>
  <c r="BL45" i="1" s="1"/>
  <c r="BM45" i="1" s="1"/>
  <c r="BB45" i="1"/>
  <c r="AY45" i="1"/>
  <c r="BA45" i="1" s="1"/>
  <c r="AV45" i="1"/>
  <c r="AP45" i="1"/>
  <c r="BC45" i="1" s="1"/>
  <c r="AK45" i="1"/>
  <c r="AI45" i="1"/>
  <c r="K45" i="1" s="1"/>
  <c r="J45" i="1" s="1"/>
  <c r="AC45" i="1"/>
  <c r="AA45" i="1"/>
  <c r="Z45" i="1"/>
  <c r="Y45" i="1"/>
  <c r="R45" i="1"/>
  <c r="M45" i="1"/>
  <c r="L45" i="1"/>
  <c r="CY44" i="1"/>
  <c r="CX44" i="1"/>
  <c r="CW44" i="1"/>
  <c r="AX44" i="1" s="1"/>
  <c r="CV44" i="1"/>
  <c r="BK44" i="1"/>
  <c r="BJ44" i="1"/>
  <c r="BG44" i="1"/>
  <c r="BF44" i="1"/>
  <c r="BI44" i="1" s="1"/>
  <c r="BC44" i="1"/>
  <c r="BB44" i="1"/>
  <c r="AV44" i="1"/>
  <c r="AZ44" i="1" s="1"/>
  <c r="AP44" i="1"/>
  <c r="AK44" i="1"/>
  <c r="AI44" i="1" s="1"/>
  <c r="AA44" i="1"/>
  <c r="Z44" i="1"/>
  <c r="Y44" i="1" s="1"/>
  <c r="U44" i="1"/>
  <c r="R44" i="1"/>
  <c r="CY43" i="1"/>
  <c r="CX43" i="1"/>
  <c r="CW43" i="1"/>
  <c r="AX43" i="1" s="1"/>
  <c r="AZ43" i="1" s="1"/>
  <c r="CV43" i="1"/>
  <c r="BK43" i="1"/>
  <c r="BJ43" i="1"/>
  <c r="BC43" i="1"/>
  <c r="BF43" i="1" s="1"/>
  <c r="BB43" i="1"/>
  <c r="AV43" i="1"/>
  <c r="AP43" i="1"/>
  <c r="AK43" i="1"/>
  <c r="AI43" i="1" s="1"/>
  <c r="AA43" i="1"/>
  <c r="Z43" i="1"/>
  <c r="Y43" i="1"/>
  <c r="U43" i="1"/>
  <c r="R43" i="1"/>
  <c r="CY42" i="1"/>
  <c r="CX42" i="1"/>
  <c r="CV42" i="1"/>
  <c r="BK42" i="1"/>
  <c r="BJ42" i="1"/>
  <c r="BI42" i="1"/>
  <c r="BH42" i="1"/>
  <c r="BL42" i="1" s="1"/>
  <c r="BM42" i="1" s="1"/>
  <c r="BF42" i="1"/>
  <c r="BG42" i="1" s="1"/>
  <c r="BC42" i="1"/>
  <c r="BB42" i="1"/>
  <c r="AV42" i="1"/>
  <c r="AP42" i="1"/>
  <c r="AK42" i="1"/>
  <c r="AI42" i="1"/>
  <c r="AA42" i="1"/>
  <c r="Z42" i="1"/>
  <c r="Y42" i="1"/>
  <c r="R42" i="1"/>
  <c r="CY41" i="1"/>
  <c r="CX41" i="1"/>
  <c r="CV41" i="1"/>
  <c r="BK41" i="1"/>
  <c r="BJ41" i="1"/>
  <c r="BG41" i="1"/>
  <c r="BF41" i="1"/>
  <c r="BI41" i="1" s="1"/>
  <c r="BB41" i="1"/>
  <c r="AY41" i="1"/>
  <c r="AV41" i="1"/>
  <c r="AP41" i="1"/>
  <c r="BC41" i="1" s="1"/>
  <c r="AK41" i="1"/>
  <c r="AI41" i="1"/>
  <c r="K41" i="1" s="1"/>
  <c r="J41" i="1" s="1"/>
  <c r="AA41" i="1"/>
  <c r="Z41" i="1"/>
  <c r="Y41" i="1"/>
  <c r="R41" i="1"/>
  <c r="M41" i="1"/>
  <c r="L41" i="1"/>
  <c r="CY40" i="1"/>
  <c r="CX40" i="1"/>
  <c r="CW40" i="1"/>
  <c r="AX40" i="1" s="1"/>
  <c r="CV40" i="1"/>
  <c r="U40" i="1" s="1"/>
  <c r="BK40" i="1"/>
  <c r="BJ40" i="1"/>
  <c r="BG40" i="1"/>
  <c r="BF40" i="1"/>
  <c r="BC40" i="1"/>
  <c r="BB40" i="1"/>
  <c r="AV40" i="1"/>
  <c r="AP40" i="1"/>
  <c r="AK40" i="1"/>
  <c r="AI40" i="1" s="1"/>
  <c r="P40" i="1" s="1"/>
  <c r="AJ40" i="1"/>
  <c r="AA40" i="1"/>
  <c r="Z40" i="1"/>
  <c r="R40" i="1"/>
  <c r="M40" i="1"/>
  <c r="L40" i="1"/>
  <c r="AY40" i="1" s="1"/>
  <c r="K40" i="1"/>
  <c r="J40" i="1" s="1"/>
  <c r="CY39" i="1"/>
  <c r="CX39" i="1"/>
  <c r="CW39" i="1"/>
  <c r="AX39" i="1" s="1"/>
  <c r="CV39" i="1"/>
  <c r="BK39" i="1"/>
  <c r="BJ39" i="1"/>
  <c r="BC39" i="1"/>
  <c r="BF39" i="1" s="1"/>
  <c r="BB39" i="1"/>
  <c r="AZ39" i="1"/>
  <c r="AV39" i="1"/>
  <c r="AP39" i="1"/>
  <c r="AK39" i="1"/>
  <c r="AI39" i="1" s="1"/>
  <c r="K39" i="1" s="1"/>
  <c r="J39" i="1" s="1"/>
  <c r="AA39" i="1"/>
  <c r="Z39" i="1"/>
  <c r="Y39" i="1" s="1"/>
  <c r="U39" i="1"/>
  <c r="R39" i="1"/>
  <c r="CY38" i="1"/>
  <c r="CX38" i="1"/>
  <c r="CV38" i="1"/>
  <c r="BK38" i="1"/>
  <c r="BJ38" i="1"/>
  <c r="BI38" i="1"/>
  <c r="BH38" i="1"/>
  <c r="BL38" i="1" s="1"/>
  <c r="BM38" i="1" s="1"/>
  <c r="BF38" i="1"/>
  <c r="BG38" i="1" s="1"/>
  <c r="BC38" i="1"/>
  <c r="BB38" i="1"/>
  <c r="AV38" i="1"/>
  <c r="AP38" i="1"/>
  <c r="AK38" i="1"/>
  <c r="AI38" i="1"/>
  <c r="AA38" i="1"/>
  <c r="Z38" i="1"/>
  <c r="Y38" i="1"/>
  <c r="R38" i="1"/>
  <c r="CY37" i="1"/>
  <c r="U37" i="1" s="1"/>
  <c r="CX37" i="1"/>
  <c r="CV37" i="1"/>
  <c r="CW37" i="1" s="1"/>
  <c r="BK37" i="1"/>
  <c r="BJ37" i="1"/>
  <c r="BI37" i="1"/>
  <c r="BH37" i="1"/>
  <c r="BL37" i="1" s="1"/>
  <c r="BM37" i="1" s="1"/>
  <c r="BG37" i="1"/>
  <c r="BF37" i="1"/>
  <c r="BB37" i="1"/>
  <c r="AX37" i="1"/>
  <c r="AV37" i="1"/>
  <c r="AP37" i="1"/>
  <c r="BC37" i="1" s="1"/>
  <c r="AK37" i="1"/>
  <c r="AI37" i="1"/>
  <c r="AA37" i="1"/>
  <c r="Z37" i="1"/>
  <c r="Y37" i="1"/>
  <c r="R37" i="1"/>
  <c r="M37" i="1"/>
  <c r="L37" i="1"/>
  <c r="AY37" i="1" s="1"/>
  <c r="CY36" i="1"/>
  <c r="CX36" i="1"/>
  <c r="CW36" i="1"/>
  <c r="AX36" i="1" s="1"/>
  <c r="CV36" i="1"/>
  <c r="BK36" i="1"/>
  <c r="BJ36" i="1"/>
  <c r="BG36" i="1"/>
  <c r="BF36" i="1"/>
  <c r="BH36" i="1" s="1"/>
  <c r="BL36" i="1" s="1"/>
  <c r="BM36" i="1" s="1"/>
  <c r="BC36" i="1"/>
  <c r="BB36" i="1"/>
  <c r="AV36" i="1"/>
  <c r="AZ36" i="1" s="1"/>
  <c r="AP36" i="1"/>
  <c r="AK36" i="1"/>
  <c r="AI36" i="1" s="1"/>
  <c r="AA36" i="1"/>
  <c r="Z36" i="1"/>
  <c r="Y36" i="1" s="1"/>
  <c r="U36" i="1"/>
  <c r="R36" i="1"/>
  <c r="K36" i="1"/>
  <c r="J36" i="1" s="1"/>
  <c r="CY35" i="1"/>
  <c r="CX35" i="1"/>
  <c r="CV35" i="1"/>
  <c r="BM35" i="1"/>
  <c r="BL35" i="1"/>
  <c r="BK35" i="1"/>
  <c r="BJ35" i="1"/>
  <c r="BH35" i="1"/>
  <c r="BG35" i="1"/>
  <c r="BF35" i="1"/>
  <c r="BI35" i="1" s="1"/>
  <c r="BC35" i="1"/>
  <c r="BB35" i="1"/>
  <c r="AV35" i="1"/>
  <c r="AP35" i="1"/>
  <c r="AK35" i="1"/>
  <c r="AI35" i="1" s="1"/>
  <c r="K35" i="1" s="1"/>
  <c r="J35" i="1" s="1"/>
  <c r="AA35" i="1"/>
  <c r="Z35" i="1"/>
  <c r="R35" i="1"/>
  <c r="CY34" i="1"/>
  <c r="CX34" i="1"/>
  <c r="CV34" i="1"/>
  <c r="BK34" i="1"/>
  <c r="BJ34" i="1"/>
  <c r="BB34" i="1"/>
  <c r="AV34" i="1"/>
  <c r="AP34" i="1"/>
  <c r="BC34" i="1" s="1"/>
  <c r="BF34" i="1" s="1"/>
  <c r="BH34" i="1" s="1"/>
  <c r="BL34" i="1" s="1"/>
  <c r="BM34" i="1" s="1"/>
  <c r="AK34" i="1"/>
  <c r="AI34" i="1"/>
  <c r="AA34" i="1"/>
  <c r="Z34" i="1"/>
  <c r="Y34" i="1"/>
  <c r="R34" i="1"/>
  <c r="CY33" i="1"/>
  <c r="CX33" i="1"/>
  <c r="CV33" i="1"/>
  <c r="BK33" i="1"/>
  <c r="BJ33" i="1"/>
  <c r="BF33" i="1"/>
  <c r="BB33" i="1"/>
  <c r="AV33" i="1"/>
  <c r="AP33" i="1"/>
  <c r="BC33" i="1" s="1"/>
  <c r="AK33" i="1"/>
  <c r="AJ33" i="1"/>
  <c r="AI33" i="1"/>
  <c r="K33" i="1" s="1"/>
  <c r="J33" i="1" s="1"/>
  <c r="AA33" i="1"/>
  <c r="Z33" i="1"/>
  <c r="Y33" i="1" s="1"/>
  <c r="R33" i="1"/>
  <c r="M33" i="1"/>
  <c r="L33" i="1"/>
  <c r="AY33" i="1" s="1"/>
  <c r="CY32" i="1"/>
  <c r="CX32" i="1"/>
  <c r="CW32" i="1"/>
  <c r="AX32" i="1" s="1"/>
  <c r="CV32" i="1"/>
  <c r="BK32" i="1"/>
  <c r="BJ32" i="1"/>
  <c r="BB32" i="1"/>
  <c r="AV32" i="1"/>
  <c r="AP32" i="1"/>
  <c r="BC32" i="1" s="1"/>
  <c r="BF32" i="1" s="1"/>
  <c r="AK32" i="1"/>
  <c r="AI32" i="1" s="1"/>
  <c r="AJ32" i="1"/>
  <c r="AA32" i="1"/>
  <c r="Z32" i="1"/>
  <c r="Y32" i="1" s="1"/>
  <c r="U32" i="1"/>
  <c r="R32" i="1"/>
  <c r="M32" i="1"/>
  <c r="CY31" i="1"/>
  <c r="CX31" i="1"/>
  <c r="CW31" i="1" s="1"/>
  <c r="AX31" i="1" s="1"/>
  <c r="AZ31" i="1" s="1"/>
  <c r="CV31" i="1"/>
  <c r="BM31" i="1"/>
  <c r="BL31" i="1"/>
  <c r="BK31" i="1"/>
  <c r="BJ31" i="1"/>
  <c r="BH31" i="1"/>
  <c r="BG31" i="1"/>
  <c r="BF31" i="1"/>
  <c r="BI31" i="1" s="1"/>
  <c r="BC31" i="1"/>
  <c r="BB31" i="1"/>
  <c r="AV31" i="1"/>
  <c r="AP31" i="1"/>
  <c r="AK31" i="1"/>
  <c r="AI31" i="1" s="1"/>
  <c r="AA31" i="1"/>
  <c r="Z31" i="1"/>
  <c r="Y31" i="1" s="1"/>
  <c r="U31" i="1"/>
  <c r="R31" i="1"/>
  <c r="P31" i="1"/>
  <c r="K31" i="1"/>
  <c r="J31" i="1" s="1"/>
  <c r="CY30" i="1"/>
  <c r="CX30" i="1"/>
  <c r="CV30" i="1"/>
  <c r="BK30" i="1"/>
  <c r="BJ30" i="1"/>
  <c r="BI30" i="1"/>
  <c r="BH30" i="1"/>
  <c r="BL30" i="1" s="1"/>
  <c r="BM30" i="1" s="1"/>
  <c r="BF30" i="1"/>
  <c r="BG30" i="1" s="1"/>
  <c r="BB30" i="1"/>
  <c r="AV30" i="1"/>
  <c r="AP30" i="1"/>
  <c r="BC30" i="1" s="1"/>
  <c r="AK30" i="1"/>
  <c r="AI30" i="1"/>
  <c r="AA30" i="1"/>
  <c r="Z30" i="1"/>
  <c r="Y30" i="1"/>
  <c r="R30" i="1"/>
  <c r="CY29" i="1"/>
  <c r="CX29" i="1"/>
  <c r="CV29" i="1"/>
  <c r="BK29" i="1"/>
  <c r="BJ29" i="1"/>
  <c r="BI29" i="1"/>
  <c r="BH29" i="1"/>
  <c r="BL29" i="1" s="1"/>
  <c r="BM29" i="1" s="1"/>
  <c r="BF29" i="1"/>
  <c r="BG29" i="1" s="1"/>
  <c r="BB29" i="1"/>
  <c r="AY29" i="1"/>
  <c r="AV29" i="1"/>
  <c r="AP29" i="1"/>
  <c r="BC29" i="1" s="1"/>
  <c r="AK29" i="1"/>
  <c r="AJ29" i="1"/>
  <c r="AI29" i="1"/>
  <c r="K29" i="1" s="1"/>
  <c r="J29" i="1" s="1"/>
  <c r="AA29" i="1"/>
  <c r="Z29" i="1"/>
  <c r="Y29" i="1" s="1"/>
  <c r="R29" i="1"/>
  <c r="M29" i="1"/>
  <c r="L29" i="1"/>
  <c r="CY28" i="1"/>
  <c r="CX28" i="1"/>
  <c r="CV28" i="1"/>
  <c r="CW28" i="1" s="1"/>
  <c r="AX28" i="1" s="1"/>
  <c r="BK28" i="1"/>
  <c r="BJ28" i="1"/>
  <c r="BF28" i="1"/>
  <c r="BB28" i="1"/>
  <c r="AV28" i="1"/>
  <c r="AP28" i="1"/>
  <c r="BC28" i="1" s="1"/>
  <c r="AK28" i="1"/>
  <c r="AI28" i="1" s="1"/>
  <c r="AJ28" i="1"/>
  <c r="AA28" i="1"/>
  <c r="Z28" i="1"/>
  <c r="Y28" i="1" s="1"/>
  <c r="R28" i="1"/>
  <c r="M28" i="1"/>
  <c r="L28" i="1"/>
  <c r="AY28" i="1" s="1"/>
  <c r="CY27" i="1"/>
  <c r="CX27" i="1"/>
  <c r="CW27" i="1" s="1"/>
  <c r="AX27" i="1" s="1"/>
  <c r="CV27" i="1"/>
  <c r="BK27" i="1"/>
  <c r="BJ27" i="1"/>
  <c r="BC27" i="1"/>
  <c r="BF27" i="1" s="1"/>
  <c r="BB27" i="1"/>
  <c r="AZ27" i="1"/>
  <c r="AV27" i="1"/>
  <c r="AP27" i="1"/>
  <c r="AK27" i="1"/>
  <c r="AI27" i="1" s="1"/>
  <c r="AJ27" i="1" s="1"/>
  <c r="AA27" i="1"/>
  <c r="Z27" i="1"/>
  <c r="Y27" i="1" s="1"/>
  <c r="U27" i="1"/>
  <c r="R27" i="1"/>
  <c r="CY26" i="1"/>
  <c r="CX26" i="1"/>
  <c r="CV26" i="1"/>
  <c r="BK26" i="1"/>
  <c r="BJ26" i="1"/>
  <c r="BH26" i="1"/>
  <c r="BL26" i="1" s="1"/>
  <c r="BM26" i="1" s="1"/>
  <c r="BF26" i="1"/>
  <c r="BG26" i="1" s="1"/>
  <c r="BB26" i="1"/>
  <c r="AV26" i="1"/>
  <c r="AP26" i="1"/>
  <c r="BC26" i="1" s="1"/>
  <c r="AK26" i="1"/>
  <c r="AI26" i="1"/>
  <c r="AA26" i="1"/>
  <c r="Z26" i="1"/>
  <c r="Y26" i="1"/>
  <c r="R26" i="1"/>
  <c r="P26" i="1"/>
  <c r="CY25" i="1"/>
  <c r="CX25" i="1"/>
  <c r="CV25" i="1"/>
  <c r="BK25" i="1"/>
  <c r="BJ25" i="1"/>
  <c r="BF25" i="1"/>
  <c r="BG25" i="1" s="1"/>
  <c r="BB25" i="1"/>
  <c r="AY25" i="1"/>
  <c r="AV25" i="1"/>
  <c r="AP25" i="1"/>
  <c r="BC25" i="1" s="1"/>
  <c r="AK25" i="1"/>
  <c r="AJ25" i="1"/>
  <c r="AI25" i="1"/>
  <c r="K25" i="1" s="1"/>
  <c r="J25" i="1" s="1"/>
  <c r="AA25" i="1"/>
  <c r="Z25" i="1"/>
  <c r="Y25" i="1" s="1"/>
  <c r="R25" i="1"/>
  <c r="M25" i="1"/>
  <c r="L25" i="1"/>
  <c r="CY24" i="1"/>
  <c r="CX24" i="1"/>
  <c r="CW24" i="1"/>
  <c r="AX24" i="1" s="1"/>
  <c r="CV24" i="1"/>
  <c r="BK24" i="1"/>
  <c r="BJ24" i="1"/>
  <c r="BG24" i="1"/>
  <c r="BF24" i="1"/>
  <c r="BB24" i="1"/>
  <c r="AV24" i="1"/>
  <c r="AZ24" i="1" s="1"/>
  <c r="AP24" i="1"/>
  <c r="BC24" i="1" s="1"/>
  <c r="AK24" i="1"/>
  <c r="AI24" i="1" s="1"/>
  <c r="K24" i="1" s="1"/>
  <c r="AJ24" i="1"/>
  <c r="AA24" i="1"/>
  <c r="Z24" i="1"/>
  <c r="Y24" i="1" s="1"/>
  <c r="U24" i="1"/>
  <c r="R24" i="1"/>
  <c r="L24" i="1"/>
  <c r="AY24" i="1" s="1"/>
  <c r="J24" i="1"/>
  <c r="AC24" i="1" s="1"/>
  <c r="CY23" i="1"/>
  <c r="CX23" i="1"/>
  <c r="CW23" i="1" s="1"/>
  <c r="AX23" i="1" s="1"/>
  <c r="AZ23" i="1" s="1"/>
  <c r="CV23" i="1"/>
  <c r="BK23" i="1"/>
  <c r="BJ23" i="1"/>
  <c r="BH23" i="1"/>
  <c r="BL23" i="1" s="1"/>
  <c r="BM23" i="1" s="1"/>
  <c r="BG23" i="1"/>
  <c r="BF23" i="1"/>
  <c r="BI23" i="1" s="1"/>
  <c r="BC23" i="1"/>
  <c r="BB23" i="1"/>
  <c r="AV23" i="1"/>
  <c r="AP23" i="1"/>
  <c r="AK23" i="1"/>
  <c r="AI23" i="1" s="1"/>
  <c r="AJ23" i="1"/>
  <c r="AA23" i="1"/>
  <c r="Z23" i="1"/>
  <c r="U23" i="1"/>
  <c r="R23" i="1"/>
  <c r="P23" i="1"/>
  <c r="K23" i="1"/>
  <c r="J23" i="1"/>
  <c r="AC23" i="1" s="1"/>
  <c r="CY22" i="1"/>
  <c r="CX22" i="1"/>
  <c r="CV22" i="1"/>
  <c r="BK22" i="1"/>
  <c r="BJ22" i="1"/>
  <c r="BF22" i="1"/>
  <c r="BG22" i="1" s="1"/>
  <c r="BB22" i="1"/>
  <c r="AV22" i="1"/>
  <c r="AP22" i="1"/>
  <c r="BC22" i="1" s="1"/>
  <c r="AK22" i="1"/>
  <c r="AI22" i="1"/>
  <c r="AA22" i="1"/>
  <c r="Z22" i="1"/>
  <c r="Y22" i="1"/>
  <c r="R22" i="1"/>
  <c r="P22" i="1"/>
  <c r="L22" i="1"/>
  <c r="AY22" i="1" s="1"/>
  <c r="CY21" i="1"/>
  <c r="CX21" i="1"/>
  <c r="CW21" i="1" s="1"/>
  <c r="AX21" i="1" s="1"/>
  <c r="CV21" i="1"/>
  <c r="BK21" i="1"/>
  <c r="BJ21" i="1"/>
  <c r="BI21" i="1"/>
  <c r="BH21" i="1"/>
  <c r="BL21" i="1" s="1"/>
  <c r="BM21" i="1" s="1"/>
  <c r="BG21" i="1"/>
  <c r="BF21" i="1"/>
  <c r="BB21" i="1"/>
  <c r="AV21" i="1"/>
  <c r="AP21" i="1"/>
  <c r="BC21" i="1" s="1"/>
  <c r="AK21" i="1"/>
  <c r="AJ21" i="1"/>
  <c r="AI21" i="1"/>
  <c r="P21" i="1" s="1"/>
  <c r="AA21" i="1"/>
  <c r="Z21" i="1"/>
  <c r="Y21" i="1" s="1"/>
  <c r="U21" i="1"/>
  <c r="V21" i="1" s="1"/>
  <c r="W21" i="1" s="1"/>
  <c r="R21" i="1"/>
  <c r="M21" i="1"/>
  <c r="L21" i="1"/>
  <c r="AY21" i="1" s="1"/>
  <c r="BA21" i="1" s="1"/>
  <c r="K21" i="1"/>
  <c r="J21" i="1"/>
  <c r="AC21" i="1" s="1"/>
  <c r="CY20" i="1"/>
  <c r="U20" i="1" s="1"/>
  <c r="CX20" i="1"/>
  <c r="CW20" i="1"/>
  <c r="CV20" i="1"/>
  <c r="BL20" i="1"/>
  <c r="BM20" i="1" s="1"/>
  <c r="BK20" i="1"/>
  <c r="BJ20" i="1"/>
  <c r="BI20" i="1"/>
  <c r="BH20" i="1"/>
  <c r="BG20" i="1"/>
  <c r="BF20" i="1"/>
  <c r="BC20" i="1"/>
  <c r="BB20" i="1"/>
  <c r="AZ20" i="1"/>
  <c r="AX20" i="1"/>
  <c r="AV20" i="1"/>
  <c r="AP20" i="1"/>
  <c r="AK20" i="1"/>
  <c r="AI20" i="1" s="1"/>
  <c r="AA20" i="1"/>
  <c r="Z20" i="1"/>
  <c r="Y20" i="1" s="1"/>
  <c r="R20" i="1"/>
  <c r="CY19" i="1"/>
  <c r="CX19" i="1"/>
  <c r="CW19" i="1"/>
  <c r="AX19" i="1" s="1"/>
  <c r="AZ19" i="1" s="1"/>
  <c r="CV19" i="1"/>
  <c r="BK19" i="1"/>
  <c r="BJ19" i="1"/>
  <c r="BH19" i="1"/>
  <c r="BL19" i="1" s="1"/>
  <c r="BM19" i="1" s="1"/>
  <c r="BG19" i="1"/>
  <c r="BF19" i="1"/>
  <c r="BI19" i="1" s="1"/>
  <c r="BB19" i="1"/>
  <c r="AV19" i="1"/>
  <c r="AP19" i="1"/>
  <c r="BC19" i="1" s="1"/>
  <c r="AK19" i="1"/>
  <c r="AI19" i="1"/>
  <c r="L19" i="1" s="1"/>
  <c r="AY19" i="1" s="1"/>
  <c r="BA19" i="1" s="1"/>
  <c r="AA19" i="1"/>
  <c r="Z19" i="1"/>
  <c r="Y19" i="1"/>
  <c r="U19" i="1"/>
  <c r="R19" i="1"/>
  <c r="P19" i="1"/>
  <c r="M19" i="1"/>
  <c r="CY18" i="1"/>
  <c r="CX18" i="1"/>
  <c r="CV18" i="1"/>
  <c r="CW18" i="1" s="1"/>
  <c r="AX18" i="1" s="1"/>
  <c r="AZ18" i="1" s="1"/>
  <c r="BK18" i="1"/>
  <c r="BJ18" i="1"/>
  <c r="BC18" i="1"/>
  <c r="BF18" i="1" s="1"/>
  <c r="BB18" i="1"/>
  <c r="AV18" i="1"/>
  <c r="AP18" i="1"/>
  <c r="AK18" i="1"/>
  <c r="AI18" i="1" s="1"/>
  <c r="AA18" i="1"/>
  <c r="Z18" i="1"/>
  <c r="Y18" i="1" s="1"/>
  <c r="R18" i="1"/>
  <c r="CY17" i="1"/>
  <c r="CX17" i="1"/>
  <c r="CV17" i="1"/>
  <c r="CW17" i="1" s="1"/>
  <c r="AX17" i="1" s="1"/>
  <c r="BK17" i="1"/>
  <c r="BJ17" i="1"/>
  <c r="BF17" i="1"/>
  <c r="BI17" i="1" s="1"/>
  <c r="BB17" i="1"/>
  <c r="AV17" i="1"/>
  <c r="AP17" i="1"/>
  <c r="BC17" i="1" s="1"/>
  <c r="AK17" i="1"/>
  <c r="AI17" i="1"/>
  <c r="K17" i="1" s="1"/>
  <c r="J17" i="1" s="1"/>
  <c r="AA17" i="1"/>
  <c r="Z17" i="1"/>
  <c r="Y17" i="1"/>
  <c r="R17" i="1"/>
  <c r="L17" i="1"/>
  <c r="AY17" i="1" s="1"/>
  <c r="AC35" i="1" l="1"/>
  <c r="V20" i="1"/>
  <c r="W20" i="1" s="1"/>
  <c r="P20" i="1"/>
  <c r="M20" i="1"/>
  <c r="L20" i="1"/>
  <c r="AY20" i="1" s="1"/>
  <c r="BA20" i="1" s="1"/>
  <c r="K20" i="1"/>
  <c r="J20" i="1" s="1"/>
  <c r="AJ20" i="1"/>
  <c r="BG18" i="1"/>
  <c r="BI18" i="1"/>
  <c r="BH18" i="1"/>
  <c r="BL18" i="1" s="1"/>
  <c r="BM18" i="1" s="1"/>
  <c r="AC39" i="1"/>
  <c r="AC17" i="1"/>
  <c r="V19" i="1"/>
  <c r="W19" i="1" s="1"/>
  <c r="AD20" i="1"/>
  <c r="M18" i="1"/>
  <c r="L18" i="1"/>
  <c r="AY18" i="1" s="1"/>
  <c r="BA18" i="1" s="1"/>
  <c r="K18" i="1"/>
  <c r="J18" i="1" s="1"/>
  <c r="AJ18" i="1"/>
  <c r="P18" i="1"/>
  <c r="BA17" i="1"/>
  <c r="AZ17" i="1"/>
  <c r="X21" i="1"/>
  <c r="AB21" i="1" s="1"/>
  <c r="AD21" i="1"/>
  <c r="AF21" i="1" s="1"/>
  <c r="AE21" i="1"/>
  <c r="M17" i="1"/>
  <c r="U17" i="1"/>
  <c r="BG17" i="1"/>
  <c r="BH22" i="1"/>
  <c r="BL22" i="1" s="1"/>
  <c r="BM22" i="1" s="1"/>
  <c r="BA24" i="1"/>
  <c r="BH25" i="1"/>
  <c r="BL25" i="1" s="1"/>
  <c r="BM25" i="1" s="1"/>
  <c r="BI28" i="1"/>
  <c r="BH28" i="1"/>
  <c r="BL28" i="1" s="1"/>
  <c r="BM28" i="1" s="1"/>
  <c r="AZ32" i="1"/>
  <c r="P35" i="1"/>
  <c r="P36" i="1"/>
  <c r="AJ36" i="1"/>
  <c r="M36" i="1"/>
  <c r="L36" i="1"/>
  <c r="AY36" i="1" s="1"/>
  <c r="BA36" i="1" s="1"/>
  <c r="P44" i="1"/>
  <c r="L44" i="1"/>
  <c r="AY44" i="1" s="1"/>
  <c r="BA44" i="1" s="1"/>
  <c r="AJ44" i="1"/>
  <c r="K44" i="1"/>
  <c r="J44" i="1" s="1"/>
  <c r="AC25" i="1"/>
  <c r="AC36" i="1"/>
  <c r="BH17" i="1"/>
  <c r="BL17" i="1" s="1"/>
  <c r="BM17" i="1" s="1"/>
  <c r="AJ19" i="1"/>
  <c r="BI22" i="1"/>
  <c r="Y23" i="1"/>
  <c r="M24" i="1"/>
  <c r="BI24" i="1"/>
  <c r="BH24" i="1"/>
  <c r="BL24" i="1" s="1"/>
  <c r="BM24" i="1" s="1"/>
  <c r="BI25" i="1"/>
  <c r="BI27" i="1"/>
  <c r="BH27" i="1"/>
  <c r="BL27" i="1" s="1"/>
  <c r="BM27" i="1" s="1"/>
  <c r="BG27" i="1"/>
  <c r="BG28" i="1"/>
  <c r="CW41" i="1"/>
  <c r="AX41" i="1" s="1"/>
  <c r="U41" i="1"/>
  <c r="AC55" i="1"/>
  <c r="BI32" i="1"/>
  <c r="BH32" i="1"/>
  <c r="BL32" i="1" s="1"/>
  <c r="BM32" i="1" s="1"/>
  <c r="K19" i="1"/>
  <c r="J19" i="1" s="1"/>
  <c r="P24" i="1"/>
  <c r="M26" i="1"/>
  <c r="L26" i="1"/>
  <c r="AY26" i="1" s="1"/>
  <c r="K26" i="1"/>
  <c r="J26" i="1" s="1"/>
  <c r="AJ26" i="1"/>
  <c r="K27" i="1"/>
  <c r="J27" i="1" s="1"/>
  <c r="BA28" i="1"/>
  <c r="CW30" i="1"/>
  <c r="AX30" i="1" s="1"/>
  <c r="AZ30" i="1" s="1"/>
  <c r="BG32" i="1"/>
  <c r="M34" i="1"/>
  <c r="L34" i="1"/>
  <c r="AY34" i="1" s="1"/>
  <c r="K34" i="1"/>
  <c r="J34" i="1" s="1"/>
  <c r="AJ34" i="1"/>
  <c r="P34" i="1"/>
  <c r="AC40" i="1"/>
  <c r="V40" i="1"/>
  <c r="W40" i="1" s="1"/>
  <c r="P69" i="1"/>
  <c r="M69" i="1"/>
  <c r="L69" i="1"/>
  <c r="AY69" i="1" s="1"/>
  <c r="BA69" i="1" s="1"/>
  <c r="K69" i="1"/>
  <c r="J69" i="1" s="1"/>
  <c r="AJ69" i="1"/>
  <c r="V23" i="1"/>
  <c r="W23" i="1" s="1"/>
  <c r="AD23" i="1" s="1"/>
  <c r="CW33" i="1"/>
  <c r="AX33" i="1" s="1"/>
  <c r="BA33" i="1" s="1"/>
  <c r="U33" i="1"/>
  <c r="M43" i="1"/>
  <c r="L43" i="1"/>
  <c r="AY43" i="1" s="1"/>
  <c r="BA43" i="1" s="1"/>
  <c r="AJ43" i="1"/>
  <c r="P43" i="1"/>
  <c r="K43" i="1"/>
  <c r="J43" i="1" s="1"/>
  <c r="P17" i="1"/>
  <c r="AD24" i="1"/>
  <c r="P27" i="1"/>
  <c r="CW29" i="1"/>
  <c r="AX29" i="1" s="1"/>
  <c r="AZ29" i="1" s="1"/>
  <c r="U29" i="1"/>
  <c r="BH33" i="1"/>
  <c r="BL33" i="1" s="1"/>
  <c r="BM33" i="1" s="1"/>
  <c r="BG33" i="1"/>
  <c r="M38" i="1"/>
  <c r="L38" i="1"/>
  <c r="AY38" i="1" s="1"/>
  <c r="AJ38" i="1"/>
  <c r="P38" i="1"/>
  <c r="K38" i="1"/>
  <c r="J38" i="1" s="1"/>
  <c r="V39" i="1"/>
  <c r="W39" i="1" s="1"/>
  <c r="BA41" i="1"/>
  <c r="M44" i="1"/>
  <c r="V45" i="1"/>
  <c r="W45" i="1" s="1"/>
  <c r="AC51" i="1"/>
  <c r="BI66" i="1"/>
  <c r="BH66" i="1"/>
  <c r="BL66" i="1" s="1"/>
  <c r="BM66" i="1" s="1"/>
  <c r="BG66" i="1"/>
  <c r="S24" i="1"/>
  <c r="Q24" i="1" s="1"/>
  <c r="T24" i="1" s="1"/>
  <c r="N24" i="1" s="1"/>
  <c r="O24" i="1" s="1"/>
  <c r="CW22" i="1"/>
  <c r="AX22" i="1" s="1"/>
  <c r="AZ22" i="1" s="1"/>
  <c r="U22" i="1"/>
  <c r="CW25" i="1"/>
  <c r="AX25" i="1" s="1"/>
  <c r="BA25" i="1" s="1"/>
  <c r="U25" i="1"/>
  <c r="M27" i="1"/>
  <c r="L27" i="1"/>
  <c r="AY27" i="1" s="1"/>
  <c r="BA27" i="1" s="1"/>
  <c r="P28" i="1"/>
  <c r="K28" i="1"/>
  <c r="J28" i="1" s="1"/>
  <c r="BA29" i="1"/>
  <c r="AC33" i="1"/>
  <c r="BI33" i="1"/>
  <c r="BG34" i="1"/>
  <c r="BI34" i="1"/>
  <c r="CW34" i="1"/>
  <c r="AX34" i="1" s="1"/>
  <c r="AZ34" i="1" s="1"/>
  <c r="Y35" i="1"/>
  <c r="U35" i="1"/>
  <c r="CW35" i="1"/>
  <c r="AX35" i="1" s="1"/>
  <c r="AZ35" i="1" s="1"/>
  <c r="CW49" i="1"/>
  <c r="AX49" i="1" s="1"/>
  <c r="BA49" i="1" s="1"/>
  <c r="U49" i="1"/>
  <c r="M50" i="1"/>
  <c r="L50" i="1"/>
  <c r="AY50" i="1" s="1"/>
  <c r="BA50" i="1" s="1"/>
  <c r="K50" i="1"/>
  <c r="J50" i="1" s="1"/>
  <c r="AJ50" i="1"/>
  <c r="P50" i="1"/>
  <c r="M35" i="1"/>
  <c r="L35" i="1"/>
  <c r="AY35" i="1" s="1"/>
  <c r="BA35" i="1" s="1"/>
  <c r="AJ35" i="1"/>
  <c r="AJ17" i="1"/>
  <c r="S21" i="1"/>
  <c r="Q21" i="1" s="1"/>
  <c r="T21" i="1" s="1"/>
  <c r="N21" i="1" s="1"/>
  <c r="O21" i="1" s="1"/>
  <c r="AZ21" i="1"/>
  <c r="V24" i="1"/>
  <c r="W24" i="1" s="1"/>
  <c r="V31" i="1"/>
  <c r="W31" i="1" s="1"/>
  <c r="AC31" i="1"/>
  <c r="AD40" i="1"/>
  <c r="V44" i="1"/>
  <c r="W44" i="1" s="1"/>
  <c r="BH49" i="1"/>
  <c r="BL49" i="1" s="1"/>
  <c r="BM49" i="1" s="1"/>
  <c r="BG49" i="1"/>
  <c r="BI49" i="1"/>
  <c r="U18" i="1"/>
  <c r="M22" i="1"/>
  <c r="K22" i="1"/>
  <c r="J22" i="1" s="1"/>
  <c r="AJ22" i="1"/>
  <c r="M23" i="1"/>
  <c r="L23" i="1"/>
  <c r="AY23" i="1" s="1"/>
  <c r="BA23" i="1" s="1"/>
  <c r="CW26" i="1"/>
  <c r="AX26" i="1" s="1"/>
  <c r="AZ26" i="1" s="1"/>
  <c r="U28" i="1"/>
  <c r="AZ28" i="1"/>
  <c r="AC29" i="1"/>
  <c r="M30" i="1"/>
  <c r="L30" i="1"/>
  <c r="AY30" i="1" s="1"/>
  <c r="BA30" i="1" s="1"/>
  <c r="K30" i="1"/>
  <c r="J30" i="1" s="1"/>
  <c r="AJ30" i="1"/>
  <c r="P30" i="1"/>
  <c r="M31" i="1"/>
  <c r="L31" i="1"/>
  <c r="AY31" i="1" s="1"/>
  <c r="BA31" i="1" s="1"/>
  <c r="AJ31" i="1"/>
  <c r="P32" i="1"/>
  <c r="L32" i="1"/>
  <c r="AY32" i="1" s="1"/>
  <c r="BA32" i="1" s="1"/>
  <c r="K32" i="1"/>
  <c r="J32" i="1" s="1"/>
  <c r="BA37" i="1"/>
  <c r="M39" i="1"/>
  <c r="L39" i="1"/>
  <c r="AY39" i="1" s="1"/>
  <c r="BA39" i="1" s="1"/>
  <c r="AJ39" i="1"/>
  <c r="P39" i="1"/>
  <c r="AC41" i="1"/>
  <c r="M47" i="1"/>
  <c r="L47" i="1"/>
  <c r="AY47" i="1" s="1"/>
  <c r="BA47" i="1" s="1"/>
  <c r="AJ47" i="1"/>
  <c r="K47" i="1"/>
  <c r="J47" i="1" s="1"/>
  <c r="V47" i="1" s="1"/>
  <c r="W47" i="1" s="1"/>
  <c r="CW54" i="1"/>
  <c r="AX54" i="1" s="1"/>
  <c r="AZ54" i="1" s="1"/>
  <c r="U54" i="1"/>
  <c r="CW66" i="1"/>
  <c r="AX66" i="1" s="1"/>
  <c r="AZ66" i="1" s="1"/>
  <c r="U66" i="1"/>
  <c r="BI26" i="1"/>
  <c r="V36" i="1"/>
  <c r="W36" i="1" s="1"/>
  <c r="BA40" i="1"/>
  <c r="BI40" i="1"/>
  <c r="BH40" i="1"/>
  <c r="BL40" i="1" s="1"/>
  <c r="BM40" i="1" s="1"/>
  <c r="CW42" i="1"/>
  <c r="AX42" i="1" s="1"/>
  <c r="AZ42" i="1" s="1"/>
  <c r="V43" i="1"/>
  <c r="W43" i="1" s="1"/>
  <c r="AD44" i="1"/>
  <c r="AZ49" i="1"/>
  <c r="BI51" i="1"/>
  <c r="BH51" i="1"/>
  <c r="BL51" i="1" s="1"/>
  <c r="BM51" i="1" s="1"/>
  <c r="BG51" i="1"/>
  <c r="P52" i="1"/>
  <c r="L52" i="1"/>
  <c r="AY52" i="1" s="1"/>
  <c r="BA52" i="1" s="1"/>
  <c r="K52" i="1"/>
  <c r="J52" i="1" s="1"/>
  <c r="BA53" i="1"/>
  <c r="Y55" i="1"/>
  <c r="AZ37" i="1"/>
  <c r="M42" i="1"/>
  <c r="L42" i="1"/>
  <c r="AY42" i="1" s="1"/>
  <c r="BA42" i="1" s="1"/>
  <c r="K42" i="1"/>
  <c r="J42" i="1" s="1"/>
  <c r="AJ42" i="1"/>
  <c r="P25" i="1"/>
  <c r="P29" i="1"/>
  <c r="P33" i="1"/>
  <c r="BI36" i="1"/>
  <c r="BH41" i="1"/>
  <c r="BL41" i="1" s="1"/>
  <c r="BM41" i="1" s="1"/>
  <c r="S45" i="1"/>
  <c r="Q45" i="1" s="1"/>
  <c r="T45" i="1" s="1"/>
  <c r="N45" i="1" s="1"/>
  <c r="O45" i="1" s="1"/>
  <c r="BI45" i="1"/>
  <c r="CW46" i="1"/>
  <c r="AX46" i="1" s="1"/>
  <c r="AZ46" i="1" s="1"/>
  <c r="M51" i="1"/>
  <c r="L51" i="1"/>
  <c r="AY51" i="1" s="1"/>
  <c r="BA51" i="1" s="1"/>
  <c r="AJ51" i="1"/>
  <c r="BI47" i="1"/>
  <c r="BH47" i="1"/>
  <c r="BL47" i="1" s="1"/>
  <c r="BM47" i="1" s="1"/>
  <c r="BG47" i="1"/>
  <c r="P48" i="1"/>
  <c r="L48" i="1"/>
  <c r="AY48" i="1" s="1"/>
  <c r="BA48" i="1" s="1"/>
  <c r="K48" i="1"/>
  <c r="J48" i="1" s="1"/>
  <c r="BG53" i="1"/>
  <c r="BI53" i="1"/>
  <c r="BI62" i="1"/>
  <c r="BH62" i="1"/>
  <c r="BL62" i="1" s="1"/>
  <c r="BM62" i="1" s="1"/>
  <c r="BG62" i="1"/>
  <c r="BG71" i="1"/>
  <c r="BI71" i="1"/>
  <c r="BH71" i="1"/>
  <c r="BL71" i="1" s="1"/>
  <c r="BM71" i="1" s="1"/>
  <c r="AD36" i="1"/>
  <c r="AD39" i="1"/>
  <c r="BI39" i="1"/>
  <c r="BH39" i="1"/>
  <c r="BL39" i="1" s="1"/>
  <c r="BM39" i="1" s="1"/>
  <c r="BG39" i="1"/>
  <c r="AZ40" i="1"/>
  <c r="AZ41" i="1"/>
  <c r="P42" i="1"/>
  <c r="BI43" i="1"/>
  <c r="BH43" i="1"/>
  <c r="BL43" i="1" s="1"/>
  <c r="BM43" i="1" s="1"/>
  <c r="BG43" i="1"/>
  <c r="M46" i="1"/>
  <c r="L46" i="1"/>
  <c r="AY46" i="1" s="1"/>
  <c r="BA46" i="1" s="1"/>
  <c r="K46" i="1"/>
  <c r="J46" i="1" s="1"/>
  <c r="AJ46" i="1"/>
  <c r="P46" i="1"/>
  <c r="M48" i="1"/>
  <c r="AC49" i="1"/>
  <c r="BH53" i="1"/>
  <c r="BL53" i="1" s="1"/>
  <c r="BM53" i="1" s="1"/>
  <c r="U26" i="1"/>
  <c r="U30" i="1"/>
  <c r="U34" i="1"/>
  <c r="K37" i="1"/>
  <c r="J37" i="1" s="1"/>
  <c r="AJ37" i="1"/>
  <c r="P37" i="1"/>
  <c r="CW38" i="1"/>
  <c r="AX38" i="1" s="1"/>
  <c r="AZ38" i="1" s="1"/>
  <c r="Y40" i="1"/>
  <c r="AD43" i="1"/>
  <c r="AZ45" i="1"/>
  <c r="AZ48" i="1"/>
  <c r="V51" i="1"/>
  <c r="W51" i="1" s="1"/>
  <c r="S51" i="1" s="1"/>
  <c r="Q51" i="1" s="1"/>
  <c r="T51" i="1" s="1"/>
  <c r="N51" i="1" s="1"/>
  <c r="O51" i="1" s="1"/>
  <c r="S53" i="1"/>
  <c r="Q53" i="1" s="1"/>
  <c r="T53" i="1" s="1"/>
  <c r="N53" i="1" s="1"/>
  <c r="O53" i="1" s="1"/>
  <c r="M56" i="1"/>
  <c r="K56" i="1"/>
  <c r="J56" i="1" s="1"/>
  <c r="L56" i="1"/>
  <c r="AY56" i="1" s="1"/>
  <c r="AJ56" i="1"/>
  <c r="K70" i="1"/>
  <c r="J70" i="1" s="1"/>
  <c r="AJ70" i="1"/>
  <c r="P70" i="1"/>
  <c r="M70" i="1"/>
  <c r="L70" i="1"/>
  <c r="AY70" i="1" s="1"/>
  <c r="BA70" i="1" s="1"/>
  <c r="BA71" i="1"/>
  <c r="BI56" i="1"/>
  <c r="BG56" i="1"/>
  <c r="BI57" i="1"/>
  <c r="BG57" i="1"/>
  <c r="BA58" i="1"/>
  <c r="CW58" i="1"/>
  <c r="AX58" i="1" s="1"/>
  <c r="AZ58" i="1" s="1"/>
  <c r="U58" i="1"/>
  <c r="AC62" i="1"/>
  <c r="BI69" i="1"/>
  <c r="BH69" i="1"/>
  <c r="BL69" i="1" s="1"/>
  <c r="BM69" i="1" s="1"/>
  <c r="BG69" i="1"/>
  <c r="X71" i="1"/>
  <c r="AB71" i="1" s="1"/>
  <c r="AE71" i="1"/>
  <c r="V53" i="1"/>
  <c r="W53" i="1" s="1"/>
  <c r="BG54" i="1"/>
  <c r="CW55" i="1"/>
  <c r="AX55" i="1" s="1"/>
  <c r="U55" i="1"/>
  <c r="BH56" i="1"/>
  <c r="BL56" i="1" s="1"/>
  <c r="BM56" i="1" s="1"/>
  <c r="BA57" i="1"/>
  <c r="BH57" i="1"/>
  <c r="BL57" i="1" s="1"/>
  <c r="BM57" i="1" s="1"/>
  <c r="CW59" i="1"/>
  <c r="AX59" i="1" s="1"/>
  <c r="AZ59" i="1" s="1"/>
  <c r="CW62" i="1"/>
  <c r="AX62" i="1" s="1"/>
  <c r="AZ62" i="1" s="1"/>
  <c r="U62" i="1"/>
  <c r="BA66" i="1"/>
  <c r="AF71" i="1"/>
  <c r="P41" i="1"/>
  <c r="BH44" i="1"/>
  <c r="BL44" i="1" s="1"/>
  <c r="BM44" i="1" s="1"/>
  <c r="P45" i="1"/>
  <c r="BH48" i="1"/>
  <c r="BL48" i="1" s="1"/>
  <c r="BM48" i="1" s="1"/>
  <c r="P49" i="1"/>
  <c r="BH52" i="1"/>
  <c r="BL52" i="1" s="1"/>
  <c r="BM52" i="1" s="1"/>
  <c r="P57" i="1"/>
  <c r="M57" i="1"/>
  <c r="K57" i="1"/>
  <c r="J57" i="1" s="1"/>
  <c r="AC59" i="1"/>
  <c r="M67" i="1"/>
  <c r="L67" i="1"/>
  <c r="AY67" i="1" s="1"/>
  <c r="BA67" i="1" s="1"/>
  <c r="K67" i="1"/>
  <c r="J67" i="1" s="1"/>
  <c r="AJ67" i="1"/>
  <c r="P67" i="1"/>
  <c r="BI70" i="1"/>
  <c r="BH70" i="1"/>
  <c r="BL70" i="1" s="1"/>
  <c r="BM70" i="1" s="1"/>
  <c r="BG70" i="1"/>
  <c r="BG55" i="1"/>
  <c r="BI55" i="1"/>
  <c r="AC58" i="1"/>
  <c r="BI58" i="1"/>
  <c r="BG58" i="1"/>
  <c r="P61" i="1"/>
  <c r="M61" i="1"/>
  <c r="L61" i="1"/>
  <c r="AY61" i="1" s="1"/>
  <c r="BA61" i="1" s="1"/>
  <c r="K61" i="1"/>
  <c r="J61" i="1" s="1"/>
  <c r="BA63" i="1"/>
  <c r="BG67" i="1"/>
  <c r="BI67" i="1"/>
  <c r="AD71" i="1"/>
  <c r="AJ41" i="1"/>
  <c r="AJ45" i="1"/>
  <c r="AJ49" i="1"/>
  <c r="BH55" i="1"/>
  <c r="BL55" i="1" s="1"/>
  <c r="BM55" i="1" s="1"/>
  <c r="CW56" i="1"/>
  <c r="AX56" i="1" s="1"/>
  <c r="AZ56" i="1" s="1"/>
  <c r="U56" i="1"/>
  <c r="CW57" i="1"/>
  <c r="AX57" i="1" s="1"/>
  <c r="AZ57" i="1" s="1"/>
  <c r="U57" i="1"/>
  <c r="BH58" i="1"/>
  <c r="BL58" i="1" s="1"/>
  <c r="BM58" i="1" s="1"/>
  <c r="BA59" i="1"/>
  <c r="M60" i="1"/>
  <c r="K60" i="1"/>
  <c r="J60" i="1" s="1"/>
  <c r="AJ60" i="1"/>
  <c r="P65" i="1"/>
  <c r="M65" i="1"/>
  <c r="L65" i="1"/>
  <c r="AY65" i="1" s="1"/>
  <c r="BA65" i="1" s="1"/>
  <c r="K65" i="1"/>
  <c r="J65" i="1" s="1"/>
  <c r="U38" i="1"/>
  <c r="U42" i="1"/>
  <c r="U46" i="1"/>
  <c r="U50" i="1"/>
  <c r="P55" i="1"/>
  <c r="BI60" i="1"/>
  <c r="BH60" i="1"/>
  <c r="BL60" i="1" s="1"/>
  <c r="BM60" i="1" s="1"/>
  <c r="BG60" i="1"/>
  <c r="BI65" i="1"/>
  <c r="BH65" i="1"/>
  <c r="BL65" i="1" s="1"/>
  <c r="BM65" i="1" s="1"/>
  <c r="BG65" i="1"/>
  <c r="BA68" i="1"/>
  <c r="CW70" i="1"/>
  <c r="AX70" i="1" s="1"/>
  <c r="AZ70" i="1" s="1"/>
  <c r="U70" i="1"/>
  <c r="V72" i="1"/>
  <c r="W72" i="1" s="1"/>
  <c r="M58" i="1"/>
  <c r="BI59" i="1"/>
  <c r="BI63" i="1"/>
  <c r="AC66" i="1"/>
  <c r="AJ72" i="1"/>
  <c r="U61" i="1"/>
  <c r="BG61" i="1"/>
  <c r="U65" i="1"/>
  <c r="K68" i="1"/>
  <c r="J68" i="1" s="1"/>
  <c r="U69" i="1"/>
  <c r="K72" i="1"/>
  <c r="J72" i="1" s="1"/>
  <c r="L72" i="1"/>
  <c r="AY72" i="1" s="1"/>
  <c r="BA72" i="1" s="1"/>
  <c r="U60" i="1"/>
  <c r="K63" i="1"/>
  <c r="J63" i="1" s="1"/>
  <c r="U64" i="1"/>
  <c r="BG64" i="1"/>
  <c r="U68" i="1"/>
  <c r="BG68" i="1"/>
  <c r="S71" i="1"/>
  <c r="Q71" i="1" s="1"/>
  <c r="T71" i="1" s="1"/>
  <c r="N71" i="1" s="1"/>
  <c r="O71" i="1" s="1"/>
  <c r="BH64" i="1"/>
  <c r="BL64" i="1" s="1"/>
  <c r="BM64" i="1" s="1"/>
  <c r="BH68" i="1"/>
  <c r="BL68" i="1" s="1"/>
  <c r="BM68" i="1" s="1"/>
  <c r="U59" i="1"/>
  <c r="U63" i="1"/>
  <c r="U67" i="1"/>
  <c r="AE47" i="1" l="1"/>
  <c r="X47" i="1"/>
  <c r="AB47" i="1" s="1"/>
  <c r="AD47" i="1"/>
  <c r="AC72" i="1"/>
  <c r="S72" i="1"/>
  <c r="Q72" i="1" s="1"/>
  <c r="T72" i="1" s="1"/>
  <c r="N72" i="1" s="1"/>
  <c r="O72" i="1" s="1"/>
  <c r="V56" i="1"/>
  <c r="W56" i="1" s="1"/>
  <c r="AC57" i="1"/>
  <c r="AC56" i="1"/>
  <c r="V30" i="1"/>
  <c r="W30" i="1" s="1"/>
  <c r="S30" i="1" s="1"/>
  <c r="Q30" i="1" s="1"/>
  <c r="T30" i="1" s="1"/>
  <c r="N30" i="1" s="1"/>
  <c r="O30" i="1" s="1"/>
  <c r="AC46" i="1"/>
  <c r="AC48" i="1"/>
  <c r="V54" i="1"/>
  <c r="W54" i="1" s="1"/>
  <c r="AC22" i="1"/>
  <c r="S22" i="1"/>
  <c r="Q22" i="1" s="1"/>
  <c r="T22" i="1" s="1"/>
  <c r="N22" i="1" s="1"/>
  <c r="O22" i="1" s="1"/>
  <c r="V25" i="1"/>
  <c r="W25" i="1" s="1"/>
  <c r="AC38" i="1"/>
  <c r="V27" i="1"/>
  <c r="W27" i="1" s="1"/>
  <c r="AC27" i="1"/>
  <c r="S27" i="1"/>
  <c r="Q27" i="1" s="1"/>
  <c r="T27" i="1" s="1"/>
  <c r="N27" i="1" s="1"/>
  <c r="O27" i="1" s="1"/>
  <c r="V58" i="1"/>
  <c r="W58" i="1" s="1"/>
  <c r="V26" i="1"/>
  <c r="W26" i="1" s="1"/>
  <c r="V35" i="1"/>
  <c r="W35" i="1" s="1"/>
  <c r="V68" i="1"/>
  <c r="W68" i="1" s="1"/>
  <c r="S68" i="1" s="1"/>
  <c r="Q68" i="1" s="1"/>
  <c r="T68" i="1" s="1"/>
  <c r="N68" i="1" s="1"/>
  <c r="O68" i="1" s="1"/>
  <c r="AC68" i="1"/>
  <c r="V46" i="1"/>
  <c r="W46" i="1" s="1"/>
  <c r="S46" i="1" s="1"/>
  <c r="Q46" i="1" s="1"/>
  <c r="T46" i="1" s="1"/>
  <c r="N46" i="1" s="1"/>
  <c r="O46" i="1" s="1"/>
  <c r="AC60" i="1"/>
  <c r="AC61" i="1"/>
  <c r="S61" i="1"/>
  <c r="Q61" i="1" s="1"/>
  <c r="T61" i="1" s="1"/>
  <c r="N61" i="1" s="1"/>
  <c r="O61" i="1" s="1"/>
  <c r="V55" i="1"/>
  <c r="W55" i="1" s="1"/>
  <c r="V18" i="1"/>
  <c r="W18" i="1" s="1"/>
  <c r="V49" i="1"/>
  <c r="W49" i="1" s="1"/>
  <c r="AC28" i="1"/>
  <c r="V22" i="1"/>
  <c r="W22" i="1" s="1"/>
  <c r="AZ25" i="1"/>
  <c r="V33" i="1"/>
  <c r="W33" i="1" s="1"/>
  <c r="BA34" i="1"/>
  <c r="AC26" i="1"/>
  <c r="S26" i="1"/>
  <c r="Q26" i="1" s="1"/>
  <c r="T26" i="1" s="1"/>
  <c r="N26" i="1" s="1"/>
  <c r="O26" i="1" s="1"/>
  <c r="AC34" i="1"/>
  <c r="V67" i="1"/>
  <c r="W67" i="1" s="1"/>
  <c r="V65" i="1"/>
  <c r="W65" i="1" s="1"/>
  <c r="V42" i="1"/>
  <c r="W42" i="1" s="1"/>
  <c r="AC67" i="1"/>
  <c r="AZ55" i="1"/>
  <c r="BA55" i="1"/>
  <c r="AC47" i="1"/>
  <c r="S47" i="1"/>
  <c r="Q47" i="1" s="1"/>
  <c r="T47" i="1" s="1"/>
  <c r="N47" i="1" s="1"/>
  <c r="O47" i="1" s="1"/>
  <c r="V28" i="1"/>
  <c r="W28" i="1" s="1"/>
  <c r="AE31" i="1"/>
  <c r="AF31" i="1" s="1"/>
  <c r="X31" i="1"/>
  <c r="AB31" i="1" s="1"/>
  <c r="S31" i="1"/>
  <c r="Q31" i="1" s="1"/>
  <c r="T31" i="1" s="1"/>
  <c r="N31" i="1" s="1"/>
  <c r="O31" i="1" s="1"/>
  <c r="X45" i="1"/>
  <c r="AB45" i="1" s="1"/>
  <c r="AD45" i="1"/>
  <c r="AE45" i="1"/>
  <c r="AF45" i="1" s="1"/>
  <c r="BA38" i="1"/>
  <c r="X40" i="1"/>
  <c r="AB40" i="1" s="1"/>
  <c r="AE40" i="1"/>
  <c r="AF40" i="1" s="1"/>
  <c r="BA26" i="1"/>
  <c r="AC44" i="1"/>
  <c r="S44" i="1"/>
  <c r="Q44" i="1" s="1"/>
  <c r="T44" i="1" s="1"/>
  <c r="N44" i="1" s="1"/>
  <c r="O44" i="1" s="1"/>
  <c r="BA22" i="1"/>
  <c r="V63" i="1"/>
  <c r="W63" i="1" s="1"/>
  <c r="V64" i="1"/>
  <c r="W64" i="1" s="1"/>
  <c r="AE72" i="1"/>
  <c r="X72" i="1"/>
  <c r="AB72" i="1" s="1"/>
  <c r="V38" i="1"/>
  <c r="W38" i="1" s="1"/>
  <c r="AD72" i="1"/>
  <c r="V62" i="1"/>
  <c r="W62" i="1" s="1"/>
  <c r="BA54" i="1"/>
  <c r="X36" i="1"/>
  <c r="AB36" i="1" s="1"/>
  <c r="AE36" i="1"/>
  <c r="AF36" i="1" s="1"/>
  <c r="V48" i="1"/>
  <c r="W48" i="1" s="1"/>
  <c r="AE23" i="1"/>
  <c r="AF23" i="1" s="1"/>
  <c r="X23" i="1"/>
  <c r="AB23" i="1" s="1"/>
  <c r="V41" i="1"/>
  <c r="W41" i="1" s="1"/>
  <c r="AZ33" i="1"/>
  <c r="AE19" i="1"/>
  <c r="AD19" i="1"/>
  <c r="X19" i="1"/>
  <c r="AB19" i="1" s="1"/>
  <c r="X20" i="1"/>
  <c r="AB20" i="1" s="1"/>
  <c r="AE20" i="1"/>
  <c r="V59" i="1"/>
  <c r="W59" i="1" s="1"/>
  <c r="S70" i="1"/>
  <c r="Q70" i="1" s="1"/>
  <c r="T70" i="1" s="1"/>
  <c r="N70" i="1" s="1"/>
  <c r="O70" i="1" s="1"/>
  <c r="AC70" i="1"/>
  <c r="AE51" i="1"/>
  <c r="X51" i="1"/>
  <c r="AB51" i="1" s="1"/>
  <c r="AC52" i="1"/>
  <c r="AC32" i="1"/>
  <c r="AC30" i="1"/>
  <c r="AE24" i="1"/>
  <c r="AF24" i="1" s="1"/>
  <c r="X24" i="1"/>
  <c r="AB24" i="1" s="1"/>
  <c r="AC43" i="1"/>
  <c r="S43" i="1"/>
  <c r="Q43" i="1" s="1"/>
  <c r="T43" i="1" s="1"/>
  <c r="N43" i="1" s="1"/>
  <c r="O43" i="1" s="1"/>
  <c r="S36" i="1"/>
  <c r="Q36" i="1" s="1"/>
  <c r="T36" i="1" s="1"/>
  <c r="N36" i="1" s="1"/>
  <c r="O36" i="1" s="1"/>
  <c r="V17" i="1"/>
  <c r="W17" i="1" s="1"/>
  <c r="V69" i="1"/>
  <c r="W69" i="1" s="1"/>
  <c r="AC63" i="1"/>
  <c r="S63" i="1"/>
  <c r="Q63" i="1" s="1"/>
  <c r="T63" i="1" s="1"/>
  <c r="N63" i="1" s="1"/>
  <c r="O63" i="1" s="1"/>
  <c r="AC65" i="1"/>
  <c r="S65" i="1"/>
  <c r="Q65" i="1" s="1"/>
  <c r="T65" i="1" s="1"/>
  <c r="N65" i="1" s="1"/>
  <c r="O65" i="1" s="1"/>
  <c r="V60" i="1"/>
  <c r="W60" i="1" s="1"/>
  <c r="V61" i="1"/>
  <c r="W61" i="1" s="1"/>
  <c r="V57" i="1"/>
  <c r="W57" i="1" s="1"/>
  <c r="X53" i="1"/>
  <c r="AB53" i="1" s="1"/>
  <c r="AD53" i="1"/>
  <c r="AE53" i="1"/>
  <c r="AF53" i="1" s="1"/>
  <c r="S37" i="1"/>
  <c r="Q37" i="1" s="1"/>
  <c r="T37" i="1" s="1"/>
  <c r="N37" i="1" s="1"/>
  <c r="O37" i="1" s="1"/>
  <c r="AC37" i="1"/>
  <c r="V52" i="1"/>
  <c r="W52" i="1" s="1"/>
  <c r="AC42" i="1"/>
  <c r="AE43" i="1"/>
  <c r="AF43" i="1" s="1"/>
  <c r="X43" i="1"/>
  <c r="AB43" i="1" s="1"/>
  <c r="V66" i="1"/>
  <c r="W66" i="1" s="1"/>
  <c r="AD31" i="1"/>
  <c r="S23" i="1"/>
  <c r="Q23" i="1" s="1"/>
  <c r="T23" i="1" s="1"/>
  <c r="N23" i="1" s="1"/>
  <c r="O23" i="1" s="1"/>
  <c r="V37" i="1"/>
  <c r="W37" i="1" s="1"/>
  <c r="S40" i="1"/>
  <c r="Q40" i="1" s="1"/>
  <c r="T40" i="1" s="1"/>
  <c r="N40" i="1" s="1"/>
  <c r="O40" i="1" s="1"/>
  <c r="AC19" i="1"/>
  <c r="S19" i="1"/>
  <c r="Q19" i="1" s="1"/>
  <c r="T19" i="1" s="1"/>
  <c r="N19" i="1" s="1"/>
  <c r="O19" i="1" s="1"/>
  <c r="V50" i="1"/>
  <c r="W50" i="1" s="1"/>
  <c r="S50" i="1" s="1"/>
  <c r="Q50" i="1" s="1"/>
  <c r="T50" i="1" s="1"/>
  <c r="N50" i="1" s="1"/>
  <c r="O50" i="1" s="1"/>
  <c r="V70" i="1"/>
  <c r="W70" i="1" s="1"/>
  <c r="BA62" i="1"/>
  <c r="BA56" i="1"/>
  <c r="V34" i="1"/>
  <c r="W34" i="1" s="1"/>
  <c r="S34" i="1" s="1"/>
  <c r="Q34" i="1" s="1"/>
  <c r="T34" i="1" s="1"/>
  <c r="N34" i="1" s="1"/>
  <c r="O34" i="1" s="1"/>
  <c r="AD51" i="1"/>
  <c r="X44" i="1"/>
  <c r="AB44" i="1" s="1"/>
  <c r="AE44" i="1"/>
  <c r="AC50" i="1"/>
  <c r="AE39" i="1"/>
  <c r="AF39" i="1" s="1"/>
  <c r="X39" i="1"/>
  <c r="AB39" i="1" s="1"/>
  <c r="V29" i="1"/>
  <c r="W29" i="1" s="1"/>
  <c r="AC69" i="1"/>
  <c r="V32" i="1"/>
  <c r="W32" i="1" s="1"/>
  <c r="AC18" i="1"/>
  <c r="S39" i="1"/>
  <c r="Q39" i="1" s="1"/>
  <c r="T39" i="1" s="1"/>
  <c r="N39" i="1" s="1"/>
  <c r="O39" i="1" s="1"/>
  <c r="AC20" i="1"/>
  <c r="S20" i="1"/>
  <c r="Q20" i="1" s="1"/>
  <c r="T20" i="1" s="1"/>
  <c r="N20" i="1" s="1"/>
  <c r="O20" i="1" s="1"/>
  <c r="AE58" i="1" l="1"/>
  <c r="X58" i="1"/>
  <c r="AB58" i="1" s="1"/>
  <c r="AD58" i="1"/>
  <c r="S58" i="1"/>
  <c r="Q58" i="1" s="1"/>
  <c r="T58" i="1" s="1"/>
  <c r="N58" i="1" s="1"/>
  <c r="O58" i="1" s="1"/>
  <c r="X48" i="1"/>
  <c r="AB48" i="1" s="1"/>
  <c r="AE48" i="1"/>
  <c r="AD48" i="1"/>
  <c r="AD18" i="1"/>
  <c r="X18" i="1"/>
  <c r="AB18" i="1" s="1"/>
  <c r="AE18" i="1"/>
  <c r="X61" i="1"/>
  <c r="AB61" i="1" s="1"/>
  <c r="AE61" i="1"/>
  <c r="AF61" i="1" s="1"/>
  <c r="AD61" i="1"/>
  <c r="AE26" i="1"/>
  <c r="X26" i="1"/>
  <c r="AB26" i="1" s="1"/>
  <c r="AD26" i="1"/>
  <c r="X25" i="1"/>
  <c r="AB25" i="1" s="1"/>
  <c r="AE25" i="1"/>
  <c r="AF25" i="1" s="1"/>
  <c r="AD25" i="1"/>
  <c r="S25" i="1"/>
  <c r="Q25" i="1" s="1"/>
  <c r="T25" i="1" s="1"/>
  <c r="N25" i="1" s="1"/>
  <c r="O25" i="1" s="1"/>
  <c r="AE56" i="1"/>
  <c r="AF56" i="1" s="1"/>
  <c r="X56" i="1"/>
  <c r="AB56" i="1" s="1"/>
  <c r="AD56" i="1"/>
  <c r="X50" i="1"/>
  <c r="AB50" i="1" s="1"/>
  <c r="AE50" i="1"/>
  <c r="AD50" i="1"/>
  <c r="X37" i="1"/>
  <c r="AB37" i="1" s="1"/>
  <c r="AE37" i="1"/>
  <c r="AF37" i="1" s="1"/>
  <c r="AD37" i="1"/>
  <c r="X67" i="1"/>
  <c r="AB67" i="1" s="1"/>
  <c r="AE67" i="1"/>
  <c r="AD67" i="1"/>
  <c r="X46" i="1"/>
  <c r="AB46" i="1" s="1"/>
  <c r="AE46" i="1"/>
  <c r="AD46" i="1"/>
  <c r="S48" i="1"/>
  <c r="Q48" i="1" s="1"/>
  <c r="T48" i="1" s="1"/>
  <c r="N48" i="1" s="1"/>
  <c r="O48" i="1" s="1"/>
  <c r="X32" i="1"/>
  <c r="AB32" i="1" s="1"/>
  <c r="AE32" i="1"/>
  <c r="AD32" i="1"/>
  <c r="X70" i="1"/>
  <c r="AB70" i="1" s="1"/>
  <c r="AE70" i="1"/>
  <c r="AF70" i="1" s="1"/>
  <c r="AD70" i="1"/>
  <c r="X52" i="1"/>
  <c r="AB52" i="1" s="1"/>
  <c r="AE52" i="1"/>
  <c r="AF52" i="1" s="1"/>
  <c r="AD52" i="1"/>
  <c r="X69" i="1"/>
  <c r="AB69" i="1" s="1"/>
  <c r="AE69" i="1"/>
  <c r="AD69" i="1"/>
  <c r="AF51" i="1"/>
  <c r="S69" i="1"/>
  <c r="Q69" i="1" s="1"/>
  <c r="T69" i="1" s="1"/>
  <c r="N69" i="1" s="1"/>
  <c r="O69" i="1" s="1"/>
  <c r="AF44" i="1"/>
  <c r="AF19" i="1"/>
  <c r="AF72" i="1"/>
  <c r="S67" i="1"/>
  <c r="Q67" i="1" s="1"/>
  <c r="T67" i="1" s="1"/>
  <c r="N67" i="1" s="1"/>
  <c r="O67" i="1" s="1"/>
  <c r="X22" i="1"/>
  <c r="AB22" i="1" s="1"/>
  <c r="AE22" i="1"/>
  <c r="AF22" i="1" s="1"/>
  <c r="AD22" i="1"/>
  <c r="X17" i="1"/>
  <c r="AB17" i="1" s="1"/>
  <c r="AE17" i="1"/>
  <c r="S17" i="1"/>
  <c r="Q17" i="1" s="1"/>
  <c r="T17" i="1" s="1"/>
  <c r="N17" i="1" s="1"/>
  <c r="O17" i="1" s="1"/>
  <c r="AD17" i="1"/>
  <c r="AE55" i="1"/>
  <c r="AF55" i="1" s="1"/>
  <c r="X55" i="1"/>
  <c r="AB55" i="1" s="1"/>
  <c r="S55" i="1"/>
  <c r="Q55" i="1" s="1"/>
  <c r="T55" i="1" s="1"/>
  <c r="N55" i="1" s="1"/>
  <c r="O55" i="1" s="1"/>
  <c r="AD55" i="1"/>
  <c r="X30" i="1"/>
  <c r="AB30" i="1" s="1"/>
  <c r="AE30" i="1"/>
  <c r="AD30" i="1"/>
  <c r="X29" i="1"/>
  <c r="AB29" i="1" s="1"/>
  <c r="AE29" i="1"/>
  <c r="AF29" i="1" s="1"/>
  <c r="AD29" i="1"/>
  <c r="S29" i="1"/>
  <c r="Q29" i="1" s="1"/>
  <c r="T29" i="1" s="1"/>
  <c r="N29" i="1" s="1"/>
  <c r="O29" i="1" s="1"/>
  <c r="X59" i="1"/>
  <c r="AB59" i="1" s="1"/>
  <c r="AE59" i="1"/>
  <c r="S59" i="1"/>
  <c r="Q59" i="1" s="1"/>
  <c r="T59" i="1" s="1"/>
  <c r="N59" i="1" s="1"/>
  <c r="O59" i="1" s="1"/>
  <c r="AD59" i="1"/>
  <c r="AE64" i="1"/>
  <c r="X64" i="1"/>
  <c r="AB64" i="1" s="1"/>
  <c r="S64" i="1"/>
  <c r="Q64" i="1" s="1"/>
  <c r="T64" i="1" s="1"/>
  <c r="N64" i="1" s="1"/>
  <c r="O64" i="1" s="1"/>
  <c r="AD64" i="1"/>
  <c r="X28" i="1"/>
  <c r="AB28" i="1" s="1"/>
  <c r="AE28" i="1"/>
  <c r="AD28" i="1"/>
  <c r="AD42" i="1"/>
  <c r="X42" i="1"/>
  <c r="AB42" i="1" s="1"/>
  <c r="AE42" i="1"/>
  <c r="X34" i="1"/>
  <c r="AB34" i="1" s="1"/>
  <c r="AE34" i="1"/>
  <c r="AF34" i="1" s="1"/>
  <c r="AD34" i="1"/>
  <c r="S32" i="1"/>
  <c r="Q32" i="1" s="1"/>
  <c r="T32" i="1" s="1"/>
  <c r="N32" i="1" s="1"/>
  <c r="O32" i="1" s="1"/>
  <c r="X63" i="1"/>
  <c r="AB63" i="1" s="1"/>
  <c r="AE63" i="1"/>
  <c r="AF63" i="1" s="1"/>
  <c r="AD63" i="1"/>
  <c r="S28" i="1"/>
  <c r="Q28" i="1" s="1"/>
  <c r="T28" i="1" s="1"/>
  <c r="N28" i="1" s="1"/>
  <c r="O28" i="1" s="1"/>
  <c r="AE68" i="1"/>
  <c r="AF68" i="1" s="1"/>
  <c r="X68" i="1"/>
  <c r="AB68" i="1" s="1"/>
  <c r="AD68" i="1"/>
  <c r="X54" i="1"/>
  <c r="AB54" i="1" s="1"/>
  <c r="AE54" i="1"/>
  <c r="AF54" i="1" s="1"/>
  <c r="S54" i="1"/>
  <c r="Q54" i="1" s="1"/>
  <c r="T54" i="1" s="1"/>
  <c r="N54" i="1" s="1"/>
  <c r="O54" i="1" s="1"/>
  <c r="AD54" i="1"/>
  <c r="S56" i="1"/>
  <c r="Q56" i="1" s="1"/>
  <c r="T56" i="1" s="1"/>
  <c r="N56" i="1" s="1"/>
  <c r="O56" i="1" s="1"/>
  <c r="AE60" i="1"/>
  <c r="AF60" i="1" s="1"/>
  <c r="X60" i="1"/>
  <c r="AB60" i="1" s="1"/>
  <c r="AD60" i="1"/>
  <c r="X41" i="1"/>
  <c r="AB41" i="1" s="1"/>
  <c r="AE41" i="1"/>
  <c r="AD41" i="1"/>
  <c r="S41" i="1"/>
  <c r="Q41" i="1" s="1"/>
  <c r="T41" i="1" s="1"/>
  <c r="N41" i="1" s="1"/>
  <c r="O41" i="1" s="1"/>
  <c r="AF20" i="1"/>
  <c r="X65" i="1"/>
  <c r="AB65" i="1" s="1"/>
  <c r="AE65" i="1"/>
  <c r="AF65" i="1" s="1"/>
  <c r="AD65" i="1"/>
  <c r="X49" i="1"/>
  <c r="AB49" i="1" s="1"/>
  <c r="AD49" i="1"/>
  <c r="AE49" i="1"/>
  <c r="AF49" i="1" s="1"/>
  <c r="S49" i="1"/>
  <c r="Q49" i="1" s="1"/>
  <c r="T49" i="1" s="1"/>
  <c r="N49" i="1" s="1"/>
  <c r="O49" i="1" s="1"/>
  <c r="S60" i="1"/>
  <c r="Q60" i="1" s="1"/>
  <c r="T60" i="1" s="1"/>
  <c r="N60" i="1" s="1"/>
  <c r="O60" i="1" s="1"/>
  <c r="AE27" i="1"/>
  <c r="AF27" i="1" s="1"/>
  <c r="X27" i="1"/>
  <c r="AB27" i="1" s="1"/>
  <c r="AD27" i="1"/>
  <c r="X66" i="1"/>
  <c r="AB66" i="1" s="1"/>
  <c r="AE66" i="1"/>
  <c r="AD66" i="1"/>
  <c r="S66" i="1"/>
  <c r="Q66" i="1" s="1"/>
  <c r="T66" i="1" s="1"/>
  <c r="N66" i="1" s="1"/>
  <c r="O66" i="1" s="1"/>
  <c r="X62" i="1"/>
  <c r="AB62" i="1" s="1"/>
  <c r="AE62" i="1"/>
  <c r="AD62" i="1"/>
  <c r="S62" i="1"/>
  <c r="Q62" i="1" s="1"/>
  <c r="T62" i="1" s="1"/>
  <c r="N62" i="1" s="1"/>
  <c r="O62" i="1" s="1"/>
  <c r="S18" i="1"/>
  <c r="Q18" i="1" s="1"/>
  <c r="T18" i="1" s="1"/>
  <c r="N18" i="1" s="1"/>
  <c r="O18" i="1" s="1"/>
  <c r="S42" i="1"/>
  <c r="Q42" i="1" s="1"/>
  <c r="T42" i="1" s="1"/>
  <c r="N42" i="1" s="1"/>
  <c r="O42" i="1" s="1"/>
  <c r="X57" i="1"/>
  <c r="AB57" i="1" s="1"/>
  <c r="AE57" i="1"/>
  <c r="AF57" i="1" s="1"/>
  <c r="AD57" i="1"/>
  <c r="S52" i="1"/>
  <c r="Q52" i="1" s="1"/>
  <c r="T52" i="1" s="1"/>
  <c r="N52" i="1" s="1"/>
  <c r="O52" i="1" s="1"/>
  <c r="AE38" i="1"/>
  <c r="AF38" i="1" s="1"/>
  <c r="AD38" i="1"/>
  <c r="X38" i="1"/>
  <c r="AB38" i="1" s="1"/>
  <c r="X33" i="1"/>
  <c r="AB33" i="1" s="1"/>
  <c r="AD33" i="1"/>
  <c r="AE33" i="1"/>
  <c r="S33" i="1"/>
  <c r="Q33" i="1" s="1"/>
  <c r="T33" i="1" s="1"/>
  <c r="N33" i="1" s="1"/>
  <c r="O33" i="1" s="1"/>
  <c r="AE35" i="1"/>
  <c r="AF35" i="1" s="1"/>
  <c r="X35" i="1"/>
  <c r="AB35" i="1" s="1"/>
  <c r="S35" i="1"/>
  <c r="Q35" i="1" s="1"/>
  <c r="T35" i="1" s="1"/>
  <c r="N35" i="1" s="1"/>
  <c r="O35" i="1" s="1"/>
  <c r="AD35" i="1"/>
  <c r="S38" i="1"/>
  <c r="Q38" i="1" s="1"/>
  <c r="T38" i="1" s="1"/>
  <c r="N38" i="1" s="1"/>
  <c r="O38" i="1" s="1"/>
  <c r="S57" i="1"/>
  <c r="Q57" i="1" s="1"/>
  <c r="T57" i="1" s="1"/>
  <c r="N57" i="1" s="1"/>
  <c r="O57" i="1" s="1"/>
  <c r="AF47" i="1"/>
  <c r="AF62" i="1" l="1"/>
  <c r="AF69" i="1"/>
  <c r="AF67" i="1"/>
  <c r="AF42" i="1"/>
  <c r="AF32" i="1"/>
  <c r="AF26" i="1"/>
  <c r="AF48" i="1"/>
  <c r="AF33" i="1"/>
  <c r="AF64" i="1"/>
  <c r="AF66" i="1"/>
  <c r="AF41" i="1"/>
  <c r="AF30" i="1"/>
  <c r="AF17" i="1"/>
  <c r="AF28" i="1"/>
  <c r="AF59" i="1"/>
  <c r="AF46" i="1"/>
  <c r="AF18" i="1"/>
  <c r="AF50" i="1"/>
  <c r="AF58" i="1"/>
</calcChain>
</file>

<file path=xl/sharedStrings.xml><?xml version="1.0" encoding="utf-8"?>
<sst xmlns="http://schemas.openxmlformats.org/spreadsheetml/2006/main" count="1836" uniqueCount="659">
  <si>
    <t>File opened</t>
  </si>
  <si>
    <t>2023-11-17 09:26:52</t>
  </si>
  <si>
    <t>Console s/n</t>
  </si>
  <si>
    <t>68C-831537</t>
  </si>
  <si>
    <t>Console ver</t>
  </si>
  <si>
    <t>Bluestem v.2.1.08</t>
  </si>
  <si>
    <t>Scripts ver</t>
  </si>
  <si>
    <t>2022.05  2.1.08, Aug 2022</t>
  </si>
  <si>
    <t>Head s/n</t>
  </si>
  <si>
    <t>68H-891537</t>
  </si>
  <si>
    <t>Head ver</t>
  </si>
  <si>
    <t>1.4.22</t>
  </si>
  <si>
    <t>Head cal</t>
  </si>
  <si>
    <t>{"oxygen": "21", "co2azero": "0.988605", "co2aspan1": "0.998891", "co2aspan2": "-0.0224022", "co2aspan2a": "0.283421", "co2aspan2b": "0.281308", "co2aspanconc1": "2490", "co2aspanconc2": "303.6", "co2bzero": "1.00621", "co2bspan1": "0.998779", "co2bspan2": "-0.0221525", "co2bspan2a": "0.283276", "co2bspan2b": "0.281153", "co2bspanconc1": "2490", "co2bspanconc2": "303.6", "h2oazero": "1.10644", "h2oaspan1": "0.996778", "h2oaspan2": "0", "h2oaspan2a": "0.066342", "h2oaspan2b": "0.0661282", "h2oaspanconc1": "12.55", "h2oaspanconc2": "0", "h2obzero": "1.10958", "h2obspan1": "0.99674", "h2obspan2": "0", "h2obspan2a": "0.066461", "h2obspan2b": "0.0662443", "h2obspanconc1": "12.55", "h2obspanconc2": "0", "tazero": "0.0313568", "tbzero": "0.00360489", "flowmeterzero": "0.998614", "flowazero": "0.32931", "flowbzero": "0.38664", "chamberpressurezero": "2.61843", "ssa_ref": "31195.9", "ssb_ref": "32453.3"}</t>
  </si>
  <si>
    <t>CO2 rangematch</t>
  </si>
  <si>
    <t>Fri Nov 10 09:36</t>
  </si>
  <si>
    <t>H2O rangematch</t>
  </si>
  <si>
    <t>Fri Nov 10 09:42</t>
  </si>
  <si>
    <t>Chamber type</t>
  </si>
  <si>
    <t>6800-01A</t>
  </si>
  <si>
    <t>Chamber s/n</t>
  </si>
  <si>
    <t>MPF-651432</t>
  </si>
  <si>
    <t>Chamber rev</t>
  </si>
  <si>
    <t>0</t>
  </si>
  <si>
    <t>Chamber cal</t>
  </si>
  <si>
    <t>Fluorometer</t>
  </si>
  <si>
    <t>Flr. Version</t>
  </si>
  <si>
    <t>09:26:52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</si>
  <si>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</si>
  <si>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</si>
  <si>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</si>
  <si>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</si>
  <si>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</si>
  <si>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</si>
  <si>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</si>
  <si>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</si>
  <si>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</si>
  <si>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</si>
  <si>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</si>
  <si>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</si>
  <si>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</si>
  <si>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</si>
  <si>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</si>
  <si>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</si>
  <si>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</si>
  <si>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</si>
  <si>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</si>
  <si>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</si>
  <si>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</si>
  <si>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</si>
  <si>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</si>
  <si>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</si>
  <si>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</si>
  <si>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</si>
  <si>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</si>
  <si>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</si>
  <si>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</si>
  <si>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</si>
  <si>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</si>
  <si>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</si>
  <si>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</si>
  <si>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</si>
  <si>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</si>
  <si>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</si>
  <si>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</si>
  <si>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</si>
  <si>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</si>
  <si>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</si>
  <si>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</si>
  <si>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</si>
  <si>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</si>
  <si>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</si>
  <si>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</si>
  <si>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</si>
  <si>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</si>
  <si>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</si>
  <si>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</si>
  <si>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</si>
  <si>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</si>
  <si>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</si>
  <si>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</si>
  <si>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3.41087 81.1951 448.592 710.612 952.028 1176.07 1373.39 1531.19</t>
  </si>
  <si>
    <t>Fs_true</t>
  </si>
  <si>
    <t>0.122005 99.7898 402.281 601.522 801.017 1001.94 1200.53 1401.48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</si>
  <si>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</si>
  <si>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</si>
  <si>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</si>
  <si>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</si>
  <si>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</si>
  <si>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</si>
  <si>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</si>
  <si>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</si>
  <si>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</si>
  <si>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</si>
  <si>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</si>
  <si>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</si>
  <si>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</si>
  <si>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</si>
  <si>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</si>
  <si>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</si>
  <si>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</si>
  <si>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</si>
  <si>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</si>
  <si>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</si>
  <si>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</si>
  <si>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</si>
  <si>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</si>
  <si>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</si>
  <si>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</si>
  <si>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</si>
  <si>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</si>
  <si>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</si>
  <si>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</si>
  <si>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</si>
  <si>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</si>
  <si>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</si>
  <si>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</si>
  <si>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</si>
  <si>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</si>
  <si>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</si>
  <si>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</si>
  <si>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</si>
  <si>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</si>
  <si>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</si>
  <si>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</si>
  <si>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</si>
  <si>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</si>
  <si>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</si>
  <si>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</si>
  <si>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</si>
  <si>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</si>
  <si>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</si>
  <si>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</si>
  <si>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</si>
  <si>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</si>
  <si>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</si>
  <si>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</si>
  <si>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</si>
  <si>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</si>
  <si>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</si>
  <si>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</si>
  <si>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</si>
  <si>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</si>
  <si>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</si>
  <si>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</si>
  <si>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</si>
  <si>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</si>
  <si>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</si>
  <si>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</si>
  <si>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</si>
  <si>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</si>
  <si>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</si>
  <si>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</si>
  <si>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</si>
  <si>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</si>
  <si>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</si>
  <si>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</si>
  <si>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</si>
  <si>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</si>
  <si>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</si>
  <si>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</si>
  <si>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</si>
  <si>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</si>
  <si>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</si>
  <si>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</si>
  <si>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</si>
  <si>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</si>
  <si>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</si>
  <si>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</si>
  <si>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</si>
  <si>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</si>
  <si>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</si>
  <si>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</si>
  <si>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</si>
  <si>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</si>
  <si>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</si>
  <si>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</si>
  <si>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</si>
  <si>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</si>
  <si>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</si>
  <si>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</si>
  <si>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</si>
  <si>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</si>
  <si>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</si>
  <si>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</si>
  <si>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</si>
  <si>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</si>
  <si>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</si>
  <si>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</si>
  <si>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</si>
  <si>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</si>
  <si>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</si>
  <si>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</si>
  <si>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</si>
  <si>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</si>
  <si>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</si>
  <si>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</si>
  <si>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</si>
  <si>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</si>
  <si>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</si>
  <si>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</si>
  <si>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</si>
  <si>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</si>
  <si>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</si>
  <si>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</si>
  <si>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</si>
  <si>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</si>
  <si>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</si>
  <si>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</si>
  <si>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</si>
  <si>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</si>
  <si>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</si>
  <si>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</si>
  <si>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</si>
  <si>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</si>
  <si>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</si>
  <si>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</si>
  <si>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</si>
  <si>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</si>
  <si>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</si>
  <si>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</si>
  <si>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</si>
  <si>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</si>
  <si>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</si>
  <si>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</si>
  <si>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</si>
  <si>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</si>
  <si>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</si>
  <si>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</si>
  <si>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</si>
  <si>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</si>
  <si>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</si>
  <si>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</si>
  <si>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</si>
  <si>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</si>
  <si>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</si>
  <si>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</si>
  <si>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</si>
  <si>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</si>
  <si>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</si>
  <si>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</si>
  <si>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</si>
  <si>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</si>
  <si>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</si>
  <si>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</si>
  <si>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</si>
  <si>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</si>
  <si>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</si>
  <si>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</si>
  <si>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</si>
  <si>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</si>
  <si>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</si>
  <si>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</si>
  <si>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</si>
  <si>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</si>
  <si>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</si>
  <si>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</si>
  <si>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</si>
  <si>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</si>
  <si>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</si>
  <si>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</si>
  <si>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</si>
  <si>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</si>
  <si>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</si>
  <si>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</si>
  <si>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</si>
  <si>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</si>
  <si>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</si>
  <si>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</si>
  <si>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</si>
  <si>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</si>
  <si>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</si>
  <si>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</si>
  <si>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</si>
  <si>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</si>
  <si>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</si>
  <si>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</si>
  <si>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</si>
  <si>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</si>
  <si>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</si>
  <si>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</si>
  <si>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</si>
  <si>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</si>
  <si>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</si>
  <si>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</si>
  <si>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</si>
  <si>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</si>
  <si>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</si>
  <si>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</si>
  <si>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</si>
  <si>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</si>
  <si>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</si>
  <si>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</si>
  <si>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</si>
  <si>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</si>
  <si>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</si>
  <si>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</si>
  <si>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</si>
  <si>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</si>
  <si>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</si>
  <si>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</si>
  <si>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</si>
  <si>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</si>
  <si>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</si>
  <si>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</si>
  <si>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</si>
  <si>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</si>
  <si>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</si>
  <si>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</si>
  <si>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</si>
  <si>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</si>
  <si>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</si>
  <si>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</si>
  <si>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</si>
  <si>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</si>
  <si>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</si>
  <si>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</si>
  <si>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</si>
  <si>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</si>
  <si>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</si>
  <si>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</si>
  <si>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</si>
  <si>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</si>
  <si>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</si>
  <si>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</si>
  <si>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</si>
  <si>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</si>
  <si>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</si>
  <si>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</si>
  <si>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</si>
  <si>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</si>
  <si>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</si>
  <si>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</si>
  <si>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</si>
  <si>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</si>
  <si>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</si>
  <si>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</si>
  <si>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</si>
  <si>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</si>
  <si>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</si>
  <si>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</si>
  <si>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</si>
  <si>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</si>
  <si>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</si>
  <si>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</si>
  <si>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</si>
  <si>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</si>
  <si>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</si>
  <si>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</si>
  <si>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</si>
  <si>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</si>
  <si>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</si>
  <si>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</si>
  <si>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</si>
  <si>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</si>
  <si>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</si>
  <si>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</si>
  <si>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</si>
  <si>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</si>
  <si>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</si>
  <si>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</si>
  <si>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</si>
  <si>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</si>
  <si>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</si>
  <si>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</si>
  <si>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</si>
  <si>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</si>
  <si>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</si>
  <si>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</si>
  <si>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</si>
  <si>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</si>
  <si>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</si>
  <si>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</si>
  <si>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</si>
  <si>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</si>
  <si>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</si>
  <si>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</si>
  <si>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</si>
  <si>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</si>
  <si>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</si>
  <si>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</si>
  <si>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</si>
  <si>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</si>
  <si>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</si>
  <si>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</si>
  <si>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</si>
  <si>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</si>
  <si>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</si>
  <si>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</si>
  <si>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</si>
  <si>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</si>
  <si>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</si>
  <si>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</si>
  <si>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</si>
  <si>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</si>
  <si>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</si>
  <si>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</si>
  <si>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</si>
  <si>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</si>
  <si>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</si>
  <si>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</si>
  <si>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</si>
  <si>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</si>
  <si>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</si>
  <si>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</si>
  <si>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</si>
  <si>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</si>
  <si>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</si>
  <si>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</si>
  <si>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</si>
  <si>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20231117 09:33:57</t>
  </si>
  <si>
    <t>09:33:57</t>
  </si>
  <si>
    <t>none</t>
  </si>
  <si>
    <t>wt</t>
  </si>
  <si>
    <t>8</t>
  </si>
  <si>
    <t>MPF-11149-20231106-15_17_03</t>
  </si>
  <si>
    <t>MPF-11362-20231117-09_33_44</t>
  </si>
  <si>
    <t>DARK-11363-20231117-09_33_51</t>
  </si>
  <si>
    <t>0: Broadleaf</t>
  </si>
  <si>
    <t>09:33:22</t>
  </si>
  <si>
    <t>2/2</t>
  </si>
  <si>
    <t>10111111</t>
  </si>
  <si>
    <t>oioooooo</t>
  </si>
  <si>
    <t>off</t>
  </si>
  <si>
    <t>on</t>
  </si>
  <si>
    <t>20231117 09:36:27</t>
  </si>
  <si>
    <t>09:36:27</t>
  </si>
  <si>
    <t>-</t>
  </si>
  <si>
    <t>09:35:22</t>
  </si>
  <si>
    <t>20231117 09:38:25</t>
  </si>
  <si>
    <t>09:38:25</t>
  </si>
  <si>
    <t>MPF-11364-20231117-09_38_11</t>
  </si>
  <si>
    <t>DARK-11365-20231117-09_38_18</t>
  </si>
  <si>
    <t>09:37:56</t>
  </si>
  <si>
    <t>20231117 09:41:49</t>
  </si>
  <si>
    <t>09:41:49</t>
  </si>
  <si>
    <t>MPF-11366-20231117-09_41_36</t>
  </si>
  <si>
    <t>DARK-11367-20231117-09_41_43</t>
  </si>
  <si>
    <t>09:39:32</t>
  </si>
  <si>
    <t>20231117 09:45:17</t>
  </si>
  <si>
    <t>09:45:17</t>
  </si>
  <si>
    <t>MPF-11368-20231117-09_45_03</t>
  </si>
  <si>
    <t>DARK-11369-20231117-09_45_10</t>
  </si>
  <si>
    <t>09:43:54</t>
  </si>
  <si>
    <t>20231117 09:47:24</t>
  </si>
  <si>
    <t>09:47:24</t>
  </si>
  <si>
    <t>09:46:34</t>
  </si>
  <si>
    <t>20231117 09:49:47</t>
  </si>
  <si>
    <t>09:49:47</t>
  </si>
  <si>
    <t>MPF-11370-20231117-09_49_33</t>
  </si>
  <si>
    <t>DARK-11371-20231117-09_49_40</t>
  </si>
  <si>
    <t>09:48:29</t>
  </si>
  <si>
    <t>20231117 09:53:37</t>
  </si>
  <si>
    <t>09:53:37</t>
  </si>
  <si>
    <t>MPF-11372-20231117-09_53_23</t>
  </si>
  <si>
    <t>DARK-11373-20231117-09_53_30</t>
  </si>
  <si>
    <t>09:50:55</t>
  </si>
  <si>
    <t>20231117 09:56:07</t>
  </si>
  <si>
    <t>09:56:07</t>
  </si>
  <si>
    <t>09:54:53</t>
  </si>
  <si>
    <t>20231117 09:58:49</t>
  </si>
  <si>
    <t>09:58:49</t>
  </si>
  <si>
    <t>MPF-11374-20231117-09_58_36</t>
  </si>
  <si>
    <t>DARK-11375-20231117-09_58_43</t>
  </si>
  <si>
    <t>09:57:21</t>
  </si>
  <si>
    <t>20231117 10:00:41</t>
  </si>
  <si>
    <t>10:00:41</t>
  </si>
  <si>
    <t>10:00:08</t>
  </si>
  <si>
    <t>20231117 10:02:19</t>
  </si>
  <si>
    <t>10:02:19</t>
  </si>
  <si>
    <t>MPF-11376-20231117-10_02_05</t>
  </si>
  <si>
    <t>DARK-11377-20231117-10_02_12</t>
  </si>
  <si>
    <t>10:01:49</t>
  </si>
  <si>
    <t>20231117 10:04:03</t>
  </si>
  <si>
    <t>10:04:03</t>
  </si>
  <si>
    <t>10:03:32</t>
  </si>
  <si>
    <t>20231117 10:05:36</t>
  </si>
  <si>
    <t>10:05:36</t>
  </si>
  <si>
    <t>MPF-11378-20231117-10_05_22</t>
  </si>
  <si>
    <t>DARK-11379-20231117-10_05_29</t>
  </si>
  <si>
    <t>10:05:04</t>
  </si>
  <si>
    <t>20231117 10:22:25</t>
  </si>
  <si>
    <t>10:22:25</t>
  </si>
  <si>
    <t>25</t>
  </si>
  <si>
    <t>1</t>
  </si>
  <si>
    <t>MPF-11380-20231117-10_22_12</t>
  </si>
  <si>
    <t>DARK-11381-20231117-10_22_19</t>
  </si>
  <si>
    <t>10:21:52</t>
  </si>
  <si>
    <t>20231117 10:24:36</t>
  </si>
  <si>
    <t>10:24:36</t>
  </si>
  <si>
    <t>10:25:00</t>
  </si>
  <si>
    <t>20231117 10:26:57</t>
  </si>
  <si>
    <t>10:26:57</t>
  </si>
  <si>
    <t>MPF-11382-20231117-10_26_43</t>
  </si>
  <si>
    <t>DARK-11383-20231117-10_26_50</t>
  </si>
  <si>
    <t>10:26:03</t>
  </si>
  <si>
    <t>20231117 10:28:59</t>
  </si>
  <si>
    <t>10:28:59</t>
  </si>
  <si>
    <t>10:28:16</t>
  </si>
  <si>
    <t>20231117 10:30:56</t>
  </si>
  <si>
    <t>10:30:56</t>
  </si>
  <si>
    <t>MPF-11384-20231117-10_30_43</t>
  </si>
  <si>
    <t>DARK-11385-20231117-10_30_50</t>
  </si>
  <si>
    <t>10:30:08</t>
  </si>
  <si>
    <t>20231117 10:33:40</t>
  </si>
  <si>
    <t>10:33:40</t>
  </si>
  <si>
    <t>10:32:18</t>
  </si>
  <si>
    <t>20231117 10:36:19</t>
  </si>
  <si>
    <t>10:36:19</t>
  </si>
  <si>
    <t>MPF-11386-20231117-10_36_06</t>
  </si>
  <si>
    <t>DARK-11387-20231117-10_36_13</t>
  </si>
  <si>
    <t>10:34:46</t>
  </si>
  <si>
    <t>20231117 10:39:45</t>
  </si>
  <si>
    <t>10:39:45</t>
  </si>
  <si>
    <t>MPF-11388-20231117-10_39_32</t>
  </si>
  <si>
    <t>DARK-11389-20231117-10_39_39</t>
  </si>
  <si>
    <t>10:37:37</t>
  </si>
  <si>
    <t>20231117 10:42:47</t>
  </si>
  <si>
    <t>10:42:47</t>
  </si>
  <si>
    <t>10:41:04</t>
  </si>
  <si>
    <t>20231117 10:45:18</t>
  </si>
  <si>
    <t>10:45:18</t>
  </si>
  <si>
    <t>MPF-11390-20231117-10_45_05</t>
  </si>
  <si>
    <t>DARK-11391-20231117-10_45_12</t>
  </si>
  <si>
    <t>10:44:18</t>
  </si>
  <si>
    <t>20231117 10:47:29</t>
  </si>
  <si>
    <t>10:47:29</t>
  </si>
  <si>
    <t>10:46:42</t>
  </si>
  <si>
    <t>20231117 10:49:39</t>
  </si>
  <si>
    <t>10:49:39</t>
  </si>
  <si>
    <t>MPF-11392-20231117-10_49_26</t>
  </si>
  <si>
    <t>DARK-11393-20231117-10_49_33</t>
  </si>
  <si>
    <t>10:49:07</t>
  </si>
  <si>
    <t>20231117 10:51:19</t>
  </si>
  <si>
    <t>10:51:19</t>
  </si>
  <si>
    <t>10:51:55</t>
  </si>
  <si>
    <t>20231117 10:54:15</t>
  </si>
  <si>
    <t>10:54:15</t>
  </si>
  <si>
    <t>MPF-11394-20231117-10_54_02</t>
  </si>
  <si>
    <t>DARK-11395-20231117-10_54_09</t>
  </si>
  <si>
    <t>10:53:44</t>
  </si>
  <si>
    <t>20231117 11:27:56</t>
  </si>
  <si>
    <t>11:27:56</t>
  </si>
  <si>
    <t>3</t>
  </si>
  <si>
    <t>9</t>
  </si>
  <si>
    <t>MPF-11396-20231117-11_27_42</t>
  </si>
  <si>
    <t>DARK-11397-20231117-11_27_50</t>
  </si>
  <si>
    <t>11:27:23</t>
  </si>
  <si>
    <t>20231117 11:31:08</t>
  </si>
  <si>
    <t>11:31:08</t>
  </si>
  <si>
    <t>MPF-11398-20231117-11_30_54</t>
  </si>
  <si>
    <t>DARK-11399-20231117-11_31_02</t>
  </si>
  <si>
    <t>11:30:24</t>
  </si>
  <si>
    <t>20231117 11:32:58</t>
  </si>
  <si>
    <t>11:32:58</t>
  </si>
  <si>
    <t>11:32:27</t>
  </si>
  <si>
    <t>20231117 11:34:35</t>
  </si>
  <si>
    <t>11:34:35</t>
  </si>
  <si>
    <t>MPF-11400-20231117-11_34_22</t>
  </si>
  <si>
    <t>DARK-11401-20231117-11_34_29</t>
  </si>
  <si>
    <t>11:33:54</t>
  </si>
  <si>
    <t>20231117 11:37:26</t>
  </si>
  <si>
    <t>11:37:26</t>
  </si>
  <si>
    <t>11:35:45</t>
  </si>
  <si>
    <t>20231117 11:40:26</t>
  </si>
  <si>
    <t>11:40:26</t>
  </si>
  <si>
    <t>MPF-11402-20231117-11_40_12</t>
  </si>
  <si>
    <t>DARK-11403-20231117-11_40_20</t>
  </si>
  <si>
    <t>11:38:47</t>
  </si>
  <si>
    <t>20231117 11:43:02</t>
  </si>
  <si>
    <t>11:43:02</t>
  </si>
  <si>
    <t>11:41:35</t>
  </si>
  <si>
    <t>20231117 11:45:27</t>
  </si>
  <si>
    <t>11:45:27</t>
  </si>
  <si>
    <t>MPF-11404-20231117-11_45_14</t>
  </si>
  <si>
    <t>DARK-11405-20231117-11_45_21</t>
  </si>
  <si>
    <t>11:44:16</t>
  </si>
  <si>
    <t>20231117 11:47:32</t>
  </si>
  <si>
    <t>11:47:32</t>
  </si>
  <si>
    <t>11:46:58</t>
  </si>
  <si>
    <t>20231117 11:50:09</t>
  </si>
  <si>
    <t>11:50:09</t>
  </si>
  <si>
    <t>MPF-11406-20231117-11_49_56</t>
  </si>
  <si>
    <t>DARK-11407-20231117-11_50_03</t>
  </si>
  <si>
    <t>11:48:36</t>
  </si>
  <si>
    <t>20231117 11:52:05</t>
  </si>
  <si>
    <t>11:52:05</t>
  </si>
  <si>
    <t>11:51:22</t>
  </si>
  <si>
    <t>20231117 11:53:36</t>
  </si>
  <si>
    <t>11:53:36</t>
  </si>
  <si>
    <t>MPF-11408-20231117-11_53_22</t>
  </si>
  <si>
    <t>DARK-11409-20231117-11_53_30</t>
  </si>
  <si>
    <t>11:54:07</t>
  </si>
  <si>
    <t>20231117 11:55:51</t>
  </si>
  <si>
    <t>11:55:51</t>
  </si>
  <si>
    <t>11:55:11</t>
  </si>
  <si>
    <t>20231117 11:57:32</t>
  </si>
  <si>
    <t>11:57:32</t>
  </si>
  <si>
    <t>MPF-11410-20231117-11_57_18</t>
  </si>
  <si>
    <t>DARK-11411-20231117-11_57_26</t>
  </si>
  <si>
    <t>11:56:59</t>
  </si>
  <si>
    <t>20231117 13:35:05</t>
  </si>
  <si>
    <t>13:35:05</t>
  </si>
  <si>
    <t>MPF-11412-20231117-13_34_51</t>
  </si>
  <si>
    <t>DARK-11413-20231117-13_34_59</t>
  </si>
  <si>
    <t>13:34:25</t>
  </si>
  <si>
    <t>20231117 13:36:47</t>
  </si>
  <si>
    <t>13:36:47</t>
  </si>
  <si>
    <t>13:36:14</t>
  </si>
  <si>
    <t>20231117 13:38:29</t>
  </si>
  <si>
    <t>13:38:29</t>
  </si>
  <si>
    <t>MPF-11414-20231117-13_38_16</t>
  </si>
  <si>
    <t>DARK-11415-20231117-13_38_23</t>
  </si>
  <si>
    <t>13:37:55</t>
  </si>
  <si>
    <t>20231117 13:40:58</t>
  </si>
  <si>
    <t>13:40:58</t>
  </si>
  <si>
    <t>13:39:38</t>
  </si>
  <si>
    <t>20231117 13:43:46</t>
  </si>
  <si>
    <t>13:43:46</t>
  </si>
  <si>
    <t>MPF-11416-20231117-13_43_33</t>
  </si>
  <si>
    <t>DARK-11417-20231117-13_43_40</t>
  </si>
  <si>
    <t>13:42:07</t>
  </si>
  <si>
    <t>20231117 13:47:23</t>
  </si>
  <si>
    <t>13:47:23</t>
  </si>
  <si>
    <t>MPF-11418-20231117-13_47_09</t>
  </si>
  <si>
    <t>DARK-11419-20231117-13_47_17</t>
  </si>
  <si>
    <t>13:44:59</t>
  </si>
  <si>
    <t>20231117 13:50:05</t>
  </si>
  <si>
    <t>13:50:05</t>
  </si>
  <si>
    <t>13:48:29</t>
  </si>
  <si>
    <t>20231117 13:53:05</t>
  </si>
  <si>
    <t>13:53:05</t>
  </si>
  <si>
    <t>MPF-11420-20231117-13_52_52</t>
  </si>
  <si>
    <t>DARK-11421-20231117-13_52_59</t>
  </si>
  <si>
    <t>13:51:06</t>
  </si>
  <si>
    <t>20231117 13:55:07</t>
  </si>
  <si>
    <t>13:55:07</t>
  </si>
  <si>
    <t>13:54:34</t>
  </si>
  <si>
    <t>20231117 13:58:19</t>
  </si>
  <si>
    <t>13:58:19</t>
  </si>
  <si>
    <t>MPF-11422-20231117-13_58_06</t>
  </si>
  <si>
    <t>DARK-11423-20231117-13_58_13</t>
  </si>
  <si>
    <t>13:57:16</t>
  </si>
  <si>
    <t>20231117 14:00:06</t>
  </si>
  <si>
    <t>14:00:06</t>
  </si>
  <si>
    <t>13:59:34</t>
  </si>
  <si>
    <t>20231117 14:01:55</t>
  </si>
  <si>
    <t>14:01:55</t>
  </si>
  <si>
    <t>MPF-11424-20231117-14_01_42</t>
  </si>
  <si>
    <t>DARK-11425-20231117-14_01_49</t>
  </si>
  <si>
    <t>14:01:18</t>
  </si>
  <si>
    <t>20231117 14:04:18</t>
  </si>
  <si>
    <t>14:04:18</t>
  </si>
  <si>
    <t>14:03:40</t>
  </si>
  <si>
    <t>20231117 14:06:00</t>
  </si>
  <si>
    <t>14:06:00</t>
  </si>
  <si>
    <t>MPF-11426-20231117-14_05_47</t>
  </si>
  <si>
    <t>DARK-11427-20231117-14_05_54</t>
  </si>
  <si>
    <t>14:05:22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</si>
</sst>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72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0.17249999999999999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1700235237.5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1700235237.5</v>
      </c>
      <c r="J17">
        <f t="shared" ref="J17:J48" si="0">(K17)/1000</f>
        <v>3.5886817306282843E-3</v>
      </c>
      <c r="K17">
        <f t="shared" ref="K17:K48" si="1">1000*DK17*AI17*(DG17-DH17)/(100*CZ17*(1000-AI17*DG17))</f>
        <v>3.5886817306282843</v>
      </c>
      <c r="L17">
        <f t="shared" ref="L17:L48" si="2">DK17*AI17*(DF17-DE17*(1000-AI17*DH17)/(1000-AI17*DG17))/(100*CZ17)</f>
        <v>40.642450223168979</v>
      </c>
      <c r="M17">
        <f t="shared" ref="M17:M48" si="3">DE17 - IF(AI17&gt;1, L17*CZ17*100/(AK17*DS17), 0)</f>
        <v>407.916</v>
      </c>
      <c r="N17">
        <f t="shared" ref="N17:N48" si="4">((T17-J17/2)*M17-L17)/(T17+J17/2)</f>
        <v>127.77558454174944</v>
      </c>
      <c r="O17">
        <f t="shared" ref="O17:O48" si="5">N17*(DL17+DM17)/1000</f>
        <v>12.612972512584902</v>
      </c>
      <c r="P17">
        <f t="shared" ref="P17:P48" si="6">(DE17 - IF(AI17&gt;1, L17*CZ17*100/(AK17*DS17), 0))*(DL17+DM17)/1000</f>
        <v>40.266169111224002</v>
      </c>
      <c r="Q17">
        <f t="shared" ref="Q17:Q48" si="7">2/((1/S17-1/R17)+SIGN(S17)*SQRT((1/S17-1/R17)*(1/S17-1/R17) + 4*DA17/((DA17+1)*(DA17+1))*(2*1/S17*1/R17-1/R17*1/R17)))</f>
        <v>0.24653278231401052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3.1160329539067564</v>
      </c>
      <c r="S17">
        <f t="shared" ref="S17:S48" si="9">J17*(1000-(1000*0.61365*EXP(17.502*W17/(240.97+W17))/(DL17+DM17)+DG17)/2)/(1000*0.61365*EXP(17.502*W17/(240.97+W17))/(DL17+DM17)-DG17)</f>
        <v>0.23618665714135903</v>
      </c>
      <c r="T17">
        <f t="shared" ref="T17:T48" si="10">1/((DA17+1)/(Q17/1.6)+1/(R17/1.37)) + DA17/((DA17+1)/(Q17/1.6) + DA17/(R17/1.37))</f>
        <v>0.14851003721281097</v>
      </c>
      <c r="U17">
        <f t="shared" ref="U17:U48" si="11">(CV17*CY17)</f>
        <v>344.3630993025086</v>
      </c>
      <c r="V17">
        <f t="shared" ref="V17:V48" si="12">(DN17+(U17+2*0.95*0.0000000567*(((DN17+$B$7)+273)^4-(DN17+273)^4)-44100*J17)/(1.84*29.3*R17+8*0.95*0.0000000567*(DN17+273)^3))</f>
        <v>31.281153454375115</v>
      </c>
      <c r="W17">
        <f t="shared" ref="W17:W48" si="13">($C$7*DO17+$D$7*DP17+$E$7*V17)</f>
        <v>30.012599999999999</v>
      </c>
      <c r="X17">
        <f t="shared" ref="X17:X48" si="14">0.61365*EXP(17.502*W17/(240.97+W17))</f>
        <v>4.263534175970884</v>
      </c>
      <c r="Y17">
        <f t="shared" ref="Y17:Y48" si="15">(Z17/AA17*100)</f>
        <v>65.199041249033257</v>
      </c>
      <c r="Z17">
        <f t="shared" ref="Z17:Z48" si="16">DG17*(DL17+DM17)/1000</f>
        <v>2.8174749341536005</v>
      </c>
      <c r="AA17">
        <f t="shared" ref="AA17:AA48" si="17">0.61365*EXP(17.502*DN17/(240.97+DN17))</f>
        <v>4.3213441182240961</v>
      </c>
      <c r="AB17">
        <f t="shared" ref="AB17:AB48" si="18">(X17-DG17*(DL17+DM17)/1000)</f>
        <v>1.4460592418172835</v>
      </c>
      <c r="AC17">
        <f t="shared" ref="AC17:AC48" si="19">(-J17*44100)</f>
        <v>-158.26086432070733</v>
      </c>
      <c r="AD17">
        <f t="shared" ref="AD17:AD48" si="20">2*29.3*R17*0.92*(DN17-W17)</f>
        <v>39.427621153006662</v>
      </c>
      <c r="AE17">
        <f t="shared" ref="AE17:AE48" si="21">2*0.95*0.0000000567*(((DN17+$B$7)+273)^4-(W17+273)^4)</f>
        <v>2.817061637462468</v>
      </c>
      <c r="AF17">
        <f t="shared" ref="AF17:AF48" si="22">U17+AE17+AC17+AD17</f>
        <v>228.34691777227042</v>
      </c>
      <c r="AG17">
        <v>0</v>
      </c>
      <c r="AH17">
        <v>0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51557.004170054322</v>
      </c>
      <c r="AL17" t="s">
        <v>415</v>
      </c>
      <c r="AM17">
        <v>6977.87</v>
      </c>
      <c r="AN17">
        <v>273.15280000000001</v>
      </c>
      <c r="AO17">
        <v>850.46774885301022</v>
      </c>
      <c r="AP17">
        <f t="shared" ref="AP17:AP48" si="26">1-AN17/AO17</f>
        <v>0.67882050745793765</v>
      </c>
      <c r="AQ17">
        <v>-1.0323826813720729</v>
      </c>
      <c r="AR17" t="s">
        <v>416</v>
      </c>
      <c r="AS17">
        <v>7093.75</v>
      </c>
      <c r="AT17">
        <v>571.68476923076923</v>
      </c>
      <c r="AU17">
        <v>843.69704660088144</v>
      </c>
      <c r="AV17">
        <f t="shared" ref="AV17:AV48" si="27">1-AT17/AU17</f>
        <v>0.32240515534101433</v>
      </c>
      <c r="AW17">
        <v>0.5</v>
      </c>
      <c r="AX17">
        <f t="shared" ref="AX17:AX48" si="28">CW17</f>
        <v>1513.1591996512543</v>
      </c>
      <c r="AY17">
        <f t="shared" ref="AY17:AY48" si="29">L17</f>
        <v>40.642450223168979</v>
      </c>
      <c r="AZ17">
        <f t="shared" ref="AZ17:AZ48" si="30">AV17*AW17*AX17</f>
        <v>243.92516340962379</v>
      </c>
      <c r="BA17">
        <f t="shared" ref="BA17:BA48" si="31">(AY17-AQ17)/AX17</f>
        <v>2.7541604950851215E-2</v>
      </c>
      <c r="BB17">
        <f t="shared" ref="BB17:BB48" si="32">(AO17-AU17)/AU17</f>
        <v>8.0250396506741928E-3</v>
      </c>
      <c r="BC17">
        <f t="shared" ref="BC17:BC48" si="33">AN17/(AP17+AN17/AU17)</f>
        <v>272.45056461929659</v>
      </c>
      <c r="BD17" t="s">
        <v>417</v>
      </c>
      <c r="BE17">
        <v>409.57</v>
      </c>
      <c r="BF17">
        <f t="shared" ref="BF17:BF48" si="34">IF(BE17&lt;&gt;0, BE17, BC17)</f>
        <v>409.57</v>
      </c>
      <c r="BG17">
        <f t="shared" ref="BG17:BG48" si="35">1-BF17/AU17</f>
        <v>0.51455323726675228</v>
      </c>
      <c r="BH17">
        <f t="shared" ref="BH17:BH48" si="36">(AU17-AT17)/(AU17-BF17)</f>
        <v>0.62657298019072538</v>
      </c>
      <c r="BI17">
        <f t="shared" ref="BI17:BI48" si="37">(AO17-AU17)/(AO17-BF17)</f>
        <v>1.5356626949769372E-2</v>
      </c>
      <c r="BJ17">
        <f t="shared" ref="BJ17:BJ48" si="38">(AU17-AT17)/(AU17-AN17)</f>
        <v>0.47675930305260911</v>
      </c>
      <c r="BK17">
        <f t="shared" ref="BK17:BK48" si="39">(AO17-AU17)/(AO17-AN17)</f>
        <v>1.1727917777948738E-2</v>
      </c>
      <c r="BL17">
        <f t="shared" ref="BL17:BL48" si="40">(BH17*BF17/AT17)</f>
        <v>0.44889335750892578</v>
      </c>
      <c r="BM17">
        <f t="shared" ref="BM17:BM48" si="41">(1-BL17)</f>
        <v>0.55110664249107422</v>
      </c>
      <c r="BN17">
        <v>11362</v>
      </c>
      <c r="BO17">
        <v>290.00000000000011</v>
      </c>
      <c r="BP17">
        <v>766.64</v>
      </c>
      <c r="BQ17">
        <v>295</v>
      </c>
      <c r="BR17">
        <v>7093.75</v>
      </c>
      <c r="BS17">
        <v>768.09</v>
      </c>
      <c r="BT17">
        <v>-1.45</v>
      </c>
      <c r="BU17">
        <v>300.00000000000011</v>
      </c>
      <c r="BV17">
        <v>38.299999999999997</v>
      </c>
      <c r="BW17">
        <v>843.69704660088144</v>
      </c>
      <c r="BX17">
        <v>1.1649309232124241</v>
      </c>
      <c r="BY17">
        <v>-53.63110693664418</v>
      </c>
      <c r="BZ17">
        <v>0.69269134763565565</v>
      </c>
      <c r="CA17">
        <v>0.99535077894198998</v>
      </c>
      <c r="CB17">
        <v>-6.9947897664071109E-3</v>
      </c>
      <c r="CC17">
        <v>289.99999999999989</v>
      </c>
      <c r="CD17">
        <v>776.42</v>
      </c>
      <c r="CE17">
        <v>865</v>
      </c>
      <c r="CF17">
        <v>7084.62</v>
      </c>
      <c r="CG17">
        <v>768</v>
      </c>
      <c r="CH17">
        <v>8.42</v>
      </c>
      <c r="CV17">
        <f t="shared" ref="CV17:CV48" si="42">$B$11*DT17+$C$11*DU17+$F$11*EF17*(1-EI17)</f>
        <v>1799.97</v>
      </c>
      <c r="CW17">
        <f t="shared" ref="CW17:CW48" si="43">CV17*CX17</f>
        <v>1513.1591996512543</v>
      </c>
      <c r="CX17">
        <f t="shared" ref="CX17:CX48" si="44">($B$11*$D$9+$C$11*$D$9+$F$11*((ES17+EK17)/MAX(ES17+EK17+ET17, 0.1)*$I$9+ET17/MAX(ES17+EK17+ET17, 0.1)*$J$9))/($B$11+$C$11+$F$11)</f>
        <v>0.84065801077309865</v>
      </c>
      <c r="CY17">
        <f t="shared" ref="CY17:CY48" si="45">($B$11*$K$9+$C$11*$K$9+$F$11*((ES17+EK17)/MAX(ES17+EK17+ET17, 0.1)*$P$9+ET17/MAX(ES17+EK17+ET17, 0.1)*$Q$9))/($B$11+$C$11+$F$11)</f>
        <v>0.1913160215461972</v>
      </c>
      <c r="CZ17">
        <v>5</v>
      </c>
      <c r="DA17">
        <v>0.5</v>
      </c>
      <c r="DB17" t="s">
        <v>418</v>
      </c>
      <c r="DC17">
        <v>2</v>
      </c>
      <c r="DD17">
        <v>1700235237.5</v>
      </c>
      <c r="DE17">
        <v>407.916</v>
      </c>
      <c r="DF17">
        <v>450.00599999999997</v>
      </c>
      <c r="DG17">
        <v>28.542400000000001</v>
      </c>
      <c r="DH17">
        <v>25.057500000000001</v>
      </c>
      <c r="DI17">
        <v>408.57</v>
      </c>
      <c r="DJ17">
        <v>28.542300000000001</v>
      </c>
      <c r="DK17">
        <v>500.19400000000002</v>
      </c>
      <c r="DL17">
        <v>98.611900000000006</v>
      </c>
      <c r="DM17">
        <v>0.10001400000000001</v>
      </c>
      <c r="DN17">
        <v>30.247299999999999</v>
      </c>
      <c r="DO17">
        <v>30.012599999999999</v>
      </c>
      <c r="DP17">
        <v>999.9</v>
      </c>
      <c r="DQ17">
        <v>0</v>
      </c>
      <c r="DR17">
        <v>0</v>
      </c>
      <c r="DS17">
        <v>9994.3799999999992</v>
      </c>
      <c r="DT17">
        <v>0</v>
      </c>
      <c r="DU17">
        <v>523.755</v>
      </c>
      <c r="DV17">
        <v>-42.09</v>
      </c>
      <c r="DW17">
        <v>419.90100000000001</v>
      </c>
      <c r="DX17">
        <v>461.572</v>
      </c>
      <c r="DY17">
        <v>3.4848499999999998</v>
      </c>
      <c r="DZ17">
        <v>450.00599999999997</v>
      </c>
      <c r="EA17">
        <v>25.057500000000001</v>
      </c>
      <c r="EB17">
        <v>2.8146200000000001</v>
      </c>
      <c r="EC17">
        <v>2.4709699999999999</v>
      </c>
      <c r="ED17">
        <v>22.970099999999999</v>
      </c>
      <c r="EE17">
        <v>20.836500000000001</v>
      </c>
      <c r="EF17">
        <v>1799.97</v>
      </c>
      <c r="EG17">
        <v>0.97800500000000001</v>
      </c>
      <c r="EH17">
        <v>2.1995500000000001E-2</v>
      </c>
      <c r="EI17">
        <v>0</v>
      </c>
      <c r="EJ17">
        <v>571.38599999999997</v>
      </c>
      <c r="EK17">
        <v>5.0005300000000004</v>
      </c>
      <c r="EL17">
        <v>11318.2</v>
      </c>
      <c r="EM17">
        <v>16035</v>
      </c>
      <c r="EN17">
        <v>49.25</v>
      </c>
      <c r="EO17">
        <v>50.186999999999998</v>
      </c>
      <c r="EP17">
        <v>49.811999999999998</v>
      </c>
      <c r="EQ17">
        <v>50</v>
      </c>
      <c r="ER17">
        <v>50.561999999999998</v>
      </c>
      <c r="ES17">
        <v>1755.49</v>
      </c>
      <c r="ET17">
        <v>39.479999999999997</v>
      </c>
      <c r="EU17">
        <v>0</v>
      </c>
      <c r="EV17">
        <v>1700235240.5999999</v>
      </c>
      <c r="EW17">
        <v>0</v>
      </c>
      <c r="EX17">
        <v>571.68476923076923</v>
      </c>
      <c r="EY17">
        <v>-0.35822223594793251</v>
      </c>
      <c r="EZ17">
        <v>-15.982905939631729</v>
      </c>
      <c r="FA17">
        <v>11317.880769230769</v>
      </c>
      <c r="FB17">
        <v>15</v>
      </c>
      <c r="FC17">
        <v>1700235202.5</v>
      </c>
      <c r="FD17" t="s">
        <v>419</v>
      </c>
      <c r="FE17">
        <v>1700235200.5</v>
      </c>
      <c r="FF17">
        <v>1700235202.5</v>
      </c>
      <c r="FG17">
        <v>3</v>
      </c>
      <c r="FH17">
        <v>0.14099999999999999</v>
      </c>
      <c r="FI17">
        <v>-4.0000000000000001E-3</v>
      </c>
      <c r="FJ17">
        <v>-0.66100000000000003</v>
      </c>
      <c r="FK17">
        <v>0</v>
      </c>
      <c r="FL17">
        <v>450</v>
      </c>
      <c r="FM17">
        <v>25</v>
      </c>
      <c r="FN17">
        <v>0.05</v>
      </c>
      <c r="FO17">
        <v>0.02</v>
      </c>
      <c r="FP17">
        <v>40.626337800544938</v>
      </c>
      <c r="FQ17">
        <v>-0.59060725991304686</v>
      </c>
      <c r="FR17">
        <v>5.3901209790312432E-2</v>
      </c>
      <c r="FS17">
        <v>1</v>
      </c>
      <c r="FT17">
        <v>0.25088217335316543</v>
      </c>
      <c r="FU17">
        <v>-7.0718553861658772E-3</v>
      </c>
      <c r="FV17">
        <v>2.3319915335891978E-3</v>
      </c>
      <c r="FW17">
        <v>1</v>
      </c>
      <c r="FX17">
        <v>2</v>
      </c>
      <c r="FY17">
        <v>2</v>
      </c>
      <c r="FZ17" t="s">
        <v>420</v>
      </c>
      <c r="GA17">
        <v>3.11754</v>
      </c>
      <c r="GB17">
        <v>2.7668400000000002</v>
      </c>
      <c r="GC17">
        <v>9.0190699999999999E-2</v>
      </c>
      <c r="GD17">
        <v>9.7078300000000006E-2</v>
      </c>
      <c r="GE17">
        <v>0.12089</v>
      </c>
      <c r="GF17">
        <v>0.11060200000000001</v>
      </c>
      <c r="GG17">
        <v>21776.2</v>
      </c>
      <c r="GH17">
        <v>22474.799999999999</v>
      </c>
      <c r="GI17">
        <v>23792.799999999999</v>
      </c>
      <c r="GJ17">
        <v>25203</v>
      </c>
      <c r="GK17">
        <v>30120.7</v>
      </c>
      <c r="GL17">
        <v>31420.799999999999</v>
      </c>
      <c r="GM17">
        <v>37921.4</v>
      </c>
      <c r="GN17">
        <v>39218.800000000003</v>
      </c>
      <c r="GO17">
        <v>2.1544699999999999</v>
      </c>
      <c r="GP17">
        <v>1.86815</v>
      </c>
      <c r="GQ17">
        <v>7.4222700000000003E-2</v>
      </c>
      <c r="GR17">
        <v>0</v>
      </c>
      <c r="GS17">
        <v>28.803599999999999</v>
      </c>
      <c r="GT17">
        <v>999.9</v>
      </c>
      <c r="GU17">
        <v>64.099999999999994</v>
      </c>
      <c r="GV17">
        <v>30.7</v>
      </c>
      <c r="GW17">
        <v>28.8262</v>
      </c>
      <c r="GX17">
        <v>60.93</v>
      </c>
      <c r="GY17">
        <v>25.881399999999999</v>
      </c>
      <c r="GZ17">
        <v>1</v>
      </c>
      <c r="HA17">
        <v>0.41243099999999999</v>
      </c>
      <c r="HB17">
        <v>1.6403300000000001</v>
      </c>
      <c r="HC17">
        <v>20.3187</v>
      </c>
      <c r="HD17">
        <v>5.2490399999999999</v>
      </c>
      <c r="HE17">
        <v>12.012499999999999</v>
      </c>
      <c r="HF17">
        <v>4.97865</v>
      </c>
      <c r="HG17">
        <v>3.2922500000000001</v>
      </c>
      <c r="HH17">
        <v>9999</v>
      </c>
      <c r="HI17">
        <v>9999</v>
      </c>
      <c r="HJ17">
        <v>9999</v>
      </c>
      <c r="HK17">
        <v>999.9</v>
      </c>
      <c r="HL17">
        <v>1.8760699999999999</v>
      </c>
      <c r="HM17">
        <v>1.87683</v>
      </c>
      <c r="HN17">
        <v>1.8832599999999999</v>
      </c>
      <c r="HO17">
        <v>1.88629</v>
      </c>
      <c r="HP17">
        <v>1.8771100000000001</v>
      </c>
      <c r="HQ17">
        <v>1.88384</v>
      </c>
      <c r="HR17">
        <v>1.8826400000000001</v>
      </c>
      <c r="HS17">
        <v>1.88601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424</v>
      </c>
      <c r="IB17" t="s">
        <v>424</v>
      </c>
      <c r="IC17" t="s">
        <v>423</v>
      </c>
      <c r="ID17">
        <v>0</v>
      </c>
      <c r="IE17">
        <v>100</v>
      </c>
      <c r="IF17">
        <v>100</v>
      </c>
      <c r="IG17">
        <v>-0.65400000000000003</v>
      </c>
      <c r="IH17">
        <v>1E-4</v>
      </c>
      <c r="II17">
        <v>-0.63484672623835781</v>
      </c>
      <c r="IJ17">
        <v>4.4610147972834149E-5</v>
      </c>
      <c r="IK17">
        <v>-2.082673137682459E-7</v>
      </c>
      <c r="IL17">
        <v>-4.0725795306076518E-11</v>
      </c>
      <c r="IM17">
        <v>5.4999999999694182E-5</v>
      </c>
      <c r="IN17">
        <v>0</v>
      </c>
      <c r="IO17">
        <v>0</v>
      </c>
      <c r="IP17">
        <v>0</v>
      </c>
      <c r="IQ17">
        <v>3</v>
      </c>
      <c r="IR17">
        <v>2179</v>
      </c>
      <c r="IS17">
        <v>0</v>
      </c>
      <c r="IT17">
        <v>22</v>
      </c>
      <c r="IU17">
        <v>0.6</v>
      </c>
      <c r="IV17">
        <v>0.6</v>
      </c>
      <c r="IW17">
        <v>1.1096200000000001</v>
      </c>
      <c r="IX17">
        <v>2.63428</v>
      </c>
      <c r="IY17">
        <v>1.6015600000000001</v>
      </c>
      <c r="IZ17">
        <v>2.35107</v>
      </c>
      <c r="JA17">
        <v>1.5502899999999999</v>
      </c>
      <c r="JB17">
        <v>2.2814899999999998</v>
      </c>
      <c r="JC17">
        <v>36.340000000000003</v>
      </c>
      <c r="JD17">
        <v>24.122499999999999</v>
      </c>
      <c r="JE17">
        <v>18</v>
      </c>
      <c r="JF17">
        <v>597.14099999999996</v>
      </c>
      <c r="JG17">
        <v>447.03399999999999</v>
      </c>
      <c r="JH17">
        <v>27.6311</v>
      </c>
      <c r="JI17">
        <v>32.300400000000003</v>
      </c>
      <c r="JJ17">
        <v>30.000499999999999</v>
      </c>
      <c r="JK17">
        <v>32.2498</v>
      </c>
      <c r="JL17">
        <v>32.221899999999998</v>
      </c>
      <c r="JM17">
        <v>22.202100000000002</v>
      </c>
      <c r="JN17">
        <v>25.4207</v>
      </c>
      <c r="JO17">
        <v>100</v>
      </c>
      <c r="JP17">
        <v>27.628</v>
      </c>
      <c r="JQ17">
        <v>450</v>
      </c>
      <c r="JR17">
        <v>25.064800000000002</v>
      </c>
      <c r="JS17">
        <v>98.913899999999998</v>
      </c>
      <c r="JT17">
        <v>99.253100000000003</v>
      </c>
    </row>
    <row r="18" spans="1:280" x14ac:dyDescent="0.25">
      <c r="A18">
        <v>2</v>
      </c>
      <c r="B18">
        <v>1700235387.5999999</v>
      </c>
      <c r="C18">
        <v>150.0999999046326</v>
      </c>
      <c r="D18" t="s">
        <v>425</v>
      </c>
      <c r="E18" t="s">
        <v>426</v>
      </c>
      <c r="F18" t="s">
        <v>412</v>
      </c>
      <c r="G18" t="s">
        <v>413</v>
      </c>
      <c r="H18" t="s">
        <v>414</v>
      </c>
      <c r="I18">
        <v>1700235387.5999999</v>
      </c>
      <c r="J18">
        <f t="shared" si="0"/>
        <v>2.0188786243550403E-3</v>
      </c>
      <c r="K18">
        <f t="shared" si="1"/>
        <v>2.0188786243550405</v>
      </c>
      <c r="L18">
        <f t="shared" si="2"/>
        <v>45.424304697672724</v>
      </c>
      <c r="M18">
        <f t="shared" si="3"/>
        <v>1451.59</v>
      </c>
      <c r="N18">
        <f t="shared" si="4"/>
        <v>859.71478600392379</v>
      </c>
      <c r="O18">
        <f t="shared" si="5"/>
        <v>84.865679483900081</v>
      </c>
      <c r="P18">
        <f t="shared" si="6"/>
        <v>143.29190760419496</v>
      </c>
      <c r="Q18">
        <f t="shared" si="7"/>
        <v>0.13168381044627581</v>
      </c>
      <c r="R18">
        <f t="shared" si="8"/>
        <v>3.1265833684868181</v>
      </c>
      <c r="S18">
        <f t="shared" si="9"/>
        <v>0.12867844746894738</v>
      </c>
      <c r="T18">
        <f t="shared" si="10"/>
        <v>8.0688336801016558E-2</v>
      </c>
      <c r="U18">
        <f t="shared" si="11"/>
        <v>344.40859930206778</v>
      </c>
      <c r="V18">
        <f t="shared" si="12"/>
        <v>31.278378186664501</v>
      </c>
      <c r="W18">
        <f t="shared" si="13"/>
        <v>29.958200000000001</v>
      </c>
      <c r="X18">
        <f t="shared" si="14"/>
        <v>4.2502313082112586</v>
      </c>
      <c r="Y18">
        <f t="shared" si="15"/>
        <v>65.206808353308304</v>
      </c>
      <c r="Z18">
        <f t="shared" si="16"/>
        <v>2.7564435626977999</v>
      </c>
      <c r="AA18">
        <f t="shared" si="17"/>
        <v>4.2272327572952744</v>
      </c>
      <c r="AB18">
        <f t="shared" si="18"/>
        <v>1.4937877455134587</v>
      </c>
      <c r="AC18">
        <f t="shared" si="19"/>
        <v>-89.032547334057284</v>
      </c>
      <c r="AD18">
        <f t="shared" si="20"/>
        <v>-15.912098225839756</v>
      </c>
      <c r="AE18">
        <f t="shared" si="21"/>
        <v>-1.1306125194721772</v>
      </c>
      <c r="AF18">
        <f t="shared" si="22"/>
        <v>238.33334122269861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51889.404509216518</v>
      </c>
      <c r="AL18" t="s">
        <v>427</v>
      </c>
      <c r="AM18" t="s">
        <v>427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427</v>
      </c>
      <c r="AS18" t="s">
        <v>427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1513.3532996510339</v>
      </c>
      <c r="AY18">
        <f t="shared" si="29"/>
        <v>45.424304697672724</v>
      </c>
      <c r="AZ18" t="e">
        <f t="shared" si="30"/>
        <v>#DIV/0!</v>
      </c>
      <c r="BA18">
        <f t="shared" si="31"/>
        <v>3.0015664358182041E-2</v>
      </c>
      <c r="BB18" t="e">
        <f t="shared" si="32"/>
        <v>#DIV/0!</v>
      </c>
      <c r="BC18" t="e">
        <f t="shared" si="33"/>
        <v>#DIV/0!</v>
      </c>
      <c r="BD18" t="s">
        <v>427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11362</v>
      </c>
      <c r="BO18">
        <v>290.00000000000011</v>
      </c>
      <c r="BP18">
        <v>766.64</v>
      </c>
      <c r="BQ18">
        <v>295</v>
      </c>
      <c r="BR18">
        <v>7093.75</v>
      </c>
      <c r="BS18">
        <v>768.09</v>
      </c>
      <c r="BT18">
        <v>-1.45</v>
      </c>
      <c r="BU18">
        <v>300.00000000000011</v>
      </c>
      <c r="BV18">
        <v>38.299999999999997</v>
      </c>
      <c r="BW18">
        <v>843.69704660088144</v>
      </c>
      <c r="BX18">
        <v>1.1649309232124241</v>
      </c>
      <c r="BY18">
        <v>-53.63110693664418</v>
      </c>
      <c r="BZ18">
        <v>0.69269134763565565</v>
      </c>
      <c r="CA18">
        <v>0.99535077894198998</v>
      </c>
      <c r="CB18">
        <v>-6.9947897664071109E-3</v>
      </c>
      <c r="CC18">
        <v>289.99999999999989</v>
      </c>
      <c r="CD18">
        <v>776.42</v>
      </c>
      <c r="CE18">
        <v>865</v>
      </c>
      <c r="CF18">
        <v>7084.62</v>
      </c>
      <c r="CG18">
        <v>768</v>
      </c>
      <c r="CH18">
        <v>8.42</v>
      </c>
      <c r="CV18">
        <f t="shared" si="42"/>
        <v>1800.2</v>
      </c>
      <c r="CW18">
        <f t="shared" si="43"/>
        <v>1513.3532996510339</v>
      </c>
      <c r="CX18">
        <f t="shared" si="44"/>
        <v>0.84065842664761359</v>
      </c>
      <c r="CY18">
        <f t="shared" si="45"/>
        <v>0.19131685329522707</v>
      </c>
      <c r="CZ18">
        <v>5</v>
      </c>
      <c r="DA18">
        <v>0.5</v>
      </c>
      <c r="DB18" t="s">
        <v>418</v>
      </c>
      <c r="DC18">
        <v>2</v>
      </c>
      <c r="DD18">
        <v>1700235387.5999999</v>
      </c>
      <c r="DE18">
        <v>1451.59</v>
      </c>
      <c r="DF18">
        <v>1499.93</v>
      </c>
      <c r="DG18">
        <v>27.9236</v>
      </c>
      <c r="DH18">
        <v>25.9617</v>
      </c>
      <c r="DI18">
        <v>1452.21</v>
      </c>
      <c r="DJ18">
        <v>27.921600000000002</v>
      </c>
      <c r="DK18">
        <v>500.154</v>
      </c>
      <c r="DL18">
        <v>98.614099999999993</v>
      </c>
      <c r="DM18">
        <v>9.9660499999999999E-2</v>
      </c>
      <c r="DN18">
        <v>29.863800000000001</v>
      </c>
      <c r="DO18">
        <v>29.958200000000001</v>
      </c>
      <c r="DP18">
        <v>999.9</v>
      </c>
      <c r="DQ18">
        <v>0</v>
      </c>
      <c r="DR18">
        <v>0</v>
      </c>
      <c r="DS18">
        <v>10048.1</v>
      </c>
      <c r="DT18">
        <v>0</v>
      </c>
      <c r="DU18">
        <v>547.41</v>
      </c>
      <c r="DV18">
        <v>-48.3431</v>
      </c>
      <c r="DW18">
        <v>1493.28</v>
      </c>
      <c r="DX18">
        <v>1539.91</v>
      </c>
      <c r="DY18">
        <v>1.96191</v>
      </c>
      <c r="DZ18">
        <v>1499.93</v>
      </c>
      <c r="EA18">
        <v>25.9617</v>
      </c>
      <c r="EB18">
        <v>2.7536700000000001</v>
      </c>
      <c r="EC18">
        <v>2.56019</v>
      </c>
      <c r="ED18">
        <v>22.608899999999998</v>
      </c>
      <c r="EE18">
        <v>21.414300000000001</v>
      </c>
      <c r="EF18">
        <v>1800.2</v>
      </c>
      <c r="EG18">
        <v>0.97799199999999997</v>
      </c>
      <c r="EH18">
        <v>2.20085E-2</v>
      </c>
      <c r="EI18">
        <v>0</v>
      </c>
      <c r="EJ18">
        <v>563.79899999999998</v>
      </c>
      <c r="EK18">
        <v>5.0005300000000004</v>
      </c>
      <c r="EL18">
        <v>11402.7</v>
      </c>
      <c r="EM18">
        <v>16037.1</v>
      </c>
      <c r="EN18">
        <v>49.686999999999998</v>
      </c>
      <c r="EO18">
        <v>50.625</v>
      </c>
      <c r="EP18">
        <v>50.25</v>
      </c>
      <c r="EQ18">
        <v>50.436999999999998</v>
      </c>
      <c r="ER18">
        <v>50.936999999999998</v>
      </c>
      <c r="ES18">
        <v>1755.69</v>
      </c>
      <c r="ET18">
        <v>39.51</v>
      </c>
      <c r="EU18">
        <v>0</v>
      </c>
      <c r="EV18">
        <v>148.20000004768369</v>
      </c>
      <c r="EW18">
        <v>0</v>
      </c>
      <c r="EX18">
        <v>563.35307692307697</v>
      </c>
      <c r="EY18">
        <v>4.0286495774210946</v>
      </c>
      <c r="EZ18">
        <v>259.68888851809839</v>
      </c>
      <c r="FA18">
        <v>11367.457692307689</v>
      </c>
      <c r="FB18">
        <v>15</v>
      </c>
      <c r="FC18">
        <v>1700235322.0999999</v>
      </c>
      <c r="FD18" t="s">
        <v>428</v>
      </c>
      <c r="FE18">
        <v>1700235322.0999999</v>
      </c>
      <c r="FF18">
        <v>1700235321.0999999</v>
      </c>
      <c r="FG18">
        <v>4</v>
      </c>
      <c r="FH18">
        <v>0.51200000000000001</v>
      </c>
      <c r="FI18">
        <v>2E-3</v>
      </c>
      <c r="FJ18">
        <v>-0.66200000000000003</v>
      </c>
      <c r="FK18">
        <v>2E-3</v>
      </c>
      <c r="FL18">
        <v>1500</v>
      </c>
      <c r="FM18">
        <v>25</v>
      </c>
      <c r="FN18">
        <v>0.08</v>
      </c>
      <c r="FO18">
        <v>0.01</v>
      </c>
      <c r="FP18">
        <v>45.744133339450379</v>
      </c>
      <c r="FQ18">
        <v>-0.58348573041754237</v>
      </c>
      <c r="FR18">
        <v>8.7187368443412294E-2</v>
      </c>
      <c r="FS18">
        <v>1</v>
      </c>
      <c r="FT18">
        <v>0.1332027643982841</v>
      </c>
      <c r="FU18">
        <v>-3.5364452117858852E-2</v>
      </c>
      <c r="FV18">
        <v>2.6579715694509329E-3</v>
      </c>
      <c r="FW18">
        <v>1</v>
      </c>
      <c r="FX18">
        <v>2</v>
      </c>
      <c r="FY18">
        <v>2</v>
      </c>
      <c r="FZ18" t="s">
        <v>420</v>
      </c>
      <c r="GA18">
        <v>3.1178499999999998</v>
      </c>
      <c r="GB18">
        <v>2.7669600000000001</v>
      </c>
      <c r="GC18">
        <v>0.211559</v>
      </c>
      <c r="GD18">
        <v>0.21554400000000001</v>
      </c>
      <c r="GE18">
        <v>0.11903</v>
      </c>
      <c r="GF18">
        <v>0.113341</v>
      </c>
      <c r="GG18">
        <v>18862.7</v>
      </c>
      <c r="GH18">
        <v>19517.599999999999</v>
      </c>
      <c r="GI18">
        <v>23787.200000000001</v>
      </c>
      <c r="GJ18">
        <v>25198.2</v>
      </c>
      <c r="GK18">
        <v>30178.1</v>
      </c>
      <c r="GL18">
        <v>31318.799999999999</v>
      </c>
      <c r="GM18">
        <v>37913.800000000003</v>
      </c>
      <c r="GN18">
        <v>39212.800000000003</v>
      </c>
      <c r="GO18">
        <v>2.1524000000000001</v>
      </c>
      <c r="GP18">
        <v>1.86768</v>
      </c>
      <c r="GQ18">
        <v>7.2512800000000002E-2</v>
      </c>
      <c r="GR18">
        <v>0</v>
      </c>
      <c r="GS18">
        <v>28.777000000000001</v>
      </c>
      <c r="GT18">
        <v>999.9</v>
      </c>
      <c r="GU18">
        <v>63.6</v>
      </c>
      <c r="GV18">
        <v>31</v>
      </c>
      <c r="GW18">
        <v>29.093900000000001</v>
      </c>
      <c r="GX18">
        <v>60.081899999999997</v>
      </c>
      <c r="GY18">
        <v>25.853400000000001</v>
      </c>
      <c r="GZ18">
        <v>1</v>
      </c>
      <c r="HA18">
        <v>0.42209099999999999</v>
      </c>
      <c r="HB18">
        <v>0.82844799999999996</v>
      </c>
      <c r="HC18">
        <v>20.325399999999998</v>
      </c>
      <c r="HD18">
        <v>5.2503799999999998</v>
      </c>
      <c r="HE18">
        <v>12.0114</v>
      </c>
      <c r="HF18">
        <v>4.9794</v>
      </c>
      <c r="HG18">
        <v>3.2930000000000001</v>
      </c>
      <c r="HH18">
        <v>9999</v>
      </c>
      <c r="HI18">
        <v>9999</v>
      </c>
      <c r="HJ18">
        <v>9999</v>
      </c>
      <c r="HK18">
        <v>999.9</v>
      </c>
      <c r="HL18">
        <v>1.8760699999999999</v>
      </c>
      <c r="HM18">
        <v>1.8768199999999999</v>
      </c>
      <c r="HN18">
        <v>1.8832599999999999</v>
      </c>
      <c r="HO18">
        <v>1.88629</v>
      </c>
      <c r="HP18">
        <v>1.8771</v>
      </c>
      <c r="HQ18">
        <v>1.88385</v>
      </c>
      <c r="HR18">
        <v>1.8826400000000001</v>
      </c>
      <c r="HS18">
        <v>1.88601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424</v>
      </c>
      <c r="IB18" t="s">
        <v>424</v>
      </c>
      <c r="IC18" t="s">
        <v>423</v>
      </c>
      <c r="ID18">
        <v>0</v>
      </c>
      <c r="IE18">
        <v>100</v>
      </c>
      <c r="IF18">
        <v>100</v>
      </c>
      <c r="IG18">
        <v>-0.62</v>
      </c>
      <c r="IH18">
        <v>2E-3</v>
      </c>
      <c r="II18">
        <v>-0.1221674755061426</v>
      </c>
      <c r="IJ18">
        <v>4.4610147972834149E-5</v>
      </c>
      <c r="IK18">
        <v>-2.082673137682459E-7</v>
      </c>
      <c r="IL18">
        <v>-4.0725795306076518E-11</v>
      </c>
      <c r="IM18">
        <v>2.044999999995412E-3</v>
      </c>
      <c r="IN18">
        <v>0</v>
      </c>
      <c r="IO18">
        <v>0</v>
      </c>
      <c r="IP18">
        <v>0</v>
      </c>
      <c r="IQ18">
        <v>3</v>
      </c>
      <c r="IR18">
        <v>2179</v>
      </c>
      <c r="IS18">
        <v>0</v>
      </c>
      <c r="IT18">
        <v>22</v>
      </c>
      <c r="IU18">
        <v>1.1000000000000001</v>
      </c>
      <c r="IV18">
        <v>1.1000000000000001</v>
      </c>
      <c r="IW18">
        <v>2.948</v>
      </c>
      <c r="IX18">
        <v>2.6013199999999999</v>
      </c>
      <c r="IY18">
        <v>1.6015600000000001</v>
      </c>
      <c r="IZ18">
        <v>2.35107</v>
      </c>
      <c r="JA18">
        <v>1.5502899999999999</v>
      </c>
      <c r="JB18">
        <v>2.4572799999999999</v>
      </c>
      <c r="JC18">
        <v>36.694299999999998</v>
      </c>
      <c r="JD18">
        <v>24.122499999999999</v>
      </c>
      <c r="JE18">
        <v>18</v>
      </c>
      <c r="JF18">
        <v>597.00099999999998</v>
      </c>
      <c r="JG18">
        <v>447.81400000000002</v>
      </c>
      <c r="JH18">
        <v>26.979900000000001</v>
      </c>
      <c r="JI18">
        <v>32.450099999999999</v>
      </c>
      <c r="JJ18">
        <v>29.997199999999999</v>
      </c>
      <c r="JK18">
        <v>32.392600000000002</v>
      </c>
      <c r="JL18">
        <v>32.367600000000003</v>
      </c>
      <c r="JM18">
        <v>59.009</v>
      </c>
      <c r="JN18">
        <v>22.0273</v>
      </c>
      <c r="JO18">
        <v>100</v>
      </c>
      <c r="JP18">
        <v>27.053999999999998</v>
      </c>
      <c r="JQ18">
        <v>1500</v>
      </c>
      <c r="JR18">
        <v>25.982600000000001</v>
      </c>
      <c r="JS18">
        <v>98.892700000000005</v>
      </c>
      <c r="JT18">
        <v>99.236500000000007</v>
      </c>
    </row>
    <row r="19" spans="1:280" x14ac:dyDescent="0.25">
      <c r="A19">
        <v>3</v>
      </c>
      <c r="B19">
        <v>1700235505.0999999</v>
      </c>
      <c r="C19">
        <v>267.59999990463263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1700235505.0999999</v>
      </c>
      <c r="J19">
        <f t="shared" si="0"/>
        <v>1.705778286584172E-3</v>
      </c>
      <c r="K19">
        <f t="shared" si="1"/>
        <v>1.705778286584172</v>
      </c>
      <c r="L19">
        <f t="shared" si="2"/>
        <v>42.463862940002677</v>
      </c>
      <c r="M19">
        <f t="shared" si="3"/>
        <v>1205.43</v>
      </c>
      <c r="N19">
        <f t="shared" si="4"/>
        <v>554.21459759312188</v>
      </c>
      <c r="O19">
        <f t="shared" si="5"/>
        <v>54.709461983849557</v>
      </c>
      <c r="P19">
        <f t="shared" si="6"/>
        <v>118.99438781583301</v>
      </c>
      <c r="Q19">
        <f t="shared" si="7"/>
        <v>0.10982695804028147</v>
      </c>
      <c r="R19">
        <f t="shared" si="8"/>
        <v>3.1167135822687224</v>
      </c>
      <c r="S19">
        <f t="shared" si="9"/>
        <v>0.1077213803384387</v>
      </c>
      <c r="T19">
        <f t="shared" si="10"/>
        <v>6.7511678241715459E-2</v>
      </c>
      <c r="U19">
        <f t="shared" si="11"/>
        <v>344.40609930224053</v>
      </c>
      <c r="V19">
        <f t="shared" si="12"/>
        <v>31.293720374900396</v>
      </c>
      <c r="W19">
        <f t="shared" si="13"/>
        <v>29.9617</v>
      </c>
      <c r="X19">
        <f t="shared" si="14"/>
        <v>4.2510861011033931</v>
      </c>
      <c r="Y19">
        <f t="shared" si="15"/>
        <v>65.141137500841779</v>
      </c>
      <c r="Z19">
        <f t="shared" si="16"/>
        <v>2.7432982731490001</v>
      </c>
      <c r="AA19">
        <f t="shared" si="17"/>
        <v>4.21131465982391</v>
      </c>
      <c r="AB19">
        <f t="shared" si="18"/>
        <v>1.507787827954393</v>
      </c>
      <c r="AC19">
        <f t="shared" si="19"/>
        <v>-75.224822438361983</v>
      </c>
      <c r="AD19">
        <f t="shared" si="20"/>
        <v>-27.472620942828716</v>
      </c>
      <c r="AE19">
        <f t="shared" si="21"/>
        <v>-1.9576092776298568</v>
      </c>
      <c r="AF19">
        <f t="shared" si="22"/>
        <v>239.75104664342001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51650.766289756146</v>
      </c>
      <c r="AL19" t="s">
        <v>415</v>
      </c>
      <c r="AM19">
        <v>6977.87</v>
      </c>
      <c r="AN19">
        <v>273.15280000000001</v>
      </c>
      <c r="AO19">
        <v>850.46774885301022</v>
      </c>
      <c r="AP19">
        <f t="shared" si="26"/>
        <v>0.67882050745793765</v>
      </c>
      <c r="AQ19">
        <v>-1.0323826813720729</v>
      </c>
      <c r="AR19" t="s">
        <v>431</v>
      </c>
      <c r="AS19">
        <v>7090.63</v>
      </c>
      <c r="AT19">
        <v>565.068076923077</v>
      </c>
      <c r="AU19">
        <v>856.2973865617638</v>
      </c>
      <c r="AV19">
        <f t="shared" si="27"/>
        <v>0.34010299950586242</v>
      </c>
      <c r="AW19">
        <v>0.5</v>
      </c>
      <c r="AX19">
        <f t="shared" si="28"/>
        <v>1513.3445996511202</v>
      </c>
      <c r="AY19">
        <f t="shared" si="29"/>
        <v>42.463862940002677</v>
      </c>
      <c r="AZ19">
        <f t="shared" si="30"/>
        <v>257.34651881367228</v>
      </c>
      <c r="BA19">
        <f t="shared" si="31"/>
        <v>2.8741798550972579E-2</v>
      </c>
      <c r="BB19">
        <f t="shared" si="32"/>
        <v>-6.8079592443472843E-3</v>
      </c>
      <c r="BC19">
        <f t="shared" si="33"/>
        <v>273.75137843916434</v>
      </c>
      <c r="BD19" t="s">
        <v>432</v>
      </c>
      <c r="BE19">
        <v>406.58</v>
      </c>
      <c r="BF19">
        <f t="shared" si="34"/>
        <v>406.58</v>
      </c>
      <c r="BG19">
        <f t="shared" si="35"/>
        <v>0.52518832080929889</v>
      </c>
      <c r="BH19">
        <f t="shared" si="36"/>
        <v>0.64758294506963565</v>
      </c>
      <c r="BI19">
        <f t="shared" si="37"/>
        <v>-1.3133134950935573E-2</v>
      </c>
      <c r="BJ19">
        <f t="shared" si="38"/>
        <v>0.49941183773270131</v>
      </c>
      <c r="BK19">
        <f t="shared" si="39"/>
        <v>-1.009784645337126E-2</v>
      </c>
      <c r="BL19">
        <f t="shared" si="40"/>
        <v>0.46595142171206888</v>
      </c>
      <c r="BM19">
        <f t="shared" si="41"/>
        <v>0.53404857828793117</v>
      </c>
      <c r="BN19">
        <v>11364</v>
      </c>
      <c r="BO19">
        <v>290.00000000000011</v>
      </c>
      <c r="BP19">
        <v>772.68</v>
      </c>
      <c r="BQ19">
        <v>285</v>
      </c>
      <c r="BR19">
        <v>7090.63</v>
      </c>
      <c r="BS19">
        <v>774.43</v>
      </c>
      <c r="BT19">
        <v>-1.75</v>
      </c>
      <c r="BU19">
        <v>300.00000000000011</v>
      </c>
      <c r="BV19">
        <v>38.4</v>
      </c>
      <c r="BW19">
        <v>856.2973865617638</v>
      </c>
      <c r="BX19">
        <v>1.460195366660604</v>
      </c>
      <c r="BY19">
        <v>-58.045785463566013</v>
      </c>
      <c r="BZ19">
        <v>0.86787149013268405</v>
      </c>
      <c r="CA19">
        <v>0.99377961060222009</v>
      </c>
      <c r="CB19">
        <v>-6.9917147942157969E-3</v>
      </c>
      <c r="CC19">
        <v>289.99999999999989</v>
      </c>
      <c r="CD19">
        <v>781.76</v>
      </c>
      <c r="CE19">
        <v>895</v>
      </c>
      <c r="CF19">
        <v>7080.96</v>
      </c>
      <c r="CG19">
        <v>774.32</v>
      </c>
      <c r="CH19">
        <v>7.44</v>
      </c>
      <c r="CV19">
        <f t="shared" si="42"/>
        <v>1800.19</v>
      </c>
      <c r="CW19">
        <f t="shared" si="43"/>
        <v>1513.3445996511202</v>
      </c>
      <c r="CX19">
        <f t="shared" si="44"/>
        <v>0.84065826365612528</v>
      </c>
      <c r="CY19">
        <f t="shared" si="45"/>
        <v>0.19131652731225066</v>
      </c>
      <c r="CZ19">
        <v>5</v>
      </c>
      <c r="DA19">
        <v>0.5</v>
      </c>
      <c r="DB19" t="s">
        <v>418</v>
      </c>
      <c r="DC19">
        <v>2</v>
      </c>
      <c r="DD19">
        <v>1700235505.0999999</v>
      </c>
      <c r="DE19">
        <v>1205.43</v>
      </c>
      <c r="DF19">
        <v>1249.94</v>
      </c>
      <c r="DG19">
        <v>27.79</v>
      </c>
      <c r="DH19">
        <v>26.132000000000001</v>
      </c>
      <c r="DI19">
        <v>1206.1300000000001</v>
      </c>
      <c r="DJ19">
        <v>27.782299999999999</v>
      </c>
      <c r="DK19">
        <v>500.113</v>
      </c>
      <c r="DL19">
        <v>98.615399999999994</v>
      </c>
      <c r="DM19">
        <v>9.9903099999999995E-2</v>
      </c>
      <c r="DN19">
        <v>29.798200000000001</v>
      </c>
      <c r="DO19">
        <v>29.9617</v>
      </c>
      <c r="DP19">
        <v>999.9</v>
      </c>
      <c r="DQ19">
        <v>0</v>
      </c>
      <c r="DR19">
        <v>0</v>
      </c>
      <c r="DS19">
        <v>9997.5</v>
      </c>
      <c r="DT19">
        <v>0</v>
      </c>
      <c r="DU19">
        <v>529.43799999999999</v>
      </c>
      <c r="DV19">
        <v>-44.503900000000002</v>
      </c>
      <c r="DW19">
        <v>1239.8900000000001</v>
      </c>
      <c r="DX19">
        <v>1283.48</v>
      </c>
      <c r="DY19">
        <v>1.6579999999999999</v>
      </c>
      <c r="DZ19">
        <v>1249.94</v>
      </c>
      <c r="EA19">
        <v>26.132000000000001</v>
      </c>
      <c r="EB19">
        <v>2.7405200000000001</v>
      </c>
      <c r="EC19">
        <v>2.5770200000000001</v>
      </c>
      <c r="ED19">
        <v>22.530100000000001</v>
      </c>
      <c r="EE19">
        <v>21.5213</v>
      </c>
      <c r="EF19">
        <v>1800.19</v>
      </c>
      <c r="EG19">
        <v>0.97799499999999995</v>
      </c>
      <c r="EH19">
        <v>2.2005299999999998E-2</v>
      </c>
      <c r="EI19">
        <v>0</v>
      </c>
      <c r="EJ19">
        <v>564.89700000000005</v>
      </c>
      <c r="EK19">
        <v>5.0005300000000004</v>
      </c>
      <c r="EL19">
        <v>11331.3</v>
      </c>
      <c r="EM19">
        <v>16037</v>
      </c>
      <c r="EN19">
        <v>49.936999999999998</v>
      </c>
      <c r="EO19">
        <v>50.936999999999998</v>
      </c>
      <c r="EP19">
        <v>50.561999999999998</v>
      </c>
      <c r="EQ19">
        <v>50.686999999999998</v>
      </c>
      <c r="ER19">
        <v>51.186999999999998</v>
      </c>
      <c r="ES19">
        <v>1755.69</v>
      </c>
      <c r="ET19">
        <v>39.5</v>
      </c>
      <c r="EU19">
        <v>0</v>
      </c>
      <c r="EV19">
        <v>265.79999995231628</v>
      </c>
      <c r="EW19">
        <v>0</v>
      </c>
      <c r="EX19">
        <v>565.068076923077</v>
      </c>
      <c r="EY19">
        <v>-1.367452993522198</v>
      </c>
      <c r="EZ19">
        <v>1.610256343039415</v>
      </c>
      <c r="FA19">
        <v>11329.365384615379</v>
      </c>
      <c r="FB19">
        <v>15</v>
      </c>
      <c r="FC19">
        <v>1700235476.5999999</v>
      </c>
      <c r="FD19" t="s">
        <v>433</v>
      </c>
      <c r="FE19">
        <v>1700235475.0999999</v>
      </c>
      <c r="FF19">
        <v>1700235476.5999999</v>
      </c>
      <c r="FG19">
        <v>5</v>
      </c>
      <c r="FH19">
        <v>-0.25900000000000001</v>
      </c>
      <c r="FI19">
        <v>6.0000000000000001E-3</v>
      </c>
      <c r="FJ19">
        <v>-0.73</v>
      </c>
      <c r="FK19">
        <v>8.0000000000000002E-3</v>
      </c>
      <c r="FL19">
        <v>1250</v>
      </c>
      <c r="FM19">
        <v>26</v>
      </c>
      <c r="FN19">
        <v>0.06</v>
      </c>
      <c r="FO19">
        <v>7.0000000000000007E-2</v>
      </c>
      <c r="FP19">
        <v>42.466578948768948</v>
      </c>
      <c r="FQ19">
        <v>-0.43068262762984849</v>
      </c>
      <c r="FR19">
        <v>0.1132218886681897</v>
      </c>
      <c r="FS19">
        <v>1</v>
      </c>
      <c r="FT19">
        <v>0.1103168071932917</v>
      </c>
      <c r="FU19">
        <v>2.862005702401595E-2</v>
      </c>
      <c r="FV19">
        <v>2.7414773222438531E-3</v>
      </c>
      <c r="FW19">
        <v>1</v>
      </c>
      <c r="FX19">
        <v>2</v>
      </c>
      <c r="FY19">
        <v>2</v>
      </c>
      <c r="FZ19" t="s">
        <v>420</v>
      </c>
      <c r="GA19">
        <v>3.11809</v>
      </c>
      <c r="GB19">
        <v>2.7667600000000001</v>
      </c>
      <c r="GC19">
        <v>0.18893799999999999</v>
      </c>
      <c r="GD19">
        <v>0.19303999999999999</v>
      </c>
      <c r="GE19">
        <v>0.118587</v>
      </c>
      <c r="GF19">
        <v>0.11383</v>
      </c>
      <c r="GG19">
        <v>19400.400000000001</v>
      </c>
      <c r="GH19">
        <v>20074.099999999999</v>
      </c>
      <c r="GI19">
        <v>23781.9</v>
      </c>
      <c r="GJ19">
        <v>25192.799999999999</v>
      </c>
      <c r="GK19">
        <v>30186.6</v>
      </c>
      <c r="GL19">
        <v>31294.9</v>
      </c>
      <c r="GM19">
        <v>37905.4</v>
      </c>
      <c r="GN19">
        <v>39204.5</v>
      </c>
      <c r="GO19">
        <v>2.1507499999999999</v>
      </c>
      <c r="GP19">
        <v>1.8625</v>
      </c>
      <c r="GQ19">
        <v>7.5176400000000004E-2</v>
      </c>
      <c r="GR19">
        <v>0</v>
      </c>
      <c r="GS19">
        <v>28.736999999999998</v>
      </c>
      <c r="GT19">
        <v>999.9</v>
      </c>
      <c r="GU19">
        <v>63.2</v>
      </c>
      <c r="GV19">
        <v>31.2</v>
      </c>
      <c r="GW19">
        <v>29.244599999999998</v>
      </c>
      <c r="GX19">
        <v>60.971899999999998</v>
      </c>
      <c r="GY19">
        <v>25.889399999999998</v>
      </c>
      <c r="GZ19">
        <v>1</v>
      </c>
      <c r="HA19">
        <v>0.43486799999999998</v>
      </c>
      <c r="HB19">
        <v>1.8601300000000001</v>
      </c>
      <c r="HC19">
        <v>20.316500000000001</v>
      </c>
      <c r="HD19">
        <v>5.2532300000000003</v>
      </c>
      <c r="HE19">
        <v>12.0108</v>
      </c>
      <c r="HF19">
        <v>4.9796500000000004</v>
      </c>
      <c r="HG19">
        <v>3.2930000000000001</v>
      </c>
      <c r="HH19">
        <v>9999</v>
      </c>
      <c r="HI19">
        <v>9999</v>
      </c>
      <c r="HJ19">
        <v>9999</v>
      </c>
      <c r="HK19">
        <v>999.9</v>
      </c>
      <c r="HL19">
        <v>1.8760699999999999</v>
      </c>
      <c r="HM19">
        <v>1.87683</v>
      </c>
      <c r="HN19">
        <v>1.8832899999999999</v>
      </c>
      <c r="HO19">
        <v>1.88629</v>
      </c>
      <c r="HP19">
        <v>1.8771199999999999</v>
      </c>
      <c r="HQ19">
        <v>1.88384</v>
      </c>
      <c r="HR19">
        <v>1.88266</v>
      </c>
      <c r="HS19">
        <v>1.8859900000000001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424</v>
      </c>
      <c r="IB19" t="s">
        <v>424</v>
      </c>
      <c r="IC19" t="s">
        <v>423</v>
      </c>
      <c r="ID19">
        <v>0</v>
      </c>
      <c r="IE19">
        <v>100</v>
      </c>
      <c r="IF19">
        <v>100</v>
      </c>
      <c r="IG19">
        <v>-0.7</v>
      </c>
      <c r="IH19">
        <v>7.7000000000000002E-3</v>
      </c>
      <c r="II19">
        <v>-0.38026563502222788</v>
      </c>
      <c r="IJ19">
        <v>4.4610147972834149E-5</v>
      </c>
      <c r="IK19">
        <v>-2.082673137682459E-7</v>
      </c>
      <c r="IL19">
        <v>-4.0725795306076518E-11</v>
      </c>
      <c r="IM19">
        <v>7.6619047619033154E-3</v>
      </c>
      <c r="IN19">
        <v>0</v>
      </c>
      <c r="IO19">
        <v>0</v>
      </c>
      <c r="IP19">
        <v>0</v>
      </c>
      <c r="IQ19">
        <v>3</v>
      </c>
      <c r="IR19">
        <v>2179</v>
      </c>
      <c r="IS19">
        <v>0</v>
      </c>
      <c r="IT19">
        <v>22</v>
      </c>
      <c r="IU19">
        <v>0.5</v>
      </c>
      <c r="IV19">
        <v>0.5</v>
      </c>
      <c r="IW19">
        <v>2.5439500000000002</v>
      </c>
      <c r="IX19">
        <v>2.6061999999999999</v>
      </c>
      <c r="IY19">
        <v>1.6015600000000001</v>
      </c>
      <c r="IZ19">
        <v>2.34985</v>
      </c>
      <c r="JA19">
        <v>1.5502899999999999</v>
      </c>
      <c r="JB19">
        <v>2.34253</v>
      </c>
      <c r="JC19">
        <v>36.955599999999997</v>
      </c>
      <c r="JD19">
        <v>24.122499999999999</v>
      </c>
      <c r="JE19">
        <v>18</v>
      </c>
      <c r="JF19">
        <v>596.94799999999998</v>
      </c>
      <c r="JG19">
        <v>445.166</v>
      </c>
      <c r="JH19">
        <v>26.969000000000001</v>
      </c>
      <c r="JI19">
        <v>32.574399999999997</v>
      </c>
      <c r="JJ19">
        <v>30.000499999999999</v>
      </c>
      <c r="JK19">
        <v>32.512799999999999</v>
      </c>
      <c r="JL19">
        <v>32.485599999999998</v>
      </c>
      <c r="JM19">
        <v>50.914999999999999</v>
      </c>
      <c r="JN19">
        <v>21.8781</v>
      </c>
      <c r="JO19">
        <v>100</v>
      </c>
      <c r="JP19">
        <v>26.9998</v>
      </c>
      <c r="JQ19">
        <v>1250</v>
      </c>
      <c r="JR19">
        <v>26.100999999999999</v>
      </c>
      <c r="JS19">
        <v>98.870800000000003</v>
      </c>
      <c r="JT19">
        <v>99.215299999999999</v>
      </c>
    </row>
    <row r="20" spans="1:280" x14ac:dyDescent="0.25">
      <c r="A20">
        <v>4</v>
      </c>
      <c r="B20">
        <v>1700235709.5999999</v>
      </c>
      <c r="C20">
        <v>472.09999990463263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1700235709.5999999</v>
      </c>
      <c r="J20">
        <f t="shared" si="0"/>
        <v>1.9885044977319246E-3</v>
      </c>
      <c r="K20">
        <f t="shared" si="1"/>
        <v>1.9885044977319244</v>
      </c>
      <c r="L20">
        <f t="shared" si="2"/>
        <v>43.247364983511623</v>
      </c>
      <c r="M20">
        <f t="shared" si="3"/>
        <v>954.81200000000001</v>
      </c>
      <c r="N20">
        <f t="shared" si="4"/>
        <v>389.2193592925405</v>
      </c>
      <c r="O20">
        <f t="shared" si="5"/>
        <v>38.419816878069597</v>
      </c>
      <c r="P20">
        <f t="shared" si="6"/>
        <v>94.249428547595997</v>
      </c>
      <c r="Q20">
        <f t="shared" si="7"/>
        <v>0.12859075223996413</v>
      </c>
      <c r="R20">
        <f t="shared" si="8"/>
        <v>3.1206365354302941</v>
      </c>
      <c r="S20">
        <f t="shared" si="9"/>
        <v>0.12571792519380667</v>
      </c>
      <c r="T20">
        <f t="shared" si="10"/>
        <v>7.8826469752626305E-2</v>
      </c>
      <c r="U20">
        <f t="shared" si="11"/>
        <v>344.37699930235902</v>
      </c>
      <c r="V20">
        <f t="shared" si="12"/>
        <v>31.375570373667266</v>
      </c>
      <c r="W20">
        <f t="shared" si="13"/>
        <v>29.988299999999999</v>
      </c>
      <c r="X20">
        <f t="shared" si="14"/>
        <v>4.2575874248474399</v>
      </c>
      <c r="Y20">
        <f t="shared" si="15"/>
        <v>64.768200959369864</v>
      </c>
      <c r="Z20">
        <f t="shared" si="16"/>
        <v>2.7517071892610998</v>
      </c>
      <c r="AA20">
        <f t="shared" si="17"/>
        <v>4.2485465838201835</v>
      </c>
      <c r="AB20">
        <f t="shared" si="18"/>
        <v>1.5058802355863401</v>
      </c>
      <c r="AC20">
        <f t="shared" si="19"/>
        <v>-87.693048349977872</v>
      </c>
      <c r="AD20">
        <f t="shared" si="20"/>
        <v>-6.224871005230205</v>
      </c>
      <c r="AE20">
        <f t="shared" si="21"/>
        <v>-0.44340072362696481</v>
      </c>
      <c r="AF20">
        <f t="shared" si="22"/>
        <v>250.01567922352402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51723.780422195101</v>
      </c>
      <c r="AL20" t="s">
        <v>415</v>
      </c>
      <c r="AM20">
        <v>6977.87</v>
      </c>
      <c r="AN20">
        <v>273.15280000000001</v>
      </c>
      <c r="AO20">
        <v>850.46774885301022</v>
      </c>
      <c r="AP20">
        <f t="shared" si="26"/>
        <v>0.67882050745793765</v>
      </c>
      <c r="AQ20">
        <v>-1.0323826813720729</v>
      </c>
      <c r="AR20" t="s">
        <v>436</v>
      </c>
      <c r="AS20">
        <v>7088.41</v>
      </c>
      <c r="AT20">
        <v>562.02</v>
      </c>
      <c r="AU20">
        <v>848.32048588187797</v>
      </c>
      <c r="AV20">
        <f t="shared" si="27"/>
        <v>0.33749094905359045</v>
      </c>
      <c r="AW20">
        <v>0.5</v>
      </c>
      <c r="AX20">
        <f t="shared" si="28"/>
        <v>1513.2182996511792</v>
      </c>
      <c r="AY20">
        <f t="shared" si="29"/>
        <v>43.247364983511623</v>
      </c>
      <c r="AZ20">
        <f t="shared" si="30"/>
        <v>255.34874003726844</v>
      </c>
      <c r="BA20">
        <f t="shared" si="31"/>
        <v>2.926196945615241E-2</v>
      </c>
      <c r="BB20">
        <f t="shared" si="32"/>
        <v>2.5311931125888659E-3</v>
      </c>
      <c r="BC20">
        <f t="shared" si="33"/>
        <v>272.93091608476175</v>
      </c>
      <c r="BD20" t="s">
        <v>437</v>
      </c>
      <c r="BE20">
        <v>409.71</v>
      </c>
      <c r="BF20">
        <f t="shared" si="34"/>
        <v>409.71</v>
      </c>
      <c r="BG20">
        <f t="shared" si="35"/>
        <v>0.51703394316349338</v>
      </c>
      <c r="BH20">
        <f t="shared" si="36"/>
        <v>0.65274428016976649</v>
      </c>
      <c r="BI20">
        <f t="shared" si="37"/>
        <v>4.8717531948561333E-3</v>
      </c>
      <c r="BJ20">
        <f t="shared" si="38"/>
        <v>0.49776872538120198</v>
      </c>
      <c r="BK20">
        <f t="shared" si="39"/>
        <v>3.7193961032853193E-3</v>
      </c>
      <c r="BL20">
        <f t="shared" si="40"/>
        <v>0.47584758376633401</v>
      </c>
      <c r="BM20">
        <f t="shared" si="41"/>
        <v>0.52415241623366593</v>
      </c>
      <c r="BN20">
        <v>11366</v>
      </c>
      <c r="BO20">
        <v>290.00000000000011</v>
      </c>
      <c r="BP20">
        <v>764.28</v>
      </c>
      <c r="BQ20">
        <v>295</v>
      </c>
      <c r="BR20">
        <v>7088.41</v>
      </c>
      <c r="BS20">
        <v>766.54</v>
      </c>
      <c r="BT20">
        <v>-2.2599999999999998</v>
      </c>
      <c r="BU20">
        <v>300.00000000000011</v>
      </c>
      <c r="BV20">
        <v>38.4</v>
      </c>
      <c r="BW20">
        <v>848.32048588187797</v>
      </c>
      <c r="BX20">
        <v>1.3692157308602879</v>
      </c>
      <c r="BY20">
        <v>-57.972322603663443</v>
      </c>
      <c r="BZ20">
        <v>0.8135385746799555</v>
      </c>
      <c r="CA20">
        <v>0.99451615999270526</v>
      </c>
      <c r="CB20">
        <v>-6.9895679644048931E-3</v>
      </c>
      <c r="CC20">
        <v>289.99999999999989</v>
      </c>
      <c r="CD20">
        <v>773.33</v>
      </c>
      <c r="CE20">
        <v>775</v>
      </c>
      <c r="CF20">
        <v>7080.74</v>
      </c>
      <c r="CG20">
        <v>766.45</v>
      </c>
      <c r="CH20">
        <v>6.88</v>
      </c>
      <c r="CV20">
        <f t="shared" si="42"/>
        <v>1800.04</v>
      </c>
      <c r="CW20">
        <f t="shared" si="43"/>
        <v>1513.2182996511792</v>
      </c>
      <c r="CX20">
        <f t="shared" si="44"/>
        <v>0.84065815184728077</v>
      </c>
      <c r="CY20">
        <f t="shared" si="45"/>
        <v>0.19131630369456182</v>
      </c>
      <c r="CZ20">
        <v>5</v>
      </c>
      <c r="DA20">
        <v>0.5</v>
      </c>
      <c r="DB20" t="s">
        <v>418</v>
      </c>
      <c r="DC20">
        <v>2</v>
      </c>
      <c r="DD20">
        <v>1700235709.5999999</v>
      </c>
      <c r="DE20">
        <v>954.81200000000001</v>
      </c>
      <c r="DF20">
        <v>999.947</v>
      </c>
      <c r="DG20">
        <v>27.8767</v>
      </c>
      <c r="DH20">
        <v>25.944099999999999</v>
      </c>
      <c r="DI20">
        <v>955.57100000000003</v>
      </c>
      <c r="DJ20">
        <v>27.870799999999999</v>
      </c>
      <c r="DK20">
        <v>500.12200000000001</v>
      </c>
      <c r="DL20">
        <v>98.609899999999996</v>
      </c>
      <c r="DM20">
        <v>0.100033</v>
      </c>
      <c r="DN20">
        <v>29.9513</v>
      </c>
      <c r="DO20">
        <v>29.988299999999999</v>
      </c>
      <c r="DP20">
        <v>999.9</v>
      </c>
      <c r="DQ20">
        <v>0</v>
      </c>
      <c r="DR20">
        <v>0</v>
      </c>
      <c r="DS20">
        <v>10018.1</v>
      </c>
      <c r="DT20">
        <v>0</v>
      </c>
      <c r="DU20">
        <v>513.71500000000003</v>
      </c>
      <c r="DV20">
        <v>-45.134799999999998</v>
      </c>
      <c r="DW20">
        <v>982.19200000000001</v>
      </c>
      <c r="DX20">
        <v>1026.58</v>
      </c>
      <c r="DY20">
        <v>1.9326000000000001</v>
      </c>
      <c r="DZ20">
        <v>999.947</v>
      </c>
      <c r="EA20">
        <v>25.944099999999999</v>
      </c>
      <c r="EB20">
        <v>2.74892</v>
      </c>
      <c r="EC20">
        <v>2.5583399999999998</v>
      </c>
      <c r="ED20">
        <v>22.580500000000001</v>
      </c>
      <c r="EE20">
        <v>21.4025</v>
      </c>
      <c r="EF20">
        <v>1800.04</v>
      </c>
      <c r="EG20">
        <v>0.97799800000000003</v>
      </c>
      <c r="EH20">
        <v>2.20016E-2</v>
      </c>
      <c r="EI20">
        <v>0</v>
      </c>
      <c r="EJ20">
        <v>561.39599999999996</v>
      </c>
      <c r="EK20">
        <v>5.0005300000000004</v>
      </c>
      <c r="EL20">
        <v>11318</v>
      </c>
      <c r="EM20">
        <v>16035.6</v>
      </c>
      <c r="EN20">
        <v>50.436999999999998</v>
      </c>
      <c r="EO20">
        <v>51.436999999999998</v>
      </c>
      <c r="EP20">
        <v>51.061999999999998</v>
      </c>
      <c r="EQ20">
        <v>51.125</v>
      </c>
      <c r="ER20">
        <v>51.625</v>
      </c>
      <c r="ES20">
        <v>1755.55</v>
      </c>
      <c r="ET20">
        <v>39.49</v>
      </c>
      <c r="EU20">
        <v>0</v>
      </c>
      <c r="EV20">
        <v>202.79999995231631</v>
      </c>
      <c r="EW20">
        <v>0</v>
      </c>
      <c r="EX20">
        <v>562.02</v>
      </c>
      <c r="EY20">
        <v>-1.9109999991105839</v>
      </c>
      <c r="EZ20">
        <v>-47.19230773994726</v>
      </c>
      <c r="FA20">
        <v>11330.175999999999</v>
      </c>
      <c r="FB20">
        <v>15</v>
      </c>
      <c r="FC20">
        <v>1700235572.0999999</v>
      </c>
      <c r="FD20" t="s">
        <v>438</v>
      </c>
      <c r="FE20">
        <v>1700235572.0999999</v>
      </c>
      <c r="FF20">
        <v>1700235572.0999999</v>
      </c>
      <c r="FG20">
        <v>6</v>
      </c>
      <c r="FH20">
        <v>-0.19500000000000001</v>
      </c>
      <c r="FI20">
        <v>-2E-3</v>
      </c>
      <c r="FJ20">
        <v>-0.78100000000000003</v>
      </c>
      <c r="FK20">
        <v>6.0000000000000001E-3</v>
      </c>
      <c r="FL20">
        <v>1000</v>
      </c>
      <c r="FM20">
        <v>26</v>
      </c>
      <c r="FN20">
        <v>0.06</v>
      </c>
      <c r="FO20">
        <v>0.1</v>
      </c>
      <c r="FP20">
        <v>43.20696893082215</v>
      </c>
      <c r="FQ20">
        <v>0.39008584820665221</v>
      </c>
      <c r="FR20">
        <v>7.5795083625077642E-2</v>
      </c>
      <c r="FS20">
        <v>1</v>
      </c>
      <c r="FT20">
        <v>0.12786281364726529</v>
      </c>
      <c r="FU20">
        <v>1.212120607403188E-2</v>
      </c>
      <c r="FV20">
        <v>9.3861064363543595E-4</v>
      </c>
      <c r="FW20">
        <v>1</v>
      </c>
      <c r="FX20">
        <v>2</v>
      </c>
      <c r="FY20">
        <v>2</v>
      </c>
      <c r="FZ20" t="s">
        <v>420</v>
      </c>
      <c r="GA20">
        <v>3.1186600000000002</v>
      </c>
      <c r="GB20">
        <v>2.7670599999999999</v>
      </c>
      <c r="GC20">
        <v>0.163081</v>
      </c>
      <c r="GD20">
        <v>0.167826</v>
      </c>
      <c r="GE20">
        <v>0.118787</v>
      </c>
      <c r="GF20">
        <v>0.11319799999999999</v>
      </c>
      <c r="GG20">
        <v>20012</v>
      </c>
      <c r="GH20">
        <v>20694.8</v>
      </c>
      <c r="GI20">
        <v>23773</v>
      </c>
      <c r="GJ20">
        <v>25184.1</v>
      </c>
      <c r="GK20">
        <v>30169.1</v>
      </c>
      <c r="GL20">
        <v>31307.7</v>
      </c>
      <c r="GM20">
        <v>37892.199999999997</v>
      </c>
      <c r="GN20">
        <v>39192.9</v>
      </c>
      <c r="GO20">
        <v>2.1497199999999999</v>
      </c>
      <c r="GP20">
        <v>1.8541300000000001</v>
      </c>
      <c r="GQ20">
        <v>7.2717699999999996E-2</v>
      </c>
      <c r="GR20">
        <v>0</v>
      </c>
      <c r="GS20">
        <v>28.803799999999999</v>
      </c>
      <c r="GT20">
        <v>999.9</v>
      </c>
      <c r="GU20">
        <v>62.5</v>
      </c>
      <c r="GV20">
        <v>31.6</v>
      </c>
      <c r="GW20">
        <v>29.585100000000001</v>
      </c>
      <c r="GX20">
        <v>60.221899999999998</v>
      </c>
      <c r="GY20">
        <v>26.257999999999999</v>
      </c>
      <c r="GZ20">
        <v>1</v>
      </c>
      <c r="HA20">
        <v>0.45170700000000003</v>
      </c>
      <c r="HB20">
        <v>1.60267</v>
      </c>
      <c r="HC20">
        <v>20.318100000000001</v>
      </c>
      <c r="HD20">
        <v>5.2499399999999996</v>
      </c>
      <c r="HE20">
        <v>12.0107</v>
      </c>
      <c r="HF20">
        <v>4.9777500000000003</v>
      </c>
      <c r="HG20">
        <v>3.2922500000000001</v>
      </c>
      <c r="HH20">
        <v>9999</v>
      </c>
      <c r="HI20">
        <v>9999</v>
      </c>
      <c r="HJ20">
        <v>9999</v>
      </c>
      <c r="HK20">
        <v>999.9</v>
      </c>
      <c r="HL20">
        <v>1.8760699999999999</v>
      </c>
      <c r="HM20">
        <v>1.87683</v>
      </c>
      <c r="HN20">
        <v>1.88327</v>
      </c>
      <c r="HO20">
        <v>1.88629</v>
      </c>
      <c r="HP20">
        <v>1.8771100000000001</v>
      </c>
      <c r="HQ20">
        <v>1.88384</v>
      </c>
      <c r="HR20">
        <v>1.8826400000000001</v>
      </c>
      <c r="HS20">
        <v>1.8859999999999999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424</v>
      </c>
      <c r="IB20" t="s">
        <v>424</v>
      </c>
      <c r="IC20" t="s">
        <v>423</v>
      </c>
      <c r="ID20">
        <v>0</v>
      </c>
      <c r="IE20">
        <v>100</v>
      </c>
      <c r="IF20">
        <v>100</v>
      </c>
      <c r="IG20">
        <v>-0.75900000000000001</v>
      </c>
      <c r="IH20">
        <v>5.8999999999999999E-3</v>
      </c>
      <c r="II20">
        <v>-0.57606168843660643</v>
      </c>
      <c r="IJ20">
        <v>4.4610147972834149E-5</v>
      </c>
      <c r="IK20">
        <v>-2.082673137682459E-7</v>
      </c>
      <c r="IL20">
        <v>-4.0725795306076518E-11</v>
      </c>
      <c r="IM20">
        <v>5.9142857142902017E-3</v>
      </c>
      <c r="IN20">
        <v>0</v>
      </c>
      <c r="IO20">
        <v>0</v>
      </c>
      <c r="IP20">
        <v>0</v>
      </c>
      <c r="IQ20">
        <v>3</v>
      </c>
      <c r="IR20">
        <v>2179</v>
      </c>
      <c r="IS20">
        <v>0</v>
      </c>
      <c r="IT20">
        <v>22</v>
      </c>
      <c r="IU20">
        <v>2.2999999999999998</v>
      </c>
      <c r="IV20">
        <v>2.2999999999999998</v>
      </c>
      <c r="IW20">
        <v>2.1203599999999998</v>
      </c>
      <c r="IX20">
        <v>2.6171899999999999</v>
      </c>
      <c r="IY20">
        <v>1.6015600000000001</v>
      </c>
      <c r="IZ20">
        <v>2.34985</v>
      </c>
      <c r="JA20">
        <v>1.5502899999999999</v>
      </c>
      <c r="JB20">
        <v>2.2912599999999999</v>
      </c>
      <c r="JC20">
        <v>37.385800000000003</v>
      </c>
      <c r="JD20">
        <v>24.113800000000001</v>
      </c>
      <c r="JE20">
        <v>18</v>
      </c>
      <c r="JF20">
        <v>598.11699999999996</v>
      </c>
      <c r="JG20">
        <v>441.01799999999997</v>
      </c>
      <c r="JH20">
        <v>27.3477</v>
      </c>
      <c r="JI20">
        <v>32.776400000000002</v>
      </c>
      <c r="JJ20">
        <v>30.000599999999999</v>
      </c>
      <c r="JK20">
        <v>32.718299999999999</v>
      </c>
      <c r="JL20">
        <v>32.6935</v>
      </c>
      <c r="JM20">
        <v>42.446800000000003</v>
      </c>
      <c r="JN20">
        <v>23.1828</v>
      </c>
      <c r="JO20">
        <v>100</v>
      </c>
      <c r="JP20">
        <v>27.347899999999999</v>
      </c>
      <c r="JQ20">
        <v>1000</v>
      </c>
      <c r="JR20">
        <v>25.964700000000001</v>
      </c>
      <c r="JS20">
        <v>98.835400000000007</v>
      </c>
      <c r="JT20">
        <v>99.183999999999997</v>
      </c>
    </row>
    <row r="21" spans="1:280" x14ac:dyDescent="0.25">
      <c r="A21">
        <v>5</v>
      </c>
      <c r="B21">
        <v>1700235917.0999999</v>
      </c>
      <c r="C21">
        <v>679.59999990463257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1700235917.0999999</v>
      </c>
      <c r="J21">
        <f t="shared" si="0"/>
        <v>2.8026850296749713E-3</v>
      </c>
      <c r="K21">
        <f t="shared" si="1"/>
        <v>2.8026850296749712</v>
      </c>
      <c r="L21">
        <f t="shared" si="2"/>
        <v>43.755858359080101</v>
      </c>
      <c r="M21">
        <f t="shared" si="3"/>
        <v>704.29200000000003</v>
      </c>
      <c r="N21">
        <f t="shared" si="4"/>
        <v>300.87604319321582</v>
      </c>
      <c r="O21">
        <f t="shared" si="5"/>
        <v>29.702495440302453</v>
      </c>
      <c r="P21">
        <f t="shared" si="6"/>
        <v>69.527735397688801</v>
      </c>
      <c r="Q21">
        <f t="shared" si="7"/>
        <v>0.18414966190658399</v>
      </c>
      <c r="R21">
        <f t="shared" si="8"/>
        <v>3.1179035604460874</v>
      </c>
      <c r="S21">
        <f t="shared" si="9"/>
        <v>0.17831375557396123</v>
      </c>
      <c r="T21">
        <f t="shared" si="10"/>
        <v>0.11195502386682797</v>
      </c>
      <c r="U21">
        <f t="shared" si="11"/>
        <v>344.34719930212037</v>
      </c>
      <c r="V21">
        <f t="shared" si="12"/>
        <v>31.239627531424496</v>
      </c>
      <c r="W21">
        <f t="shared" si="13"/>
        <v>30.0016</v>
      </c>
      <c r="X21">
        <f t="shared" si="14"/>
        <v>4.2608413348914755</v>
      </c>
      <c r="Y21">
        <f t="shared" si="15"/>
        <v>64.833714393418845</v>
      </c>
      <c r="Z21">
        <f t="shared" si="16"/>
        <v>2.7643980872993601</v>
      </c>
      <c r="AA21">
        <f t="shared" si="17"/>
        <v>4.2638280301582858</v>
      </c>
      <c r="AB21">
        <f t="shared" si="18"/>
        <v>1.4964432475921154</v>
      </c>
      <c r="AC21">
        <f t="shared" si="19"/>
        <v>-123.59840980866623</v>
      </c>
      <c r="AD21">
        <f t="shared" si="20"/>
        <v>2.0507274843593857</v>
      </c>
      <c r="AE21">
        <f t="shared" si="21"/>
        <v>0.14625727469913893</v>
      </c>
      <c r="AF21">
        <f t="shared" si="22"/>
        <v>222.94577425251268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51644.205917822124</v>
      </c>
      <c r="AL21" t="s">
        <v>415</v>
      </c>
      <c r="AM21">
        <v>6977.87</v>
      </c>
      <c r="AN21">
        <v>273.15280000000001</v>
      </c>
      <c r="AO21">
        <v>850.46774885301022</v>
      </c>
      <c r="AP21">
        <f t="shared" si="26"/>
        <v>0.67882050745793765</v>
      </c>
      <c r="AQ21">
        <v>-1.0323826813720729</v>
      </c>
      <c r="AR21" t="s">
        <v>441</v>
      </c>
      <c r="AS21">
        <v>7087.6</v>
      </c>
      <c r="AT21">
        <v>561.01811538461538</v>
      </c>
      <c r="AU21">
        <v>845.34239078841802</v>
      </c>
      <c r="AV21">
        <f t="shared" si="27"/>
        <v>0.33634214787055028</v>
      </c>
      <c r="AW21">
        <v>0.5</v>
      </c>
      <c r="AX21">
        <f t="shared" si="28"/>
        <v>1513.0841996510601</v>
      </c>
      <c r="AY21">
        <f t="shared" si="29"/>
        <v>43.755858359080101</v>
      </c>
      <c r="AZ21">
        <f t="shared" si="30"/>
        <v>254.45699480981503</v>
      </c>
      <c r="BA21">
        <f t="shared" si="31"/>
        <v>2.9600627017836161E-2</v>
      </c>
      <c r="BB21">
        <f t="shared" si="32"/>
        <v>6.063055775319611E-3</v>
      </c>
      <c r="BC21">
        <f t="shared" si="33"/>
        <v>272.62191538982506</v>
      </c>
      <c r="BD21" t="s">
        <v>442</v>
      </c>
      <c r="BE21">
        <v>409.72</v>
      </c>
      <c r="BF21">
        <f t="shared" si="34"/>
        <v>409.72</v>
      </c>
      <c r="BG21">
        <f t="shared" si="35"/>
        <v>0.51532065058529697</v>
      </c>
      <c r="BH21">
        <f t="shared" si="36"/>
        <v>0.65268517279199978</v>
      </c>
      <c r="BI21">
        <f t="shared" si="37"/>
        <v>1.1628778769557636E-2</v>
      </c>
      <c r="BJ21">
        <f t="shared" si="38"/>
        <v>0.49690571094107683</v>
      </c>
      <c r="BK21">
        <f t="shared" si="39"/>
        <v>8.8779236961992643E-3</v>
      </c>
      <c r="BL21">
        <f t="shared" si="40"/>
        <v>0.47666583602742518</v>
      </c>
      <c r="BM21">
        <f t="shared" si="41"/>
        <v>0.52333416397257482</v>
      </c>
      <c r="BN21">
        <v>11368</v>
      </c>
      <c r="BO21">
        <v>290.00000000000011</v>
      </c>
      <c r="BP21">
        <v>761.95</v>
      </c>
      <c r="BQ21">
        <v>285</v>
      </c>
      <c r="BR21">
        <v>7087.6</v>
      </c>
      <c r="BS21">
        <v>764.19</v>
      </c>
      <c r="BT21">
        <v>-2.2400000000000002</v>
      </c>
      <c r="BU21">
        <v>300.00000000000011</v>
      </c>
      <c r="BV21">
        <v>38.4</v>
      </c>
      <c r="BW21">
        <v>845.34239078841802</v>
      </c>
      <c r="BX21">
        <v>1.900833825056045</v>
      </c>
      <c r="BY21">
        <v>-57.514847645733539</v>
      </c>
      <c r="BZ21">
        <v>1.1292912955529479</v>
      </c>
      <c r="CA21">
        <v>0.98932059406328821</v>
      </c>
      <c r="CB21">
        <v>-6.9882981090100176E-3</v>
      </c>
      <c r="CC21">
        <v>289.99999999999989</v>
      </c>
      <c r="CD21">
        <v>770.38</v>
      </c>
      <c r="CE21">
        <v>785</v>
      </c>
      <c r="CF21">
        <v>7079.65</v>
      </c>
      <c r="CG21">
        <v>764.1</v>
      </c>
      <c r="CH21">
        <v>6.28</v>
      </c>
      <c r="CV21">
        <f t="shared" si="42"/>
        <v>1799.88</v>
      </c>
      <c r="CW21">
        <f t="shared" si="43"/>
        <v>1513.0841996510601</v>
      </c>
      <c r="CX21">
        <f t="shared" si="44"/>
        <v>0.84065837703127988</v>
      </c>
      <c r="CY21">
        <f t="shared" si="45"/>
        <v>0.19131675406255993</v>
      </c>
      <c r="CZ21">
        <v>5</v>
      </c>
      <c r="DA21">
        <v>0.5</v>
      </c>
      <c r="DB21" t="s">
        <v>418</v>
      </c>
      <c r="DC21">
        <v>2</v>
      </c>
      <c r="DD21">
        <v>1700235917.0999999</v>
      </c>
      <c r="DE21">
        <v>704.29200000000003</v>
      </c>
      <c r="DF21">
        <v>750.01499999999999</v>
      </c>
      <c r="DG21">
        <v>28.002400000000002</v>
      </c>
      <c r="DH21">
        <v>25.278600000000001</v>
      </c>
      <c r="DI21">
        <v>705.077</v>
      </c>
      <c r="DJ21">
        <v>28.000599999999999</v>
      </c>
      <c r="DK21">
        <v>500.07400000000001</v>
      </c>
      <c r="DL21">
        <v>98.620099999999994</v>
      </c>
      <c r="DM21">
        <v>9.99414E-2</v>
      </c>
      <c r="DN21">
        <v>30.0138</v>
      </c>
      <c r="DO21">
        <v>30.0016</v>
      </c>
      <c r="DP21">
        <v>999.9</v>
      </c>
      <c r="DQ21">
        <v>0</v>
      </c>
      <c r="DR21">
        <v>0</v>
      </c>
      <c r="DS21">
        <v>10003.1</v>
      </c>
      <c r="DT21">
        <v>0</v>
      </c>
      <c r="DU21">
        <v>677.33399999999995</v>
      </c>
      <c r="DV21">
        <v>-45.723399999999998</v>
      </c>
      <c r="DW21">
        <v>724.58199999999999</v>
      </c>
      <c r="DX21">
        <v>769.46600000000001</v>
      </c>
      <c r="DY21">
        <v>2.7237399999999998</v>
      </c>
      <c r="DZ21">
        <v>750.01499999999999</v>
      </c>
      <c r="EA21">
        <v>25.278600000000001</v>
      </c>
      <c r="EB21">
        <v>2.7616000000000001</v>
      </c>
      <c r="EC21">
        <v>2.4929800000000002</v>
      </c>
      <c r="ED21">
        <v>22.656300000000002</v>
      </c>
      <c r="EE21">
        <v>20.980799999999999</v>
      </c>
      <c r="EF21">
        <v>1799.88</v>
      </c>
      <c r="EG21">
        <v>0.97799499999999995</v>
      </c>
      <c r="EH21">
        <v>2.2005199999999999E-2</v>
      </c>
      <c r="EI21">
        <v>0</v>
      </c>
      <c r="EJ21">
        <v>560.66600000000005</v>
      </c>
      <c r="EK21">
        <v>5.0005300000000004</v>
      </c>
      <c r="EL21">
        <v>12789.4</v>
      </c>
      <c r="EM21">
        <v>16034.2</v>
      </c>
      <c r="EN21">
        <v>50.811999999999998</v>
      </c>
      <c r="EO21">
        <v>51.75</v>
      </c>
      <c r="EP21">
        <v>51.436999999999998</v>
      </c>
      <c r="EQ21">
        <v>51.375</v>
      </c>
      <c r="ER21">
        <v>51.811999999999998</v>
      </c>
      <c r="ES21">
        <v>1755.38</v>
      </c>
      <c r="ET21">
        <v>39.5</v>
      </c>
      <c r="EU21">
        <v>0</v>
      </c>
      <c r="EV21">
        <v>205.79999995231631</v>
      </c>
      <c r="EW21">
        <v>0</v>
      </c>
      <c r="EX21">
        <v>561.01811538461538</v>
      </c>
      <c r="EY21">
        <v>-1.0156239288463209</v>
      </c>
      <c r="EZ21">
        <v>1688.201707032337</v>
      </c>
      <c r="FA21">
        <v>12274.74230769231</v>
      </c>
      <c r="FB21">
        <v>15</v>
      </c>
      <c r="FC21">
        <v>1700235834.0999999</v>
      </c>
      <c r="FD21" t="s">
        <v>443</v>
      </c>
      <c r="FE21">
        <v>1700235834.0999999</v>
      </c>
      <c r="FF21">
        <v>1700235827.0999999</v>
      </c>
      <c r="FG21">
        <v>7</v>
      </c>
      <c r="FH21">
        <v>-0.123</v>
      </c>
      <c r="FI21">
        <v>-4.0000000000000001E-3</v>
      </c>
      <c r="FJ21">
        <v>-0.8</v>
      </c>
      <c r="FK21">
        <v>2E-3</v>
      </c>
      <c r="FL21">
        <v>750</v>
      </c>
      <c r="FM21">
        <v>26</v>
      </c>
      <c r="FN21">
        <v>0.04</v>
      </c>
      <c r="FO21">
        <v>0.06</v>
      </c>
      <c r="FP21">
        <v>43.657420090465322</v>
      </c>
      <c r="FQ21">
        <v>0.62383889879842569</v>
      </c>
      <c r="FR21">
        <v>7.5292403831897822E-2</v>
      </c>
      <c r="FS21">
        <v>1</v>
      </c>
      <c r="FT21">
        <v>0.1824890632858189</v>
      </c>
      <c r="FU21">
        <v>2.2439034788977932E-2</v>
      </c>
      <c r="FV21">
        <v>1.776053684209784E-3</v>
      </c>
      <c r="FW21">
        <v>1</v>
      </c>
      <c r="FX21">
        <v>2</v>
      </c>
      <c r="FY21">
        <v>2</v>
      </c>
      <c r="FZ21" t="s">
        <v>420</v>
      </c>
      <c r="GA21">
        <v>3.1191</v>
      </c>
      <c r="GB21">
        <v>2.7668499999999998</v>
      </c>
      <c r="GC21">
        <v>0.13336500000000001</v>
      </c>
      <c r="GD21">
        <v>0.13902800000000001</v>
      </c>
      <c r="GE21">
        <v>0.119128</v>
      </c>
      <c r="GF21">
        <v>0.111122</v>
      </c>
      <c r="GG21">
        <v>20715.599999999999</v>
      </c>
      <c r="GH21">
        <v>21405.200000000001</v>
      </c>
      <c r="GI21">
        <v>23764.7</v>
      </c>
      <c r="GJ21">
        <v>25177.1</v>
      </c>
      <c r="GK21">
        <v>30147.7</v>
      </c>
      <c r="GL21">
        <v>31372.799999999999</v>
      </c>
      <c r="GM21">
        <v>37880</v>
      </c>
      <c r="GN21">
        <v>39182.699999999997</v>
      </c>
      <c r="GO21">
        <v>2.1487799999999999</v>
      </c>
      <c r="GP21">
        <v>1.84562</v>
      </c>
      <c r="GQ21">
        <v>5.7965500000000003E-2</v>
      </c>
      <c r="GR21">
        <v>0</v>
      </c>
      <c r="GS21">
        <v>29.057500000000001</v>
      </c>
      <c r="GT21">
        <v>999.9</v>
      </c>
      <c r="GU21">
        <v>61.9</v>
      </c>
      <c r="GV21">
        <v>31.9</v>
      </c>
      <c r="GW21">
        <v>29.801600000000001</v>
      </c>
      <c r="GX21">
        <v>60.631900000000002</v>
      </c>
      <c r="GY21">
        <v>26.786899999999999</v>
      </c>
      <c r="GZ21">
        <v>1</v>
      </c>
      <c r="HA21">
        <v>0.469781</v>
      </c>
      <c r="HB21">
        <v>2.2891699999999999</v>
      </c>
      <c r="HC21">
        <v>20.3094</v>
      </c>
      <c r="HD21">
        <v>5.2527799999999996</v>
      </c>
      <c r="HE21">
        <v>12.0101</v>
      </c>
      <c r="HF21">
        <v>4.9798499999999999</v>
      </c>
      <c r="HG21">
        <v>3.2930000000000001</v>
      </c>
      <c r="HH21">
        <v>9999</v>
      </c>
      <c r="HI21">
        <v>9999</v>
      </c>
      <c r="HJ21">
        <v>9999</v>
      </c>
      <c r="HK21">
        <v>999.9</v>
      </c>
      <c r="HL21">
        <v>1.8760699999999999</v>
      </c>
      <c r="HM21">
        <v>1.87683</v>
      </c>
      <c r="HN21">
        <v>1.8833200000000001</v>
      </c>
      <c r="HO21">
        <v>1.88632</v>
      </c>
      <c r="HP21">
        <v>1.87713</v>
      </c>
      <c r="HQ21">
        <v>1.88385</v>
      </c>
      <c r="HR21">
        <v>1.8826499999999999</v>
      </c>
      <c r="HS21">
        <v>1.88601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424</v>
      </c>
      <c r="IB21" t="s">
        <v>424</v>
      </c>
      <c r="IC21" t="s">
        <v>423</v>
      </c>
      <c r="ID21">
        <v>0</v>
      </c>
      <c r="IE21">
        <v>100</v>
      </c>
      <c r="IF21">
        <v>100</v>
      </c>
      <c r="IG21">
        <v>-0.78500000000000003</v>
      </c>
      <c r="IH21">
        <v>1.8E-3</v>
      </c>
      <c r="II21">
        <v>-0.69894709358714424</v>
      </c>
      <c r="IJ21">
        <v>4.4610147972834149E-5</v>
      </c>
      <c r="IK21">
        <v>-2.082673137682459E-7</v>
      </c>
      <c r="IL21">
        <v>-4.0725795306076518E-11</v>
      </c>
      <c r="IM21">
        <v>1.8199999999914951E-3</v>
      </c>
      <c r="IN21">
        <v>0</v>
      </c>
      <c r="IO21">
        <v>0</v>
      </c>
      <c r="IP21">
        <v>0</v>
      </c>
      <c r="IQ21">
        <v>3</v>
      </c>
      <c r="IR21">
        <v>2179</v>
      </c>
      <c r="IS21">
        <v>0</v>
      </c>
      <c r="IT21">
        <v>22</v>
      </c>
      <c r="IU21">
        <v>1.4</v>
      </c>
      <c r="IV21">
        <v>1.5</v>
      </c>
      <c r="IW21">
        <v>1.6784699999999999</v>
      </c>
      <c r="IX21">
        <v>2.6171899999999999</v>
      </c>
      <c r="IY21">
        <v>1.6015600000000001</v>
      </c>
      <c r="IZ21">
        <v>2.34863</v>
      </c>
      <c r="JA21">
        <v>1.5502899999999999</v>
      </c>
      <c r="JB21">
        <v>2.4096700000000002</v>
      </c>
      <c r="JC21">
        <v>37.771099999999997</v>
      </c>
      <c r="JD21">
        <v>24.113800000000001</v>
      </c>
      <c r="JE21">
        <v>18</v>
      </c>
      <c r="JF21">
        <v>599.29200000000003</v>
      </c>
      <c r="JG21">
        <v>436.767</v>
      </c>
      <c r="JH21">
        <v>26.874400000000001</v>
      </c>
      <c r="JI21">
        <v>32.9786</v>
      </c>
      <c r="JJ21">
        <v>30.000499999999999</v>
      </c>
      <c r="JK21">
        <v>32.9191</v>
      </c>
      <c r="JL21">
        <v>32.896900000000002</v>
      </c>
      <c r="JM21">
        <v>33.589599999999997</v>
      </c>
      <c r="JN21">
        <v>27.417300000000001</v>
      </c>
      <c r="JO21">
        <v>100</v>
      </c>
      <c r="JP21">
        <v>26.8706</v>
      </c>
      <c r="JQ21">
        <v>750</v>
      </c>
      <c r="JR21">
        <v>25.279399999999999</v>
      </c>
      <c r="JS21">
        <v>98.802700000000002</v>
      </c>
      <c r="JT21">
        <v>99.157600000000002</v>
      </c>
    </row>
    <row r="22" spans="1:280" x14ac:dyDescent="0.25">
      <c r="A22">
        <v>6</v>
      </c>
      <c r="B22">
        <v>1700236044.0999999</v>
      </c>
      <c r="C22">
        <v>806.59999990463257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1700236044.0999999</v>
      </c>
      <c r="J22">
        <f t="shared" si="0"/>
        <v>2.8364449311811448E-3</v>
      </c>
      <c r="K22">
        <f t="shared" si="1"/>
        <v>2.8364449311811448</v>
      </c>
      <c r="L22">
        <f t="shared" si="2"/>
        <v>41.037286370729568</v>
      </c>
      <c r="M22">
        <f t="shared" si="3"/>
        <v>557.32500000000005</v>
      </c>
      <c r="N22">
        <f t="shared" si="4"/>
        <v>188.21678541837915</v>
      </c>
      <c r="O22">
        <f t="shared" si="5"/>
        <v>18.580591906077334</v>
      </c>
      <c r="P22">
        <f t="shared" si="6"/>
        <v>55.018623132022505</v>
      </c>
      <c r="Q22">
        <f t="shared" si="7"/>
        <v>0.18768583249136575</v>
      </c>
      <c r="R22">
        <f t="shared" si="8"/>
        <v>3.116789034388614</v>
      </c>
      <c r="S22">
        <f t="shared" si="9"/>
        <v>0.18162552095435808</v>
      </c>
      <c r="T22">
        <f t="shared" si="10"/>
        <v>0.11404414428316126</v>
      </c>
      <c r="U22">
        <f t="shared" si="11"/>
        <v>344.35289930213202</v>
      </c>
      <c r="V22">
        <f t="shared" si="12"/>
        <v>31.081518885278662</v>
      </c>
      <c r="W22">
        <f t="shared" si="13"/>
        <v>29.940899999999999</v>
      </c>
      <c r="X22">
        <f t="shared" si="14"/>
        <v>4.2460083887914912</v>
      </c>
      <c r="Y22">
        <f t="shared" si="15"/>
        <v>65.269052550196392</v>
      </c>
      <c r="Z22">
        <f t="shared" si="16"/>
        <v>2.7590113150425299</v>
      </c>
      <c r="AA22">
        <f t="shared" si="17"/>
        <v>4.2271355370459229</v>
      </c>
      <c r="AB22">
        <f t="shared" si="18"/>
        <v>1.4869970737489613</v>
      </c>
      <c r="AC22">
        <f t="shared" si="19"/>
        <v>-125.08722146508849</v>
      </c>
      <c r="AD22">
        <f t="shared" si="20"/>
        <v>-13.022505607701914</v>
      </c>
      <c r="AE22">
        <f t="shared" si="21"/>
        <v>-0.92812277249710518</v>
      </c>
      <c r="AF22">
        <f t="shared" si="22"/>
        <v>205.31504945684455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51641.636844753055</v>
      </c>
      <c r="AL22" t="s">
        <v>427</v>
      </c>
      <c r="AM22" t="s">
        <v>427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427</v>
      </c>
      <c r="AS22" t="s">
        <v>427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1513.1093996510658</v>
      </c>
      <c r="AY22">
        <f t="shared" si="29"/>
        <v>41.037286370729568</v>
      </c>
      <c r="AZ22" t="e">
        <f t="shared" si="30"/>
        <v>#DIV/0!</v>
      </c>
      <c r="BA22">
        <f t="shared" si="31"/>
        <v>2.7121162805672259E-2</v>
      </c>
      <c r="BB22" t="e">
        <f t="shared" si="32"/>
        <v>#DIV/0!</v>
      </c>
      <c r="BC22" t="e">
        <f t="shared" si="33"/>
        <v>#DIV/0!</v>
      </c>
      <c r="BD22" t="s">
        <v>427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BN22">
        <v>11368</v>
      </c>
      <c r="BO22">
        <v>290.00000000000011</v>
      </c>
      <c r="BP22">
        <v>761.95</v>
      </c>
      <c r="BQ22">
        <v>285</v>
      </c>
      <c r="BR22">
        <v>7087.6</v>
      </c>
      <c r="BS22">
        <v>764.19</v>
      </c>
      <c r="BT22">
        <v>-2.2400000000000002</v>
      </c>
      <c r="BU22">
        <v>300.00000000000011</v>
      </c>
      <c r="BV22">
        <v>38.4</v>
      </c>
      <c r="BW22">
        <v>845.34239078841802</v>
      </c>
      <c r="BX22">
        <v>1.900833825056045</v>
      </c>
      <c r="BY22">
        <v>-57.514847645733539</v>
      </c>
      <c r="BZ22">
        <v>1.1292912955529479</v>
      </c>
      <c r="CA22">
        <v>0.98932059406328821</v>
      </c>
      <c r="CB22">
        <v>-6.9882981090100176E-3</v>
      </c>
      <c r="CC22">
        <v>289.99999999999989</v>
      </c>
      <c r="CD22">
        <v>770.38</v>
      </c>
      <c r="CE22">
        <v>785</v>
      </c>
      <c r="CF22">
        <v>7079.65</v>
      </c>
      <c r="CG22">
        <v>764.1</v>
      </c>
      <c r="CH22">
        <v>6.28</v>
      </c>
      <c r="CV22">
        <f t="shared" si="42"/>
        <v>1799.91</v>
      </c>
      <c r="CW22">
        <f t="shared" si="43"/>
        <v>1513.1093996510658</v>
      </c>
      <c r="CX22">
        <f t="shared" si="44"/>
        <v>0.84065836605778388</v>
      </c>
      <c r="CY22">
        <f t="shared" si="45"/>
        <v>0.19131673211556799</v>
      </c>
      <c r="CZ22">
        <v>5</v>
      </c>
      <c r="DA22">
        <v>0.5</v>
      </c>
      <c r="DB22" t="s">
        <v>418</v>
      </c>
      <c r="DC22">
        <v>2</v>
      </c>
      <c r="DD22">
        <v>1700236044.0999999</v>
      </c>
      <c r="DE22">
        <v>557.32500000000005</v>
      </c>
      <c r="DF22">
        <v>599.94200000000001</v>
      </c>
      <c r="DG22">
        <v>27.9481</v>
      </c>
      <c r="DH22">
        <v>25.190999999999999</v>
      </c>
      <c r="DI22">
        <v>557.92499999999995</v>
      </c>
      <c r="DJ22">
        <v>27.945900000000002</v>
      </c>
      <c r="DK22">
        <v>500.01299999999998</v>
      </c>
      <c r="DL22">
        <v>98.619200000000006</v>
      </c>
      <c r="DM22">
        <v>9.9901299999999998E-2</v>
      </c>
      <c r="DN22">
        <v>29.863399999999999</v>
      </c>
      <c r="DO22">
        <v>29.940899999999999</v>
      </c>
      <c r="DP22">
        <v>999.9</v>
      </c>
      <c r="DQ22">
        <v>0</v>
      </c>
      <c r="DR22">
        <v>0</v>
      </c>
      <c r="DS22">
        <v>9997.5</v>
      </c>
      <c r="DT22">
        <v>0</v>
      </c>
      <c r="DU22">
        <v>535.6</v>
      </c>
      <c r="DV22">
        <v>-42.6173</v>
      </c>
      <c r="DW22">
        <v>573.34900000000005</v>
      </c>
      <c r="DX22">
        <v>615.44600000000003</v>
      </c>
      <c r="DY22">
        <v>2.7570899999999998</v>
      </c>
      <c r="DZ22">
        <v>599.94200000000001</v>
      </c>
      <c r="EA22">
        <v>25.190999999999999</v>
      </c>
      <c r="EB22">
        <v>2.7562199999999999</v>
      </c>
      <c r="EC22">
        <v>2.4843199999999999</v>
      </c>
      <c r="ED22">
        <v>22.624199999999998</v>
      </c>
      <c r="EE22">
        <v>20.924099999999999</v>
      </c>
      <c r="EF22">
        <v>1799.91</v>
      </c>
      <c r="EG22">
        <v>0.97799100000000005</v>
      </c>
      <c r="EH22">
        <v>2.20086E-2</v>
      </c>
      <c r="EI22">
        <v>0</v>
      </c>
      <c r="EJ22">
        <v>561.47199999999998</v>
      </c>
      <c r="EK22">
        <v>5.0005300000000004</v>
      </c>
      <c r="EL22">
        <v>11383.1</v>
      </c>
      <c r="EM22">
        <v>16034.5</v>
      </c>
      <c r="EN22">
        <v>50.25</v>
      </c>
      <c r="EO22">
        <v>51.311999999999998</v>
      </c>
      <c r="EP22">
        <v>50.875</v>
      </c>
      <c r="EQ22">
        <v>50.625</v>
      </c>
      <c r="ER22">
        <v>51.25</v>
      </c>
      <c r="ES22">
        <v>1755.41</v>
      </c>
      <c r="ET22">
        <v>39.5</v>
      </c>
      <c r="EU22">
        <v>0</v>
      </c>
      <c r="EV22">
        <v>124.7999999523163</v>
      </c>
      <c r="EW22">
        <v>0</v>
      </c>
      <c r="EX22">
        <v>562.23239999999998</v>
      </c>
      <c r="EY22">
        <v>-1.4265384563320529</v>
      </c>
      <c r="EZ22">
        <v>-164.3000003304399</v>
      </c>
      <c r="FA22">
        <v>11404.175999999999</v>
      </c>
      <c r="FB22">
        <v>15</v>
      </c>
      <c r="FC22">
        <v>1700235994.5999999</v>
      </c>
      <c r="FD22" t="s">
        <v>446</v>
      </c>
      <c r="FE22">
        <v>1700235994.5999999</v>
      </c>
      <c r="FF22">
        <v>1700235985.5999999</v>
      </c>
      <c r="FG22">
        <v>8</v>
      </c>
      <c r="FH22">
        <v>0.14599999999999999</v>
      </c>
      <c r="FI22">
        <v>0</v>
      </c>
      <c r="FJ22">
        <v>-0.61</v>
      </c>
      <c r="FK22">
        <v>2E-3</v>
      </c>
      <c r="FL22">
        <v>600</v>
      </c>
      <c r="FM22">
        <v>25</v>
      </c>
      <c r="FN22">
        <v>0.08</v>
      </c>
      <c r="FO22">
        <v>0.03</v>
      </c>
      <c r="FP22">
        <v>40.980590367008048</v>
      </c>
      <c r="FQ22">
        <v>0.66204910824831775</v>
      </c>
      <c r="FR22">
        <v>6.1648140746037097E-2</v>
      </c>
      <c r="FS22">
        <v>1</v>
      </c>
      <c r="FT22">
        <v>0.189291244091539</v>
      </c>
      <c r="FU22">
        <v>1.6511942739029391E-2</v>
      </c>
      <c r="FV22">
        <v>1.8074324915918301E-3</v>
      </c>
      <c r="FW22">
        <v>1</v>
      </c>
      <c r="FX22">
        <v>2</v>
      </c>
      <c r="FY22">
        <v>2</v>
      </c>
      <c r="FZ22" t="s">
        <v>420</v>
      </c>
      <c r="GA22">
        <v>3.1194299999999999</v>
      </c>
      <c r="GB22">
        <v>2.7667600000000001</v>
      </c>
      <c r="GC22">
        <v>0.113271</v>
      </c>
      <c r="GD22">
        <v>0.119267</v>
      </c>
      <c r="GE22">
        <v>0.118924</v>
      </c>
      <c r="GF22">
        <v>0.11081199999999999</v>
      </c>
      <c r="GG22">
        <v>21189.200000000001</v>
      </c>
      <c r="GH22">
        <v>21890.1</v>
      </c>
      <c r="GI22">
        <v>23757.4</v>
      </c>
      <c r="GJ22">
        <v>25169.9</v>
      </c>
      <c r="GK22">
        <v>30145.7</v>
      </c>
      <c r="GL22">
        <v>31375.1</v>
      </c>
      <c r="GM22">
        <v>37868.9</v>
      </c>
      <c r="GN22">
        <v>39172</v>
      </c>
      <c r="GO22">
        <v>2.1474799999999998</v>
      </c>
      <c r="GP22">
        <v>1.8398300000000001</v>
      </c>
      <c r="GQ22">
        <v>4.6674199999999999E-2</v>
      </c>
      <c r="GR22">
        <v>0</v>
      </c>
      <c r="GS22">
        <v>29.180800000000001</v>
      </c>
      <c r="GT22">
        <v>999.9</v>
      </c>
      <c r="GU22">
        <v>61.6</v>
      </c>
      <c r="GV22">
        <v>32.1</v>
      </c>
      <c r="GW22">
        <v>29.999099999999999</v>
      </c>
      <c r="GX22">
        <v>59.991900000000001</v>
      </c>
      <c r="GY22">
        <v>26.8109</v>
      </c>
      <c r="GZ22">
        <v>1</v>
      </c>
      <c r="HA22">
        <v>0.48482199999999998</v>
      </c>
      <c r="HB22">
        <v>2.1865100000000002</v>
      </c>
      <c r="HC22">
        <v>20.310300000000002</v>
      </c>
      <c r="HD22">
        <v>5.2476900000000004</v>
      </c>
      <c r="HE22">
        <v>12.0101</v>
      </c>
      <c r="HF22">
        <v>4.9784499999999996</v>
      </c>
      <c r="HG22">
        <v>3.2922500000000001</v>
      </c>
      <c r="HH22">
        <v>9999</v>
      </c>
      <c r="HI22">
        <v>9999</v>
      </c>
      <c r="HJ22">
        <v>9999</v>
      </c>
      <c r="HK22">
        <v>999.9</v>
      </c>
      <c r="HL22">
        <v>1.8760699999999999</v>
      </c>
      <c r="HM22">
        <v>1.8768400000000001</v>
      </c>
      <c r="HN22">
        <v>1.8832899999999999</v>
      </c>
      <c r="HO22">
        <v>1.8863099999999999</v>
      </c>
      <c r="HP22">
        <v>1.8771199999999999</v>
      </c>
      <c r="HQ22">
        <v>1.8838299999999999</v>
      </c>
      <c r="HR22">
        <v>1.8826400000000001</v>
      </c>
      <c r="HS22">
        <v>1.8859900000000001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424</v>
      </c>
      <c r="IB22" t="s">
        <v>424</v>
      </c>
      <c r="IC22" t="s">
        <v>423</v>
      </c>
      <c r="ID22">
        <v>0</v>
      </c>
      <c r="IE22">
        <v>100</v>
      </c>
      <c r="IF22">
        <v>100</v>
      </c>
      <c r="IG22">
        <v>-0.6</v>
      </c>
      <c r="IH22">
        <v>2.2000000000000001E-3</v>
      </c>
      <c r="II22">
        <v>-0.55317612794297355</v>
      </c>
      <c r="IJ22">
        <v>4.4610147972834149E-5</v>
      </c>
      <c r="IK22">
        <v>-2.082673137682459E-7</v>
      </c>
      <c r="IL22">
        <v>-4.0725795306076518E-11</v>
      </c>
      <c r="IM22">
        <v>2.149999999996766E-3</v>
      </c>
      <c r="IN22">
        <v>0</v>
      </c>
      <c r="IO22">
        <v>0</v>
      </c>
      <c r="IP22">
        <v>0</v>
      </c>
      <c r="IQ22">
        <v>3</v>
      </c>
      <c r="IR22">
        <v>2179</v>
      </c>
      <c r="IS22">
        <v>0</v>
      </c>
      <c r="IT22">
        <v>22</v>
      </c>
      <c r="IU22">
        <v>0.8</v>
      </c>
      <c r="IV22">
        <v>1</v>
      </c>
      <c r="IW22">
        <v>1.40137</v>
      </c>
      <c r="IX22">
        <v>2.6257299999999999</v>
      </c>
      <c r="IY22">
        <v>1.6015600000000001</v>
      </c>
      <c r="IZ22">
        <v>2.34863</v>
      </c>
      <c r="JA22">
        <v>1.5502899999999999</v>
      </c>
      <c r="JB22">
        <v>2.3584000000000001</v>
      </c>
      <c r="JC22">
        <v>38.061999999999998</v>
      </c>
      <c r="JD22">
        <v>24.105</v>
      </c>
      <c r="JE22">
        <v>18</v>
      </c>
      <c r="JF22">
        <v>599.82399999999996</v>
      </c>
      <c r="JG22">
        <v>433.99799999999999</v>
      </c>
      <c r="JH22">
        <v>26.8322</v>
      </c>
      <c r="JI22">
        <v>33.1509</v>
      </c>
      <c r="JJ22">
        <v>30.000599999999999</v>
      </c>
      <c r="JK22">
        <v>33.077500000000001</v>
      </c>
      <c r="JL22">
        <v>33.052399999999999</v>
      </c>
      <c r="JM22">
        <v>28.0351</v>
      </c>
      <c r="JN22">
        <v>28.168199999999999</v>
      </c>
      <c r="JO22">
        <v>100</v>
      </c>
      <c r="JP22">
        <v>26.875499999999999</v>
      </c>
      <c r="JQ22">
        <v>600</v>
      </c>
      <c r="JR22">
        <v>25.1937</v>
      </c>
      <c r="JS22">
        <v>98.773099999999999</v>
      </c>
      <c r="JT22">
        <v>99.13</v>
      </c>
    </row>
    <row r="23" spans="1:280" x14ac:dyDescent="0.25">
      <c r="A23">
        <v>7</v>
      </c>
      <c r="B23">
        <v>1700236187.0999999</v>
      </c>
      <c r="C23">
        <v>949.59999990463257</v>
      </c>
      <c r="D23" t="s">
        <v>447</v>
      </c>
      <c r="E23" t="s">
        <v>448</v>
      </c>
      <c r="F23" t="s">
        <v>412</v>
      </c>
      <c r="G23" t="s">
        <v>413</v>
      </c>
      <c r="H23" t="s">
        <v>414</v>
      </c>
      <c r="I23">
        <v>1700236187.0999999</v>
      </c>
      <c r="J23">
        <f t="shared" si="0"/>
        <v>3.1439401602669195E-3</v>
      </c>
      <c r="K23">
        <f t="shared" si="1"/>
        <v>3.1439401602669195</v>
      </c>
      <c r="L23">
        <f t="shared" si="2"/>
        <v>39.968215162860631</v>
      </c>
      <c r="M23">
        <f t="shared" si="3"/>
        <v>458.60599999999999</v>
      </c>
      <c r="N23">
        <f t="shared" si="4"/>
        <v>137.57570343060246</v>
      </c>
      <c r="O23">
        <f t="shared" si="5"/>
        <v>13.581114920385936</v>
      </c>
      <c r="P23">
        <f t="shared" si="6"/>
        <v>45.272389192764003</v>
      </c>
      <c r="Q23">
        <f t="shared" si="7"/>
        <v>0.21041713776686685</v>
      </c>
      <c r="R23">
        <f t="shared" si="8"/>
        <v>3.1092726536743913</v>
      </c>
      <c r="S23">
        <f t="shared" si="9"/>
        <v>0.20281425463046196</v>
      </c>
      <c r="T23">
        <f t="shared" si="10"/>
        <v>0.12741911090666785</v>
      </c>
      <c r="U23">
        <f t="shared" si="11"/>
        <v>344.35299930266586</v>
      </c>
      <c r="V23">
        <f t="shared" si="12"/>
        <v>31.120678293382394</v>
      </c>
      <c r="W23">
        <f t="shared" si="13"/>
        <v>29.95</v>
      </c>
      <c r="X23">
        <f t="shared" si="14"/>
        <v>4.2482292371426897</v>
      </c>
      <c r="Y23">
        <f t="shared" si="15"/>
        <v>65.164244701751443</v>
      </c>
      <c r="Z23">
        <f t="shared" si="16"/>
        <v>2.7723694213566001</v>
      </c>
      <c r="AA23">
        <f t="shared" si="17"/>
        <v>4.2544334458956543</v>
      </c>
      <c r="AB23">
        <f t="shared" si="18"/>
        <v>1.4758598157860896</v>
      </c>
      <c r="AC23">
        <f t="shared" si="19"/>
        <v>-138.64776106777114</v>
      </c>
      <c r="AD23">
        <f t="shared" si="20"/>
        <v>4.2577285255445032</v>
      </c>
      <c r="AE23">
        <f t="shared" si="21"/>
        <v>0.30436720502186032</v>
      </c>
      <c r="AF23">
        <f t="shared" si="22"/>
        <v>210.26733396546106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51432.545248005408</v>
      </c>
      <c r="AL23" t="s">
        <v>415</v>
      </c>
      <c r="AM23">
        <v>6977.87</v>
      </c>
      <c r="AN23">
        <v>273.15280000000001</v>
      </c>
      <c r="AO23">
        <v>850.46774885301022</v>
      </c>
      <c r="AP23">
        <f t="shared" si="26"/>
        <v>0.67882050745793765</v>
      </c>
      <c r="AQ23">
        <v>-1.0323826813720729</v>
      </c>
      <c r="AR23" t="s">
        <v>449</v>
      </c>
      <c r="AS23">
        <v>7091.27</v>
      </c>
      <c r="AT23">
        <v>564.67530769230768</v>
      </c>
      <c r="AU23">
        <v>825.51552214227331</v>
      </c>
      <c r="AV23">
        <f t="shared" si="27"/>
        <v>0.31597251348232214</v>
      </c>
      <c r="AW23">
        <v>0.5</v>
      </c>
      <c r="AX23">
        <f t="shared" si="28"/>
        <v>1513.1168996513331</v>
      </c>
      <c r="AY23">
        <f t="shared" si="29"/>
        <v>39.968215162860631</v>
      </c>
      <c r="AZ23">
        <f t="shared" si="30"/>
        <v>239.05167498770516</v>
      </c>
      <c r="BA23">
        <f t="shared" si="31"/>
        <v>2.7096781387928752E-2</v>
      </c>
      <c r="BB23">
        <f t="shared" si="32"/>
        <v>3.0226235656943254E-2</v>
      </c>
      <c r="BC23">
        <f t="shared" si="33"/>
        <v>270.5265158612238</v>
      </c>
      <c r="BD23" t="s">
        <v>450</v>
      </c>
      <c r="BE23">
        <v>408.82</v>
      </c>
      <c r="BF23">
        <f t="shared" si="34"/>
        <v>408.82</v>
      </c>
      <c r="BG23">
        <f t="shared" si="35"/>
        <v>0.50477006302790994</v>
      </c>
      <c r="BH23">
        <f t="shared" si="36"/>
        <v>0.62597316407183845</v>
      </c>
      <c r="BI23">
        <f t="shared" si="37"/>
        <v>5.6498027614857248E-2</v>
      </c>
      <c r="BJ23">
        <f t="shared" si="38"/>
        <v>0.47222631794978454</v>
      </c>
      <c r="BK23">
        <f t="shared" si="39"/>
        <v>4.3221168549872381E-2</v>
      </c>
      <c r="BL23">
        <f t="shared" si="40"/>
        <v>0.4531991136316782</v>
      </c>
      <c r="BM23">
        <f t="shared" si="41"/>
        <v>0.5468008863683218</v>
      </c>
      <c r="BN23">
        <v>11370</v>
      </c>
      <c r="BO23">
        <v>290.00000000000011</v>
      </c>
      <c r="BP23">
        <v>750.1</v>
      </c>
      <c r="BQ23">
        <v>285</v>
      </c>
      <c r="BR23">
        <v>7091.27</v>
      </c>
      <c r="BS23">
        <v>752.45</v>
      </c>
      <c r="BT23">
        <v>-2.35</v>
      </c>
      <c r="BU23">
        <v>300.00000000000011</v>
      </c>
      <c r="BV23">
        <v>38.299999999999997</v>
      </c>
      <c r="BW23">
        <v>825.51552214227331</v>
      </c>
      <c r="BX23">
        <v>1.748124431925296</v>
      </c>
      <c r="BY23">
        <v>-51.81283861519411</v>
      </c>
      <c r="BZ23">
        <v>1.0391070902904169</v>
      </c>
      <c r="CA23">
        <v>0.98886371550973562</v>
      </c>
      <c r="CB23">
        <v>-6.9920080088987863E-3</v>
      </c>
      <c r="CC23">
        <v>289.99999999999989</v>
      </c>
      <c r="CD23">
        <v>760.01</v>
      </c>
      <c r="CE23">
        <v>775</v>
      </c>
      <c r="CF23">
        <v>7083.73</v>
      </c>
      <c r="CG23">
        <v>752.37</v>
      </c>
      <c r="CH23">
        <v>7.64</v>
      </c>
      <c r="CV23">
        <f t="shared" si="42"/>
        <v>1799.92</v>
      </c>
      <c r="CW23">
        <f t="shared" si="43"/>
        <v>1513.1168996513331</v>
      </c>
      <c r="CX23">
        <f t="shared" si="44"/>
        <v>0.84065786237795737</v>
      </c>
      <c r="CY23">
        <f t="shared" si="45"/>
        <v>0.19131572475591463</v>
      </c>
      <c r="CZ23">
        <v>5</v>
      </c>
      <c r="DA23">
        <v>0.5</v>
      </c>
      <c r="DB23" t="s">
        <v>418</v>
      </c>
      <c r="DC23">
        <v>2</v>
      </c>
      <c r="DD23">
        <v>1700236187.0999999</v>
      </c>
      <c r="DE23">
        <v>458.60599999999999</v>
      </c>
      <c r="DF23">
        <v>500.01</v>
      </c>
      <c r="DG23">
        <v>28.0839</v>
      </c>
      <c r="DH23">
        <v>25.028700000000001</v>
      </c>
      <c r="DI23">
        <v>459.19</v>
      </c>
      <c r="DJ23">
        <v>28.082100000000001</v>
      </c>
      <c r="DK23">
        <v>500.07299999999998</v>
      </c>
      <c r="DL23">
        <v>98.617099999999994</v>
      </c>
      <c r="DM23">
        <v>0.10029399999999999</v>
      </c>
      <c r="DN23">
        <v>29.9754</v>
      </c>
      <c r="DO23">
        <v>29.95</v>
      </c>
      <c r="DP23">
        <v>999.9</v>
      </c>
      <c r="DQ23">
        <v>0</v>
      </c>
      <c r="DR23">
        <v>0</v>
      </c>
      <c r="DS23">
        <v>9959.3799999999992</v>
      </c>
      <c r="DT23">
        <v>0</v>
      </c>
      <c r="DU23">
        <v>494.72</v>
      </c>
      <c r="DV23">
        <v>-41.403500000000001</v>
      </c>
      <c r="DW23">
        <v>471.858</v>
      </c>
      <c r="DX23">
        <v>512.846</v>
      </c>
      <c r="DY23">
        <v>3.0551900000000001</v>
      </c>
      <c r="DZ23">
        <v>500.01</v>
      </c>
      <c r="EA23">
        <v>25.028700000000001</v>
      </c>
      <c r="EB23">
        <v>2.7695500000000002</v>
      </c>
      <c r="EC23">
        <v>2.4682599999999999</v>
      </c>
      <c r="ED23">
        <v>22.703700000000001</v>
      </c>
      <c r="EE23">
        <v>20.8187</v>
      </c>
      <c r="EF23">
        <v>1799.92</v>
      </c>
      <c r="EG23">
        <v>0.97800799999999999</v>
      </c>
      <c r="EH23">
        <v>2.1991900000000002E-2</v>
      </c>
      <c r="EI23">
        <v>0</v>
      </c>
      <c r="EJ23">
        <v>564.36099999999999</v>
      </c>
      <c r="EK23">
        <v>5.0005300000000004</v>
      </c>
      <c r="EL23">
        <v>11231.5</v>
      </c>
      <c r="EM23">
        <v>16034.6</v>
      </c>
      <c r="EN23">
        <v>49.811999999999998</v>
      </c>
      <c r="EO23">
        <v>50.875</v>
      </c>
      <c r="EP23">
        <v>50.436999999999998</v>
      </c>
      <c r="EQ23">
        <v>50.311999999999998</v>
      </c>
      <c r="ER23">
        <v>50.875</v>
      </c>
      <c r="ES23">
        <v>1755.45</v>
      </c>
      <c r="ET23">
        <v>39.47</v>
      </c>
      <c r="EU23">
        <v>0</v>
      </c>
      <c r="EV23">
        <v>268.20000004768372</v>
      </c>
      <c r="EW23">
        <v>0</v>
      </c>
      <c r="EX23">
        <v>564.67530769230768</v>
      </c>
      <c r="EY23">
        <v>-0.42926495573700157</v>
      </c>
      <c r="EZ23">
        <v>-32.061538429813318</v>
      </c>
      <c r="FA23">
        <v>11236.99230769231</v>
      </c>
      <c r="FB23">
        <v>15</v>
      </c>
      <c r="FC23">
        <v>1700236109.0999999</v>
      </c>
      <c r="FD23" t="s">
        <v>451</v>
      </c>
      <c r="FE23">
        <v>1700236109.0999999</v>
      </c>
      <c r="FF23">
        <v>1700236102.5999999</v>
      </c>
      <c r="FG23">
        <v>9</v>
      </c>
      <c r="FH23">
        <v>-4.0000000000000001E-3</v>
      </c>
      <c r="FI23">
        <v>0</v>
      </c>
      <c r="FJ23">
        <v>-0.59199999999999997</v>
      </c>
      <c r="FK23">
        <v>2E-3</v>
      </c>
      <c r="FL23">
        <v>500</v>
      </c>
      <c r="FM23">
        <v>25</v>
      </c>
      <c r="FN23">
        <v>0.08</v>
      </c>
      <c r="FO23">
        <v>0.03</v>
      </c>
      <c r="FP23">
        <v>39.784390556286922</v>
      </c>
      <c r="FQ23">
        <v>0.66954177336409404</v>
      </c>
      <c r="FR23">
        <v>5.7117848204119623E-2</v>
      </c>
      <c r="FS23">
        <v>1</v>
      </c>
      <c r="FT23">
        <v>0.2103712178291435</v>
      </c>
      <c r="FU23">
        <v>9.1541954014338575E-4</v>
      </c>
      <c r="FV23">
        <v>2.889227677753775E-4</v>
      </c>
      <c r="FW23">
        <v>1</v>
      </c>
      <c r="FX23">
        <v>2</v>
      </c>
      <c r="FY23">
        <v>2</v>
      </c>
      <c r="FZ23" t="s">
        <v>420</v>
      </c>
      <c r="GA23">
        <v>3.1200899999999998</v>
      </c>
      <c r="GB23">
        <v>2.7668200000000001</v>
      </c>
      <c r="GC23">
        <v>9.8245899999999997E-2</v>
      </c>
      <c r="GD23">
        <v>0.10466300000000001</v>
      </c>
      <c r="GE23">
        <v>0.119272</v>
      </c>
      <c r="GF23">
        <v>0.110263</v>
      </c>
      <c r="GG23">
        <v>21538.9</v>
      </c>
      <c r="GH23">
        <v>22244</v>
      </c>
      <c r="GI23">
        <v>23747.599999999999</v>
      </c>
      <c r="GJ23">
        <v>25160.400000000001</v>
      </c>
      <c r="GK23">
        <v>30121.8</v>
      </c>
      <c r="GL23">
        <v>31383.7</v>
      </c>
      <c r="GM23">
        <v>37853.9</v>
      </c>
      <c r="GN23">
        <v>39158.800000000003</v>
      </c>
      <c r="GO23">
        <v>2.1460499999999998</v>
      </c>
      <c r="GP23">
        <v>1.8333299999999999</v>
      </c>
      <c r="GQ23">
        <v>4.8242500000000001E-2</v>
      </c>
      <c r="GR23">
        <v>0</v>
      </c>
      <c r="GS23">
        <v>29.164400000000001</v>
      </c>
      <c r="GT23">
        <v>999.9</v>
      </c>
      <c r="GU23">
        <v>61.1</v>
      </c>
      <c r="GV23">
        <v>32.4</v>
      </c>
      <c r="GW23">
        <v>30.2621</v>
      </c>
      <c r="GX23">
        <v>60.841900000000003</v>
      </c>
      <c r="GY23">
        <v>26.879000000000001</v>
      </c>
      <c r="GZ23">
        <v>1</v>
      </c>
      <c r="HA23">
        <v>0.50234199999999996</v>
      </c>
      <c r="HB23">
        <v>1.7432300000000001</v>
      </c>
      <c r="HC23">
        <v>20.3155</v>
      </c>
      <c r="HD23">
        <v>5.2515799999999997</v>
      </c>
      <c r="HE23">
        <v>12.0101</v>
      </c>
      <c r="HF23">
        <v>4.9791499999999997</v>
      </c>
      <c r="HG23">
        <v>3.2930000000000001</v>
      </c>
      <c r="HH23">
        <v>9999</v>
      </c>
      <c r="HI23">
        <v>9999</v>
      </c>
      <c r="HJ23">
        <v>9999</v>
      </c>
      <c r="HK23">
        <v>999.9</v>
      </c>
      <c r="HL23">
        <v>1.87608</v>
      </c>
      <c r="HM23">
        <v>1.87683</v>
      </c>
      <c r="HN23">
        <v>1.8832599999999999</v>
      </c>
      <c r="HO23">
        <v>1.88629</v>
      </c>
      <c r="HP23">
        <v>1.87713</v>
      </c>
      <c r="HQ23">
        <v>1.88381</v>
      </c>
      <c r="HR23">
        <v>1.8826499999999999</v>
      </c>
      <c r="HS23">
        <v>1.88601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424</v>
      </c>
      <c r="IB23" t="s">
        <v>424</v>
      </c>
      <c r="IC23" t="s">
        <v>423</v>
      </c>
      <c r="ID23">
        <v>0</v>
      </c>
      <c r="IE23">
        <v>100</v>
      </c>
      <c r="IF23">
        <v>100</v>
      </c>
      <c r="IG23">
        <v>-0.58399999999999996</v>
      </c>
      <c r="IH23">
        <v>1.8E-3</v>
      </c>
      <c r="II23">
        <v>-0.55667686423131768</v>
      </c>
      <c r="IJ23">
        <v>4.4610147972834149E-5</v>
      </c>
      <c r="IK23">
        <v>-2.082673137682459E-7</v>
      </c>
      <c r="IL23">
        <v>-4.0725795306076518E-11</v>
      </c>
      <c r="IM23">
        <v>1.8150000000005659E-3</v>
      </c>
      <c r="IN23">
        <v>0</v>
      </c>
      <c r="IO23">
        <v>0</v>
      </c>
      <c r="IP23">
        <v>0</v>
      </c>
      <c r="IQ23">
        <v>3</v>
      </c>
      <c r="IR23">
        <v>2179</v>
      </c>
      <c r="IS23">
        <v>0</v>
      </c>
      <c r="IT23">
        <v>22</v>
      </c>
      <c r="IU23">
        <v>1.3</v>
      </c>
      <c r="IV23">
        <v>1.4</v>
      </c>
      <c r="IW23">
        <v>1.2097199999999999</v>
      </c>
      <c r="IX23">
        <v>2.6293899999999999</v>
      </c>
      <c r="IY23">
        <v>1.6015600000000001</v>
      </c>
      <c r="IZ23">
        <v>2.34741</v>
      </c>
      <c r="JA23">
        <v>1.5502899999999999</v>
      </c>
      <c r="JB23">
        <v>2.4475099999999999</v>
      </c>
      <c r="JC23">
        <v>38.305599999999998</v>
      </c>
      <c r="JD23">
        <v>24.113800000000001</v>
      </c>
      <c r="JE23">
        <v>18</v>
      </c>
      <c r="JF23">
        <v>600.47400000000005</v>
      </c>
      <c r="JG23">
        <v>430.95100000000002</v>
      </c>
      <c r="JH23">
        <v>27.290099999999999</v>
      </c>
      <c r="JI23">
        <v>33.339599999999997</v>
      </c>
      <c r="JJ23">
        <v>30.000499999999999</v>
      </c>
      <c r="JK23">
        <v>33.258600000000001</v>
      </c>
      <c r="JL23">
        <v>33.233699999999999</v>
      </c>
      <c r="JM23">
        <v>24.208200000000001</v>
      </c>
      <c r="JN23">
        <v>29.444600000000001</v>
      </c>
      <c r="JO23">
        <v>100</v>
      </c>
      <c r="JP23">
        <v>27.313700000000001</v>
      </c>
      <c r="JQ23">
        <v>500</v>
      </c>
      <c r="JR23">
        <v>24.9239</v>
      </c>
      <c r="JS23">
        <v>98.733500000000006</v>
      </c>
      <c r="JT23">
        <v>99.094999999999999</v>
      </c>
    </row>
    <row r="24" spans="1:280" x14ac:dyDescent="0.25">
      <c r="A24">
        <v>8</v>
      </c>
      <c r="B24">
        <v>1700236417.0999999</v>
      </c>
      <c r="C24">
        <v>1179.599999904633</v>
      </c>
      <c r="D24" t="s">
        <v>452</v>
      </c>
      <c r="E24" t="s">
        <v>453</v>
      </c>
      <c r="F24" t="s">
        <v>412</v>
      </c>
      <c r="G24" t="s">
        <v>413</v>
      </c>
      <c r="H24" t="s">
        <v>414</v>
      </c>
      <c r="I24">
        <v>1700236417.0999999</v>
      </c>
      <c r="J24">
        <f t="shared" si="0"/>
        <v>3.9337081368448273E-3</v>
      </c>
      <c r="K24">
        <f t="shared" si="1"/>
        <v>3.9337081368448272</v>
      </c>
      <c r="L24">
        <f t="shared" si="2"/>
        <v>39.042289161354411</v>
      </c>
      <c r="M24">
        <f t="shared" si="3"/>
        <v>359.54300000000001</v>
      </c>
      <c r="N24">
        <f t="shared" si="4"/>
        <v>111.63836676284789</v>
      </c>
      <c r="O24">
        <f t="shared" si="5"/>
        <v>11.02061581556473</v>
      </c>
      <c r="P24">
        <f t="shared" si="6"/>
        <v>35.4930422853</v>
      </c>
      <c r="Q24">
        <f t="shared" si="7"/>
        <v>0.26851597573822272</v>
      </c>
      <c r="R24">
        <f t="shared" si="8"/>
        <v>3.1127062022771472</v>
      </c>
      <c r="S24">
        <f t="shared" si="9"/>
        <v>0.25627921906738083</v>
      </c>
      <c r="T24">
        <f t="shared" si="10"/>
        <v>0.16122745923550902</v>
      </c>
      <c r="U24">
        <f t="shared" si="11"/>
        <v>344.39539930257445</v>
      </c>
      <c r="V24">
        <f t="shared" si="12"/>
        <v>31.216240694736449</v>
      </c>
      <c r="W24">
        <f t="shared" si="13"/>
        <v>30.024999999999999</v>
      </c>
      <c r="X24">
        <f t="shared" si="14"/>
        <v>4.2665715205020067</v>
      </c>
      <c r="Y24">
        <f t="shared" si="15"/>
        <v>64.855630844542091</v>
      </c>
      <c r="Z24">
        <f t="shared" si="16"/>
        <v>2.8056090839699994</v>
      </c>
      <c r="AA24">
        <f t="shared" si="17"/>
        <v>4.3259298343654997</v>
      </c>
      <c r="AB24">
        <f t="shared" si="18"/>
        <v>1.4609624365320073</v>
      </c>
      <c r="AC24">
        <f t="shared" si="19"/>
        <v>-173.47652883485688</v>
      </c>
      <c r="AD24">
        <f t="shared" si="20"/>
        <v>40.409181799941493</v>
      </c>
      <c r="AE24">
        <f t="shared" si="21"/>
        <v>2.8907208164006399</v>
      </c>
      <c r="AF24">
        <f t="shared" si="22"/>
        <v>214.21877308405971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51469.958278528815</v>
      </c>
      <c r="AL24" t="s">
        <v>415</v>
      </c>
      <c r="AM24">
        <v>6977.87</v>
      </c>
      <c r="AN24">
        <v>273.15280000000001</v>
      </c>
      <c r="AO24">
        <v>850.46774885301022</v>
      </c>
      <c r="AP24">
        <f t="shared" si="26"/>
        <v>0.67882050745793765</v>
      </c>
      <c r="AQ24">
        <v>-1.0323826813720729</v>
      </c>
      <c r="AR24" t="s">
        <v>454</v>
      </c>
      <c r="AS24">
        <v>7093.71</v>
      </c>
      <c r="AT24">
        <v>565.77534615384616</v>
      </c>
      <c r="AU24">
        <v>819.69731490261029</v>
      </c>
      <c r="AV24">
        <f t="shared" si="27"/>
        <v>0.30977528428153145</v>
      </c>
      <c r="AW24">
        <v>0.5</v>
      </c>
      <c r="AX24">
        <f t="shared" si="28"/>
        <v>1513.3019996512871</v>
      </c>
      <c r="AY24">
        <f t="shared" si="29"/>
        <v>39.042289161354411</v>
      </c>
      <c r="AZ24">
        <f t="shared" si="30"/>
        <v>234.39177857289374</v>
      </c>
      <c r="BA24">
        <f t="shared" si="31"/>
        <v>2.6481608992759514E-2</v>
      </c>
      <c r="BB24">
        <f t="shared" si="32"/>
        <v>3.7538776071330458E-2</v>
      </c>
      <c r="BC24">
        <f t="shared" si="33"/>
        <v>269.89871618377799</v>
      </c>
      <c r="BD24" t="s">
        <v>455</v>
      </c>
      <c r="BE24">
        <v>409.77</v>
      </c>
      <c r="BF24">
        <f t="shared" si="34"/>
        <v>409.77</v>
      </c>
      <c r="BG24">
        <f t="shared" si="35"/>
        <v>0.50009595914232619</v>
      </c>
      <c r="BH24">
        <f t="shared" si="36"/>
        <v>0.61943168829598583</v>
      </c>
      <c r="BI24">
        <f t="shared" si="37"/>
        <v>6.982208107594183E-2</v>
      </c>
      <c r="BJ24">
        <f t="shared" si="38"/>
        <v>0.46459521928238717</v>
      </c>
      <c r="BK24">
        <f t="shared" si="39"/>
        <v>5.3299215638766301E-2</v>
      </c>
      <c r="BL24">
        <f t="shared" si="40"/>
        <v>0.44863128914780587</v>
      </c>
      <c r="BM24">
        <f t="shared" si="41"/>
        <v>0.55136871085219408</v>
      </c>
      <c r="BN24">
        <v>11372</v>
      </c>
      <c r="BO24">
        <v>290.00000000000011</v>
      </c>
      <c r="BP24">
        <v>746.34</v>
      </c>
      <c r="BQ24">
        <v>295</v>
      </c>
      <c r="BR24">
        <v>7093.71</v>
      </c>
      <c r="BS24">
        <v>749.16</v>
      </c>
      <c r="BT24">
        <v>-2.82</v>
      </c>
      <c r="BU24">
        <v>300.00000000000011</v>
      </c>
      <c r="BV24">
        <v>38.299999999999997</v>
      </c>
      <c r="BW24">
        <v>819.69731490261029</v>
      </c>
      <c r="BX24">
        <v>1.38311135324127</v>
      </c>
      <c r="BY24">
        <v>-50.03756231406259</v>
      </c>
      <c r="BZ24">
        <v>0.82242370797605446</v>
      </c>
      <c r="CA24">
        <v>0.99249269080619029</v>
      </c>
      <c r="CB24">
        <v>-6.9944883203559476E-3</v>
      </c>
      <c r="CC24">
        <v>289.99999999999989</v>
      </c>
      <c r="CD24">
        <v>757.21</v>
      </c>
      <c r="CE24">
        <v>855</v>
      </c>
      <c r="CF24">
        <v>7084.72</v>
      </c>
      <c r="CG24">
        <v>749.07</v>
      </c>
      <c r="CH24">
        <v>8.14</v>
      </c>
      <c r="CV24">
        <f t="shared" si="42"/>
        <v>1800.14</v>
      </c>
      <c r="CW24">
        <f t="shared" si="43"/>
        <v>1513.3019996512871</v>
      </c>
      <c r="CX24">
        <f t="shared" si="44"/>
        <v>0.84065794863248811</v>
      </c>
      <c r="CY24">
        <f t="shared" si="45"/>
        <v>0.1913158972649763</v>
      </c>
      <c r="CZ24">
        <v>5</v>
      </c>
      <c r="DA24">
        <v>0.5</v>
      </c>
      <c r="DB24" t="s">
        <v>418</v>
      </c>
      <c r="DC24">
        <v>2</v>
      </c>
      <c r="DD24">
        <v>1700236417.0999999</v>
      </c>
      <c r="DE24">
        <v>359.54300000000001</v>
      </c>
      <c r="DF24">
        <v>399.99</v>
      </c>
      <c r="DG24">
        <v>28.4207</v>
      </c>
      <c r="DH24">
        <v>24.599699999999999</v>
      </c>
      <c r="DI24">
        <v>360.15499999999997</v>
      </c>
      <c r="DJ24">
        <v>28.421099999999999</v>
      </c>
      <c r="DK24">
        <v>500.11900000000003</v>
      </c>
      <c r="DL24">
        <v>98.617099999999994</v>
      </c>
      <c r="DM24">
        <v>0.1</v>
      </c>
      <c r="DN24">
        <v>30.265799999999999</v>
      </c>
      <c r="DO24">
        <v>30.024999999999999</v>
      </c>
      <c r="DP24">
        <v>999.9</v>
      </c>
      <c r="DQ24">
        <v>0</v>
      </c>
      <c r="DR24">
        <v>0</v>
      </c>
      <c r="DS24">
        <v>9976.8799999999992</v>
      </c>
      <c r="DT24">
        <v>0</v>
      </c>
      <c r="DU24">
        <v>532.82899999999995</v>
      </c>
      <c r="DV24">
        <v>-40.446399999999997</v>
      </c>
      <c r="DW24">
        <v>370.06099999999998</v>
      </c>
      <c r="DX24">
        <v>410.07799999999997</v>
      </c>
      <c r="DY24">
        <v>3.8209499999999998</v>
      </c>
      <c r="DZ24">
        <v>399.99</v>
      </c>
      <c r="EA24">
        <v>24.599699999999999</v>
      </c>
      <c r="EB24">
        <v>2.8027700000000002</v>
      </c>
      <c r="EC24">
        <v>2.4259499999999998</v>
      </c>
      <c r="ED24">
        <v>22.900400000000001</v>
      </c>
      <c r="EE24">
        <v>20.5381</v>
      </c>
      <c r="EF24">
        <v>1800.14</v>
      </c>
      <c r="EG24">
        <v>0.97800500000000001</v>
      </c>
      <c r="EH24">
        <v>2.1995500000000001E-2</v>
      </c>
      <c r="EI24">
        <v>0</v>
      </c>
      <c r="EJ24">
        <v>565.90300000000002</v>
      </c>
      <c r="EK24">
        <v>5.0005300000000004</v>
      </c>
      <c r="EL24">
        <v>11300.1</v>
      </c>
      <c r="EM24">
        <v>16036.5</v>
      </c>
      <c r="EN24">
        <v>49.25</v>
      </c>
      <c r="EO24">
        <v>50.311999999999998</v>
      </c>
      <c r="EP24">
        <v>49.811999999999998</v>
      </c>
      <c r="EQ24">
        <v>49.875</v>
      </c>
      <c r="ER24">
        <v>50.375</v>
      </c>
      <c r="ES24">
        <v>1755.66</v>
      </c>
      <c r="ET24">
        <v>39.479999999999997</v>
      </c>
      <c r="EU24">
        <v>0</v>
      </c>
      <c r="EV24">
        <v>228</v>
      </c>
      <c r="EW24">
        <v>0</v>
      </c>
      <c r="EX24">
        <v>565.77534615384616</v>
      </c>
      <c r="EY24">
        <v>7.9076925862720637E-2</v>
      </c>
      <c r="EZ24">
        <v>-10.239316177267909</v>
      </c>
      <c r="FA24">
        <v>11301.380769230769</v>
      </c>
      <c r="FB24">
        <v>15</v>
      </c>
      <c r="FC24">
        <v>1700236255.5999999</v>
      </c>
      <c r="FD24" t="s">
        <v>456</v>
      </c>
      <c r="FE24">
        <v>1700236255.5999999</v>
      </c>
      <c r="FF24">
        <v>1700236255.5999999</v>
      </c>
      <c r="FG24">
        <v>10</v>
      </c>
      <c r="FH24">
        <v>-4.2999999999999997E-2</v>
      </c>
      <c r="FI24">
        <v>-2E-3</v>
      </c>
      <c r="FJ24">
        <v>-0.61699999999999999</v>
      </c>
      <c r="FK24">
        <v>0</v>
      </c>
      <c r="FL24">
        <v>400</v>
      </c>
      <c r="FM24">
        <v>25</v>
      </c>
      <c r="FN24">
        <v>0.06</v>
      </c>
      <c r="FO24">
        <v>0.04</v>
      </c>
      <c r="FP24">
        <v>38.982309320153718</v>
      </c>
      <c r="FQ24">
        <v>0.5852010565070227</v>
      </c>
      <c r="FR24">
        <v>4.9024633366146167E-2</v>
      </c>
      <c r="FS24">
        <v>1</v>
      </c>
      <c r="FT24">
        <v>0.26850280508898439</v>
      </c>
      <c r="FU24">
        <v>-1.732916234554286E-2</v>
      </c>
      <c r="FV24">
        <v>1.418592216726526E-3</v>
      </c>
      <c r="FW24">
        <v>1</v>
      </c>
      <c r="FX24">
        <v>2</v>
      </c>
      <c r="FY24">
        <v>2</v>
      </c>
      <c r="FZ24" t="s">
        <v>420</v>
      </c>
      <c r="GA24">
        <v>3.1207799999999999</v>
      </c>
      <c r="GB24">
        <v>2.76667</v>
      </c>
      <c r="GC24">
        <v>8.1543900000000002E-2</v>
      </c>
      <c r="GD24">
        <v>8.85407E-2</v>
      </c>
      <c r="GE24">
        <v>0.12020400000000001</v>
      </c>
      <c r="GF24">
        <v>0.108875</v>
      </c>
      <c r="GG24">
        <v>21929</v>
      </c>
      <c r="GH24">
        <v>22636.2</v>
      </c>
      <c r="GI24">
        <v>23738.9</v>
      </c>
      <c r="GJ24">
        <v>25151.9</v>
      </c>
      <c r="GK24">
        <v>30079.599999999999</v>
      </c>
      <c r="GL24">
        <v>31423.5</v>
      </c>
      <c r="GM24">
        <v>37841.1</v>
      </c>
      <c r="GN24">
        <v>39147.599999999999</v>
      </c>
      <c r="GO24">
        <v>2.14473</v>
      </c>
      <c r="GP24">
        <v>1.8248500000000001</v>
      </c>
      <c r="GQ24">
        <v>4.8730500000000003E-2</v>
      </c>
      <c r="GR24">
        <v>0</v>
      </c>
      <c r="GS24">
        <v>29.2315</v>
      </c>
      <c r="GT24">
        <v>999.9</v>
      </c>
      <c r="GU24">
        <v>60.5</v>
      </c>
      <c r="GV24">
        <v>32.799999999999997</v>
      </c>
      <c r="GW24">
        <v>30.6465</v>
      </c>
      <c r="GX24">
        <v>60.701900000000002</v>
      </c>
      <c r="GY24">
        <v>26.6587</v>
      </c>
      <c r="GZ24">
        <v>1</v>
      </c>
      <c r="HA24">
        <v>0.52265499999999998</v>
      </c>
      <c r="HB24">
        <v>2.1412499999999999</v>
      </c>
      <c r="HC24">
        <v>20.309999999999999</v>
      </c>
      <c r="HD24">
        <v>5.2517300000000002</v>
      </c>
      <c r="HE24">
        <v>12.0099</v>
      </c>
      <c r="HF24">
        <v>4.9793500000000002</v>
      </c>
      <c r="HG24">
        <v>3.2930000000000001</v>
      </c>
      <c r="HH24">
        <v>9999</v>
      </c>
      <c r="HI24">
        <v>9999</v>
      </c>
      <c r="HJ24">
        <v>9999</v>
      </c>
      <c r="HK24">
        <v>999.9</v>
      </c>
      <c r="HL24">
        <v>1.8761300000000001</v>
      </c>
      <c r="HM24">
        <v>1.87683</v>
      </c>
      <c r="HN24">
        <v>1.8832599999999999</v>
      </c>
      <c r="HO24">
        <v>1.88629</v>
      </c>
      <c r="HP24">
        <v>1.8771199999999999</v>
      </c>
      <c r="HQ24">
        <v>1.8838200000000001</v>
      </c>
      <c r="HR24">
        <v>1.8826499999999999</v>
      </c>
      <c r="HS24">
        <v>1.8860300000000001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424</v>
      </c>
      <c r="IB24" t="s">
        <v>424</v>
      </c>
      <c r="IC24" t="s">
        <v>423</v>
      </c>
      <c r="ID24">
        <v>0</v>
      </c>
      <c r="IE24">
        <v>100</v>
      </c>
      <c r="IF24">
        <v>100</v>
      </c>
      <c r="IG24">
        <v>-0.61199999999999999</v>
      </c>
      <c r="IH24">
        <v>-4.0000000000000002E-4</v>
      </c>
      <c r="II24">
        <v>-0.5991784949304596</v>
      </c>
      <c r="IJ24">
        <v>4.4610147972834149E-5</v>
      </c>
      <c r="IK24">
        <v>-2.082673137682459E-7</v>
      </c>
      <c r="IL24">
        <v>-4.0725795306076518E-11</v>
      </c>
      <c r="IM24">
        <v>-4.1000000000579462E-4</v>
      </c>
      <c r="IN24">
        <v>0</v>
      </c>
      <c r="IO24">
        <v>0</v>
      </c>
      <c r="IP24">
        <v>0</v>
      </c>
      <c r="IQ24">
        <v>3</v>
      </c>
      <c r="IR24">
        <v>2179</v>
      </c>
      <c r="IS24">
        <v>0</v>
      </c>
      <c r="IT24">
        <v>22</v>
      </c>
      <c r="IU24">
        <v>2.7</v>
      </c>
      <c r="IV24">
        <v>2.7</v>
      </c>
      <c r="IW24">
        <v>1.01318</v>
      </c>
      <c r="IX24">
        <v>2.63306</v>
      </c>
      <c r="IY24">
        <v>1.6015600000000001</v>
      </c>
      <c r="IZ24">
        <v>2.34741</v>
      </c>
      <c r="JA24">
        <v>1.5502899999999999</v>
      </c>
      <c r="JB24">
        <v>2.4645999999999999</v>
      </c>
      <c r="JC24">
        <v>38.673299999999998</v>
      </c>
      <c r="JD24">
        <v>24.113800000000001</v>
      </c>
      <c r="JE24">
        <v>18</v>
      </c>
      <c r="JF24">
        <v>601.65300000000002</v>
      </c>
      <c r="JG24">
        <v>426.96800000000002</v>
      </c>
      <c r="JH24">
        <v>27.435099999999998</v>
      </c>
      <c r="JI24">
        <v>33.545499999999997</v>
      </c>
      <c r="JJ24">
        <v>30.0002</v>
      </c>
      <c r="JK24">
        <v>33.490499999999997</v>
      </c>
      <c r="JL24">
        <v>33.467500000000001</v>
      </c>
      <c r="JM24">
        <v>20.253699999999998</v>
      </c>
      <c r="JN24">
        <v>31.3506</v>
      </c>
      <c r="JO24">
        <v>99.227699999999999</v>
      </c>
      <c r="JP24">
        <v>27.433399999999999</v>
      </c>
      <c r="JQ24">
        <v>400</v>
      </c>
      <c r="JR24">
        <v>24.604900000000001</v>
      </c>
      <c r="JS24">
        <v>98.698899999999995</v>
      </c>
      <c r="JT24">
        <v>99.064700000000002</v>
      </c>
    </row>
    <row r="25" spans="1:280" x14ac:dyDescent="0.25">
      <c r="A25">
        <v>9</v>
      </c>
      <c r="B25">
        <v>1700236567.5999999</v>
      </c>
      <c r="C25">
        <v>1330.099999904633</v>
      </c>
      <c r="D25" t="s">
        <v>457</v>
      </c>
      <c r="E25" t="s">
        <v>458</v>
      </c>
      <c r="F25" t="s">
        <v>412</v>
      </c>
      <c r="G25" t="s">
        <v>413</v>
      </c>
      <c r="H25" t="s">
        <v>414</v>
      </c>
      <c r="I25">
        <v>1700236567.5999999</v>
      </c>
      <c r="J25">
        <f t="shared" si="0"/>
        <v>4.4633002563117313E-3</v>
      </c>
      <c r="K25">
        <f t="shared" si="1"/>
        <v>4.4633002563117312</v>
      </c>
      <c r="L25">
        <f t="shared" si="2"/>
        <v>33.091885754994614</v>
      </c>
      <c r="M25">
        <f t="shared" si="3"/>
        <v>265.71300000000002</v>
      </c>
      <c r="N25">
        <f t="shared" si="4"/>
        <v>83.760323070133552</v>
      </c>
      <c r="O25">
        <f t="shared" si="5"/>
        <v>8.2687692560913586</v>
      </c>
      <c r="P25">
        <f t="shared" si="6"/>
        <v>26.231029260765006</v>
      </c>
      <c r="Q25">
        <f t="shared" si="7"/>
        <v>0.31199510115269335</v>
      </c>
      <c r="R25">
        <f t="shared" si="8"/>
        <v>3.1139713196113243</v>
      </c>
      <c r="S25">
        <f t="shared" si="9"/>
        <v>0.29561088509349603</v>
      </c>
      <c r="T25">
        <f t="shared" si="10"/>
        <v>0.18615712894549497</v>
      </c>
      <c r="U25">
        <f t="shared" si="11"/>
        <v>344.37699930235902</v>
      </c>
      <c r="V25">
        <f t="shared" si="12"/>
        <v>31.024988497772153</v>
      </c>
      <c r="W25">
        <f t="shared" si="13"/>
        <v>29.955200000000001</v>
      </c>
      <c r="X25">
        <f t="shared" si="14"/>
        <v>4.249498747818552</v>
      </c>
      <c r="Y25">
        <f t="shared" si="15"/>
        <v>65.237826395037317</v>
      </c>
      <c r="Z25">
        <f t="shared" si="16"/>
        <v>2.8122887938185004</v>
      </c>
      <c r="AA25">
        <f t="shared" si="17"/>
        <v>4.3108254048642447</v>
      </c>
      <c r="AB25">
        <f t="shared" si="18"/>
        <v>1.4372099540000516</v>
      </c>
      <c r="AC25">
        <f t="shared" si="19"/>
        <v>-196.83154130334734</v>
      </c>
      <c r="AD25">
        <f t="shared" si="20"/>
        <v>41.902953277007846</v>
      </c>
      <c r="AE25">
        <f t="shared" si="21"/>
        <v>2.994422942373935</v>
      </c>
      <c r="AF25">
        <f t="shared" si="22"/>
        <v>192.44283421839347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51512.30738860742</v>
      </c>
      <c r="AL25" t="s">
        <v>427</v>
      </c>
      <c r="AM25" t="s">
        <v>427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427</v>
      </c>
      <c r="AS25" t="s">
        <v>427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1513.2182996511792</v>
      </c>
      <c r="AY25">
        <f t="shared" si="29"/>
        <v>33.091885754994614</v>
      </c>
      <c r="AZ25" t="e">
        <f t="shared" si="30"/>
        <v>#DIV/0!</v>
      </c>
      <c r="BA25">
        <f t="shared" si="31"/>
        <v>2.1868547163765347E-2</v>
      </c>
      <c r="BB25" t="e">
        <f t="shared" si="32"/>
        <v>#DIV/0!</v>
      </c>
      <c r="BC25" t="e">
        <f t="shared" si="33"/>
        <v>#DIV/0!</v>
      </c>
      <c r="BD25" t="s">
        <v>427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BN25">
        <v>11372</v>
      </c>
      <c r="BO25">
        <v>290.00000000000011</v>
      </c>
      <c r="BP25">
        <v>746.34</v>
      </c>
      <c r="BQ25">
        <v>295</v>
      </c>
      <c r="BR25">
        <v>7093.71</v>
      </c>
      <c r="BS25">
        <v>749.16</v>
      </c>
      <c r="BT25">
        <v>-2.82</v>
      </c>
      <c r="BU25">
        <v>300.00000000000011</v>
      </c>
      <c r="BV25">
        <v>38.299999999999997</v>
      </c>
      <c r="BW25">
        <v>819.69731490261029</v>
      </c>
      <c r="BX25">
        <v>1.38311135324127</v>
      </c>
      <c r="BY25">
        <v>-50.03756231406259</v>
      </c>
      <c r="BZ25">
        <v>0.82242370797605446</v>
      </c>
      <c r="CA25">
        <v>0.99249269080619029</v>
      </c>
      <c r="CB25">
        <v>-6.9944883203559476E-3</v>
      </c>
      <c r="CC25">
        <v>289.99999999999989</v>
      </c>
      <c r="CD25">
        <v>757.21</v>
      </c>
      <c r="CE25">
        <v>855</v>
      </c>
      <c r="CF25">
        <v>7084.72</v>
      </c>
      <c r="CG25">
        <v>749.07</v>
      </c>
      <c r="CH25">
        <v>8.14</v>
      </c>
      <c r="CV25">
        <f t="shared" si="42"/>
        <v>1800.04</v>
      </c>
      <c r="CW25">
        <f t="shared" si="43"/>
        <v>1513.2182996511792</v>
      </c>
      <c r="CX25">
        <f t="shared" si="44"/>
        <v>0.84065815184728077</v>
      </c>
      <c r="CY25">
        <f t="shared" si="45"/>
        <v>0.19131630369456182</v>
      </c>
      <c r="CZ25">
        <v>5</v>
      </c>
      <c r="DA25">
        <v>0.5</v>
      </c>
      <c r="DB25" t="s">
        <v>418</v>
      </c>
      <c r="DC25">
        <v>2</v>
      </c>
      <c r="DD25">
        <v>1700236567.5999999</v>
      </c>
      <c r="DE25">
        <v>265.71300000000002</v>
      </c>
      <c r="DF25">
        <v>299.97699999999998</v>
      </c>
      <c r="DG25">
        <v>28.4877</v>
      </c>
      <c r="DH25">
        <v>24.153300000000002</v>
      </c>
      <c r="DI25">
        <v>266.10399999999998</v>
      </c>
      <c r="DJ25">
        <v>28.485399999999998</v>
      </c>
      <c r="DK25">
        <v>500.202</v>
      </c>
      <c r="DL25">
        <v>98.619200000000006</v>
      </c>
      <c r="DM25">
        <v>0.100205</v>
      </c>
      <c r="DN25">
        <v>30.204799999999999</v>
      </c>
      <c r="DO25">
        <v>29.955200000000001</v>
      </c>
      <c r="DP25">
        <v>999.9</v>
      </c>
      <c r="DQ25">
        <v>0</v>
      </c>
      <c r="DR25">
        <v>0</v>
      </c>
      <c r="DS25">
        <v>9983.1200000000008</v>
      </c>
      <c r="DT25">
        <v>0</v>
      </c>
      <c r="DU25">
        <v>545.60400000000004</v>
      </c>
      <c r="DV25">
        <v>-34.264899999999997</v>
      </c>
      <c r="DW25">
        <v>273.50400000000002</v>
      </c>
      <c r="DX25">
        <v>307.40199999999999</v>
      </c>
      <c r="DY25">
        <v>4.33439</v>
      </c>
      <c r="DZ25">
        <v>299.97699999999998</v>
      </c>
      <c r="EA25">
        <v>24.153300000000002</v>
      </c>
      <c r="EB25">
        <v>2.8094299999999999</v>
      </c>
      <c r="EC25">
        <v>2.38198</v>
      </c>
      <c r="ED25">
        <v>22.939599999999999</v>
      </c>
      <c r="EE25">
        <v>20.241800000000001</v>
      </c>
      <c r="EF25">
        <v>1800.04</v>
      </c>
      <c r="EG25">
        <v>0.97800100000000001</v>
      </c>
      <c r="EH25">
        <v>2.1999000000000001E-2</v>
      </c>
      <c r="EI25">
        <v>0</v>
      </c>
      <c r="EJ25">
        <v>571.83399999999995</v>
      </c>
      <c r="EK25">
        <v>5.0005300000000004</v>
      </c>
      <c r="EL25">
        <v>11435.5</v>
      </c>
      <c r="EM25">
        <v>16035.7</v>
      </c>
      <c r="EN25">
        <v>49.061999999999998</v>
      </c>
      <c r="EO25">
        <v>50.125</v>
      </c>
      <c r="EP25">
        <v>49.561999999999998</v>
      </c>
      <c r="EQ25">
        <v>49.686999999999998</v>
      </c>
      <c r="ER25">
        <v>50.186999999999998</v>
      </c>
      <c r="ES25">
        <v>1755.55</v>
      </c>
      <c r="ET25">
        <v>39.49</v>
      </c>
      <c r="EU25">
        <v>0</v>
      </c>
      <c r="EV25">
        <v>148.4000000953674</v>
      </c>
      <c r="EW25">
        <v>0</v>
      </c>
      <c r="EX25">
        <v>572.13738461538458</v>
      </c>
      <c r="EY25">
        <v>-0.47097435540184779</v>
      </c>
      <c r="EZ25">
        <v>29.172649539489861</v>
      </c>
      <c r="FA25">
        <v>11433.096153846151</v>
      </c>
      <c r="FB25">
        <v>15</v>
      </c>
      <c r="FC25">
        <v>1700236493.5999999</v>
      </c>
      <c r="FD25" t="s">
        <v>459</v>
      </c>
      <c r="FE25">
        <v>1700236488.0999999</v>
      </c>
      <c r="FF25">
        <v>1700236493.5999999</v>
      </c>
      <c r="FG25">
        <v>11</v>
      </c>
      <c r="FH25">
        <v>0.21099999999999999</v>
      </c>
      <c r="FI25">
        <v>3.0000000000000001E-3</v>
      </c>
      <c r="FJ25">
        <v>-0.39400000000000002</v>
      </c>
      <c r="FK25">
        <v>2E-3</v>
      </c>
      <c r="FL25">
        <v>300</v>
      </c>
      <c r="FM25">
        <v>25</v>
      </c>
      <c r="FN25">
        <v>0.09</v>
      </c>
      <c r="FO25">
        <v>0.02</v>
      </c>
      <c r="FP25">
        <v>33.024124915062082</v>
      </c>
      <c r="FQ25">
        <v>0.64483182413147089</v>
      </c>
      <c r="FR25">
        <v>5.0208312625593172E-2</v>
      </c>
      <c r="FS25">
        <v>1</v>
      </c>
      <c r="FT25">
        <v>0.30912866260891542</v>
      </c>
      <c r="FU25">
        <v>4.9937650327048319E-2</v>
      </c>
      <c r="FV25">
        <v>3.7598014264376171E-3</v>
      </c>
      <c r="FW25">
        <v>1</v>
      </c>
      <c r="FX25">
        <v>2</v>
      </c>
      <c r="FY25">
        <v>2</v>
      </c>
      <c r="FZ25" t="s">
        <v>420</v>
      </c>
      <c r="GA25">
        <v>3.1213600000000001</v>
      </c>
      <c r="GB25">
        <v>2.7669299999999999</v>
      </c>
      <c r="GC25">
        <v>6.3750299999999996E-2</v>
      </c>
      <c r="GD25">
        <v>7.0495699999999994E-2</v>
      </c>
      <c r="GE25">
        <v>0.12035700000000001</v>
      </c>
      <c r="GF25">
        <v>0.10745200000000001</v>
      </c>
      <c r="GG25">
        <v>22348</v>
      </c>
      <c r="GH25">
        <v>23079.599999999999</v>
      </c>
      <c r="GI25">
        <v>23733.5</v>
      </c>
      <c r="GJ25">
        <v>25147.4</v>
      </c>
      <c r="GK25">
        <v>30068.3</v>
      </c>
      <c r="GL25">
        <v>31468.2</v>
      </c>
      <c r="GM25">
        <v>37833.5</v>
      </c>
      <c r="GN25">
        <v>39140.9</v>
      </c>
      <c r="GO25">
        <v>2.14385</v>
      </c>
      <c r="GP25">
        <v>1.8196000000000001</v>
      </c>
      <c r="GQ25">
        <v>3.85642E-2</v>
      </c>
      <c r="GR25">
        <v>0</v>
      </c>
      <c r="GS25">
        <v>29.327200000000001</v>
      </c>
      <c r="GT25">
        <v>999.9</v>
      </c>
      <c r="GU25">
        <v>60.1</v>
      </c>
      <c r="GV25">
        <v>33</v>
      </c>
      <c r="GW25">
        <v>30.788</v>
      </c>
      <c r="GX25">
        <v>60.671900000000001</v>
      </c>
      <c r="GY25">
        <v>26.257999999999999</v>
      </c>
      <c r="GZ25">
        <v>1</v>
      </c>
      <c r="HA25">
        <v>0.53184699999999996</v>
      </c>
      <c r="HB25">
        <v>1.5430900000000001</v>
      </c>
      <c r="HC25">
        <v>20.316600000000001</v>
      </c>
      <c r="HD25">
        <v>5.25143</v>
      </c>
      <c r="HE25">
        <v>12.0099</v>
      </c>
      <c r="HF25">
        <v>4.9790999999999999</v>
      </c>
      <c r="HG25">
        <v>3.2930000000000001</v>
      </c>
      <c r="HH25">
        <v>9999</v>
      </c>
      <c r="HI25">
        <v>9999</v>
      </c>
      <c r="HJ25">
        <v>9999</v>
      </c>
      <c r="HK25">
        <v>999.9</v>
      </c>
      <c r="HL25">
        <v>1.87608</v>
      </c>
      <c r="HM25">
        <v>1.87683</v>
      </c>
      <c r="HN25">
        <v>1.8832500000000001</v>
      </c>
      <c r="HO25">
        <v>1.88629</v>
      </c>
      <c r="HP25">
        <v>1.87713</v>
      </c>
      <c r="HQ25">
        <v>1.8837699999999999</v>
      </c>
      <c r="HR25">
        <v>1.88263</v>
      </c>
      <c r="HS25">
        <v>1.8859999999999999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424</v>
      </c>
      <c r="IB25" t="s">
        <v>424</v>
      </c>
      <c r="IC25" t="s">
        <v>423</v>
      </c>
      <c r="ID25">
        <v>0</v>
      </c>
      <c r="IE25">
        <v>100</v>
      </c>
      <c r="IF25">
        <v>100</v>
      </c>
      <c r="IG25">
        <v>-0.39100000000000001</v>
      </c>
      <c r="IH25">
        <v>2.3E-3</v>
      </c>
      <c r="II25">
        <v>-0.38779630124985442</v>
      </c>
      <c r="IJ25">
        <v>4.4610147972834149E-5</v>
      </c>
      <c r="IK25">
        <v>-2.082673137682459E-7</v>
      </c>
      <c r="IL25">
        <v>-4.0725795306076518E-11</v>
      </c>
      <c r="IM25">
        <v>2.3049999999962272E-3</v>
      </c>
      <c r="IN25">
        <v>0</v>
      </c>
      <c r="IO25">
        <v>0</v>
      </c>
      <c r="IP25">
        <v>0</v>
      </c>
      <c r="IQ25">
        <v>3</v>
      </c>
      <c r="IR25">
        <v>2179</v>
      </c>
      <c r="IS25">
        <v>0</v>
      </c>
      <c r="IT25">
        <v>22</v>
      </c>
      <c r="IU25">
        <v>1.3</v>
      </c>
      <c r="IV25">
        <v>1.2</v>
      </c>
      <c r="IW25">
        <v>0.80688499999999996</v>
      </c>
      <c r="IX25">
        <v>2.63672</v>
      </c>
      <c r="IY25">
        <v>1.6015600000000001</v>
      </c>
      <c r="IZ25">
        <v>2.34619</v>
      </c>
      <c r="JA25">
        <v>1.5502899999999999</v>
      </c>
      <c r="JB25">
        <v>2.4328599999999998</v>
      </c>
      <c r="JC25">
        <v>38.919800000000002</v>
      </c>
      <c r="JD25">
        <v>24.113800000000001</v>
      </c>
      <c r="JE25">
        <v>18</v>
      </c>
      <c r="JF25">
        <v>602.26199999999994</v>
      </c>
      <c r="JG25">
        <v>424.43400000000003</v>
      </c>
      <c r="JH25">
        <v>27.746700000000001</v>
      </c>
      <c r="JI25">
        <v>33.676400000000001</v>
      </c>
      <c r="JJ25">
        <v>30.000399999999999</v>
      </c>
      <c r="JK25">
        <v>33.625399999999999</v>
      </c>
      <c r="JL25">
        <v>33.6021</v>
      </c>
      <c r="JM25">
        <v>16.135000000000002</v>
      </c>
      <c r="JN25">
        <v>33.4131</v>
      </c>
      <c r="JO25">
        <v>98.881699999999995</v>
      </c>
      <c r="JP25">
        <v>27.764800000000001</v>
      </c>
      <c r="JQ25">
        <v>300</v>
      </c>
      <c r="JR25">
        <v>24.088000000000001</v>
      </c>
      <c r="JS25">
        <v>98.678100000000001</v>
      </c>
      <c r="JT25">
        <v>99.047399999999996</v>
      </c>
    </row>
    <row r="26" spans="1:280" x14ac:dyDescent="0.25">
      <c r="A26">
        <v>10</v>
      </c>
      <c r="B26">
        <v>1700236729.5999999</v>
      </c>
      <c r="C26">
        <v>1492.099999904633</v>
      </c>
      <c r="D26" t="s">
        <v>460</v>
      </c>
      <c r="E26" t="s">
        <v>461</v>
      </c>
      <c r="F26" t="s">
        <v>412</v>
      </c>
      <c r="G26" t="s">
        <v>413</v>
      </c>
      <c r="H26" t="s">
        <v>414</v>
      </c>
      <c r="I26">
        <v>1700236729.5999999</v>
      </c>
      <c r="J26">
        <f t="shared" si="0"/>
        <v>5.335680863788576E-3</v>
      </c>
      <c r="K26">
        <f t="shared" si="1"/>
        <v>5.3356808637885758</v>
      </c>
      <c r="L26">
        <f t="shared" si="2"/>
        <v>25.658023639069683</v>
      </c>
      <c r="M26">
        <f t="shared" si="3"/>
        <v>173.434</v>
      </c>
      <c r="N26">
        <f t="shared" si="4"/>
        <v>57.443043968707187</v>
      </c>
      <c r="O26">
        <f t="shared" si="5"/>
        <v>5.6708852935134342</v>
      </c>
      <c r="P26">
        <f t="shared" si="6"/>
        <v>17.121730535920001</v>
      </c>
      <c r="Q26">
        <f t="shared" si="7"/>
        <v>0.38358619640513686</v>
      </c>
      <c r="R26">
        <f t="shared" si="8"/>
        <v>3.1115676335842832</v>
      </c>
      <c r="S26">
        <f t="shared" si="9"/>
        <v>0.35911880921496975</v>
      </c>
      <c r="T26">
        <f t="shared" si="10"/>
        <v>0.22651737386040055</v>
      </c>
      <c r="U26">
        <f t="shared" si="11"/>
        <v>344.36561246588076</v>
      </c>
      <c r="V26">
        <f t="shared" si="12"/>
        <v>31.01002113343144</v>
      </c>
      <c r="W26">
        <f t="shared" si="13"/>
        <v>29.946000000000002</v>
      </c>
      <c r="X26">
        <f t="shared" si="14"/>
        <v>4.2472529154001615</v>
      </c>
      <c r="Y26">
        <f t="shared" si="15"/>
        <v>64.97614906929104</v>
      </c>
      <c r="Z26">
        <f t="shared" si="16"/>
        <v>2.8330711513</v>
      </c>
      <c r="AA26">
        <f t="shared" si="17"/>
        <v>4.3601709117583933</v>
      </c>
      <c r="AB26">
        <f t="shared" si="18"/>
        <v>1.4141817641001615</v>
      </c>
      <c r="AC26">
        <f t="shared" si="19"/>
        <v>-235.30352609307621</v>
      </c>
      <c r="AD26">
        <f t="shared" si="20"/>
        <v>76.72923159134541</v>
      </c>
      <c r="AE26">
        <f t="shared" si="21"/>
        <v>5.4925235546290141</v>
      </c>
      <c r="AF26">
        <f t="shared" si="22"/>
        <v>191.28384151877898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51417.980028405975</v>
      </c>
      <c r="AL26" t="s">
        <v>415</v>
      </c>
      <c r="AM26">
        <v>6977.87</v>
      </c>
      <c r="AN26">
        <v>273.15280000000001</v>
      </c>
      <c r="AO26">
        <v>850.46774885301022</v>
      </c>
      <c r="AP26">
        <f t="shared" si="26"/>
        <v>0.67882050745793765</v>
      </c>
      <c r="AQ26">
        <v>-1.0323826813720729</v>
      </c>
      <c r="AR26" t="s">
        <v>462</v>
      </c>
      <c r="AS26">
        <v>7095.32</v>
      </c>
      <c r="AT26">
        <v>586.58753846153843</v>
      </c>
      <c r="AU26">
        <v>749.56785012278544</v>
      </c>
      <c r="AV26">
        <f t="shared" si="27"/>
        <v>0.21743236670909705</v>
      </c>
      <c r="AW26">
        <v>0.5</v>
      </c>
      <c r="AX26">
        <f t="shared" si="28"/>
        <v>1513.1679062329404</v>
      </c>
      <c r="AY26">
        <f t="shared" si="29"/>
        <v>25.658023639069683</v>
      </c>
      <c r="AZ26">
        <f t="shared" si="30"/>
        <v>164.50583954023864</v>
      </c>
      <c r="BA26">
        <f t="shared" si="31"/>
        <v>1.7638760517256817E-2</v>
      </c>
      <c r="BB26">
        <f t="shared" si="32"/>
        <v>0.13461076100542005</v>
      </c>
      <c r="BC26">
        <f t="shared" si="33"/>
        <v>261.83266982057512</v>
      </c>
      <c r="BD26" t="s">
        <v>463</v>
      </c>
      <c r="BE26">
        <v>412.85</v>
      </c>
      <c r="BF26">
        <f t="shared" si="34"/>
        <v>412.85</v>
      </c>
      <c r="BG26">
        <f t="shared" si="35"/>
        <v>0.4492159716663785</v>
      </c>
      <c r="BH26">
        <f t="shared" si="36"/>
        <v>0.48402634906885877</v>
      </c>
      <c r="BI26">
        <f t="shared" si="37"/>
        <v>0.23056628529048914</v>
      </c>
      <c r="BJ26">
        <f t="shared" si="38"/>
        <v>0.34209731959400203</v>
      </c>
      <c r="BK26">
        <f t="shared" si="39"/>
        <v>0.17477444318857371</v>
      </c>
      <c r="BL26">
        <f t="shared" si="40"/>
        <v>0.34066574059377308</v>
      </c>
      <c r="BM26">
        <f t="shared" si="41"/>
        <v>0.65933425940622692</v>
      </c>
      <c r="BN26">
        <v>11374</v>
      </c>
      <c r="BO26">
        <v>290.00000000000011</v>
      </c>
      <c r="BP26">
        <v>705.67</v>
      </c>
      <c r="BQ26">
        <v>285</v>
      </c>
      <c r="BR26">
        <v>7095.32</v>
      </c>
      <c r="BS26">
        <v>706.72</v>
      </c>
      <c r="BT26">
        <v>-1.05</v>
      </c>
      <c r="BU26">
        <v>300.00000000000011</v>
      </c>
      <c r="BV26">
        <v>38.299999999999997</v>
      </c>
      <c r="BW26">
        <v>749.56785012278544</v>
      </c>
      <c r="BX26">
        <v>1.115070163104984</v>
      </c>
      <c r="BY26">
        <v>-30.400687441206081</v>
      </c>
      <c r="BZ26">
        <v>0.66319841727107998</v>
      </c>
      <c r="CA26">
        <v>0.98684989309812698</v>
      </c>
      <c r="CB26">
        <v>-6.9958222469410532E-3</v>
      </c>
      <c r="CC26">
        <v>289.99999999999989</v>
      </c>
      <c r="CD26">
        <v>712.02</v>
      </c>
      <c r="CE26">
        <v>735</v>
      </c>
      <c r="CF26">
        <v>7088.9</v>
      </c>
      <c r="CG26">
        <v>706.68</v>
      </c>
      <c r="CH26">
        <v>5.34</v>
      </c>
      <c r="CV26">
        <f t="shared" si="42"/>
        <v>1799.98</v>
      </c>
      <c r="CW26">
        <f t="shared" si="43"/>
        <v>1513.1679062329404</v>
      </c>
      <c r="CX26">
        <f t="shared" si="44"/>
        <v>0.84065817744249405</v>
      </c>
      <c r="CY26">
        <f t="shared" si="45"/>
        <v>0.19131635488498802</v>
      </c>
      <c r="CZ26">
        <v>5</v>
      </c>
      <c r="DA26">
        <v>0.5</v>
      </c>
      <c r="DB26" t="s">
        <v>418</v>
      </c>
      <c r="DC26">
        <v>2</v>
      </c>
      <c r="DD26">
        <v>1700236729.5999999</v>
      </c>
      <c r="DE26">
        <v>173.434</v>
      </c>
      <c r="DF26">
        <v>200.01300000000001</v>
      </c>
      <c r="DG26">
        <v>28.697500000000002</v>
      </c>
      <c r="DH26">
        <v>23.515799999999999</v>
      </c>
      <c r="DI26">
        <v>173.70500000000001</v>
      </c>
      <c r="DJ26">
        <v>28.698499999999999</v>
      </c>
      <c r="DK26">
        <v>500.08300000000003</v>
      </c>
      <c r="DL26">
        <v>98.621600000000001</v>
      </c>
      <c r="DM26">
        <v>0.10027999999999999</v>
      </c>
      <c r="DN26">
        <v>30.403400000000001</v>
      </c>
      <c r="DO26">
        <v>29.946000000000002</v>
      </c>
      <c r="DP26">
        <v>999.9</v>
      </c>
      <c r="DQ26">
        <v>0</v>
      </c>
      <c r="DR26">
        <v>0</v>
      </c>
      <c r="DS26">
        <v>9970.6200000000008</v>
      </c>
      <c r="DT26">
        <v>0</v>
      </c>
      <c r="DU26">
        <v>567.28200000000004</v>
      </c>
      <c r="DV26">
        <v>-26.578800000000001</v>
      </c>
      <c r="DW26">
        <v>178.55799999999999</v>
      </c>
      <c r="DX26">
        <v>204.83</v>
      </c>
      <c r="DY26">
        <v>5.1816700000000004</v>
      </c>
      <c r="DZ26">
        <v>200.01300000000001</v>
      </c>
      <c r="EA26">
        <v>23.515799999999999</v>
      </c>
      <c r="EB26">
        <v>2.83019</v>
      </c>
      <c r="EC26">
        <v>2.3191600000000001</v>
      </c>
      <c r="ED26">
        <v>23.061199999999999</v>
      </c>
      <c r="EE26">
        <v>19.810099999999998</v>
      </c>
      <c r="EF26">
        <v>1799.98</v>
      </c>
      <c r="EG26">
        <v>0.97799700000000001</v>
      </c>
      <c r="EH26">
        <v>2.2002600000000001E-2</v>
      </c>
      <c r="EI26">
        <v>0</v>
      </c>
      <c r="EJ26">
        <v>586.47799999999995</v>
      </c>
      <c r="EK26">
        <v>5.0005300000000004</v>
      </c>
      <c r="EL26">
        <v>11767.7</v>
      </c>
      <c r="EM26">
        <v>16035.1</v>
      </c>
      <c r="EN26">
        <v>48.875</v>
      </c>
      <c r="EO26">
        <v>50</v>
      </c>
      <c r="EP26">
        <v>49.436999999999998</v>
      </c>
      <c r="EQ26">
        <v>49.561999999999998</v>
      </c>
      <c r="ER26">
        <v>50.061999999999998</v>
      </c>
      <c r="ES26">
        <v>1755.48</v>
      </c>
      <c r="ET26">
        <v>39.49</v>
      </c>
      <c r="EU26">
        <v>0</v>
      </c>
      <c r="EV26">
        <v>310.40000009536737</v>
      </c>
      <c r="EW26">
        <v>0</v>
      </c>
      <c r="EX26">
        <v>586.58753846153843</v>
      </c>
      <c r="EY26">
        <v>-1.0400000150339039</v>
      </c>
      <c r="EZ26">
        <v>68.04102565591549</v>
      </c>
      <c r="FA26">
        <v>11758.47692307692</v>
      </c>
      <c r="FB26">
        <v>15</v>
      </c>
      <c r="FC26">
        <v>1700236641.0999999</v>
      </c>
      <c r="FD26" t="s">
        <v>464</v>
      </c>
      <c r="FE26">
        <v>1700236636.0999999</v>
      </c>
      <c r="FF26">
        <v>1700236641.0999999</v>
      </c>
      <c r="FG26">
        <v>12</v>
      </c>
      <c r="FH26">
        <v>0.11600000000000001</v>
      </c>
      <c r="FI26">
        <v>-3.0000000000000001E-3</v>
      </c>
      <c r="FJ26">
        <v>-0.27200000000000002</v>
      </c>
      <c r="FK26">
        <v>-1E-3</v>
      </c>
      <c r="FL26">
        <v>200</v>
      </c>
      <c r="FM26">
        <v>24</v>
      </c>
      <c r="FN26">
        <v>0.06</v>
      </c>
      <c r="FO26">
        <v>0.03</v>
      </c>
      <c r="FP26">
        <v>25.53459578631227</v>
      </c>
      <c r="FQ26">
        <v>0.67629454686768931</v>
      </c>
      <c r="FR26">
        <v>5.2906545713615978E-2</v>
      </c>
      <c r="FS26">
        <v>1</v>
      </c>
      <c r="FT26">
        <v>0.37759705049415399</v>
      </c>
      <c r="FU26">
        <v>2.395834737549201E-2</v>
      </c>
      <c r="FV26">
        <v>1.8452438610353061E-3</v>
      </c>
      <c r="FW26">
        <v>1</v>
      </c>
      <c r="FX26">
        <v>2</v>
      </c>
      <c r="FY26">
        <v>2</v>
      </c>
      <c r="FZ26" t="s">
        <v>420</v>
      </c>
      <c r="GA26">
        <v>3.12147</v>
      </c>
      <c r="GB26">
        <v>2.7669000000000001</v>
      </c>
      <c r="GC26">
        <v>4.3918800000000001E-2</v>
      </c>
      <c r="GD26">
        <v>4.9914300000000002E-2</v>
      </c>
      <c r="GE26">
        <v>0.12094000000000001</v>
      </c>
      <c r="GF26">
        <v>0.105411</v>
      </c>
      <c r="GG26">
        <v>22813.9</v>
      </c>
      <c r="GH26">
        <v>23583.599999999999</v>
      </c>
      <c r="GI26">
        <v>23726.799999999999</v>
      </c>
      <c r="GJ26">
        <v>25141.1</v>
      </c>
      <c r="GK26">
        <v>30040.1</v>
      </c>
      <c r="GL26">
        <v>31532.400000000001</v>
      </c>
      <c r="GM26">
        <v>37823.199999999997</v>
      </c>
      <c r="GN26">
        <v>39131.4</v>
      </c>
      <c r="GO26">
        <v>2.1438000000000001</v>
      </c>
      <c r="GP26">
        <v>1.8128</v>
      </c>
      <c r="GQ26">
        <v>2.8170600000000001E-2</v>
      </c>
      <c r="GR26">
        <v>0</v>
      </c>
      <c r="GS26">
        <v>29.487400000000001</v>
      </c>
      <c r="GT26">
        <v>999.9</v>
      </c>
      <c r="GU26">
        <v>59.8</v>
      </c>
      <c r="GV26">
        <v>33.299999999999997</v>
      </c>
      <c r="GW26">
        <v>31.1556</v>
      </c>
      <c r="GX26">
        <v>60.251899999999999</v>
      </c>
      <c r="GY26">
        <v>26.887</v>
      </c>
      <c r="GZ26">
        <v>1</v>
      </c>
      <c r="HA26">
        <v>0.54542199999999996</v>
      </c>
      <c r="HB26">
        <v>1.4373499999999999</v>
      </c>
      <c r="HC26">
        <v>20.3169</v>
      </c>
      <c r="HD26">
        <v>5.2515799999999997</v>
      </c>
      <c r="HE26">
        <v>12.0099</v>
      </c>
      <c r="HF26">
        <v>4.97905</v>
      </c>
      <c r="HG26">
        <v>3.2930000000000001</v>
      </c>
      <c r="HH26">
        <v>9999</v>
      </c>
      <c r="HI26">
        <v>9999</v>
      </c>
      <c r="HJ26">
        <v>9999</v>
      </c>
      <c r="HK26">
        <v>999.9</v>
      </c>
      <c r="HL26">
        <v>1.87608</v>
      </c>
      <c r="HM26">
        <v>1.8768499999999999</v>
      </c>
      <c r="HN26">
        <v>1.88324</v>
      </c>
      <c r="HO26">
        <v>1.88629</v>
      </c>
      <c r="HP26">
        <v>1.87713</v>
      </c>
      <c r="HQ26">
        <v>1.8837600000000001</v>
      </c>
      <c r="HR26">
        <v>1.88263</v>
      </c>
      <c r="HS26">
        <v>1.8860300000000001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424</v>
      </c>
      <c r="IB26" t="s">
        <v>424</v>
      </c>
      <c r="IC26" t="s">
        <v>423</v>
      </c>
      <c r="ID26">
        <v>0</v>
      </c>
      <c r="IE26">
        <v>100</v>
      </c>
      <c r="IF26">
        <v>100</v>
      </c>
      <c r="IG26">
        <v>-0.27100000000000002</v>
      </c>
      <c r="IH26">
        <v>-1E-3</v>
      </c>
      <c r="II26">
        <v>-0.27195603799605572</v>
      </c>
      <c r="IJ26">
        <v>4.4610147972834149E-5</v>
      </c>
      <c r="IK26">
        <v>-2.082673137682459E-7</v>
      </c>
      <c r="IL26">
        <v>-4.0725795306076518E-11</v>
      </c>
      <c r="IM26">
        <v>-1.0800000000052989E-3</v>
      </c>
      <c r="IN26">
        <v>0</v>
      </c>
      <c r="IO26">
        <v>0</v>
      </c>
      <c r="IP26">
        <v>0</v>
      </c>
      <c r="IQ26">
        <v>3</v>
      </c>
      <c r="IR26">
        <v>2179</v>
      </c>
      <c r="IS26">
        <v>0</v>
      </c>
      <c r="IT26">
        <v>22</v>
      </c>
      <c r="IU26">
        <v>1.6</v>
      </c>
      <c r="IV26">
        <v>1.5</v>
      </c>
      <c r="IW26">
        <v>0.59326199999999996</v>
      </c>
      <c r="IX26">
        <v>2.66113</v>
      </c>
      <c r="IY26">
        <v>1.6015600000000001</v>
      </c>
      <c r="IZ26">
        <v>2.34619</v>
      </c>
      <c r="JA26">
        <v>1.5502899999999999</v>
      </c>
      <c r="JB26">
        <v>2.3559600000000001</v>
      </c>
      <c r="JC26">
        <v>39.142800000000001</v>
      </c>
      <c r="JD26">
        <v>24.105</v>
      </c>
      <c r="JE26">
        <v>18</v>
      </c>
      <c r="JF26">
        <v>603.61400000000003</v>
      </c>
      <c r="JG26">
        <v>421.01100000000002</v>
      </c>
      <c r="JH26">
        <v>28.0717</v>
      </c>
      <c r="JI26">
        <v>33.826000000000001</v>
      </c>
      <c r="JJ26">
        <v>30.000299999999999</v>
      </c>
      <c r="JK26">
        <v>33.7774</v>
      </c>
      <c r="JL26">
        <v>33.754800000000003</v>
      </c>
      <c r="JM26">
        <v>11.8462</v>
      </c>
      <c r="JN26">
        <v>35.983699999999999</v>
      </c>
      <c r="JO26">
        <v>98.090100000000007</v>
      </c>
      <c r="JP26">
        <v>28.1128</v>
      </c>
      <c r="JQ26">
        <v>200</v>
      </c>
      <c r="JR26">
        <v>23.453399999999998</v>
      </c>
      <c r="JS26">
        <v>98.650800000000004</v>
      </c>
      <c r="JT26">
        <v>99.022999999999996</v>
      </c>
    </row>
    <row r="27" spans="1:280" x14ac:dyDescent="0.25">
      <c r="A27">
        <v>11</v>
      </c>
      <c r="B27">
        <v>1700236841.0999999</v>
      </c>
      <c r="C27">
        <v>1603.599999904633</v>
      </c>
      <c r="D27" t="s">
        <v>465</v>
      </c>
      <c r="E27" t="s">
        <v>466</v>
      </c>
      <c r="F27" t="s">
        <v>412</v>
      </c>
      <c r="G27" t="s">
        <v>413</v>
      </c>
      <c r="H27" t="s">
        <v>414</v>
      </c>
      <c r="I27">
        <v>1700236841.0999999</v>
      </c>
      <c r="J27">
        <f t="shared" si="0"/>
        <v>5.4135497937209094E-3</v>
      </c>
      <c r="K27">
        <f t="shared" si="1"/>
        <v>5.4135497937209092</v>
      </c>
      <c r="L27">
        <f t="shared" si="2"/>
        <v>16.205496165746471</v>
      </c>
      <c r="M27">
        <f t="shared" si="3"/>
        <v>103.241</v>
      </c>
      <c r="N27">
        <f t="shared" si="4"/>
        <v>32.795399755997032</v>
      </c>
      <c r="O27">
        <f t="shared" si="5"/>
        <v>3.2377137689241571</v>
      </c>
      <c r="P27">
        <f t="shared" si="6"/>
        <v>10.192429721987901</v>
      </c>
      <c r="Q27">
        <f t="shared" si="7"/>
        <v>0.39925409581161486</v>
      </c>
      <c r="R27">
        <f t="shared" si="8"/>
        <v>3.1180028589961175</v>
      </c>
      <c r="S27">
        <f t="shared" si="9"/>
        <v>0.37287165785996401</v>
      </c>
      <c r="T27">
        <f t="shared" si="10"/>
        <v>0.23526971195161611</v>
      </c>
      <c r="U27">
        <f t="shared" si="11"/>
        <v>344.35289930213202</v>
      </c>
      <c r="V27">
        <f t="shared" si="12"/>
        <v>31.057392186980437</v>
      </c>
      <c r="W27">
        <f t="shared" si="13"/>
        <v>29.968599999999999</v>
      </c>
      <c r="X27">
        <f t="shared" si="14"/>
        <v>4.2527717030793841</v>
      </c>
      <c r="Y27">
        <f t="shared" si="15"/>
        <v>65.594719427697967</v>
      </c>
      <c r="Z27">
        <f t="shared" si="16"/>
        <v>2.8711492347685601</v>
      </c>
      <c r="AA27">
        <f t="shared" si="17"/>
        <v>4.3771042239662226</v>
      </c>
      <c r="AB27">
        <f t="shared" si="18"/>
        <v>1.381622468310824</v>
      </c>
      <c r="AC27">
        <f t="shared" si="19"/>
        <v>-238.7375459030921</v>
      </c>
      <c r="AD27">
        <f t="shared" si="20"/>
        <v>84.469129492435059</v>
      </c>
      <c r="AE27">
        <f t="shared" si="21"/>
        <v>6.0367876745606068</v>
      </c>
      <c r="AF27">
        <f t="shared" si="22"/>
        <v>196.12127056603561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51568.99776133975</v>
      </c>
      <c r="AL27" t="s">
        <v>427</v>
      </c>
      <c r="AM27" t="s">
        <v>427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427</v>
      </c>
      <c r="AS27" t="s">
        <v>427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1513.1093996510658</v>
      </c>
      <c r="AY27">
        <f t="shared" si="29"/>
        <v>16.205496165746471</v>
      </c>
      <c r="AZ27" t="e">
        <f t="shared" si="30"/>
        <v>#DIV/0!</v>
      </c>
      <c r="BA27">
        <f t="shared" si="31"/>
        <v>1.0710062451190626E-2</v>
      </c>
      <c r="BB27" t="e">
        <f t="shared" si="32"/>
        <v>#DIV/0!</v>
      </c>
      <c r="BC27" t="e">
        <f t="shared" si="33"/>
        <v>#DIV/0!</v>
      </c>
      <c r="BD27" t="s">
        <v>427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11374</v>
      </c>
      <c r="BO27">
        <v>290.00000000000011</v>
      </c>
      <c r="BP27">
        <v>705.67</v>
      </c>
      <c r="BQ27">
        <v>285</v>
      </c>
      <c r="BR27">
        <v>7095.32</v>
      </c>
      <c r="BS27">
        <v>706.72</v>
      </c>
      <c r="BT27">
        <v>-1.05</v>
      </c>
      <c r="BU27">
        <v>300.00000000000011</v>
      </c>
      <c r="BV27">
        <v>38.299999999999997</v>
      </c>
      <c r="BW27">
        <v>749.56785012278544</v>
      </c>
      <c r="BX27">
        <v>1.115070163104984</v>
      </c>
      <c r="BY27">
        <v>-30.400687441206081</v>
      </c>
      <c r="BZ27">
        <v>0.66319841727107998</v>
      </c>
      <c r="CA27">
        <v>0.98684989309812698</v>
      </c>
      <c r="CB27">
        <v>-6.9958222469410532E-3</v>
      </c>
      <c r="CC27">
        <v>289.99999999999989</v>
      </c>
      <c r="CD27">
        <v>712.02</v>
      </c>
      <c r="CE27">
        <v>735</v>
      </c>
      <c r="CF27">
        <v>7088.9</v>
      </c>
      <c r="CG27">
        <v>706.68</v>
      </c>
      <c r="CH27">
        <v>5.34</v>
      </c>
      <c r="CV27">
        <f t="shared" si="42"/>
        <v>1799.91</v>
      </c>
      <c r="CW27">
        <f t="shared" si="43"/>
        <v>1513.1093996510658</v>
      </c>
      <c r="CX27">
        <f t="shared" si="44"/>
        <v>0.84065836605778388</v>
      </c>
      <c r="CY27">
        <f t="shared" si="45"/>
        <v>0.19131673211556799</v>
      </c>
      <c r="CZ27">
        <v>5</v>
      </c>
      <c r="DA27">
        <v>0.5</v>
      </c>
      <c r="DB27" t="s">
        <v>418</v>
      </c>
      <c r="DC27">
        <v>2</v>
      </c>
      <c r="DD27">
        <v>1700236841.0999999</v>
      </c>
      <c r="DE27">
        <v>103.241</v>
      </c>
      <c r="DF27">
        <v>120.006</v>
      </c>
      <c r="DG27">
        <v>29.0824</v>
      </c>
      <c r="DH27">
        <v>23.8261</v>
      </c>
      <c r="DI27">
        <v>103.43</v>
      </c>
      <c r="DJ27">
        <v>29.084599999999998</v>
      </c>
      <c r="DK27">
        <v>499.98200000000003</v>
      </c>
      <c r="DL27">
        <v>98.625100000000003</v>
      </c>
      <c r="DM27">
        <v>9.9531900000000006E-2</v>
      </c>
      <c r="DN27">
        <v>30.4711</v>
      </c>
      <c r="DO27">
        <v>29.968599999999999</v>
      </c>
      <c r="DP27">
        <v>999.9</v>
      </c>
      <c r="DQ27">
        <v>0</v>
      </c>
      <c r="DR27">
        <v>0</v>
      </c>
      <c r="DS27">
        <v>10003.1</v>
      </c>
      <c r="DT27">
        <v>0</v>
      </c>
      <c r="DU27">
        <v>561.21299999999997</v>
      </c>
      <c r="DV27">
        <v>-16.765499999999999</v>
      </c>
      <c r="DW27">
        <v>106.333</v>
      </c>
      <c r="DX27">
        <v>122.935</v>
      </c>
      <c r="DY27">
        <v>5.2563000000000004</v>
      </c>
      <c r="DZ27">
        <v>120.006</v>
      </c>
      <c r="EA27">
        <v>23.8261</v>
      </c>
      <c r="EB27">
        <v>2.8682500000000002</v>
      </c>
      <c r="EC27">
        <v>2.34985</v>
      </c>
      <c r="ED27">
        <v>23.2822</v>
      </c>
      <c r="EE27">
        <v>20.022300000000001</v>
      </c>
      <c r="EF27">
        <v>1799.91</v>
      </c>
      <c r="EG27">
        <v>0.97799400000000003</v>
      </c>
      <c r="EH27">
        <v>2.20062E-2</v>
      </c>
      <c r="EI27">
        <v>0</v>
      </c>
      <c r="EJ27">
        <v>607.452</v>
      </c>
      <c r="EK27">
        <v>5.0005300000000004</v>
      </c>
      <c r="EL27">
        <v>12096.7</v>
      </c>
      <c r="EM27">
        <v>16034.4</v>
      </c>
      <c r="EN27">
        <v>48.686999999999998</v>
      </c>
      <c r="EO27">
        <v>49.811999999999998</v>
      </c>
      <c r="EP27">
        <v>49.25</v>
      </c>
      <c r="EQ27">
        <v>49.375</v>
      </c>
      <c r="ER27">
        <v>49.936999999999998</v>
      </c>
      <c r="ES27">
        <v>1755.41</v>
      </c>
      <c r="ET27">
        <v>39.5</v>
      </c>
      <c r="EU27">
        <v>0</v>
      </c>
      <c r="EV27">
        <v>109.4000000953674</v>
      </c>
      <c r="EW27">
        <v>0</v>
      </c>
      <c r="EX27">
        <v>607.12943999999993</v>
      </c>
      <c r="EY27">
        <v>2.1227692285559661</v>
      </c>
      <c r="EZ27">
        <v>-48.007692245341538</v>
      </c>
      <c r="FA27">
        <v>12102.407999999999</v>
      </c>
      <c r="FB27">
        <v>15</v>
      </c>
      <c r="FC27">
        <v>1700236808.5999999</v>
      </c>
      <c r="FD27" t="s">
        <v>467</v>
      </c>
      <c r="FE27">
        <v>1700236803.0999999</v>
      </c>
      <c r="FF27">
        <v>1700236808.5999999</v>
      </c>
      <c r="FG27">
        <v>13</v>
      </c>
      <c r="FH27">
        <v>0.08</v>
      </c>
      <c r="FI27">
        <v>-1E-3</v>
      </c>
      <c r="FJ27">
        <v>-0.19</v>
      </c>
      <c r="FK27">
        <v>-2E-3</v>
      </c>
      <c r="FL27">
        <v>120</v>
      </c>
      <c r="FM27">
        <v>24</v>
      </c>
      <c r="FN27">
        <v>0.13</v>
      </c>
      <c r="FO27">
        <v>0.03</v>
      </c>
      <c r="FP27">
        <v>16.14793244899343</v>
      </c>
      <c r="FQ27">
        <v>3.0650331152116451E-2</v>
      </c>
      <c r="FR27">
        <v>3.0021163307229551E-2</v>
      </c>
      <c r="FS27">
        <v>1</v>
      </c>
      <c r="FT27">
        <v>0.40164363584295287</v>
      </c>
      <c r="FU27">
        <v>1.966566499207148E-2</v>
      </c>
      <c r="FV27">
        <v>4.721551816486696E-3</v>
      </c>
      <c r="FW27">
        <v>1</v>
      </c>
      <c r="FX27">
        <v>2</v>
      </c>
      <c r="FY27">
        <v>2</v>
      </c>
      <c r="FZ27" t="s">
        <v>420</v>
      </c>
      <c r="GA27">
        <v>3.1213700000000002</v>
      </c>
      <c r="GB27">
        <v>2.7664300000000002</v>
      </c>
      <c r="GC27">
        <v>2.7064600000000001E-2</v>
      </c>
      <c r="GD27">
        <v>3.1238800000000001E-2</v>
      </c>
      <c r="GE27">
        <v>0.122045</v>
      </c>
      <c r="GF27">
        <v>0.106376</v>
      </c>
      <c r="GG27">
        <v>23213.3</v>
      </c>
      <c r="GH27">
        <v>24045.1</v>
      </c>
      <c r="GI27">
        <v>23724.9</v>
      </c>
      <c r="GJ27">
        <v>25139.599999999999</v>
      </c>
      <c r="GK27">
        <v>30000.2</v>
      </c>
      <c r="GL27">
        <v>31497.4</v>
      </c>
      <c r="GM27">
        <v>37820.5</v>
      </c>
      <c r="GN27">
        <v>39130.1</v>
      </c>
      <c r="GO27">
        <v>2.1421700000000001</v>
      </c>
      <c r="GP27">
        <v>1.8109500000000001</v>
      </c>
      <c r="GQ27">
        <v>2.9828400000000001E-2</v>
      </c>
      <c r="GR27">
        <v>0</v>
      </c>
      <c r="GS27">
        <v>29.483000000000001</v>
      </c>
      <c r="GT27">
        <v>999.9</v>
      </c>
      <c r="GU27">
        <v>59.5</v>
      </c>
      <c r="GV27">
        <v>33.5</v>
      </c>
      <c r="GW27">
        <v>31.344999999999999</v>
      </c>
      <c r="GX27">
        <v>59.911900000000003</v>
      </c>
      <c r="GY27">
        <v>26.4984</v>
      </c>
      <c r="GZ27">
        <v>1</v>
      </c>
      <c r="HA27">
        <v>0.55089699999999997</v>
      </c>
      <c r="HB27">
        <v>0.46616299999999999</v>
      </c>
      <c r="HC27">
        <v>20.321200000000001</v>
      </c>
      <c r="HD27">
        <v>5.2475399999999999</v>
      </c>
      <c r="HE27">
        <v>12.0099</v>
      </c>
      <c r="HF27">
        <v>4.9779</v>
      </c>
      <c r="HG27">
        <v>3.2923300000000002</v>
      </c>
      <c r="HH27">
        <v>9999</v>
      </c>
      <c r="HI27">
        <v>9999</v>
      </c>
      <c r="HJ27">
        <v>9999</v>
      </c>
      <c r="HK27">
        <v>999.9</v>
      </c>
      <c r="HL27">
        <v>1.8760699999999999</v>
      </c>
      <c r="HM27">
        <v>1.8768899999999999</v>
      </c>
      <c r="HN27">
        <v>1.8832500000000001</v>
      </c>
      <c r="HO27">
        <v>1.88632</v>
      </c>
      <c r="HP27">
        <v>1.87714</v>
      </c>
      <c r="HQ27">
        <v>1.8837600000000001</v>
      </c>
      <c r="HR27">
        <v>1.88263</v>
      </c>
      <c r="HS27">
        <v>1.8860300000000001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424</v>
      </c>
      <c r="IB27" t="s">
        <v>424</v>
      </c>
      <c r="IC27" t="s">
        <v>423</v>
      </c>
      <c r="ID27">
        <v>0</v>
      </c>
      <c r="IE27">
        <v>100</v>
      </c>
      <c r="IF27">
        <v>100</v>
      </c>
      <c r="IG27">
        <v>-0.189</v>
      </c>
      <c r="IH27">
        <v>-2.2000000000000001E-3</v>
      </c>
      <c r="II27">
        <v>-0.19198263497055779</v>
      </c>
      <c r="IJ27">
        <v>4.4610147972834149E-5</v>
      </c>
      <c r="IK27">
        <v>-2.082673137682459E-7</v>
      </c>
      <c r="IL27">
        <v>-4.0725795306076518E-11</v>
      </c>
      <c r="IM27">
        <v>-2.2380952380984809E-3</v>
      </c>
      <c r="IN27">
        <v>0</v>
      </c>
      <c r="IO27">
        <v>0</v>
      </c>
      <c r="IP27">
        <v>0</v>
      </c>
      <c r="IQ27">
        <v>3</v>
      </c>
      <c r="IR27">
        <v>2179</v>
      </c>
      <c r="IS27">
        <v>0</v>
      </c>
      <c r="IT27">
        <v>22</v>
      </c>
      <c r="IU27">
        <v>0.6</v>
      </c>
      <c r="IV27">
        <v>0.5</v>
      </c>
      <c r="IW27">
        <v>0.41626000000000002</v>
      </c>
      <c r="IX27">
        <v>2.6660200000000001</v>
      </c>
      <c r="IY27">
        <v>1.6003400000000001</v>
      </c>
      <c r="IZ27">
        <v>2.34375</v>
      </c>
      <c r="JA27">
        <v>1.5502899999999999</v>
      </c>
      <c r="JB27">
        <v>2.4267599999999998</v>
      </c>
      <c r="JC27">
        <v>39.292000000000002</v>
      </c>
      <c r="JD27">
        <v>24.113800000000001</v>
      </c>
      <c r="JE27">
        <v>18</v>
      </c>
      <c r="JF27">
        <v>603.13599999999997</v>
      </c>
      <c r="JG27">
        <v>420.315</v>
      </c>
      <c r="JH27">
        <v>27.697099999999999</v>
      </c>
      <c r="JI27">
        <v>33.881300000000003</v>
      </c>
      <c r="JJ27">
        <v>29.9983</v>
      </c>
      <c r="JK27">
        <v>33.8523</v>
      </c>
      <c r="JL27">
        <v>33.830100000000002</v>
      </c>
      <c r="JM27">
        <v>8.3163900000000002</v>
      </c>
      <c r="JN27">
        <v>35.5334</v>
      </c>
      <c r="JO27">
        <v>96.327299999999994</v>
      </c>
      <c r="JP27">
        <v>27.963200000000001</v>
      </c>
      <c r="JQ27">
        <v>120</v>
      </c>
      <c r="JR27">
        <v>23.653400000000001</v>
      </c>
      <c r="JS27">
        <v>98.6434</v>
      </c>
      <c r="JT27">
        <v>99.018799999999999</v>
      </c>
    </row>
    <row r="28" spans="1:280" x14ac:dyDescent="0.25">
      <c r="A28">
        <v>12</v>
      </c>
      <c r="B28">
        <v>1700236939</v>
      </c>
      <c r="C28">
        <v>1701.5</v>
      </c>
      <c r="D28" t="s">
        <v>468</v>
      </c>
      <c r="E28" t="s">
        <v>469</v>
      </c>
      <c r="F28" t="s">
        <v>412</v>
      </c>
      <c r="G28" t="s">
        <v>413</v>
      </c>
      <c r="H28" t="s">
        <v>414</v>
      </c>
      <c r="I28">
        <v>1700236939</v>
      </c>
      <c r="J28">
        <f t="shared" si="0"/>
        <v>5.8930828831027958E-3</v>
      </c>
      <c r="K28">
        <f t="shared" si="1"/>
        <v>5.8930828831027959</v>
      </c>
      <c r="L28">
        <f t="shared" si="2"/>
        <v>9.8699500790645018</v>
      </c>
      <c r="M28">
        <f t="shared" si="3"/>
        <v>59.797899999999998</v>
      </c>
      <c r="N28">
        <f t="shared" si="4"/>
        <v>20.205184136852672</v>
      </c>
      <c r="O28">
        <f t="shared" si="5"/>
        <v>1.9947936581666459</v>
      </c>
      <c r="P28">
        <f t="shared" si="6"/>
        <v>5.9036567488695999</v>
      </c>
      <c r="Q28">
        <f t="shared" si="7"/>
        <v>0.43540577134052727</v>
      </c>
      <c r="R28">
        <f t="shared" si="8"/>
        <v>3.114612185090988</v>
      </c>
      <c r="S28">
        <f t="shared" si="9"/>
        <v>0.40419792167614887</v>
      </c>
      <c r="T28">
        <f t="shared" si="10"/>
        <v>0.25524095181689649</v>
      </c>
      <c r="U28">
        <f t="shared" si="11"/>
        <v>344.33769930210099</v>
      </c>
      <c r="V28">
        <f t="shared" si="12"/>
        <v>31.076248266712863</v>
      </c>
      <c r="W28">
        <f t="shared" si="13"/>
        <v>30.003</v>
      </c>
      <c r="X28">
        <f t="shared" si="14"/>
        <v>4.2611839777791918</v>
      </c>
      <c r="Y28">
        <f t="shared" si="15"/>
        <v>65.146555218346151</v>
      </c>
      <c r="Z28">
        <f t="shared" si="16"/>
        <v>2.8737897564039998</v>
      </c>
      <c r="AA28">
        <f t="shared" si="17"/>
        <v>4.4112689408859209</v>
      </c>
      <c r="AB28">
        <f t="shared" si="18"/>
        <v>1.387394221375192</v>
      </c>
      <c r="AC28">
        <f t="shared" si="19"/>
        <v>-259.88495514483327</v>
      </c>
      <c r="AD28">
        <f t="shared" si="20"/>
        <v>101.42064316206559</v>
      </c>
      <c r="AE28">
        <f t="shared" si="21"/>
        <v>7.2622756570483853</v>
      </c>
      <c r="AF28">
        <f t="shared" si="22"/>
        <v>193.1356629763817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51460.393474655772</v>
      </c>
      <c r="AL28" t="s">
        <v>415</v>
      </c>
      <c r="AM28">
        <v>6977.87</v>
      </c>
      <c r="AN28">
        <v>273.15280000000001</v>
      </c>
      <c r="AO28">
        <v>850.46774885301022</v>
      </c>
      <c r="AP28">
        <f t="shared" si="26"/>
        <v>0.67882050745793765</v>
      </c>
      <c r="AQ28">
        <v>-1.0323826813720729</v>
      </c>
      <c r="AR28" t="s">
        <v>470</v>
      </c>
      <c r="AS28">
        <v>7096.91</v>
      </c>
      <c r="AT28">
        <v>625.20932000000005</v>
      </c>
      <c r="AU28">
        <v>708.27204019956389</v>
      </c>
      <c r="AV28">
        <f t="shared" si="27"/>
        <v>0.11727516474624633</v>
      </c>
      <c r="AW28">
        <v>0.5</v>
      </c>
      <c r="AX28">
        <f t="shared" si="28"/>
        <v>1513.0421996510502</v>
      </c>
      <c r="AY28">
        <f t="shared" si="29"/>
        <v>9.8699500790645018</v>
      </c>
      <c r="AZ28">
        <f t="shared" si="30"/>
        <v>88.721136616049918</v>
      </c>
      <c r="BA28">
        <f t="shared" si="31"/>
        <v>7.2055708445877839E-3</v>
      </c>
      <c r="BB28">
        <f t="shared" si="32"/>
        <v>0.20076425523359787</v>
      </c>
      <c r="BC28">
        <f t="shared" si="33"/>
        <v>256.60646569254396</v>
      </c>
      <c r="BD28" t="s">
        <v>471</v>
      </c>
      <c r="BE28">
        <v>427.99</v>
      </c>
      <c r="BF28">
        <f t="shared" si="34"/>
        <v>427.99</v>
      </c>
      <c r="BG28">
        <f t="shared" si="35"/>
        <v>0.39572653485035381</v>
      </c>
      <c r="BH28">
        <f t="shared" si="36"/>
        <v>0.29635405872035997</v>
      </c>
      <c r="BI28">
        <f t="shared" si="37"/>
        <v>0.33657561620581233</v>
      </c>
      <c r="BJ28">
        <f t="shared" si="38"/>
        <v>0.19089645440975628</v>
      </c>
      <c r="BK28">
        <f t="shared" si="39"/>
        <v>0.24630526012873205</v>
      </c>
      <c r="BL28">
        <f t="shared" si="40"/>
        <v>0.20287057395709784</v>
      </c>
      <c r="BM28">
        <f t="shared" si="41"/>
        <v>0.79712942604290216</v>
      </c>
      <c r="BN28">
        <v>11376</v>
      </c>
      <c r="BO28">
        <v>290.00000000000011</v>
      </c>
      <c r="BP28">
        <v>687.33</v>
      </c>
      <c r="BQ28">
        <v>295</v>
      </c>
      <c r="BR28">
        <v>7096.91</v>
      </c>
      <c r="BS28">
        <v>687.93</v>
      </c>
      <c r="BT28">
        <v>-0.6</v>
      </c>
      <c r="BU28">
        <v>300.00000000000011</v>
      </c>
      <c r="BV28">
        <v>38.299999999999997</v>
      </c>
      <c r="BW28">
        <v>708.27204019956389</v>
      </c>
      <c r="BX28">
        <v>0.93428115993931549</v>
      </c>
      <c r="BY28">
        <v>-14.43440765545084</v>
      </c>
      <c r="BZ28">
        <v>0.55580357685045945</v>
      </c>
      <c r="CA28">
        <v>0.96013999631997848</v>
      </c>
      <c r="CB28">
        <v>-6.9973897664071258E-3</v>
      </c>
      <c r="CC28">
        <v>289.99999999999989</v>
      </c>
      <c r="CD28">
        <v>688.82</v>
      </c>
      <c r="CE28">
        <v>745</v>
      </c>
      <c r="CF28">
        <v>7090.32</v>
      </c>
      <c r="CG28">
        <v>687.91</v>
      </c>
      <c r="CH28">
        <v>0.91</v>
      </c>
      <c r="CV28">
        <f t="shared" si="42"/>
        <v>1799.83</v>
      </c>
      <c r="CW28">
        <f t="shared" si="43"/>
        <v>1513.0421996510502</v>
      </c>
      <c r="CX28">
        <f t="shared" si="44"/>
        <v>0.84065839532125275</v>
      </c>
      <c r="CY28">
        <f t="shared" si="45"/>
        <v>0.19131679064250567</v>
      </c>
      <c r="CZ28">
        <v>5</v>
      </c>
      <c r="DA28">
        <v>0.5</v>
      </c>
      <c r="DB28" t="s">
        <v>418</v>
      </c>
      <c r="DC28">
        <v>2</v>
      </c>
      <c r="DD28">
        <v>1700236939</v>
      </c>
      <c r="DE28">
        <v>59.797899999999998</v>
      </c>
      <c r="DF28">
        <v>70.018199999999993</v>
      </c>
      <c r="DG28">
        <v>29.108499999999999</v>
      </c>
      <c r="DH28">
        <v>23.388100000000001</v>
      </c>
      <c r="DI28">
        <v>59.868000000000002</v>
      </c>
      <c r="DJ28">
        <v>29.112500000000001</v>
      </c>
      <c r="DK28">
        <v>500.1</v>
      </c>
      <c r="DL28">
        <v>98.626800000000003</v>
      </c>
      <c r="DM28">
        <v>0.100024</v>
      </c>
      <c r="DN28">
        <v>30.606999999999999</v>
      </c>
      <c r="DO28">
        <v>30.003</v>
      </c>
      <c r="DP28">
        <v>999.9</v>
      </c>
      <c r="DQ28">
        <v>0</v>
      </c>
      <c r="DR28">
        <v>0</v>
      </c>
      <c r="DS28">
        <v>9985.6200000000008</v>
      </c>
      <c r="DT28">
        <v>0</v>
      </c>
      <c r="DU28">
        <v>537.41</v>
      </c>
      <c r="DV28">
        <v>-10.2203</v>
      </c>
      <c r="DW28">
        <v>61.590699999999998</v>
      </c>
      <c r="DX28">
        <v>71.694999999999993</v>
      </c>
      <c r="DY28">
        <v>5.7203999999999997</v>
      </c>
      <c r="DZ28">
        <v>70.018199999999993</v>
      </c>
      <c r="EA28">
        <v>23.388100000000001</v>
      </c>
      <c r="EB28">
        <v>2.8708800000000001</v>
      </c>
      <c r="EC28">
        <v>2.3066900000000001</v>
      </c>
      <c r="ED28">
        <v>23.2974</v>
      </c>
      <c r="EE28">
        <v>19.723199999999999</v>
      </c>
      <c r="EF28">
        <v>1799.83</v>
      </c>
      <c r="EG28">
        <v>0.97799000000000003</v>
      </c>
      <c r="EH28">
        <v>2.20097E-2</v>
      </c>
      <c r="EI28">
        <v>0</v>
      </c>
      <c r="EJ28">
        <v>625.25099999999998</v>
      </c>
      <c r="EK28">
        <v>5.0005300000000004</v>
      </c>
      <c r="EL28">
        <v>12329.9</v>
      </c>
      <c r="EM28">
        <v>16033.7</v>
      </c>
      <c r="EN28">
        <v>48.5</v>
      </c>
      <c r="EO28">
        <v>49.625</v>
      </c>
      <c r="EP28">
        <v>49.061999999999998</v>
      </c>
      <c r="EQ28">
        <v>49.186999999999998</v>
      </c>
      <c r="ER28">
        <v>49.75</v>
      </c>
      <c r="ES28">
        <v>1755.33</v>
      </c>
      <c r="ET28">
        <v>39.5</v>
      </c>
      <c r="EU28">
        <v>0</v>
      </c>
      <c r="EV28">
        <v>207.79999995231631</v>
      </c>
      <c r="EW28">
        <v>0</v>
      </c>
      <c r="EX28">
        <v>625.20932000000005</v>
      </c>
      <c r="EY28">
        <v>-0.41423075059197562</v>
      </c>
      <c r="EZ28">
        <v>-53.600000052572902</v>
      </c>
      <c r="FA28">
        <v>12337.252</v>
      </c>
      <c r="FB28">
        <v>15</v>
      </c>
      <c r="FC28">
        <v>1700236909.5</v>
      </c>
      <c r="FD28" t="s">
        <v>472</v>
      </c>
      <c r="FE28">
        <v>1700236899.5999999</v>
      </c>
      <c r="FF28">
        <v>1700236909.5</v>
      </c>
      <c r="FG28">
        <v>14</v>
      </c>
      <c r="FH28">
        <v>0.12</v>
      </c>
      <c r="FI28">
        <v>-2E-3</v>
      </c>
      <c r="FJ28">
        <v>-7.0000000000000007E-2</v>
      </c>
      <c r="FK28">
        <v>-4.0000000000000001E-3</v>
      </c>
      <c r="FL28">
        <v>70</v>
      </c>
      <c r="FM28">
        <v>23</v>
      </c>
      <c r="FN28">
        <v>0.19</v>
      </c>
      <c r="FO28">
        <v>0.02</v>
      </c>
      <c r="FP28">
        <v>9.8995220783466511</v>
      </c>
      <c r="FQ28">
        <v>1.2295336768841441E-2</v>
      </c>
      <c r="FR28">
        <v>1.5282281190513039E-2</v>
      </c>
      <c r="FS28">
        <v>1</v>
      </c>
      <c r="FT28">
        <v>0.43796888872868611</v>
      </c>
      <c r="FU28">
        <v>4.8812504459202391E-2</v>
      </c>
      <c r="FV28">
        <v>6.3208265707100902E-3</v>
      </c>
      <c r="FW28">
        <v>1</v>
      </c>
      <c r="FX28">
        <v>2</v>
      </c>
      <c r="FY28">
        <v>2</v>
      </c>
      <c r="FZ28" t="s">
        <v>420</v>
      </c>
      <c r="GA28">
        <v>3.1217100000000002</v>
      </c>
      <c r="GB28">
        <v>2.7667700000000002</v>
      </c>
      <c r="GC28">
        <v>1.5899E-2</v>
      </c>
      <c r="GD28">
        <v>1.8573800000000001E-2</v>
      </c>
      <c r="GE28">
        <v>0.122117</v>
      </c>
      <c r="GF28">
        <v>0.10498499999999999</v>
      </c>
      <c r="GG28">
        <v>23479.5</v>
      </c>
      <c r="GH28">
        <v>24360.3</v>
      </c>
      <c r="GI28">
        <v>23725.200000000001</v>
      </c>
      <c r="GJ28">
        <v>25141.200000000001</v>
      </c>
      <c r="GK28">
        <v>29998.1</v>
      </c>
      <c r="GL28">
        <v>31548.3</v>
      </c>
      <c r="GM28">
        <v>37820.9</v>
      </c>
      <c r="GN28">
        <v>39132.5</v>
      </c>
      <c r="GO28">
        <v>2.1424300000000001</v>
      </c>
      <c r="GP28">
        <v>1.80823</v>
      </c>
      <c r="GQ28">
        <v>3.6805900000000003E-2</v>
      </c>
      <c r="GR28">
        <v>0</v>
      </c>
      <c r="GS28">
        <v>29.403700000000001</v>
      </c>
      <c r="GT28">
        <v>999.9</v>
      </c>
      <c r="GU28">
        <v>59.3</v>
      </c>
      <c r="GV28">
        <v>33.6</v>
      </c>
      <c r="GW28">
        <v>31.416</v>
      </c>
      <c r="GX28">
        <v>60.581899999999997</v>
      </c>
      <c r="GY28">
        <v>26.8429</v>
      </c>
      <c r="GZ28">
        <v>1</v>
      </c>
      <c r="HA28">
        <v>0.55147400000000002</v>
      </c>
      <c r="HB28">
        <v>1.81046</v>
      </c>
      <c r="HC28">
        <v>20.3125</v>
      </c>
      <c r="HD28">
        <v>5.25143</v>
      </c>
      <c r="HE28">
        <v>12.0099</v>
      </c>
      <c r="HF28">
        <v>4.9790999999999999</v>
      </c>
      <c r="HG28">
        <v>3.2930000000000001</v>
      </c>
      <c r="HH28">
        <v>9999</v>
      </c>
      <c r="HI28">
        <v>9999</v>
      </c>
      <c r="HJ28">
        <v>9999</v>
      </c>
      <c r="HK28">
        <v>999.9</v>
      </c>
      <c r="HL28">
        <v>1.8761000000000001</v>
      </c>
      <c r="HM28">
        <v>1.87686</v>
      </c>
      <c r="HN28">
        <v>1.8832500000000001</v>
      </c>
      <c r="HO28">
        <v>1.88636</v>
      </c>
      <c r="HP28">
        <v>1.87714</v>
      </c>
      <c r="HQ28">
        <v>1.8837699999999999</v>
      </c>
      <c r="HR28">
        <v>1.8826400000000001</v>
      </c>
      <c r="HS28">
        <v>1.88602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424</v>
      </c>
      <c r="IB28" t="s">
        <v>424</v>
      </c>
      <c r="IC28" t="s">
        <v>423</v>
      </c>
      <c r="ID28">
        <v>0</v>
      </c>
      <c r="IE28">
        <v>100</v>
      </c>
      <c r="IF28">
        <v>100</v>
      </c>
      <c r="IG28">
        <v>-7.0000000000000007E-2</v>
      </c>
      <c r="IH28">
        <v>-4.0000000000000001E-3</v>
      </c>
      <c r="II28">
        <v>-7.2044398428909251E-2</v>
      </c>
      <c r="IJ28">
        <v>4.4610147972834149E-5</v>
      </c>
      <c r="IK28">
        <v>-2.082673137682459E-7</v>
      </c>
      <c r="IL28">
        <v>-4.0725795306076518E-11</v>
      </c>
      <c r="IM28">
        <v>-3.9857142857115946E-3</v>
      </c>
      <c r="IN28">
        <v>0</v>
      </c>
      <c r="IO28">
        <v>0</v>
      </c>
      <c r="IP28">
        <v>0</v>
      </c>
      <c r="IQ28">
        <v>3</v>
      </c>
      <c r="IR28">
        <v>2179</v>
      </c>
      <c r="IS28">
        <v>0</v>
      </c>
      <c r="IT28">
        <v>22</v>
      </c>
      <c r="IU28">
        <v>0.7</v>
      </c>
      <c r="IV28">
        <v>0.5</v>
      </c>
      <c r="IW28">
        <v>0.305176</v>
      </c>
      <c r="IX28">
        <v>2.68188</v>
      </c>
      <c r="IY28">
        <v>1.6015600000000001</v>
      </c>
      <c r="IZ28">
        <v>2.34497</v>
      </c>
      <c r="JA28">
        <v>1.5502899999999999</v>
      </c>
      <c r="JB28">
        <v>2.47681</v>
      </c>
      <c r="JC28">
        <v>39.416600000000003</v>
      </c>
      <c r="JD28">
        <v>24.105</v>
      </c>
      <c r="JE28">
        <v>18</v>
      </c>
      <c r="JF28">
        <v>603.64300000000003</v>
      </c>
      <c r="JG28">
        <v>418.77699999999999</v>
      </c>
      <c r="JH28">
        <v>28.168900000000001</v>
      </c>
      <c r="JI28">
        <v>33.896599999999999</v>
      </c>
      <c r="JJ28">
        <v>30.0001</v>
      </c>
      <c r="JK28">
        <v>33.888300000000001</v>
      </c>
      <c r="JL28">
        <v>33.866599999999998</v>
      </c>
      <c r="JM28">
        <v>6.0897300000000003</v>
      </c>
      <c r="JN28">
        <v>36.75</v>
      </c>
      <c r="JO28">
        <v>94.683499999999995</v>
      </c>
      <c r="JP28">
        <v>28.176400000000001</v>
      </c>
      <c r="JQ28">
        <v>70</v>
      </c>
      <c r="JR28">
        <v>23.4008</v>
      </c>
      <c r="JS28">
        <v>98.644599999999997</v>
      </c>
      <c r="JT28">
        <v>99.024900000000002</v>
      </c>
    </row>
    <row r="29" spans="1:280" x14ac:dyDescent="0.25">
      <c r="A29">
        <v>13</v>
      </c>
      <c r="B29">
        <v>1700237043</v>
      </c>
      <c r="C29">
        <v>1805.5</v>
      </c>
      <c r="D29" t="s">
        <v>473</v>
      </c>
      <c r="E29" t="s">
        <v>474</v>
      </c>
      <c r="F29" t="s">
        <v>412</v>
      </c>
      <c r="G29" t="s">
        <v>413</v>
      </c>
      <c r="H29" t="s">
        <v>414</v>
      </c>
      <c r="I29">
        <v>1700237043</v>
      </c>
      <c r="J29">
        <f t="shared" si="0"/>
        <v>5.9429735210817201E-3</v>
      </c>
      <c r="K29">
        <f t="shared" si="1"/>
        <v>5.9429735210817203</v>
      </c>
      <c r="L29">
        <f t="shared" si="2"/>
        <v>4.224926335587976</v>
      </c>
      <c r="M29">
        <f t="shared" si="3"/>
        <v>25.672799999999999</v>
      </c>
      <c r="N29">
        <f t="shared" si="4"/>
        <v>9.0817022907879998</v>
      </c>
      <c r="O29">
        <f t="shared" si="5"/>
        <v>0.89659061274646279</v>
      </c>
      <c r="P29">
        <f t="shared" si="6"/>
        <v>2.5345459194655202</v>
      </c>
      <c r="Q29">
        <f t="shared" si="7"/>
        <v>0.44559925526366995</v>
      </c>
      <c r="R29">
        <f t="shared" si="8"/>
        <v>3.1213162312067193</v>
      </c>
      <c r="S29">
        <f t="shared" si="9"/>
        <v>0.41303632202901286</v>
      </c>
      <c r="T29">
        <f t="shared" si="10"/>
        <v>0.26087477482644572</v>
      </c>
      <c r="U29">
        <f t="shared" si="11"/>
        <v>344.35919930196695</v>
      </c>
      <c r="V29">
        <f t="shared" si="12"/>
        <v>31.110612298255866</v>
      </c>
      <c r="W29">
        <f t="shared" si="13"/>
        <v>30.0093</v>
      </c>
      <c r="X29">
        <f t="shared" si="14"/>
        <v>4.262726167958145</v>
      </c>
      <c r="Y29">
        <f t="shared" si="15"/>
        <v>65.420540802896184</v>
      </c>
      <c r="Z29">
        <f t="shared" si="16"/>
        <v>2.8937072908397199</v>
      </c>
      <c r="AA29">
        <f t="shared" si="17"/>
        <v>4.4232396359395647</v>
      </c>
      <c r="AB29">
        <f t="shared" si="18"/>
        <v>1.3690188771184251</v>
      </c>
      <c r="AC29">
        <f t="shared" si="19"/>
        <v>-262.08513227970388</v>
      </c>
      <c r="AD29">
        <f t="shared" si="20"/>
        <v>108.55510606371232</v>
      </c>
      <c r="AE29">
        <f t="shared" si="21"/>
        <v>7.7585082394091227</v>
      </c>
      <c r="AF29">
        <f t="shared" si="22"/>
        <v>198.58768132538452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51621.511370372566</v>
      </c>
      <c r="AL29" t="s">
        <v>427</v>
      </c>
      <c r="AM29" t="s">
        <v>427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427</v>
      </c>
      <c r="AS29" t="s">
        <v>427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1513.1348996509835</v>
      </c>
      <c r="AY29">
        <f t="shared" si="29"/>
        <v>4.224926335587976</v>
      </c>
      <c r="AZ29" t="e">
        <f t="shared" si="30"/>
        <v>#DIV/0!</v>
      </c>
      <c r="BA29">
        <f t="shared" si="31"/>
        <v>2.7921676623561382E-3</v>
      </c>
      <c r="BB29" t="e">
        <f t="shared" si="32"/>
        <v>#DIV/0!</v>
      </c>
      <c r="BC29" t="e">
        <f t="shared" si="33"/>
        <v>#DIV/0!</v>
      </c>
      <c r="BD29" t="s">
        <v>427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11376</v>
      </c>
      <c r="BO29">
        <v>290.00000000000011</v>
      </c>
      <c r="BP29">
        <v>687.33</v>
      </c>
      <c r="BQ29">
        <v>295</v>
      </c>
      <c r="BR29">
        <v>7096.91</v>
      </c>
      <c r="BS29">
        <v>687.93</v>
      </c>
      <c r="BT29">
        <v>-0.6</v>
      </c>
      <c r="BU29">
        <v>300.00000000000011</v>
      </c>
      <c r="BV29">
        <v>38.299999999999997</v>
      </c>
      <c r="BW29">
        <v>708.27204019956389</v>
      </c>
      <c r="BX29">
        <v>0.93428115993931549</v>
      </c>
      <c r="BY29">
        <v>-14.43440765545084</v>
      </c>
      <c r="BZ29">
        <v>0.55580357685045945</v>
      </c>
      <c r="CA29">
        <v>0.96013999631997848</v>
      </c>
      <c r="CB29">
        <v>-6.9973897664071258E-3</v>
      </c>
      <c r="CC29">
        <v>289.99999999999989</v>
      </c>
      <c r="CD29">
        <v>688.82</v>
      </c>
      <c r="CE29">
        <v>745</v>
      </c>
      <c r="CF29">
        <v>7090.32</v>
      </c>
      <c r="CG29">
        <v>687.91</v>
      </c>
      <c r="CH29">
        <v>0.91</v>
      </c>
      <c r="CV29">
        <f t="shared" si="42"/>
        <v>1799.94</v>
      </c>
      <c r="CW29">
        <f t="shared" si="43"/>
        <v>1513.1348996509835</v>
      </c>
      <c r="CX29">
        <f t="shared" si="44"/>
        <v>0.84065852175682709</v>
      </c>
      <c r="CY29">
        <f t="shared" si="45"/>
        <v>0.19131704351365431</v>
      </c>
      <c r="CZ29">
        <v>5</v>
      </c>
      <c r="DA29">
        <v>0.5</v>
      </c>
      <c r="DB29" t="s">
        <v>418</v>
      </c>
      <c r="DC29">
        <v>2</v>
      </c>
      <c r="DD29">
        <v>1700237043</v>
      </c>
      <c r="DE29">
        <v>25.672799999999999</v>
      </c>
      <c r="DF29">
        <v>30.049099999999999</v>
      </c>
      <c r="DG29">
        <v>29.3108</v>
      </c>
      <c r="DH29">
        <v>23.543600000000001</v>
      </c>
      <c r="DI29">
        <v>25.652200000000001</v>
      </c>
      <c r="DJ29">
        <v>29.311599999999999</v>
      </c>
      <c r="DK29">
        <v>500.137</v>
      </c>
      <c r="DL29">
        <v>98.625399999999999</v>
      </c>
      <c r="DM29">
        <v>9.9550899999999998E-2</v>
      </c>
      <c r="DN29">
        <v>30.654399999999999</v>
      </c>
      <c r="DO29">
        <v>30.0093</v>
      </c>
      <c r="DP29">
        <v>999.9</v>
      </c>
      <c r="DQ29">
        <v>0</v>
      </c>
      <c r="DR29">
        <v>0</v>
      </c>
      <c r="DS29">
        <v>10020</v>
      </c>
      <c r="DT29">
        <v>0</v>
      </c>
      <c r="DU29">
        <v>533.95799999999997</v>
      </c>
      <c r="DV29">
        <v>-4.3762699999999999</v>
      </c>
      <c r="DW29">
        <v>26.448</v>
      </c>
      <c r="DX29">
        <v>30.773599999999998</v>
      </c>
      <c r="DY29">
        <v>5.76715</v>
      </c>
      <c r="DZ29">
        <v>30.049099999999999</v>
      </c>
      <c r="EA29">
        <v>23.543600000000001</v>
      </c>
      <c r="EB29">
        <v>2.89079</v>
      </c>
      <c r="EC29">
        <v>2.3220000000000001</v>
      </c>
      <c r="ED29">
        <v>23.411899999999999</v>
      </c>
      <c r="EE29">
        <v>19.829799999999999</v>
      </c>
      <c r="EF29">
        <v>1799.94</v>
      </c>
      <c r="EG29">
        <v>0.97799000000000003</v>
      </c>
      <c r="EH29">
        <v>2.20097E-2</v>
      </c>
      <c r="EI29">
        <v>0</v>
      </c>
      <c r="EJ29">
        <v>642.26099999999997</v>
      </c>
      <c r="EK29">
        <v>5.0005300000000004</v>
      </c>
      <c r="EL29">
        <v>12598.8</v>
      </c>
      <c r="EM29">
        <v>16034.7</v>
      </c>
      <c r="EN29">
        <v>48.375</v>
      </c>
      <c r="EO29">
        <v>49.375</v>
      </c>
      <c r="EP29">
        <v>48.875</v>
      </c>
      <c r="EQ29">
        <v>48.936999999999998</v>
      </c>
      <c r="ER29">
        <v>49.625</v>
      </c>
      <c r="ES29">
        <v>1755.43</v>
      </c>
      <c r="ET29">
        <v>39.51</v>
      </c>
      <c r="EU29">
        <v>0</v>
      </c>
      <c r="EV29">
        <v>102</v>
      </c>
      <c r="EW29">
        <v>0</v>
      </c>
      <c r="EX29">
        <v>641.84556000000009</v>
      </c>
      <c r="EY29">
        <v>0.24100000572585101</v>
      </c>
      <c r="EZ29">
        <v>23.507692374058252</v>
      </c>
      <c r="FA29">
        <v>12593.704</v>
      </c>
      <c r="FB29">
        <v>15</v>
      </c>
      <c r="FC29">
        <v>1700237012</v>
      </c>
      <c r="FD29" t="s">
        <v>475</v>
      </c>
      <c r="FE29">
        <v>1700237000.5</v>
      </c>
      <c r="FF29">
        <v>1700237012</v>
      </c>
      <c r="FG29">
        <v>15</v>
      </c>
      <c r="FH29">
        <v>9.1999999999999998E-2</v>
      </c>
      <c r="FI29">
        <v>3.0000000000000001E-3</v>
      </c>
      <c r="FJ29">
        <v>2.1000000000000001E-2</v>
      </c>
      <c r="FK29">
        <v>-1E-3</v>
      </c>
      <c r="FL29">
        <v>30</v>
      </c>
      <c r="FM29">
        <v>23</v>
      </c>
      <c r="FN29">
        <v>0.5</v>
      </c>
      <c r="FO29">
        <v>0.02</v>
      </c>
      <c r="FP29">
        <v>4.1869454477261216</v>
      </c>
      <c r="FQ29">
        <v>-0.14344892299653819</v>
      </c>
      <c r="FR29">
        <v>2.663037377104303E-2</v>
      </c>
      <c r="FS29">
        <v>1</v>
      </c>
      <c r="FT29">
        <v>0.44617727004361379</v>
      </c>
      <c r="FU29">
        <v>4.2387411841667777E-2</v>
      </c>
      <c r="FV29">
        <v>6.2551597394837491E-3</v>
      </c>
      <c r="FW29">
        <v>1</v>
      </c>
      <c r="FX29">
        <v>2</v>
      </c>
      <c r="FY29">
        <v>2</v>
      </c>
      <c r="FZ29" t="s">
        <v>420</v>
      </c>
      <c r="GA29">
        <v>3.1217800000000002</v>
      </c>
      <c r="GB29">
        <v>2.7665999999999999</v>
      </c>
      <c r="GC29">
        <v>6.8557000000000002E-3</v>
      </c>
      <c r="GD29">
        <v>8.0365300000000001E-3</v>
      </c>
      <c r="GE29">
        <v>0.122687</v>
      </c>
      <c r="GF29">
        <v>0.105471</v>
      </c>
      <c r="GG29">
        <v>23696.3</v>
      </c>
      <c r="GH29">
        <v>24624.2</v>
      </c>
      <c r="GI29">
        <v>23726.7</v>
      </c>
      <c r="GJ29">
        <v>25144</v>
      </c>
      <c r="GK29">
        <v>29980.7</v>
      </c>
      <c r="GL29">
        <v>31535.1</v>
      </c>
      <c r="GM29">
        <v>37823.5</v>
      </c>
      <c r="GN29">
        <v>39137.300000000003</v>
      </c>
      <c r="GO29">
        <v>2.1429</v>
      </c>
      <c r="GP29">
        <v>1.8071999999999999</v>
      </c>
      <c r="GQ29">
        <v>3.5487100000000001E-2</v>
      </c>
      <c r="GR29">
        <v>0</v>
      </c>
      <c r="GS29">
        <v>29.4316</v>
      </c>
      <c r="GT29">
        <v>999.9</v>
      </c>
      <c r="GU29">
        <v>59</v>
      </c>
      <c r="GV29">
        <v>33.799999999999997</v>
      </c>
      <c r="GW29">
        <v>31.608599999999999</v>
      </c>
      <c r="GX29">
        <v>60.441899999999997</v>
      </c>
      <c r="GY29">
        <v>27.083300000000001</v>
      </c>
      <c r="GZ29">
        <v>1</v>
      </c>
      <c r="HA29">
        <v>0.55012700000000003</v>
      </c>
      <c r="HB29">
        <v>2.0482300000000002</v>
      </c>
      <c r="HC29">
        <v>20.309999999999999</v>
      </c>
      <c r="HD29">
        <v>5.2517300000000002</v>
      </c>
      <c r="HE29">
        <v>12.0099</v>
      </c>
      <c r="HF29">
        <v>4.9785500000000003</v>
      </c>
      <c r="HG29">
        <v>3.2930000000000001</v>
      </c>
      <c r="HH29">
        <v>9999</v>
      </c>
      <c r="HI29">
        <v>9999</v>
      </c>
      <c r="HJ29">
        <v>9999</v>
      </c>
      <c r="HK29">
        <v>999.9</v>
      </c>
      <c r="HL29">
        <v>1.8760699999999999</v>
      </c>
      <c r="HM29">
        <v>1.87686</v>
      </c>
      <c r="HN29">
        <v>1.8832599999999999</v>
      </c>
      <c r="HO29">
        <v>1.88632</v>
      </c>
      <c r="HP29">
        <v>1.8771199999999999</v>
      </c>
      <c r="HQ29">
        <v>1.8837600000000001</v>
      </c>
      <c r="HR29">
        <v>1.88263</v>
      </c>
      <c r="HS29">
        <v>1.88601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424</v>
      </c>
      <c r="IB29" t="s">
        <v>424</v>
      </c>
      <c r="IC29" t="s">
        <v>423</v>
      </c>
      <c r="ID29">
        <v>0</v>
      </c>
      <c r="IE29">
        <v>100</v>
      </c>
      <c r="IF29">
        <v>100</v>
      </c>
      <c r="IG29">
        <v>2.1000000000000001E-2</v>
      </c>
      <c r="IH29">
        <v>-8.0000000000000004E-4</v>
      </c>
      <c r="II29">
        <v>1.961174696780375E-2</v>
      </c>
      <c r="IJ29">
        <v>4.4610147972834149E-5</v>
      </c>
      <c r="IK29">
        <v>-2.082673137682459E-7</v>
      </c>
      <c r="IL29">
        <v>-4.0725795306076518E-11</v>
      </c>
      <c r="IM29">
        <v>-8.5238095238082678E-4</v>
      </c>
      <c r="IN29">
        <v>0</v>
      </c>
      <c r="IO29">
        <v>0</v>
      </c>
      <c r="IP29">
        <v>0</v>
      </c>
      <c r="IQ29">
        <v>3</v>
      </c>
      <c r="IR29">
        <v>2179</v>
      </c>
      <c r="IS29">
        <v>0</v>
      </c>
      <c r="IT29">
        <v>22</v>
      </c>
      <c r="IU29">
        <v>0.7</v>
      </c>
      <c r="IV29">
        <v>0.5</v>
      </c>
      <c r="IW29">
        <v>0.21850600000000001</v>
      </c>
      <c r="IX29">
        <v>2.7136200000000001</v>
      </c>
      <c r="IY29">
        <v>1.6015600000000001</v>
      </c>
      <c r="IZ29">
        <v>2.34375</v>
      </c>
      <c r="JA29">
        <v>1.5502899999999999</v>
      </c>
      <c r="JB29">
        <v>2.36816</v>
      </c>
      <c r="JC29">
        <v>39.516599999999997</v>
      </c>
      <c r="JD29">
        <v>24.096299999999999</v>
      </c>
      <c r="JE29">
        <v>18</v>
      </c>
      <c r="JF29">
        <v>604.12099999999998</v>
      </c>
      <c r="JG29">
        <v>418.23099999999999</v>
      </c>
      <c r="JH29">
        <v>27.9437</v>
      </c>
      <c r="JI29">
        <v>33.887500000000003</v>
      </c>
      <c r="JJ29">
        <v>30.0001</v>
      </c>
      <c r="JK29">
        <v>33.903500000000001</v>
      </c>
      <c r="JL29">
        <v>33.884900000000002</v>
      </c>
      <c r="JM29">
        <v>4.3454199999999998</v>
      </c>
      <c r="JN29">
        <v>36.428199999999997</v>
      </c>
      <c r="JO29">
        <v>92.970399999999998</v>
      </c>
      <c r="JP29">
        <v>27.930299999999999</v>
      </c>
      <c r="JQ29">
        <v>30</v>
      </c>
      <c r="JR29">
        <v>23.5535</v>
      </c>
      <c r="JS29">
        <v>98.6511</v>
      </c>
      <c r="JT29">
        <v>99.036699999999996</v>
      </c>
    </row>
    <row r="30" spans="1:280" x14ac:dyDescent="0.25">
      <c r="A30">
        <v>14</v>
      </c>
      <c r="B30">
        <v>1700237136</v>
      </c>
      <c r="C30">
        <v>1898.5</v>
      </c>
      <c r="D30" t="s">
        <v>476</v>
      </c>
      <c r="E30" t="s">
        <v>477</v>
      </c>
      <c r="F30" t="s">
        <v>412</v>
      </c>
      <c r="G30" t="s">
        <v>413</v>
      </c>
      <c r="H30" t="s">
        <v>414</v>
      </c>
      <c r="I30">
        <v>1700237136</v>
      </c>
      <c r="J30">
        <f t="shared" si="0"/>
        <v>6.0320599092146049E-3</v>
      </c>
      <c r="K30">
        <f t="shared" si="1"/>
        <v>6.0320599092146052</v>
      </c>
      <c r="L30">
        <f t="shared" si="2"/>
        <v>1.2691924162882402</v>
      </c>
      <c r="M30">
        <f t="shared" si="3"/>
        <v>8.6516199999999994</v>
      </c>
      <c r="N30">
        <f t="shared" si="4"/>
        <v>3.6992795840095636</v>
      </c>
      <c r="O30">
        <f t="shared" si="5"/>
        <v>0.36520873305622542</v>
      </c>
      <c r="P30">
        <f t="shared" si="6"/>
        <v>0.85412500118718582</v>
      </c>
      <c r="Q30">
        <f t="shared" si="7"/>
        <v>0.45096315136006027</v>
      </c>
      <c r="R30">
        <f t="shared" si="8"/>
        <v>3.1191048421647309</v>
      </c>
      <c r="S30">
        <f t="shared" si="9"/>
        <v>0.4176212033085846</v>
      </c>
      <c r="T30">
        <f t="shared" si="10"/>
        <v>0.26380316974609264</v>
      </c>
      <c r="U30">
        <f t="shared" si="11"/>
        <v>344.37439930199798</v>
      </c>
      <c r="V30">
        <f t="shared" si="12"/>
        <v>31.072603974418858</v>
      </c>
      <c r="W30">
        <f t="shared" si="13"/>
        <v>30.014800000000001</v>
      </c>
      <c r="X30">
        <f t="shared" si="14"/>
        <v>4.2640729221306986</v>
      </c>
      <c r="Y30">
        <f t="shared" si="15"/>
        <v>65.393741293688493</v>
      </c>
      <c r="Z30">
        <f t="shared" si="16"/>
        <v>2.8897782998733597</v>
      </c>
      <c r="AA30">
        <f t="shared" si="17"/>
        <v>4.4190441511751644</v>
      </c>
      <c r="AB30">
        <f t="shared" si="18"/>
        <v>1.3742946222573389</v>
      </c>
      <c r="AC30">
        <f t="shared" si="19"/>
        <v>-266.01384199636408</v>
      </c>
      <c r="AD30">
        <f t="shared" si="20"/>
        <v>104.76192329623863</v>
      </c>
      <c r="AE30">
        <f t="shared" si="21"/>
        <v>7.4923034486629305</v>
      </c>
      <c r="AF30">
        <f t="shared" si="22"/>
        <v>190.61478405053549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51568.484041013551</v>
      </c>
      <c r="AL30" t="s">
        <v>415</v>
      </c>
      <c r="AM30">
        <v>6977.87</v>
      </c>
      <c r="AN30">
        <v>273.15280000000001</v>
      </c>
      <c r="AO30">
        <v>850.46774885301022</v>
      </c>
      <c r="AP30">
        <f t="shared" si="26"/>
        <v>0.67882050745793765</v>
      </c>
      <c r="AQ30">
        <v>-1.0323826813720729</v>
      </c>
      <c r="AR30" t="s">
        <v>478</v>
      </c>
      <c r="AS30">
        <v>7102.3</v>
      </c>
      <c r="AT30">
        <v>652.26026923076927</v>
      </c>
      <c r="AU30">
        <v>695.07710103915872</v>
      </c>
      <c r="AV30">
        <f t="shared" si="27"/>
        <v>6.1600118525523495E-2</v>
      </c>
      <c r="AW30">
        <v>0.5</v>
      </c>
      <c r="AX30">
        <f t="shared" si="28"/>
        <v>1513.2020996509989</v>
      </c>
      <c r="AY30">
        <f t="shared" si="29"/>
        <v>1.2691924162882402</v>
      </c>
      <c r="AZ30">
        <f t="shared" si="30"/>
        <v>46.606714345786273</v>
      </c>
      <c r="BA30">
        <f t="shared" si="31"/>
        <v>1.520996500197259E-3</v>
      </c>
      <c r="BB30">
        <f t="shared" si="32"/>
        <v>0.22355886502596381</v>
      </c>
      <c r="BC30">
        <f t="shared" si="33"/>
        <v>254.85366397601095</v>
      </c>
      <c r="BD30" t="s">
        <v>479</v>
      </c>
      <c r="BE30">
        <v>463.07</v>
      </c>
      <c r="BF30">
        <f t="shared" si="34"/>
        <v>463.07</v>
      </c>
      <c r="BG30">
        <f t="shared" si="35"/>
        <v>0.33378613781449851</v>
      </c>
      <c r="BH30">
        <f t="shared" si="36"/>
        <v>0.18454966083629795</v>
      </c>
      <c r="BI30">
        <f t="shared" si="37"/>
        <v>0.40111396690849421</v>
      </c>
      <c r="BJ30">
        <f t="shared" si="38"/>
        <v>0.10147989035695679</v>
      </c>
      <c r="BK30">
        <f t="shared" si="39"/>
        <v>0.26916096339195161</v>
      </c>
      <c r="BL30">
        <f t="shared" si="40"/>
        <v>0.13102041543056028</v>
      </c>
      <c r="BM30">
        <f t="shared" si="41"/>
        <v>0.86897958456943969</v>
      </c>
      <c r="BN30">
        <v>11378</v>
      </c>
      <c r="BO30">
        <v>290.00000000000011</v>
      </c>
      <c r="BP30">
        <v>682.36</v>
      </c>
      <c r="BQ30">
        <v>195</v>
      </c>
      <c r="BR30">
        <v>7102.3</v>
      </c>
      <c r="BS30">
        <v>681.39</v>
      </c>
      <c r="BT30">
        <v>0.97</v>
      </c>
      <c r="BU30">
        <v>300.00000000000011</v>
      </c>
      <c r="BV30">
        <v>38.299999999999997</v>
      </c>
      <c r="BW30">
        <v>695.07710103915872</v>
      </c>
      <c r="BX30">
        <v>1.0169739231345569</v>
      </c>
      <c r="BY30">
        <v>-9.7243481989860516</v>
      </c>
      <c r="BZ30">
        <v>0.60507363152524296</v>
      </c>
      <c r="CA30">
        <v>0.90219645434975149</v>
      </c>
      <c r="CB30">
        <v>-6.9982522803114554E-3</v>
      </c>
      <c r="CC30">
        <v>289.99999999999989</v>
      </c>
      <c r="CD30">
        <v>680.58</v>
      </c>
      <c r="CE30">
        <v>745</v>
      </c>
      <c r="CF30">
        <v>7091.25</v>
      </c>
      <c r="CG30">
        <v>681.36</v>
      </c>
      <c r="CH30">
        <v>-0.78</v>
      </c>
      <c r="CV30">
        <f t="shared" si="42"/>
        <v>1800.02</v>
      </c>
      <c r="CW30">
        <f t="shared" si="43"/>
        <v>1513.2020996509989</v>
      </c>
      <c r="CX30">
        <f t="shared" si="44"/>
        <v>0.84065849248952729</v>
      </c>
      <c r="CY30">
        <f t="shared" si="45"/>
        <v>0.19131698497905467</v>
      </c>
      <c r="CZ30">
        <v>5</v>
      </c>
      <c r="DA30">
        <v>0.5</v>
      </c>
      <c r="DB30" t="s">
        <v>418</v>
      </c>
      <c r="DC30">
        <v>2</v>
      </c>
      <c r="DD30">
        <v>1700237136</v>
      </c>
      <c r="DE30">
        <v>8.6516199999999994</v>
      </c>
      <c r="DF30">
        <v>9.9727300000000003</v>
      </c>
      <c r="DG30">
        <v>29.2712</v>
      </c>
      <c r="DH30">
        <v>23.416899999999998</v>
      </c>
      <c r="DI30">
        <v>8.7118300000000009</v>
      </c>
      <c r="DJ30">
        <v>29.273700000000002</v>
      </c>
      <c r="DK30">
        <v>500.10199999999998</v>
      </c>
      <c r="DL30">
        <v>98.624399999999994</v>
      </c>
      <c r="DM30">
        <v>9.9885299999999996E-2</v>
      </c>
      <c r="DN30">
        <v>30.637799999999999</v>
      </c>
      <c r="DO30">
        <v>30.014800000000001</v>
      </c>
      <c r="DP30">
        <v>999.9</v>
      </c>
      <c r="DQ30">
        <v>0</v>
      </c>
      <c r="DR30">
        <v>0</v>
      </c>
      <c r="DS30">
        <v>10008.799999999999</v>
      </c>
      <c r="DT30">
        <v>0</v>
      </c>
      <c r="DU30">
        <v>543.06500000000005</v>
      </c>
      <c r="DV30">
        <v>-1.32111</v>
      </c>
      <c r="DW30">
        <v>8.9124999999999996</v>
      </c>
      <c r="DX30">
        <v>10.2119</v>
      </c>
      <c r="DY30">
        <v>5.8543099999999999</v>
      </c>
      <c r="DZ30">
        <v>9.9727300000000003</v>
      </c>
      <c r="EA30">
        <v>23.416899999999998</v>
      </c>
      <c r="EB30">
        <v>2.8868499999999999</v>
      </c>
      <c r="EC30">
        <v>2.3094700000000001</v>
      </c>
      <c r="ED30">
        <v>23.389299999999999</v>
      </c>
      <c r="EE30">
        <v>19.742599999999999</v>
      </c>
      <c r="EF30">
        <v>1800.02</v>
      </c>
      <c r="EG30">
        <v>0.97799100000000005</v>
      </c>
      <c r="EH30">
        <v>2.20091E-2</v>
      </c>
      <c r="EI30">
        <v>0</v>
      </c>
      <c r="EJ30">
        <v>652.50699999999995</v>
      </c>
      <c r="EK30">
        <v>5.0005300000000004</v>
      </c>
      <c r="EL30">
        <v>12807.5</v>
      </c>
      <c r="EM30">
        <v>16035.4</v>
      </c>
      <c r="EN30">
        <v>48.25</v>
      </c>
      <c r="EO30">
        <v>49.311999999999998</v>
      </c>
      <c r="EP30">
        <v>48.811999999999998</v>
      </c>
      <c r="EQ30">
        <v>48.936999999999998</v>
      </c>
      <c r="ER30">
        <v>49.5</v>
      </c>
      <c r="ES30">
        <v>1755.51</v>
      </c>
      <c r="ET30">
        <v>39.51</v>
      </c>
      <c r="EU30">
        <v>0</v>
      </c>
      <c r="EV30">
        <v>195</v>
      </c>
      <c r="EW30">
        <v>0</v>
      </c>
      <c r="EX30">
        <v>652.26026923076927</v>
      </c>
      <c r="EY30">
        <v>0.27634186436258029</v>
      </c>
      <c r="EZ30">
        <v>55.264957353483219</v>
      </c>
      <c r="FA30">
        <v>12803.48076923077</v>
      </c>
      <c r="FB30">
        <v>15</v>
      </c>
      <c r="FC30">
        <v>1700237104.5</v>
      </c>
      <c r="FD30" t="s">
        <v>480</v>
      </c>
      <c r="FE30">
        <v>1700237093</v>
      </c>
      <c r="FF30">
        <v>1700237104.5</v>
      </c>
      <c r="FG30">
        <v>16</v>
      </c>
      <c r="FH30">
        <v>-0.08</v>
      </c>
      <c r="FI30">
        <v>-2E-3</v>
      </c>
      <c r="FJ30">
        <v>-0.06</v>
      </c>
      <c r="FK30">
        <v>-3.0000000000000001E-3</v>
      </c>
      <c r="FL30">
        <v>10</v>
      </c>
      <c r="FM30">
        <v>24</v>
      </c>
      <c r="FN30">
        <v>0.25</v>
      </c>
      <c r="FO30">
        <v>0.02</v>
      </c>
      <c r="FP30">
        <v>1.3181987778852799</v>
      </c>
      <c r="FQ30">
        <v>-8.7927675193210528E-2</v>
      </c>
      <c r="FR30">
        <v>1.8305144235334681E-2</v>
      </c>
      <c r="FS30">
        <v>1</v>
      </c>
      <c r="FT30">
        <v>0.45951088822147318</v>
      </c>
      <c r="FU30">
        <v>-7.6333773509131573E-3</v>
      </c>
      <c r="FV30">
        <v>4.2627547100741398E-3</v>
      </c>
      <c r="FW30">
        <v>1</v>
      </c>
      <c r="FX30">
        <v>2</v>
      </c>
      <c r="FY30">
        <v>2</v>
      </c>
      <c r="FZ30" t="s">
        <v>420</v>
      </c>
      <c r="GA30">
        <v>3.1217000000000001</v>
      </c>
      <c r="GB30">
        <v>2.7668300000000001</v>
      </c>
      <c r="GC30">
        <v>2.3307100000000002E-3</v>
      </c>
      <c r="GD30">
        <v>2.67023E-3</v>
      </c>
      <c r="GE30">
        <v>0.122573</v>
      </c>
      <c r="GF30">
        <v>0.10506600000000001</v>
      </c>
      <c r="GG30">
        <v>23804.9</v>
      </c>
      <c r="GH30">
        <v>24758.400000000001</v>
      </c>
      <c r="GI30">
        <v>23727.599999999999</v>
      </c>
      <c r="GJ30">
        <v>25145.4</v>
      </c>
      <c r="GK30">
        <v>29985.9</v>
      </c>
      <c r="GL30">
        <v>31551</v>
      </c>
      <c r="GM30">
        <v>37825.1</v>
      </c>
      <c r="GN30">
        <v>39139.199999999997</v>
      </c>
      <c r="GO30">
        <v>2.1429999999999998</v>
      </c>
      <c r="GP30">
        <v>1.8055000000000001</v>
      </c>
      <c r="GQ30">
        <v>3.32743E-2</v>
      </c>
      <c r="GR30">
        <v>0</v>
      </c>
      <c r="GS30">
        <v>29.473099999999999</v>
      </c>
      <c r="GT30">
        <v>999.9</v>
      </c>
      <c r="GU30">
        <v>58.7</v>
      </c>
      <c r="GV30">
        <v>33.9</v>
      </c>
      <c r="GW30">
        <v>31.627300000000002</v>
      </c>
      <c r="GX30">
        <v>60.291899999999998</v>
      </c>
      <c r="GY30">
        <v>27.115400000000001</v>
      </c>
      <c r="GZ30">
        <v>1</v>
      </c>
      <c r="HA30">
        <v>0.54902899999999999</v>
      </c>
      <c r="HB30">
        <v>1.86249</v>
      </c>
      <c r="HC30">
        <v>20.3123</v>
      </c>
      <c r="HD30">
        <v>5.2521800000000001</v>
      </c>
      <c r="HE30">
        <v>12.0099</v>
      </c>
      <c r="HF30">
        <v>4.9792500000000004</v>
      </c>
      <c r="HG30">
        <v>3.2930000000000001</v>
      </c>
      <c r="HH30">
        <v>9999</v>
      </c>
      <c r="HI30">
        <v>9999</v>
      </c>
      <c r="HJ30">
        <v>9999</v>
      </c>
      <c r="HK30">
        <v>999.9</v>
      </c>
      <c r="HL30">
        <v>1.87609</v>
      </c>
      <c r="HM30">
        <v>1.87686</v>
      </c>
      <c r="HN30">
        <v>1.88324</v>
      </c>
      <c r="HO30">
        <v>1.8863300000000001</v>
      </c>
      <c r="HP30">
        <v>1.8771199999999999</v>
      </c>
      <c r="HQ30">
        <v>1.8837200000000001</v>
      </c>
      <c r="HR30">
        <v>1.88263</v>
      </c>
      <c r="HS30">
        <v>1.88602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424</v>
      </c>
      <c r="IB30" t="s">
        <v>424</v>
      </c>
      <c r="IC30" t="s">
        <v>423</v>
      </c>
      <c r="ID30">
        <v>0</v>
      </c>
      <c r="IE30">
        <v>100</v>
      </c>
      <c r="IF30">
        <v>100</v>
      </c>
      <c r="IG30">
        <v>-0.06</v>
      </c>
      <c r="IH30">
        <v>-2.5000000000000001E-3</v>
      </c>
      <c r="II30">
        <v>-6.0581494146116223E-2</v>
      </c>
      <c r="IJ30">
        <v>4.4610147972834149E-5</v>
      </c>
      <c r="IK30">
        <v>-2.082673137682459E-7</v>
      </c>
      <c r="IL30">
        <v>-4.0725795306076518E-11</v>
      </c>
      <c r="IM30">
        <v>-2.5199999999969691E-3</v>
      </c>
      <c r="IN30">
        <v>0</v>
      </c>
      <c r="IO30">
        <v>0</v>
      </c>
      <c r="IP30">
        <v>0</v>
      </c>
      <c r="IQ30">
        <v>3</v>
      </c>
      <c r="IR30">
        <v>2179</v>
      </c>
      <c r="IS30">
        <v>0</v>
      </c>
      <c r="IT30">
        <v>22</v>
      </c>
      <c r="IU30">
        <v>0.7</v>
      </c>
      <c r="IV30">
        <v>0.5</v>
      </c>
      <c r="IW30">
        <v>0.17578099999999999</v>
      </c>
      <c r="IX30">
        <v>2.7233900000000002</v>
      </c>
      <c r="IY30">
        <v>1.6003400000000001</v>
      </c>
      <c r="IZ30">
        <v>2.34253</v>
      </c>
      <c r="JA30">
        <v>1.5502899999999999</v>
      </c>
      <c r="JB30">
        <v>2.4304199999999998</v>
      </c>
      <c r="JC30">
        <v>39.591700000000003</v>
      </c>
      <c r="JD30">
        <v>24.105</v>
      </c>
      <c r="JE30">
        <v>18</v>
      </c>
      <c r="JF30">
        <v>604.30499999999995</v>
      </c>
      <c r="JG30">
        <v>417.209</v>
      </c>
      <c r="JH30">
        <v>28.081499999999998</v>
      </c>
      <c r="JI30">
        <v>33.893500000000003</v>
      </c>
      <c r="JJ30">
        <v>30.0002</v>
      </c>
      <c r="JK30">
        <v>33.915799999999997</v>
      </c>
      <c r="JL30">
        <v>33.898299999999999</v>
      </c>
      <c r="JM30">
        <v>3.4957400000000001</v>
      </c>
      <c r="JN30">
        <v>36.935299999999998</v>
      </c>
      <c r="JO30">
        <v>91.464500000000001</v>
      </c>
      <c r="JP30">
        <v>28.066299999999998</v>
      </c>
      <c r="JQ30">
        <v>10</v>
      </c>
      <c r="JR30">
        <v>23.391100000000002</v>
      </c>
      <c r="JS30">
        <v>98.655199999999994</v>
      </c>
      <c r="JT30">
        <v>99.041700000000006</v>
      </c>
    </row>
    <row r="31" spans="1:280" x14ac:dyDescent="0.25">
      <c r="A31">
        <v>15</v>
      </c>
      <c r="B31">
        <v>1700238145.5</v>
      </c>
      <c r="C31">
        <v>2908</v>
      </c>
      <c r="D31" t="s">
        <v>481</v>
      </c>
      <c r="E31" t="s">
        <v>482</v>
      </c>
      <c r="F31" t="s">
        <v>412</v>
      </c>
      <c r="G31" t="s">
        <v>483</v>
      </c>
      <c r="H31" t="s">
        <v>484</v>
      </c>
      <c r="I31">
        <v>1700238145.5</v>
      </c>
      <c r="J31">
        <f t="shared" si="0"/>
        <v>4.4559838397033981E-3</v>
      </c>
      <c r="K31">
        <f t="shared" si="1"/>
        <v>4.4559838397033982</v>
      </c>
      <c r="L31">
        <f t="shared" si="2"/>
        <v>49.241761502002056</v>
      </c>
      <c r="M31">
        <f t="shared" si="3"/>
        <v>395.32499999999999</v>
      </c>
      <c r="N31">
        <f t="shared" si="4"/>
        <v>122.6798290050066</v>
      </c>
      <c r="O31">
        <f t="shared" si="5"/>
        <v>12.114298541814739</v>
      </c>
      <c r="P31">
        <f t="shared" si="6"/>
        <v>39.037265619659991</v>
      </c>
      <c r="Q31">
        <f t="shared" si="7"/>
        <v>0.31006689729858611</v>
      </c>
      <c r="R31">
        <f t="shared" si="8"/>
        <v>3.0343504006305335</v>
      </c>
      <c r="S31">
        <f t="shared" si="9"/>
        <v>0.29347856428609265</v>
      </c>
      <c r="T31">
        <f t="shared" si="10"/>
        <v>0.18484050860521126</v>
      </c>
      <c r="U31">
        <f t="shared" si="11"/>
        <v>344.39849930222505</v>
      </c>
      <c r="V31">
        <f t="shared" si="12"/>
        <v>31.022511804557158</v>
      </c>
      <c r="W31">
        <f t="shared" si="13"/>
        <v>29.990500000000001</v>
      </c>
      <c r="X31">
        <f t="shared" si="14"/>
        <v>4.2581255160740312</v>
      </c>
      <c r="Y31">
        <f t="shared" si="15"/>
        <v>65.334245748511918</v>
      </c>
      <c r="Z31">
        <f t="shared" si="16"/>
        <v>2.8124901997077596</v>
      </c>
      <c r="AA31">
        <f t="shared" si="17"/>
        <v>4.3047718198718439</v>
      </c>
      <c r="AB31">
        <f t="shared" si="18"/>
        <v>1.4456353163662716</v>
      </c>
      <c r="AC31">
        <f t="shared" si="19"/>
        <v>-196.50888733091986</v>
      </c>
      <c r="AD31">
        <f t="shared" si="20"/>
        <v>31.048983192010677</v>
      </c>
      <c r="AE31">
        <f t="shared" si="21"/>
        <v>2.2771306606924844</v>
      </c>
      <c r="AF31">
        <f t="shared" si="22"/>
        <v>181.21572582400833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51658.397738871827</v>
      </c>
      <c r="AL31" t="s">
        <v>415</v>
      </c>
      <c r="AM31">
        <v>6977.87</v>
      </c>
      <c r="AN31">
        <v>273.15280000000001</v>
      </c>
      <c r="AO31">
        <v>850.46774885301022</v>
      </c>
      <c r="AP31">
        <f t="shared" si="26"/>
        <v>0.67882050745793765</v>
      </c>
      <c r="AQ31">
        <v>-1.0323826813720729</v>
      </c>
      <c r="AR31" t="s">
        <v>485</v>
      </c>
      <c r="AS31">
        <v>7109.95</v>
      </c>
      <c r="AT31">
        <v>610.3595600000001</v>
      </c>
      <c r="AU31">
        <v>961.66355637057313</v>
      </c>
      <c r="AV31">
        <f t="shared" si="27"/>
        <v>0.36530863007477787</v>
      </c>
      <c r="AW31">
        <v>0.5</v>
      </c>
      <c r="AX31">
        <f t="shared" si="28"/>
        <v>1513.3109996511125</v>
      </c>
      <c r="AY31">
        <f t="shared" si="29"/>
        <v>49.241761502002056</v>
      </c>
      <c r="AZ31">
        <f t="shared" si="30"/>
        <v>276.41278407982031</v>
      </c>
      <c r="BA31">
        <f t="shared" si="31"/>
        <v>3.3221290398975901E-2</v>
      </c>
      <c r="BB31">
        <f t="shared" si="32"/>
        <v>-0.1156285966967787</v>
      </c>
      <c r="BC31">
        <f t="shared" si="33"/>
        <v>283.68828326823223</v>
      </c>
      <c r="BD31" t="s">
        <v>486</v>
      </c>
      <c r="BE31">
        <v>449.38</v>
      </c>
      <c r="BF31">
        <f t="shared" si="34"/>
        <v>449.38</v>
      </c>
      <c r="BG31">
        <f t="shared" si="35"/>
        <v>0.53270559435982912</v>
      </c>
      <c r="BH31">
        <f t="shared" si="36"/>
        <v>0.68576082913824488</v>
      </c>
      <c r="BI31">
        <f t="shared" si="37"/>
        <v>-0.27723561199650032</v>
      </c>
      <c r="BJ31">
        <f t="shared" si="38"/>
        <v>0.51023748448381945</v>
      </c>
      <c r="BK31">
        <f t="shared" si="39"/>
        <v>-0.19260857134997625</v>
      </c>
      <c r="BL31">
        <f t="shared" si="40"/>
        <v>0.50489452708522242</v>
      </c>
      <c r="BM31">
        <f t="shared" si="41"/>
        <v>0.49510547291477758</v>
      </c>
      <c r="BN31">
        <v>11380</v>
      </c>
      <c r="BO31">
        <v>290.00000000000011</v>
      </c>
      <c r="BP31">
        <v>862.51</v>
      </c>
      <c r="BQ31">
        <v>295</v>
      </c>
      <c r="BR31">
        <v>7109.95</v>
      </c>
      <c r="BS31">
        <v>866.64</v>
      </c>
      <c r="BT31">
        <v>-4.13</v>
      </c>
      <c r="BU31">
        <v>300.00000000000011</v>
      </c>
      <c r="BV31">
        <v>38.299999999999997</v>
      </c>
      <c r="BW31">
        <v>961.66355637057313</v>
      </c>
      <c r="BX31">
        <v>1.741399993721688</v>
      </c>
      <c r="BY31">
        <v>-67.562684052832793</v>
      </c>
      <c r="BZ31">
        <v>1.037845575658856</v>
      </c>
      <c r="CA31">
        <v>0.99343628466928724</v>
      </c>
      <c r="CB31">
        <v>-7.0107641824249207E-3</v>
      </c>
      <c r="CC31">
        <v>289.99999999999989</v>
      </c>
      <c r="CD31">
        <v>877.45</v>
      </c>
      <c r="CE31">
        <v>895</v>
      </c>
      <c r="CF31">
        <v>7100.72</v>
      </c>
      <c r="CG31">
        <v>866.51</v>
      </c>
      <c r="CH31">
        <v>10.94</v>
      </c>
      <c r="CV31">
        <f t="shared" si="42"/>
        <v>1800.15</v>
      </c>
      <c r="CW31">
        <f t="shared" si="43"/>
        <v>1513.3109996511125</v>
      </c>
      <c r="CX31">
        <f t="shared" si="44"/>
        <v>0.84065827828298334</v>
      </c>
      <c r="CY31">
        <f t="shared" si="45"/>
        <v>0.19131655656596674</v>
      </c>
      <c r="CZ31">
        <v>5.36</v>
      </c>
      <c r="DA31">
        <v>0.5</v>
      </c>
      <c r="DB31" t="s">
        <v>418</v>
      </c>
      <c r="DC31">
        <v>2</v>
      </c>
      <c r="DD31">
        <v>1700238145.5</v>
      </c>
      <c r="DE31">
        <v>395.32499999999999</v>
      </c>
      <c r="DF31">
        <v>450.00099999999998</v>
      </c>
      <c r="DG31">
        <v>28.4817</v>
      </c>
      <c r="DH31">
        <v>23.840900000000001</v>
      </c>
      <c r="DI31">
        <v>395.79399999999998</v>
      </c>
      <c r="DJ31">
        <v>28.4786</v>
      </c>
      <c r="DK31">
        <v>499.99599999999998</v>
      </c>
      <c r="DL31">
        <v>98.647499999999994</v>
      </c>
      <c r="DM31">
        <v>9.9772799999999995E-2</v>
      </c>
      <c r="DN31">
        <v>30.180299999999999</v>
      </c>
      <c r="DO31">
        <v>29.990500000000001</v>
      </c>
      <c r="DP31">
        <v>999.9</v>
      </c>
      <c r="DQ31">
        <v>0</v>
      </c>
      <c r="DR31">
        <v>0</v>
      </c>
      <c r="DS31">
        <v>10008.799999999999</v>
      </c>
      <c r="DT31">
        <v>0</v>
      </c>
      <c r="DU31">
        <v>258.26900000000001</v>
      </c>
      <c r="DV31">
        <v>-54.675800000000002</v>
      </c>
      <c r="DW31">
        <v>406.91500000000002</v>
      </c>
      <c r="DX31">
        <v>460.99099999999999</v>
      </c>
      <c r="DY31">
        <v>4.6407999999999996</v>
      </c>
      <c r="DZ31">
        <v>450.00099999999998</v>
      </c>
      <c r="EA31">
        <v>23.840900000000001</v>
      </c>
      <c r="EB31">
        <v>2.8096399999999999</v>
      </c>
      <c r="EC31">
        <v>2.3518400000000002</v>
      </c>
      <c r="ED31">
        <v>22.940899999999999</v>
      </c>
      <c r="EE31">
        <v>20.035900000000002</v>
      </c>
      <c r="EF31">
        <v>1800.15</v>
      </c>
      <c r="EG31">
        <v>0.97799899999999995</v>
      </c>
      <c r="EH31">
        <v>2.2001E-2</v>
      </c>
      <c r="EI31">
        <v>0</v>
      </c>
      <c r="EJ31">
        <v>610.28899999999999</v>
      </c>
      <c r="EK31">
        <v>5.0005300000000004</v>
      </c>
      <c r="EL31">
        <v>12564.6</v>
      </c>
      <c r="EM31">
        <v>16036.6</v>
      </c>
      <c r="EN31">
        <v>48.311999999999998</v>
      </c>
      <c r="EO31">
        <v>49.436999999999998</v>
      </c>
      <c r="EP31">
        <v>48.875</v>
      </c>
      <c r="EQ31">
        <v>49</v>
      </c>
      <c r="ER31">
        <v>49.5</v>
      </c>
      <c r="ES31">
        <v>1755.65</v>
      </c>
      <c r="ET31">
        <v>39.5</v>
      </c>
      <c r="EU31">
        <v>0</v>
      </c>
      <c r="EV31">
        <v>1007.600000143051</v>
      </c>
      <c r="EW31">
        <v>0</v>
      </c>
      <c r="EX31">
        <v>610.3595600000001</v>
      </c>
      <c r="EY31">
        <v>-0.55884616317546232</v>
      </c>
      <c r="EZ31">
        <v>-115.70769209334991</v>
      </c>
      <c r="FA31">
        <v>12572.972</v>
      </c>
      <c r="FB31">
        <v>15</v>
      </c>
      <c r="FC31">
        <v>1700238112</v>
      </c>
      <c r="FD31" t="s">
        <v>487</v>
      </c>
      <c r="FE31">
        <v>1700238112</v>
      </c>
      <c r="FF31">
        <v>1700238108</v>
      </c>
      <c r="FG31">
        <v>18</v>
      </c>
      <c r="FH31">
        <v>8.0000000000000002E-3</v>
      </c>
      <c r="FI31">
        <v>-1E-3</v>
      </c>
      <c r="FJ31">
        <v>-0.47699999999999998</v>
      </c>
      <c r="FK31">
        <v>3.0000000000000001E-3</v>
      </c>
      <c r="FL31">
        <v>450</v>
      </c>
      <c r="FM31">
        <v>24</v>
      </c>
      <c r="FN31">
        <v>0.04</v>
      </c>
      <c r="FO31">
        <v>0.02</v>
      </c>
      <c r="FP31">
        <v>49.307844335277451</v>
      </c>
      <c r="FQ31">
        <v>-0.52228477594828193</v>
      </c>
      <c r="FR31">
        <v>5.3560110329810513E-2</v>
      </c>
      <c r="FS31">
        <v>1</v>
      </c>
      <c r="FT31">
        <v>0.31317329448566611</v>
      </c>
      <c r="FU31">
        <v>2.6058381822397891E-2</v>
      </c>
      <c r="FV31">
        <v>3.882307326732037E-3</v>
      </c>
      <c r="FW31">
        <v>1</v>
      </c>
      <c r="FX31">
        <v>2</v>
      </c>
      <c r="FY31">
        <v>2</v>
      </c>
      <c r="FZ31" t="s">
        <v>420</v>
      </c>
      <c r="GA31">
        <v>3.12296</v>
      </c>
      <c r="GB31">
        <v>2.7667299999999999</v>
      </c>
      <c r="GC31">
        <v>8.7577699999999994E-2</v>
      </c>
      <c r="GD31">
        <v>9.6589400000000006E-2</v>
      </c>
      <c r="GE31">
        <v>0.12016</v>
      </c>
      <c r="GF31">
        <v>0.10631</v>
      </c>
      <c r="GG31">
        <v>21734.5</v>
      </c>
      <c r="GH31">
        <v>22409.3</v>
      </c>
      <c r="GI31">
        <v>23687.3</v>
      </c>
      <c r="GJ31">
        <v>25125.8</v>
      </c>
      <c r="GK31">
        <v>30014.400000000001</v>
      </c>
      <c r="GL31">
        <v>31477</v>
      </c>
      <c r="GM31">
        <v>37757.9</v>
      </c>
      <c r="GN31">
        <v>39102.699999999997</v>
      </c>
      <c r="GO31">
        <v>2.1495299999999999</v>
      </c>
      <c r="GP31">
        <v>1.7842</v>
      </c>
      <c r="GQ31">
        <v>9.3132300000000005E-3</v>
      </c>
      <c r="GR31">
        <v>0</v>
      </c>
      <c r="GS31">
        <v>29.838899999999999</v>
      </c>
      <c r="GT31">
        <v>999.9</v>
      </c>
      <c r="GU31">
        <v>54.9</v>
      </c>
      <c r="GV31">
        <v>35.200000000000003</v>
      </c>
      <c r="GW31">
        <v>31.783200000000001</v>
      </c>
      <c r="GX31">
        <v>60.341900000000003</v>
      </c>
      <c r="GY31">
        <v>26.882999999999999</v>
      </c>
      <c r="GZ31">
        <v>1</v>
      </c>
      <c r="HA31">
        <v>0.60236000000000001</v>
      </c>
      <c r="HB31">
        <v>2.5928300000000002</v>
      </c>
      <c r="HC31">
        <v>20.3018</v>
      </c>
      <c r="HD31">
        <v>5.2479899999999997</v>
      </c>
      <c r="HE31">
        <v>12.0099</v>
      </c>
      <c r="HF31">
        <v>4.9780499999999996</v>
      </c>
      <c r="HG31">
        <v>3.2922500000000001</v>
      </c>
      <c r="HH31">
        <v>9999</v>
      </c>
      <c r="HI31">
        <v>9999</v>
      </c>
      <c r="HJ31">
        <v>9999</v>
      </c>
      <c r="HK31">
        <v>999.9</v>
      </c>
      <c r="HL31">
        <v>1.87608</v>
      </c>
      <c r="HM31">
        <v>1.8769199999999999</v>
      </c>
      <c r="HN31">
        <v>1.8832500000000001</v>
      </c>
      <c r="HO31">
        <v>1.88632</v>
      </c>
      <c r="HP31">
        <v>1.87714</v>
      </c>
      <c r="HQ31">
        <v>1.88374</v>
      </c>
      <c r="HR31">
        <v>1.88263</v>
      </c>
      <c r="HS31">
        <v>1.88602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424</v>
      </c>
      <c r="IB31" t="s">
        <v>424</v>
      </c>
      <c r="IC31" t="s">
        <v>423</v>
      </c>
      <c r="ID31">
        <v>0</v>
      </c>
      <c r="IE31">
        <v>100</v>
      </c>
      <c r="IF31">
        <v>100</v>
      </c>
      <c r="IG31">
        <v>-0.46899999999999997</v>
      </c>
      <c r="IH31">
        <v>3.0999999999999999E-3</v>
      </c>
      <c r="II31">
        <v>-0.45153361777877388</v>
      </c>
      <c r="IJ31">
        <v>4.4610147972834149E-5</v>
      </c>
      <c r="IK31">
        <v>-2.082673137682459E-7</v>
      </c>
      <c r="IL31">
        <v>-4.0725795306076518E-11</v>
      </c>
      <c r="IM31">
        <v>3.0666666666654412E-3</v>
      </c>
      <c r="IN31">
        <v>0</v>
      </c>
      <c r="IO31">
        <v>0</v>
      </c>
      <c r="IP31">
        <v>0</v>
      </c>
      <c r="IQ31">
        <v>3</v>
      </c>
      <c r="IR31">
        <v>2179</v>
      </c>
      <c r="IS31">
        <v>0</v>
      </c>
      <c r="IT31">
        <v>22</v>
      </c>
      <c r="IU31">
        <v>0.6</v>
      </c>
      <c r="IV31">
        <v>0.6</v>
      </c>
      <c r="IW31">
        <v>1.11328</v>
      </c>
      <c r="IX31">
        <v>2.67334</v>
      </c>
      <c r="IY31">
        <v>1.6015600000000001</v>
      </c>
      <c r="IZ31">
        <v>2.33887</v>
      </c>
      <c r="JA31">
        <v>1.5502899999999999</v>
      </c>
      <c r="JB31">
        <v>2.3864700000000001</v>
      </c>
      <c r="JC31">
        <v>40.578699999999998</v>
      </c>
      <c r="JD31">
        <v>24.087499999999999</v>
      </c>
      <c r="JE31">
        <v>18</v>
      </c>
      <c r="JF31">
        <v>613.48500000000001</v>
      </c>
      <c r="JG31">
        <v>406.67200000000003</v>
      </c>
      <c r="JH31">
        <v>27.168099999999999</v>
      </c>
      <c r="JI31">
        <v>34.453499999999998</v>
      </c>
      <c r="JJ31">
        <v>30.000599999999999</v>
      </c>
      <c r="JK31">
        <v>34.404499999999999</v>
      </c>
      <c r="JL31">
        <v>34.385899999999999</v>
      </c>
      <c r="JM31">
        <v>22.279299999999999</v>
      </c>
      <c r="JN31">
        <v>34.655999999999999</v>
      </c>
      <c r="JO31">
        <v>76.034499999999994</v>
      </c>
      <c r="JP31">
        <v>27.168399999999998</v>
      </c>
      <c r="JQ31">
        <v>450</v>
      </c>
      <c r="JR31">
        <v>23.8491</v>
      </c>
      <c r="JS31">
        <v>98.482799999999997</v>
      </c>
      <c r="JT31">
        <v>98.955200000000005</v>
      </c>
    </row>
    <row r="32" spans="1:280" x14ac:dyDescent="0.25">
      <c r="A32">
        <v>16</v>
      </c>
      <c r="B32">
        <v>1700238276.5</v>
      </c>
      <c r="C32">
        <v>3039</v>
      </c>
      <c r="D32" t="s">
        <v>488</v>
      </c>
      <c r="E32" t="s">
        <v>489</v>
      </c>
      <c r="F32" t="s">
        <v>412</v>
      </c>
      <c r="G32" t="s">
        <v>483</v>
      </c>
      <c r="H32" t="s">
        <v>484</v>
      </c>
      <c r="I32">
        <v>1700238276.5</v>
      </c>
      <c r="J32">
        <f t="shared" si="0"/>
        <v>2.4631689901350828E-3</v>
      </c>
      <c r="K32">
        <f t="shared" si="1"/>
        <v>2.4631689901350828</v>
      </c>
      <c r="L32">
        <f t="shared" si="2"/>
        <v>53.478646303855307</v>
      </c>
      <c r="M32">
        <f t="shared" si="3"/>
        <v>1438.8969999999999</v>
      </c>
      <c r="N32">
        <f t="shared" si="4"/>
        <v>870.98002923890317</v>
      </c>
      <c r="O32">
        <f t="shared" si="5"/>
        <v>86.012682548275976</v>
      </c>
      <c r="P32">
        <f t="shared" si="6"/>
        <v>142.09670339837297</v>
      </c>
      <c r="Q32">
        <f t="shared" si="7"/>
        <v>0.16272446655934525</v>
      </c>
      <c r="R32">
        <f t="shared" si="8"/>
        <v>3.0315269492033279</v>
      </c>
      <c r="S32">
        <f t="shared" si="9"/>
        <v>0.15802307621723144</v>
      </c>
      <c r="T32">
        <f t="shared" si="10"/>
        <v>9.9175509693074371E-2</v>
      </c>
      <c r="U32">
        <f t="shared" si="11"/>
        <v>344.37319930235128</v>
      </c>
      <c r="V32">
        <f t="shared" si="12"/>
        <v>31.296122851687333</v>
      </c>
      <c r="W32">
        <f t="shared" si="13"/>
        <v>29.957799999999999</v>
      </c>
      <c r="X32">
        <f t="shared" si="14"/>
        <v>4.2501336271336907</v>
      </c>
      <c r="Y32">
        <f t="shared" si="15"/>
        <v>65.089355323982772</v>
      </c>
      <c r="Z32">
        <f t="shared" si="16"/>
        <v>2.7654945922450995</v>
      </c>
      <c r="AA32">
        <f t="shared" si="17"/>
        <v>4.2487662974688085</v>
      </c>
      <c r="AB32">
        <f t="shared" si="18"/>
        <v>1.4846390348885912</v>
      </c>
      <c r="AC32">
        <f t="shared" si="19"/>
        <v>-108.62575246495716</v>
      </c>
      <c r="AD32">
        <f t="shared" si="20"/>
        <v>-0.91523981295812795</v>
      </c>
      <c r="AE32">
        <f t="shared" si="21"/>
        <v>-6.7099464129367528E-2</v>
      </c>
      <c r="AF32">
        <f t="shared" si="22"/>
        <v>234.76510756030666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51622.751806948305</v>
      </c>
      <c r="AL32" t="s">
        <v>427</v>
      </c>
      <c r="AM32" t="s">
        <v>427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427</v>
      </c>
      <c r="AS32" t="s">
        <v>427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1513.2014996511755</v>
      </c>
      <c r="AY32">
        <f t="shared" si="29"/>
        <v>53.478646303855307</v>
      </c>
      <c r="AZ32" t="e">
        <f t="shared" si="30"/>
        <v>#DIV/0!</v>
      </c>
      <c r="BA32">
        <f t="shared" si="31"/>
        <v>3.5341391292688547E-2</v>
      </c>
      <c r="BB32" t="e">
        <f t="shared" si="32"/>
        <v>#DIV/0!</v>
      </c>
      <c r="BC32" t="e">
        <f t="shared" si="33"/>
        <v>#DIV/0!</v>
      </c>
      <c r="BD32" t="s">
        <v>427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11380</v>
      </c>
      <c r="BO32">
        <v>290.00000000000011</v>
      </c>
      <c r="BP32">
        <v>862.51</v>
      </c>
      <c r="BQ32">
        <v>295</v>
      </c>
      <c r="BR32">
        <v>7109.95</v>
      </c>
      <c r="BS32">
        <v>866.64</v>
      </c>
      <c r="BT32">
        <v>-4.13</v>
      </c>
      <c r="BU32">
        <v>300.00000000000011</v>
      </c>
      <c r="BV32">
        <v>38.299999999999997</v>
      </c>
      <c r="BW32">
        <v>961.66355637057313</v>
      </c>
      <c r="BX32">
        <v>1.741399993721688</v>
      </c>
      <c r="BY32">
        <v>-67.562684052832793</v>
      </c>
      <c r="BZ32">
        <v>1.037845575658856</v>
      </c>
      <c r="CA32">
        <v>0.99343628466928724</v>
      </c>
      <c r="CB32">
        <v>-7.0107641824249207E-3</v>
      </c>
      <c r="CC32">
        <v>289.99999999999989</v>
      </c>
      <c r="CD32">
        <v>877.45</v>
      </c>
      <c r="CE32">
        <v>895</v>
      </c>
      <c r="CF32">
        <v>7100.72</v>
      </c>
      <c r="CG32">
        <v>866.51</v>
      </c>
      <c r="CH32">
        <v>10.94</v>
      </c>
      <c r="CV32">
        <f t="shared" si="42"/>
        <v>1800.02</v>
      </c>
      <c r="CW32">
        <f t="shared" si="43"/>
        <v>1513.2014996511755</v>
      </c>
      <c r="CX32">
        <f t="shared" si="44"/>
        <v>0.84065815915999575</v>
      </c>
      <c r="CY32">
        <f t="shared" si="45"/>
        <v>0.1913163183199916</v>
      </c>
      <c r="CZ32">
        <v>5.36</v>
      </c>
      <c r="DA32">
        <v>0.5</v>
      </c>
      <c r="DB32" t="s">
        <v>418</v>
      </c>
      <c r="DC32">
        <v>2</v>
      </c>
      <c r="DD32">
        <v>1700238276.5</v>
      </c>
      <c r="DE32">
        <v>1438.8969999999999</v>
      </c>
      <c r="DF32">
        <v>1500</v>
      </c>
      <c r="DG32">
        <v>28.003900000000002</v>
      </c>
      <c r="DH32">
        <v>25.438400000000001</v>
      </c>
      <c r="DI32">
        <v>1439.2</v>
      </c>
      <c r="DJ32">
        <v>27.997900000000001</v>
      </c>
      <c r="DK32">
        <v>500.209</v>
      </c>
      <c r="DL32">
        <v>98.653499999999994</v>
      </c>
      <c r="DM32">
        <v>0.100409</v>
      </c>
      <c r="DN32">
        <v>29.952200000000001</v>
      </c>
      <c r="DO32">
        <v>29.957799999999999</v>
      </c>
      <c r="DP32">
        <v>999.9</v>
      </c>
      <c r="DQ32">
        <v>0</v>
      </c>
      <c r="DR32">
        <v>0</v>
      </c>
      <c r="DS32">
        <v>9993.1200000000008</v>
      </c>
      <c r="DT32">
        <v>0</v>
      </c>
      <c r="DU32">
        <v>228.21799999999999</v>
      </c>
      <c r="DV32">
        <v>-61.746499999999997</v>
      </c>
      <c r="DW32">
        <v>1479.69</v>
      </c>
      <c r="DX32">
        <v>1539.16</v>
      </c>
      <c r="DY32">
        <v>2.5625800000000001</v>
      </c>
      <c r="DZ32">
        <v>1500</v>
      </c>
      <c r="EA32">
        <v>25.438400000000001</v>
      </c>
      <c r="EB32">
        <v>2.7623899999999999</v>
      </c>
      <c r="EC32">
        <v>2.5095800000000001</v>
      </c>
      <c r="ED32">
        <v>22.661100000000001</v>
      </c>
      <c r="EE32">
        <v>21.088799999999999</v>
      </c>
      <c r="EF32">
        <v>1800.02</v>
      </c>
      <c r="EG32">
        <v>0.97799899999999995</v>
      </c>
      <c r="EH32">
        <v>2.2001E-2</v>
      </c>
      <c r="EI32">
        <v>0</v>
      </c>
      <c r="EJ32">
        <v>603.572</v>
      </c>
      <c r="EK32">
        <v>5.0005300000000004</v>
      </c>
      <c r="EL32">
        <v>12056.6</v>
      </c>
      <c r="EM32">
        <v>16035.4</v>
      </c>
      <c r="EN32">
        <v>48.375</v>
      </c>
      <c r="EO32">
        <v>49.5</v>
      </c>
      <c r="EP32">
        <v>48.936999999999998</v>
      </c>
      <c r="EQ32">
        <v>49</v>
      </c>
      <c r="ER32">
        <v>49.561999999999998</v>
      </c>
      <c r="ES32">
        <v>1755.53</v>
      </c>
      <c r="ET32">
        <v>39.49</v>
      </c>
      <c r="EU32">
        <v>0</v>
      </c>
      <c r="EV32">
        <v>129.20000004768369</v>
      </c>
      <c r="EW32">
        <v>0</v>
      </c>
      <c r="EX32">
        <v>603.22744</v>
      </c>
      <c r="EY32">
        <v>2.1753076856621281</v>
      </c>
      <c r="EZ32">
        <v>239.73846118525009</v>
      </c>
      <c r="FA32">
        <v>12014.748</v>
      </c>
      <c r="FB32">
        <v>15</v>
      </c>
      <c r="FC32">
        <v>1700238300.5</v>
      </c>
      <c r="FD32" t="s">
        <v>490</v>
      </c>
      <c r="FE32">
        <v>1700238296.5</v>
      </c>
      <c r="FF32">
        <v>1700238300.5</v>
      </c>
      <c r="FG32">
        <v>19</v>
      </c>
      <c r="FH32">
        <v>0.68899999999999995</v>
      </c>
      <c r="FI32">
        <v>3.0000000000000001E-3</v>
      </c>
      <c r="FJ32">
        <v>-0.30299999999999999</v>
      </c>
      <c r="FK32">
        <v>6.0000000000000001E-3</v>
      </c>
      <c r="FL32">
        <v>1500</v>
      </c>
      <c r="FM32">
        <v>25</v>
      </c>
      <c r="FN32">
        <v>0.06</v>
      </c>
      <c r="FO32">
        <v>0.03</v>
      </c>
      <c r="FP32">
        <v>54.079370795881239</v>
      </c>
      <c r="FQ32">
        <v>-0.61411889093619654</v>
      </c>
      <c r="FR32">
        <v>7.7964618692378501E-2</v>
      </c>
      <c r="FS32">
        <v>1</v>
      </c>
      <c r="FT32">
        <v>0.16878511055055939</v>
      </c>
      <c r="FU32">
        <v>-4.2499030854892129E-2</v>
      </c>
      <c r="FV32">
        <v>3.301493607571036E-3</v>
      </c>
      <c r="FW32">
        <v>1</v>
      </c>
      <c r="FX32">
        <v>2</v>
      </c>
      <c r="FY32">
        <v>2</v>
      </c>
      <c r="FZ32" t="s">
        <v>420</v>
      </c>
      <c r="GA32">
        <v>3.1236899999999999</v>
      </c>
      <c r="GB32">
        <v>2.76722</v>
      </c>
      <c r="GC32">
        <v>0.209647</v>
      </c>
      <c r="GD32">
        <v>0.21473700000000001</v>
      </c>
      <c r="GE32">
        <v>0.118737</v>
      </c>
      <c r="GF32">
        <v>0.111248</v>
      </c>
      <c r="GG32">
        <v>18818.900000000001</v>
      </c>
      <c r="GH32">
        <v>19470</v>
      </c>
      <c r="GI32">
        <v>23683.9</v>
      </c>
      <c r="GJ32">
        <v>25122.6</v>
      </c>
      <c r="GK32">
        <v>30058.799999999999</v>
      </c>
      <c r="GL32">
        <v>31299.599999999999</v>
      </c>
      <c r="GM32">
        <v>37753.1</v>
      </c>
      <c r="GN32">
        <v>39098.800000000003</v>
      </c>
      <c r="GO32">
        <v>2.1475499999999998</v>
      </c>
      <c r="GP32">
        <v>1.7880499999999999</v>
      </c>
      <c r="GQ32">
        <v>2.5704500000000002E-2</v>
      </c>
      <c r="GR32">
        <v>0</v>
      </c>
      <c r="GS32">
        <v>29.539300000000001</v>
      </c>
      <c r="GT32">
        <v>999.9</v>
      </c>
      <c r="GU32">
        <v>54.3</v>
      </c>
      <c r="GV32">
        <v>35.299999999999997</v>
      </c>
      <c r="GW32">
        <v>31.613800000000001</v>
      </c>
      <c r="GX32">
        <v>60.501899999999999</v>
      </c>
      <c r="GY32">
        <v>26.682700000000001</v>
      </c>
      <c r="GZ32">
        <v>1</v>
      </c>
      <c r="HA32">
        <v>0.60972300000000001</v>
      </c>
      <c r="HB32">
        <v>1.27525</v>
      </c>
      <c r="HC32">
        <v>20.314299999999999</v>
      </c>
      <c r="HD32">
        <v>5.2517300000000002</v>
      </c>
      <c r="HE32">
        <v>12.0099</v>
      </c>
      <c r="HF32">
        <v>4.9789500000000002</v>
      </c>
      <c r="HG32">
        <v>3.2930000000000001</v>
      </c>
      <c r="HH32">
        <v>9999</v>
      </c>
      <c r="HI32">
        <v>9999</v>
      </c>
      <c r="HJ32">
        <v>9999</v>
      </c>
      <c r="HK32">
        <v>999.9</v>
      </c>
      <c r="HL32">
        <v>1.87609</v>
      </c>
      <c r="HM32">
        <v>1.8769199999999999</v>
      </c>
      <c r="HN32">
        <v>1.88324</v>
      </c>
      <c r="HO32">
        <v>1.8863099999999999</v>
      </c>
      <c r="HP32">
        <v>1.87714</v>
      </c>
      <c r="HQ32">
        <v>1.8836999999999999</v>
      </c>
      <c r="HR32">
        <v>1.88263</v>
      </c>
      <c r="HS32">
        <v>1.88602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424</v>
      </c>
      <c r="IB32" t="s">
        <v>424</v>
      </c>
      <c r="IC32" t="s">
        <v>423</v>
      </c>
      <c r="ID32">
        <v>0</v>
      </c>
      <c r="IE32">
        <v>100</v>
      </c>
      <c r="IF32">
        <v>100</v>
      </c>
      <c r="IG32">
        <v>-0.30299999999999999</v>
      </c>
      <c r="IH32">
        <v>6.0000000000000001E-3</v>
      </c>
      <c r="II32">
        <v>-0.45153361777877388</v>
      </c>
      <c r="IJ32">
        <v>4.4610147972834149E-5</v>
      </c>
      <c r="IK32">
        <v>-2.082673137682459E-7</v>
      </c>
      <c r="IL32">
        <v>-4.0725795306076518E-11</v>
      </c>
      <c r="IM32">
        <v>3.0666666666654412E-3</v>
      </c>
      <c r="IN32">
        <v>0</v>
      </c>
      <c r="IO32">
        <v>0</v>
      </c>
      <c r="IP32">
        <v>0</v>
      </c>
      <c r="IQ32">
        <v>3</v>
      </c>
      <c r="IR32">
        <v>2179</v>
      </c>
      <c r="IS32">
        <v>0</v>
      </c>
      <c r="IT32">
        <v>22</v>
      </c>
      <c r="IU32">
        <v>2.7</v>
      </c>
      <c r="IV32">
        <v>2.8</v>
      </c>
      <c r="IW32">
        <v>2.96265</v>
      </c>
      <c r="IX32">
        <v>2.6464799999999999</v>
      </c>
      <c r="IY32">
        <v>1.6003400000000001</v>
      </c>
      <c r="IZ32">
        <v>2.33521</v>
      </c>
      <c r="JA32">
        <v>1.5502899999999999</v>
      </c>
      <c r="JB32">
        <v>2.4340799999999998</v>
      </c>
      <c r="JC32">
        <v>40.732300000000002</v>
      </c>
      <c r="JD32">
        <v>24.105</v>
      </c>
      <c r="JE32">
        <v>18</v>
      </c>
      <c r="JF32">
        <v>612.84100000000001</v>
      </c>
      <c r="JG32">
        <v>409.75</v>
      </c>
      <c r="JH32">
        <v>26.4664</v>
      </c>
      <c r="JI32">
        <v>34.534100000000002</v>
      </c>
      <c r="JJ32">
        <v>29.997399999999999</v>
      </c>
      <c r="JK32">
        <v>34.490299999999998</v>
      </c>
      <c r="JL32">
        <v>34.475700000000003</v>
      </c>
      <c r="JM32">
        <v>59.296599999999998</v>
      </c>
      <c r="JN32">
        <v>27.6005</v>
      </c>
      <c r="JO32">
        <v>74.140299999999996</v>
      </c>
      <c r="JP32">
        <v>26.875499999999999</v>
      </c>
      <c r="JQ32">
        <v>1500</v>
      </c>
      <c r="JR32">
        <v>25.356100000000001</v>
      </c>
      <c r="JS32">
        <v>98.4696</v>
      </c>
      <c r="JT32">
        <v>98.944199999999995</v>
      </c>
    </row>
    <row r="33" spans="1:280" x14ac:dyDescent="0.25">
      <c r="A33">
        <v>17</v>
      </c>
      <c r="B33">
        <v>1700238417</v>
      </c>
      <c r="C33">
        <v>3179.5</v>
      </c>
      <c r="D33" t="s">
        <v>491</v>
      </c>
      <c r="E33" t="s">
        <v>492</v>
      </c>
      <c r="F33" t="s">
        <v>412</v>
      </c>
      <c r="G33" t="s">
        <v>483</v>
      </c>
      <c r="H33" t="s">
        <v>484</v>
      </c>
      <c r="I33">
        <v>1700238417</v>
      </c>
      <c r="J33">
        <f t="shared" si="0"/>
        <v>2.5382629686495372E-3</v>
      </c>
      <c r="K33">
        <f t="shared" si="1"/>
        <v>2.538262968649537</v>
      </c>
      <c r="L33">
        <f t="shared" si="2"/>
        <v>53.590729261165137</v>
      </c>
      <c r="M33">
        <f t="shared" si="3"/>
        <v>1189.3399999999999</v>
      </c>
      <c r="N33">
        <f t="shared" si="4"/>
        <v>639.32326462481547</v>
      </c>
      <c r="O33">
        <f t="shared" si="5"/>
        <v>63.133344103929403</v>
      </c>
      <c r="P33">
        <f t="shared" si="6"/>
        <v>117.44764445672399</v>
      </c>
      <c r="Q33">
        <f t="shared" si="7"/>
        <v>0.16689466345223836</v>
      </c>
      <c r="R33">
        <f t="shared" si="8"/>
        <v>3.0335796118004663</v>
      </c>
      <c r="S33">
        <f t="shared" si="9"/>
        <v>0.16195639336736026</v>
      </c>
      <c r="T33">
        <f t="shared" si="10"/>
        <v>0.10165425847704346</v>
      </c>
      <c r="U33">
        <f t="shared" si="11"/>
        <v>344.39659930222115</v>
      </c>
      <c r="V33">
        <f t="shared" si="12"/>
        <v>31.178929562212751</v>
      </c>
      <c r="W33">
        <f t="shared" si="13"/>
        <v>29.991299999999999</v>
      </c>
      <c r="X33">
        <f t="shared" si="14"/>
        <v>4.2583212003049224</v>
      </c>
      <c r="Y33">
        <f t="shared" si="15"/>
        <v>65.460746006229115</v>
      </c>
      <c r="Z33">
        <f t="shared" si="16"/>
        <v>2.7656987726801998</v>
      </c>
      <c r="AA33">
        <f t="shared" si="17"/>
        <v>4.2249728904968809</v>
      </c>
      <c r="AB33">
        <f t="shared" si="18"/>
        <v>1.4926224276247226</v>
      </c>
      <c r="AC33">
        <f t="shared" si="19"/>
        <v>-111.93739691744459</v>
      </c>
      <c r="AD33">
        <f t="shared" si="20"/>
        <v>-22.373139863493279</v>
      </c>
      <c r="AE33">
        <f t="shared" si="21"/>
        <v>-1.6386231578415189</v>
      </c>
      <c r="AF33">
        <f t="shared" si="22"/>
        <v>208.44743936344179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51693.635693703363</v>
      </c>
      <c r="AL33" t="s">
        <v>415</v>
      </c>
      <c r="AM33">
        <v>6977.87</v>
      </c>
      <c r="AN33">
        <v>273.15280000000001</v>
      </c>
      <c r="AO33">
        <v>850.46774885301022</v>
      </c>
      <c r="AP33">
        <f t="shared" si="26"/>
        <v>0.67882050745793765</v>
      </c>
      <c r="AQ33">
        <v>-1.0323826813720729</v>
      </c>
      <c r="AR33" t="s">
        <v>493</v>
      </c>
      <c r="AS33">
        <v>7110.08</v>
      </c>
      <c r="AT33">
        <v>601.45615999999995</v>
      </c>
      <c r="AU33">
        <v>994.17991838703688</v>
      </c>
      <c r="AV33">
        <f t="shared" si="27"/>
        <v>0.39502282345854878</v>
      </c>
      <c r="AW33">
        <v>0.5</v>
      </c>
      <c r="AX33">
        <f t="shared" si="28"/>
        <v>1513.3025996511105</v>
      </c>
      <c r="AY33">
        <f t="shared" si="29"/>
        <v>53.590729261165137</v>
      </c>
      <c r="AZ33">
        <f t="shared" si="30"/>
        <v>298.89453283067178</v>
      </c>
      <c r="BA33">
        <f t="shared" si="31"/>
        <v>3.609530040794913E-2</v>
      </c>
      <c r="BB33">
        <f t="shared" si="32"/>
        <v>-0.14455348260019785</v>
      </c>
      <c r="BC33">
        <f t="shared" si="33"/>
        <v>286.45208697715594</v>
      </c>
      <c r="BD33" t="s">
        <v>494</v>
      </c>
      <c r="BE33">
        <v>453.88</v>
      </c>
      <c r="BF33">
        <f t="shared" si="34"/>
        <v>453.88</v>
      </c>
      <c r="BG33">
        <f t="shared" si="35"/>
        <v>0.54346291691711346</v>
      </c>
      <c r="BH33">
        <f t="shared" si="36"/>
        <v>0.72686251658049361</v>
      </c>
      <c r="BI33">
        <f t="shared" si="37"/>
        <v>-0.36237168180223234</v>
      </c>
      <c r="BJ33">
        <f t="shared" si="38"/>
        <v>0.54467265983777957</v>
      </c>
      <c r="BK33">
        <f t="shared" si="39"/>
        <v>-0.24893200811714492</v>
      </c>
      <c r="BL33">
        <f t="shared" si="40"/>
        <v>0.54851605314933416</v>
      </c>
      <c r="BM33">
        <f t="shared" si="41"/>
        <v>0.45148394685066584</v>
      </c>
      <c r="BN33">
        <v>11382</v>
      </c>
      <c r="BO33">
        <v>290.00000000000011</v>
      </c>
      <c r="BP33">
        <v>878.23</v>
      </c>
      <c r="BQ33">
        <v>295</v>
      </c>
      <c r="BR33">
        <v>7110.08</v>
      </c>
      <c r="BS33">
        <v>882.81</v>
      </c>
      <c r="BT33">
        <v>-4.58</v>
      </c>
      <c r="BU33">
        <v>300.00000000000011</v>
      </c>
      <c r="BV33">
        <v>38.299999999999997</v>
      </c>
      <c r="BW33">
        <v>994.17991838703688</v>
      </c>
      <c r="BX33">
        <v>2.4994210319400958</v>
      </c>
      <c r="BY33">
        <v>-79.182089215780096</v>
      </c>
      <c r="BZ33">
        <v>1.489655419267842</v>
      </c>
      <c r="CA33">
        <v>0.99018719729455629</v>
      </c>
      <c r="CB33">
        <v>-7.0105303670745366E-3</v>
      </c>
      <c r="CC33">
        <v>289.99999999999989</v>
      </c>
      <c r="CD33">
        <v>890.53</v>
      </c>
      <c r="CE33">
        <v>765</v>
      </c>
      <c r="CF33">
        <v>7103.06</v>
      </c>
      <c r="CG33">
        <v>882.7</v>
      </c>
      <c r="CH33">
        <v>7.83</v>
      </c>
      <c r="CV33">
        <f t="shared" si="42"/>
        <v>1800.14</v>
      </c>
      <c r="CW33">
        <f t="shared" si="43"/>
        <v>1513.3025996511105</v>
      </c>
      <c r="CX33">
        <f t="shared" si="44"/>
        <v>0.84065828193979941</v>
      </c>
      <c r="CY33">
        <f t="shared" si="45"/>
        <v>0.19131656387959889</v>
      </c>
      <c r="CZ33">
        <v>5.36</v>
      </c>
      <c r="DA33">
        <v>0.5</v>
      </c>
      <c r="DB33" t="s">
        <v>418</v>
      </c>
      <c r="DC33">
        <v>2</v>
      </c>
      <c r="DD33">
        <v>1700238417</v>
      </c>
      <c r="DE33">
        <v>1189.3399999999999</v>
      </c>
      <c r="DF33">
        <v>1250</v>
      </c>
      <c r="DG33">
        <v>28.007000000000001</v>
      </c>
      <c r="DH33">
        <v>25.363299999999999</v>
      </c>
      <c r="DI33">
        <v>1189.8</v>
      </c>
      <c r="DJ33">
        <v>27.9983</v>
      </c>
      <c r="DK33">
        <v>500.21</v>
      </c>
      <c r="DL33">
        <v>98.650300000000001</v>
      </c>
      <c r="DM33">
        <v>9.9968600000000005E-2</v>
      </c>
      <c r="DN33">
        <v>29.854500000000002</v>
      </c>
      <c r="DO33">
        <v>29.991299999999999</v>
      </c>
      <c r="DP33">
        <v>999.9</v>
      </c>
      <c r="DQ33">
        <v>0</v>
      </c>
      <c r="DR33">
        <v>0</v>
      </c>
      <c r="DS33">
        <v>10004.4</v>
      </c>
      <c r="DT33">
        <v>0</v>
      </c>
      <c r="DU33">
        <v>279.47699999999998</v>
      </c>
      <c r="DV33">
        <v>-60.660200000000003</v>
      </c>
      <c r="DW33">
        <v>1223.6099999999999</v>
      </c>
      <c r="DX33">
        <v>1282.53</v>
      </c>
      <c r="DY33">
        <v>2.6436799999999998</v>
      </c>
      <c r="DZ33">
        <v>1250</v>
      </c>
      <c r="EA33">
        <v>25.363299999999999</v>
      </c>
      <c r="EB33">
        <v>2.7629000000000001</v>
      </c>
      <c r="EC33">
        <v>2.5021</v>
      </c>
      <c r="ED33">
        <v>22.664100000000001</v>
      </c>
      <c r="EE33">
        <v>21.040099999999999</v>
      </c>
      <c r="EF33">
        <v>1800.14</v>
      </c>
      <c r="EG33">
        <v>0.97799499999999995</v>
      </c>
      <c r="EH33">
        <v>2.2004599999999999E-2</v>
      </c>
      <c r="EI33">
        <v>0</v>
      </c>
      <c r="EJ33">
        <v>601.19500000000005</v>
      </c>
      <c r="EK33">
        <v>5.0005300000000004</v>
      </c>
      <c r="EL33">
        <v>14228</v>
      </c>
      <c r="EM33">
        <v>16036.5</v>
      </c>
      <c r="EN33">
        <v>48.436999999999998</v>
      </c>
      <c r="EO33">
        <v>49.561999999999998</v>
      </c>
      <c r="EP33">
        <v>49.061999999999998</v>
      </c>
      <c r="EQ33">
        <v>49.061999999999998</v>
      </c>
      <c r="ER33">
        <v>49.561999999999998</v>
      </c>
      <c r="ES33">
        <v>1755.64</v>
      </c>
      <c r="ET33">
        <v>39.5</v>
      </c>
      <c r="EU33">
        <v>0</v>
      </c>
      <c r="EV33">
        <v>269.60000014305109</v>
      </c>
      <c r="EW33">
        <v>0</v>
      </c>
      <c r="EX33">
        <v>601.45615999999995</v>
      </c>
      <c r="EY33">
        <v>-0.40161538778149591</v>
      </c>
      <c r="EZ33">
        <v>-288.12307794361601</v>
      </c>
      <c r="FA33">
        <v>14289.031999999999</v>
      </c>
      <c r="FB33">
        <v>15</v>
      </c>
      <c r="FC33">
        <v>1700238363.5</v>
      </c>
      <c r="FD33" t="s">
        <v>495</v>
      </c>
      <c r="FE33">
        <v>1700238363.5</v>
      </c>
      <c r="FF33">
        <v>1700238361</v>
      </c>
      <c r="FG33">
        <v>20</v>
      </c>
      <c r="FH33">
        <v>-0.38200000000000001</v>
      </c>
      <c r="FI33">
        <v>2E-3</v>
      </c>
      <c r="FJ33">
        <v>-0.496</v>
      </c>
      <c r="FK33">
        <v>8.9999999999999993E-3</v>
      </c>
      <c r="FL33">
        <v>1250</v>
      </c>
      <c r="FM33">
        <v>25</v>
      </c>
      <c r="FN33">
        <v>0.08</v>
      </c>
      <c r="FO33">
        <v>0.04</v>
      </c>
      <c r="FP33">
        <v>53.39106920646033</v>
      </c>
      <c r="FQ33">
        <v>0.60063596131137797</v>
      </c>
      <c r="FR33">
        <v>6.3707344560538726E-2</v>
      </c>
      <c r="FS33">
        <v>1</v>
      </c>
      <c r="FT33">
        <v>0.16634059809602469</v>
      </c>
      <c r="FU33">
        <v>1.781386910556362E-2</v>
      </c>
      <c r="FV33">
        <v>1.569394095615968E-3</v>
      </c>
      <c r="FW33">
        <v>1</v>
      </c>
      <c r="FX33">
        <v>2</v>
      </c>
      <c r="FY33">
        <v>2</v>
      </c>
      <c r="FZ33" t="s">
        <v>420</v>
      </c>
      <c r="GA33">
        <v>3.1239300000000001</v>
      </c>
      <c r="GB33">
        <v>2.7668900000000001</v>
      </c>
      <c r="GC33">
        <v>0.18664700000000001</v>
      </c>
      <c r="GD33">
        <v>0.19229299999999999</v>
      </c>
      <c r="GE33">
        <v>0.118714</v>
      </c>
      <c r="GF33">
        <v>0.110995</v>
      </c>
      <c r="GG33">
        <v>19366.900000000001</v>
      </c>
      <c r="GH33">
        <v>20027.2</v>
      </c>
      <c r="GI33">
        <v>23682.3</v>
      </c>
      <c r="GJ33">
        <v>25121.4</v>
      </c>
      <c r="GK33">
        <v>30057.9</v>
      </c>
      <c r="GL33">
        <v>31306.1</v>
      </c>
      <c r="GM33">
        <v>37751</v>
      </c>
      <c r="GN33">
        <v>39095.800000000003</v>
      </c>
      <c r="GO33">
        <v>2.14683</v>
      </c>
      <c r="GP33">
        <v>1.7846</v>
      </c>
      <c r="GQ33">
        <v>-2.6077000000000001E-3</v>
      </c>
      <c r="GR33">
        <v>0</v>
      </c>
      <c r="GS33">
        <v>30.0337</v>
      </c>
      <c r="GT33">
        <v>999.9</v>
      </c>
      <c r="GU33">
        <v>54</v>
      </c>
      <c r="GV33">
        <v>35.5</v>
      </c>
      <c r="GW33">
        <v>31.787099999999999</v>
      </c>
      <c r="GX33">
        <v>60.7119</v>
      </c>
      <c r="GY33">
        <v>25.9375</v>
      </c>
      <c r="GZ33">
        <v>1</v>
      </c>
      <c r="HA33">
        <v>0.61430600000000002</v>
      </c>
      <c r="HB33">
        <v>2.9903599999999999</v>
      </c>
      <c r="HC33">
        <v>20.296399999999998</v>
      </c>
      <c r="HD33">
        <v>5.2517300000000002</v>
      </c>
      <c r="HE33">
        <v>12.0099</v>
      </c>
      <c r="HF33">
        <v>4.9789000000000003</v>
      </c>
      <c r="HG33">
        <v>3.2930000000000001</v>
      </c>
      <c r="HH33">
        <v>9999</v>
      </c>
      <c r="HI33">
        <v>9999</v>
      </c>
      <c r="HJ33">
        <v>9999</v>
      </c>
      <c r="HK33">
        <v>999.9</v>
      </c>
      <c r="HL33">
        <v>1.87608</v>
      </c>
      <c r="HM33">
        <v>1.8769100000000001</v>
      </c>
      <c r="HN33">
        <v>1.88324</v>
      </c>
      <c r="HO33">
        <v>1.8863099999999999</v>
      </c>
      <c r="HP33">
        <v>1.87714</v>
      </c>
      <c r="HQ33">
        <v>1.88371</v>
      </c>
      <c r="HR33">
        <v>1.88263</v>
      </c>
      <c r="HS33">
        <v>1.88601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424</v>
      </c>
      <c r="IB33" t="s">
        <v>424</v>
      </c>
      <c r="IC33" t="s">
        <v>423</v>
      </c>
      <c r="ID33">
        <v>0</v>
      </c>
      <c r="IE33">
        <v>100</v>
      </c>
      <c r="IF33">
        <v>100</v>
      </c>
      <c r="IG33">
        <v>-0.46</v>
      </c>
      <c r="IH33">
        <v>8.6999999999999994E-3</v>
      </c>
      <c r="II33">
        <v>-0.14654360330134919</v>
      </c>
      <c r="IJ33">
        <v>4.4610147972834149E-5</v>
      </c>
      <c r="IK33">
        <v>-2.082673137682459E-7</v>
      </c>
      <c r="IL33">
        <v>-4.0725795306076518E-11</v>
      </c>
      <c r="IM33">
        <v>8.7047619047595504E-3</v>
      </c>
      <c r="IN33">
        <v>0</v>
      </c>
      <c r="IO33">
        <v>0</v>
      </c>
      <c r="IP33">
        <v>0</v>
      </c>
      <c r="IQ33">
        <v>3</v>
      </c>
      <c r="IR33">
        <v>2179</v>
      </c>
      <c r="IS33">
        <v>0</v>
      </c>
      <c r="IT33">
        <v>22</v>
      </c>
      <c r="IU33">
        <v>0.9</v>
      </c>
      <c r="IV33">
        <v>0.9</v>
      </c>
      <c r="IW33">
        <v>2.5561500000000001</v>
      </c>
      <c r="IX33">
        <v>2.6355</v>
      </c>
      <c r="IY33">
        <v>1.6003400000000001</v>
      </c>
      <c r="IZ33">
        <v>2.33521</v>
      </c>
      <c r="JA33">
        <v>1.5502899999999999</v>
      </c>
      <c r="JB33">
        <v>2.4597199999999999</v>
      </c>
      <c r="JC33">
        <v>40.835000000000001</v>
      </c>
      <c r="JD33">
        <v>24.096299999999999</v>
      </c>
      <c r="JE33">
        <v>18</v>
      </c>
      <c r="JF33">
        <v>613.01400000000001</v>
      </c>
      <c r="JG33">
        <v>408.01600000000002</v>
      </c>
      <c r="JH33">
        <v>26.529900000000001</v>
      </c>
      <c r="JI33">
        <v>34.622100000000003</v>
      </c>
      <c r="JJ33">
        <v>30.001000000000001</v>
      </c>
      <c r="JK33">
        <v>34.566699999999997</v>
      </c>
      <c r="JL33">
        <v>34.5505</v>
      </c>
      <c r="JM33">
        <v>51.1511</v>
      </c>
      <c r="JN33">
        <v>28.926100000000002</v>
      </c>
      <c r="JO33">
        <v>73.508399999999995</v>
      </c>
      <c r="JP33">
        <v>26.511399999999998</v>
      </c>
      <c r="JQ33">
        <v>1250</v>
      </c>
      <c r="JR33">
        <v>25.249199999999998</v>
      </c>
      <c r="JS33">
        <v>98.463899999999995</v>
      </c>
      <c r="JT33">
        <v>98.937899999999999</v>
      </c>
    </row>
    <row r="34" spans="1:280" x14ac:dyDescent="0.25">
      <c r="A34">
        <v>18</v>
      </c>
      <c r="B34">
        <v>1700238539.0999999</v>
      </c>
      <c r="C34">
        <v>3301.599999904633</v>
      </c>
      <c r="D34" t="s">
        <v>496</v>
      </c>
      <c r="E34" t="s">
        <v>497</v>
      </c>
      <c r="F34" t="s">
        <v>412</v>
      </c>
      <c r="G34" t="s">
        <v>483</v>
      </c>
      <c r="H34" t="s">
        <v>484</v>
      </c>
      <c r="I34">
        <v>1700238539.0999999</v>
      </c>
      <c r="J34">
        <f t="shared" si="0"/>
        <v>2.7444823820209257E-3</v>
      </c>
      <c r="K34">
        <f t="shared" si="1"/>
        <v>2.7444823820209256</v>
      </c>
      <c r="L34">
        <f t="shared" si="2"/>
        <v>53.664016210791125</v>
      </c>
      <c r="M34">
        <f t="shared" si="3"/>
        <v>939.71</v>
      </c>
      <c r="N34">
        <f t="shared" si="4"/>
        <v>429.72030640107573</v>
      </c>
      <c r="O34">
        <f t="shared" si="5"/>
        <v>42.435446542526002</v>
      </c>
      <c r="P34">
        <f t="shared" si="6"/>
        <v>92.797600849837991</v>
      </c>
      <c r="Q34">
        <f t="shared" si="7"/>
        <v>0.17913460808806275</v>
      </c>
      <c r="R34">
        <f t="shared" si="8"/>
        <v>3.037458213367791</v>
      </c>
      <c r="S34">
        <f t="shared" si="9"/>
        <v>0.17346569751227225</v>
      </c>
      <c r="T34">
        <f t="shared" si="10"/>
        <v>0.10891044580429129</v>
      </c>
      <c r="U34">
        <f t="shared" si="11"/>
        <v>344.39029930238615</v>
      </c>
      <c r="V34">
        <f t="shared" si="12"/>
        <v>31.06741490728502</v>
      </c>
      <c r="W34">
        <f t="shared" si="13"/>
        <v>29.976900000000001</v>
      </c>
      <c r="X34">
        <f t="shared" si="14"/>
        <v>4.2548000829832118</v>
      </c>
      <c r="Y34">
        <f t="shared" si="15"/>
        <v>65.255279200264454</v>
      </c>
      <c r="Z34">
        <f t="shared" si="16"/>
        <v>2.7478047934439003</v>
      </c>
      <c r="AA34">
        <f t="shared" si="17"/>
        <v>4.2108543969462691</v>
      </c>
      <c r="AB34">
        <f t="shared" si="18"/>
        <v>1.5069952895393115</v>
      </c>
      <c r="AC34">
        <f t="shared" si="19"/>
        <v>-121.03167304712282</v>
      </c>
      <c r="AD34">
        <f t="shared" si="20"/>
        <v>-29.57423376415494</v>
      </c>
      <c r="AE34">
        <f t="shared" si="21"/>
        <v>-2.1624925312446992</v>
      </c>
      <c r="AF34">
        <f t="shared" si="22"/>
        <v>191.6218999598637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51806.270957841087</v>
      </c>
      <c r="AL34" t="s">
        <v>427</v>
      </c>
      <c r="AM34" t="s">
        <v>427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427</v>
      </c>
      <c r="AS34" t="s">
        <v>427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1513.2770996511931</v>
      </c>
      <c r="AY34">
        <f t="shared" si="29"/>
        <v>53.664016210791125</v>
      </c>
      <c r="AZ34" t="e">
        <f t="shared" si="30"/>
        <v>#DIV/0!</v>
      </c>
      <c r="BA34">
        <f t="shared" si="31"/>
        <v>3.5462121394132351E-2</v>
      </c>
      <c r="BB34" t="e">
        <f t="shared" si="32"/>
        <v>#DIV/0!</v>
      </c>
      <c r="BC34" t="e">
        <f t="shared" si="33"/>
        <v>#DIV/0!</v>
      </c>
      <c r="BD34" t="s">
        <v>427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BN34">
        <v>11382</v>
      </c>
      <c r="BO34">
        <v>290.00000000000011</v>
      </c>
      <c r="BP34">
        <v>878.23</v>
      </c>
      <c r="BQ34">
        <v>295</v>
      </c>
      <c r="BR34">
        <v>7110.08</v>
      </c>
      <c r="BS34">
        <v>882.81</v>
      </c>
      <c r="BT34">
        <v>-4.58</v>
      </c>
      <c r="BU34">
        <v>300.00000000000011</v>
      </c>
      <c r="BV34">
        <v>38.299999999999997</v>
      </c>
      <c r="BW34">
        <v>994.17991838703688</v>
      </c>
      <c r="BX34">
        <v>2.4994210319400958</v>
      </c>
      <c r="BY34">
        <v>-79.182089215780096</v>
      </c>
      <c r="BZ34">
        <v>1.489655419267842</v>
      </c>
      <c r="CA34">
        <v>0.99018719729455629</v>
      </c>
      <c r="CB34">
        <v>-7.0105303670745366E-3</v>
      </c>
      <c r="CC34">
        <v>289.99999999999989</v>
      </c>
      <c r="CD34">
        <v>890.53</v>
      </c>
      <c r="CE34">
        <v>765</v>
      </c>
      <c r="CF34">
        <v>7103.06</v>
      </c>
      <c r="CG34">
        <v>882.7</v>
      </c>
      <c r="CH34">
        <v>7.83</v>
      </c>
      <c r="CV34">
        <f t="shared" si="42"/>
        <v>1800.11</v>
      </c>
      <c r="CW34">
        <f t="shared" si="43"/>
        <v>1513.2770996511931</v>
      </c>
      <c r="CX34">
        <f t="shared" si="44"/>
        <v>0.84065812625405845</v>
      </c>
      <c r="CY34">
        <f t="shared" si="45"/>
        <v>0.19131625250811682</v>
      </c>
      <c r="CZ34">
        <v>5.36</v>
      </c>
      <c r="DA34">
        <v>0.5</v>
      </c>
      <c r="DB34" t="s">
        <v>418</v>
      </c>
      <c r="DC34">
        <v>2</v>
      </c>
      <c r="DD34">
        <v>1700238539.0999999</v>
      </c>
      <c r="DE34">
        <v>939.71</v>
      </c>
      <c r="DF34">
        <v>1000</v>
      </c>
      <c r="DG34">
        <v>27.825500000000002</v>
      </c>
      <c r="DH34">
        <v>24.965399999999999</v>
      </c>
      <c r="DI34">
        <v>940.245</v>
      </c>
      <c r="DJ34">
        <v>27.818100000000001</v>
      </c>
      <c r="DK34">
        <v>500.02100000000002</v>
      </c>
      <c r="DL34">
        <v>98.651499999999999</v>
      </c>
      <c r="DM34">
        <v>9.9817799999999998E-2</v>
      </c>
      <c r="DN34">
        <v>29.796299999999999</v>
      </c>
      <c r="DO34">
        <v>29.976900000000001</v>
      </c>
      <c r="DP34">
        <v>999.9</v>
      </c>
      <c r="DQ34">
        <v>0</v>
      </c>
      <c r="DR34">
        <v>0</v>
      </c>
      <c r="DS34">
        <v>10025</v>
      </c>
      <c r="DT34">
        <v>0</v>
      </c>
      <c r="DU34">
        <v>290.43299999999999</v>
      </c>
      <c r="DV34">
        <v>-60.293799999999997</v>
      </c>
      <c r="DW34">
        <v>966.60699999999997</v>
      </c>
      <c r="DX34">
        <v>1025.6099999999999</v>
      </c>
      <c r="DY34">
        <v>2.8601000000000001</v>
      </c>
      <c r="DZ34">
        <v>1000</v>
      </c>
      <c r="EA34">
        <v>24.965399999999999</v>
      </c>
      <c r="EB34">
        <v>2.7450299999999999</v>
      </c>
      <c r="EC34">
        <v>2.4628700000000001</v>
      </c>
      <c r="ED34">
        <v>22.557200000000002</v>
      </c>
      <c r="EE34">
        <v>20.783200000000001</v>
      </c>
      <c r="EF34">
        <v>1800.11</v>
      </c>
      <c r="EG34">
        <v>0.97799899999999995</v>
      </c>
      <c r="EH34">
        <v>2.2001E-2</v>
      </c>
      <c r="EI34">
        <v>0</v>
      </c>
      <c r="EJ34">
        <v>600.21699999999998</v>
      </c>
      <c r="EK34">
        <v>5.0005300000000004</v>
      </c>
      <c r="EL34">
        <v>13569.4</v>
      </c>
      <c r="EM34">
        <v>16036.2</v>
      </c>
      <c r="EN34">
        <v>48.625</v>
      </c>
      <c r="EO34">
        <v>49.811999999999998</v>
      </c>
      <c r="EP34">
        <v>49.25</v>
      </c>
      <c r="EQ34">
        <v>49.311999999999998</v>
      </c>
      <c r="ER34">
        <v>49.75</v>
      </c>
      <c r="ES34">
        <v>1755.62</v>
      </c>
      <c r="ET34">
        <v>39.49</v>
      </c>
      <c r="EU34">
        <v>0</v>
      </c>
      <c r="EV34">
        <v>120</v>
      </c>
      <c r="EW34">
        <v>0</v>
      </c>
      <c r="EX34">
        <v>600.00353846153848</v>
      </c>
      <c r="EY34">
        <v>-3.9931622889176323E-2</v>
      </c>
      <c r="EZ34">
        <v>-78.167522138029241</v>
      </c>
      <c r="FA34">
        <v>13584.85384615385</v>
      </c>
      <c r="FB34">
        <v>15</v>
      </c>
      <c r="FC34">
        <v>1700238496.5</v>
      </c>
      <c r="FD34" t="s">
        <v>498</v>
      </c>
      <c r="FE34">
        <v>1700238496.5</v>
      </c>
      <c r="FF34">
        <v>1700238489</v>
      </c>
      <c r="FG34">
        <v>21</v>
      </c>
      <c r="FH34">
        <v>-0.21299999999999999</v>
      </c>
      <c r="FI34">
        <v>-1E-3</v>
      </c>
      <c r="FJ34">
        <v>-0.56299999999999994</v>
      </c>
      <c r="FK34">
        <v>7.0000000000000001E-3</v>
      </c>
      <c r="FL34">
        <v>1000</v>
      </c>
      <c r="FM34">
        <v>25</v>
      </c>
      <c r="FN34">
        <v>7.0000000000000007E-2</v>
      </c>
      <c r="FO34">
        <v>0.02</v>
      </c>
      <c r="FP34">
        <v>53.629778782323832</v>
      </c>
      <c r="FQ34">
        <v>-0.248716839000862</v>
      </c>
      <c r="FR34">
        <v>0.10064780250583109</v>
      </c>
      <c r="FS34">
        <v>1</v>
      </c>
      <c r="FT34">
        <v>0.18452502281301719</v>
      </c>
      <c r="FU34">
        <v>-1.7892859400649681E-2</v>
      </c>
      <c r="FV34">
        <v>2.7382292486986138E-3</v>
      </c>
      <c r="FW34">
        <v>1</v>
      </c>
      <c r="FX34">
        <v>2</v>
      </c>
      <c r="FY34">
        <v>2</v>
      </c>
      <c r="FZ34" t="s">
        <v>420</v>
      </c>
      <c r="GA34">
        <v>3.1238899999999998</v>
      </c>
      <c r="GB34">
        <v>2.7669199999999998</v>
      </c>
      <c r="GC34">
        <v>0.16079099999999999</v>
      </c>
      <c r="GD34">
        <v>0.167189</v>
      </c>
      <c r="GE34">
        <v>0.118154</v>
      </c>
      <c r="GF34">
        <v>0.10974399999999999</v>
      </c>
      <c r="GG34">
        <v>19976.900000000001</v>
      </c>
      <c r="GH34">
        <v>20643.8</v>
      </c>
      <c r="GI34">
        <v>23674.400000000001</v>
      </c>
      <c r="GJ34">
        <v>25112.799999999999</v>
      </c>
      <c r="GK34">
        <v>30067.599999999999</v>
      </c>
      <c r="GL34">
        <v>31339.7</v>
      </c>
      <c r="GM34">
        <v>37739.199999999997</v>
      </c>
      <c r="GN34">
        <v>39082.9</v>
      </c>
      <c r="GO34">
        <v>2.1456200000000001</v>
      </c>
      <c r="GP34">
        <v>1.7794000000000001</v>
      </c>
      <c r="GQ34">
        <v>-1.7367299999999999E-2</v>
      </c>
      <c r="GR34">
        <v>0</v>
      </c>
      <c r="GS34">
        <v>30.259499999999999</v>
      </c>
      <c r="GT34">
        <v>999.9</v>
      </c>
      <c r="GU34">
        <v>53.6</v>
      </c>
      <c r="GV34">
        <v>35.700000000000003</v>
      </c>
      <c r="GW34">
        <v>31.8992</v>
      </c>
      <c r="GX34">
        <v>60.320999999999998</v>
      </c>
      <c r="GY34">
        <v>26.826899999999998</v>
      </c>
      <c r="GZ34">
        <v>1</v>
      </c>
      <c r="HA34">
        <v>0.629525</v>
      </c>
      <c r="HB34">
        <v>3.2122999999999999</v>
      </c>
      <c r="HC34">
        <v>20.292000000000002</v>
      </c>
      <c r="HD34">
        <v>5.2509800000000002</v>
      </c>
      <c r="HE34">
        <v>12.0099</v>
      </c>
      <c r="HF34">
        <v>4.9787999999999997</v>
      </c>
      <c r="HG34">
        <v>3.2930000000000001</v>
      </c>
      <c r="HH34">
        <v>9999</v>
      </c>
      <c r="HI34">
        <v>9999</v>
      </c>
      <c r="HJ34">
        <v>9999</v>
      </c>
      <c r="HK34">
        <v>999.9</v>
      </c>
      <c r="HL34">
        <v>1.87608</v>
      </c>
      <c r="HM34">
        <v>1.8769400000000001</v>
      </c>
      <c r="HN34">
        <v>1.88324</v>
      </c>
      <c r="HO34">
        <v>1.88632</v>
      </c>
      <c r="HP34">
        <v>1.87714</v>
      </c>
      <c r="HQ34">
        <v>1.8836999999999999</v>
      </c>
      <c r="HR34">
        <v>1.88263</v>
      </c>
      <c r="HS34">
        <v>1.8859999999999999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424</v>
      </c>
      <c r="IB34" t="s">
        <v>424</v>
      </c>
      <c r="IC34" t="s">
        <v>423</v>
      </c>
      <c r="ID34">
        <v>0</v>
      </c>
      <c r="IE34">
        <v>100</v>
      </c>
      <c r="IF34">
        <v>100</v>
      </c>
      <c r="IG34">
        <v>-0.53500000000000003</v>
      </c>
      <c r="IH34">
        <v>7.4000000000000003E-3</v>
      </c>
      <c r="II34">
        <v>-0.35855631706223839</v>
      </c>
      <c r="IJ34">
        <v>4.4610147972834149E-5</v>
      </c>
      <c r="IK34">
        <v>-2.082673137682459E-7</v>
      </c>
      <c r="IL34">
        <v>-4.0725795306076518E-11</v>
      </c>
      <c r="IM34">
        <v>7.3750000000032401E-3</v>
      </c>
      <c r="IN34">
        <v>0</v>
      </c>
      <c r="IO34">
        <v>0</v>
      </c>
      <c r="IP34">
        <v>0</v>
      </c>
      <c r="IQ34">
        <v>3</v>
      </c>
      <c r="IR34">
        <v>2179</v>
      </c>
      <c r="IS34">
        <v>0</v>
      </c>
      <c r="IT34">
        <v>22</v>
      </c>
      <c r="IU34">
        <v>0.7</v>
      </c>
      <c r="IV34">
        <v>0.8</v>
      </c>
      <c r="IW34">
        <v>2.1301299999999999</v>
      </c>
      <c r="IX34">
        <v>2.64771</v>
      </c>
      <c r="IY34">
        <v>1.6015600000000001</v>
      </c>
      <c r="IZ34">
        <v>2.33765</v>
      </c>
      <c r="JA34">
        <v>1.5502899999999999</v>
      </c>
      <c r="JB34">
        <v>2.2912599999999999</v>
      </c>
      <c r="JC34">
        <v>40.963799999999999</v>
      </c>
      <c r="JD34">
        <v>24.078700000000001</v>
      </c>
      <c r="JE34">
        <v>18</v>
      </c>
      <c r="JF34">
        <v>613.24400000000003</v>
      </c>
      <c r="JG34">
        <v>405.44499999999999</v>
      </c>
      <c r="JH34">
        <v>26.361999999999998</v>
      </c>
      <c r="JI34">
        <v>34.774700000000003</v>
      </c>
      <c r="JJ34">
        <v>30.001200000000001</v>
      </c>
      <c r="JK34">
        <v>34.686999999999998</v>
      </c>
      <c r="JL34">
        <v>34.668900000000001</v>
      </c>
      <c r="JM34">
        <v>42.628799999999998</v>
      </c>
      <c r="JN34">
        <v>30.501300000000001</v>
      </c>
      <c r="JO34">
        <v>72.444299999999998</v>
      </c>
      <c r="JP34">
        <v>26.369599999999998</v>
      </c>
      <c r="JQ34">
        <v>1000</v>
      </c>
      <c r="JR34">
        <v>24.880400000000002</v>
      </c>
      <c r="JS34">
        <v>98.432100000000005</v>
      </c>
      <c r="JT34">
        <v>98.904700000000005</v>
      </c>
    </row>
    <row r="35" spans="1:280" x14ac:dyDescent="0.25">
      <c r="A35">
        <v>19</v>
      </c>
      <c r="B35">
        <v>1700238656.5999999</v>
      </c>
      <c r="C35">
        <v>3419.099999904633</v>
      </c>
      <c r="D35" t="s">
        <v>499</v>
      </c>
      <c r="E35" t="s">
        <v>500</v>
      </c>
      <c r="F35" t="s">
        <v>412</v>
      </c>
      <c r="G35" t="s">
        <v>483</v>
      </c>
      <c r="H35" t="s">
        <v>484</v>
      </c>
      <c r="I35">
        <v>1700238656.5999999</v>
      </c>
      <c r="J35">
        <f t="shared" si="0"/>
        <v>2.916646543353016E-3</v>
      </c>
      <c r="K35">
        <f t="shared" si="1"/>
        <v>2.916646543353016</v>
      </c>
      <c r="L35">
        <f t="shared" si="2"/>
        <v>52.178878319668016</v>
      </c>
      <c r="M35">
        <f t="shared" si="3"/>
        <v>691.94100000000003</v>
      </c>
      <c r="N35">
        <f t="shared" si="4"/>
        <v>231.41692243246092</v>
      </c>
      <c r="O35">
        <f t="shared" si="5"/>
        <v>22.85423285329124</v>
      </c>
      <c r="P35">
        <f t="shared" si="6"/>
        <v>68.334590956089002</v>
      </c>
      <c r="Q35">
        <f t="shared" si="7"/>
        <v>0.19155241746220986</v>
      </c>
      <c r="R35">
        <f t="shared" si="8"/>
        <v>3.0247989846507539</v>
      </c>
      <c r="S35">
        <f t="shared" si="9"/>
        <v>0.18505950570858487</v>
      </c>
      <c r="T35">
        <f t="shared" si="10"/>
        <v>0.11622721866955646</v>
      </c>
      <c r="U35">
        <f t="shared" si="11"/>
        <v>344.3655993023358</v>
      </c>
      <c r="V35">
        <f t="shared" si="12"/>
        <v>31.046638747387647</v>
      </c>
      <c r="W35">
        <f t="shared" si="13"/>
        <v>29.965599999999998</v>
      </c>
      <c r="X35">
        <f t="shared" si="14"/>
        <v>4.2520387610966566</v>
      </c>
      <c r="Y35">
        <f t="shared" si="15"/>
        <v>65.258164798701557</v>
      </c>
      <c r="Z35">
        <f t="shared" si="16"/>
        <v>2.7507413142686001</v>
      </c>
      <c r="AA35">
        <f t="shared" si="17"/>
        <v>4.2151680525397364</v>
      </c>
      <c r="AB35">
        <f t="shared" si="18"/>
        <v>1.5012974468280564</v>
      </c>
      <c r="AC35">
        <f t="shared" si="19"/>
        <v>-128.624112561868</v>
      </c>
      <c r="AD35">
        <f t="shared" si="20"/>
        <v>-24.705553873364234</v>
      </c>
      <c r="AE35">
        <f t="shared" si="21"/>
        <v>-1.8141093912847814</v>
      </c>
      <c r="AF35">
        <f t="shared" si="22"/>
        <v>189.22182347581878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51468.51115313037</v>
      </c>
      <c r="AL35" t="s">
        <v>415</v>
      </c>
      <c r="AM35">
        <v>6977.87</v>
      </c>
      <c r="AN35">
        <v>273.15280000000001</v>
      </c>
      <c r="AO35">
        <v>850.46774885301022</v>
      </c>
      <c r="AP35">
        <f t="shared" si="26"/>
        <v>0.67882050745793765</v>
      </c>
      <c r="AQ35">
        <v>-1.0323826813720729</v>
      </c>
      <c r="AR35" t="s">
        <v>501</v>
      </c>
      <c r="AS35">
        <v>7108.36</v>
      </c>
      <c r="AT35">
        <v>599.99669230769234</v>
      </c>
      <c r="AU35">
        <v>971.16301658285556</v>
      </c>
      <c r="AV35">
        <f t="shared" si="27"/>
        <v>0.38218745765376549</v>
      </c>
      <c r="AW35">
        <v>0.5</v>
      </c>
      <c r="AX35">
        <f t="shared" si="28"/>
        <v>1513.167899651168</v>
      </c>
      <c r="AY35">
        <f t="shared" si="29"/>
        <v>52.178878319668016</v>
      </c>
      <c r="AZ35">
        <f t="shared" si="30"/>
        <v>289.15689628548404</v>
      </c>
      <c r="BA35">
        <f t="shared" si="31"/>
        <v>3.5165470410327186E-2</v>
      </c>
      <c r="BB35">
        <f t="shared" si="32"/>
        <v>-0.12427910213727555</v>
      </c>
      <c r="BC35">
        <f t="shared" si="33"/>
        <v>284.50924216279685</v>
      </c>
      <c r="BD35" t="s">
        <v>502</v>
      </c>
      <c r="BE35">
        <v>449.68</v>
      </c>
      <c r="BF35">
        <f t="shared" si="34"/>
        <v>449.68</v>
      </c>
      <c r="BG35">
        <f t="shared" si="35"/>
        <v>0.53696754064806873</v>
      </c>
      <c r="BH35">
        <f t="shared" si="36"/>
        <v>0.71175150958380384</v>
      </c>
      <c r="BI35">
        <f t="shared" si="37"/>
        <v>-0.30114510255180127</v>
      </c>
      <c r="BJ35">
        <f t="shared" si="38"/>
        <v>0.53174912838987776</v>
      </c>
      <c r="BK35">
        <f t="shared" si="39"/>
        <v>-0.20906312571610799</v>
      </c>
      <c r="BL35">
        <f t="shared" si="40"/>
        <v>0.53343697212502372</v>
      </c>
      <c r="BM35">
        <f t="shared" si="41"/>
        <v>0.46656302787497628</v>
      </c>
      <c r="BN35">
        <v>11384</v>
      </c>
      <c r="BO35">
        <v>290.00000000000011</v>
      </c>
      <c r="BP35">
        <v>864.58</v>
      </c>
      <c r="BQ35">
        <v>295</v>
      </c>
      <c r="BR35">
        <v>7108.36</v>
      </c>
      <c r="BS35">
        <v>868.92</v>
      </c>
      <c r="BT35">
        <v>-4.34</v>
      </c>
      <c r="BU35">
        <v>300.00000000000011</v>
      </c>
      <c r="BV35">
        <v>38.299999999999997</v>
      </c>
      <c r="BW35">
        <v>971.16301658285556</v>
      </c>
      <c r="BX35">
        <v>1.7572825591898851</v>
      </c>
      <c r="BY35">
        <v>-72.678807026059957</v>
      </c>
      <c r="BZ35">
        <v>1.047075164699647</v>
      </c>
      <c r="CA35">
        <v>0.99422194708646427</v>
      </c>
      <c r="CB35">
        <v>-7.0090169076752048E-3</v>
      </c>
      <c r="CC35">
        <v>289.99999999999989</v>
      </c>
      <c r="CD35">
        <v>878.54</v>
      </c>
      <c r="CE35">
        <v>835</v>
      </c>
      <c r="CF35">
        <v>7099.79</v>
      </c>
      <c r="CG35">
        <v>868.8</v>
      </c>
      <c r="CH35">
        <v>9.74</v>
      </c>
      <c r="CV35">
        <f t="shared" si="42"/>
        <v>1799.98</v>
      </c>
      <c r="CW35">
        <f t="shared" si="43"/>
        <v>1513.167899651168</v>
      </c>
      <c r="CX35">
        <f t="shared" si="44"/>
        <v>0.84065817378591312</v>
      </c>
      <c r="CY35">
        <f t="shared" si="45"/>
        <v>0.19131634757182625</v>
      </c>
      <c r="CZ35">
        <v>5.36</v>
      </c>
      <c r="DA35">
        <v>0.5</v>
      </c>
      <c r="DB35" t="s">
        <v>418</v>
      </c>
      <c r="DC35">
        <v>2</v>
      </c>
      <c r="DD35">
        <v>1700238656.5999999</v>
      </c>
      <c r="DE35">
        <v>691.94100000000003</v>
      </c>
      <c r="DF35">
        <v>750.02</v>
      </c>
      <c r="DG35">
        <v>27.853400000000001</v>
      </c>
      <c r="DH35">
        <v>24.814900000000002</v>
      </c>
      <c r="DI35">
        <v>692.59400000000005</v>
      </c>
      <c r="DJ35">
        <v>27.849900000000002</v>
      </c>
      <c r="DK35">
        <v>500.17399999999998</v>
      </c>
      <c r="DL35">
        <v>98.657300000000006</v>
      </c>
      <c r="DM35">
        <v>0.10052899999999999</v>
      </c>
      <c r="DN35">
        <v>29.8141</v>
      </c>
      <c r="DO35">
        <v>29.965599999999998</v>
      </c>
      <c r="DP35">
        <v>999.9</v>
      </c>
      <c r="DQ35">
        <v>0</v>
      </c>
      <c r="DR35">
        <v>0</v>
      </c>
      <c r="DS35">
        <v>9956.8799999999992</v>
      </c>
      <c r="DT35">
        <v>0</v>
      </c>
      <c r="DU35">
        <v>295.56200000000001</v>
      </c>
      <c r="DV35">
        <v>-58.079000000000001</v>
      </c>
      <c r="DW35">
        <v>711.76599999999996</v>
      </c>
      <c r="DX35">
        <v>769.10599999999999</v>
      </c>
      <c r="DY35">
        <v>3.0385200000000001</v>
      </c>
      <c r="DZ35">
        <v>750.02</v>
      </c>
      <c r="EA35">
        <v>24.814900000000002</v>
      </c>
      <c r="EB35">
        <v>2.7479399999999998</v>
      </c>
      <c r="EC35">
        <v>2.4481700000000002</v>
      </c>
      <c r="ED35">
        <v>22.5746</v>
      </c>
      <c r="EE35">
        <v>20.686</v>
      </c>
      <c r="EF35">
        <v>1799.98</v>
      </c>
      <c r="EG35">
        <v>0.97799899999999995</v>
      </c>
      <c r="EH35">
        <v>2.2001E-2</v>
      </c>
      <c r="EI35">
        <v>0</v>
      </c>
      <c r="EJ35">
        <v>600.37900000000002</v>
      </c>
      <c r="EK35">
        <v>5.0005300000000004</v>
      </c>
      <c r="EL35">
        <v>13598.6</v>
      </c>
      <c r="EM35">
        <v>16035.1</v>
      </c>
      <c r="EN35">
        <v>48.811999999999998</v>
      </c>
      <c r="EO35">
        <v>50.061999999999998</v>
      </c>
      <c r="EP35">
        <v>49.436999999999998</v>
      </c>
      <c r="EQ35">
        <v>49.561999999999998</v>
      </c>
      <c r="ER35">
        <v>49.936999999999998</v>
      </c>
      <c r="ES35">
        <v>1755.49</v>
      </c>
      <c r="ET35">
        <v>39.49</v>
      </c>
      <c r="EU35">
        <v>0</v>
      </c>
      <c r="EV35">
        <v>237.5999999046326</v>
      </c>
      <c r="EW35">
        <v>0</v>
      </c>
      <c r="EX35">
        <v>599.99669230769234</v>
      </c>
      <c r="EY35">
        <v>1.2694700903759539</v>
      </c>
      <c r="EZ35">
        <v>-54.413674679750152</v>
      </c>
      <c r="FA35">
        <v>13619.26923076923</v>
      </c>
      <c r="FB35">
        <v>15</v>
      </c>
      <c r="FC35">
        <v>1700238608.5999999</v>
      </c>
      <c r="FD35" t="s">
        <v>503</v>
      </c>
      <c r="FE35">
        <v>1700238608.5999999</v>
      </c>
      <c r="FF35">
        <v>1700238597.5999999</v>
      </c>
      <c r="FG35">
        <v>22</v>
      </c>
      <c r="FH35">
        <v>-0.21099999999999999</v>
      </c>
      <c r="FI35">
        <v>-4.0000000000000001E-3</v>
      </c>
      <c r="FJ35">
        <v>-0.67100000000000004</v>
      </c>
      <c r="FK35">
        <v>4.0000000000000001E-3</v>
      </c>
      <c r="FL35">
        <v>750</v>
      </c>
      <c r="FM35">
        <v>25</v>
      </c>
      <c r="FN35">
        <v>0.05</v>
      </c>
      <c r="FO35">
        <v>0.02</v>
      </c>
      <c r="FP35">
        <v>51.999442085685381</v>
      </c>
      <c r="FQ35">
        <v>0.67294652639857688</v>
      </c>
      <c r="FR35">
        <v>8.8872990702108801E-2</v>
      </c>
      <c r="FS35">
        <v>1</v>
      </c>
      <c r="FT35">
        <v>0.18872850764905</v>
      </c>
      <c r="FU35">
        <v>3.0042469282025318E-2</v>
      </c>
      <c r="FV35">
        <v>2.26126620413133E-3</v>
      </c>
      <c r="FW35">
        <v>1</v>
      </c>
      <c r="FX35">
        <v>2</v>
      </c>
      <c r="FY35">
        <v>2</v>
      </c>
      <c r="FZ35" t="s">
        <v>420</v>
      </c>
      <c r="GA35">
        <v>3.12479</v>
      </c>
      <c r="GB35">
        <v>2.7670300000000001</v>
      </c>
      <c r="GC35">
        <v>0.13123399999999999</v>
      </c>
      <c r="GD35">
        <v>0.138484</v>
      </c>
      <c r="GE35">
        <v>0.118211</v>
      </c>
      <c r="GF35">
        <v>0.109246</v>
      </c>
      <c r="GG35">
        <v>20671.599999999999</v>
      </c>
      <c r="GH35">
        <v>21346</v>
      </c>
      <c r="GI35">
        <v>23663.5</v>
      </c>
      <c r="GJ35">
        <v>25100.9</v>
      </c>
      <c r="GK35">
        <v>30051.9</v>
      </c>
      <c r="GL35">
        <v>31342.6</v>
      </c>
      <c r="GM35">
        <v>37722.1</v>
      </c>
      <c r="GN35">
        <v>39064.800000000003</v>
      </c>
      <c r="GO35">
        <v>2.1442199999999998</v>
      </c>
      <c r="GP35">
        <v>1.7737799999999999</v>
      </c>
      <c r="GQ35">
        <v>-2.0924999999999999E-2</v>
      </c>
      <c r="GR35">
        <v>0</v>
      </c>
      <c r="GS35">
        <v>30.306000000000001</v>
      </c>
      <c r="GT35">
        <v>999.9</v>
      </c>
      <c r="GU35">
        <v>53.2</v>
      </c>
      <c r="GV35">
        <v>35.799999999999997</v>
      </c>
      <c r="GW35">
        <v>31.833300000000001</v>
      </c>
      <c r="GX35">
        <v>60.801000000000002</v>
      </c>
      <c r="GY35">
        <v>26.165900000000001</v>
      </c>
      <c r="GZ35">
        <v>1</v>
      </c>
      <c r="HA35">
        <v>0.64875499999999997</v>
      </c>
      <c r="HB35">
        <v>3.38036</v>
      </c>
      <c r="HC35">
        <v>20.2882</v>
      </c>
      <c r="HD35">
        <v>5.2512800000000004</v>
      </c>
      <c r="HE35">
        <v>12.0099</v>
      </c>
      <c r="HF35">
        <v>4.9790000000000001</v>
      </c>
      <c r="HG35">
        <v>3.2930000000000001</v>
      </c>
      <c r="HH35">
        <v>9999</v>
      </c>
      <c r="HI35">
        <v>9999</v>
      </c>
      <c r="HJ35">
        <v>9999</v>
      </c>
      <c r="HK35">
        <v>999.9</v>
      </c>
      <c r="HL35">
        <v>1.87608</v>
      </c>
      <c r="HM35">
        <v>1.8769499999999999</v>
      </c>
      <c r="HN35">
        <v>1.88324</v>
      </c>
      <c r="HO35">
        <v>1.88629</v>
      </c>
      <c r="HP35">
        <v>1.87714</v>
      </c>
      <c r="HQ35">
        <v>1.8836999999999999</v>
      </c>
      <c r="HR35">
        <v>1.88263</v>
      </c>
      <c r="HS35">
        <v>1.8859999999999999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424</v>
      </c>
      <c r="IB35" t="s">
        <v>424</v>
      </c>
      <c r="IC35" t="s">
        <v>423</v>
      </c>
      <c r="ID35">
        <v>0</v>
      </c>
      <c r="IE35">
        <v>100</v>
      </c>
      <c r="IF35">
        <v>100</v>
      </c>
      <c r="IG35">
        <v>-0.65300000000000002</v>
      </c>
      <c r="IH35">
        <v>3.5000000000000001E-3</v>
      </c>
      <c r="II35">
        <v>-0.56998228802611117</v>
      </c>
      <c r="IJ35">
        <v>4.4610147972834149E-5</v>
      </c>
      <c r="IK35">
        <v>-2.082673137682459E-7</v>
      </c>
      <c r="IL35">
        <v>-4.0725795306076518E-11</v>
      </c>
      <c r="IM35">
        <v>3.5349999999994002E-3</v>
      </c>
      <c r="IN35">
        <v>0</v>
      </c>
      <c r="IO35">
        <v>0</v>
      </c>
      <c r="IP35">
        <v>0</v>
      </c>
      <c r="IQ35">
        <v>3</v>
      </c>
      <c r="IR35">
        <v>2179</v>
      </c>
      <c r="IS35">
        <v>0</v>
      </c>
      <c r="IT35">
        <v>22</v>
      </c>
      <c r="IU35">
        <v>0.8</v>
      </c>
      <c r="IV35">
        <v>1</v>
      </c>
      <c r="IW35">
        <v>1.6845699999999999</v>
      </c>
      <c r="IX35">
        <v>2.6464799999999999</v>
      </c>
      <c r="IY35">
        <v>1.6015600000000001</v>
      </c>
      <c r="IZ35">
        <v>2.33643</v>
      </c>
      <c r="JA35">
        <v>1.5502899999999999</v>
      </c>
      <c r="JB35">
        <v>2.4890099999999999</v>
      </c>
      <c r="JC35">
        <v>41.067</v>
      </c>
      <c r="JD35">
        <v>24.087499999999999</v>
      </c>
      <c r="JE35">
        <v>18</v>
      </c>
      <c r="JF35">
        <v>613.697</v>
      </c>
      <c r="JG35">
        <v>402.88499999999999</v>
      </c>
      <c r="JH35">
        <v>26.266300000000001</v>
      </c>
      <c r="JI35">
        <v>34.963099999999997</v>
      </c>
      <c r="JJ35">
        <v>30.000699999999998</v>
      </c>
      <c r="JK35">
        <v>34.848100000000002</v>
      </c>
      <c r="JL35">
        <v>34.829500000000003</v>
      </c>
      <c r="JM35">
        <v>33.715499999999999</v>
      </c>
      <c r="JN35">
        <v>30.5564</v>
      </c>
      <c r="JO35">
        <v>71.072199999999995</v>
      </c>
      <c r="JP35">
        <v>26.279900000000001</v>
      </c>
      <c r="JQ35">
        <v>750</v>
      </c>
      <c r="JR35">
        <v>24.806100000000001</v>
      </c>
      <c r="JS35">
        <v>98.387200000000007</v>
      </c>
      <c r="JT35">
        <v>98.858400000000003</v>
      </c>
    </row>
    <row r="36" spans="1:280" x14ac:dyDescent="0.25">
      <c r="A36">
        <v>20</v>
      </c>
      <c r="B36">
        <v>1700238820.5999999</v>
      </c>
      <c r="C36">
        <v>3583.099999904633</v>
      </c>
      <c r="D36" t="s">
        <v>504</v>
      </c>
      <c r="E36" t="s">
        <v>505</v>
      </c>
      <c r="F36" t="s">
        <v>412</v>
      </c>
      <c r="G36" t="s">
        <v>483</v>
      </c>
      <c r="H36" t="s">
        <v>484</v>
      </c>
      <c r="I36">
        <v>1700238820.5999999</v>
      </c>
      <c r="J36">
        <f t="shared" si="0"/>
        <v>3.6137715448189495E-3</v>
      </c>
      <c r="K36">
        <f t="shared" si="1"/>
        <v>3.6137715448189494</v>
      </c>
      <c r="L36">
        <f t="shared" si="2"/>
        <v>51.166027755863965</v>
      </c>
      <c r="M36">
        <f t="shared" si="3"/>
        <v>543.03899999999999</v>
      </c>
      <c r="N36">
        <f t="shared" si="4"/>
        <v>181.06685140254226</v>
      </c>
      <c r="O36">
        <f t="shared" si="5"/>
        <v>17.882327993110849</v>
      </c>
      <c r="P36">
        <f t="shared" si="6"/>
        <v>53.6310287379006</v>
      </c>
      <c r="Q36">
        <f t="shared" si="7"/>
        <v>0.24066122337030565</v>
      </c>
      <c r="R36">
        <f t="shared" si="8"/>
        <v>3.0389311437823583</v>
      </c>
      <c r="S36">
        <f t="shared" si="9"/>
        <v>0.23055234037425795</v>
      </c>
      <c r="T36">
        <f t="shared" si="10"/>
        <v>0.1449680714933608</v>
      </c>
      <c r="U36">
        <f t="shared" si="11"/>
        <v>344.37889930236292</v>
      </c>
      <c r="V36">
        <f t="shared" si="12"/>
        <v>30.96142944768307</v>
      </c>
      <c r="W36">
        <f t="shared" si="13"/>
        <v>29.972200000000001</v>
      </c>
      <c r="X36">
        <f t="shared" si="14"/>
        <v>4.2536513787986534</v>
      </c>
      <c r="Y36">
        <f t="shared" si="15"/>
        <v>65.135397538275441</v>
      </c>
      <c r="Z36">
        <f t="shared" si="16"/>
        <v>2.76060461162696</v>
      </c>
      <c r="AA36">
        <f t="shared" si="17"/>
        <v>4.2382555660380348</v>
      </c>
      <c r="AB36">
        <f t="shared" si="18"/>
        <v>1.4930467671716934</v>
      </c>
      <c r="AC36">
        <f t="shared" si="19"/>
        <v>-159.36732512651568</v>
      </c>
      <c r="AD36">
        <f t="shared" si="20"/>
        <v>-10.337979402469166</v>
      </c>
      <c r="AE36">
        <f t="shared" si="21"/>
        <v>-0.7559597520102701</v>
      </c>
      <c r="AF36">
        <f t="shared" si="22"/>
        <v>173.91763502136783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51826.183887361898</v>
      </c>
      <c r="AL36" t="s">
        <v>427</v>
      </c>
      <c r="AM36" t="s">
        <v>427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427</v>
      </c>
      <c r="AS36" t="s">
        <v>427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1513.2266996511812</v>
      </c>
      <c r="AY36">
        <f t="shared" si="29"/>
        <v>51.166027755863965</v>
      </c>
      <c r="AZ36" t="e">
        <f t="shared" si="30"/>
        <v>#DIV/0!</v>
      </c>
      <c r="BA36">
        <f t="shared" si="31"/>
        <v>3.3812533024733443E-2</v>
      </c>
      <c r="BB36" t="e">
        <f t="shared" si="32"/>
        <v>#DIV/0!</v>
      </c>
      <c r="BC36" t="e">
        <f t="shared" si="33"/>
        <v>#DIV/0!</v>
      </c>
      <c r="BD36" t="s">
        <v>427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BN36">
        <v>11384</v>
      </c>
      <c r="BO36">
        <v>290.00000000000011</v>
      </c>
      <c r="BP36">
        <v>864.58</v>
      </c>
      <c r="BQ36">
        <v>295</v>
      </c>
      <c r="BR36">
        <v>7108.36</v>
      </c>
      <c r="BS36">
        <v>868.92</v>
      </c>
      <c r="BT36">
        <v>-4.34</v>
      </c>
      <c r="BU36">
        <v>300.00000000000011</v>
      </c>
      <c r="BV36">
        <v>38.299999999999997</v>
      </c>
      <c r="BW36">
        <v>971.16301658285556</v>
      </c>
      <c r="BX36">
        <v>1.7572825591898851</v>
      </c>
      <c r="BY36">
        <v>-72.678807026059957</v>
      </c>
      <c r="BZ36">
        <v>1.047075164699647</v>
      </c>
      <c r="CA36">
        <v>0.99422194708646427</v>
      </c>
      <c r="CB36">
        <v>-7.0090169076752048E-3</v>
      </c>
      <c r="CC36">
        <v>289.99999999999989</v>
      </c>
      <c r="CD36">
        <v>878.54</v>
      </c>
      <c r="CE36">
        <v>835</v>
      </c>
      <c r="CF36">
        <v>7099.79</v>
      </c>
      <c r="CG36">
        <v>868.8</v>
      </c>
      <c r="CH36">
        <v>9.74</v>
      </c>
      <c r="CV36">
        <f t="shared" si="42"/>
        <v>1800.05</v>
      </c>
      <c r="CW36">
        <f t="shared" si="43"/>
        <v>1513.2266996511812</v>
      </c>
      <c r="CX36">
        <f t="shared" si="44"/>
        <v>0.84065814819098428</v>
      </c>
      <c r="CY36">
        <f t="shared" si="45"/>
        <v>0.19131629638196879</v>
      </c>
      <c r="CZ36">
        <v>5.36</v>
      </c>
      <c r="DA36">
        <v>0.5</v>
      </c>
      <c r="DB36" t="s">
        <v>418</v>
      </c>
      <c r="DC36">
        <v>2</v>
      </c>
      <c r="DD36">
        <v>1700238820.5999999</v>
      </c>
      <c r="DE36">
        <v>543.03899999999999</v>
      </c>
      <c r="DF36">
        <v>599.98699999999997</v>
      </c>
      <c r="DG36">
        <v>27.952400000000001</v>
      </c>
      <c r="DH36">
        <v>24.187100000000001</v>
      </c>
      <c r="DI36">
        <v>543.49099999999999</v>
      </c>
      <c r="DJ36">
        <v>27.9482</v>
      </c>
      <c r="DK36">
        <v>500.05</v>
      </c>
      <c r="DL36">
        <v>98.661100000000005</v>
      </c>
      <c r="DM36">
        <v>9.9815399999999999E-2</v>
      </c>
      <c r="DN36">
        <v>29.909099999999999</v>
      </c>
      <c r="DO36">
        <v>29.972200000000001</v>
      </c>
      <c r="DP36">
        <v>999.9</v>
      </c>
      <c r="DQ36">
        <v>0</v>
      </c>
      <c r="DR36">
        <v>0</v>
      </c>
      <c r="DS36">
        <v>10031.9</v>
      </c>
      <c r="DT36">
        <v>0</v>
      </c>
      <c r="DU36">
        <v>294.63499999999999</v>
      </c>
      <c r="DV36">
        <v>-56.947800000000001</v>
      </c>
      <c r="DW36">
        <v>558.65499999999997</v>
      </c>
      <c r="DX36">
        <v>614.85900000000004</v>
      </c>
      <c r="DY36">
        <v>3.7653400000000001</v>
      </c>
      <c r="DZ36">
        <v>599.98699999999997</v>
      </c>
      <c r="EA36">
        <v>24.187100000000001</v>
      </c>
      <c r="EB36">
        <v>2.7578200000000002</v>
      </c>
      <c r="EC36">
        <v>2.38632</v>
      </c>
      <c r="ED36">
        <v>22.633700000000001</v>
      </c>
      <c r="EE36">
        <v>20.2713</v>
      </c>
      <c r="EF36">
        <v>1800.05</v>
      </c>
      <c r="EG36">
        <v>0.97800299999999996</v>
      </c>
      <c r="EH36">
        <v>2.19974E-2</v>
      </c>
      <c r="EI36">
        <v>0</v>
      </c>
      <c r="EJ36">
        <v>601.17499999999995</v>
      </c>
      <c r="EK36">
        <v>5.0005300000000004</v>
      </c>
      <c r="EL36">
        <v>13896.4</v>
      </c>
      <c r="EM36">
        <v>16035.7</v>
      </c>
      <c r="EN36">
        <v>49.061999999999998</v>
      </c>
      <c r="EO36">
        <v>50.311999999999998</v>
      </c>
      <c r="EP36">
        <v>49.75</v>
      </c>
      <c r="EQ36">
        <v>49.811999999999998</v>
      </c>
      <c r="ER36">
        <v>50.186999999999998</v>
      </c>
      <c r="ES36">
        <v>1755.56</v>
      </c>
      <c r="ET36">
        <v>39.49</v>
      </c>
      <c r="EU36">
        <v>0</v>
      </c>
      <c r="EV36">
        <v>162.19999980926511</v>
      </c>
      <c r="EW36">
        <v>0</v>
      </c>
      <c r="EX36">
        <v>600.58046153846158</v>
      </c>
      <c r="EY36">
        <v>-0.44362393590179527</v>
      </c>
      <c r="EZ36">
        <v>-7.5452988637983394</v>
      </c>
      <c r="FA36">
        <v>13904.05769230769</v>
      </c>
      <c r="FB36">
        <v>15</v>
      </c>
      <c r="FC36">
        <v>1700238738.0999999</v>
      </c>
      <c r="FD36" t="s">
        <v>506</v>
      </c>
      <c r="FE36">
        <v>1700238737.0999999</v>
      </c>
      <c r="FF36">
        <v>1700238738.0999999</v>
      </c>
      <c r="FG36">
        <v>23</v>
      </c>
      <c r="FH36">
        <v>0.16200000000000001</v>
      </c>
      <c r="FI36">
        <v>1E-3</v>
      </c>
      <c r="FJ36">
        <v>-0.46500000000000002</v>
      </c>
      <c r="FK36">
        <v>4.0000000000000001E-3</v>
      </c>
      <c r="FL36">
        <v>600</v>
      </c>
      <c r="FM36">
        <v>25</v>
      </c>
      <c r="FN36">
        <v>0.04</v>
      </c>
      <c r="FO36">
        <v>0.04</v>
      </c>
      <c r="FP36">
        <v>51.092785228518963</v>
      </c>
      <c r="FQ36">
        <v>0.61002089401250503</v>
      </c>
      <c r="FR36">
        <v>6.3752668563825152E-2</v>
      </c>
      <c r="FS36">
        <v>1</v>
      </c>
      <c r="FT36">
        <v>0.23870222337677521</v>
      </c>
      <c r="FU36">
        <v>1.4794791400265401E-2</v>
      </c>
      <c r="FV36">
        <v>1.195002383256732E-3</v>
      </c>
      <c r="FW36">
        <v>1</v>
      </c>
      <c r="FX36">
        <v>2</v>
      </c>
      <c r="FY36">
        <v>2</v>
      </c>
      <c r="FZ36" t="s">
        <v>420</v>
      </c>
      <c r="GA36">
        <v>3.1252200000000001</v>
      </c>
      <c r="GB36">
        <v>2.7669600000000001</v>
      </c>
      <c r="GC36">
        <v>0.110689</v>
      </c>
      <c r="GD36">
        <v>0.118756</v>
      </c>
      <c r="GE36">
        <v>0.118438</v>
      </c>
      <c r="GF36">
        <v>0.107239</v>
      </c>
      <c r="GG36">
        <v>21147.7</v>
      </c>
      <c r="GH36">
        <v>21822.7</v>
      </c>
      <c r="GI36">
        <v>23649.7</v>
      </c>
      <c r="GJ36">
        <v>25087.4</v>
      </c>
      <c r="GK36">
        <v>30027.200000000001</v>
      </c>
      <c r="GL36">
        <v>31397.1</v>
      </c>
      <c r="GM36">
        <v>37701</v>
      </c>
      <c r="GN36">
        <v>39045</v>
      </c>
      <c r="GO36">
        <v>2.14263</v>
      </c>
      <c r="GP36">
        <v>1.76647</v>
      </c>
      <c r="GQ36">
        <v>-3.2711799999999999E-2</v>
      </c>
      <c r="GR36">
        <v>0</v>
      </c>
      <c r="GS36">
        <v>30.504300000000001</v>
      </c>
      <c r="GT36">
        <v>999.9</v>
      </c>
      <c r="GU36">
        <v>52.6</v>
      </c>
      <c r="GV36">
        <v>36</v>
      </c>
      <c r="GW36">
        <v>31.8218</v>
      </c>
      <c r="GX36">
        <v>60.301000000000002</v>
      </c>
      <c r="GY36">
        <v>26.8309</v>
      </c>
      <c r="GZ36">
        <v>1</v>
      </c>
      <c r="HA36">
        <v>0.66968799999999995</v>
      </c>
      <c r="HB36">
        <v>3.0419900000000002</v>
      </c>
      <c r="HC36">
        <v>20.2941</v>
      </c>
      <c r="HD36">
        <v>5.2517300000000002</v>
      </c>
      <c r="HE36">
        <v>12.0099</v>
      </c>
      <c r="HF36">
        <v>4.9784499999999996</v>
      </c>
      <c r="HG36">
        <v>3.2930000000000001</v>
      </c>
      <c r="HH36">
        <v>9999</v>
      </c>
      <c r="HI36">
        <v>9999</v>
      </c>
      <c r="HJ36">
        <v>9999</v>
      </c>
      <c r="HK36">
        <v>999.9</v>
      </c>
      <c r="HL36">
        <v>1.8760699999999999</v>
      </c>
      <c r="HM36">
        <v>1.8769100000000001</v>
      </c>
      <c r="HN36">
        <v>1.88324</v>
      </c>
      <c r="HO36">
        <v>1.88629</v>
      </c>
      <c r="HP36">
        <v>1.87713</v>
      </c>
      <c r="HQ36">
        <v>1.8837299999999999</v>
      </c>
      <c r="HR36">
        <v>1.88263</v>
      </c>
      <c r="HS36">
        <v>1.8859900000000001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424</v>
      </c>
      <c r="IB36" t="s">
        <v>424</v>
      </c>
      <c r="IC36" t="s">
        <v>423</v>
      </c>
      <c r="ID36">
        <v>0</v>
      </c>
      <c r="IE36">
        <v>100</v>
      </c>
      <c r="IF36">
        <v>100</v>
      </c>
      <c r="IG36">
        <v>-0.45200000000000001</v>
      </c>
      <c r="IH36">
        <v>4.1999999999999997E-3</v>
      </c>
      <c r="II36">
        <v>-0.40784473096912688</v>
      </c>
      <c r="IJ36">
        <v>4.4610147972834149E-5</v>
      </c>
      <c r="IK36">
        <v>-2.082673137682459E-7</v>
      </c>
      <c r="IL36">
        <v>-4.0725795306076518E-11</v>
      </c>
      <c r="IM36">
        <v>4.2149999999949728E-3</v>
      </c>
      <c r="IN36">
        <v>0</v>
      </c>
      <c r="IO36">
        <v>0</v>
      </c>
      <c r="IP36">
        <v>0</v>
      </c>
      <c r="IQ36">
        <v>3</v>
      </c>
      <c r="IR36">
        <v>2179</v>
      </c>
      <c r="IS36">
        <v>0</v>
      </c>
      <c r="IT36">
        <v>22</v>
      </c>
      <c r="IU36">
        <v>1.4</v>
      </c>
      <c r="IV36">
        <v>1.4</v>
      </c>
      <c r="IW36">
        <v>1.40503</v>
      </c>
      <c r="IX36">
        <v>2.65137</v>
      </c>
      <c r="IY36">
        <v>1.6015600000000001</v>
      </c>
      <c r="IZ36">
        <v>2.33643</v>
      </c>
      <c r="JA36">
        <v>1.5502899999999999</v>
      </c>
      <c r="JB36">
        <v>2.2912599999999999</v>
      </c>
      <c r="JC36">
        <v>41.222299999999997</v>
      </c>
      <c r="JD36">
        <v>24.078700000000001</v>
      </c>
      <c r="JE36">
        <v>18</v>
      </c>
      <c r="JF36">
        <v>614.81700000000001</v>
      </c>
      <c r="JG36">
        <v>399.83800000000002</v>
      </c>
      <c r="JH36">
        <v>26.596699999999998</v>
      </c>
      <c r="JI36">
        <v>35.226500000000001</v>
      </c>
      <c r="JJ36">
        <v>30.000599999999999</v>
      </c>
      <c r="JK36">
        <v>35.098500000000001</v>
      </c>
      <c r="JL36">
        <v>35.080100000000002</v>
      </c>
      <c r="JM36">
        <v>28.1251</v>
      </c>
      <c r="JN36">
        <v>33.371699999999997</v>
      </c>
      <c r="JO36">
        <v>68.445800000000006</v>
      </c>
      <c r="JP36">
        <v>26.616</v>
      </c>
      <c r="JQ36">
        <v>600</v>
      </c>
      <c r="JR36">
        <v>24.110800000000001</v>
      </c>
      <c r="JS36">
        <v>98.331299999999999</v>
      </c>
      <c r="JT36">
        <v>98.807299999999998</v>
      </c>
    </row>
    <row r="37" spans="1:280" x14ac:dyDescent="0.25">
      <c r="A37">
        <v>21</v>
      </c>
      <c r="B37">
        <v>1700238979.5999999</v>
      </c>
      <c r="C37">
        <v>3742.099999904633</v>
      </c>
      <c r="D37" t="s">
        <v>507</v>
      </c>
      <c r="E37" t="s">
        <v>508</v>
      </c>
      <c r="F37" t="s">
        <v>412</v>
      </c>
      <c r="G37" t="s">
        <v>483</v>
      </c>
      <c r="H37" t="s">
        <v>484</v>
      </c>
      <c r="I37">
        <v>1700238979.5999999</v>
      </c>
      <c r="J37">
        <f t="shared" si="0"/>
        <v>4.1219935619218415E-3</v>
      </c>
      <c r="K37">
        <f t="shared" si="1"/>
        <v>4.1219935619218413</v>
      </c>
      <c r="L37">
        <f t="shared" si="2"/>
        <v>50.166456506661135</v>
      </c>
      <c r="M37">
        <f t="shared" si="3"/>
        <v>444.22800000000001</v>
      </c>
      <c r="N37">
        <f t="shared" si="4"/>
        <v>136.74506841922209</v>
      </c>
      <c r="O37">
        <f t="shared" si="5"/>
        <v>13.505950699864089</v>
      </c>
      <c r="P37">
        <f t="shared" si="6"/>
        <v>43.875231018245991</v>
      </c>
      <c r="Q37">
        <f t="shared" si="7"/>
        <v>0.27891093769348535</v>
      </c>
      <c r="R37">
        <f t="shared" si="8"/>
        <v>3.0369410297865587</v>
      </c>
      <c r="S37">
        <f t="shared" si="9"/>
        <v>0.26542172398278263</v>
      </c>
      <c r="T37">
        <f t="shared" si="10"/>
        <v>0.16704615071293641</v>
      </c>
      <c r="U37">
        <f t="shared" si="11"/>
        <v>344.36879930252019</v>
      </c>
      <c r="V37">
        <f t="shared" si="12"/>
        <v>30.916504578210571</v>
      </c>
      <c r="W37">
        <f t="shared" si="13"/>
        <v>29.973500000000001</v>
      </c>
      <c r="X37">
        <f t="shared" si="14"/>
        <v>4.2539690784446922</v>
      </c>
      <c r="Y37">
        <f t="shared" si="15"/>
        <v>65.159655014145073</v>
      </c>
      <c r="Z37">
        <f t="shared" si="16"/>
        <v>2.7746914648373995</v>
      </c>
      <c r="AA37">
        <f t="shared" si="17"/>
        <v>4.25829673934747</v>
      </c>
      <c r="AB37">
        <f t="shared" si="18"/>
        <v>1.4792776136072927</v>
      </c>
      <c r="AC37">
        <f t="shared" si="19"/>
        <v>-181.77991608075322</v>
      </c>
      <c r="AD37">
        <f t="shared" si="20"/>
        <v>2.8979778969216419</v>
      </c>
      <c r="AE37">
        <f t="shared" si="21"/>
        <v>0.21213967890462973</v>
      </c>
      <c r="AF37">
        <f t="shared" si="22"/>
        <v>165.69900079759324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51759.609981245696</v>
      </c>
      <c r="AL37" t="s">
        <v>415</v>
      </c>
      <c r="AM37">
        <v>6977.87</v>
      </c>
      <c r="AN37">
        <v>273.15280000000001</v>
      </c>
      <c r="AO37">
        <v>850.46774885301022</v>
      </c>
      <c r="AP37">
        <f t="shared" si="26"/>
        <v>0.67882050745793765</v>
      </c>
      <c r="AQ37">
        <v>-1.0323826813720729</v>
      </c>
      <c r="AR37" t="s">
        <v>509</v>
      </c>
      <c r="AS37">
        <v>7106.12</v>
      </c>
      <c r="AT37">
        <v>601.40376000000003</v>
      </c>
      <c r="AU37">
        <v>955.1985291406919</v>
      </c>
      <c r="AV37">
        <f t="shared" si="27"/>
        <v>0.37038872898911379</v>
      </c>
      <c r="AW37">
        <v>0.5</v>
      </c>
      <c r="AX37">
        <f t="shared" si="28"/>
        <v>1513.18439965126</v>
      </c>
      <c r="AY37">
        <f t="shared" si="29"/>
        <v>50.166456506661135</v>
      </c>
      <c r="AZ37">
        <f t="shared" si="30"/>
        <v>280.23322325649269</v>
      </c>
      <c r="BA37">
        <f t="shared" si="31"/>
        <v>3.3835161927279235E-2</v>
      </c>
      <c r="BB37">
        <f t="shared" si="32"/>
        <v>-0.10964294551615228</v>
      </c>
      <c r="BC37">
        <f t="shared" si="33"/>
        <v>283.12299483651623</v>
      </c>
      <c r="BD37" t="s">
        <v>510</v>
      </c>
      <c r="BE37">
        <v>448.19</v>
      </c>
      <c r="BF37">
        <f t="shared" si="34"/>
        <v>448.19</v>
      </c>
      <c r="BG37">
        <f t="shared" si="35"/>
        <v>0.53078864097163425</v>
      </c>
      <c r="BH37">
        <f t="shared" si="36"/>
        <v>0.69780831841295488</v>
      </c>
      <c r="BI37">
        <f t="shared" si="37"/>
        <v>-0.26034445252389454</v>
      </c>
      <c r="BJ37">
        <f t="shared" si="38"/>
        <v>0.51872587720245267</v>
      </c>
      <c r="BK37">
        <f t="shared" si="39"/>
        <v>-0.18141013063278066</v>
      </c>
      <c r="BL37">
        <f t="shared" si="40"/>
        <v>0.52003451097396236</v>
      </c>
      <c r="BM37">
        <f t="shared" si="41"/>
        <v>0.47996548902603764</v>
      </c>
      <c r="BN37">
        <v>11386</v>
      </c>
      <c r="BO37">
        <v>290.00000000000011</v>
      </c>
      <c r="BP37">
        <v>854.1</v>
      </c>
      <c r="BQ37">
        <v>285</v>
      </c>
      <c r="BR37">
        <v>7106.12</v>
      </c>
      <c r="BS37">
        <v>858.34</v>
      </c>
      <c r="BT37">
        <v>-4.24</v>
      </c>
      <c r="BU37">
        <v>300.00000000000011</v>
      </c>
      <c r="BV37">
        <v>38.299999999999997</v>
      </c>
      <c r="BW37">
        <v>955.1985291406919</v>
      </c>
      <c r="BX37">
        <v>1.7002811552685699</v>
      </c>
      <c r="BY37">
        <v>-68.828186193457654</v>
      </c>
      <c r="BZ37">
        <v>1.01278467955045</v>
      </c>
      <c r="CA37">
        <v>0.99397392380108429</v>
      </c>
      <c r="CB37">
        <v>-7.0068358175750826E-3</v>
      </c>
      <c r="CC37">
        <v>289.99999999999989</v>
      </c>
      <c r="CD37">
        <v>868.03</v>
      </c>
      <c r="CE37">
        <v>855</v>
      </c>
      <c r="CF37">
        <v>7097.13</v>
      </c>
      <c r="CG37">
        <v>858.22</v>
      </c>
      <c r="CH37">
        <v>9.81</v>
      </c>
      <c r="CV37">
        <f t="shared" si="42"/>
        <v>1800</v>
      </c>
      <c r="CW37">
        <f t="shared" si="43"/>
        <v>1513.18439965126</v>
      </c>
      <c r="CX37">
        <f t="shared" si="44"/>
        <v>0.84065799980625555</v>
      </c>
      <c r="CY37">
        <f t="shared" si="45"/>
        <v>0.19131599961251122</v>
      </c>
      <c r="CZ37">
        <v>5.36</v>
      </c>
      <c r="DA37">
        <v>0.5</v>
      </c>
      <c r="DB37" t="s">
        <v>418</v>
      </c>
      <c r="DC37">
        <v>2</v>
      </c>
      <c r="DD37">
        <v>1700238979.5999999</v>
      </c>
      <c r="DE37">
        <v>444.22800000000001</v>
      </c>
      <c r="DF37">
        <v>499.952</v>
      </c>
      <c r="DG37">
        <v>28.0932</v>
      </c>
      <c r="DH37">
        <v>23.799900000000001</v>
      </c>
      <c r="DI37">
        <v>444.74799999999999</v>
      </c>
      <c r="DJ37">
        <v>28.092199999999998</v>
      </c>
      <c r="DK37">
        <v>500.15600000000001</v>
      </c>
      <c r="DL37">
        <v>98.667599999999993</v>
      </c>
      <c r="DM37">
        <v>9.9769499999999997E-2</v>
      </c>
      <c r="DN37">
        <v>29.991199999999999</v>
      </c>
      <c r="DO37">
        <v>29.973500000000001</v>
      </c>
      <c r="DP37">
        <v>999.9</v>
      </c>
      <c r="DQ37">
        <v>0</v>
      </c>
      <c r="DR37">
        <v>0</v>
      </c>
      <c r="DS37">
        <v>10020.6</v>
      </c>
      <c r="DT37">
        <v>0</v>
      </c>
      <c r="DU37">
        <v>289.69799999999998</v>
      </c>
      <c r="DV37">
        <v>-55.724899999999998</v>
      </c>
      <c r="DW37">
        <v>457.06799999999998</v>
      </c>
      <c r="DX37">
        <v>512.14099999999996</v>
      </c>
      <c r="DY37">
        <v>4.2932899999999998</v>
      </c>
      <c r="DZ37">
        <v>499.952</v>
      </c>
      <c r="EA37">
        <v>23.799900000000001</v>
      </c>
      <c r="EB37">
        <v>2.77189</v>
      </c>
      <c r="EC37">
        <v>2.3482799999999999</v>
      </c>
      <c r="ED37">
        <v>22.717600000000001</v>
      </c>
      <c r="EE37">
        <v>20.011500000000002</v>
      </c>
      <c r="EF37">
        <v>1800</v>
      </c>
      <c r="EG37">
        <v>0.97800600000000004</v>
      </c>
      <c r="EH37">
        <v>2.19939E-2</v>
      </c>
      <c r="EI37">
        <v>0</v>
      </c>
      <c r="EJ37">
        <v>601.33100000000002</v>
      </c>
      <c r="EK37">
        <v>5.0005300000000004</v>
      </c>
      <c r="EL37">
        <v>13066.9</v>
      </c>
      <c r="EM37">
        <v>16035.3</v>
      </c>
      <c r="EN37">
        <v>49.25</v>
      </c>
      <c r="EO37">
        <v>50.5</v>
      </c>
      <c r="EP37">
        <v>49.875</v>
      </c>
      <c r="EQ37">
        <v>50</v>
      </c>
      <c r="ER37">
        <v>50.375</v>
      </c>
      <c r="ES37">
        <v>1755.52</v>
      </c>
      <c r="ET37">
        <v>39.479999999999997</v>
      </c>
      <c r="EU37">
        <v>0</v>
      </c>
      <c r="EV37">
        <v>321.19999980926508</v>
      </c>
      <c r="EW37">
        <v>0</v>
      </c>
      <c r="EX37">
        <v>601.40376000000003</v>
      </c>
      <c r="EY37">
        <v>0.20900000928500831</v>
      </c>
      <c r="EZ37">
        <v>-627.59230861839433</v>
      </c>
      <c r="FA37">
        <v>13147.608</v>
      </c>
      <c r="FB37">
        <v>15</v>
      </c>
      <c r="FC37">
        <v>1700238886.0999999</v>
      </c>
      <c r="FD37" t="s">
        <v>511</v>
      </c>
      <c r="FE37">
        <v>1700238886.0999999</v>
      </c>
      <c r="FF37">
        <v>1700238878.0999999</v>
      </c>
      <c r="FG37">
        <v>24</v>
      </c>
      <c r="FH37">
        <v>-8.7999999999999995E-2</v>
      </c>
      <c r="FI37">
        <v>-3.0000000000000001E-3</v>
      </c>
      <c r="FJ37">
        <v>-0.53</v>
      </c>
      <c r="FK37">
        <v>1E-3</v>
      </c>
      <c r="FL37">
        <v>500</v>
      </c>
      <c r="FM37">
        <v>24</v>
      </c>
      <c r="FN37">
        <v>0.04</v>
      </c>
      <c r="FO37">
        <v>0.02</v>
      </c>
      <c r="FP37">
        <v>50.099618081368583</v>
      </c>
      <c r="FQ37">
        <v>0.50788135285893166</v>
      </c>
      <c r="FR37">
        <v>4.8070098529910503E-2</v>
      </c>
      <c r="FS37">
        <v>1</v>
      </c>
      <c r="FT37">
        <v>0.27767320879044682</v>
      </c>
      <c r="FU37">
        <v>1.6283754448104568E-2</v>
      </c>
      <c r="FV37">
        <v>1.4332609328096171E-3</v>
      </c>
      <c r="FW37">
        <v>1</v>
      </c>
      <c r="FX37">
        <v>2</v>
      </c>
      <c r="FY37">
        <v>2</v>
      </c>
      <c r="FZ37" t="s">
        <v>420</v>
      </c>
      <c r="GA37">
        <v>3.1262599999999998</v>
      </c>
      <c r="GB37">
        <v>2.7668200000000001</v>
      </c>
      <c r="GC37">
        <v>9.5486000000000001E-2</v>
      </c>
      <c r="GD37">
        <v>0.10417</v>
      </c>
      <c r="GE37">
        <v>0.118798</v>
      </c>
      <c r="GF37">
        <v>0.10596999999999999</v>
      </c>
      <c r="GG37">
        <v>21496</v>
      </c>
      <c r="GH37">
        <v>22169.7</v>
      </c>
      <c r="GI37">
        <v>23636.1</v>
      </c>
      <c r="GJ37">
        <v>25072.400000000001</v>
      </c>
      <c r="GK37">
        <v>29998.5</v>
      </c>
      <c r="GL37">
        <v>31423.8</v>
      </c>
      <c r="GM37">
        <v>37680.5</v>
      </c>
      <c r="GN37">
        <v>39022.9</v>
      </c>
      <c r="GO37">
        <v>2.1411199999999999</v>
      </c>
      <c r="GP37">
        <v>1.7594000000000001</v>
      </c>
      <c r="GQ37">
        <v>-4.06988E-2</v>
      </c>
      <c r="GR37">
        <v>0</v>
      </c>
      <c r="GS37">
        <v>30.635400000000001</v>
      </c>
      <c r="GT37">
        <v>999.9</v>
      </c>
      <c r="GU37">
        <v>51.7</v>
      </c>
      <c r="GV37">
        <v>36.200000000000003</v>
      </c>
      <c r="GW37">
        <v>31.619700000000002</v>
      </c>
      <c r="GX37">
        <v>60.091000000000001</v>
      </c>
      <c r="GY37">
        <v>26.1538</v>
      </c>
      <c r="GZ37">
        <v>1</v>
      </c>
      <c r="HA37">
        <v>0.69294</v>
      </c>
      <c r="HB37">
        <v>3.1138300000000001</v>
      </c>
      <c r="HC37">
        <v>20.292200000000001</v>
      </c>
      <c r="HD37">
        <v>5.2530799999999997</v>
      </c>
      <c r="HE37">
        <v>12.0099</v>
      </c>
      <c r="HF37">
        <v>4.9794</v>
      </c>
      <c r="HG37">
        <v>3.2930000000000001</v>
      </c>
      <c r="HH37">
        <v>9999</v>
      </c>
      <c r="HI37">
        <v>9999</v>
      </c>
      <c r="HJ37">
        <v>9999</v>
      </c>
      <c r="HK37">
        <v>999.9</v>
      </c>
      <c r="HL37">
        <v>1.87608</v>
      </c>
      <c r="HM37">
        <v>1.8769400000000001</v>
      </c>
      <c r="HN37">
        <v>1.88324</v>
      </c>
      <c r="HO37">
        <v>1.8863099999999999</v>
      </c>
      <c r="HP37">
        <v>1.87713</v>
      </c>
      <c r="HQ37">
        <v>1.8836999999999999</v>
      </c>
      <c r="HR37">
        <v>1.88263</v>
      </c>
      <c r="HS37">
        <v>1.8859999999999999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424</v>
      </c>
      <c r="IB37" t="s">
        <v>424</v>
      </c>
      <c r="IC37" t="s">
        <v>423</v>
      </c>
      <c r="ID37">
        <v>0</v>
      </c>
      <c r="IE37">
        <v>100</v>
      </c>
      <c r="IF37">
        <v>100</v>
      </c>
      <c r="IG37">
        <v>-0.52</v>
      </c>
      <c r="IH37">
        <v>1E-3</v>
      </c>
      <c r="II37">
        <v>-0.49526733800839712</v>
      </c>
      <c r="IJ37">
        <v>4.4610147972834149E-5</v>
      </c>
      <c r="IK37">
        <v>-2.082673137682459E-7</v>
      </c>
      <c r="IL37">
        <v>-4.0725795306076518E-11</v>
      </c>
      <c r="IM37">
        <v>9.7999999999842657E-4</v>
      </c>
      <c r="IN37">
        <v>0</v>
      </c>
      <c r="IO37">
        <v>0</v>
      </c>
      <c r="IP37">
        <v>0</v>
      </c>
      <c r="IQ37">
        <v>3</v>
      </c>
      <c r="IR37">
        <v>2179</v>
      </c>
      <c r="IS37">
        <v>0</v>
      </c>
      <c r="IT37">
        <v>22</v>
      </c>
      <c r="IU37">
        <v>1.6</v>
      </c>
      <c r="IV37">
        <v>1.7</v>
      </c>
      <c r="IW37">
        <v>1.2133799999999999</v>
      </c>
      <c r="IX37">
        <v>2.65137</v>
      </c>
      <c r="IY37">
        <v>1.6015600000000001</v>
      </c>
      <c r="IZ37">
        <v>2.33521</v>
      </c>
      <c r="JA37">
        <v>1.5502899999999999</v>
      </c>
      <c r="JB37">
        <v>2.4902299999999999</v>
      </c>
      <c r="JC37">
        <v>41.3521</v>
      </c>
      <c r="JD37">
        <v>24.087499999999999</v>
      </c>
      <c r="JE37">
        <v>18</v>
      </c>
      <c r="JF37">
        <v>616.09900000000005</v>
      </c>
      <c r="JG37">
        <v>397.00200000000001</v>
      </c>
      <c r="JH37">
        <v>26.721599999999999</v>
      </c>
      <c r="JI37">
        <v>35.504199999999997</v>
      </c>
      <c r="JJ37">
        <v>30.000800000000002</v>
      </c>
      <c r="JK37">
        <v>35.3598</v>
      </c>
      <c r="JL37">
        <v>35.3414</v>
      </c>
      <c r="JM37">
        <v>24.278099999999998</v>
      </c>
      <c r="JN37">
        <v>33.675600000000003</v>
      </c>
      <c r="JO37">
        <v>65.643600000000006</v>
      </c>
      <c r="JP37">
        <v>26.737500000000001</v>
      </c>
      <c r="JQ37">
        <v>500</v>
      </c>
      <c r="JR37">
        <v>23.7376</v>
      </c>
      <c r="JS37">
        <v>98.276700000000005</v>
      </c>
      <c r="JT37">
        <v>98.750100000000003</v>
      </c>
    </row>
    <row r="38" spans="1:280" x14ac:dyDescent="0.25">
      <c r="A38">
        <v>22</v>
      </c>
      <c r="B38">
        <v>1700239185.5999999</v>
      </c>
      <c r="C38">
        <v>3948.099999904633</v>
      </c>
      <c r="D38" t="s">
        <v>512</v>
      </c>
      <c r="E38" t="s">
        <v>513</v>
      </c>
      <c r="F38" t="s">
        <v>412</v>
      </c>
      <c r="G38" t="s">
        <v>483</v>
      </c>
      <c r="H38" t="s">
        <v>484</v>
      </c>
      <c r="I38">
        <v>1700239185.5999999</v>
      </c>
      <c r="J38">
        <f t="shared" si="0"/>
        <v>4.7317292844459074E-3</v>
      </c>
      <c r="K38">
        <f t="shared" si="1"/>
        <v>4.7317292844459073</v>
      </c>
      <c r="L38">
        <f t="shared" si="2"/>
        <v>47.047262367852241</v>
      </c>
      <c r="M38">
        <f t="shared" si="3"/>
        <v>347.80599999999998</v>
      </c>
      <c r="N38">
        <f t="shared" si="4"/>
        <v>99.153008190470032</v>
      </c>
      <c r="O38">
        <f t="shared" si="5"/>
        <v>9.7936995797175115</v>
      </c>
      <c r="P38">
        <f t="shared" si="6"/>
        <v>34.354050756380595</v>
      </c>
      <c r="Q38">
        <f t="shared" si="7"/>
        <v>0.32524501262237043</v>
      </c>
      <c r="R38">
        <f t="shared" si="8"/>
        <v>3.0370569492757884</v>
      </c>
      <c r="S38">
        <f t="shared" si="9"/>
        <v>0.30705932110419693</v>
      </c>
      <c r="T38">
        <f t="shared" si="10"/>
        <v>0.19346120282639381</v>
      </c>
      <c r="U38">
        <f t="shared" si="11"/>
        <v>344.37639930253567</v>
      </c>
      <c r="V38">
        <f t="shared" si="12"/>
        <v>30.972881903727323</v>
      </c>
      <c r="W38">
        <f t="shared" si="13"/>
        <v>30.014600000000002</v>
      </c>
      <c r="X38">
        <f t="shared" si="14"/>
        <v>4.264023942755613</v>
      </c>
      <c r="Y38">
        <f t="shared" si="15"/>
        <v>64.883108292908815</v>
      </c>
      <c r="Z38">
        <f t="shared" si="16"/>
        <v>2.79633988299106</v>
      </c>
      <c r="AA38">
        <f t="shared" si="17"/>
        <v>4.3098118394193472</v>
      </c>
      <c r="AB38">
        <f t="shared" si="18"/>
        <v>1.4676840597645531</v>
      </c>
      <c r="AC38">
        <f t="shared" si="19"/>
        <v>-208.66926144406452</v>
      </c>
      <c r="AD38">
        <f t="shared" si="20"/>
        <v>30.470862831805164</v>
      </c>
      <c r="AE38">
        <f t="shared" si="21"/>
        <v>2.2332315650604309</v>
      </c>
      <c r="AF38">
        <f t="shared" si="22"/>
        <v>168.41123225533673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51727.043846868088</v>
      </c>
      <c r="AL38" t="s">
        <v>415</v>
      </c>
      <c r="AM38">
        <v>6977.87</v>
      </c>
      <c r="AN38">
        <v>273.15280000000001</v>
      </c>
      <c r="AO38">
        <v>850.46774885301022</v>
      </c>
      <c r="AP38">
        <f t="shared" si="26"/>
        <v>0.67882050745793765</v>
      </c>
      <c r="AQ38">
        <v>-1.0323826813720729</v>
      </c>
      <c r="AR38" t="s">
        <v>514</v>
      </c>
      <c r="AS38">
        <v>7105.27</v>
      </c>
      <c r="AT38">
        <v>602.13764000000003</v>
      </c>
      <c r="AU38">
        <v>930.33454439212483</v>
      </c>
      <c r="AV38">
        <f t="shared" si="27"/>
        <v>0.35277299587597999</v>
      </c>
      <c r="AW38">
        <v>0.5</v>
      </c>
      <c r="AX38">
        <f t="shared" si="28"/>
        <v>1513.2179996512677</v>
      </c>
      <c r="AY38">
        <f t="shared" si="29"/>
        <v>47.047262367852241</v>
      </c>
      <c r="AZ38">
        <f t="shared" si="30"/>
        <v>266.91122357521766</v>
      </c>
      <c r="BA38">
        <f t="shared" si="31"/>
        <v>3.1773112043542051E-2</v>
      </c>
      <c r="BB38">
        <f t="shared" si="32"/>
        <v>-8.5847393306564906E-2</v>
      </c>
      <c r="BC38">
        <f t="shared" si="33"/>
        <v>280.89783367014826</v>
      </c>
      <c r="BD38" t="s">
        <v>515</v>
      </c>
      <c r="BE38">
        <v>446.7</v>
      </c>
      <c r="BF38">
        <f t="shared" si="34"/>
        <v>446.7</v>
      </c>
      <c r="BG38">
        <f t="shared" si="35"/>
        <v>0.51985014133612428</v>
      </c>
      <c r="BH38">
        <f t="shared" si="36"/>
        <v>0.67860517450140379</v>
      </c>
      <c r="BI38">
        <f t="shared" si="37"/>
        <v>-0.19780380123472849</v>
      </c>
      <c r="BJ38">
        <f t="shared" si="38"/>
        <v>0.4994005192516387</v>
      </c>
      <c r="BK38">
        <f t="shared" si="39"/>
        <v>-0.13834181099552548</v>
      </c>
      <c r="BL38">
        <f t="shared" si="40"/>
        <v>0.50342797279667995</v>
      </c>
      <c r="BM38">
        <f t="shared" si="41"/>
        <v>0.49657202720332005</v>
      </c>
      <c r="BN38">
        <v>11388</v>
      </c>
      <c r="BO38">
        <v>290.00000000000011</v>
      </c>
      <c r="BP38">
        <v>836.91</v>
      </c>
      <c r="BQ38">
        <v>295</v>
      </c>
      <c r="BR38">
        <v>7105.27</v>
      </c>
      <c r="BS38">
        <v>840.47</v>
      </c>
      <c r="BT38">
        <v>-3.56</v>
      </c>
      <c r="BU38">
        <v>300.00000000000011</v>
      </c>
      <c r="BV38">
        <v>38.299999999999997</v>
      </c>
      <c r="BW38">
        <v>930.33454439212483</v>
      </c>
      <c r="BX38">
        <v>2.1056617645826941</v>
      </c>
      <c r="BY38">
        <v>-63.85274797636783</v>
      </c>
      <c r="BZ38">
        <v>1.2541106862837059</v>
      </c>
      <c r="CA38">
        <v>0.98931425392172989</v>
      </c>
      <c r="CB38">
        <v>-7.0057750834260331E-3</v>
      </c>
      <c r="CC38">
        <v>289.99999999999989</v>
      </c>
      <c r="CD38">
        <v>849.47</v>
      </c>
      <c r="CE38">
        <v>855</v>
      </c>
      <c r="CF38">
        <v>7096.2</v>
      </c>
      <c r="CG38">
        <v>840.35</v>
      </c>
      <c r="CH38">
        <v>9.1199999999999992</v>
      </c>
      <c r="CV38">
        <f t="shared" si="42"/>
        <v>1800.04</v>
      </c>
      <c r="CW38">
        <f t="shared" si="43"/>
        <v>1513.2179996512677</v>
      </c>
      <c r="CX38">
        <f t="shared" si="44"/>
        <v>0.84065798518436685</v>
      </c>
      <c r="CY38">
        <f t="shared" si="45"/>
        <v>0.19131597036873385</v>
      </c>
      <c r="CZ38">
        <v>5.36</v>
      </c>
      <c r="DA38">
        <v>0.5</v>
      </c>
      <c r="DB38" t="s">
        <v>418</v>
      </c>
      <c r="DC38">
        <v>2</v>
      </c>
      <c r="DD38">
        <v>1700239185.5999999</v>
      </c>
      <c r="DE38">
        <v>347.80599999999998</v>
      </c>
      <c r="DF38">
        <v>399.99099999999999</v>
      </c>
      <c r="DG38">
        <v>28.310600000000001</v>
      </c>
      <c r="DH38">
        <v>23.383099999999999</v>
      </c>
      <c r="DI38">
        <v>348.40600000000001</v>
      </c>
      <c r="DJ38">
        <v>28.304500000000001</v>
      </c>
      <c r="DK38">
        <v>500.13299999999998</v>
      </c>
      <c r="DL38">
        <v>98.673699999999997</v>
      </c>
      <c r="DM38">
        <v>9.9900100000000006E-2</v>
      </c>
      <c r="DN38">
        <v>30.200700000000001</v>
      </c>
      <c r="DO38">
        <v>30.014600000000002</v>
      </c>
      <c r="DP38">
        <v>999.9</v>
      </c>
      <c r="DQ38">
        <v>0</v>
      </c>
      <c r="DR38">
        <v>0</v>
      </c>
      <c r="DS38">
        <v>10020.6</v>
      </c>
      <c r="DT38">
        <v>0</v>
      </c>
      <c r="DU38">
        <v>286.935</v>
      </c>
      <c r="DV38">
        <v>-52.185400000000001</v>
      </c>
      <c r="DW38">
        <v>357.93900000000002</v>
      </c>
      <c r="DX38">
        <v>409.56799999999998</v>
      </c>
      <c r="DY38">
        <v>4.9275500000000001</v>
      </c>
      <c r="DZ38">
        <v>399.99099999999999</v>
      </c>
      <c r="EA38">
        <v>23.383099999999999</v>
      </c>
      <c r="EB38">
        <v>2.7935099999999999</v>
      </c>
      <c r="EC38">
        <v>2.3073000000000001</v>
      </c>
      <c r="ED38">
        <v>22.845800000000001</v>
      </c>
      <c r="EE38">
        <v>19.727399999999999</v>
      </c>
      <c r="EF38">
        <v>1800.04</v>
      </c>
      <c r="EG38">
        <v>0.97800600000000004</v>
      </c>
      <c r="EH38">
        <v>2.19939E-2</v>
      </c>
      <c r="EI38">
        <v>0</v>
      </c>
      <c r="EJ38">
        <v>601.99199999999996</v>
      </c>
      <c r="EK38">
        <v>5.0005300000000004</v>
      </c>
      <c r="EL38">
        <v>13955.3</v>
      </c>
      <c r="EM38">
        <v>16035.6</v>
      </c>
      <c r="EN38">
        <v>49.561999999999998</v>
      </c>
      <c r="EO38">
        <v>50.811999999999998</v>
      </c>
      <c r="EP38">
        <v>50.25</v>
      </c>
      <c r="EQ38">
        <v>50.311999999999998</v>
      </c>
      <c r="ER38">
        <v>50.686999999999998</v>
      </c>
      <c r="ES38">
        <v>1755.56</v>
      </c>
      <c r="ET38">
        <v>39.479999999999997</v>
      </c>
      <c r="EU38">
        <v>0</v>
      </c>
      <c r="EV38">
        <v>204</v>
      </c>
      <c r="EW38">
        <v>0</v>
      </c>
      <c r="EX38">
        <v>602.13764000000003</v>
      </c>
      <c r="EY38">
        <v>-0.3628461739517197</v>
      </c>
      <c r="EZ38">
        <v>1002.461536838251</v>
      </c>
      <c r="FA38">
        <v>13833.448</v>
      </c>
      <c r="FB38">
        <v>15</v>
      </c>
      <c r="FC38">
        <v>1700239057.0999999</v>
      </c>
      <c r="FD38" t="s">
        <v>516</v>
      </c>
      <c r="FE38">
        <v>1700239051.0999999</v>
      </c>
      <c r="FF38">
        <v>1700239057.0999999</v>
      </c>
      <c r="FG38">
        <v>25</v>
      </c>
      <c r="FH38">
        <v>-9.2999999999999999E-2</v>
      </c>
      <c r="FI38">
        <v>5.0000000000000001E-3</v>
      </c>
      <c r="FJ38">
        <v>-0.60699999999999998</v>
      </c>
      <c r="FK38">
        <v>6.0000000000000001E-3</v>
      </c>
      <c r="FL38">
        <v>400</v>
      </c>
      <c r="FM38">
        <v>24</v>
      </c>
      <c r="FN38">
        <v>0.03</v>
      </c>
      <c r="FO38">
        <v>0.02</v>
      </c>
      <c r="FP38">
        <v>46.957166706885772</v>
      </c>
      <c r="FQ38">
        <v>0.52754412869837786</v>
      </c>
      <c r="FR38">
        <v>4.6642126668521619E-2</v>
      </c>
      <c r="FS38">
        <v>1</v>
      </c>
      <c r="FT38">
        <v>0.32750955617289979</v>
      </c>
      <c r="FU38">
        <v>-1.0803356749874799E-2</v>
      </c>
      <c r="FV38">
        <v>1.972196640109827E-3</v>
      </c>
      <c r="FW38">
        <v>1</v>
      </c>
      <c r="FX38">
        <v>2</v>
      </c>
      <c r="FY38">
        <v>2</v>
      </c>
      <c r="FZ38" t="s">
        <v>420</v>
      </c>
      <c r="GA38">
        <v>3.1272899999999999</v>
      </c>
      <c r="GB38">
        <v>2.7669600000000001</v>
      </c>
      <c r="GC38">
        <v>7.9024800000000006E-2</v>
      </c>
      <c r="GD38">
        <v>8.8086300000000006E-2</v>
      </c>
      <c r="GE38">
        <v>0.119327</v>
      </c>
      <c r="GF38">
        <v>0.104574</v>
      </c>
      <c r="GG38">
        <v>21867.1</v>
      </c>
      <c r="GH38">
        <v>22547.8</v>
      </c>
      <c r="GI38">
        <v>23615.9</v>
      </c>
      <c r="GJ38">
        <v>25051.8</v>
      </c>
      <c r="GK38">
        <v>29955.7</v>
      </c>
      <c r="GL38">
        <v>31448.6</v>
      </c>
      <c r="GM38">
        <v>37649.599999999999</v>
      </c>
      <c r="GN38">
        <v>38993.300000000003</v>
      </c>
      <c r="GO38">
        <v>2.1381000000000001</v>
      </c>
      <c r="GP38">
        <v>1.7506999999999999</v>
      </c>
      <c r="GQ38">
        <v>-1.4279E-2</v>
      </c>
      <c r="GR38">
        <v>0</v>
      </c>
      <c r="GS38">
        <v>30.247</v>
      </c>
      <c r="GT38">
        <v>999.9</v>
      </c>
      <c r="GU38">
        <v>50.4</v>
      </c>
      <c r="GV38">
        <v>36.4</v>
      </c>
      <c r="GW38">
        <v>31.1645</v>
      </c>
      <c r="GX38">
        <v>60.371000000000002</v>
      </c>
      <c r="GY38">
        <v>26.181899999999999</v>
      </c>
      <c r="GZ38">
        <v>1</v>
      </c>
      <c r="HA38">
        <v>0.72795699999999997</v>
      </c>
      <c r="HB38">
        <v>3.5837300000000001</v>
      </c>
      <c r="HC38">
        <v>20.282800000000002</v>
      </c>
      <c r="HD38">
        <v>5.2499399999999996</v>
      </c>
      <c r="HE38">
        <v>12.0099</v>
      </c>
      <c r="HF38">
        <v>4.9789500000000002</v>
      </c>
      <c r="HG38">
        <v>3.2930000000000001</v>
      </c>
      <c r="HH38">
        <v>9999</v>
      </c>
      <c r="HI38">
        <v>9999</v>
      </c>
      <c r="HJ38">
        <v>9999</v>
      </c>
      <c r="HK38">
        <v>999.9</v>
      </c>
      <c r="HL38">
        <v>1.8760699999999999</v>
      </c>
      <c r="HM38">
        <v>1.8769499999999999</v>
      </c>
      <c r="HN38">
        <v>1.88324</v>
      </c>
      <c r="HO38">
        <v>1.8863000000000001</v>
      </c>
      <c r="HP38">
        <v>1.87713</v>
      </c>
      <c r="HQ38">
        <v>1.8836999999999999</v>
      </c>
      <c r="HR38">
        <v>1.88263</v>
      </c>
      <c r="HS38">
        <v>1.8859900000000001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424</v>
      </c>
      <c r="IB38" t="s">
        <v>424</v>
      </c>
      <c r="IC38" t="s">
        <v>423</v>
      </c>
      <c r="ID38">
        <v>0</v>
      </c>
      <c r="IE38">
        <v>100</v>
      </c>
      <c r="IF38">
        <v>100</v>
      </c>
      <c r="IG38">
        <v>-0.6</v>
      </c>
      <c r="IH38">
        <v>6.1000000000000004E-3</v>
      </c>
      <c r="II38">
        <v>-0.58873963687687869</v>
      </c>
      <c r="IJ38">
        <v>4.4610147972834149E-5</v>
      </c>
      <c r="IK38">
        <v>-2.082673137682459E-7</v>
      </c>
      <c r="IL38">
        <v>-4.0725795306076518E-11</v>
      </c>
      <c r="IM38">
        <v>6.0900000000003729E-3</v>
      </c>
      <c r="IN38">
        <v>0</v>
      </c>
      <c r="IO38">
        <v>0</v>
      </c>
      <c r="IP38">
        <v>0</v>
      </c>
      <c r="IQ38">
        <v>3</v>
      </c>
      <c r="IR38">
        <v>2179</v>
      </c>
      <c r="IS38">
        <v>0</v>
      </c>
      <c r="IT38">
        <v>22</v>
      </c>
      <c r="IU38">
        <v>2.2000000000000002</v>
      </c>
      <c r="IV38">
        <v>2.1</v>
      </c>
      <c r="IW38">
        <v>1.0144</v>
      </c>
      <c r="IX38">
        <v>2.65869</v>
      </c>
      <c r="IY38">
        <v>1.6015600000000001</v>
      </c>
      <c r="IZ38">
        <v>2.33643</v>
      </c>
      <c r="JA38">
        <v>1.5502899999999999</v>
      </c>
      <c r="JB38">
        <v>2.48047</v>
      </c>
      <c r="JC38">
        <v>41.534399999999998</v>
      </c>
      <c r="JD38">
        <v>24.087499999999999</v>
      </c>
      <c r="JE38">
        <v>18</v>
      </c>
      <c r="JF38">
        <v>617.24900000000002</v>
      </c>
      <c r="JG38">
        <v>393.81700000000001</v>
      </c>
      <c r="JH38">
        <v>26.7196</v>
      </c>
      <c r="JI38">
        <v>35.899500000000003</v>
      </c>
      <c r="JJ38">
        <v>30.000499999999999</v>
      </c>
      <c r="JK38">
        <v>35.730800000000002</v>
      </c>
      <c r="JL38">
        <v>35.7117</v>
      </c>
      <c r="JM38">
        <v>20.3</v>
      </c>
      <c r="JN38">
        <v>33.902900000000002</v>
      </c>
      <c r="JO38">
        <v>62.100200000000001</v>
      </c>
      <c r="JP38">
        <v>26.719200000000001</v>
      </c>
      <c r="JQ38">
        <v>400</v>
      </c>
      <c r="JR38">
        <v>23.384699999999999</v>
      </c>
      <c r="JS38">
        <v>98.194800000000001</v>
      </c>
      <c r="JT38">
        <v>98.672799999999995</v>
      </c>
    </row>
    <row r="39" spans="1:280" x14ac:dyDescent="0.25">
      <c r="A39">
        <v>23</v>
      </c>
      <c r="B39">
        <v>1700239367.0999999</v>
      </c>
      <c r="C39">
        <v>4129.5999999046326</v>
      </c>
      <c r="D39" t="s">
        <v>517</v>
      </c>
      <c r="E39" t="s">
        <v>518</v>
      </c>
      <c r="F39" t="s">
        <v>412</v>
      </c>
      <c r="G39" t="s">
        <v>483</v>
      </c>
      <c r="H39" t="s">
        <v>484</v>
      </c>
      <c r="I39">
        <v>1700239367.0999999</v>
      </c>
      <c r="J39">
        <f t="shared" si="0"/>
        <v>5.5978284068685805E-3</v>
      </c>
      <c r="K39">
        <f t="shared" si="1"/>
        <v>5.5978284068685804</v>
      </c>
      <c r="L39">
        <f t="shared" si="2"/>
        <v>40.71446763545071</v>
      </c>
      <c r="M39">
        <f t="shared" si="3"/>
        <v>254.83199999999999</v>
      </c>
      <c r="N39">
        <f t="shared" si="4"/>
        <v>75.40015038752081</v>
      </c>
      <c r="O39">
        <f t="shared" si="5"/>
        <v>7.4472673646444818</v>
      </c>
      <c r="P39">
        <f t="shared" si="6"/>
        <v>25.1697380882304</v>
      </c>
      <c r="Q39">
        <f t="shared" si="7"/>
        <v>0.39411572950355944</v>
      </c>
      <c r="R39">
        <f t="shared" si="8"/>
        <v>3.0358262715166879</v>
      </c>
      <c r="S39">
        <f t="shared" si="9"/>
        <v>0.36773800885666641</v>
      </c>
      <c r="T39">
        <f t="shared" si="10"/>
        <v>0.23205890805633808</v>
      </c>
      <c r="U39">
        <f t="shared" si="11"/>
        <v>344.37259930252799</v>
      </c>
      <c r="V39">
        <f t="shared" si="12"/>
        <v>30.777929766962512</v>
      </c>
      <c r="W39">
        <f t="shared" si="13"/>
        <v>30.008199999999999</v>
      </c>
      <c r="X39">
        <f t="shared" si="14"/>
        <v>4.2624568616116782</v>
      </c>
      <c r="Y39">
        <f t="shared" si="15"/>
        <v>65.18198150541329</v>
      </c>
      <c r="Z39">
        <f t="shared" si="16"/>
        <v>2.8127996177797598</v>
      </c>
      <c r="AA39">
        <f t="shared" si="17"/>
        <v>4.3153024084518821</v>
      </c>
      <c r="AB39">
        <f t="shared" si="18"/>
        <v>1.4496572438319184</v>
      </c>
      <c r="AC39">
        <f t="shared" si="19"/>
        <v>-246.86423274290439</v>
      </c>
      <c r="AD39">
        <f t="shared" si="20"/>
        <v>35.139404939466743</v>
      </c>
      <c r="AE39">
        <f t="shared" si="21"/>
        <v>2.576637953280736</v>
      </c>
      <c r="AF39">
        <f t="shared" si="22"/>
        <v>135.22440945237108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51690.63701001594</v>
      </c>
      <c r="AL39" t="s">
        <v>427</v>
      </c>
      <c r="AM39" t="s">
        <v>427</v>
      </c>
      <c r="AN39">
        <v>0</v>
      </c>
      <c r="AO39">
        <v>0</v>
      </c>
      <c r="AP39" t="e">
        <f t="shared" si="26"/>
        <v>#DIV/0!</v>
      </c>
      <c r="AQ39">
        <v>0</v>
      </c>
      <c r="AR39" t="s">
        <v>427</v>
      </c>
      <c r="AS39" t="s">
        <v>427</v>
      </c>
      <c r="AT39">
        <v>0</v>
      </c>
      <c r="AU39">
        <v>0</v>
      </c>
      <c r="AV39" t="e">
        <f t="shared" si="27"/>
        <v>#DIV/0!</v>
      </c>
      <c r="AW39">
        <v>0.5</v>
      </c>
      <c r="AX39">
        <f t="shared" si="28"/>
        <v>1513.2011996512638</v>
      </c>
      <c r="AY39">
        <f t="shared" si="29"/>
        <v>40.71446763545071</v>
      </c>
      <c r="AZ39" t="e">
        <f t="shared" si="30"/>
        <v>#DIV/0!</v>
      </c>
      <c r="BA39">
        <f t="shared" si="31"/>
        <v>2.6906182498952467E-2</v>
      </c>
      <c r="BB39" t="e">
        <f t="shared" si="32"/>
        <v>#DIV/0!</v>
      </c>
      <c r="BC39" t="e">
        <f t="shared" si="33"/>
        <v>#DIV/0!</v>
      </c>
      <c r="BD39" t="s">
        <v>427</v>
      </c>
      <c r="BE39">
        <v>0</v>
      </c>
      <c r="BF39" t="e">
        <f t="shared" si="34"/>
        <v>#DIV/0!</v>
      </c>
      <c r="BG39" t="e">
        <f t="shared" si="35"/>
        <v>#DIV/0!</v>
      </c>
      <c r="BH39" t="e">
        <f t="shared" si="36"/>
        <v>#DIV/0!</v>
      </c>
      <c r="BI39" t="e">
        <f t="shared" si="37"/>
        <v>#DIV/0!</v>
      </c>
      <c r="BJ39" t="e">
        <f t="shared" si="38"/>
        <v>#DIV/0!</v>
      </c>
      <c r="BK39" t="e">
        <f t="shared" si="39"/>
        <v>#DIV/0!</v>
      </c>
      <c r="BL39" t="e">
        <f t="shared" si="40"/>
        <v>#DIV/0!</v>
      </c>
      <c r="BM39" t="e">
        <f t="shared" si="41"/>
        <v>#DIV/0!</v>
      </c>
      <c r="BN39">
        <v>11388</v>
      </c>
      <c r="BO39">
        <v>290.00000000000011</v>
      </c>
      <c r="BP39">
        <v>836.91</v>
      </c>
      <c r="BQ39">
        <v>295</v>
      </c>
      <c r="BR39">
        <v>7105.27</v>
      </c>
      <c r="BS39">
        <v>840.47</v>
      </c>
      <c r="BT39">
        <v>-3.56</v>
      </c>
      <c r="BU39">
        <v>300.00000000000011</v>
      </c>
      <c r="BV39">
        <v>38.299999999999997</v>
      </c>
      <c r="BW39">
        <v>930.33454439212483</v>
      </c>
      <c r="BX39">
        <v>2.1056617645826941</v>
      </c>
      <c r="BY39">
        <v>-63.85274797636783</v>
      </c>
      <c r="BZ39">
        <v>1.2541106862837059</v>
      </c>
      <c r="CA39">
        <v>0.98931425392172989</v>
      </c>
      <c r="CB39">
        <v>-7.0057750834260331E-3</v>
      </c>
      <c r="CC39">
        <v>289.99999999999989</v>
      </c>
      <c r="CD39">
        <v>849.47</v>
      </c>
      <c r="CE39">
        <v>855</v>
      </c>
      <c r="CF39">
        <v>7096.2</v>
      </c>
      <c r="CG39">
        <v>840.35</v>
      </c>
      <c r="CH39">
        <v>9.1199999999999992</v>
      </c>
      <c r="CV39">
        <f t="shared" si="42"/>
        <v>1800.02</v>
      </c>
      <c r="CW39">
        <f t="shared" si="43"/>
        <v>1513.2011996512638</v>
      </c>
      <c r="CX39">
        <f t="shared" si="44"/>
        <v>0.84065799249522988</v>
      </c>
      <c r="CY39">
        <f t="shared" si="45"/>
        <v>0.1913159849904601</v>
      </c>
      <c r="CZ39">
        <v>5.36</v>
      </c>
      <c r="DA39">
        <v>0.5</v>
      </c>
      <c r="DB39" t="s">
        <v>418</v>
      </c>
      <c r="DC39">
        <v>2</v>
      </c>
      <c r="DD39">
        <v>1700239367.0999999</v>
      </c>
      <c r="DE39">
        <v>254.83199999999999</v>
      </c>
      <c r="DF39">
        <v>299.99799999999999</v>
      </c>
      <c r="DG39">
        <v>28.478300000000001</v>
      </c>
      <c r="DH39">
        <v>22.6495</v>
      </c>
      <c r="DI39">
        <v>255.107</v>
      </c>
      <c r="DJ39">
        <v>28.476099999999999</v>
      </c>
      <c r="DK39">
        <v>500.101</v>
      </c>
      <c r="DL39">
        <v>98.67</v>
      </c>
      <c r="DM39">
        <v>9.9927199999999994E-2</v>
      </c>
      <c r="DN39">
        <v>30.222899999999999</v>
      </c>
      <c r="DO39">
        <v>30.008199999999999</v>
      </c>
      <c r="DP39">
        <v>999.9</v>
      </c>
      <c r="DQ39">
        <v>0</v>
      </c>
      <c r="DR39">
        <v>0</v>
      </c>
      <c r="DS39">
        <v>10014.4</v>
      </c>
      <c r="DT39">
        <v>0</v>
      </c>
      <c r="DU39">
        <v>280.35899999999998</v>
      </c>
      <c r="DV39">
        <v>-45.166400000000003</v>
      </c>
      <c r="DW39">
        <v>262.30099999999999</v>
      </c>
      <c r="DX39">
        <v>306.95</v>
      </c>
      <c r="DY39">
        <v>5.8288099999999998</v>
      </c>
      <c r="DZ39">
        <v>299.99799999999999</v>
      </c>
      <c r="EA39">
        <v>22.6495</v>
      </c>
      <c r="EB39">
        <v>2.8099500000000002</v>
      </c>
      <c r="EC39">
        <v>2.23482</v>
      </c>
      <c r="ED39">
        <v>22.942699999999999</v>
      </c>
      <c r="EE39">
        <v>19.214200000000002</v>
      </c>
      <c r="EF39">
        <v>1800.02</v>
      </c>
      <c r="EG39">
        <v>0.97800600000000004</v>
      </c>
      <c r="EH39">
        <v>2.19939E-2</v>
      </c>
      <c r="EI39">
        <v>0</v>
      </c>
      <c r="EJ39">
        <v>607.17600000000004</v>
      </c>
      <c r="EK39">
        <v>5.0005300000000004</v>
      </c>
      <c r="EL39">
        <v>15611.9</v>
      </c>
      <c r="EM39">
        <v>16035.5</v>
      </c>
      <c r="EN39">
        <v>49.936999999999998</v>
      </c>
      <c r="EO39">
        <v>51.186999999999998</v>
      </c>
      <c r="EP39">
        <v>50.625</v>
      </c>
      <c r="EQ39">
        <v>50.686999999999998</v>
      </c>
      <c r="ER39">
        <v>51</v>
      </c>
      <c r="ES39">
        <v>1755.54</v>
      </c>
      <c r="ET39">
        <v>39.479999999999997</v>
      </c>
      <c r="EU39">
        <v>0</v>
      </c>
      <c r="EV39">
        <v>179.5999999046326</v>
      </c>
      <c r="EW39">
        <v>0</v>
      </c>
      <c r="EX39">
        <v>606.99457692307692</v>
      </c>
      <c r="EY39">
        <v>-1.250495730150045</v>
      </c>
      <c r="EZ39">
        <v>-87.288889313522247</v>
      </c>
      <c r="FA39">
        <v>15660.43076923077</v>
      </c>
      <c r="FB39">
        <v>15</v>
      </c>
      <c r="FC39">
        <v>1700239264.5999999</v>
      </c>
      <c r="FD39" t="s">
        <v>519</v>
      </c>
      <c r="FE39">
        <v>1700239261.0999999</v>
      </c>
      <c r="FF39">
        <v>1700239264.5999999</v>
      </c>
      <c r="FG39">
        <v>26</v>
      </c>
      <c r="FH39">
        <v>0.316</v>
      </c>
      <c r="FI39">
        <v>-4.0000000000000001E-3</v>
      </c>
      <c r="FJ39">
        <v>-0.27900000000000003</v>
      </c>
      <c r="FK39">
        <v>2E-3</v>
      </c>
      <c r="FL39">
        <v>300</v>
      </c>
      <c r="FM39">
        <v>23</v>
      </c>
      <c r="FN39">
        <v>0.04</v>
      </c>
      <c r="FO39">
        <v>0.02</v>
      </c>
      <c r="FP39">
        <v>40.5947409134208</v>
      </c>
      <c r="FQ39">
        <v>0.67313998396625585</v>
      </c>
      <c r="FR39">
        <v>6.4330183525683371E-2</v>
      </c>
      <c r="FS39">
        <v>1</v>
      </c>
      <c r="FT39">
        <v>0.39140055082373232</v>
      </c>
      <c r="FU39">
        <v>1.2416144075272469E-2</v>
      </c>
      <c r="FV39">
        <v>1.323983964673741E-3</v>
      </c>
      <c r="FW39">
        <v>1</v>
      </c>
      <c r="FX39">
        <v>2</v>
      </c>
      <c r="FY39">
        <v>2</v>
      </c>
      <c r="FZ39" t="s">
        <v>420</v>
      </c>
      <c r="GA39">
        <v>3.1280999999999999</v>
      </c>
      <c r="GB39">
        <v>2.7669299999999999</v>
      </c>
      <c r="GC39">
        <v>6.1147E-2</v>
      </c>
      <c r="GD39">
        <v>7.0074700000000004E-2</v>
      </c>
      <c r="GE39">
        <v>0.119738</v>
      </c>
      <c r="GF39">
        <v>0.102163</v>
      </c>
      <c r="GG39">
        <v>22275.5</v>
      </c>
      <c r="GH39">
        <v>22977.599999999999</v>
      </c>
      <c r="GI39">
        <v>23600.5</v>
      </c>
      <c r="GJ39">
        <v>25036.6</v>
      </c>
      <c r="GK39">
        <v>29922.9</v>
      </c>
      <c r="GL39">
        <v>31514.1</v>
      </c>
      <c r="GM39">
        <v>37626.1</v>
      </c>
      <c r="GN39">
        <v>38969.9</v>
      </c>
      <c r="GO39">
        <v>2.13645</v>
      </c>
      <c r="GP39">
        <v>1.74268</v>
      </c>
      <c r="GQ39">
        <v>-5.9545000000000001E-2</v>
      </c>
      <c r="GR39">
        <v>0</v>
      </c>
      <c r="GS39">
        <v>30.976400000000002</v>
      </c>
      <c r="GT39">
        <v>999.9</v>
      </c>
      <c r="GU39">
        <v>49.2</v>
      </c>
      <c r="GV39">
        <v>36.6</v>
      </c>
      <c r="GW39">
        <v>30.756699999999999</v>
      </c>
      <c r="GX39">
        <v>60.081000000000003</v>
      </c>
      <c r="GY39">
        <v>26.470400000000001</v>
      </c>
      <c r="GZ39">
        <v>1</v>
      </c>
      <c r="HA39">
        <v>0.75555899999999998</v>
      </c>
      <c r="HB39">
        <v>3.86476</v>
      </c>
      <c r="HC39">
        <v>20.276499999999999</v>
      </c>
      <c r="HD39">
        <v>5.2524800000000003</v>
      </c>
      <c r="HE39">
        <v>12.0099</v>
      </c>
      <c r="HF39">
        <v>4.9790000000000001</v>
      </c>
      <c r="HG39">
        <v>3.2930000000000001</v>
      </c>
      <c r="HH39">
        <v>9999</v>
      </c>
      <c r="HI39">
        <v>9999</v>
      </c>
      <c r="HJ39">
        <v>9999</v>
      </c>
      <c r="HK39">
        <v>999.9</v>
      </c>
      <c r="HL39">
        <v>1.8761099999999999</v>
      </c>
      <c r="HM39">
        <v>1.87696</v>
      </c>
      <c r="HN39">
        <v>1.88324</v>
      </c>
      <c r="HO39">
        <v>1.88635</v>
      </c>
      <c r="HP39">
        <v>1.87714</v>
      </c>
      <c r="HQ39">
        <v>1.8836999999999999</v>
      </c>
      <c r="HR39">
        <v>1.88263</v>
      </c>
      <c r="HS39">
        <v>1.88602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424</v>
      </c>
      <c r="IB39" t="s">
        <v>424</v>
      </c>
      <c r="IC39" t="s">
        <v>423</v>
      </c>
      <c r="ID39">
        <v>0</v>
      </c>
      <c r="IE39">
        <v>100</v>
      </c>
      <c r="IF39">
        <v>100</v>
      </c>
      <c r="IG39">
        <v>-0.27500000000000002</v>
      </c>
      <c r="IH39">
        <v>2.2000000000000001E-3</v>
      </c>
      <c r="II39">
        <v>-0.27286070112164001</v>
      </c>
      <c r="IJ39">
        <v>4.4610147972834149E-5</v>
      </c>
      <c r="IK39">
        <v>-2.082673137682459E-7</v>
      </c>
      <c r="IL39">
        <v>-4.0725795306076518E-11</v>
      </c>
      <c r="IM39">
        <v>2.209523809518998E-3</v>
      </c>
      <c r="IN39">
        <v>0</v>
      </c>
      <c r="IO39">
        <v>0</v>
      </c>
      <c r="IP39">
        <v>0</v>
      </c>
      <c r="IQ39">
        <v>3</v>
      </c>
      <c r="IR39">
        <v>2179</v>
      </c>
      <c r="IS39">
        <v>0</v>
      </c>
      <c r="IT39">
        <v>22</v>
      </c>
      <c r="IU39">
        <v>1.8</v>
      </c>
      <c r="IV39">
        <v>1.7</v>
      </c>
      <c r="IW39">
        <v>0.80810499999999996</v>
      </c>
      <c r="IX39">
        <v>2.66479</v>
      </c>
      <c r="IY39">
        <v>1.6003400000000001</v>
      </c>
      <c r="IZ39">
        <v>2.33521</v>
      </c>
      <c r="JA39">
        <v>1.5502899999999999</v>
      </c>
      <c r="JB39">
        <v>2.34985</v>
      </c>
      <c r="JC39">
        <v>41.691200000000002</v>
      </c>
      <c r="JD39">
        <v>24.078700000000001</v>
      </c>
      <c r="JE39">
        <v>18</v>
      </c>
      <c r="JF39">
        <v>618.89400000000001</v>
      </c>
      <c r="JG39">
        <v>390.70699999999999</v>
      </c>
      <c r="JH39">
        <v>26.558499999999999</v>
      </c>
      <c r="JI39">
        <v>36.225299999999997</v>
      </c>
      <c r="JJ39">
        <v>30.000800000000002</v>
      </c>
      <c r="JK39">
        <v>36.046599999999998</v>
      </c>
      <c r="JL39">
        <v>36.027200000000001</v>
      </c>
      <c r="JM39">
        <v>16.153600000000001</v>
      </c>
      <c r="JN39">
        <v>34.825800000000001</v>
      </c>
      <c r="JO39">
        <v>58.1738</v>
      </c>
      <c r="JP39">
        <v>26.561800000000002</v>
      </c>
      <c r="JQ39">
        <v>300</v>
      </c>
      <c r="JR39">
        <v>22.671500000000002</v>
      </c>
      <c r="JS39">
        <v>98.132499999999993</v>
      </c>
      <c r="JT39">
        <v>98.613299999999995</v>
      </c>
    </row>
    <row r="40" spans="1:280" x14ac:dyDescent="0.25">
      <c r="A40">
        <v>24</v>
      </c>
      <c r="B40">
        <v>1700239518.5999999</v>
      </c>
      <c r="C40">
        <v>4281.0999999046326</v>
      </c>
      <c r="D40" t="s">
        <v>520</v>
      </c>
      <c r="E40" t="s">
        <v>521</v>
      </c>
      <c r="F40" t="s">
        <v>412</v>
      </c>
      <c r="G40" t="s">
        <v>483</v>
      </c>
      <c r="H40" t="s">
        <v>484</v>
      </c>
      <c r="I40">
        <v>1700239518.5999999</v>
      </c>
      <c r="J40">
        <f t="shared" si="0"/>
        <v>6.494812005463934E-3</v>
      </c>
      <c r="K40">
        <f t="shared" si="1"/>
        <v>6.4948120054639338</v>
      </c>
      <c r="L40">
        <f t="shared" si="2"/>
        <v>30.850609246115898</v>
      </c>
      <c r="M40">
        <f t="shared" si="3"/>
        <v>165.786</v>
      </c>
      <c r="N40">
        <f t="shared" si="4"/>
        <v>50.448618216234117</v>
      </c>
      <c r="O40">
        <f t="shared" si="5"/>
        <v>4.983044985656786</v>
      </c>
      <c r="P40">
        <f t="shared" si="6"/>
        <v>16.375455368295</v>
      </c>
      <c r="Q40">
        <f t="shared" si="7"/>
        <v>0.46977376929005948</v>
      </c>
      <c r="R40">
        <f t="shared" si="8"/>
        <v>3.0337995151243708</v>
      </c>
      <c r="S40">
        <f t="shared" si="9"/>
        <v>0.43278293943246587</v>
      </c>
      <c r="T40">
        <f t="shared" si="10"/>
        <v>0.27356968187872388</v>
      </c>
      <c r="U40">
        <f t="shared" si="11"/>
        <v>344.34789930247757</v>
      </c>
      <c r="V40">
        <f t="shared" si="12"/>
        <v>30.59422188863012</v>
      </c>
      <c r="W40">
        <f t="shared" si="13"/>
        <v>29.946300000000001</v>
      </c>
      <c r="X40">
        <f t="shared" si="14"/>
        <v>4.2473261327470908</v>
      </c>
      <c r="Y40">
        <f t="shared" si="15"/>
        <v>65.148156924062732</v>
      </c>
      <c r="Z40">
        <f t="shared" si="16"/>
        <v>2.8180212235435</v>
      </c>
      <c r="AA40">
        <f t="shared" si="17"/>
        <v>4.3255578616417507</v>
      </c>
      <c r="AB40">
        <f t="shared" si="18"/>
        <v>1.4293049092035908</v>
      </c>
      <c r="AC40">
        <f t="shared" si="19"/>
        <v>-286.4212094409595</v>
      </c>
      <c r="AD40">
        <f t="shared" si="20"/>
        <v>52.011507428084109</v>
      </c>
      <c r="AE40">
        <f t="shared" si="21"/>
        <v>3.8159658703549324</v>
      </c>
      <c r="AF40">
        <f t="shared" si="22"/>
        <v>113.75416315995713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51630.115839403261</v>
      </c>
      <c r="AL40" t="s">
        <v>415</v>
      </c>
      <c r="AM40">
        <v>6977.87</v>
      </c>
      <c r="AN40">
        <v>273.15280000000001</v>
      </c>
      <c r="AO40">
        <v>850.46774885301022</v>
      </c>
      <c r="AP40">
        <f t="shared" si="26"/>
        <v>0.67882050745793765</v>
      </c>
      <c r="AQ40">
        <v>-1.0323826813720729</v>
      </c>
      <c r="AR40" t="s">
        <v>522</v>
      </c>
      <c r="AS40">
        <v>7102.95</v>
      </c>
      <c r="AT40">
        <v>621.67692307692312</v>
      </c>
      <c r="AU40">
        <v>831.87420784620406</v>
      </c>
      <c r="AV40">
        <f t="shared" si="27"/>
        <v>0.25267917046436661</v>
      </c>
      <c r="AW40">
        <v>0.5</v>
      </c>
      <c r="AX40">
        <f t="shared" si="28"/>
        <v>1513.0919996512389</v>
      </c>
      <c r="AY40">
        <f t="shared" si="29"/>
        <v>30.850609246115898</v>
      </c>
      <c r="AZ40">
        <f t="shared" si="30"/>
        <v>191.16341565407237</v>
      </c>
      <c r="BA40">
        <f t="shared" si="31"/>
        <v>2.1071416632192135E-2</v>
      </c>
      <c r="BB40">
        <f t="shared" si="32"/>
        <v>2.2351385379463184E-2</v>
      </c>
      <c r="BC40">
        <f t="shared" si="33"/>
        <v>271.20586553877217</v>
      </c>
      <c r="BD40" t="s">
        <v>523</v>
      </c>
      <c r="BE40">
        <v>444.24</v>
      </c>
      <c r="BF40">
        <f t="shared" si="34"/>
        <v>444.24</v>
      </c>
      <c r="BG40">
        <f t="shared" si="35"/>
        <v>0.46597695203199452</v>
      </c>
      <c r="BH40">
        <f t="shared" si="36"/>
        <v>0.54225679910241009</v>
      </c>
      <c r="BI40">
        <f t="shared" si="37"/>
        <v>4.577122330836652E-2</v>
      </c>
      <c r="BJ40">
        <f t="shared" si="38"/>
        <v>0.37621125988274406</v>
      </c>
      <c r="BK40">
        <f t="shared" si="39"/>
        <v>3.2206928027322314E-2</v>
      </c>
      <c r="BL40">
        <f t="shared" si="40"/>
        <v>0.3874876989819484</v>
      </c>
      <c r="BM40">
        <f t="shared" si="41"/>
        <v>0.61251230101805154</v>
      </c>
      <c r="BN40">
        <v>11390</v>
      </c>
      <c r="BO40">
        <v>290.00000000000011</v>
      </c>
      <c r="BP40">
        <v>772.54</v>
      </c>
      <c r="BQ40">
        <v>295</v>
      </c>
      <c r="BR40">
        <v>7102.95</v>
      </c>
      <c r="BS40">
        <v>774.61</v>
      </c>
      <c r="BT40">
        <v>-2.0699999999999998</v>
      </c>
      <c r="BU40">
        <v>300.00000000000011</v>
      </c>
      <c r="BV40">
        <v>38.299999999999997</v>
      </c>
      <c r="BW40">
        <v>831.87420784620406</v>
      </c>
      <c r="BX40">
        <v>1.2653401394715651</v>
      </c>
      <c r="BY40">
        <v>-40.675670701885473</v>
      </c>
      <c r="BZ40">
        <v>0.75337806247982009</v>
      </c>
      <c r="CA40">
        <v>0.99048600607750259</v>
      </c>
      <c r="CB40">
        <v>-7.0031190211345892E-3</v>
      </c>
      <c r="CC40">
        <v>289.99999999999989</v>
      </c>
      <c r="CD40">
        <v>780.38</v>
      </c>
      <c r="CE40">
        <v>775</v>
      </c>
      <c r="CF40">
        <v>7095.24</v>
      </c>
      <c r="CG40">
        <v>774.55</v>
      </c>
      <c r="CH40">
        <v>5.83</v>
      </c>
      <c r="CV40">
        <f t="shared" si="42"/>
        <v>1799.89</v>
      </c>
      <c r="CW40">
        <f t="shared" si="43"/>
        <v>1513.0919996512389</v>
      </c>
      <c r="CX40">
        <f t="shared" si="44"/>
        <v>0.84065804001980049</v>
      </c>
      <c r="CY40">
        <f t="shared" si="45"/>
        <v>0.19131608003960107</v>
      </c>
      <c r="CZ40">
        <v>5.36</v>
      </c>
      <c r="DA40">
        <v>0.5</v>
      </c>
      <c r="DB40" t="s">
        <v>418</v>
      </c>
      <c r="DC40">
        <v>2</v>
      </c>
      <c r="DD40">
        <v>1700239518.5999999</v>
      </c>
      <c r="DE40">
        <v>165.786</v>
      </c>
      <c r="DF40">
        <v>200.00200000000001</v>
      </c>
      <c r="DG40">
        <v>28.529800000000002</v>
      </c>
      <c r="DH40">
        <v>21.768000000000001</v>
      </c>
      <c r="DI40">
        <v>165.96100000000001</v>
      </c>
      <c r="DJ40">
        <v>28.525500000000001</v>
      </c>
      <c r="DK40">
        <v>500.14800000000002</v>
      </c>
      <c r="DL40">
        <v>98.674700000000001</v>
      </c>
      <c r="DM40">
        <v>9.9957500000000005E-2</v>
      </c>
      <c r="DN40">
        <v>30.264299999999999</v>
      </c>
      <c r="DO40">
        <v>29.946300000000001</v>
      </c>
      <c r="DP40">
        <v>999.9</v>
      </c>
      <c r="DQ40">
        <v>0</v>
      </c>
      <c r="DR40">
        <v>0</v>
      </c>
      <c r="DS40">
        <v>10003.1</v>
      </c>
      <c r="DT40">
        <v>0</v>
      </c>
      <c r="DU40">
        <v>281.685</v>
      </c>
      <c r="DV40">
        <v>-34.216099999999997</v>
      </c>
      <c r="DW40">
        <v>170.655</v>
      </c>
      <c r="DX40">
        <v>204.453</v>
      </c>
      <c r="DY40">
        <v>6.7617900000000004</v>
      </c>
      <c r="DZ40">
        <v>200.00200000000001</v>
      </c>
      <c r="EA40">
        <v>21.768000000000001</v>
      </c>
      <c r="EB40">
        <v>2.8151700000000002</v>
      </c>
      <c r="EC40">
        <v>2.1479499999999998</v>
      </c>
      <c r="ED40">
        <v>22.973299999999998</v>
      </c>
      <c r="EE40">
        <v>18.5793</v>
      </c>
      <c r="EF40">
        <v>1799.89</v>
      </c>
      <c r="EG40">
        <v>0.97800600000000004</v>
      </c>
      <c r="EH40">
        <v>2.19939E-2</v>
      </c>
      <c r="EI40">
        <v>0</v>
      </c>
      <c r="EJ40">
        <v>621.42700000000002</v>
      </c>
      <c r="EK40">
        <v>5.0005300000000004</v>
      </c>
      <c r="EL40">
        <v>16245.4</v>
      </c>
      <c r="EM40">
        <v>16034.3</v>
      </c>
      <c r="EN40">
        <v>50.25</v>
      </c>
      <c r="EO40">
        <v>51.5</v>
      </c>
      <c r="EP40">
        <v>50.936999999999998</v>
      </c>
      <c r="EQ40">
        <v>50.936999999999998</v>
      </c>
      <c r="ER40">
        <v>51.25</v>
      </c>
      <c r="ES40">
        <v>1755.41</v>
      </c>
      <c r="ET40">
        <v>39.479999999999997</v>
      </c>
      <c r="EU40">
        <v>0</v>
      </c>
      <c r="EV40">
        <v>330.79999995231628</v>
      </c>
      <c r="EW40">
        <v>0</v>
      </c>
      <c r="EX40">
        <v>621.67692307692312</v>
      </c>
      <c r="EY40">
        <v>-0.96464957097411563</v>
      </c>
      <c r="EZ40">
        <v>171.7572647257891</v>
      </c>
      <c r="FA40">
        <v>16177.034615384609</v>
      </c>
      <c r="FB40">
        <v>15</v>
      </c>
      <c r="FC40">
        <v>1700239458.5999999</v>
      </c>
      <c r="FD40" t="s">
        <v>524</v>
      </c>
      <c r="FE40">
        <v>1700239451.5999999</v>
      </c>
      <c r="FF40">
        <v>1700239458.5999999</v>
      </c>
      <c r="FG40">
        <v>27</v>
      </c>
      <c r="FH40">
        <v>9.6000000000000002E-2</v>
      </c>
      <c r="FI40">
        <v>2E-3</v>
      </c>
      <c r="FJ40">
        <v>-0.17599999999999999</v>
      </c>
      <c r="FK40">
        <v>4.0000000000000001E-3</v>
      </c>
      <c r="FL40">
        <v>200</v>
      </c>
      <c r="FM40">
        <v>22</v>
      </c>
      <c r="FN40">
        <v>0.04</v>
      </c>
      <c r="FO40">
        <v>0.02</v>
      </c>
      <c r="FP40">
        <v>30.789046502944601</v>
      </c>
      <c r="FQ40">
        <v>0.69289401577524756</v>
      </c>
      <c r="FR40">
        <v>5.5748856234620947E-2</v>
      </c>
      <c r="FS40">
        <v>1</v>
      </c>
      <c r="FT40">
        <v>0.46513521940284619</v>
      </c>
      <c r="FU40">
        <v>2.1380428951910169E-2</v>
      </c>
      <c r="FV40">
        <v>1.9223994604907219E-3</v>
      </c>
      <c r="FW40">
        <v>1</v>
      </c>
      <c r="FX40">
        <v>2</v>
      </c>
      <c r="FY40">
        <v>2</v>
      </c>
      <c r="FZ40" t="s">
        <v>420</v>
      </c>
      <c r="GA40">
        <v>3.1289600000000002</v>
      </c>
      <c r="GB40">
        <v>2.7668599999999999</v>
      </c>
      <c r="GC40">
        <v>4.1845899999999998E-2</v>
      </c>
      <c r="GD40">
        <v>4.9571499999999998E-2</v>
      </c>
      <c r="GE40">
        <v>0.11981600000000001</v>
      </c>
      <c r="GF40">
        <v>9.9263500000000005E-2</v>
      </c>
      <c r="GG40">
        <v>22720.2</v>
      </c>
      <c r="GH40">
        <v>23471.8</v>
      </c>
      <c r="GI40">
        <v>23588.5</v>
      </c>
      <c r="GJ40">
        <v>25025.1</v>
      </c>
      <c r="GK40">
        <v>29905.5</v>
      </c>
      <c r="GL40">
        <v>31602.1</v>
      </c>
      <c r="GM40">
        <v>37607.699999999997</v>
      </c>
      <c r="GN40">
        <v>38953.199999999997</v>
      </c>
      <c r="GO40">
        <v>2.1347999999999998</v>
      </c>
      <c r="GP40">
        <v>1.7357499999999999</v>
      </c>
      <c r="GQ40">
        <v>-7.9091599999999998E-2</v>
      </c>
      <c r="GR40">
        <v>0</v>
      </c>
      <c r="GS40">
        <v>31.232099999999999</v>
      </c>
      <c r="GT40">
        <v>999.9</v>
      </c>
      <c r="GU40">
        <v>48.2</v>
      </c>
      <c r="GV40">
        <v>36.799999999999997</v>
      </c>
      <c r="GW40">
        <v>30.4617</v>
      </c>
      <c r="GX40">
        <v>60.491</v>
      </c>
      <c r="GY40">
        <v>26.826899999999998</v>
      </c>
      <c r="GZ40">
        <v>1</v>
      </c>
      <c r="HA40">
        <v>0.77344500000000005</v>
      </c>
      <c r="HB40">
        <v>3.4000400000000002</v>
      </c>
      <c r="HC40">
        <v>20.285299999999999</v>
      </c>
      <c r="HD40">
        <v>5.2524800000000003</v>
      </c>
      <c r="HE40">
        <v>12.0099</v>
      </c>
      <c r="HF40">
        <v>4.9793500000000002</v>
      </c>
      <c r="HG40">
        <v>3.2930000000000001</v>
      </c>
      <c r="HH40">
        <v>9999</v>
      </c>
      <c r="HI40">
        <v>9999</v>
      </c>
      <c r="HJ40">
        <v>9999</v>
      </c>
      <c r="HK40">
        <v>999.9</v>
      </c>
      <c r="HL40">
        <v>1.8761099999999999</v>
      </c>
      <c r="HM40">
        <v>1.8769499999999999</v>
      </c>
      <c r="HN40">
        <v>1.88324</v>
      </c>
      <c r="HO40">
        <v>1.8863099999999999</v>
      </c>
      <c r="HP40">
        <v>1.87714</v>
      </c>
      <c r="HQ40">
        <v>1.8836999999999999</v>
      </c>
      <c r="HR40">
        <v>1.88263</v>
      </c>
      <c r="HS40">
        <v>1.8859900000000001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424</v>
      </c>
      <c r="IB40" t="s">
        <v>424</v>
      </c>
      <c r="IC40" t="s">
        <v>423</v>
      </c>
      <c r="ID40">
        <v>0</v>
      </c>
      <c r="IE40">
        <v>100</v>
      </c>
      <c r="IF40">
        <v>100</v>
      </c>
      <c r="IG40">
        <v>-0.17499999999999999</v>
      </c>
      <c r="IH40">
        <v>4.3E-3</v>
      </c>
      <c r="II40">
        <v>-0.17670750337013921</v>
      </c>
      <c r="IJ40">
        <v>4.4610147972834149E-5</v>
      </c>
      <c r="IK40">
        <v>-2.082673137682459E-7</v>
      </c>
      <c r="IL40">
        <v>-4.0725795306076518E-11</v>
      </c>
      <c r="IM40">
        <v>4.2699999999982197E-3</v>
      </c>
      <c r="IN40">
        <v>0</v>
      </c>
      <c r="IO40">
        <v>0</v>
      </c>
      <c r="IP40">
        <v>0</v>
      </c>
      <c r="IQ40">
        <v>3</v>
      </c>
      <c r="IR40">
        <v>2179</v>
      </c>
      <c r="IS40">
        <v>0</v>
      </c>
      <c r="IT40">
        <v>22</v>
      </c>
      <c r="IU40">
        <v>1.1000000000000001</v>
      </c>
      <c r="IV40">
        <v>1</v>
      </c>
      <c r="IW40">
        <v>0.59326199999999996</v>
      </c>
      <c r="IX40">
        <v>2.67578</v>
      </c>
      <c r="IY40">
        <v>1.6015600000000001</v>
      </c>
      <c r="IZ40">
        <v>2.3327599999999999</v>
      </c>
      <c r="JA40">
        <v>1.5502899999999999</v>
      </c>
      <c r="JB40">
        <v>2.47925</v>
      </c>
      <c r="JC40">
        <v>41.848599999999998</v>
      </c>
      <c r="JD40">
        <v>24.087499999999999</v>
      </c>
      <c r="JE40">
        <v>18</v>
      </c>
      <c r="JF40">
        <v>620.07799999999997</v>
      </c>
      <c r="JG40">
        <v>387.98099999999999</v>
      </c>
      <c r="JH40">
        <v>26.816199999999998</v>
      </c>
      <c r="JI40">
        <v>36.489800000000002</v>
      </c>
      <c r="JJ40">
        <v>30.000399999999999</v>
      </c>
      <c r="JK40">
        <v>36.3127</v>
      </c>
      <c r="JL40">
        <v>36.292999999999999</v>
      </c>
      <c r="JM40">
        <v>11.847</v>
      </c>
      <c r="JN40">
        <v>36.502299999999998</v>
      </c>
      <c r="JO40">
        <v>54.578000000000003</v>
      </c>
      <c r="JP40">
        <v>26.849799999999998</v>
      </c>
      <c r="JQ40">
        <v>200</v>
      </c>
      <c r="JR40">
        <v>21.705400000000001</v>
      </c>
      <c r="JS40">
        <v>98.083799999999997</v>
      </c>
      <c r="JT40">
        <v>98.569699999999997</v>
      </c>
    </row>
    <row r="41" spans="1:280" x14ac:dyDescent="0.25">
      <c r="A41">
        <v>25</v>
      </c>
      <c r="B41">
        <v>1700239649.5999999</v>
      </c>
      <c r="C41">
        <v>4412.0999999046326</v>
      </c>
      <c r="D41" t="s">
        <v>525</v>
      </c>
      <c r="E41" t="s">
        <v>526</v>
      </c>
      <c r="F41" t="s">
        <v>412</v>
      </c>
      <c r="G41" t="s">
        <v>483</v>
      </c>
      <c r="H41" t="s">
        <v>484</v>
      </c>
      <c r="I41">
        <v>1700239649.5999999</v>
      </c>
      <c r="J41">
        <f t="shared" si="0"/>
        <v>6.9919647328939996E-3</v>
      </c>
      <c r="K41">
        <f t="shared" si="1"/>
        <v>6.991964732894</v>
      </c>
      <c r="L41">
        <f t="shared" si="2"/>
        <v>19.764583792177785</v>
      </c>
      <c r="M41">
        <f t="shared" si="3"/>
        <v>98.082099999999997</v>
      </c>
      <c r="N41">
        <f t="shared" si="4"/>
        <v>30.755353061952171</v>
      </c>
      <c r="O41">
        <f t="shared" si="5"/>
        <v>3.0379929848409652</v>
      </c>
      <c r="P41">
        <f t="shared" si="6"/>
        <v>9.6884835345003992</v>
      </c>
      <c r="Q41">
        <f t="shared" si="7"/>
        <v>0.51933166779053985</v>
      </c>
      <c r="R41">
        <f t="shared" si="8"/>
        <v>3.0300235037400212</v>
      </c>
      <c r="S41">
        <f t="shared" si="9"/>
        <v>0.47447239528311796</v>
      </c>
      <c r="T41">
        <f t="shared" si="10"/>
        <v>0.30025210151355719</v>
      </c>
      <c r="U41">
        <f t="shared" si="11"/>
        <v>344.37199930270464</v>
      </c>
      <c r="V41">
        <f t="shared" si="12"/>
        <v>30.532017871274494</v>
      </c>
      <c r="W41">
        <f t="shared" si="13"/>
        <v>29.9481</v>
      </c>
      <c r="X41">
        <f t="shared" si="14"/>
        <v>4.2477654599295001</v>
      </c>
      <c r="Y41">
        <f t="shared" si="15"/>
        <v>65.523156225816507</v>
      </c>
      <c r="Z41">
        <f t="shared" si="16"/>
        <v>2.8443802683771997</v>
      </c>
      <c r="AA41">
        <f t="shared" si="17"/>
        <v>4.3410306099639584</v>
      </c>
      <c r="AB41">
        <f t="shared" si="18"/>
        <v>1.4033851915523003</v>
      </c>
      <c r="AC41">
        <f t="shared" si="19"/>
        <v>-308.34564472062539</v>
      </c>
      <c r="AD41">
        <f t="shared" si="20"/>
        <v>61.829726370079548</v>
      </c>
      <c r="AE41">
        <f t="shared" si="21"/>
        <v>4.5434008345018562</v>
      </c>
      <c r="AF41">
        <f t="shared" si="22"/>
        <v>102.39948178666069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51519.879932825839</v>
      </c>
      <c r="AL41" t="s">
        <v>427</v>
      </c>
      <c r="AM41" t="s">
        <v>427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427</v>
      </c>
      <c r="AS41" t="s">
        <v>427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1513.2008996513523</v>
      </c>
      <c r="AY41">
        <f t="shared" si="29"/>
        <v>19.764583792177785</v>
      </c>
      <c r="AZ41" t="e">
        <f t="shared" si="30"/>
        <v>#DIV/0!</v>
      </c>
      <c r="BA41">
        <f t="shared" si="31"/>
        <v>1.3061440682946743E-2</v>
      </c>
      <c r="BB41" t="e">
        <f t="shared" si="32"/>
        <v>#DIV/0!</v>
      </c>
      <c r="BC41" t="e">
        <f t="shared" si="33"/>
        <v>#DIV/0!</v>
      </c>
      <c r="BD41" t="s">
        <v>427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BN41">
        <v>11390</v>
      </c>
      <c r="BO41">
        <v>290.00000000000011</v>
      </c>
      <c r="BP41">
        <v>772.54</v>
      </c>
      <c r="BQ41">
        <v>295</v>
      </c>
      <c r="BR41">
        <v>7102.95</v>
      </c>
      <c r="BS41">
        <v>774.61</v>
      </c>
      <c r="BT41">
        <v>-2.0699999999999998</v>
      </c>
      <c r="BU41">
        <v>300.00000000000011</v>
      </c>
      <c r="BV41">
        <v>38.299999999999997</v>
      </c>
      <c r="BW41">
        <v>831.87420784620406</v>
      </c>
      <c r="BX41">
        <v>1.2653401394715651</v>
      </c>
      <c r="BY41">
        <v>-40.675670701885473</v>
      </c>
      <c r="BZ41">
        <v>0.75337806247982009</v>
      </c>
      <c r="CA41">
        <v>0.99048600607750259</v>
      </c>
      <c r="CB41">
        <v>-7.0031190211345892E-3</v>
      </c>
      <c r="CC41">
        <v>289.99999999999989</v>
      </c>
      <c r="CD41">
        <v>780.38</v>
      </c>
      <c r="CE41">
        <v>775</v>
      </c>
      <c r="CF41">
        <v>7095.24</v>
      </c>
      <c r="CG41">
        <v>774.55</v>
      </c>
      <c r="CH41">
        <v>5.83</v>
      </c>
      <c r="CV41">
        <f t="shared" si="42"/>
        <v>1800.02</v>
      </c>
      <c r="CW41">
        <f t="shared" si="43"/>
        <v>1513.2008996513523</v>
      </c>
      <c r="CX41">
        <f t="shared" si="44"/>
        <v>0.84065782583046422</v>
      </c>
      <c r="CY41">
        <f t="shared" si="45"/>
        <v>0.19131565166092857</v>
      </c>
      <c r="CZ41">
        <v>5.36</v>
      </c>
      <c r="DA41">
        <v>0.5</v>
      </c>
      <c r="DB41" t="s">
        <v>418</v>
      </c>
      <c r="DC41">
        <v>2</v>
      </c>
      <c r="DD41">
        <v>1700239649.5999999</v>
      </c>
      <c r="DE41">
        <v>98.082099999999997</v>
      </c>
      <c r="DF41">
        <v>119.996</v>
      </c>
      <c r="DG41">
        <v>28.795300000000001</v>
      </c>
      <c r="DH41">
        <v>21.518699999999999</v>
      </c>
      <c r="DI41">
        <v>98.1614</v>
      </c>
      <c r="DJ41">
        <v>28.790700000000001</v>
      </c>
      <c r="DK41">
        <v>500.20299999999997</v>
      </c>
      <c r="DL41">
        <v>98.679199999999994</v>
      </c>
      <c r="DM41">
        <v>0.100124</v>
      </c>
      <c r="DN41">
        <v>30.326599999999999</v>
      </c>
      <c r="DO41">
        <v>29.9481</v>
      </c>
      <c r="DP41">
        <v>999.9</v>
      </c>
      <c r="DQ41">
        <v>0</v>
      </c>
      <c r="DR41">
        <v>0</v>
      </c>
      <c r="DS41">
        <v>9982.5</v>
      </c>
      <c r="DT41">
        <v>0</v>
      </c>
      <c r="DU41">
        <v>279.82</v>
      </c>
      <c r="DV41">
        <v>-21.914400000000001</v>
      </c>
      <c r="DW41">
        <v>100.99</v>
      </c>
      <c r="DX41">
        <v>122.63500000000001</v>
      </c>
      <c r="DY41">
        <v>7.2765300000000002</v>
      </c>
      <c r="DZ41">
        <v>119.996</v>
      </c>
      <c r="EA41">
        <v>21.518699999999999</v>
      </c>
      <c r="EB41">
        <v>2.8414999999999999</v>
      </c>
      <c r="EC41">
        <v>2.1234500000000001</v>
      </c>
      <c r="ED41">
        <v>23.127099999999999</v>
      </c>
      <c r="EE41">
        <v>18.3962</v>
      </c>
      <c r="EF41">
        <v>1800.02</v>
      </c>
      <c r="EG41">
        <v>0.97801000000000005</v>
      </c>
      <c r="EH41">
        <v>2.19904E-2</v>
      </c>
      <c r="EI41">
        <v>0</v>
      </c>
      <c r="EJ41">
        <v>645.51</v>
      </c>
      <c r="EK41">
        <v>5.0005300000000004</v>
      </c>
      <c r="EL41">
        <v>16686</v>
      </c>
      <c r="EM41">
        <v>16035.5</v>
      </c>
      <c r="EN41">
        <v>50.436999999999998</v>
      </c>
      <c r="EO41">
        <v>51.75</v>
      </c>
      <c r="EP41">
        <v>51.125</v>
      </c>
      <c r="EQ41">
        <v>51.125</v>
      </c>
      <c r="ER41">
        <v>51.5</v>
      </c>
      <c r="ES41">
        <v>1755.55</v>
      </c>
      <c r="ET41">
        <v>39.47</v>
      </c>
      <c r="EU41">
        <v>0</v>
      </c>
      <c r="EV41">
        <v>129</v>
      </c>
      <c r="EW41">
        <v>0</v>
      </c>
      <c r="EX41">
        <v>645.10792307692304</v>
      </c>
      <c r="EY41">
        <v>-0.63343587833834736</v>
      </c>
      <c r="EZ41">
        <v>32.659829398454143</v>
      </c>
      <c r="FA41">
        <v>16692.942307692309</v>
      </c>
      <c r="FB41">
        <v>15</v>
      </c>
      <c r="FC41">
        <v>1700239602.0999999</v>
      </c>
      <c r="FD41" t="s">
        <v>527</v>
      </c>
      <c r="FE41">
        <v>1700239587.5999999</v>
      </c>
      <c r="FF41">
        <v>1700239602.0999999</v>
      </c>
      <c r="FG41">
        <v>28</v>
      </c>
      <c r="FH41">
        <v>9.5000000000000001E-2</v>
      </c>
      <c r="FI41">
        <v>0</v>
      </c>
      <c r="FJ41">
        <v>-7.9000000000000001E-2</v>
      </c>
      <c r="FK41">
        <v>5.0000000000000001E-3</v>
      </c>
      <c r="FL41">
        <v>120</v>
      </c>
      <c r="FM41">
        <v>22</v>
      </c>
      <c r="FN41">
        <v>0.09</v>
      </c>
      <c r="FO41">
        <v>0.01</v>
      </c>
      <c r="FP41">
        <v>19.68641134354823</v>
      </c>
      <c r="FQ41">
        <v>0.56977991455349875</v>
      </c>
      <c r="FR41">
        <v>4.7962239462915793E-2</v>
      </c>
      <c r="FS41">
        <v>1</v>
      </c>
      <c r="FT41">
        <v>0.51646919902251642</v>
      </c>
      <c r="FU41">
        <v>3.5028542587617569E-2</v>
      </c>
      <c r="FV41">
        <v>3.2436059631875749E-3</v>
      </c>
      <c r="FW41">
        <v>1</v>
      </c>
      <c r="FX41">
        <v>2</v>
      </c>
      <c r="FY41">
        <v>2</v>
      </c>
      <c r="FZ41" t="s">
        <v>420</v>
      </c>
      <c r="GA41">
        <v>3.1295600000000001</v>
      </c>
      <c r="GB41">
        <v>2.7668499999999998</v>
      </c>
      <c r="GC41">
        <v>2.55424E-2</v>
      </c>
      <c r="GD41">
        <v>3.0998100000000001E-2</v>
      </c>
      <c r="GE41">
        <v>0.12053999999999999</v>
      </c>
      <c r="GF41">
        <v>9.8413100000000003E-2</v>
      </c>
      <c r="GG41">
        <v>23099.3</v>
      </c>
      <c r="GH41">
        <v>23922.799999999999</v>
      </c>
      <c r="GI41">
        <v>23582.400000000001</v>
      </c>
      <c r="GJ41">
        <v>25018.7</v>
      </c>
      <c r="GK41">
        <v>29873.9</v>
      </c>
      <c r="GL41">
        <v>31624.6</v>
      </c>
      <c r="GM41">
        <v>37599</v>
      </c>
      <c r="GN41">
        <v>38944.300000000003</v>
      </c>
      <c r="GO41">
        <v>2.1333500000000001</v>
      </c>
      <c r="GP41">
        <v>1.7317199999999999</v>
      </c>
      <c r="GQ41">
        <v>-8.7507100000000004E-2</v>
      </c>
      <c r="GR41">
        <v>0</v>
      </c>
      <c r="GS41">
        <v>31.3705</v>
      </c>
      <c r="GT41">
        <v>999.9</v>
      </c>
      <c r="GU41">
        <v>47.1</v>
      </c>
      <c r="GV41">
        <v>37</v>
      </c>
      <c r="GW41">
        <v>30.0945</v>
      </c>
      <c r="GX41">
        <v>60.261000000000003</v>
      </c>
      <c r="GY41">
        <v>26.242000000000001</v>
      </c>
      <c r="GZ41">
        <v>1</v>
      </c>
      <c r="HA41">
        <v>0.78659800000000002</v>
      </c>
      <c r="HB41">
        <v>3.60608</v>
      </c>
      <c r="HC41">
        <v>20.282</v>
      </c>
      <c r="HD41">
        <v>5.2518799999999999</v>
      </c>
      <c r="HE41">
        <v>12.0099</v>
      </c>
      <c r="HF41">
        <v>4.9788500000000004</v>
      </c>
      <c r="HG41">
        <v>3.2930000000000001</v>
      </c>
      <c r="HH41">
        <v>9999</v>
      </c>
      <c r="HI41">
        <v>9999</v>
      </c>
      <c r="HJ41">
        <v>9999</v>
      </c>
      <c r="HK41">
        <v>999.9</v>
      </c>
      <c r="HL41">
        <v>1.8760699999999999</v>
      </c>
      <c r="HM41">
        <v>1.8769800000000001</v>
      </c>
      <c r="HN41">
        <v>1.88324</v>
      </c>
      <c r="HO41">
        <v>1.88635</v>
      </c>
      <c r="HP41">
        <v>1.87714</v>
      </c>
      <c r="HQ41">
        <v>1.8836999999999999</v>
      </c>
      <c r="HR41">
        <v>1.88263</v>
      </c>
      <c r="HS41">
        <v>1.88601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424</v>
      </c>
      <c r="IB41" t="s">
        <v>424</v>
      </c>
      <c r="IC41" t="s">
        <v>423</v>
      </c>
      <c r="ID41">
        <v>0</v>
      </c>
      <c r="IE41">
        <v>100</v>
      </c>
      <c r="IF41">
        <v>100</v>
      </c>
      <c r="IG41">
        <v>-7.9000000000000001E-2</v>
      </c>
      <c r="IH41">
        <v>4.5999999999999999E-3</v>
      </c>
      <c r="II41">
        <v>-8.1712169186596587E-2</v>
      </c>
      <c r="IJ41">
        <v>4.4610147972834149E-5</v>
      </c>
      <c r="IK41">
        <v>-2.082673137682459E-7</v>
      </c>
      <c r="IL41">
        <v>-4.0725795306076518E-11</v>
      </c>
      <c r="IM41">
        <v>4.5400000000022089E-3</v>
      </c>
      <c r="IN41">
        <v>0</v>
      </c>
      <c r="IO41">
        <v>0</v>
      </c>
      <c r="IP41">
        <v>0</v>
      </c>
      <c r="IQ41">
        <v>3</v>
      </c>
      <c r="IR41">
        <v>2179</v>
      </c>
      <c r="IS41">
        <v>0</v>
      </c>
      <c r="IT41">
        <v>22</v>
      </c>
      <c r="IU41">
        <v>1</v>
      </c>
      <c r="IV41">
        <v>0.8</v>
      </c>
      <c r="IW41">
        <v>0.41503899999999999</v>
      </c>
      <c r="IX41">
        <v>2.7002000000000002</v>
      </c>
      <c r="IY41">
        <v>1.6015600000000001</v>
      </c>
      <c r="IZ41">
        <v>2.3327599999999999</v>
      </c>
      <c r="JA41">
        <v>1.5502899999999999</v>
      </c>
      <c r="JB41">
        <v>2.34375</v>
      </c>
      <c r="JC41">
        <v>41.953800000000001</v>
      </c>
      <c r="JD41">
        <v>24.078700000000001</v>
      </c>
      <c r="JE41">
        <v>18</v>
      </c>
      <c r="JF41">
        <v>620.70899999999995</v>
      </c>
      <c r="JG41">
        <v>386.61</v>
      </c>
      <c r="JH41">
        <v>26.736599999999999</v>
      </c>
      <c r="JI41">
        <v>36.659700000000001</v>
      </c>
      <c r="JJ41">
        <v>30.001100000000001</v>
      </c>
      <c r="JK41">
        <v>36.501600000000003</v>
      </c>
      <c r="JL41">
        <v>36.482900000000001</v>
      </c>
      <c r="JM41">
        <v>8.2961399999999994</v>
      </c>
      <c r="JN41">
        <v>35.941299999999998</v>
      </c>
      <c r="JO41">
        <v>51.634900000000002</v>
      </c>
      <c r="JP41">
        <v>26.7286</v>
      </c>
      <c r="JQ41">
        <v>120</v>
      </c>
      <c r="JR41">
        <v>21.4758</v>
      </c>
      <c r="JS41">
        <v>98.06</v>
      </c>
      <c r="JT41">
        <v>98.546099999999996</v>
      </c>
    </row>
    <row r="42" spans="1:280" x14ac:dyDescent="0.25">
      <c r="A42">
        <v>26</v>
      </c>
      <c r="B42">
        <v>1700239779.5999999</v>
      </c>
      <c r="C42">
        <v>4542.0999999046326</v>
      </c>
      <c r="D42" t="s">
        <v>528</v>
      </c>
      <c r="E42" t="s">
        <v>529</v>
      </c>
      <c r="F42" t="s">
        <v>412</v>
      </c>
      <c r="G42" t="s">
        <v>483</v>
      </c>
      <c r="H42" t="s">
        <v>484</v>
      </c>
      <c r="I42">
        <v>1700239779.5999999</v>
      </c>
      <c r="J42">
        <f t="shared" si="0"/>
        <v>7.26958086101778E-3</v>
      </c>
      <c r="K42">
        <f t="shared" si="1"/>
        <v>7.2695808610177801</v>
      </c>
      <c r="L42">
        <f t="shared" si="2"/>
        <v>11.916183839517466</v>
      </c>
      <c r="M42">
        <f t="shared" si="3"/>
        <v>56.774000000000001</v>
      </c>
      <c r="N42">
        <f t="shared" si="4"/>
        <v>17.76477731390877</v>
      </c>
      <c r="O42">
        <f t="shared" si="5"/>
        <v>1.7548990393648785</v>
      </c>
      <c r="P42">
        <f t="shared" si="6"/>
        <v>5.6084372069722006</v>
      </c>
      <c r="Q42">
        <f t="shared" si="7"/>
        <v>0.54204318608122271</v>
      </c>
      <c r="R42">
        <f t="shared" si="8"/>
        <v>3.0364576856806762</v>
      </c>
      <c r="S42">
        <f t="shared" si="9"/>
        <v>0.49346448383292185</v>
      </c>
      <c r="T42">
        <f t="shared" si="10"/>
        <v>0.31241629119529268</v>
      </c>
      <c r="U42">
        <f t="shared" si="11"/>
        <v>344.37059930199024</v>
      </c>
      <c r="V42">
        <f t="shared" si="12"/>
        <v>30.584223652188982</v>
      </c>
      <c r="W42">
        <f t="shared" si="13"/>
        <v>30.0031</v>
      </c>
      <c r="X42">
        <f t="shared" si="14"/>
        <v>4.2612084531900303</v>
      </c>
      <c r="Y42">
        <f t="shared" si="15"/>
        <v>65.38586661620387</v>
      </c>
      <c r="Z42">
        <f t="shared" si="16"/>
        <v>2.85837271059256</v>
      </c>
      <c r="AA42">
        <f t="shared" si="17"/>
        <v>4.3715451954936704</v>
      </c>
      <c r="AB42">
        <f t="shared" si="18"/>
        <v>1.4028357425974702</v>
      </c>
      <c r="AC42">
        <f t="shared" si="19"/>
        <v>-320.58851597088409</v>
      </c>
      <c r="AD42">
        <f t="shared" si="20"/>
        <v>72.978131709335472</v>
      </c>
      <c r="AE42">
        <f t="shared" si="21"/>
        <v>5.3559468783681341</v>
      </c>
      <c r="AF42">
        <f t="shared" si="22"/>
        <v>102.11616191880974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51669.155811693214</v>
      </c>
      <c r="AL42" t="s">
        <v>415</v>
      </c>
      <c r="AM42">
        <v>6977.87</v>
      </c>
      <c r="AN42">
        <v>273.15280000000001</v>
      </c>
      <c r="AO42">
        <v>850.46774885301022</v>
      </c>
      <c r="AP42">
        <f t="shared" si="26"/>
        <v>0.67882050745793765</v>
      </c>
      <c r="AQ42">
        <v>-1.0323826813720729</v>
      </c>
      <c r="AR42" t="s">
        <v>530</v>
      </c>
      <c r="AS42">
        <v>7101.24</v>
      </c>
      <c r="AT42">
        <v>665.07755999999995</v>
      </c>
      <c r="AU42">
        <v>763.84709087963961</v>
      </c>
      <c r="AV42">
        <f t="shared" si="27"/>
        <v>0.12930537022258937</v>
      </c>
      <c r="AW42">
        <v>0.5</v>
      </c>
      <c r="AX42">
        <f t="shared" si="28"/>
        <v>1513.1852996509949</v>
      </c>
      <c r="AY42">
        <f t="shared" si="29"/>
        <v>11.916183839517466</v>
      </c>
      <c r="AZ42">
        <f t="shared" si="30"/>
        <v>97.831492693375864</v>
      </c>
      <c r="BA42">
        <f t="shared" si="31"/>
        <v>8.5571585475196135E-3</v>
      </c>
      <c r="BB42">
        <f t="shared" si="32"/>
        <v>0.11340052087338452</v>
      </c>
      <c r="BC42">
        <f t="shared" si="33"/>
        <v>263.55366889507394</v>
      </c>
      <c r="BD42" t="s">
        <v>531</v>
      </c>
      <c r="BE42">
        <v>461.24</v>
      </c>
      <c r="BF42">
        <f t="shared" si="34"/>
        <v>461.24</v>
      </c>
      <c r="BG42">
        <f t="shared" si="35"/>
        <v>0.39616186864200786</v>
      </c>
      <c r="BH42">
        <f t="shared" si="36"/>
        <v>0.32639529560437408</v>
      </c>
      <c r="BI42">
        <f t="shared" si="37"/>
        <v>0.22254491933996834</v>
      </c>
      <c r="BJ42">
        <f t="shared" si="38"/>
        <v>0.20128526603107846</v>
      </c>
      <c r="BK42">
        <f t="shared" si="39"/>
        <v>0.15004055956885509</v>
      </c>
      <c r="BL42">
        <f t="shared" si="40"/>
        <v>0.2263594130954614</v>
      </c>
      <c r="BM42">
        <f t="shared" si="41"/>
        <v>0.77364058690453863</v>
      </c>
      <c r="BN42">
        <v>11392</v>
      </c>
      <c r="BO42">
        <v>290.00000000000011</v>
      </c>
      <c r="BP42">
        <v>736.95</v>
      </c>
      <c r="BQ42">
        <v>295</v>
      </c>
      <c r="BR42">
        <v>7101.24</v>
      </c>
      <c r="BS42">
        <v>737.98</v>
      </c>
      <c r="BT42">
        <v>-1.03</v>
      </c>
      <c r="BU42">
        <v>300.00000000000011</v>
      </c>
      <c r="BV42">
        <v>38.299999999999997</v>
      </c>
      <c r="BW42">
        <v>763.84709087963961</v>
      </c>
      <c r="BX42">
        <v>1.1307292670682989</v>
      </c>
      <c r="BY42">
        <v>-18.37012993903506</v>
      </c>
      <c r="BZ42">
        <v>0.67307048142478221</v>
      </c>
      <c r="CA42">
        <v>0.96377323733945763</v>
      </c>
      <c r="CB42">
        <v>-7.0012124582869914E-3</v>
      </c>
      <c r="CC42">
        <v>289.99999999999989</v>
      </c>
      <c r="CD42">
        <v>738.29</v>
      </c>
      <c r="CE42">
        <v>755</v>
      </c>
      <c r="CF42">
        <v>7093.9</v>
      </c>
      <c r="CG42">
        <v>737.95</v>
      </c>
      <c r="CH42">
        <v>0.34</v>
      </c>
      <c r="CV42">
        <f t="shared" si="42"/>
        <v>1800</v>
      </c>
      <c r="CW42">
        <f t="shared" si="43"/>
        <v>1513.1852996509949</v>
      </c>
      <c r="CX42">
        <f t="shared" si="44"/>
        <v>0.84065849980610829</v>
      </c>
      <c r="CY42">
        <f t="shared" si="45"/>
        <v>0.19131699961221679</v>
      </c>
      <c r="CZ42">
        <v>5.36</v>
      </c>
      <c r="DA42">
        <v>0.5</v>
      </c>
      <c r="DB42" t="s">
        <v>418</v>
      </c>
      <c r="DC42">
        <v>2</v>
      </c>
      <c r="DD42">
        <v>1700239779.5999999</v>
      </c>
      <c r="DE42">
        <v>56.774000000000001</v>
      </c>
      <c r="DF42">
        <v>69.985699999999994</v>
      </c>
      <c r="DG42">
        <v>28.935199999999998</v>
      </c>
      <c r="DH42">
        <v>21.3705</v>
      </c>
      <c r="DI42">
        <v>56.839500000000001</v>
      </c>
      <c r="DJ42">
        <v>28.930299999999999</v>
      </c>
      <c r="DK42">
        <v>500.185</v>
      </c>
      <c r="DL42">
        <v>98.685500000000005</v>
      </c>
      <c r="DM42">
        <v>9.9810300000000005E-2</v>
      </c>
      <c r="DN42">
        <v>30.448899999999998</v>
      </c>
      <c r="DO42">
        <v>30.0031</v>
      </c>
      <c r="DP42">
        <v>999.9</v>
      </c>
      <c r="DQ42">
        <v>0</v>
      </c>
      <c r="DR42">
        <v>0</v>
      </c>
      <c r="DS42">
        <v>10016.200000000001</v>
      </c>
      <c r="DT42">
        <v>0</v>
      </c>
      <c r="DU42">
        <v>280.96199999999999</v>
      </c>
      <c r="DV42">
        <v>-13.2117</v>
      </c>
      <c r="DW42">
        <v>58.465699999999998</v>
      </c>
      <c r="DX42">
        <v>71.513999999999996</v>
      </c>
      <c r="DY42">
        <v>7.5646599999999999</v>
      </c>
      <c r="DZ42">
        <v>69.985699999999994</v>
      </c>
      <c r="EA42">
        <v>21.3705</v>
      </c>
      <c r="EB42">
        <v>2.8554900000000001</v>
      </c>
      <c r="EC42">
        <v>2.1089600000000002</v>
      </c>
      <c r="ED42">
        <v>23.208400000000001</v>
      </c>
      <c r="EE42">
        <v>18.286999999999999</v>
      </c>
      <c r="EF42">
        <v>1800</v>
      </c>
      <c r="EG42">
        <v>0.977989</v>
      </c>
      <c r="EH42">
        <v>2.2010800000000001E-2</v>
      </c>
      <c r="EI42">
        <v>0</v>
      </c>
      <c r="EJ42">
        <v>664.85900000000004</v>
      </c>
      <c r="EK42">
        <v>5.0005300000000004</v>
      </c>
      <c r="EL42">
        <v>17227.599999999999</v>
      </c>
      <c r="EM42">
        <v>16035.2</v>
      </c>
      <c r="EN42">
        <v>50.625</v>
      </c>
      <c r="EO42">
        <v>51.875</v>
      </c>
      <c r="EP42">
        <v>51.311999999999998</v>
      </c>
      <c r="EQ42">
        <v>51.25</v>
      </c>
      <c r="ER42">
        <v>51.625</v>
      </c>
      <c r="ES42">
        <v>1755.49</v>
      </c>
      <c r="ET42">
        <v>39.51</v>
      </c>
      <c r="EU42">
        <v>0</v>
      </c>
      <c r="EV42">
        <v>259.19999980926508</v>
      </c>
      <c r="EW42">
        <v>0</v>
      </c>
      <c r="EX42">
        <v>665.07755999999995</v>
      </c>
      <c r="EY42">
        <v>-0.99799999216381019</v>
      </c>
      <c r="EZ42">
        <v>208.99230830240381</v>
      </c>
      <c r="FA42">
        <v>17212.632000000001</v>
      </c>
      <c r="FB42">
        <v>15</v>
      </c>
      <c r="FC42">
        <v>1700239747.0999999</v>
      </c>
      <c r="FD42" t="s">
        <v>532</v>
      </c>
      <c r="FE42">
        <v>1700239742.0999999</v>
      </c>
      <c r="FF42">
        <v>1700239747.0999999</v>
      </c>
      <c r="FG42">
        <v>29</v>
      </c>
      <c r="FH42">
        <v>1.4E-2</v>
      </c>
      <c r="FI42">
        <v>0</v>
      </c>
      <c r="FJ42">
        <v>-6.5000000000000002E-2</v>
      </c>
      <c r="FK42">
        <v>2E-3</v>
      </c>
      <c r="FL42">
        <v>70</v>
      </c>
      <c r="FM42">
        <v>21</v>
      </c>
      <c r="FN42">
        <v>0.12</v>
      </c>
      <c r="FO42">
        <v>0.02</v>
      </c>
      <c r="FP42">
        <v>11.98112678712711</v>
      </c>
      <c r="FQ42">
        <v>5.2060126840585808E-2</v>
      </c>
      <c r="FR42">
        <v>1.6804766918299709E-2</v>
      </c>
      <c r="FS42">
        <v>1</v>
      </c>
      <c r="FT42">
        <v>0.54477733480189305</v>
      </c>
      <c r="FU42">
        <v>1.2939642243854389E-2</v>
      </c>
      <c r="FV42">
        <v>3.7047406386045219E-3</v>
      </c>
      <c r="FW42">
        <v>1</v>
      </c>
      <c r="FX42">
        <v>2</v>
      </c>
      <c r="FY42">
        <v>2</v>
      </c>
      <c r="FZ42" t="s">
        <v>420</v>
      </c>
      <c r="GA42">
        <v>3.1298699999999999</v>
      </c>
      <c r="GB42">
        <v>2.7668300000000001</v>
      </c>
      <c r="GC42">
        <v>1.4982000000000001E-2</v>
      </c>
      <c r="GD42">
        <v>1.8413100000000002E-2</v>
      </c>
      <c r="GE42">
        <v>0.12091</v>
      </c>
      <c r="GF42">
        <v>9.7900399999999999E-2</v>
      </c>
      <c r="GG42">
        <v>23342.400000000001</v>
      </c>
      <c r="GH42">
        <v>24226.799999999999</v>
      </c>
      <c r="GI42">
        <v>23576.3</v>
      </c>
      <c r="GJ42">
        <v>25013.1</v>
      </c>
      <c r="GK42">
        <v>29854</v>
      </c>
      <c r="GL42">
        <v>31636</v>
      </c>
      <c r="GM42">
        <v>37589.800000000003</v>
      </c>
      <c r="GN42">
        <v>38936.300000000003</v>
      </c>
      <c r="GO42">
        <v>2.13225</v>
      </c>
      <c r="GP42">
        <v>1.7283299999999999</v>
      </c>
      <c r="GQ42">
        <v>-8.5197400000000006E-2</v>
      </c>
      <c r="GR42">
        <v>0</v>
      </c>
      <c r="GS42">
        <v>31.387899999999998</v>
      </c>
      <c r="GT42">
        <v>999.9</v>
      </c>
      <c r="GU42">
        <v>46</v>
      </c>
      <c r="GV42">
        <v>37.1</v>
      </c>
      <c r="GW42">
        <v>29.548300000000001</v>
      </c>
      <c r="GX42">
        <v>60.460999999999999</v>
      </c>
      <c r="GY42">
        <v>26.245999999999999</v>
      </c>
      <c r="GZ42">
        <v>1</v>
      </c>
      <c r="HA42">
        <v>0.79877299999999996</v>
      </c>
      <c r="HB42">
        <v>3.9469400000000001</v>
      </c>
      <c r="HC42">
        <v>20.273499999999999</v>
      </c>
      <c r="HD42">
        <v>5.2521800000000001</v>
      </c>
      <c r="HE42">
        <v>12.0099</v>
      </c>
      <c r="HF42">
        <v>4.9779499999999999</v>
      </c>
      <c r="HG42">
        <v>3.2930000000000001</v>
      </c>
      <c r="HH42">
        <v>9999</v>
      </c>
      <c r="HI42">
        <v>9999</v>
      </c>
      <c r="HJ42">
        <v>9999</v>
      </c>
      <c r="HK42">
        <v>999.9</v>
      </c>
      <c r="HL42">
        <v>1.87608</v>
      </c>
      <c r="HM42">
        <v>1.8769499999999999</v>
      </c>
      <c r="HN42">
        <v>1.88324</v>
      </c>
      <c r="HO42">
        <v>1.8863099999999999</v>
      </c>
      <c r="HP42">
        <v>1.87714</v>
      </c>
      <c r="HQ42">
        <v>1.8836999999999999</v>
      </c>
      <c r="HR42">
        <v>1.88263</v>
      </c>
      <c r="HS42">
        <v>1.8859900000000001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424</v>
      </c>
      <c r="IB42" t="s">
        <v>424</v>
      </c>
      <c r="IC42" t="s">
        <v>423</v>
      </c>
      <c r="ID42">
        <v>0</v>
      </c>
      <c r="IE42">
        <v>100</v>
      </c>
      <c r="IF42">
        <v>100</v>
      </c>
      <c r="IG42">
        <v>-6.6000000000000003E-2</v>
      </c>
      <c r="IH42">
        <v>4.8999999999999998E-3</v>
      </c>
      <c r="II42">
        <v>-6.7398687165347679E-2</v>
      </c>
      <c r="IJ42">
        <v>4.4610147972834149E-5</v>
      </c>
      <c r="IK42">
        <v>-2.082673137682459E-7</v>
      </c>
      <c r="IL42">
        <v>-4.0725795306076518E-11</v>
      </c>
      <c r="IM42">
        <v>4.8638157191956757E-3</v>
      </c>
      <c r="IN42">
        <v>0</v>
      </c>
      <c r="IO42">
        <v>0</v>
      </c>
      <c r="IP42">
        <v>0</v>
      </c>
      <c r="IQ42">
        <v>3</v>
      </c>
      <c r="IR42">
        <v>2179</v>
      </c>
      <c r="IS42">
        <v>0</v>
      </c>
      <c r="IT42">
        <v>22</v>
      </c>
      <c r="IU42">
        <v>0.6</v>
      </c>
      <c r="IV42">
        <v>0.5</v>
      </c>
      <c r="IW42">
        <v>0.30395499999999998</v>
      </c>
      <c r="IX42">
        <v>2.6989700000000001</v>
      </c>
      <c r="IY42">
        <v>1.6015600000000001</v>
      </c>
      <c r="IZ42">
        <v>2.3315399999999999</v>
      </c>
      <c r="JA42">
        <v>1.5502899999999999</v>
      </c>
      <c r="JB42">
        <v>2.36816</v>
      </c>
      <c r="JC42">
        <v>42.0593</v>
      </c>
      <c r="JD42">
        <v>24.078700000000001</v>
      </c>
      <c r="JE42">
        <v>18</v>
      </c>
      <c r="JF42">
        <v>621.26700000000005</v>
      </c>
      <c r="JG42">
        <v>385.4</v>
      </c>
      <c r="JH42">
        <v>26.719799999999999</v>
      </c>
      <c r="JI42">
        <v>36.790300000000002</v>
      </c>
      <c r="JJ42">
        <v>30.000800000000002</v>
      </c>
      <c r="JK42">
        <v>36.654200000000003</v>
      </c>
      <c r="JL42">
        <v>36.6355</v>
      </c>
      <c r="JM42">
        <v>6.0650500000000003</v>
      </c>
      <c r="JN42">
        <v>35.060600000000001</v>
      </c>
      <c r="JO42">
        <v>48.759599999999999</v>
      </c>
      <c r="JP42">
        <v>26.7103</v>
      </c>
      <c r="JQ42">
        <v>70</v>
      </c>
      <c r="JR42">
        <v>21.330500000000001</v>
      </c>
      <c r="JS42">
        <v>98.035600000000002</v>
      </c>
      <c r="JT42">
        <v>98.525300000000001</v>
      </c>
    </row>
    <row r="43" spans="1:280" x14ac:dyDescent="0.25">
      <c r="A43">
        <v>27</v>
      </c>
      <c r="B43">
        <v>1700239879.0999999</v>
      </c>
      <c r="C43">
        <v>4641.5999999046326</v>
      </c>
      <c r="D43" t="s">
        <v>533</v>
      </c>
      <c r="E43" t="s">
        <v>534</v>
      </c>
      <c r="F43" t="s">
        <v>412</v>
      </c>
      <c r="G43" t="s">
        <v>483</v>
      </c>
      <c r="H43" t="s">
        <v>484</v>
      </c>
      <c r="I43">
        <v>1700239879.0999999</v>
      </c>
      <c r="J43">
        <f t="shared" si="0"/>
        <v>7.4092263937584951E-3</v>
      </c>
      <c r="K43">
        <f t="shared" si="1"/>
        <v>7.4092263937584955</v>
      </c>
      <c r="L43">
        <f t="shared" si="2"/>
        <v>5.167106491668771</v>
      </c>
      <c r="M43">
        <f t="shared" si="3"/>
        <v>24.288799999999998</v>
      </c>
      <c r="N43">
        <f t="shared" si="4"/>
        <v>7.5437574037679695</v>
      </c>
      <c r="O43">
        <f t="shared" si="5"/>
        <v>0.74524050513983431</v>
      </c>
      <c r="P43">
        <f t="shared" si="6"/>
        <v>2.3994670841614401</v>
      </c>
      <c r="Q43">
        <f t="shared" si="7"/>
        <v>0.54806749438101054</v>
      </c>
      <c r="R43">
        <f t="shared" si="8"/>
        <v>3.0365317780061347</v>
      </c>
      <c r="S43">
        <f t="shared" si="9"/>
        <v>0.49845692780991552</v>
      </c>
      <c r="T43">
        <f t="shared" si="10"/>
        <v>0.31561781784337922</v>
      </c>
      <c r="U43">
        <f t="shared" si="11"/>
        <v>344.35109930266202</v>
      </c>
      <c r="V43">
        <f t="shared" si="12"/>
        <v>30.571266865607342</v>
      </c>
      <c r="W43">
        <f t="shared" si="13"/>
        <v>29.9833</v>
      </c>
      <c r="X43">
        <f t="shared" si="14"/>
        <v>4.2563647106260349</v>
      </c>
      <c r="Y43">
        <f t="shared" si="15"/>
        <v>64.89858412247213</v>
      </c>
      <c r="Z43">
        <f t="shared" si="16"/>
        <v>2.8406786669190001</v>
      </c>
      <c r="AA43">
        <f t="shared" si="17"/>
        <v>4.3771042239662226</v>
      </c>
      <c r="AB43">
        <f t="shared" si="18"/>
        <v>1.4156860437070349</v>
      </c>
      <c r="AC43">
        <f t="shared" si="19"/>
        <v>-326.74688396474966</v>
      </c>
      <c r="AD43">
        <f t="shared" si="20"/>
        <v>79.855543493099802</v>
      </c>
      <c r="AE43">
        <f t="shared" si="21"/>
        <v>5.8606150380192332</v>
      </c>
      <c r="AF43">
        <f t="shared" si="22"/>
        <v>103.32037386903143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51667.417816507121</v>
      </c>
      <c r="AL43" t="s">
        <v>427</v>
      </c>
      <c r="AM43" t="s">
        <v>427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427</v>
      </c>
      <c r="AS43" t="s">
        <v>427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1513.1084996513312</v>
      </c>
      <c r="AY43">
        <f t="shared" si="29"/>
        <v>5.167106491668771</v>
      </c>
      <c r="AZ43" t="e">
        <f t="shared" si="30"/>
        <v>#DIV/0!</v>
      </c>
      <c r="BA43">
        <f t="shared" si="31"/>
        <v>3.4148948954152583E-3</v>
      </c>
      <c r="BB43" t="e">
        <f t="shared" si="32"/>
        <v>#DIV/0!</v>
      </c>
      <c r="BC43" t="e">
        <f t="shared" si="33"/>
        <v>#DIV/0!</v>
      </c>
      <c r="BD43" t="s">
        <v>427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BN43">
        <v>11392</v>
      </c>
      <c r="BO43">
        <v>290.00000000000011</v>
      </c>
      <c r="BP43">
        <v>736.95</v>
      </c>
      <c r="BQ43">
        <v>295</v>
      </c>
      <c r="BR43">
        <v>7101.24</v>
      </c>
      <c r="BS43">
        <v>737.98</v>
      </c>
      <c r="BT43">
        <v>-1.03</v>
      </c>
      <c r="BU43">
        <v>300.00000000000011</v>
      </c>
      <c r="BV43">
        <v>38.299999999999997</v>
      </c>
      <c r="BW43">
        <v>763.84709087963961</v>
      </c>
      <c r="BX43">
        <v>1.1307292670682989</v>
      </c>
      <c r="BY43">
        <v>-18.37012993903506</v>
      </c>
      <c r="BZ43">
        <v>0.67307048142478221</v>
      </c>
      <c r="CA43">
        <v>0.96377323733945763</v>
      </c>
      <c r="CB43">
        <v>-7.0012124582869914E-3</v>
      </c>
      <c r="CC43">
        <v>289.99999999999989</v>
      </c>
      <c r="CD43">
        <v>738.29</v>
      </c>
      <c r="CE43">
        <v>755</v>
      </c>
      <c r="CF43">
        <v>7093.9</v>
      </c>
      <c r="CG43">
        <v>737.95</v>
      </c>
      <c r="CH43">
        <v>0.34</v>
      </c>
      <c r="CV43">
        <f t="shared" si="42"/>
        <v>1799.91</v>
      </c>
      <c r="CW43">
        <f t="shared" si="43"/>
        <v>1513.1084996513312</v>
      </c>
      <c r="CX43">
        <f t="shared" si="44"/>
        <v>0.84065786603293002</v>
      </c>
      <c r="CY43">
        <f t="shared" si="45"/>
        <v>0.19131573206585997</v>
      </c>
      <c r="CZ43">
        <v>5.36</v>
      </c>
      <c r="DA43">
        <v>0.5</v>
      </c>
      <c r="DB43" t="s">
        <v>418</v>
      </c>
      <c r="DC43">
        <v>2</v>
      </c>
      <c r="DD43">
        <v>1700239879.0999999</v>
      </c>
      <c r="DE43">
        <v>24.288799999999998</v>
      </c>
      <c r="DF43">
        <v>30.018999999999998</v>
      </c>
      <c r="DG43">
        <v>28.754999999999999</v>
      </c>
      <c r="DH43">
        <v>21.043199999999999</v>
      </c>
      <c r="DI43">
        <v>24.236799999999999</v>
      </c>
      <c r="DJ43">
        <v>28.754000000000001</v>
      </c>
      <c r="DK43">
        <v>500.16199999999998</v>
      </c>
      <c r="DL43">
        <v>98.689400000000006</v>
      </c>
      <c r="DM43">
        <v>9.9633799999999995E-2</v>
      </c>
      <c r="DN43">
        <v>30.4711</v>
      </c>
      <c r="DO43">
        <v>29.9833</v>
      </c>
      <c r="DP43">
        <v>999.9</v>
      </c>
      <c r="DQ43">
        <v>0</v>
      </c>
      <c r="DR43">
        <v>0</v>
      </c>
      <c r="DS43">
        <v>10016.200000000001</v>
      </c>
      <c r="DT43">
        <v>0</v>
      </c>
      <c r="DU43">
        <v>257.92500000000001</v>
      </c>
      <c r="DV43">
        <v>-5.8486000000000002</v>
      </c>
      <c r="DW43">
        <v>24.886099999999999</v>
      </c>
      <c r="DX43">
        <v>30.664300000000001</v>
      </c>
      <c r="DY43">
        <v>7.7156399999999996</v>
      </c>
      <c r="DZ43">
        <v>30.018999999999998</v>
      </c>
      <c r="EA43">
        <v>21.043199999999999</v>
      </c>
      <c r="EB43">
        <v>2.83819</v>
      </c>
      <c r="EC43">
        <v>2.07674</v>
      </c>
      <c r="ED43">
        <v>23.107900000000001</v>
      </c>
      <c r="EE43">
        <v>18.041899999999998</v>
      </c>
      <c r="EF43">
        <v>1799.91</v>
      </c>
      <c r="EG43">
        <v>0.97800900000000002</v>
      </c>
      <c r="EH43">
        <v>2.1990699999999998E-2</v>
      </c>
      <c r="EI43">
        <v>0</v>
      </c>
      <c r="EJ43">
        <v>685.096</v>
      </c>
      <c r="EK43">
        <v>5.0005300000000004</v>
      </c>
      <c r="EL43">
        <v>17540.8</v>
      </c>
      <c r="EM43">
        <v>16034.5</v>
      </c>
      <c r="EN43">
        <v>50.75</v>
      </c>
      <c r="EO43">
        <v>51.936999999999998</v>
      </c>
      <c r="EP43">
        <v>51.375</v>
      </c>
      <c r="EQ43">
        <v>51.311999999999998</v>
      </c>
      <c r="ER43">
        <v>51.75</v>
      </c>
      <c r="ES43">
        <v>1755.44</v>
      </c>
      <c r="ET43">
        <v>39.47</v>
      </c>
      <c r="EU43">
        <v>0</v>
      </c>
      <c r="EV43">
        <v>97.799999952316284</v>
      </c>
      <c r="EW43">
        <v>0</v>
      </c>
      <c r="EX43">
        <v>685.28096000000005</v>
      </c>
      <c r="EY43">
        <v>-1.4176923295197461</v>
      </c>
      <c r="EZ43">
        <v>2874.8461571077478</v>
      </c>
      <c r="FA43">
        <v>17329.132000000001</v>
      </c>
      <c r="FB43">
        <v>15</v>
      </c>
      <c r="FC43">
        <v>1700239915.0999999</v>
      </c>
      <c r="FD43" t="s">
        <v>535</v>
      </c>
      <c r="FE43">
        <v>1700239897.0999999</v>
      </c>
      <c r="FF43">
        <v>1700239915.0999999</v>
      </c>
      <c r="FG43">
        <v>30</v>
      </c>
      <c r="FH43">
        <v>0.11899999999999999</v>
      </c>
      <c r="FI43">
        <v>-1E-3</v>
      </c>
      <c r="FJ43">
        <v>5.1999999999999998E-2</v>
      </c>
      <c r="FK43">
        <v>1E-3</v>
      </c>
      <c r="FL43">
        <v>30</v>
      </c>
      <c r="FM43">
        <v>21</v>
      </c>
      <c r="FN43">
        <v>0.24</v>
      </c>
      <c r="FO43">
        <v>0.01</v>
      </c>
      <c r="FP43">
        <v>5.2620060219304214</v>
      </c>
      <c r="FQ43">
        <v>0.23208000616558669</v>
      </c>
      <c r="FR43">
        <v>2.076832085815036E-2</v>
      </c>
      <c r="FS43">
        <v>1</v>
      </c>
      <c r="FT43">
        <v>0.54618246601220199</v>
      </c>
      <c r="FU43">
        <v>6.8694497577214512E-3</v>
      </c>
      <c r="FV43">
        <v>7.3486072553734987E-4</v>
      </c>
      <c r="FW43">
        <v>1</v>
      </c>
      <c r="FX43">
        <v>2</v>
      </c>
      <c r="FY43">
        <v>2</v>
      </c>
      <c r="FZ43" t="s">
        <v>420</v>
      </c>
      <c r="GA43">
        <v>3.1300599999999998</v>
      </c>
      <c r="GB43">
        <v>2.7666499999999998</v>
      </c>
      <c r="GC43">
        <v>6.4230299999999997E-3</v>
      </c>
      <c r="GD43">
        <v>7.9598499999999992E-3</v>
      </c>
      <c r="GE43">
        <v>0.120379</v>
      </c>
      <c r="GF43">
        <v>9.6807000000000004E-2</v>
      </c>
      <c r="GG43">
        <v>23540.6</v>
      </c>
      <c r="GH43">
        <v>24480.2</v>
      </c>
      <c r="GI43">
        <v>23572.6</v>
      </c>
      <c r="GJ43">
        <v>25009.599999999999</v>
      </c>
      <c r="GK43">
        <v>29867.599999999999</v>
      </c>
      <c r="GL43">
        <v>31670.6</v>
      </c>
      <c r="GM43">
        <v>37584.400000000001</v>
      </c>
      <c r="GN43">
        <v>38931.800000000003</v>
      </c>
      <c r="GO43">
        <v>2.1318199999999998</v>
      </c>
      <c r="GP43">
        <v>1.7261500000000001</v>
      </c>
      <c r="GQ43">
        <v>-8.7972700000000001E-2</v>
      </c>
      <c r="GR43">
        <v>0</v>
      </c>
      <c r="GS43">
        <v>31.4132</v>
      </c>
      <c r="GT43">
        <v>999.9</v>
      </c>
      <c r="GU43">
        <v>45.1</v>
      </c>
      <c r="GV43">
        <v>37.200000000000003</v>
      </c>
      <c r="GW43">
        <v>29.128599999999999</v>
      </c>
      <c r="GX43">
        <v>60.210999999999999</v>
      </c>
      <c r="GY43">
        <v>26.238</v>
      </c>
      <c r="GZ43">
        <v>1</v>
      </c>
      <c r="HA43">
        <v>0.80607200000000001</v>
      </c>
      <c r="HB43">
        <v>3.6136300000000001</v>
      </c>
      <c r="HC43">
        <v>20.2804</v>
      </c>
      <c r="HD43">
        <v>5.2511299999999999</v>
      </c>
      <c r="HE43">
        <v>12.0099</v>
      </c>
      <c r="HF43">
        <v>4.97865</v>
      </c>
      <c r="HG43">
        <v>3.2930000000000001</v>
      </c>
      <c r="HH43">
        <v>9999</v>
      </c>
      <c r="HI43">
        <v>9999</v>
      </c>
      <c r="HJ43">
        <v>9999</v>
      </c>
      <c r="HK43">
        <v>999.9</v>
      </c>
      <c r="HL43">
        <v>1.87608</v>
      </c>
      <c r="HM43">
        <v>1.87693</v>
      </c>
      <c r="HN43">
        <v>1.88324</v>
      </c>
      <c r="HO43">
        <v>1.8863099999999999</v>
      </c>
      <c r="HP43">
        <v>1.87714</v>
      </c>
      <c r="HQ43">
        <v>1.8836999999999999</v>
      </c>
      <c r="HR43">
        <v>1.88262</v>
      </c>
      <c r="HS43">
        <v>1.8859900000000001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424</v>
      </c>
      <c r="IB43" t="s">
        <v>424</v>
      </c>
      <c r="IC43" t="s">
        <v>423</v>
      </c>
      <c r="ID43">
        <v>0</v>
      </c>
      <c r="IE43">
        <v>100</v>
      </c>
      <c r="IF43">
        <v>100</v>
      </c>
      <c r="IG43">
        <v>5.1999999999999998E-2</v>
      </c>
      <c r="IH43">
        <v>1E-3</v>
      </c>
      <c r="II43">
        <v>-6.7398687165347679E-2</v>
      </c>
      <c r="IJ43">
        <v>4.4610147972834149E-5</v>
      </c>
      <c r="IK43">
        <v>-2.082673137682459E-7</v>
      </c>
      <c r="IL43">
        <v>-4.0725795306076518E-11</v>
      </c>
      <c r="IM43">
        <v>4.8638157191956757E-3</v>
      </c>
      <c r="IN43">
        <v>0</v>
      </c>
      <c r="IO43">
        <v>0</v>
      </c>
      <c r="IP43">
        <v>0</v>
      </c>
      <c r="IQ43">
        <v>3</v>
      </c>
      <c r="IR43">
        <v>2179</v>
      </c>
      <c r="IS43">
        <v>0</v>
      </c>
      <c r="IT43">
        <v>22</v>
      </c>
      <c r="IU43">
        <v>2.2999999999999998</v>
      </c>
      <c r="IV43">
        <v>2.2000000000000002</v>
      </c>
      <c r="IW43">
        <v>0.21606400000000001</v>
      </c>
      <c r="IX43">
        <v>2.7343799999999998</v>
      </c>
      <c r="IY43">
        <v>1.6015600000000001</v>
      </c>
      <c r="IZ43">
        <v>2.3315399999999999</v>
      </c>
      <c r="JA43">
        <v>1.5502899999999999</v>
      </c>
      <c r="JB43">
        <v>2.32056</v>
      </c>
      <c r="JC43">
        <v>42.138599999999997</v>
      </c>
      <c r="JD43">
        <v>24.078700000000001</v>
      </c>
      <c r="JE43">
        <v>18</v>
      </c>
      <c r="JF43">
        <v>621.81899999999996</v>
      </c>
      <c r="JG43">
        <v>384.64499999999998</v>
      </c>
      <c r="JH43">
        <v>26.607199999999999</v>
      </c>
      <c r="JI43">
        <v>36.879800000000003</v>
      </c>
      <c r="JJ43">
        <v>29.9998</v>
      </c>
      <c r="JK43">
        <v>36.750700000000002</v>
      </c>
      <c r="JL43">
        <v>36.736499999999999</v>
      </c>
      <c r="JM43">
        <v>4.3130100000000002</v>
      </c>
      <c r="JN43">
        <v>34.112000000000002</v>
      </c>
      <c r="JO43">
        <v>45.736800000000002</v>
      </c>
      <c r="JP43">
        <v>26.793099999999999</v>
      </c>
      <c r="JQ43">
        <v>30</v>
      </c>
      <c r="JR43">
        <v>21.1584</v>
      </c>
      <c r="JS43">
        <v>98.020899999999997</v>
      </c>
      <c r="JT43">
        <v>98.512900000000002</v>
      </c>
    </row>
    <row r="44" spans="1:280" x14ac:dyDescent="0.25">
      <c r="A44">
        <v>28</v>
      </c>
      <c r="B44">
        <v>1700240055.5999999</v>
      </c>
      <c r="C44">
        <v>4818.0999999046326</v>
      </c>
      <c r="D44" t="s">
        <v>536</v>
      </c>
      <c r="E44" t="s">
        <v>537</v>
      </c>
      <c r="F44" t="s">
        <v>412</v>
      </c>
      <c r="G44" t="s">
        <v>483</v>
      </c>
      <c r="H44" t="s">
        <v>484</v>
      </c>
      <c r="I44">
        <v>1700240055.5999999</v>
      </c>
      <c r="J44">
        <f t="shared" si="0"/>
        <v>7.4730063548890252E-3</v>
      </c>
      <c r="K44">
        <f t="shared" si="1"/>
        <v>7.4730063548890255</v>
      </c>
      <c r="L44">
        <f t="shared" si="2"/>
        <v>1.5692247470547354</v>
      </c>
      <c r="M44">
        <f t="shared" si="3"/>
        <v>8.2589900000000007</v>
      </c>
      <c r="N44">
        <f t="shared" si="4"/>
        <v>3.2927824543146391</v>
      </c>
      <c r="O44">
        <f t="shared" si="5"/>
        <v>0.32531522369413846</v>
      </c>
      <c r="P44">
        <f t="shared" si="6"/>
        <v>0.81595890910348012</v>
      </c>
      <c r="Q44">
        <f t="shared" si="7"/>
        <v>0.5652585867095643</v>
      </c>
      <c r="R44">
        <f t="shared" si="8"/>
        <v>3.0306967934280173</v>
      </c>
      <c r="S44">
        <f t="shared" si="9"/>
        <v>0.51255552479004218</v>
      </c>
      <c r="T44">
        <f t="shared" si="10"/>
        <v>0.32467188829758831</v>
      </c>
      <c r="U44">
        <f t="shared" si="11"/>
        <v>344.36999930216683</v>
      </c>
      <c r="V44">
        <f t="shared" si="12"/>
        <v>30.606118550366169</v>
      </c>
      <c r="W44">
        <f t="shared" si="13"/>
        <v>30.0107</v>
      </c>
      <c r="X44">
        <f t="shared" si="14"/>
        <v>4.2630689429361803</v>
      </c>
      <c r="Y44">
        <f t="shared" si="15"/>
        <v>65.48503413460989</v>
      </c>
      <c r="Z44">
        <f t="shared" si="16"/>
        <v>2.8746606045536001</v>
      </c>
      <c r="AA44">
        <f t="shared" si="17"/>
        <v>4.3897978256291328</v>
      </c>
      <c r="AB44">
        <f t="shared" si="18"/>
        <v>1.3884083383825803</v>
      </c>
      <c r="AC44">
        <f t="shared" si="19"/>
        <v>-329.55958025060602</v>
      </c>
      <c r="AD44">
        <f t="shared" si="20"/>
        <v>83.49276294444573</v>
      </c>
      <c r="AE44">
        <f t="shared" si="21"/>
        <v>6.1417182304166662</v>
      </c>
      <c r="AF44">
        <f t="shared" si="22"/>
        <v>104.44490022642319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51504.886904947278</v>
      </c>
      <c r="AL44" t="s">
        <v>415</v>
      </c>
      <c r="AM44">
        <v>6977.87</v>
      </c>
      <c r="AN44">
        <v>273.15280000000001</v>
      </c>
      <c r="AO44">
        <v>850.46774885301022</v>
      </c>
      <c r="AP44">
        <f t="shared" si="26"/>
        <v>0.67882050745793765</v>
      </c>
      <c r="AQ44">
        <v>-1.0323826813720729</v>
      </c>
      <c r="AR44" t="s">
        <v>538</v>
      </c>
      <c r="AS44">
        <v>7107.42</v>
      </c>
      <c r="AT44">
        <v>696.23388000000011</v>
      </c>
      <c r="AU44">
        <v>743.63618814152244</v>
      </c>
      <c r="AV44">
        <f t="shared" si="27"/>
        <v>6.374395019692225E-2</v>
      </c>
      <c r="AW44">
        <v>0.5</v>
      </c>
      <c r="AX44">
        <f t="shared" si="28"/>
        <v>1513.1849996510834</v>
      </c>
      <c r="AY44">
        <f t="shared" si="29"/>
        <v>1.5692247470547354</v>
      </c>
      <c r="AZ44">
        <f t="shared" si="30"/>
        <v>48.228194628244239</v>
      </c>
      <c r="BA44">
        <f t="shared" si="31"/>
        <v>1.7192923727281846E-3</v>
      </c>
      <c r="BB44">
        <f t="shared" si="32"/>
        <v>0.14366105686502245</v>
      </c>
      <c r="BC44">
        <f t="shared" si="33"/>
        <v>261.1051510525719</v>
      </c>
      <c r="BD44" t="s">
        <v>539</v>
      </c>
      <c r="BE44">
        <v>496.13</v>
      </c>
      <c r="BF44">
        <f t="shared" si="34"/>
        <v>496.13</v>
      </c>
      <c r="BG44">
        <f t="shared" si="35"/>
        <v>0.3328323608888426</v>
      </c>
      <c r="BH44">
        <f t="shared" si="36"/>
        <v>0.19151968885084195</v>
      </c>
      <c r="BI44">
        <f t="shared" si="37"/>
        <v>0.30149641424686219</v>
      </c>
      <c r="BJ44">
        <f t="shared" si="38"/>
        <v>0.10075235244493608</v>
      </c>
      <c r="BK44">
        <f t="shared" si="39"/>
        <v>0.18504901167679288</v>
      </c>
      <c r="BL44">
        <f t="shared" si="40"/>
        <v>0.13647520748281913</v>
      </c>
      <c r="BM44">
        <f t="shared" si="41"/>
        <v>0.86352479251718084</v>
      </c>
      <c r="BN44">
        <v>11394</v>
      </c>
      <c r="BO44">
        <v>290.00000000000011</v>
      </c>
      <c r="BP44">
        <v>727.76</v>
      </c>
      <c r="BQ44">
        <v>165</v>
      </c>
      <c r="BR44">
        <v>7107.42</v>
      </c>
      <c r="BS44">
        <v>727.68</v>
      </c>
      <c r="BT44">
        <v>0.08</v>
      </c>
      <c r="BU44">
        <v>300.00000000000011</v>
      </c>
      <c r="BV44">
        <v>38.299999999999997</v>
      </c>
      <c r="BW44">
        <v>743.63618814152244</v>
      </c>
      <c r="BX44">
        <v>0.83280850279705243</v>
      </c>
      <c r="BY44">
        <v>-11.33871378333653</v>
      </c>
      <c r="BZ44">
        <v>0.49568687692577978</v>
      </c>
      <c r="CA44">
        <v>0.94920673841626979</v>
      </c>
      <c r="CB44">
        <v>-7.000766184649611E-3</v>
      </c>
      <c r="CC44">
        <v>289.99999999999989</v>
      </c>
      <c r="CD44">
        <v>726.95</v>
      </c>
      <c r="CE44">
        <v>685</v>
      </c>
      <c r="CF44">
        <v>7095.19</v>
      </c>
      <c r="CG44">
        <v>727.66</v>
      </c>
      <c r="CH44">
        <v>-0.71</v>
      </c>
      <c r="CV44">
        <f t="shared" si="42"/>
        <v>1800</v>
      </c>
      <c r="CW44">
        <f t="shared" si="43"/>
        <v>1513.1849996510834</v>
      </c>
      <c r="CX44">
        <f t="shared" si="44"/>
        <v>0.84065833313949079</v>
      </c>
      <c r="CY44">
        <f t="shared" si="45"/>
        <v>0.19131666627898158</v>
      </c>
      <c r="CZ44">
        <v>5.36</v>
      </c>
      <c r="DA44">
        <v>0.5</v>
      </c>
      <c r="DB44" t="s">
        <v>418</v>
      </c>
      <c r="DC44">
        <v>2</v>
      </c>
      <c r="DD44">
        <v>1700240055.5999999</v>
      </c>
      <c r="DE44">
        <v>8.2589900000000007</v>
      </c>
      <c r="DF44">
        <v>10.007099999999999</v>
      </c>
      <c r="DG44">
        <v>29.096800000000002</v>
      </c>
      <c r="DH44">
        <v>21.32</v>
      </c>
      <c r="DI44">
        <v>8.1853400000000001</v>
      </c>
      <c r="DJ44">
        <v>29.0946</v>
      </c>
      <c r="DK44">
        <v>500.07499999999999</v>
      </c>
      <c r="DL44">
        <v>98.696100000000001</v>
      </c>
      <c r="DM44">
        <v>0.100352</v>
      </c>
      <c r="DN44">
        <v>30.521699999999999</v>
      </c>
      <c r="DO44">
        <v>30.0107</v>
      </c>
      <c r="DP44">
        <v>999.9</v>
      </c>
      <c r="DQ44">
        <v>0</v>
      </c>
      <c r="DR44">
        <v>0</v>
      </c>
      <c r="DS44">
        <v>9984.3799999999992</v>
      </c>
      <c r="DT44">
        <v>0</v>
      </c>
      <c r="DU44">
        <v>250.62799999999999</v>
      </c>
      <c r="DV44">
        <v>-1.7481599999999999</v>
      </c>
      <c r="DW44">
        <v>8.5065000000000008</v>
      </c>
      <c r="DX44">
        <v>10.225099999999999</v>
      </c>
      <c r="DY44">
        <v>7.7768699999999997</v>
      </c>
      <c r="DZ44">
        <v>10.007099999999999</v>
      </c>
      <c r="EA44">
        <v>21.32</v>
      </c>
      <c r="EB44">
        <v>2.87174</v>
      </c>
      <c r="EC44">
        <v>2.1042000000000001</v>
      </c>
      <c r="ED44">
        <v>23.302399999999999</v>
      </c>
      <c r="EE44">
        <v>18.251000000000001</v>
      </c>
      <c r="EF44">
        <v>1800</v>
      </c>
      <c r="EG44">
        <v>0.977993</v>
      </c>
      <c r="EH44">
        <v>2.2007200000000001E-2</v>
      </c>
      <c r="EI44">
        <v>0</v>
      </c>
      <c r="EJ44">
        <v>696.04700000000003</v>
      </c>
      <c r="EK44">
        <v>5.0005300000000004</v>
      </c>
      <c r="EL44">
        <v>16412.099999999999</v>
      </c>
      <c r="EM44">
        <v>16035.3</v>
      </c>
      <c r="EN44">
        <v>50.686999999999998</v>
      </c>
      <c r="EO44">
        <v>51.936999999999998</v>
      </c>
      <c r="EP44">
        <v>51.375</v>
      </c>
      <c r="EQ44">
        <v>51.375</v>
      </c>
      <c r="ER44">
        <v>51.75</v>
      </c>
      <c r="ES44">
        <v>1755.5</v>
      </c>
      <c r="ET44">
        <v>39.5</v>
      </c>
      <c r="EU44">
        <v>0</v>
      </c>
      <c r="EV44">
        <v>274.20000004768372</v>
      </c>
      <c r="EW44">
        <v>0</v>
      </c>
      <c r="EX44">
        <v>696.23388000000011</v>
      </c>
      <c r="EY44">
        <v>-2.8921538501899589</v>
      </c>
      <c r="EZ44">
        <v>-832.57692098692678</v>
      </c>
      <c r="FA44">
        <v>16531.495999999999</v>
      </c>
      <c r="FB44">
        <v>15</v>
      </c>
      <c r="FC44">
        <v>1700240024.5999999</v>
      </c>
      <c r="FD44" t="s">
        <v>540</v>
      </c>
      <c r="FE44">
        <v>1700240006.0999999</v>
      </c>
      <c r="FF44">
        <v>1700240024.5999999</v>
      </c>
      <c r="FG44">
        <v>31</v>
      </c>
      <c r="FH44">
        <v>2.1999999999999999E-2</v>
      </c>
      <c r="FI44">
        <v>-1E-3</v>
      </c>
      <c r="FJ44">
        <v>7.3999999999999996E-2</v>
      </c>
      <c r="FK44">
        <v>-1E-3</v>
      </c>
      <c r="FL44">
        <v>10</v>
      </c>
      <c r="FM44">
        <v>21</v>
      </c>
      <c r="FN44">
        <v>0.26</v>
      </c>
      <c r="FO44">
        <v>0.02</v>
      </c>
      <c r="FP44">
        <v>1.530261848819265</v>
      </c>
      <c r="FQ44">
        <v>0.10106974695408499</v>
      </c>
      <c r="FR44">
        <v>2.4232725501714441E-2</v>
      </c>
      <c r="FS44">
        <v>1</v>
      </c>
      <c r="FT44">
        <v>0.56519454687645032</v>
      </c>
      <c r="FU44">
        <v>9.7089641930612012E-3</v>
      </c>
      <c r="FV44">
        <v>2.960589516173162E-3</v>
      </c>
      <c r="FW44">
        <v>1</v>
      </c>
      <c r="FX44">
        <v>2</v>
      </c>
      <c r="FY44">
        <v>2</v>
      </c>
      <c r="FZ44" t="s">
        <v>420</v>
      </c>
      <c r="GA44">
        <v>3.1301600000000001</v>
      </c>
      <c r="GB44">
        <v>2.76709</v>
      </c>
      <c r="GC44">
        <v>2.17044E-3</v>
      </c>
      <c r="GD44">
        <v>2.6556499999999999E-3</v>
      </c>
      <c r="GE44">
        <v>0.121334</v>
      </c>
      <c r="GF44">
        <v>9.7692500000000002E-2</v>
      </c>
      <c r="GG44">
        <v>23638.2</v>
      </c>
      <c r="GH44">
        <v>24608.9</v>
      </c>
      <c r="GI44">
        <v>23570.3</v>
      </c>
      <c r="GJ44">
        <v>25008.400000000001</v>
      </c>
      <c r="GK44">
        <v>29832.3</v>
      </c>
      <c r="GL44">
        <v>31639.200000000001</v>
      </c>
      <c r="GM44">
        <v>37580.800000000003</v>
      </c>
      <c r="GN44">
        <v>38931.5</v>
      </c>
      <c r="GO44">
        <v>2.1301999999999999</v>
      </c>
      <c r="GP44">
        <v>1.72292</v>
      </c>
      <c r="GQ44">
        <v>-7.0080199999999995E-2</v>
      </c>
      <c r="GR44">
        <v>0</v>
      </c>
      <c r="GS44">
        <v>31.150099999999998</v>
      </c>
      <c r="GT44">
        <v>999.9</v>
      </c>
      <c r="GU44">
        <v>44.1</v>
      </c>
      <c r="GV44">
        <v>37.4</v>
      </c>
      <c r="GW44">
        <v>28.792999999999999</v>
      </c>
      <c r="GX44">
        <v>60.341000000000001</v>
      </c>
      <c r="GY44">
        <v>26.458300000000001</v>
      </c>
      <c r="GZ44">
        <v>1</v>
      </c>
      <c r="HA44">
        <v>0.81032000000000004</v>
      </c>
      <c r="HB44">
        <v>3.7308599999999998</v>
      </c>
      <c r="HC44">
        <v>20.2776</v>
      </c>
      <c r="HD44">
        <v>5.2511299999999999</v>
      </c>
      <c r="HE44">
        <v>12.0099</v>
      </c>
      <c r="HF44">
        <v>4.9777500000000003</v>
      </c>
      <c r="HG44">
        <v>3.2930000000000001</v>
      </c>
      <c r="HH44">
        <v>9999</v>
      </c>
      <c r="HI44">
        <v>9999</v>
      </c>
      <c r="HJ44">
        <v>9999</v>
      </c>
      <c r="HK44">
        <v>999.9</v>
      </c>
      <c r="HL44">
        <v>1.8760699999999999</v>
      </c>
      <c r="HM44">
        <v>1.8769499999999999</v>
      </c>
      <c r="HN44">
        <v>1.88324</v>
      </c>
      <c r="HO44">
        <v>1.8863000000000001</v>
      </c>
      <c r="HP44">
        <v>1.87714</v>
      </c>
      <c r="HQ44">
        <v>1.8836999999999999</v>
      </c>
      <c r="HR44">
        <v>1.88263</v>
      </c>
      <c r="HS44">
        <v>1.88601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424</v>
      </c>
      <c r="IB44" t="s">
        <v>424</v>
      </c>
      <c r="IC44" t="s">
        <v>423</v>
      </c>
      <c r="ID44">
        <v>0</v>
      </c>
      <c r="IE44">
        <v>100</v>
      </c>
      <c r="IF44">
        <v>100</v>
      </c>
      <c r="IG44">
        <v>7.3999999999999996E-2</v>
      </c>
      <c r="IH44">
        <v>2.2000000000000001E-3</v>
      </c>
      <c r="II44">
        <v>7.3296194940846146E-2</v>
      </c>
      <c r="IJ44">
        <v>4.4610147972834149E-5</v>
      </c>
      <c r="IK44">
        <v>-2.082673137682459E-7</v>
      </c>
      <c r="IL44">
        <v>-4.0725795306076518E-11</v>
      </c>
      <c r="IM44">
        <v>2.2536606047209172E-3</v>
      </c>
      <c r="IN44">
        <v>0</v>
      </c>
      <c r="IO44">
        <v>0</v>
      </c>
      <c r="IP44">
        <v>0</v>
      </c>
      <c r="IQ44">
        <v>3</v>
      </c>
      <c r="IR44">
        <v>2179</v>
      </c>
      <c r="IS44">
        <v>0</v>
      </c>
      <c r="IT44">
        <v>22</v>
      </c>
      <c r="IU44">
        <v>0.8</v>
      </c>
      <c r="IV44">
        <v>0.5</v>
      </c>
      <c r="IW44">
        <v>0.17333999999999999</v>
      </c>
      <c r="IX44">
        <v>2.7416999999999998</v>
      </c>
      <c r="IY44">
        <v>1.6015600000000001</v>
      </c>
      <c r="IZ44">
        <v>2.3327599999999999</v>
      </c>
      <c r="JA44">
        <v>1.5502899999999999</v>
      </c>
      <c r="JB44">
        <v>2.4389599999999998</v>
      </c>
      <c r="JC44">
        <v>42.244500000000002</v>
      </c>
      <c r="JD44">
        <v>24.078700000000001</v>
      </c>
      <c r="JE44">
        <v>18</v>
      </c>
      <c r="JF44">
        <v>621.81500000000005</v>
      </c>
      <c r="JG44">
        <v>383.41500000000002</v>
      </c>
      <c r="JH44">
        <v>26.959099999999999</v>
      </c>
      <c r="JI44">
        <v>36.996200000000002</v>
      </c>
      <c r="JJ44">
        <v>29.9999</v>
      </c>
      <c r="JK44">
        <v>36.884500000000003</v>
      </c>
      <c r="JL44">
        <v>36.867800000000003</v>
      </c>
      <c r="JM44">
        <v>3.4591599999999998</v>
      </c>
      <c r="JN44">
        <v>32.589300000000001</v>
      </c>
      <c r="JO44">
        <v>43.354300000000002</v>
      </c>
      <c r="JP44">
        <v>26.9636</v>
      </c>
      <c r="JQ44">
        <v>10</v>
      </c>
      <c r="JR44">
        <v>21.1327</v>
      </c>
      <c r="JS44">
        <v>98.011499999999998</v>
      </c>
      <c r="JT44">
        <v>98.510599999999997</v>
      </c>
    </row>
    <row r="45" spans="1:280" x14ac:dyDescent="0.25">
      <c r="A45">
        <v>29</v>
      </c>
      <c r="B45">
        <v>1700242076.0999999</v>
      </c>
      <c r="C45">
        <v>6838.5999999046326</v>
      </c>
      <c r="D45" t="s">
        <v>541</v>
      </c>
      <c r="E45" t="s">
        <v>542</v>
      </c>
      <c r="F45" t="s">
        <v>412</v>
      </c>
      <c r="G45" t="s">
        <v>543</v>
      </c>
      <c r="H45" t="s">
        <v>544</v>
      </c>
      <c r="I45">
        <v>1700242076.0999999</v>
      </c>
      <c r="J45">
        <f t="shared" si="0"/>
        <v>3.9132542874304073E-3</v>
      </c>
      <c r="K45">
        <f t="shared" si="1"/>
        <v>3.9132542874304077</v>
      </c>
      <c r="L45">
        <f t="shared" si="2"/>
        <v>43.242024854574986</v>
      </c>
      <c r="M45">
        <f t="shared" si="3"/>
        <v>412.72300000000001</v>
      </c>
      <c r="N45">
        <f t="shared" si="4"/>
        <v>137.56185846195933</v>
      </c>
      <c r="O45">
        <f t="shared" si="5"/>
        <v>13.589226220721873</v>
      </c>
      <c r="P45">
        <f t="shared" si="6"/>
        <v>40.771375701106606</v>
      </c>
      <c r="Q45">
        <f t="shared" si="7"/>
        <v>0.26744333116703256</v>
      </c>
      <c r="R45">
        <f t="shared" si="8"/>
        <v>3.3561724407137987</v>
      </c>
      <c r="S45">
        <f t="shared" si="9"/>
        <v>0.25614254469475273</v>
      </c>
      <c r="T45">
        <f t="shared" si="10"/>
        <v>0.16106462888507142</v>
      </c>
      <c r="U45">
        <f t="shared" si="11"/>
        <v>344.38709930220176</v>
      </c>
      <c r="V45">
        <f t="shared" si="12"/>
        <v>31.029488898364502</v>
      </c>
      <c r="W45">
        <f t="shared" si="13"/>
        <v>29.985099999999999</v>
      </c>
      <c r="X45">
        <f t="shared" si="14"/>
        <v>4.2568048524868978</v>
      </c>
      <c r="Y45">
        <f t="shared" si="15"/>
        <v>65.233333240463821</v>
      </c>
      <c r="Z45">
        <f t="shared" si="16"/>
        <v>2.8015002744766404</v>
      </c>
      <c r="AA45">
        <f t="shared" si="17"/>
        <v>4.2945839731195701</v>
      </c>
      <c r="AB45">
        <f t="shared" si="18"/>
        <v>1.4553045780102574</v>
      </c>
      <c r="AC45">
        <f t="shared" si="19"/>
        <v>-172.57451407568095</v>
      </c>
      <c r="AD45">
        <f t="shared" si="20"/>
        <v>27.846353371197047</v>
      </c>
      <c r="AE45">
        <f t="shared" si="21"/>
        <v>1.8459926555151385</v>
      </c>
      <c r="AF45">
        <f t="shared" si="22"/>
        <v>201.504931253233</v>
      </c>
      <c r="AG45">
        <v>30</v>
      </c>
      <c r="AH45">
        <v>6</v>
      </c>
      <c r="AI45">
        <f t="shared" si="23"/>
        <v>1</v>
      </c>
      <c r="AJ45">
        <f t="shared" si="24"/>
        <v>0</v>
      </c>
      <c r="AK45">
        <f t="shared" si="25"/>
        <v>51651.899461269946</v>
      </c>
      <c r="AL45" t="s">
        <v>415</v>
      </c>
      <c r="AM45">
        <v>6977.87</v>
      </c>
      <c r="AN45">
        <v>273.15280000000001</v>
      </c>
      <c r="AO45">
        <v>850.46774885301022</v>
      </c>
      <c r="AP45">
        <f t="shared" si="26"/>
        <v>0.67882050745793765</v>
      </c>
      <c r="AQ45">
        <v>-1.0323826813720729</v>
      </c>
      <c r="AR45" t="s">
        <v>545</v>
      </c>
      <c r="AS45">
        <v>7102.35</v>
      </c>
      <c r="AT45">
        <v>477.37192307692311</v>
      </c>
      <c r="AU45">
        <v>717.56861637736074</v>
      </c>
      <c r="AV45">
        <f t="shared" si="27"/>
        <v>0.33473689876944268</v>
      </c>
      <c r="AW45">
        <v>0.5</v>
      </c>
      <c r="AX45">
        <f t="shared" si="28"/>
        <v>1513.2605996511008</v>
      </c>
      <c r="AY45">
        <f t="shared" si="29"/>
        <v>43.242024854574986</v>
      </c>
      <c r="AZ45">
        <f t="shared" si="30"/>
        <v>253.27208007859835</v>
      </c>
      <c r="BA45">
        <f t="shared" si="31"/>
        <v>2.9257622610510719E-2</v>
      </c>
      <c r="BB45">
        <f t="shared" si="32"/>
        <v>0.18520755986596746</v>
      </c>
      <c r="BC45">
        <f t="shared" si="33"/>
        <v>257.81661230905456</v>
      </c>
      <c r="BD45" t="s">
        <v>546</v>
      </c>
      <c r="BE45">
        <v>345.52</v>
      </c>
      <c r="BF45">
        <f t="shared" si="34"/>
        <v>345.52</v>
      </c>
      <c r="BG45">
        <f t="shared" si="35"/>
        <v>0.518485072905843</v>
      </c>
      <c r="BH45">
        <f t="shared" si="36"/>
        <v>0.64560566207511816</v>
      </c>
      <c r="BI45">
        <f t="shared" si="37"/>
        <v>0.26319383100039578</v>
      </c>
      <c r="BJ45">
        <f t="shared" si="38"/>
        <v>0.54047737377664051</v>
      </c>
      <c r="BK45">
        <f t="shared" si="39"/>
        <v>0.2302021327174863</v>
      </c>
      <c r="BL45">
        <f t="shared" si="40"/>
        <v>0.46728694666914805</v>
      </c>
      <c r="BM45">
        <f t="shared" si="41"/>
        <v>0.53271305333085195</v>
      </c>
      <c r="BN45">
        <v>11396</v>
      </c>
      <c r="BO45">
        <v>290.00000000000011</v>
      </c>
      <c r="BP45">
        <v>647.58000000000004</v>
      </c>
      <c r="BQ45">
        <v>285</v>
      </c>
      <c r="BR45">
        <v>7102.35</v>
      </c>
      <c r="BS45">
        <v>649.65</v>
      </c>
      <c r="BT45">
        <v>-2.0699999999999998</v>
      </c>
      <c r="BU45">
        <v>300.00000000000011</v>
      </c>
      <c r="BV45">
        <v>38.299999999999997</v>
      </c>
      <c r="BW45">
        <v>717.56861637736074</v>
      </c>
      <c r="BX45">
        <v>1.1570024620668691</v>
      </c>
      <c r="BY45">
        <v>-48.237464310491262</v>
      </c>
      <c r="BZ45">
        <v>0.68880958517170154</v>
      </c>
      <c r="CA45">
        <v>0.99432305139457589</v>
      </c>
      <c r="CB45">
        <v>-7.0030976640711928E-3</v>
      </c>
      <c r="CC45">
        <v>289.99999999999989</v>
      </c>
      <c r="CD45">
        <v>656.49</v>
      </c>
      <c r="CE45">
        <v>875</v>
      </c>
      <c r="CF45">
        <v>7092.87</v>
      </c>
      <c r="CG45">
        <v>649.55999999999995</v>
      </c>
      <c r="CH45">
        <v>6.93</v>
      </c>
      <c r="CV45">
        <f t="shared" si="42"/>
        <v>1800.09</v>
      </c>
      <c r="CW45">
        <f t="shared" si="43"/>
        <v>1513.2605996511008</v>
      </c>
      <c r="CX45">
        <f t="shared" si="44"/>
        <v>0.84065830022448929</v>
      </c>
      <c r="CY45">
        <f t="shared" si="45"/>
        <v>0.19131660044897852</v>
      </c>
      <c r="CZ45">
        <v>4.16</v>
      </c>
      <c r="DA45">
        <v>0.5</v>
      </c>
      <c r="DB45" t="s">
        <v>418</v>
      </c>
      <c r="DC45">
        <v>2</v>
      </c>
      <c r="DD45">
        <v>1700242076.0999999</v>
      </c>
      <c r="DE45">
        <v>412.72300000000001</v>
      </c>
      <c r="DF45">
        <v>450.04300000000001</v>
      </c>
      <c r="DG45">
        <v>28.359200000000001</v>
      </c>
      <c r="DH45">
        <v>25.195799999999998</v>
      </c>
      <c r="DI45">
        <v>413.18599999999998</v>
      </c>
      <c r="DJ45">
        <v>28.349</v>
      </c>
      <c r="DK45">
        <v>500.01499999999999</v>
      </c>
      <c r="DL45">
        <v>98.686899999999994</v>
      </c>
      <c r="DM45">
        <v>9.9394200000000002E-2</v>
      </c>
      <c r="DN45">
        <v>30.138999999999999</v>
      </c>
      <c r="DO45">
        <v>29.985099999999999</v>
      </c>
      <c r="DP45">
        <v>999.9</v>
      </c>
      <c r="DQ45">
        <v>0</v>
      </c>
      <c r="DR45">
        <v>0</v>
      </c>
      <c r="DS45">
        <v>10001.9</v>
      </c>
      <c r="DT45">
        <v>0</v>
      </c>
      <c r="DU45">
        <v>147.053</v>
      </c>
      <c r="DV45">
        <v>-37.319800000000001</v>
      </c>
      <c r="DW45">
        <v>424.76900000000001</v>
      </c>
      <c r="DX45">
        <v>461.67500000000001</v>
      </c>
      <c r="DY45">
        <v>3.1634000000000002</v>
      </c>
      <c r="DZ45">
        <v>450.04300000000001</v>
      </c>
      <c r="EA45">
        <v>25.195799999999998</v>
      </c>
      <c r="EB45">
        <v>2.7986800000000001</v>
      </c>
      <c r="EC45">
        <v>2.4864899999999999</v>
      </c>
      <c r="ED45">
        <v>22.876300000000001</v>
      </c>
      <c r="EE45">
        <v>20.938400000000001</v>
      </c>
      <c r="EF45">
        <v>1800.09</v>
      </c>
      <c r="EG45">
        <v>0.97799599999999998</v>
      </c>
      <c r="EH45">
        <v>2.2003600000000002E-2</v>
      </c>
      <c r="EI45">
        <v>0</v>
      </c>
      <c r="EJ45">
        <v>477.72399999999999</v>
      </c>
      <c r="EK45">
        <v>5.0005300000000004</v>
      </c>
      <c r="EL45">
        <v>10052.6</v>
      </c>
      <c r="EM45">
        <v>16036</v>
      </c>
      <c r="EN45">
        <v>49.75</v>
      </c>
      <c r="EO45">
        <v>51</v>
      </c>
      <c r="EP45">
        <v>50.436999999999998</v>
      </c>
      <c r="EQ45">
        <v>50.5</v>
      </c>
      <c r="ER45">
        <v>50.875</v>
      </c>
      <c r="ES45">
        <v>1755.59</v>
      </c>
      <c r="ET45">
        <v>39.5</v>
      </c>
      <c r="EU45">
        <v>0</v>
      </c>
      <c r="EV45">
        <v>2018.400000095367</v>
      </c>
      <c r="EW45">
        <v>0</v>
      </c>
      <c r="EX45">
        <v>477.37192307692311</v>
      </c>
      <c r="EY45">
        <v>-0.36765810362708862</v>
      </c>
      <c r="EZ45">
        <v>120.2256414421574</v>
      </c>
      <c r="FA45">
        <v>10073.707692307689</v>
      </c>
      <c r="FB45">
        <v>15</v>
      </c>
      <c r="FC45">
        <v>1700242043.5999999</v>
      </c>
      <c r="FD45" t="s">
        <v>547</v>
      </c>
      <c r="FE45">
        <v>1700242043.5999999</v>
      </c>
      <c r="FF45">
        <v>1700242040.0999999</v>
      </c>
      <c r="FG45">
        <v>33</v>
      </c>
      <c r="FH45">
        <v>-2.4E-2</v>
      </c>
      <c r="FI45">
        <v>5.0000000000000001E-3</v>
      </c>
      <c r="FJ45">
        <v>-0.46899999999999997</v>
      </c>
      <c r="FK45">
        <v>0.01</v>
      </c>
      <c r="FL45">
        <v>450</v>
      </c>
      <c r="FM45">
        <v>25</v>
      </c>
      <c r="FN45">
        <v>7.0000000000000007E-2</v>
      </c>
      <c r="FO45">
        <v>0.03</v>
      </c>
      <c r="FP45">
        <v>43.152770370938477</v>
      </c>
      <c r="FQ45">
        <v>-0.1946458389138736</v>
      </c>
      <c r="FR45">
        <v>4.2603708758099823E-2</v>
      </c>
      <c r="FS45">
        <v>1</v>
      </c>
      <c r="FT45">
        <v>0.26455058762553268</v>
      </c>
      <c r="FU45">
        <v>1.9663122912909069E-2</v>
      </c>
      <c r="FV45">
        <v>1.6810565785228149E-3</v>
      </c>
      <c r="FW45">
        <v>1</v>
      </c>
      <c r="FX45">
        <v>2</v>
      </c>
      <c r="FY45">
        <v>2</v>
      </c>
      <c r="FZ45" t="s">
        <v>420</v>
      </c>
      <c r="GA45">
        <v>3.1290499999999999</v>
      </c>
      <c r="GB45">
        <v>2.7662800000000001</v>
      </c>
      <c r="GC45">
        <v>9.0032699999999993E-2</v>
      </c>
      <c r="GD45">
        <v>9.6107600000000001E-2</v>
      </c>
      <c r="GE45">
        <v>0.119213</v>
      </c>
      <c r="GF45">
        <v>0.109984</v>
      </c>
      <c r="GG45">
        <v>21567.5</v>
      </c>
      <c r="GH45">
        <v>22319.8</v>
      </c>
      <c r="GI45">
        <v>23576.799999999999</v>
      </c>
      <c r="GJ45">
        <v>25022.1</v>
      </c>
      <c r="GK45">
        <v>29912.7</v>
      </c>
      <c r="GL45">
        <v>31224.3</v>
      </c>
      <c r="GM45">
        <v>37591.300000000003</v>
      </c>
      <c r="GN45">
        <v>38951.4</v>
      </c>
      <c r="GO45">
        <v>2.0133999999999999</v>
      </c>
      <c r="GP45">
        <v>1.73</v>
      </c>
      <c r="GQ45">
        <v>1.0542599999999999E-2</v>
      </c>
      <c r="GR45">
        <v>0</v>
      </c>
      <c r="GS45">
        <v>29.813500000000001</v>
      </c>
      <c r="GT45">
        <v>999.9</v>
      </c>
      <c r="GU45">
        <v>43.2</v>
      </c>
      <c r="GV45">
        <v>38.700000000000003</v>
      </c>
      <c r="GW45">
        <v>30.264900000000001</v>
      </c>
      <c r="GX45">
        <v>60.375599999999999</v>
      </c>
      <c r="GY45">
        <v>26.8429</v>
      </c>
      <c r="GZ45">
        <v>1</v>
      </c>
      <c r="HA45">
        <v>0.791987</v>
      </c>
      <c r="HB45">
        <v>3.0129600000000001</v>
      </c>
      <c r="HC45">
        <v>20.2911</v>
      </c>
      <c r="HD45">
        <v>5.2458900000000002</v>
      </c>
      <c r="HE45">
        <v>12.0099</v>
      </c>
      <c r="HF45">
        <v>4.9771999999999998</v>
      </c>
      <c r="HG45">
        <v>3.29223</v>
      </c>
      <c r="HH45">
        <v>9999</v>
      </c>
      <c r="HI45">
        <v>9999</v>
      </c>
      <c r="HJ45">
        <v>9999</v>
      </c>
      <c r="HK45">
        <v>999.9</v>
      </c>
      <c r="HL45">
        <v>1.87609</v>
      </c>
      <c r="HM45">
        <v>1.8769800000000001</v>
      </c>
      <c r="HN45">
        <v>1.88324</v>
      </c>
      <c r="HO45">
        <v>1.88636</v>
      </c>
      <c r="HP45">
        <v>1.87714</v>
      </c>
      <c r="HQ45">
        <v>1.8836999999999999</v>
      </c>
      <c r="HR45">
        <v>1.88263</v>
      </c>
      <c r="HS45">
        <v>1.8859900000000001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424</v>
      </c>
      <c r="IB45" t="s">
        <v>424</v>
      </c>
      <c r="IC45" t="s">
        <v>423</v>
      </c>
      <c r="ID45">
        <v>0</v>
      </c>
      <c r="IE45">
        <v>100</v>
      </c>
      <c r="IF45">
        <v>100</v>
      </c>
      <c r="IG45">
        <v>-0.46300000000000002</v>
      </c>
      <c r="IH45">
        <v>1.0200000000000001E-2</v>
      </c>
      <c r="II45">
        <v>-0.44335496072405001</v>
      </c>
      <c r="IJ45">
        <v>4.4610147972834149E-5</v>
      </c>
      <c r="IK45">
        <v>-2.082673137682459E-7</v>
      </c>
      <c r="IL45">
        <v>-4.0725795306076518E-11</v>
      </c>
      <c r="IM45">
        <v>1.0214999999998749E-2</v>
      </c>
      <c r="IN45">
        <v>0</v>
      </c>
      <c r="IO45">
        <v>0</v>
      </c>
      <c r="IP45">
        <v>0</v>
      </c>
      <c r="IQ45">
        <v>3</v>
      </c>
      <c r="IR45">
        <v>2179</v>
      </c>
      <c r="IS45">
        <v>0</v>
      </c>
      <c r="IT45">
        <v>22</v>
      </c>
      <c r="IU45">
        <v>0.5</v>
      </c>
      <c r="IV45">
        <v>0.6</v>
      </c>
      <c r="IW45">
        <v>1.1218300000000001</v>
      </c>
      <c r="IX45">
        <v>2.6928700000000001</v>
      </c>
      <c r="IY45">
        <v>1.6015600000000001</v>
      </c>
      <c r="IZ45">
        <v>2.3290999999999999</v>
      </c>
      <c r="JA45">
        <v>1.5502899999999999</v>
      </c>
      <c r="JB45">
        <v>2.3168899999999999</v>
      </c>
      <c r="JC45">
        <v>42.885199999999998</v>
      </c>
      <c r="JD45">
        <v>24.078700000000001</v>
      </c>
      <c r="JE45">
        <v>18</v>
      </c>
      <c r="JF45">
        <v>538.15800000000002</v>
      </c>
      <c r="JG45">
        <v>386.82600000000002</v>
      </c>
      <c r="JH45">
        <v>27.0715</v>
      </c>
      <c r="JI45">
        <v>36.662199999999999</v>
      </c>
      <c r="JJ45">
        <v>30.000399999999999</v>
      </c>
      <c r="JK45">
        <v>36.700600000000001</v>
      </c>
      <c r="JL45">
        <v>36.698399999999999</v>
      </c>
      <c r="JM45">
        <v>22.4498</v>
      </c>
      <c r="JN45">
        <v>23.360199999999999</v>
      </c>
      <c r="JO45">
        <v>52.653300000000002</v>
      </c>
      <c r="JP45">
        <v>27.072399999999998</v>
      </c>
      <c r="JQ45">
        <v>450</v>
      </c>
      <c r="JR45">
        <v>25.163599999999999</v>
      </c>
      <c r="JS45">
        <v>98.038799999999995</v>
      </c>
      <c r="JT45">
        <v>98.5625</v>
      </c>
    </row>
    <row r="46" spans="1:280" x14ac:dyDescent="0.25">
      <c r="A46">
        <v>30</v>
      </c>
      <c r="B46">
        <v>1700242268.0999999</v>
      </c>
      <c r="C46">
        <v>7030.5999999046326</v>
      </c>
      <c r="D46" t="s">
        <v>548</v>
      </c>
      <c r="E46" t="s">
        <v>549</v>
      </c>
      <c r="F46" t="s">
        <v>412</v>
      </c>
      <c r="G46" t="s">
        <v>543</v>
      </c>
      <c r="H46" t="s">
        <v>544</v>
      </c>
      <c r="I46">
        <v>1700242268.0999999</v>
      </c>
      <c r="J46">
        <f t="shared" si="0"/>
        <v>2.3189433779979701E-3</v>
      </c>
      <c r="K46">
        <f t="shared" si="1"/>
        <v>2.3189433779979702</v>
      </c>
      <c r="L46">
        <f t="shared" si="2"/>
        <v>46.091122398081978</v>
      </c>
      <c r="M46">
        <f t="shared" si="3"/>
        <v>1458.96</v>
      </c>
      <c r="N46">
        <f t="shared" si="4"/>
        <v>910.82043565118988</v>
      </c>
      <c r="O46">
        <f t="shared" si="5"/>
        <v>89.98206940631438</v>
      </c>
      <c r="P46">
        <f t="shared" si="6"/>
        <v>144.13405194096001</v>
      </c>
      <c r="Q46">
        <f t="shared" si="7"/>
        <v>0.14549483623463827</v>
      </c>
      <c r="R46">
        <f t="shared" si="8"/>
        <v>3.3550495434760932</v>
      </c>
      <c r="S46">
        <f t="shared" si="9"/>
        <v>0.14207833179917984</v>
      </c>
      <c r="T46">
        <f t="shared" si="10"/>
        <v>8.9099234754899975E-2</v>
      </c>
      <c r="U46">
        <f t="shared" si="11"/>
        <v>344.36429930215525</v>
      </c>
      <c r="V46">
        <f t="shared" si="12"/>
        <v>30.979790468902831</v>
      </c>
      <c r="W46">
        <f t="shared" si="13"/>
        <v>30.032699999999998</v>
      </c>
      <c r="X46">
        <f t="shared" si="14"/>
        <v>4.2684585623874227</v>
      </c>
      <c r="Y46">
        <f t="shared" si="15"/>
        <v>64.695861577722837</v>
      </c>
      <c r="Z46">
        <f t="shared" si="16"/>
        <v>2.712985460449</v>
      </c>
      <c r="AA46">
        <f t="shared" si="17"/>
        <v>4.193445135883592</v>
      </c>
      <c r="AB46">
        <f t="shared" si="18"/>
        <v>1.5554731019384227</v>
      </c>
      <c r="AC46">
        <f t="shared" si="19"/>
        <v>-102.26540296971048</v>
      </c>
      <c r="AD46">
        <f t="shared" si="20"/>
        <v>-55.782599716662965</v>
      </c>
      <c r="AE46">
        <f t="shared" si="21"/>
        <v>-3.6924657062069204</v>
      </c>
      <c r="AF46">
        <f t="shared" si="22"/>
        <v>182.62383090957491</v>
      </c>
      <c r="AG46">
        <v>28</v>
      </c>
      <c r="AH46">
        <v>6</v>
      </c>
      <c r="AI46">
        <f t="shared" si="23"/>
        <v>1</v>
      </c>
      <c r="AJ46">
        <f t="shared" si="24"/>
        <v>0</v>
      </c>
      <c r="AK46">
        <f t="shared" si="25"/>
        <v>51697.408809181848</v>
      </c>
      <c r="AL46" t="s">
        <v>415</v>
      </c>
      <c r="AM46">
        <v>6977.87</v>
      </c>
      <c r="AN46">
        <v>273.15280000000001</v>
      </c>
      <c r="AO46">
        <v>850.46774885301022</v>
      </c>
      <c r="AP46">
        <f t="shared" si="26"/>
        <v>0.67882050745793765</v>
      </c>
      <c r="AQ46">
        <v>-1.0323826813720729</v>
      </c>
      <c r="AR46" t="s">
        <v>550</v>
      </c>
      <c r="AS46">
        <v>7103.1</v>
      </c>
      <c r="AT46">
        <v>473.14499999999998</v>
      </c>
      <c r="AU46">
        <v>738.68769193442029</v>
      </c>
      <c r="AV46">
        <f t="shared" si="27"/>
        <v>0.35947897174113852</v>
      </c>
      <c r="AW46">
        <v>0.5</v>
      </c>
      <c r="AX46">
        <f t="shared" si="28"/>
        <v>1513.1597996510777</v>
      </c>
      <c r="AY46">
        <f t="shared" si="29"/>
        <v>46.091122398081978</v>
      </c>
      <c r="AZ46">
        <f t="shared" si="30"/>
        <v>271.97456442929831</v>
      </c>
      <c r="BA46">
        <f t="shared" si="31"/>
        <v>3.1142451108151527E-2</v>
      </c>
      <c r="BB46">
        <f t="shared" si="32"/>
        <v>0.15132248464282469</v>
      </c>
      <c r="BC46">
        <f t="shared" si="33"/>
        <v>260.49243055318465</v>
      </c>
      <c r="BD46" t="s">
        <v>551</v>
      </c>
      <c r="BE46">
        <v>354.32</v>
      </c>
      <c r="BF46">
        <f t="shared" si="34"/>
        <v>354.32</v>
      </c>
      <c r="BG46">
        <f t="shared" si="35"/>
        <v>0.52033856273937207</v>
      </c>
      <c r="BH46">
        <f t="shared" si="36"/>
        <v>0.69085591090659726</v>
      </c>
      <c r="BI46">
        <f t="shared" si="37"/>
        <v>0.22529590666691934</v>
      </c>
      <c r="BJ46">
        <f t="shared" si="38"/>
        <v>0.57040341451318588</v>
      </c>
      <c r="BK46">
        <f t="shared" si="39"/>
        <v>0.19362058290829079</v>
      </c>
      <c r="BL46">
        <f t="shared" si="40"/>
        <v>0.51735528506573147</v>
      </c>
      <c r="BM46">
        <f t="shared" si="41"/>
        <v>0.48264471493426853</v>
      </c>
      <c r="BN46">
        <v>11398</v>
      </c>
      <c r="BO46">
        <v>290.00000000000011</v>
      </c>
      <c r="BP46">
        <v>659.64</v>
      </c>
      <c r="BQ46">
        <v>295</v>
      </c>
      <c r="BR46">
        <v>7103.1</v>
      </c>
      <c r="BS46">
        <v>661.43</v>
      </c>
      <c r="BT46">
        <v>-1.79</v>
      </c>
      <c r="BU46">
        <v>300.00000000000011</v>
      </c>
      <c r="BV46">
        <v>38.299999999999997</v>
      </c>
      <c r="BW46">
        <v>738.68769193442029</v>
      </c>
      <c r="BX46">
        <v>1.7664497686970531</v>
      </c>
      <c r="BY46">
        <v>-54.879641751755877</v>
      </c>
      <c r="BZ46">
        <v>1.0517468531489189</v>
      </c>
      <c r="CA46">
        <v>0.98982077988823913</v>
      </c>
      <c r="CB46">
        <v>-7.003859844271417E-3</v>
      </c>
      <c r="CC46">
        <v>289.99999999999989</v>
      </c>
      <c r="CD46">
        <v>667.68</v>
      </c>
      <c r="CE46">
        <v>855</v>
      </c>
      <c r="CF46">
        <v>7093.95</v>
      </c>
      <c r="CG46">
        <v>661.33</v>
      </c>
      <c r="CH46">
        <v>6.35</v>
      </c>
      <c r="CV46">
        <f t="shared" si="42"/>
        <v>1799.97</v>
      </c>
      <c r="CW46">
        <f t="shared" si="43"/>
        <v>1513.1597996510777</v>
      </c>
      <c r="CX46">
        <f t="shared" si="44"/>
        <v>0.84065834411188944</v>
      </c>
      <c r="CY46">
        <f t="shared" si="45"/>
        <v>0.19131668822377887</v>
      </c>
      <c r="CZ46">
        <v>4.16</v>
      </c>
      <c r="DA46">
        <v>0.5</v>
      </c>
      <c r="DB46" t="s">
        <v>418</v>
      </c>
      <c r="DC46">
        <v>2</v>
      </c>
      <c r="DD46">
        <v>1700242268.0999999</v>
      </c>
      <c r="DE46">
        <v>1458.96</v>
      </c>
      <c r="DF46">
        <v>1500.11</v>
      </c>
      <c r="DG46">
        <v>27.461500000000001</v>
      </c>
      <c r="DH46">
        <v>25.585699999999999</v>
      </c>
      <c r="DI46">
        <v>1459.3</v>
      </c>
      <c r="DJ46">
        <v>27.447199999999999</v>
      </c>
      <c r="DK46">
        <v>500.154</v>
      </c>
      <c r="DL46">
        <v>98.6922</v>
      </c>
      <c r="DM46">
        <v>0.10012600000000001</v>
      </c>
      <c r="DN46">
        <v>29.724299999999999</v>
      </c>
      <c r="DO46">
        <v>30.032699999999998</v>
      </c>
      <c r="DP46">
        <v>999.9</v>
      </c>
      <c r="DQ46">
        <v>0</v>
      </c>
      <c r="DR46">
        <v>0</v>
      </c>
      <c r="DS46">
        <v>9996.25</v>
      </c>
      <c r="DT46">
        <v>0</v>
      </c>
      <c r="DU46">
        <v>177.715</v>
      </c>
      <c r="DV46">
        <v>-41.149700000000003</v>
      </c>
      <c r="DW46">
        <v>1500.15</v>
      </c>
      <c r="DX46">
        <v>1539.5</v>
      </c>
      <c r="DY46">
        <v>1.87584</v>
      </c>
      <c r="DZ46">
        <v>1500.11</v>
      </c>
      <c r="EA46">
        <v>25.585699999999999</v>
      </c>
      <c r="EB46">
        <v>2.7102400000000002</v>
      </c>
      <c r="EC46">
        <v>2.5251100000000002</v>
      </c>
      <c r="ED46">
        <v>22.347300000000001</v>
      </c>
      <c r="EE46">
        <v>21.189299999999999</v>
      </c>
      <c r="EF46">
        <v>1799.97</v>
      </c>
      <c r="EG46">
        <v>0.977993</v>
      </c>
      <c r="EH46">
        <v>2.2007200000000001E-2</v>
      </c>
      <c r="EI46">
        <v>0</v>
      </c>
      <c r="EJ46">
        <v>472.81200000000001</v>
      </c>
      <c r="EK46">
        <v>5.0005300000000004</v>
      </c>
      <c r="EL46">
        <v>10145.1</v>
      </c>
      <c r="EM46">
        <v>16035</v>
      </c>
      <c r="EN46">
        <v>49.75</v>
      </c>
      <c r="EO46">
        <v>50.936999999999998</v>
      </c>
      <c r="EP46">
        <v>50.375</v>
      </c>
      <c r="EQ46">
        <v>50.5</v>
      </c>
      <c r="ER46">
        <v>50.75</v>
      </c>
      <c r="ES46">
        <v>1755.47</v>
      </c>
      <c r="ET46">
        <v>39.5</v>
      </c>
      <c r="EU46">
        <v>0</v>
      </c>
      <c r="EV46">
        <v>190.19999980926511</v>
      </c>
      <c r="EW46">
        <v>0</v>
      </c>
      <c r="EX46">
        <v>473.14499999999998</v>
      </c>
      <c r="EY46">
        <v>-0.39295726461128661</v>
      </c>
      <c r="EZ46">
        <v>255.89059833367469</v>
      </c>
      <c r="FA46">
        <v>10113.01538461539</v>
      </c>
      <c r="FB46">
        <v>15</v>
      </c>
      <c r="FC46">
        <v>1700242224.0999999</v>
      </c>
      <c r="FD46" t="s">
        <v>552</v>
      </c>
      <c r="FE46">
        <v>1700242224.0999999</v>
      </c>
      <c r="FF46">
        <v>1700242219.5999999</v>
      </c>
      <c r="FG46">
        <v>34</v>
      </c>
      <c r="FH46">
        <v>0.60299999999999998</v>
      </c>
      <c r="FI46">
        <v>4.0000000000000001E-3</v>
      </c>
      <c r="FJ46">
        <v>-0.379</v>
      </c>
      <c r="FK46">
        <v>1.4E-2</v>
      </c>
      <c r="FL46">
        <v>1500</v>
      </c>
      <c r="FM46">
        <v>26</v>
      </c>
      <c r="FN46">
        <v>0.09</v>
      </c>
      <c r="FO46">
        <v>0.05</v>
      </c>
      <c r="FP46">
        <v>45.967755370610448</v>
      </c>
      <c r="FQ46">
        <v>-0.49608306755248838</v>
      </c>
      <c r="FR46">
        <v>8.4621947347970655E-2</v>
      </c>
      <c r="FS46">
        <v>1</v>
      </c>
      <c r="FT46">
        <v>0.15183161328212569</v>
      </c>
      <c r="FU46">
        <v>-4.7333524484012422E-2</v>
      </c>
      <c r="FV46">
        <v>3.5497408569277441E-3</v>
      </c>
      <c r="FW46">
        <v>1</v>
      </c>
      <c r="FX46">
        <v>2</v>
      </c>
      <c r="FY46">
        <v>2</v>
      </c>
      <c r="FZ46" t="s">
        <v>420</v>
      </c>
      <c r="GA46">
        <v>3.1297999999999999</v>
      </c>
      <c r="GB46">
        <v>2.7669700000000002</v>
      </c>
      <c r="GC46">
        <v>0.21051300000000001</v>
      </c>
      <c r="GD46">
        <v>0.21387500000000001</v>
      </c>
      <c r="GE46">
        <v>0.116551</v>
      </c>
      <c r="GF46">
        <v>0.111155</v>
      </c>
      <c r="GG46">
        <v>18700.8</v>
      </c>
      <c r="GH46">
        <v>19400.2</v>
      </c>
      <c r="GI46">
        <v>23571.5</v>
      </c>
      <c r="GJ46">
        <v>25017.599999999999</v>
      </c>
      <c r="GK46">
        <v>29996.6</v>
      </c>
      <c r="GL46">
        <v>31177.599999999999</v>
      </c>
      <c r="GM46">
        <v>37583.599999999999</v>
      </c>
      <c r="GN46">
        <v>38944.9</v>
      </c>
      <c r="GO46">
        <v>2.01545</v>
      </c>
      <c r="GP46">
        <v>1.73142</v>
      </c>
      <c r="GQ46">
        <v>2.47285E-2</v>
      </c>
      <c r="GR46">
        <v>0</v>
      </c>
      <c r="GS46">
        <v>29.630199999999999</v>
      </c>
      <c r="GT46">
        <v>999.9</v>
      </c>
      <c r="GU46">
        <v>43.4</v>
      </c>
      <c r="GV46">
        <v>38.799999999999997</v>
      </c>
      <c r="GW46">
        <v>30.5685</v>
      </c>
      <c r="GX46">
        <v>60.495699999999999</v>
      </c>
      <c r="GY46">
        <v>26.0457</v>
      </c>
      <c r="GZ46">
        <v>1</v>
      </c>
      <c r="HA46">
        <v>0.80543200000000004</v>
      </c>
      <c r="HB46">
        <v>3.81542</v>
      </c>
      <c r="HC46">
        <v>20.276800000000001</v>
      </c>
      <c r="HD46">
        <v>5.2500900000000001</v>
      </c>
      <c r="HE46">
        <v>12.0099</v>
      </c>
      <c r="HF46">
        <v>4.9783499999999998</v>
      </c>
      <c r="HG46">
        <v>3.2930000000000001</v>
      </c>
      <c r="HH46">
        <v>9999</v>
      </c>
      <c r="HI46">
        <v>9999</v>
      </c>
      <c r="HJ46">
        <v>9999</v>
      </c>
      <c r="HK46">
        <v>999.9</v>
      </c>
      <c r="HL46">
        <v>1.8760699999999999</v>
      </c>
      <c r="HM46">
        <v>1.87697</v>
      </c>
      <c r="HN46">
        <v>1.88324</v>
      </c>
      <c r="HO46">
        <v>1.8863399999999999</v>
      </c>
      <c r="HP46">
        <v>1.87714</v>
      </c>
      <c r="HQ46">
        <v>1.8836999999999999</v>
      </c>
      <c r="HR46">
        <v>1.88262</v>
      </c>
      <c r="HS46">
        <v>1.8859900000000001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424</v>
      </c>
      <c r="IB46" t="s">
        <v>424</v>
      </c>
      <c r="IC46" t="s">
        <v>423</v>
      </c>
      <c r="ID46">
        <v>0</v>
      </c>
      <c r="IE46">
        <v>100</v>
      </c>
      <c r="IF46">
        <v>100</v>
      </c>
      <c r="IG46">
        <v>-0.34</v>
      </c>
      <c r="IH46">
        <v>1.43E-2</v>
      </c>
      <c r="II46">
        <v>0.1601802171761002</v>
      </c>
      <c r="IJ46">
        <v>4.4610147972834149E-5</v>
      </c>
      <c r="IK46">
        <v>-2.082673137682459E-7</v>
      </c>
      <c r="IL46">
        <v>-4.0725795306076518E-11</v>
      </c>
      <c r="IM46">
        <v>1.436666666667108E-2</v>
      </c>
      <c r="IN46">
        <v>0</v>
      </c>
      <c r="IO46">
        <v>0</v>
      </c>
      <c r="IP46">
        <v>0</v>
      </c>
      <c r="IQ46">
        <v>3</v>
      </c>
      <c r="IR46">
        <v>2179</v>
      </c>
      <c r="IS46">
        <v>0</v>
      </c>
      <c r="IT46">
        <v>22</v>
      </c>
      <c r="IU46">
        <v>0.7</v>
      </c>
      <c r="IV46">
        <v>0.8</v>
      </c>
      <c r="IW46">
        <v>2.98706</v>
      </c>
      <c r="IX46">
        <v>2.6684600000000001</v>
      </c>
      <c r="IY46">
        <v>1.6015600000000001</v>
      </c>
      <c r="IZ46">
        <v>2.3290999999999999</v>
      </c>
      <c r="JA46">
        <v>1.5502899999999999</v>
      </c>
      <c r="JB46">
        <v>2.4694799999999999</v>
      </c>
      <c r="JC46">
        <v>42.939</v>
      </c>
      <c r="JD46">
        <v>24.087499999999999</v>
      </c>
      <c r="JE46">
        <v>18</v>
      </c>
      <c r="JF46">
        <v>540.28599999999994</v>
      </c>
      <c r="JG46">
        <v>388.30399999999997</v>
      </c>
      <c r="JH46">
        <v>26.311699999999998</v>
      </c>
      <c r="JI46">
        <v>36.805999999999997</v>
      </c>
      <c r="JJ46">
        <v>30.000399999999999</v>
      </c>
      <c r="JK46">
        <v>36.800199999999997</v>
      </c>
      <c r="JL46">
        <v>36.7956</v>
      </c>
      <c r="JM46">
        <v>59.773400000000002</v>
      </c>
      <c r="JN46">
        <v>22.155899999999999</v>
      </c>
      <c r="JO46">
        <v>53.746600000000001</v>
      </c>
      <c r="JP46">
        <v>26.283300000000001</v>
      </c>
      <c r="JQ46">
        <v>1500</v>
      </c>
      <c r="JR46">
        <v>25.685300000000002</v>
      </c>
      <c r="JS46">
        <v>98.017899999999997</v>
      </c>
      <c r="JT46">
        <v>98.545400000000001</v>
      </c>
    </row>
    <row r="47" spans="1:280" x14ac:dyDescent="0.25">
      <c r="A47">
        <v>31</v>
      </c>
      <c r="B47">
        <v>1700242378.5999999</v>
      </c>
      <c r="C47">
        <v>7141.0999999046326</v>
      </c>
      <c r="D47" t="s">
        <v>553</v>
      </c>
      <c r="E47" t="s">
        <v>554</v>
      </c>
      <c r="F47" t="s">
        <v>412</v>
      </c>
      <c r="G47" t="s">
        <v>543</v>
      </c>
      <c r="H47" t="s">
        <v>544</v>
      </c>
      <c r="I47">
        <v>1700242378.5999999</v>
      </c>
      <c r="J47">
        <f t="shared" si="0"/>
        <v>1.7755335406667643E-3</v>
      </c>
      <c r="K47">
        <f t="shared" si="1"/>
        <v>1.7755335406667643</v>
      </c>
      <c r="L47">
        <f t="shared" si="2"/>
        <v>44.002200470254529</v>
      </c>
      <c r="M47">
        <f t="shared" si="3"/>
        <v>1211.6099999999999</v>
      </c>
      <c r="N47">
        <f t="shared" si="4"/>
        <v>550.40834894376042</v>
      </c>
      <c r="O47">
        <f t="shared" si="5"/>
        <v>54.37713731594922</v>
      </c>
      <c r="P47">
        <f t="shared" si="6"/>
        <v>119.70000722156398</v>
      </c>
      <c r="Q47">
        <f t="shared" si="7"/>
        <v>0.11200503906718293</v>
      </c>
      <c r="R47">
        <f t="shared" si="8"/>
        <v>3.3689508702481232</v>
      </c>
      <c r="S47">
        <f t="shared" si="9"/>
        <v>0.10997671067572024</v>
      </c>
      <c r="T47">
        <f t="shared" si="10"/>
        <v>6.8914621940786347E-2</v>
      </c>
      <c r="U47">
        <f t="shared" si="11"/>
        <v>344.37059930199024</v>
      </c>
      <c r="V47">
        <f t="shared" si="12"/>
        <v>30.890332472264419</v>
      </c>
      <c r="W47">
        <f t="shared" si="13"/>
        <v>29.968599999999999</v>
      </c>
      <c r="X47">
        <f t="shared" si="14"/>
        <v>4.2527717030793841</v>
      </c>
      <c r="Y47">
        <f t="shared" si="15"/>
        <v>65.502732346551696</v>
      </c>
      <c r="Z47">
        <f t="shared" si="16"/>
        <v>2.7140142276693595</v>
      </c>
      <c r="AA47">
        <f t="shared" si="17"/>
        <v>4.1433603308492142</v>
      </c>
      <c r="AB47">
        <f t="shared" si="18"/>
        <v>1.5387574754100246</v>
      </c>
      <c r="AC47">
        <f t="shared" si="19"/>
        <v>-78.301029143404307</v>
      </c>
      <c r="AD47">
        <f t="shared" si="20"/>
        <v>-82.258813642586276</v>
      </c>
      <c r="AE47">
        <f t="shared" si="21"/>
        <v>-5.4152422240158069</v>
      </c>
      <c r="AF47">
        <f t="shared" si="22"/>
        <v>178.39551429198383</v>
      </c>
      <c r="AG47">
        <v>27</v>
      </c>
      <c r="AH47">
        <v>5</v>
      </c>
      <c r="AI47">
        <f t="shared" si="23"/>
        <v>1</v>
      </c>
      <c r="AJ47">
        <f t="shared" si="24"/>
        <v>0</v>
      </c>
      <c r="AK47">
        <f t="shared" si="25"/>
        <v>52047.522209264884</v>
      </c>
      <c r="AL47" t="s">
        <v>427</v>
      </c>
      <c r="AM47" t="s">
        <v>427</v>
      </c>
      <c r="AN47">
        <v>0</v>
      </c>
      <c r="AO47">
        <v>0</v>
      </c>
      <c r="AP47" t="e">
        <f t="shared" si="26"/>
        <v>#DIV/0!</v>
      </c>
      <c r="AQ47">
        <v>0</v>
      </c>
      <c r="AR47" t="s">
        <v>427</v>
      </c>
      <c r="AS47" t="s">
        <v>427</v>
      </c>
      <c r="AT47">
        <v>0</v>
      </c>
      <c r="AU47">
        <v>0</v>
      </c>
      <c r="AV47" t="e">
        <f t="shared" si="27"/>
        <v>#DIV/0!</v>
      </c>
      <c r="AW47">
        <v>0.5</v>
      </c>
      <c r="AX47">
        <f t="shared" si="28"/>
        <v>1513.1852996509949</v>
      </c>
      <c r="AY47">
        <f t="shared" si="29"/>
        <v>44.002200470254529</v>
      </c>
      <c r="AZ47" t="e">
        <f t="shared" si="30"/>
        <v>#DIV/0!</v>
      </c>
      <c r="BA47">
        <f t="shared" si="31"/>
        <v>2.9079188438060635E-2</v>
      </c>
      <c r="BB47" t="e">
        <f t="shared" si="32"/>
        <v>#DIV/0!</v>
      </c>
      <c r="BC47" t="e">
        <f t="shared" si="33"/>
        <v>#DIV/0!</v>
      </c>
      <c r="BD47" t="s">
        <v>427</v>
      </c>
      <c r="BE47">
        <v>0</v>
      </c>
      <c r="BF47" t="e">
        <f t="shared" si="34"/>
        <v>#DIV/0!</v>
      </c>
      <c r="BG47" t="e">
        <f t="shared" si="35"/>
        <v>#DIV/0!</v>
      </c>
      <c r="BH47" t="e">
        <f t="shared" si="36"/>
        <v>#DIV/0!</v>
      </c>
      <c r="BI47" t="e">
        <f t="shared" si="37"/>
        <v>#DIV/0!</v>
      </c>
      <c r="BJ47" t="e">
        <f t="shared" si="38"/>
        <v>#DIV/0!</v>
      </c>
      <c r="BK47" t="e">
        <f t="shared" si="39"/>
        <v>#DIV/0!</v>
      </c>
      <c r="BL47" t="e">
        <f t="shared" si="40"/>
        <v>#DIV/0!</v>
      </c>
      <c r="BM47" t="e">
        <f t="shared" si="41"/>
        <v>#DIV/0!</v>
      </c>
      <c r="BN47">
        <v>11398</v>
      </c>
      <c r="BO47">
        <v>290.00000000000011</v>
      </c>
      <c r="BP47">
        <v>659.64</v>
      </c>
      <c r="BQ47">
        <v>295</v>
      </c>
      <c r="BR47">
        <v>7103.1</v>
      </c>
      <c r="BS47">
        <v>661.43</v>
      </c>
      <c r="BT47">
        <v>-1.79</v>
      </c>
      <c r="BU47">
        <v>300.00000000000011</v>
      </c>
      <c r="BV47">
        <v>38.299999999999997</v>
      </c>
      <c r="BW47">
        <v>738.68769193442029</v>
      </c>
      <c r="BX47">
        <v>1.7664497686970531</v>
      </c>
      <c r="BY47">
        <v>-54.879641751755877</v>
      </c>
      <c r="BZ47">
        <v>1.0517468531489189</v>
      </c>
      <c r="CA47">
        <v>0.98982077988823913</v>
      </c>
      <c r="CB47">
        <v>-7.003859844271417E-3</v>
      </c>
      <c r="CC47">
        <v>289.99999999999989</v>
      </c>
      <c r="CD47">
        <v>667.68</v>
      </c>
      <c r="CE47">
        <v>855</v>
      </c>
      <c r="CF47">
        <v>7093.95</v>
      </c>
      <c r="CG47">
        <v>661.33</v>
      </c>
      <c r="CH47">
        <v>6.35</v>
      </c>
      <c r="CV47">
        <f t="shared" si="42"/>
        <v>1800</v>
      </c>
      <c r="CW47">
        <f t="shared" si="43"/>
        <v>1513.1852996509949</v>
      </c>
      <c r="CX47">
        <f t="shared" si="44"/>
        <v>0.84065849980610829</v>
      </c>
      <c r="CY47">
        <f t="shared" si="45"/>
        <v>0.19131699961221679</v>
      </c>
      <c r="CZ47">
        <v>4.16</v>
      </c>
      <c r="DA47">
        <v>0.5</v>
      </c>
      <c r="DB47" t="s">
        <v>418</v>
      </c>
      <c r="DC47">
        <v>2</v>
      </c>
      <c r="DD47">
        <v>1700242378.5999999</v>
      </c>
      <c r="DE47">
        <v>1211.6099999999999</v>
      </c>
      <c r="DF47">
        <v>1250</v>
      </c>
      <c r="DG47">
        <v>27.471399999999999</v>
      </c>
      <c r="DH47">
        <v>26.0351</v>
      </c>
      <c r="DI47">
        <v>1212.1500000000001</v>
      </c>
      <c r="DJ47">
        <v>27.4572</v>
      </c>
      <c r="DK47">
        <v>500.12599999999998</v>
      </c>
      <c r="DL47">
        <v>98.694599999999994</v>
      </c>
      <c r="DM47">
        <v>9.9572400000000005E-2</v>
      </c>
      <c r="DN47">
        <v>29.515699999999999</v>
      </c>
      <c r="DO47">
        <v>29.968599999999999</v>
      </c>
      <c r="DP47">
        <v>999.9</v>
      </c>
      <c r="DQ47">
        <v>0</v>
      </c>
      <c r="DR47">
        <v>0</v>
      </c>
      <c r="DS47">
        <v>10059.4</v>
      </c>
      <c r="DT47">
        <v>0</v>
      </c>
      <c r="DU47">
        <v>183.45400000000001</v>
      </c>
      <c r="DV47">
        <v>-38.392099999999999</v>
      </c>
      <c r="DW47">
        <v>1245.83</v>
      </c>
      <c r="DX47">
        <v>1283.4100000000001</v>
      </c>
      <c r="DY47">
        <v>1.4362600000000001</v>
      </c>
      <c r="DZ47">
        <v>1250</v>
      </c>
      <c r="EA47">
        <v>26.0351</v>
      </c>
      <c r="EB47">
        <v>2.7112799999999999</v>
      </c>
      <c r="EC47">
        <v>2.5695299999999999</v>
      </c>
      <c r="ED47">
        <v>22.3536</v>
      </c>
      <c r="EE47">
        <v>21.473700000000001</v>
      </c>
      <c r="EF47">
        <v>1800</v>
      </c>
      <c r="EG47">
        <v>0.977989</v>
      </c>
      <c r="EH47">
        <v>2.2010800000000001E-2</v>
      </c>
      <c r="EI47">
        <v>0</v>
      </c>
      <c r="EJ47">
        <v>475.12299999999999</v>
      </c>
      <c r="EK47">
        <v>5.0005300000000004</v>
      </c>
      <c r="EL47">
        <v>11977.5</v>
      </c>
      <c r="EM47">
        <v>16035.2</v>
      </c>
      <c r="EN47">
        <v>49.811999999999998</v>
      </c>
      <c r="EO47">
        <v>51.061999999999998</v>
      </c>
      <c r="EP47">
        <v>50.436999999999998</v>
      </c>
      <c r="EQ47">
        <v>50.561999999999998</v>
      </c>
      <c r="ER47">
        <v>50.811999999999998</v>
      </c>
      <c r="ES47">
        <v>1755.49</v>
      </c>
      <c r="ET47">
        <v>39.51</v>
      </c>
      <c r="EU47">
        <v>0</v>
      </c>
      <c r="EV47">
        <v>108.5999999046326</v>
      </c>
      <c r="EW47">
        <v>0</v>
      </c>
      <c r="EX47">
        <v>475.572</v>
      </c>
      <c r="EY47">
        <v>-1.398427352908532</v>
      </c>
      <c r="EZ47">
        <v>1473.7572634450969</v>
      </c>
      <c r="FA47">
        <v>11752.630769230769</v>
      </c>
      <c r="FB47">
        <v>15</v>
      </c>
      <c r="FC47">
        <v>1700242347.0999999</v>
      </c>
      <c r="FD47" t="s">
        <v>555</v>
      </c>
      <c r="FE47">
        <v>1700242347.0999999</v>
      </c>
      <c r="FF47">
        <v>1700242343.0999999</v>
      </c>
      <c r="FG47">
        <v>35</v>
      </c>
      <c r="FH47">
        <v>-0.377</v>
      </c>
      <c r="FI47">
        <v>0</v>
      </c>
      <c r="FJ47">
        <v>-0.56599999999999995</v>
      </c>
      <c r="FK47">
        <v>1.4E-2</v>
      </c>
      <c r="FL47">
        <v>1250</v>
      </c>
      <c r="FM47">
        <v>26</v>
      </c>
      <c r="FN47">
        <v>0.13</v>
      </c>
      <c r="FO47">
        <v>7.0000000000000007E-2</v>
      </c>
      <c r="FP47">
        <v>43.985126027989743</v>
      </c>
      <c r="FQ47">
        <v>-7.5299826027815667E-2</v>
      </c>
      <c r="FR47">
        <v>8.3281215605694486E-2</v>
      </c>
      <c r="FS47">
        <v>1</v>
      </c>
      <c r="FT47">
        <v>0.10754489918905551</v>
      </c>
      <c r="FU47">
        <v>4.1401426423565438E-2</v>
      </c>
      <c r="FV47">
        <v>3.269912855840437E-3</v>
      </c>
      <c r="FW47">
        <v>1</v>
      </c>
      <c r="FX47">
        <v>2</v>
      </c>
      <c r="FY47">
        <v>2</v>
      </c>
      <c r="FZ47" t="s">
        <v>420</v>
      </c>
      <c r="GA47">
        <v>3.1299700000000001</v>
      </c>
      <c r="GB47">
        <v>2.7669600000000001</v>
      </c>
      <c r="GC47">
        <v>0.18800500000000001</v>
      </c>
      <c r="GD47">
        <v>0.19151299999999999</v>
      </c>
      <c r="GE47">
        <v>0.116564</v>
      </c>
      <c r="GF47">
        <v>0.112502</v>
      </c>
      <c r="GG47">
        <v>19233.3</v>
      </c>
      <c r="GH47">
        <v>19951.2</v>
      </c>
      <c r="GI47">
        <v>23568</v>
      </c>
      <c r="GJ47">
        <v>25013.7</v>
      </c>
      <c r="GK47">
        <v>29991.9</v>
      </c>
      <c r="GL47">
        <v>31125.1</v>
      </c>
      <c r="GM47">
        <v>37578.300000000003</v>
      </c>
      <c r="GN47">
        <v>38938.199999999997</v>
      </c>
      <c r="GO47">
        <v>2.0167000000000002</v>
      </c>
      <c r="GP47">
        <v>1.7298</v>
      </c>
      <c r="GQ47">
        <v>9.4026300000000004E-3</v>
      </c>
      <c r="GR47">
        <v>0</v>
      </c>
      <c r="GS47">
        <v>29.8156</v>
      </c>
      <c r="GT47">
        <v>999.9</v>
      </c>
      <c r="GU47">
        <v>43.5</v>
      </c>
      <c r="GV47">
        <v>38.799999999999997</v>
      </c>
      <c r="GW47">
        <v>30.639900000000001</v>
      </c>
      <c r="GX47">
        <v>61.225700000000003</v>
      </c>
      <c r="GY47">
        <v>26.5946</v>
      </c>
      <c r="GZ47">
        <v>1</v>
      </c>
      <c r="HA47">
        <v>0.81463399999999997</v>
      </c>
      <c r="HB47">
        <v>2.6187900000000002</v>
      </c>
      <c r="HC47">
        <v>20.295200000000001</v>
      </c>
      <c r="HD47">
        <v>5.25143</v>
      </c>
      <c r="HE47">
        <v>12.0099</v>
      </c>
      <c r="HF47">
        <v>4.9775499999999999</v>
      </c>
      <c r="HG47">
        <v>3.2930000000000001</v>
      </c>
      <c r="HH47">
        <v>9999</v>
      </c>
      <c r="HI47">
        <v>9999</v>
      </c>
      <c r="HJ47">
        <v>9999</v>
      </c>
      <c r="HK47">
        <v>999.9</v>
      </c>
      <c r="HL47">
        <v>1.8761099999999999</v>
      </c>
      <c r="HM47">
        <v>1.8769800000000001</v>
      </c>
      <c r="HN47">
        <v>1.88324</v>
      </c>
      <c r="HO47">
        <v>1.88632</v>
      </c>
      <c r="HP47">
        <v>1.87714</v>
      </c>
      <c r="HQ47">
        <v>1.8836999999999999</v>
      </c>
      <c r="HR47">
        <v>1.88263</v>
      </c>
      <c r="HS47">
        <v>1.88601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424</v>
      </c>
      <c r="IB47" t="s">
        <v>424</v>
      </c>
      <c r="IC47" t="s">
        <v>423</v>
      </c>
      <c r="ID47">
        <v>0</v>
      </c>
      <c r="IE47">
        <v>100</v>
      </c>
      <c r="IF47">
        <v>100</v>
      </c>
      <c r="IG47">
        <v>-0.54</v>
      </c>
      <c r="IH47">
        <v>1.4200000000000001E-2</v>
      </c>
      <c r="II47">
        <v>-0.21609830258105189</v>
      </c>
      <c r="IJ47">
        <v>4.4610147972834149E-5</v>
      </c>
      <c r="IK47">
        <v>-2.082673137682459E-7</v>
      </c>
      <c r="IL47">
        <v>-4.0725795306076518E-11</v>
      </c>
      <c r="IM47">
        <v>1.413333333333E-2</v>
      </c>
      <c r="IN47">
        <v>0</v>
      </c>
      <c r="IO47">
        <v>0</v>
      </c>
      <c r="IP47">
        <v>0</v>
      </c>
      <c r="IQ47">
        <v>3</v>
      </c>
      <c r="IR47">
        <v>2179</v>
      </c>
      <c r="IS47">
        <v>0</v>
      </c>
      <c r="IT47">
        <v>22</v>
      </c>
      <c r="IU47">
        <v>0.5</v>
      </c>
      <c r="IV47">
        <v>0.6</v>
      </c>
      <c r="IW47">
        <v>2.5781200000000002</v>
      </c>
      <c r="IX47">
        <v>2.6660200000000001</v>
      </c>
      <c r="IY47">
        <v>1.6015600000000001</v>
      </c>
      <c r="IZ47">
        <v>2.3278799999999999</v>
      </c>
      <c r="JA47">
        <v>1.5502899999999999</v>
      </c>
      <c r="JB47">
        <v>2.34863</v>
      </c>
      <c r="JC47">
        <v>42.966000000000001</v>
      </c>
      <c r="JD47">
        <v>24.087499999999999</v>
      </c>
      <c r="JE47">
        <v>18</v>
      </c>
      <c r="JF47">
        <v>541.68100000000004</v>
      </c>
      <c r="JG47">
        <v>387.70600000000002</v>
      </c>
      <c r="JH47">
        <v>25.3504</v>
      </c>
      <c r="JI47">
        <v>36.895499999999998</v>
      </c>
      <c r="JJ47">
        <v>29.996200000000002</v>
      </c>
      <c r="JK47">
        <v>36.873100000000001</v>
      </c>
      <c r="JL47">
        <v>36.865900000000003</v>
      </c>
      <c r="JM47">
        <v>51.5901</v>
      </c>
      <c r="JN47">
        <v>21.340900000000001</v>
      </c>
      <c r="JO47">
        <v>54.911900000000003</v>
      </c>
      <c r="JP47">
        <v>25.798300000000001</v>
      </c>
      <c r="JQ47">
        <v>1250</v>
      </c>
      <c r="JR47">
        <v>25.932400000000001</v>
      </c>
      <c r="JS47">
        <v>98.003799999999998</v>
      </c>
      <c r="JT47">
        <v>98.529200000000003</v>
      </c>
    </row>
    <row r="48" spans="1:280" x14ac:dyDescent="0.25">
      <c r="A48">
        <v>32</v>
      </c>
      <c r="B48">
        <v>1700242475.5999999</v>
      </c>
      <c r="C48">
        <v>7238.0999999046326</v>
      </c>
      <c r="D48" t="s">
        <v>556</v>
      </c>
      <c r="E48" t="s">
        <v>557</v>
      </c>
      <c r="F48" t="s">
        <v>412</v>
      </c>
      <c r="G48" t="s">
        <v>543</v>
      </c>
      <c r="H48" t="s">
        <v>544</v>
      </c>
      <c r="I48">
        <v>1700242475.5999999</v>
      </c>
      <c r="J48">
        <f t="shared" si="0"/>
        <v>1.8490391452405848E-3</v>
      </c>
      <c r="K48">
        <f t="shared" si="1"/>
        <v>1.8490391452405848</v>
      </c>
      <c r="L48">
        <f t="shared" si="2"/>
        <v>43.20638169671917</v>
      </c>
      <c r="M48">
        <f t="shared" si="3"/>
        <v>962.53700000000003</v>
      </c>
      <c r="N48">
        <f t="shared" si="4"/>
        <v>335.1230808423885</v>
      </c>
      <c r="O48">
        <f t="shared" si="5"/>
        <v>33.109832636854918</v>
      </c>
      <c r="P48">
        <f t="shared" si="6"/>
        <v>95.097714238813992</v>
      </c>
      <c r="Q48">
        <f t="shared" si="7"/>
        <v>0.11508861028560205</v>
      </c>
      <c r="R48">
        <f t="shared" si="8"/>
        <v>3.3534123950781054</v>
      </c>
      <c r="S48">
        <f t="shared" si="9"/>
        <v>0.11293849429096701</v>
      </c>
      <c r="T48">
        <f t="shared" si="10"/>
        <v>7.077639256025306E-2</v>
      </c>
      <c r="U48">
        <f t="shared" si="11"/>
        <v>344.32069930260002</v>
      </c>
      <c r="V48">
        <f t="shared" si="12"/>
        <v>30.926788624595925</v>
      </c>
      <c r="W48">
        <f t="shared" si="13"/>
        <v>30.0108</v>
      </c>
      <c r="X48">
        <f t="shared" si="14"/>
        <v>4.2630934277823389</v>
      </c>
      <c r="Y48">
        <f t="shared" si="15"/>
        <v>65.047784143038243</v>
      </c>
      <c r="Z48">
        <f t="shared" si="16"/>
        <v>2.7025682075923996</v>
      </c>
      <c r="AA48">
        <f t="shared" si="17"/>
        <v>4.154742921987209</v>
      </c>
      <c r="AB48">
        <f t="shared" si="18"/>
        <v>1.5605252201899393</v>
      </c>
      <c r="AC48">
        <f t="shared" si="19"/>
        <v>-81.542626305109792</v>
      </c>
      <c r="AD48">
        <f t="shared" si="20"/>
        <v>-80.903153146943893</v>
      </c>
      <c r="AE48">
        <f t="shared" si="21"/>
        <v>-5.3530563883239726</v>
      </c>
      <c r="AF48">
        <f t="shared" si="22"/>
        <v>176.52186346222237</v>
      </c>
      <c r="AG48">
        <v>26</v>
      </c>
      <c r="AH48">
        <v>5</v>
      </c>
      <c r="AI48">
        <f t="shared" si="23"/>
        <v>1</v>
      </c>
      <c r="AJ48">
        <f t="shared" si="24"/>
        <v>0</v>
      </c>
      <c r="AK48">
        <f t="shared" si="25"/>
        <v>51688.069506919441</v>
      </c>
      <c r="AL48" t="s">
        <v>415</v>
      </c>
      <c r="AM48">
        <v>6977.87</v>
      </c>
      <c r="AN48">
        <v>273.15280000000001</v>
      </c>
      <c r="AO48">
        <v>850.46774885301022</v>
      </c>
      <c r="AP48">
        <f t="shared" si="26"/>
        <v>0.67882050745793765</v>
      </c>
      <c r="AQ48">
        <v>-1.0323826813720729</v>
      </c>
      <c r="AR48" t="s">
        <v>558</v>
      </c>
      <c r="AS48">
        <v>7102.83</v>
      </c>
      <c r="AT48">
        <v>475.95207692307702</v>
      </c>
      <c r="AU48">
        <v>717.31193248560749</v>
      </c>
      <c r="AV48">
        <f t="shared" si="27"/>
        <v>0.33647823859025683</v>
      </c>
      <c r="AW48">
        <v>0.5</v>
      </c>
      <c r="AX48">
        <f t="shared" si="28"/>
        <v>1512.9740996512999</v>
      </c>
      <c r="AY48">
        <f t="shared" si="29"/>
        <v>43.20638169671917</v>
      </c>
      <c r="AZ48">
        <f t="shared" si="30"/>
        <v>254.54143004167454</v>
      </c>
      <c r="BA48">
        <f t="shared" si="31"/>
        <v>2.9239604556540059E-2</v>
      </c>
      <c r="BB48">
        <f t="shared" si="32"/>
        <v>0.18563167617468074</v>
      </c>
      <c r="BC48">
        <f t="shared" si="33"/>
        <v>257.78346921224744</v>
      </c>
      <c r="BD48" t="s">
        <v>559</v>
      </c>
      <c r="BE48">
        <v>347.45</v>
      </c>
      <c r="BF48">
        <f t="shared" si="34"/>
        <v>347.45</v>
      </c>
      <c r="BG48">
        <f t="shared" si="35"/>
        <v>0.51562216622268253</v>
      </c>
      <c r="BH48">
        <f t="shared" si="36"/>
        <v>0.65256744304693359</v>
      </c>
      <c r="BI48">
        <f t="shared" si="37"/>
        <v>0.2647139522830495</v>
      </c>
      <c r="BJ48">
        <f t="shared" si="38"/>
        <v>0.54340851714976612</v>
      </c>
      <c r="BK48">
        <f t="shared" si="39"/>
        <v>0.23064674945963584</v>
      </c>
      <c r="BL48">
        <f t="shared" si="40"/>
        <v>0.47638106666630164</v>
      </c>
      <c r="BM48">
        <f t="shared" si="41"/>
        <v>0.52361893333369836</v>
      </c>
      <c r="BN48">
        <v>11400</v>
      </c>
      <c r="BO48">
        <v>290.00000000000011</v>
      </c>
      <c r="BP48">
        <v>647.19000000000005</v>
      </c>
      <c r="BQ48">
        <v>295</v>
      </c>
      <c r="BR48">
        <v>7102.83</v>
      </c>
      <c r="BS48">
        <v>649.53</v>
      </c>
      <c r="BT48">
        <v>-2.34</v>
      </c>
      <c r="BU48">
        <v>300.00000000000011</v>
      </c>
      <c r="BV48">
        <v>38.299999999999997</v>
      </c>
      <c r="BW48">
        <v>717.31193248560749</v>
      </c>
      <c r="BX48">
        <v>1.121452190710122</v>
      </c>
      <c r="BY48">
        <v>-48.146219025065633</v>
      </c>
      <c r="BZ48">
        <v>0.66769735461803092</v>
      </c>
      <c r="CA48">
        <v>0.99464375384083559</v>
      </c>
      <c r="CB48">
        <v>-7.0030769744160249E-3</v>
      </c>
      <c r="CC48">
        <v>289.99999999999989</v>
      </c>
      <c r="CD48">
        <v>657.59</v>
      </c>
      <c r="CE48">
        <v>875</v>
      </c>
      <c r="CF48">
        <v>7093.27</v>
      </c>
      <c r="CG48">
        <v>649.44000000000005</v>
      </c>
      <c r="CH48">
        <v>8.15</v>
      </c>
      <c r="CV48">
        <f t="shared" si="42"/>
        <v>1799.75</v>
      </c>
      <c r="CW48">
        <f t="shared" si="43"/>
        <v>1512.9740996512999</v>
      </c>
      <c r="CX48">
        <f t="shared" si="44"/>
        <v>0.84065792451801635</v>
      </c>
      <c r="CY48">
        <f t="shared" si="45"/>
        <v>0.1913158490360328</v>
      </c>
      <c r="CZ48">
        <v>4.16</v>
      </c>
      <c r="DA48">
        <v>0.5</v>
      </c>
      <c r="DB48" t="s">
        <v>418</v>
      </c>
      <c r="DC48">
        <v>2</v>
      </c>
      <c r="DD48">
        <v>1700242475.5999999</v>
      </c>
      <c r="DE48">
        <v>962.53700000000003</v>
      </c>
      <c r="DF48">
        <v>999.95500000000004</v>
      </c>
      <c r="DG48">
        <v>27.354199999999999</v>
      </c>
      <c r="DH48">
        <v>25.8583</v>
      </c>
      <c r="DI48">
        <v>963.08699999999999</v>
      </c>
      <c r="DJ48">
        <v>27.344000000000001</v>
      </c>
      <c r="DK48">
        <v>500.14</v>
      </c>
      <c r="DL48">
        <v>98.698899999999995</v>
      </c>
      <c r="DM48">
        <v>0.100122</v>
      </c>
      <c r="DN48">
        <v>29.563300000000002</v>
      </c>
      <c r="DO48">
        <v>30.0108</v>
      </c>
      <c r="DP48">
        <v>999.9</v>
      </c>
      <c r="DQ48">
        <v>0</v>
      </c>
      <c r="DR48">
        <v>0</v>
      </c>
      <c r="DS48">
        <v>9988.1200000000008</v>
      </c>
      <c r="DT48">
        <v>0</v>
      </c>
      <c r="DU48">
        <v>194.15899999999999</v>
      </c>
      <c r="DV48">
        <v>-37.417700000000004</v>
      </c>
      <c r="DW48">
        <v>989.60699999999997</v>
      </c>
      <c r="DX48">
        <v>1026.5</v>
      </c>
      <c r="DY48">
        <v>1.4958199999999999</v>
      </c>
      <c r="DZ48">
        <v>999.95500000000004</v>
      </c>
      <c r="EA48">
        <v>25.8583</v>
      </c>
      <c r="EB48">
        <v>2.69983</v>
      </c>
      <c r="EC48">
        <v>2.55219</v>
      </c>
      <c r="ED48">
        <v>22.284099999999999</v>
      </c>
      <c r="EE48">
        <v>21.363199999999999</v>
      </c>
      <c r="EF48">
        <v>1799.75</v>
      </c>
      <c r="EG48">
        <v>0.97800600000000004</v>
      </c>
      <c r="EH48">
        <v>2.1993800000000001E-2</v>
      </c>
      <c r="EI48">
        <v>0</v>
      </c>
      <c r="EJ48">
        <v>475.93299999999999</v>
      </c>
      <c r="EK48">
        <v>5.0005300000000004</v>
      </c>
      <c r="EL48">
        <v>13387.1</v>
      </c>
      <c r="EM48">
        <v>16033.1</v>
      </c>
      <c r="EN48">
        <v>49.936999999999998</v>
      </c>
      <c r="EO48">
        <v>51.25</v>
      </c>
      <c r="EP48">
        <v>50.625</v>
      </c>
      <c r="EQ48">
        <v>50.686999999999998</v>
      </c>
      <c r="ER48">
        <v>50.936999999999998</v>
      </c>
      <c r="ES48">
        <v>1755.28</v>
      </c>
      <c r="ET48">
        <v>39.47</v>
      </c>
      <c r="EU48">
        <v>0</v>
      </c>
      <c r="EV48">
        <v>205.79999995231631</v>
      </c>
      <c r="EW48">
        <v>0</v>
      </c>
      <c r="EX48">
        <v>475.95207692307702</v>
      </c>
      <c r="EY48">
        <v>-0.21148717889003121</v>
      </c>
      <c r="EZ48">
        <v>336.65299189548409</v>
      </c>
      <c r="FA48">
        <v>13349.034615384609</v>
      </c>
      <c r="FB48">
        <v>15</v>
      </c>
      <c r="FC48">
        <v>1700242434.5999999</v>
      </c>
      <c r="FD48" t="s">
        <v>560</v>
      </c>
      <c r="FE48">
        <v>1700242433.5999999</v>
      </c>
      <c r="FF48">
        <v>1700242434.5999999</v>
      </c>
      <c r="FG48">
        <v>36</v>
      </c>
      <c r="FH48">
        <v>-0.14699999999999999</v>
      </c>
      <c r="FI48">
        <v>-4.0000000000000001E-3</v>
      </c>
      <c r="FJ48">
        <v>-0.56799999999999995</v>
      </c>
      <c r="FK48">
        <v>0.01</v>
      </c>
      <c r="FL48">
        <v>1000</v>
      </c>
      <c r="FM48">
        <v>26</v>
      </c>
      <c r="FN48">
        <v>0.09</v>
      </c>
      <c r="FO48">
        <v>0.06</v>
      </c>
      <c r="FP48">
        <v>43.037997797531943</v>
      </c>
      <c r="FQ48">
        <v>0.66182528924858308</v>
      </c>
      <c r="FR48">
        <v>6.3534043941607207E-2</v>
      </c>
      <c r="FS48">
        <v>1</v>
      </c>
      <c r="FT48">
        <v>0.1154140562549467</v>
      </c>
      <c r="FU48">
        <v>1.8361170800500731E-2</v>
      </c>
      <c r="FV48">
        <v>1.7769576768617899E-3</v>
      </c>
      <c r="FW48">
        <v>1</v>
      </c>
      <c r="FX48">
        <v>2</v>
      </c>
      <c r="FY48">
        <v>2</v>
      </c>
      <c r="FZ48" t="s">
        <v>420</v>
      </c>
      <c r="GA48">
        <v>3.1303399999999999</v>
      </c>
      <c r="GB48">
        <v>2.7668900000000001</v>
      </c>
      <c r="GC48">
        <v>0.16258900000000001</v>
      </c>
      <c r="GD48">
        <v>0.16649700000000001</v>
      </c>
      <c r="GE48">
        <v>0.11621099999999999</v>
      </c>
      <c r="GF48">
        <v>0.11194999999999999</v>
      </c>
      <c r="GG48">
        <v>19831.5</v>
      </c>
      <c r="GH48">
        <v>20564.5</v>
      </c>
      <c r="GI48">
        <v>23561.5</v>
      </c>
      <c r="GJ48">
        <v>25006.5</v>
      </c>
      <c r="GK48">
        <v>29995.7</v>
      </c>
      <c r="GL48">
        <v>31136.799999999999</v>
      </c>
      <c r="GM48">
        <v>37568.1</v>
      </c>
      <c r="GN48">
        <v>38928.800000000003</v>
      </c>
      <c r="GO48">
        <v>2.01702</v>
      </c>
      <c r="GP48">
        <v>1.72675</v>
      </c>
      <c r="GQ48">
        <v>-1.7914900000000001E-2</v>
      </c>
      <c r="GR48">
        <v>0</v>
      </c>
      <c r="GS48">
        <v>30.302299999999999</v>
      </c>
      <c r="GT48">
        <v>999.9</v>
      </c>
      <c r="GU48">
        <v>43.6</v>
      </c>
      <c r="GV48">
        <v>38.9</v>
      </c>
      <c r="GW48">
        <v>30.874199999999998</v>
      </c>
      <c r="GX48">
        <v>61.005699999999997</v>
      </c>
      <c r="GY48">
        <v>25.985600000000002</v>
      </c>
      <c r="GZ48">
        <v>1</v>
      </c>
      <c r="HA48">
        <v>0.83053100000000002</v>
      </c>
      <c r="HB48">
        <v>4.9058200000000003</v>
      </c>
      <c r="HC48">
        <v>20.248899999999999</v>
      </c>
      <c r="HD48">
        <v>5.2508299999999997</v>
      </c>
      <c r="HE48">
        <v>12.0099</v>
      </c>
      <c r="HF48">
        <v>4.9786000000000001</v>
      </c>
      <c r="HG48">
        <v>3.2930000000000001</v>
      </c>
      <c r="HH48">
        <v>9999</v>
      </c>
      <c r="HI48">
        <v>9999</v>
      </c>
      <c r="HJ48">
        <v>9999</v>
      </c>
      <c r="HK48">
        <v>999.9</v>
      </c>
      <c r="HL48">
        <v>1.8760699999999999</v>
      </c>
      <c r="HM48">
        <v>1.87696</v>
      </c>
      <c r="HN48">
        <v>1.88324</v>
      </c>
      <c r="HO48">
        <v>1.8863099999999999</v>
      </c>
      <c r="HP48">
        <v>1.87714</v>
      </c>
      <c r="HQ48">
        <v>1.8836999999999999</v>
      </c>
      <c r="HR48">
        <v>1.88263</v>
      </c>
      <c r="HS48">
        <v>1.8859900000000001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424</v>
      </c>
      <c r="IB48" t="s">
        <v>424</v>
      </c>
      <c r="IC48" t="s">
        <v>423</v>
      </c>
      <c r="ID48">
        <v>0</v>
      </c>
      <c r="IE48">
        <v>100</v>
      </c>
      <c r="IF48">
        <v>100</v>
      </c>
      <c r="IG48">
        <v>-0.55000000000000004</v>
      </c>
      <c r="IH48">
        <v>1.0200000000000001E-2</v>
      </c>
      <c r="II48">
        <v>-0.36316662625417162</v>
      </c>
      <c r="IJ48">
        <v>4.4610147972834149E-5</v>
      </c>
      <c r="IK48">
        <v>-2.082673137682459E-7</v>
      </c>
      <c r="IL48">
        <v>-4.0725795306076518E-11</v>
      </c>
      <c r="IM48">
        <v>1.0145E-2</v>
      </c>
      <c r="IN48">
        <v>0</v>
      </c>
      <c r="IO48">
        <v>0</v>
      </c>
      <c r="IP48">
        <v>0</v>
      </c>
      <c r="IQ48">
        <v>3</v>
      </c>
      <c r="IR48">
        <v>2179</v>
      </c>
      <c r="IS48">
        <v>0</v>
      </c>
      <c r="IT48">
        <v>22</v>
      </c>
      <c r="IU48">
        <v>0.7</v>
      </c>
      <c r="IV48">
        <v>0.7</v>
      </c>
      <c r="IW48">
        <v>2.1484399999999999</v>
      </c>
      <c r="IX48">
        <v>2.66479</v>
      </c>
      <c r="IY48">
        <v>1.6015600000000001</v>
      </c>
      <c r="IZ48">
        <v>2.3278799999999999</v>
      </c>
      <c r="JA48">
        <v>1.5502899999999999</v>
      </c>
      <c r="JB48">
        <v>2.4450699999999999</v>
      </c>
      <c r="JC48">
        <v>42.992899999999999</v>
      </c>
      <c r="JD48">
        <v>24.07</v>
      </c>
      <c r="JE48">
        <v>18</v>
      </c>
      <c r="JF48">
        <v>542.58699999999999</v>
      </c>
      <c r="JG48">
        <v>386.32</v>
      </c>
      <c r="JH48">
        <v>25.400700000000001</v>
      </c>
      <c r="JI48">
        <v>37.014200000000002</v>
      </c>
      <c r="JJ48">
        <v>30.000800000000002</v>
      </c>
      <c r="JK48">
        <v>36.962800000000001</v>
      </c>
      <c r="JL48">
        <v>36.954300000000003</v>
      </c>
      <c r="JM48">
        <v>42.993000000000002</v>
      </c>
      <c r="JN48">
        <v>22.331700000000001</v>
      </c>
      <c r="JO48">
        <v>55.500900000000001</v>
      </c>
      <c r="JP48">
        <v>25.382400000000001</v>
      </c>
      <c r="JQ48">
        <v>1000</v>
      </c>
      <c r="JR48">
        <v>25.9023</v>
      </c>
      <c r="JS48">
        <v>97.976900000000001</v>
      </c>
      <c r="JT48">
        <v>98.503500000000003</v>
      </c>
    </row>
    <row r="49" spans="1:280" x14ac:dyDescent="0.25">
      <c r="A49">
        <v>33</v>
      </c>
      <c r="B49">
        <v>1700242646.0999999</v>
      </c>
      <c r="C49">
        <v>7408.5999999046326</v>
      </c>
      <c r="D49" t="s">
        <v>561</v>
      </c>
      <c r="E49" t="s">
        <v>562</v>
      </c>
      <c r="F49" t="s">
        <v>412</v>
      </c>
      <c r="G49" t="s">
        <v>543</v>
      </c>
      <c r="H49" t="s">
        <v>544</v>
      </c>
      <c r="I49">
        <v>1700242646.0999999</v>
      </c>
      <c r="J49">
        <f t="shared" ref="J49:J80" si="46">(K49)/1000</f>
        <v>2.3892029034574846E-3</v>
      </c>
      <c r="K49">
        <f t="shared" ref="K49:K72" si="47">1000*DK49*AI49*(DG49-DH49)/(100*CZ49*(1000-AI49*DG49))</f>
        <v>2.3892029034574844</v>
      </c>
      <c r="L49">
        <f t="shared" ref="L49:L72" si="48">DK49*AI49*(DF49-DE49*(1000-AI49*DH49)/(1000-AI49*DG49))/(100*CZ49)</f>
        <v>43.343193650899089</v>
      </c>
      <c r="M49">
        <f t="shared" ref="M49:M80" si="49">DE49 - IF(AI49&gt;1, L49*CZ49*100/(AK49*DS49), 0)</f>
        <v>712.49300000000005</v>
      </c>
      <c r="N49">
        <f t="shared" ref="N49:N80" si="50">((T49-J49/2)*M49-L49)/(T49+J49/2)</f>
        <v>227.62839991569672</v>
      </c>
      <c r="O49">
        <f t="shared" ref="O49:O80" si="51">N49*(DL49+DM49)/1000</f>
        <v>22.489140286396239</v>
      </c>
      <c r="P49">
        <f t="shared" ref="P49:P72" si="52">(DE49 - IF(AI49&gt;1, L49*CZ49*100/(AK49*DS49), 0))*(DL49+DM49)/1000</f>
        <v>70.392600554279014</v>
      </c>
      <c r="Q49">
        <f t="shared" ref="Q49:Q80" si="53">2/((1/S49-1/R49)+SIGN(S49)*SQRT((1/S49-1/R49)*(1/S49-1/R49) + 4*DA49/((DA49+1)*(DA49+1))*(2*1/S49*1/R49-1/R49*1/R49)))</f>
        <v>0.14985194756604212</v>
      </c>
      <c r="R49">
        <f t="shared" ref="R49:R72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3.3488475130177981</v>
      </c>
      <c r="S49">
        <f t="shared" ref="S49:S72" si="55">J49*(1000-(1000*0.61365*EXP(17.502*W49/(240.97+W49))/(DL49+DM49)+DG49)/2)/(1000*0.61365*EXP(17.502*W49/(240.97+W49))/(DL49+DM49)-DG49)</f>
        <v>0.14622396351469183</v>
      </c>
      <c r="T49">
        <f t="shared" ref="T49:T72" si="56">1/((DA49+1)/(Q49/1.6)+1/(R49/1.37)) + DA49/((DA49+1)/(Q49/1.6) + DA49/(R49/1.37))</f>
        <v>9.1708621401332041E-2</v>
      </c>
      <c r="U49">
        <f t="shared" ref="U49:U72" si="57">(CV49*CY49)</f>
        <v>344.33829930192428</v>
      </c>
      <c r="V49">
        <f t="shared" ref="V49:V80" si="58">(DN49+(U49+2*0.95*0.0000000567*(((DN49+$B$7)+273)^4-(DN49+273)^4)-44100*J49)/(1.84*29.3*R49+8*0.95*0.0000000567*(DN49+273)^3))</f>
        <v>30.878107142673784</v>
      </c>
      <c r="W49">
        <f t="shared" ref="W49:W80" si="59">($C$7*DO49+$D$7*DP49+$E$7*V49)</f>
        <v>29.995000000000001</v>
      </c>
      <c r="X49">
        <f t="shared" ref="X49:X80" si="60">0.61365*EXP(17.502*W49/(240.97+W49))</f>
        <v>4.2592263418216714</v>
      </c>
      <c r="Y49">
        <f t="shared" ref="Y49:Y80" si="61">(Z49/AA49*100)</f>
        <v>64.755466479025941</v>
      </c>
      <c r="Z49">
        <f t="shared" ref="Z49:Z72" si="62">DG49*(DL49+DM49)/1000</f>
        <v>2.7018081694807008</v>
      </c>
      <c r="AA49">
        <f t="shared" ref="AA49:AA72" si="63">0.61365*EXP(17.502*DN49/(240.97+DN49))</f>
        <v>4.1723244636895735</v>
      </c>
      <c r="AB49">
        <f t="shared" ref="AB49:AB72" si="64">(X49-DG49*(DL49+DM49)/1000)</f>
        <v>1.5574181723409706</v>
      </c>
      <c r="AC49">
        <f t="shared" ref="AC49:AC72" si="65">(-J49*44100)</f>
        <v>-105.36384804247507</v>
      </c>
      <c r="AD49">
        <f t="shared" ref="AD49:AD72" si="66">2*29.3*R49*0.92*(DN49-W49)</f>
        <v>-64.706635256458625</v>
      </c>
      <c r="AE49">
        <f t="shared" ref="AE49:AE72" si="67">2*0.95*0.0000000567*(((DN49+$B$7)+273)^4-(W49+273)^4)</f>
        <v>-4.2884504746625343</v>
      </c>
      <c r="AF49">
        <f t="shared" ref="AF49:AF80" si="68">U49+AE49+AC49+AD49</f>
        <v>169.97936552832806</v>
      </c>
      <c r="AG49">
        <v>26</v>
      </c>
      <c r="AH49">
        <v>5</v>
      </c>
      <c r="AI49">
        <f t="shared" ref="AI49:AI72" si="69">IF(AG49*$H$13&gt;=AK49,1,(AK49/(AK49-AG49*$H$13)))</f>
        <v>1</v>
      </c>
      <c r="AJ49">
        <f t="shared" ref="AJ49:AJ80" si="70">(AI49-1)*100</f>
        <v>0</v>
      </c>
      <c r="AK49">
        <f t="shared" ref="AK49:AK72" si="71">MAX(0,($B$13+$C$13*DS49)/(1+$D$13*DS49)*DL49/(DN49+273)*$E$13)</f>
        <v>51572.436164997191</v>
      </c>
      <c r="AL49" t="s">
        <v>427</v>
      </c>
      <c r="AM49" t="s">
        <v>427</v>
      </c>
      <c r="AN49">
        <v>0</v>
      </c>
      <c r="AO49">
        <v>0</v>
      </c>
      <c r="AP49" t="e">
        <f t="shared" ref="AP49:AP80" si="72">1-AN49/AO49</f>
        <v>#DIV/0!</v>
      </c>
      <c r="AQ49">
        <v>0</v>
      </c>
      <c r="AR49" t="s">
        <v>427</v>
      </c>
      <c r="AS49" t="s">
        <v>427</v>
      </c>
      <c r="AT49">
        <v>0</v>
      </c>
      <c r="AU49">
        <v>0</v>
      </c>
      <c r="AV49" t="e">
        <f t="shared" ref="AV49:AV80" si="73">1-AT49/AU49</f>
        <v>#DIV/0!</v>
      </c>
      <c r="AW49">
        <v>0.5</v>
      </c>
      <c r="AX49">
        <f t="shared" ref="AX49:AX72" si="74">CW49</f>
        <v>1513.0424996509619</v>
      </c>
      <c r="AY49">
        <f t="shared" ref="AY49:AY72" si="75">L49</f>
        <v>43.343193650899089</v>
      </c>
      <c r="AZ49" t="e">
        <f t="shared" ref="AZ49:AZ72" si="76">AV49*AW49*AX49</f>
        <v>#DIV/0!</v>
      </c>
      <c r="BA49">
        <f t="shared" ref="BA49:BA72" si="77">(AY49-AQ49)/AX49</f>
        <v>2.8646382147823189E-2</v>
      </c>
      <c r="BB49" t="e">
        <f t="shared" ref="BB49:BB72" si="78">(AO49-AU49)/AU49</f>
        <v>#DIV/0!</v>
      </c>
      <c r="BC49" t="e">
        <f t="shared" ref="BC49:BC72" si="79">AN49/(AP49+AN49/AU49)</f>
        <v>#DIV/0!</v>
      </c>
      <c r="BD49" t="s">
        <v>427</v>
      </c>
      <c r="BE49">
        <v>0</v>
      </c>
      <c r="BF49" t="e">
        <f t="shared" ref="BF49:BF80" si="80">IF(BE49&lt;&gt;0, BE49, BC49)</f>
        <v>#DIV/0!</v>
      </c>
      <c r="BG49" t="e">
        <f t="shared" ref="BG49:BG80" si="81">1-BF49/AU49</f>
        <v>#DIV/0!</v>
      </c>
      <c r="BH49" t="e">
        <f t="shared" ref="BH49:BH72" si="82">(AU49-AT49)/(AU49-BF49)</f>
        <v>#DIV/0!</v>
      </c>
      <c r="BI49" t="e">
        <f t="shared" ref="BI49:BI72" si="83">(AO49-AU49)/(AO49-BF49)</f>
        <v>#DIV/0!</v>
      </c>
      <c r="BJ49" t="e">
        <f t="shared" ref="BJ49:BJ72" si="84">(AU49-AT49)/(AU49-AN49)</f>
        <v>#DIV/0!</v>
      </c>
      <c r="BK49" t="e">
        <f t="shared" ref="BK49:BK72" si="85">(AO49-AU49)/(AO49-AN49)</f>
        <v>#DIV/0!</v>
      </c>
      <c r="BL49" t="e">
        <f t="shared" ref="BL49:BL72" si="86">(BH49*BF49/AT49)</f>
        <v>#DIV/0!</v>
      </c>
      <c r="BM49" t="e">
        <f t="shared" ref="BM49:BM80" si="87">(1-BL49)</f>
        <v>#DIV/0!</v>
      </c>
      <c r="BN49">
        <v>11400</v>
      </c>
      <c r="BO49">
        <v>290.00000000000011</v>
      </c>
      <c r="BP49">
        <v>647.19000000000005</v>
      </c>
      <c r="BQ49">
        <v>295</v>
      </c>
      <c r="BR49">
        <v>7102.83</v>
      </c>
      <c r="BS49">
        <v>649.53</v>
      </c>
      <c r="BT49">
        <v>-2.34</v>
      </c>
      <c r="BU49">
        <v>300.00000000000011</v>
      </c>
      <c r="BV49">
        <v>38.299999999999997</v>
      </c>
      <c r="BW49">
        <v>717.31193248560749</v>
      </c>
      <c r="BX49">
        <v>1.121452190710122</v>
      </c>
      <c r="BY49">
        <v>-48.146219025065633</v>
      </c>
      <c r="BZ49">
        <v>0.66769735461803092</v>
      </c>
      <c r="CA49">
        <v>0.99464375384083559</v>
      </c>
      <c r="CB49">
        <v>-7.0030769744160249E-3</v>
      </c>
      <c r="CC49">
        <v>289.99999999999989</v>
      </c>
      <c r="CD49">
        <v>657.59</v>
      </c>
      <c r="CE49">
        <v>875</v>
      </c>
      <c r="CF49">
        <v>7093.27</v>
      </c>
      <c r="CG49">
        <v>649.44000000000005</v>
      </c>
      <c r="CH49">
        <v>8.15</v>
      </c>
      <c r="CV49">
        <f t="shared" ref="CV49:CV72" si="88">$B$11*DT49+$C$11*DU49+$F$11*EF49*(1-EI49)</f>
        <v>1799.83</v>
      </c>
      <c r="CW49">
        <f t="shared" ref="CW49:CW80" si="89">CV49*CX49</f>
        <v>1513.0424996509619</v>
      </c>
      <c r="CX49">
        <f t="shared" ref="CX49:CX72" si="90">($B$11*$D$9+$C$11*$D$9+$F$11*((ES49+EK49)/MAX(ES49+EK49+ET49, 0.1)*$I$9+ET49/MAX(ES49+EK49+ET49, 0.1)*$J$9))/($B$11+$C$11+$F$11)</f>
        <v>0.84065856200361255</v>
      </c>
      <c r="CY49">
        <f t="shared" ref="CY49:CY72" si="91">($B$11*$K$9+$C$11*$K$9+$F$11*((ES49+EK49)/MAX(ES49+EK49+ET49, 0.1)*$P$9+ET49/MAX(ES49+EK49+ET49, 0.1)*$Q$9))/($B$11+$C$11+$F$11)</f>
        <v>0.19131712400722528</v>
      </c>
      <c r="CZ49">
        <v>4.16</v>
      </c>
      <c r="DA49">
        <v>0.5</v>
      </c>
      <c r="DB49" t="s">
        <v>418</v>
      </c>
      <c r="DC49">
        <v>2</v>
      </c>
      <c r="DD49">
        <v>1700242646.0999999</v>
      </c>
      <c r="DE49">
        <v>712.49300000000005</v>
      </c>
      <c r="DF49">
        <v>749.96199999999999</v>
      </c>
      <c r="DG49">
        <v>27.346900000000002</v>
      </c>
      <c r="DH49">
        <v>25.413900000000002</v>
      </c>
      <c r="DI49">
        <v>713.202</v>
      </c>
      <c r="DJ49">
        <v>27.339300000000001</v>
      </c>
      <c r="DK49">
        <v>500.11799999999999</v>
      </c>
      <c r="DL49">
        <v>98.697500000000005</v>
      </c>
      <c r="DM49">
        <v>0.100103</v>
      </c>
      <c r="DN49">
        <v>29.636600000000001</v>
      </c>
      <c r="DO49">
        <v>29.995000000000001</v>
      </c>
      <c r="DP49">
        <v>999.9</v>
      </c>
      <c r="DQ49">
        <v>0</v>
      </c>
      <c r="DR49">
        <v>0</v>
      </c>
      <c r="DS49">
        <v>9967.5</v>
      </c>
      <c r="DT49">
        <v>0</v>
      </c>
      <c r="DU49">
        <v>196.39</v>
      </c>
      <c r="DV49">
        <v>-37.468699999999998</v>
      </c>
      <c r="DW49">
        <v>732.52499999999998</v>
      </c>
      <c r="DX49">
        <v>769.51800000000003</v>
      </c>
      <c r="DY49">
        <v>1.93299</v>
      </c>
      <c r="DZ49">
        <v>749.96199999999999</v>
      </c>
      <c r="EA49">
        <v>25.413900000000002</v>
      </c>
      <c r="EB49">
        <v>2.6990699999999999</v>
      </c>
      <c r="EC49">
        <v>2.5082900000000001</v>
      </c>
      <c r="ED49">
        <v>22.279499999999999</v>
      </c>
      <c r="EE49">
        <v>21.080400000000001</v>
      </c>
      <c r="EF49">
        <v>1799.83</v>
      </c>
      <c r="EG49">
        <v>0.977989</v>
      </c>
      <c r="EH49">
        <v>2.2010800000000001E-2</v>
      </c>
      <c r="EI49">
        <v>0</v>
      </c>
      <c r="EJ49">
        <v>475.39299999999997</v>
      </c>
      <c r="EK49">
        <v>5.0005300000000004</v>
      </c>
      <c r="EL49">
        <v>13429.7</v>
      </c>
      <c r="EM49">
        <v>16033.7</v>
      </c>
      <c r="EN49">
        <v>50.25</v>
      </c>
      <c r="EO49">
        <v>51.5</v>
      </c>
      <c r="EP49">
        <v>50.875</v>
      </c>
      <c r="EQ49">
        <v>51</v>
      </c>
      <c r="ER49">
        <v>51.186999999999998</v>
      </c>
      <c r="ES49">
        <v>1755.32</v>
      </c>
      <c r="ET49">
        <v>39.51</v>
      </c>
      <c r="EU49">
        <v>0</v>
      </c>
      <c r="EV49">
        <v>168.5999999046326</v>
      </c>
      <c r="EW49">
        <v>0</v>
      </c>
      <c r="EX49">
        <v>475.49376000000012</v>
      </c>
      <c r="EY49">
        <v>-1.135769234323609</v>
      </c>
      <c r="EZ49">
        <v>70.723076930581044</v>
      </c>
      <c r="FA49">
        <v>13429.924000000001</v>
      </c>
      <c r="FB49">
        <v>15</v>
      </c>
      <c r="FC49">
        <v>1700242545.5999999</v>
      </c>
      <c r="FD49" t="s">
        <v>563</v>
      </c>
      <c r="FE49">
        <v>1700242545.5999999</v>
      </c>
      <c r="FF49">
        <v>1700242542.0999999</v>
      </c>
      <c r="FG49">
        <v>37</v>
      </c>
      <c r="FH49">
        <v>-0.25600000000000001</v>
      </c>
      <c r="FI49">
        <v>-3.0000000000000001E-3</v>
      </c>
      <c r="FJ49">
        <v>-0.72099999999999997</v>
      </c>
      <c r="FK49">
        <v>8.0000000000000002E-3</v>
      </c>
      <c r="FL49">
        <v>750</v>
      </c>
      <c r="FM49">
        <v>26</v>
      </c>
      <c r="FN49">
        <v>0.08</v>
      </c>
      <c r="FO49">
        <v>0.06</v>
      </c>
      <c r="FP49">
        <v>43.314488762316003</v>
      </c>
      <c r="FQ49">
        <v>0.44563489103925619</v>
      </c>
      <c r="FR49">
        <v>6.1895778459141293E-2</v>
      </c>
      <c r="FS49">
        <v>1</v>
      </c>
      <c r="FT49">
        <v>0.15077497910914339</v>
      </c>
      <c r="FU49">
        <v>-5.9633846565524803E-3</v>
      </c>
      <c r="FV49">
        <v>4.6273749154440892E-4</v>
      </c>
      <c r="FW49">
        <v>1</v>
      </c>
      <c r="FX49">
        <v>2</v>
      </c>
      <c r="FY49">
        <v>2</v>
      </c>
      <c r="FZ49" t="s">
        <v>420</v>
      </c>
      <c r="GA49">
        <v>3.1309100000000001</v>
      </c>
      <c r="GB49">
        <v>2.7667000000000002</v>
      </c>
      <c r="GC49">
        <v>0.13324800000000001</v>
      </c>
      <c r="GD49">
        <v>0.137848</v>
      </c>
      <c r="GE49">
        <v>0.116146</v>
      </c>
      <c r="GF49">
        <v>0.110551</v>
      </c>
      <c r="GG49">
        <v>20517.2</v>
      </c>
      <c r="GH49">
        <v>21262.799999999999</v>
      </c>
      <c r="GI49">
        <v>23549.9</v>
      </c>
      <c r="GJ49">
        <v>24995.3</v>
      </c>
      <c r="GK49">
        <v>29983.7</v>
      </c>
      <c r="GL49">
        <v>31173.8</v>
      </c>
      <c r="GM49">
        <v>37550.400000000001</v>
      </c>
      <c r="GN49">
        <v>38913.9</v>
      </c>
      <c r="GO49">
        <v>2.0153500000000002</v>
      </c>
      <c r="GP49">
        <v>1.7215499999999999</v>
      </c>
      <c r="GQ49">
        <v>-4.1090000000000002E-2</v>
      </c>
      <c r="GR49">
        <v>0</v>
      </c>
      <c r="GS49">
        <v>30.6633</v>
      </c>
      <c r="GT49">
        <v>999.9</v>
      </c>
      <c r="GU49">
        <v>43.4</v>
      </c>
      <c r="GV49">
        <v>38.9</v>
      </c>
      <c r="GW49">
        <v>30.7315</v>
      </c>
      <c r="GX49">
        <v>60.7057</v>
      </c>
      <c r="GY49">
        <v>26.494399999999999</v>
      </c>
      <c r="GZ49">
        <v>1</v>
      </c>
      <c r="HA49">
        <v>0.84379800000000005</v>
      </c>
      <c r="HB49">
        <v>3.7972899999999998</v>
      </c>
      <c r="HC49">
        <v>20.2759</v>
      </c>
      <c r="HD49">
        <v>5.2476900000000004</v>
      </c>
      <c r="HE49">
        <v>12.0099</v>
      </c>
      <c r="HF49">
        <v>4.9772499999999997</v>
      </c>
      <c r="HG49">
        <v>3.2923300000000002</v>
      </c>
      <c r="HH49">
        <v>9999</v>
      </c>
      <c r="HI49">
        <v>9999</v>
      </c>
      <c r="HJ49">
        <v>9999</v>
      </c>
      <c r="HK49">
        <v>999.9</v>
      </c>
      <c r="HL49">
        <v>1.8760699999999999</v>
      </c>
      <c r="HM49">
        <v>1.87697</v>
      </c>
      <c r="HN49">
        <v>1.88324</v>
      </c>
      <c r="HO49">
        <v>1.88632</v>
      </c>
      <c r="HP49">
        <v>1.87714</v>
      </c>
      <c r="HQ49">
        <v>1.8836999999999999</v>
      </c>
      <c r="HR49">
        <v>1.88263</v>
      </c>
      <c r="HS49">
        <v>1.8859900000000001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424</v>
      </c>
      <c r="IB49" t="s">
        <v>424</v>
      </c>
      <c r="IC49" t="s">
        <v>423</v>
      </c>
      <c r="ID49">
        <v>0</v>
      </c>
      <c r="IE49">
        <v>100</v>
      </c>
      <c r="IF49">
        <v>100</v>
      </c>
      <c r="IG49">
        <v>-0.70899999999999996</v>
      </c>
      <c r="IH49">
        <v>7.6E-3</v>
      </c>
      <c r="II49">
        <v>-0.61972340919804114</v>
      </c>
      <c r="IJ49">
        <v>4.4610147972834149E-5</v>
      </c>
      <c r="IK49">
        <v>-2.082673137682459E-7</v>
      </c>
      <c r="IL49">
        <v>-4.0725795306076518E-11</v>
      </c>
      <c r="IM49">
        <v>7.5699999999976342E-3</v>
      </c>
      <c r="IN49">
        <v>0</v>
      </c>
      <c r="IO49">
        <v>0</v>
      </c>
      <c r="IP49">
        <v>0</v>
      </c>
      <c r="IQ49">
        <v>3</v>
      </c>
      <c r="IR49">
        <v>2179</v>
      </c>
      <c r="IS49">
        <v>0</v>
      </c>
      <c r="IT49">
        <v>22</v>
      </c>
      <c r="IU49">
        <v>1.7</v>
      </c>
      <c r="IV49">
        <v>1.7</v>
      </c>
      <c r="IW49">
        <v>1.69922</v>
      </c>
      <c r="IX49">
        <v>2.66113</v>
      </c>
      <c r="IY49">
        <v>1.6015600000000001</v>
      </c>
      <c r="IZ49">
        <v>2.3278799999999999</v>
      </c>
      <c r="JA49">
        <v>1.5502899999999999</v>
      </c>
      <c r="JB49">
        <v>2.3901400000000002</v>
      </c>
      <c r="JC49">
        <v>43.100900000000003</v>
      </c>
      <c r="JD49">
        <v>24.078700000000001</v>
      </c>
      <c r="JE49">
        <v>18</v>
      </c>
      <c r="JF49">
        <v>542.92899999999997</v>
      </c>
      <c r="JG49">
        <v>384.18700000000001</v>
      </c>
      <c r="JH49">
        <v>26.1357</v>
      </c>
      <c r="JI49">
        <v>37.243099999999998</v>
      </c>
      <c r="JJ49">
        <v>30.000699999999998</v>
      </c>
      <c r="JK49">
        <v>37.153500000000001</v>
      </c>
      <c r="JL49">
        <v>37.143000000000001</v>
      </c>
      <c r="JM49">
        <v>33.995100000000001</v>
      </c>
      <c r="JN49">
        <v>23.922499999999999</v>
      </c>
      <c r="JO49">
        <v>55.424199999999999</v>
      </c>
      <c r="JP49">
        <v>26.133600000000001</v>
      </c>
      <c r="JQ49">
        <v>750</v>
      </c>
      <c r="JR49">
        <v>25.4237</v>
      </c>
      <c r="JS49">
        <v>97.93</v>
      </c>
      <c r="JT49">
        <v>98.463300000000004</v>
      </c>
    </row>
    <row r="50" spans="1:280" x14ac:dyDescent="0.25">
      <c r="A50">
        <v>34</v>
      </c>
      <c r="B50">
        <v>1700242826.0999999</v>
      </c>
      <c r="C50">
        <v>7588.5999999046326</v>
      </c>
      <c r="D50" t="s">
        <v>564</v>
      </c>
      <c r="E50" t="s">
        <v>565</v>
      </c>
      <c r="F50" t="s">
        <v>412</v>
      </c>
      <c r="G50" t="s">
        <v>543</v>
      </c>
      <c r="H50" t="s">
        <v>544</v>
      </c>
      <c r="I50">
        <v>1700242826.0999999</v>
      </c>
      <c r="J50">
        <f t="shared" si="46"/>
        <v>2.5152226243845134E-3</v>
      </c>
      <c r="K50">
        <f t="shared" si="47"/>
        <v>2.5152226243845135</v>
      </c>
      <c r="L50">
        <f t="shared" si="48"/>
        <v>41.971441810630772</v>
      </c>
      <c r="M50">
        <f t="shared" si="49"/>
        <v>563.87900000000002</v>
      </c>
      <c r="N50">
        <f t="shared" si="50"/>
        <v>119.88898595253819</v>
      </c>
      <c r="O50">
        <f t="shared" si="51"/>
        <v>11.844628157883971</v>
      </c>
      <c r="P50">
        <f t="shared" si="52"/>
        <v>55.709346675794905</v>
      </c>
      <c r="Q50">
        <f t="shared" si="53"/>
        <v>0.15779426298957711</v>
      </c>
      <c r="R50">
        <f t="shared" si="54"/>
        <v>3.3585858482630986</v>
      </c>
      <c r="S50">
        <f t="shared" si="55"/>
        <v>0.15378839528465146</v>
      </c>
      <c r="T50">
        <f t="shared" si="56"/>
        <v>9.6469188066245548E-2</v>
      </c>
      <c r="U50">
        <f t="shared" si="57"/>
        <v>344.35669930213976</v>
      </c>
      <c r="V50">
        <f t="shared" si="58"/>
        <v>30.99132419997764</v>
      </c>
      <c r="W50">
        <f t="shared" si="59"/>
        <v>30.0501</v>
      </c>
      <c r="X50">
        <f t="shared" si="60"/>
        <v>4.2727254660148812</v>
      </c>
      <c r="Y50">
        <f t="shared" si="61"/>
        <v>64.506292948660231</v>
      </c>
      <c r="Z50">
        <f t="shared" si="62"/>
        <v>2.71403242822679</v>
      </c>
      <c r="AA50">
        <f t="shared" si="63"/>
        <v>4.2073917197301283</v>
      </c>
      <c r="AB50">
        <f t="shared" si="64"/>
        <v>1.5586930377880912</v>
      </c>
      <c r="AC50">
        <f t="shared" si="65"/>
        <v>-110.92131773535704</v>
      </c>
      <c r="AD50">
        <f t="shared" si="66"/>
        <v>-48.544352315443369</v>
      </c>
      <c r="AE50">
        <f t="shared" si="67"/>
        <v>-3.2111486127215891</v>
      </c>
      <c r="AF50">
        <f t="shared" si="68"/>
        <v>181.67988063861773</v>
      </c>
      <c r="AG50">
        <v>25</v>
      </c>
      <c r="AH50">
        <v>5</v>
      </c>
      <c r="AI50">
        <f t="shared" si="69"/>
        <v>1</v>
      </c>
      <c r="AJ50">
        <f t="shared" si="70"/>
        <v>0</v>
      </c>
      <c r="AK50">
        <f t="shared" si="71"/>
        <v>51767.520810017704</v>
      </c>
      <c r="AL50" t="s">
        <v>415</v>
      </c>
      <c r="AM50">
        <v>6977.87</v>
      </c>
      <c r="AN50">
        <v>273.15280000000001</v>
      </c>
      <c r="AO50">
        <v>850.46774885301022</v>
      </c>
      <c r="AP50">
        <f t="shared" si="72"/>
        <v>0.67882050745793765</v>
      </c>
      <c r="AQ50">
        <v>-1.0323826813720729</v>
      </c>
      <c r="AR50" t="s">
        <v>566</v>
      </c>
      <c r="AS50">
        <v>7100.64</v>
      </c>
      <c r="AT50">
        <v>476.0086</v>
      </c>
      <c r="AU50">
        <v>702.59937557521755</v>
      </c>
      <c r="AV50">
        <f t="shared" si="73"/>
        <v>0.32250352541191463</v>
      </c>
      <c r="AW50">
        <v>0.5</v>
      </c>
      <c r="AX50">
        <f t="shared" si="74"/>
        <v>1513.1261996510698</v>
      </c>
      <c r="AY50">
        <f t="shared" si="75"/>
        <v>41.971441810630772</v>
      </c>
      <c r="AZ50">
        <f t="shared" si="76"/>
        <v>243.9942668903013</v>
      </c>
      <c r="BA50">
        <f t="shared" si="77"/>
        <v>2.8420514099828303E-2</v>
      </c>
      <c r="BB50">
        <f t="shared" si="78"/>
        <v>0.21045901607403644</v>
      </c>
      <c r="BC50">
        <f t="shared" si="79"/>
        <v>255.8580447653284</v>
      </c>
      <c r="BD50" t="s">
        <v>567</v>
      </c>
      <c r="BE50">
        <v>346.41</v>
      </c>
      <c r="BF50">
        <f t="shared" si="80"/>
        <v>346.41</v>
      </c>
      <c r="BG50">
        <f t="shared" si="81"/>
        <v>0.50695942518253101</v>
      </c>
      <c r="BH50">
        <f t="shared" si="82"/>
        <v>0.63615253882654832</v>
      </c>
      <c r="BI50">
        <f t="shared" si="83"/>
        <v>0.29335601647682041</v>
      </c>
      <c r="BJ50">
        <f t="shared" si="84"/>
        <v>0.52763437517626732</v>
      </c>
      <c r="BK50">
        <f t="shared" si="85"/>
        <v>0.25613120459044503</v>
      </c>
      <c r="BL50">
        <f t="shared" si="86"/>
        <v>0.46295298230936294</v>
      </c>
      <c r="BM50">
        <f t="shared" si="87"/>
        <v>0.53704701769063701</v>
      </c>
      <c r="BN50">
        <v>11402</v>
      </c>
      <c r="BO50">
        <v>290.00000000000011</v>
      </c>
      <c r="BP50">
        <v>636.62</v>
      </c>
      <c r="BQ50">
        <v>285</v>
      </c>
      <c r="BR50">
        <v>7100.64</v>
      </c>
      <c r="BS50">
        <v>638.51</v>
      </c>
      <c r="BT50">
        <v>-1.89</v>
      </c>
      <c r="BU50">
        <v>300.00000000000011</v>
      </c>
      <c r="BV50">
        <v>38.299999999999997</v>
      </c>
      <c r="BW50">
        <v>702.59937557521755</v>
      </c>
      <c r="BX50">
        <v>1.456485978286796</v>
      </c>
      <c r="BY50">
        <v>-45.50591115554419</v>
      </c>
      <c r="BZ50">
        <v>0.86690019328360468</v>
      </c>
      <c r="CA50">
        <v>0.98994065365060435</v>
      </c>
      <c r="CB50">
        <v>-7.0009399332591751E-3</v>
      </c>
      <c r="CC50">
        <v>289.99999999999989</v>
      </c>
      <c r="CD50">
        <v>645.41</v>
      </c>
      <c r="CE50">
        <v>895</v>
      </c>
      <c r="CF50">
        <v>7090.75</v>
      </c>
      <c r="CG50">
        <v>638.41999999999996</v>
      </c>
      <c r="CH50">
        <v>6.99</v>
      </c>
      <c r="CV50">
        <f t="shared" si="88"/>
        <v>1799.93</v>
      </c>
      <c r="CW50">
        <f t="shared" si="89"/>
        <v>1513.1261996510698</v>
      </c>
      <c r="CX50">
        <f t="shared" si="90"/>
        <v>0.8406583587423232</v>
      </c>
      <c r="CY50">
        <f t="shared" si="91"/>
        <v>0.19131671748464649</v>
      </c>
      <c r="CZ50">
        <v>4.16</v>
      </c>
      <c r="DA50">
        <v>0.5</v>
      </c>
      <c r="DB50" t="s">
        <v>418</v>
      </c>
      <c r="DC50">
        <v>2</v>
      </c>
      <c r="DD50">
        <v>1700242826.0999999</v>
      </c>
      <c r="DE50">
        <v>563.87900000000002</v>
      </c>
      <c r="DF50">
        <v>599.96900000000005</v>
      </c>
      <c r="DG50">
        <v>27.4709</v>
      </c>
      <c r="DH50">
        <v>25.436299999999999</v>
      </c>
      <c r="DI50">
        <v>564.25400000000002</v>
      </c>
      <c r="DJ50">
        <v>27.466000000000001</v>
      </c>
      <c r="DK50">
        <v>500.142</v>
      </c>
      <c r="DL50">
        <v>98.696700000000007</v>
      </c>
      <c r="DM50">
        <v>9.9933099999999997E-2</v>
      </c>
      <c r="DN50">
        <v>29.782</v>
      </c>
      <c r="DO50">
        <v>30.0501</v>
      </c>
      <c r="DP50">
        <v>999.9</v>
      </c>
      <c r="DQ50">
        <v>0</v>
      </c>
      <c r="DR50">
        <v>0</v>
      </c>
      <c r="DS50">
        <v>10011.9</v>
      </c>
      <c r="DT50">
        <v>0</v>
      </c>
      <c r="DU50">
        <v>204.065</v>
      </c>
      <c r="DV50">
        <v>-36.090200000000003</v>
      </c>
      <c r="DW50">
        <v>579.80700000000002</v>
      </c>
      <c r="DX50">
        <v>615.62900000000002</v>
      </c>
      <c r="DY50">
        <v>2.0345399999999998</v>
      </c>
      <c r="DZ50">
        <v>599.96900000000005</v>
      </c>
      <c r="EA50">
        <v>25.436299999999999</v>
      </c>
      <c r="EB50">
        <v>2.71129</v>
      </c>
      <c r="EC50">
        <v>2.5104799999999998</v>
      </c>
      <c r="ED50">
        <v>22.3537</v>
      </c>
      <c r="EE50">
        <v>21.0946</v>
      </c>
      <c r="EF50">
        <v>1799.93</v>
      </c>
      <c r="EG50">
        <v>0.977993</v>
      </c>
      <c r="EH50">
        <v>2.2007200000000001E-2</v>
      </c>
      <c r="EI50">
        <v>0</v>
      </c>
      <c r="EJ50">
        <v>475.92399999999998</v>
      </c>
      <c r="EK50">
        <v>5.0005300000000004</v>
      </c>
      <c r="EL50">
        <v>13555.9</v>
      </c>
      <c r="EM50">
        <v>16034.6</v>
      </c>
      <c r="EN50">
        <v>50.5</v>
      </c>
      <c r="EO50">
        <v>51.811999999999998</v>
      </c>
      <c r="EP50">
        <v>51.186999999999998</v>
      </c>
      <c r="EQ50">
        <v>51.25</v>
      </c>
      <c r="ER50">
        <v>51.436999999999998</v>
      </c>
      <c r="ES50">
        <v>1755.43</v>
      </c>
      <c r="ET50">
        <v>39.5</v>
      </c>
      <c r="EU50">
        <v>0</v>
      </c>
      <c r="EV50">
        <v>348.59999990463263</v>
      </c>
      <c r="EW50">
        <v>0</v>
      </c>
      <c r="EX50">
        <v>476.0086</v>
      </c>
      <c r="EY50">
        <v>-1.1827692225582951</v>
      </c>
      <c r="EZ50">
        <v>155.43076901237191</v>
      </c>
      <c r="FA50">
        <v>13550.992</v>
      </c>
      <c r="FB50">
        <v>15</v>
      </c>
      <c r="FC50">
        <v>1700242727.5999999</v>
      </c>
      <c r="FD50" t="s">
        <v>568</v>
      </c>
      <c r="FE50">
        <v>1700242727.5999999</v>
      </c>
      <c r="FF50">
        <v>1700242726.0999999</v>
      </c>
      <c r="FG50">
        <v>38</v>
      </c>
      <c r="FH50">
        <v>0.29299999999999998</v>
      </c>
      <c r="FI50">
        <v>-3.0000000000000001E-3</v>
      </c>
      <c r="FJ50">
        <v>-0.38400000000000001</v>
      </c>
      <c r="FK50">
        <v>5.0000000000000001E-3</v>
      </c>
      <c r="FL50">
        <v>600</v>
      </c>
      <c r="FM50">
        <v>26</v>
      </c>
      <c r="FN50">
        <v>7.0000000000000007E-2</v>
      </c>
      <c r="FO50">
        <v>0.06</v>
      </c>
      <c r="FP50">
        <v>41.983110365329189</v>
      </c>
      <c r="FQ50">
        <v>-0.46624876802199922</v>
      </c>
      <c r="FR50">
        <v>6.6180799113970235E-2</v>
      </c>
      <c r="FS50">
        <v>1</v>
      </c>
      <c r="FT50">
        <v>0.1626119570061359</v>
      </c>
      <c r="FU50">
        <v>-4.859164567065162E-2</v>
      </c>
      <c r="FV50">
        <v>3.8317253007472802E-3</v>
      </c>
      <c r="FW50">
        <v>1</v>
      </c>
      <c r="FX50">
        <v>2</v>
      </c>
      <c r="FY50">
        <v>2</v>
      </c>
      <c r="FZ50" t="s">
        <v>420</v>
      </c>
      <c r="GA50">
        <v>3.1314099999999998</v>
      </c>
      <c r="GB50">
        <v>2.7669100000000002</v>
      </c>
      <c r="GC50">
        <v>0.11315</v>
      </c>
      <c r="GD50">
        <v>0.118214</v>
      </c>
      <c r="GE50">
        <v>0.116476</v>
      </c>
      <c r="GF50">
        <v>0.11057699999999999</v>
      </c>
      <c r="GG50">
        <v>20988.400000000001</v>
      </c>
      <c r="GH50">
        <v>21742.5</v>
      </c>
      <c r="GI50">
        <v>23544.799999999999</v>
      </c>
      <c r="GJ50">
        <v>24989.8</v>
      </c>
      <c r="GK50">
        <v>29966.2</v>
      </c>
      <c r="GL50">
        <v>31165.8</v>
      </c>
      <c r="GM50">
        <v>37542.6</v>
      </c>
      <c r="GN50">
        <v>38905.199999999997</v>
      </c>
      <c r="GO50">
        <v>2.0166200000000001</v>
      </c>
      <c r="GP50">
        <v>1.718</v>
      </c>
      <c r="GQ50">
        <v>-4.5940300000000003E-2</v>
      </c>
      <c r="GR50">
        <v>0</v>
      </c>
      <c r="GS50">
        <v>30.7972</v>
      </c>
      <c r="GT50">
        <v>999.9</v>
      </c>
      <c r="GU50">
        <v>43.3</v>
      </c>
      <c r="GV50">
        <v>39</v>
      </c>
      <c r="GW50">
        <v>30.8276</v>
      </c>
      <c r="GX50">
        <v>61.155700000000003</v>
      </c>
      <c r="GY50">
        <v>26.694700000000001</v>
      </c>
      <c r="GZ50">
        <v>1</v>
      </c>
      <c r="HA50">
        <v>0.86014199999999996</v>
      </c>
      <c r="HB50">
        <v>4.84321</v>
      </c>
      <c r="HC50">
        <v>20.249600000000001</v>
      </c>
      <c r="HD50">
        <v>5.2485900000000001</v>
      </c>
      <c r="HE50">
        <v>12.0099</v>
      </c>
      <c r="HF50">
        <v>4.9784499999999996</v>
      </c>
      <c r="HG50">
        <v>3.2930000000000001</v>
      </c>
      <c r="HH50">
        <v>9999</v>
      </c>
      <c r="HI50">
        <v>9999</v>
      </c>
      <c r="HJ50">
        <v>9999</v>
      </c>
      <c r="HK50">
        <v>999.9</v>
      </c>
      <c r="HL50">
        <v>1.8760699999999999</v>
      </c>
      <c r="HM50">
        <v>1.8769800000000001</v>
      </c>
      <c r="HN50">
        <v>1.88324</v>
      </c>
      <c r="HO50">
        <v>1.8863099999999999</v>
      </c>
      <c r="HP50">
        <v>1.87714</v>
      </c>
      <c r="HQ50">
        <v>1.8836999999999999</v>
      </c>
      <c r="HR50">
        <v>1.88263</v>
      </c>
      <c r="HS50">
        <v>1.8859900000000001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424</v>
      </c>
      <c r="IB50" t="s">
        <v>424</v>
      </c>
      <c r="IC50" t="s">
        <v>423</v>
      </c>
      <c r="ID50">
        <v>0</v>
      </c>
      <c r="IE50">
        <v>100</v>
      </c>
      <c r="IF50">
        <v>100</v>
      </c>
      <c r="IG50">
        <v>-0.375</v>
      </c>
      <c r="IH50">
        <v>4.8999999999999998E-3</v>
      </c>
      <c r="II50">
        <v>-0.3268909881573176</v>
      </c>
      <c r="IJ50">
        <v>4.4610147972834149E-5</v>
      </c>
      <c r="IK50">
        <v>-2.082673137682459E-7</v>
      </c>
      <c r="IL50">
        <v>-4.0725795306076518E-11</v>
      </c>
      <c r="IM50">
        <v>4.8904761904715599E-3</v>
      </c>
      <c r="IN50">
        <v>0</v>
      </c>
      <c r="IO50">
        <v>0</v>
      </c>
      <c r="IP50">
        <v>0</v>
      </c>
      <c r="IQ50">
        <v>3</v>
      </c>
      <c r="IR50">
        <v>2179</v>
      </c>
      <c r="IS50">
        <v>0</v>
      </c>
      <c r="IT50">
        <v>22</v>
      </c>
      <c r="IU50">
        <v>1.6</v>
      </c>
      <c r="IV50">
        <v>1.7</v>
      </c>
      <c r="IW50">
        <v>1.4172400000000001</v>
      </c>
      <c r="IX50">
        <v>2.66113</v>
      </c>
      <c r="IY50">
        <v>1.6015600000000001</v>
      </c>
      <c r="IZ50">
        <v>2.3290999999999999</v>
      </c>
      <c r="JA50">
        <v>1.5502899999999999</v>
      </c>
      <c r="JB50">
        <v>2.5109900000000001</v>
      </c>
      <c r="JC50">
        <v>43.182000000000002</v>
      </c>
      <c r="JD50">
        <v>24.078700000000001</v>
      </c>
      <c r="JE50">
        <v>18</v>
      </c>
      <c r="JF50">
        <v>545.05200000000002</v>
      </c>
      <c r="JG50">
        <v>382.94900000000001</v>
      </c>
      <c r="JH50">
        <v>25.743099999999998</v>
      </c>
      <c r="JI50">
        <v>37.397399999999998</v>
      </c>
      <c r="JJ50">
        <v>29.9999</v>
      </c>
      <c r="JK50">
        <v>37.318300000000001</v>
      </c>
      <c r="JL50">
        <v>37.308900000000001</v>
      </c>
      <c r="JM50">
        <v>28.364799999999999</v>
      </c>
      <c r="JN50">
        <v>23.632400000000001</v>
      </c>
      <c r="JO50">
        <v>55.352499999999999</v>
      </c>
      <c r="JP50">
        <v>25.738099999999999</v>
      </c>
      <c r="JQ50">
        <v>600</v>
      </c>
      <c r="JR50">
        <v>25.4787</v>
      </c>
      <c r="JS50">
        <v>97.909300000000002</v>
      </c>
      <c r="JT50">
        <v>98.441500000000005</v>
      </c>
    </row>
    <row r="51" spans="1:280" x14ac:dyDescent="0.25">
      <c r="A51">
        <v>35</v>
      </c>
      <c r="B51">
        <v>1700242982.5999999</v>
      </c>
      <c r="C51">
        <v>7745.0999999046326</v>
      </c>
      <c r="D51" t="s">
        <v>569</v>
      </c>
      <c r="E51" t="s">
        <v>570</v>
      </c>
      <c r="F51" t="s">
        <v>412</v>
      </c>
      <c r="G51" t="s">
        <v>543</v>
      </c>
      <c r="H51" t="s">
        <v>544</v>
      </c>
      <c r="I51">
        <v>1700242982.5999999</v>
      </c>
      <c r="J51">
        <f t="shared" si="46"/>
        <v>3.2155744988995242E-3</v>
      </c>
      <c r="K51">
        <f t="shared" si="47"/>
        <v>3.2155744988995241</v>
      </c>
      <c r="L51">
        <f t="shared" si="48"/>
        <v>39.952681326103189</v>
      </c>
      <c r="M51">
        <f t="shared" si="49"/>
        <v>465.48200000000003</v>
      </c>
      <c r="N51">
        <f t="shared" si="50"/>
        <v>138.81857683358882</v>
      </c>
      <c r="O51">
        <f t="shared" si="51"/>
        <v>13.714345723149522</v>
      </c>
      <c r="P51">
        <f t="shared" si="52"/>
        <v>45.986504267046008</v>
      </c>
      <c r="Q51">
        <f t="shared" si="53"/>
        <v>0.20630733812923066</v>
      </c>
      <c r="R51">
        <f t="shared" si="54"/>
        <v>3.3492930214036076</v>
      </c>
      <c r="S51">
        <f t="shared" si="55"/>
        <v>0.1994985479196317</v>
      </c>
      <c r="T51">
        <f t="shared" si="56"/>
        <v>0.12527961561072432</v>
      </c>
      <c r="U51">
        <f t="shared" si="57"/>
        <v>344.36619930215915</v>
      </c>
      <c r="V51">
        <f t="shared" si="58"/>
        <v>30.787929945864857</v>
      </c>
      <c r="W51">
        <f t="shared" si="59"/>
        <v>29.9559</v>
      </c>
      <c r="X51">
        <f t="shared" si="60"/>
        <v>4.2496696687336062</v>
      </c>
      <c r="Y51">
        <f t="shared" si="61"/>
        <v>64.663112321344158</v>
      </c>
      <c r="Z51">
        <f t="shared" si="62"/>
        <v>2.7134074635465</v>
      </c>
      <c r="AA51">
        <f t="shared" si="63"/>
        <v>4.1962215645640235</v>
      </c>
      <c r="AB51">
        <f t="shared" si="64"/>
        <v>1.5362622051871062</v>
      </c>
      <c r="AC51">
        <f t="shared" si="65"/>
        <v>-141.80683540146902</v>
      </c>
      <c r="AD51">
        <f t="shared" si="66"/>
        <v>-39.742815489917234</v>
      </c>
      <c r="AE51">
        <f t="shared" si="67"/>
        <v>-2.6343994761190901</v>
      </c>
      <c r="AF51">
        <f t="shared" si="68"/>
        <v>160.18214893465381</v>
      </c>
      <c r="AG51">
        <v>25</v>
      </c>
      <c r="AH51">
        <v>5</v>
      </c>
      <c r="AI51">
        <f t="shared" si="69"/>
        <v>1</v>
      </c>
      <c r="AJ51">
        <f t="shared" si="70"/>
        <v>0</v>
      </c>
      <c r="AK51">
        <f t="shared" si="71"/>
        <v>51565.493383905719</v>
      </c>
      <c r="AL51" t="s">
        <v>427</v>
      </c>
      <c r="AM51" t="s">
        <v>427</v>
      </c>
      <c r="AN51">
        <v>0</v>
      </c>
      <c r="AO51">
        <v>0</v>
      </c>
      <c r="AP51" t="e">
        <f t="shared" si="72"/>
        <v>#DIV/0!</v>
      </c>
      <c r="AQ51">
        <v>0</v>
      </c>
      <c r="AR51" t="s">
        <v>427</v>
      </c>
      <c r="AS51" t="s">
        <v>427</v>
      </c>
      <c r="AT51">
        <v>0</v>
      </c>
      <c r="AU51">
        <v>0</v>
      </c>
      <c r="AV51" t="e">
        <f t="shared" si="73"/>
        <v>#DIV/0!</v>
      </c>
      <c r="AW51">
        <v>0.5</v>
      </c>
      <c r="AX51">
        <f t="shared" si="74"/>
        <v>1513.1681996510797</v>
      </c>
      <c r="AY51">
        <f t="shared" si="75"/>
        <v>39.952681326103189</v>
      </c>
      <c r="AZ51" t="e">
        <f t="shared" si="76"/>
        <v>#DIV/0!</v>
      </c>
      <c r="BA51">
        <f t="shared" si="77"/>
        <v>2.6403331325173134E-2</v>
      </c>
      <c r="BB51" t="e">
        <f t="shared" si="78"/>
        <v>#DIV/0!</v>
      </c>
      <c r="BC51" t="e">
        <f t="shared" si="79"/>
        <v>#DIV/0!</v>
      </c>
      <c r="BD51" t="s">
        <v>427</v>
      </c>
      <c r="BE51">
        <v>0</v>
      </c>
      <c r="BF51" t="e">
        <f t="shared" si="80"/>
        <v>#DIV/0!</v>
      </c>
      <c r="BG51" t="e">
        <f t="shared" si="81"/>
        <v>#DIV/0!</v>
      </c>
      <c r="BH51" t="e">
        <f t="shared" si="82"/>
        <v>#DIV/0!</v>
      </c>
      <c r="BI51" t="e">
        <f t="shared" si="83"/>
        <v>#DIV/0!</v>
      </c>
      <c r="BJ51" t="e">
        <f t="shared" si="84"/>
        <v>#DIV/0!</v>
      </c>
      <c r="BK51" t="e">
        <f t="shared" si="85"/>
        <v>#DIV/0!</v>
      </c>
      <c r="BL51" t="e">
        <f t="shared" si="86"/>
        <v>#DIV/0!</v>
      </c>
      <c r="BM51" t="e">
        <f t="shared" si="87"/>
        <v>#DIV/0!</v>
      </c>
      <c r="BN51">
        <v>11402</v>
      </c>
      <c r="BO51">
        <v>290.00000000000011</v>
      </c>
      <c r="BP51">
        <v>636.62</v>
      </c>
      <c r="BQ51">
        <v>285</v>
      </c>
      <c r="BR51">
        <v>7100.64</v>
      </c>
      <c r="BS51">
        <v>638.51</v>
      </c>
      <c r="BT51">
        <v>-1.89</v>
      </c>
      <c r="BU51">
        <v>300.00000000000011</v>
      </c>
      <c r="BV51">
        <v>38.299999999999997</v>
      </c>
      <c r="BW51">
        <v>702.59937557521755</v>
      </c>
      <c r="BX51">
        <v>1.456485978286796</v>
      </c>
      <c r="BY51">
        <v>-45.50591115554419</v>
      </c>
      <c r="BZ51">
        <v>0.86690019328360468</v>
      </c>
      <c r="CA51">
        <v>0.98994065365060435</v>
      </c>
      <c r="CB51">
        <v>-7.0009399332591751E-3</v>
      </c>
      <c r="CC51">
        <v>289.99999999999989</v>
      </c>
      <c r="CD51">
        <v>645.41</v>
      </c>
      <c r="CE51">
        <v>895</v>
      </c>
      <c r="CF51">
        <v>7090.75</v>
      </c>
      <c r="CG51">
        <v>638.41999999999996</v>
      </c>
      <c r="CH51">
        <v>6.99</v>
      </c>
      <c r="CV51">
        <f t="shared" si="88"/>
        <v>1799.98</v>
      </c>
      <c r="CW51">
        <f t="shared" si="89"/>
        <v>1513.1681996510797</v>
      </c>
      <c r="CX51">
        <f t="shared" si="90"/>
        <v>0.84065834045438259</v>
      </c>
      <c r="CY51">
        <f t="shared" si="91"/>
        <v>0.19131668090876519</v>
      </c>
      <c r="CZ51">
        <v>4.16</v>
      </c>
      <c r="DA51">
        <v>0.5</v>
      </c>
      <c r="DB51" t="s">
        <v>418</v>
      </c>
      <c r="DC51">
        <v>2</v>
      </c>
      <c r="DD51">
        <v>1700242982.5999999</v>
      </c>
      <c r="DE51">
        <v>465.48200000000003</v>
      </c>
      <c r="DF51">
        <v>499.95499999999998</v>
      </c>
      <c r="DG51">
        <v>27.465499999999999</v>
      </c>
      <c r="DH51">
        <v>24.864599999999999</v>
      </c>
      <c r="DI51">
        <v>465.87</v>
      </c>
      <c r="DJ51">
        <v>27.4574</v>
      </c>
      <c r="DK51">
        <v>500.18799999999999</v>
      </c>
      <c r="DL51">
        <v>98.692800000000005</v>
      </c>
      <c r="DM51">
        <v>0.100503</v>
      </c>
      <c r="DN51">
        <v>29.735800000000001</v>
      </c>
      <c r="DO51">
        <v>29.9559</v>
      </c>
      <c r="DP51">
        <v>999.9</v>
      </c>
      <c r="DQ51">
        <v>0</v>
      </c>
      <c r="DR51">
        <v>0</v>
      </c>
      <c r="DS51">
        <v>9970</v>
      </c>
      <c r="DT51">
        <v>0</v>
      </c>
      <c r="DU51">
        <v>263.99099999999999</v>
      </c>
      <c r="DV51">
        <v>-34.472900000000003</v>
      </c>
      <c r="DW51">
        <v>478.62799999999999</v>
      </c>
      <c r="DX51">
        <v>512.70299999999997</v>
      </c>
      <c r="DY51">
        <v>2.60087</v>
      </c>
      <c r="DZ51">
        <v>499.95499999999998</v>
      </c>
      <c r="EA51">
        <v>24.864599999999999</v>
      </c>
      <c r="EB51">
        <v>2.7106400000000002</v>
      </c>
      <c r="EC51">
        <v>2.4539599999999999</v>
      </c>
      <c r="ED51">
        <v>22.349799999999998</v>
      </c>
      <c r="EE51">
        <v>20.724299999999999</v>
      </c>
      <c r="EF51">
        <v>1799.98</v>
      </c>
      <c r="EG51">
        <v>0.97799599999999998</v>
      </c>
      <c r="EH51">
        <v>2.2003600000000002E-2</v>
      </c>
      <c r="EI51">
        <v>0</v>
      </c>
      <c r="EJ51">
        <v>476.82</v>
      </c>
      <c r="EK51">
        <v>5.0005300000000004</v>
      </c>
      <c r="EL51">
        <v>13582</v>
      </c>
      <c r="EM51">
        <v>16035</v>
      </c>
      <c r="EN51">
        <v>50.75</v>
      </c>
      <c r="EO51">
        <v>52.061999999999998</v>
      </c>
      <c r="EP51">
        <v>51.436999999999998</v>
      </c>
      <c r="EQ51">
        <v>51.561999999999998</v>
      </c>
      <c r="ER51">
        <v>51.686999999999998</v>
      </c>
      <c r="ES51">
        <v>1755.48</v>
      </c>
      <c r="ET51">
        <v>39.5</v>
      </c>
      <c r="EU51">
        <v>0</v>
      </c>
      <c r="EV51">
        <v>154.4000000953674</v>
      </c>
      <c r="EW51">
        <v>0</v>
      </c>
      <c r="EX51">
        <v>476.95807692307687</v>
      </c>
      <c r="EY51">
        <v>-1.6506666673690009</v>
      </c>
      <c r="EZ51">
        <v>-1.982906685173538</v>
      </c>
      <c r="FA51">
        <v>13596.615384615379</v>
      </c>
      <c r="FB51">
        <v>15</v>
      </c>
      <c r="FC51">
        <v>1700242895.5999999</v>
      </c>
      <c r="FD51" t="s">
        <v>571</v>
      </c>
      <c r="FE51">
        <v>1700242894.5999999</v>
      </c>
      <c r="FF51">
        <v>1700242895.5999999</v>
      </c>
      <c r="FG51">
        <v>39</v>
      </c>
      <c r="FH51">
        <v>-3.2000000000000001E-2</v>
      </c>
      <c r="FI51">
        <v>3.0000000000000001E-3</v>
      </c>
      <c r="FJ51">
        <v>-0.39400000000000002</v>
      </c>
      <c r="FK51">
        <v>8.0000000000000002E-3</v>
      </c>
      <c r="FL51">
        <v>500</v>
      </c>
      <c r="FM51">
        <v>26</v>
      </c>
      <c r="FN51">
        <v>0.05</v>
      </c>
      <c r="FO51">
        <v>0.05</v>
      </c>
      <c r="FP51">
        <v>39.893940880050053</v>
      </c>
      <c r="FQ51">
        <v>0.59996298158610317</v>
      </c>
      <c r="FR51">
        <v>6.7551337611149093E-2</v>
      </c>
      <c r="FS51">
        <v>1</v>
      </c>
      <c r="FT51">
        <v>0.20732478047493391</v>
      </c>
      <c r="FU51">
        <v>2.7898413047060661E-2</v>
      </c>
      <c r="FV51">
        <v>2.96383438194303E-3</v>
      </c>
      <c r="FW51">
        <v>1</v>
      </c>
      <c r="FX51">
        <v>2</v>
      </c>
      <c r="FY51">
        <v>2</v>
      </c>
      <c r="FZ51" t="s">
        <v>420</v>
      </c>
      <c r="GA51">
        <v>3.1319300000000001</v>
      </c>
      <c r="GB51">
        <v>2.7671199999999998</v>
      </c>
      <c r="GC51">
        <v>9.8374199999999995E-2</v>
      </c>
      <c r="GD51">
        <v>0.10369399999999999</v>
      </c>
      <c r="GE51">
        <v>0.116411</v>
      </c>
      <c r="GF51">
        <v>0.108791</v>
      </c>
      <c r="GG51">
        <v>21332.7</v>
      </c>
      <c r="GH51">
        <v>22094.9</v>
      </c>
      <c r="GI51">
        <v>23539.200000000001</v>
      </c>
      <c r="GJ51">
        <v>24983.7</v>
      </c>
      <c r="GK51">
        <v>29961.9</v>
      </c>
      <c r="GL51">
        <v>31221.7</v>
      </c>
      <c r="GM51">
        <v>37534.6</v>
      </c>
      <c r="GN51">
        <v>38897</v>
      </c>
      <c r="GO51">
        <v>2.0144500000000001</v>
      </c>
      <c r="GP51">
        <v>1.7143699999999999</v>
      </c>
      <c r="GQ51">
        <v>-6.0163399999999999E-2</v>
      </c>
      <c r="GR51">
        <v>0</v>
      </c>
      <c r="GS51">
        <v>30.934200000000001</v>
      </c>
      <c r="GT51">
        <v>999.9</v>
      </c>
      <c r="GU51">
        <v>43.1</v>
      </c>
      <c r="GV51">
        <v>39</v>
      </c>
      <c r="GW51">
        <v>30.686599999999999</v>
      </c>
      <c r="GX51">
        <v>60.255699999999997</v>
      </c>
      <c r="GY51">
        <v>26.430299999999999</v>
      </c>
      <c r="GZ51">
        <v>1</v>
      </c>
      <c r="HA51">
        <v>0.86621700000000001</v>
      </c>
      <c r="HB51">
        <v>3.9010600000000002</v>
      </c>
      <c r="HC51">
        <v>20.273700000000002</v>
      </c>
      <c r="HD51">
        <v>5.2517300000000002</v>
      </c>
      <c r="HE51">
        <v>12.0099</v>
      </c>
      <c r="HF51">
        <v>4.9774000000000003</v>
      </c>
      <c r="HG51">
        <v>3.2930000000000001</v>
      </c>
      <c r="HH51">
        <v>9999</v>
      </c>
      <c r="HI51">
        <v>9999</v>
      </c>
      <c r="HJ51">
        <v>9999</v>
      </c>
      <c r="HK51">
        <v>999.9</v>
      </c>
      <c r="HL51">
        <v>1.87609</v>
      </c>
      <c r="HM51">
        <v>1.8769800000000001</v>
      </c>
      <c r="HN51">
        <v>1.88324</v>
      </c>
      <c r="HO51">
        <v>1.88632</v>
      </c>
      <c r="HP51">
        <v>1.87714</v>
      </c>
      <c r="HQ51">
        <v>1.8836999999999999</v>
      </c>
      <c r="HR51">
        <v>1.88262</v>
      </c>
      <c r="HS51">
        <v>1.8859900000000001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424</v>
      </c>
      <c r="IB51" t="s">
        <v>424</v>
      </c>
      <c r="IC51" t="s">
        <v>423</v>
      </c>
      <c r="ID51">
        <v>0</v>
      </c>
      <c r="IE51">
        <v>100</v>
      </c>
      <c r="IF51">
        <v>100</v>
      </c>
      <c r="IG51">
        <v>-0.38800000000000001</v>
      </c>
      <c r="IH51">
        <v>8.0999999999999996E-3</v>
      </c>
      <c r="II51">
        <v>-0.35912577549519159</v>
      </c>
      <c r="IJ51">
        <v>4.4610147972834149E-5</v>
      </c>
      <c r="IK51">
        <v>-2.082673137682459E-7</v>
      </c>
      <c r="IL51">
        <v>-4.0725795306076518E-11</v>
      </c>
      <c r="IM51">
        <v>8.0649999999984345E-3</v>
      </c>
      <c r="IN51">
        <v>0</v>
      </c>
      <c r="IO51">
        <v>0</v>
      </c>
      <c r="IP51">
        <v>0</v>
      </c>
      <c r="IQ51">
        <v>3</v>
      </c>
      <c r="IR51">
        <v>2179</v>
      </c>
      <c r="IS51">
        <v>0</v>
      </c>
      <c r="IT51">
        <v>22</v>
      </c>
      <c r="IU51">
        <v>1.5</v>
      </c>
      <c r="IV51">
        <v>1.4</v>
      </c>
      <c r="IW51">
        <v>1.2231399999999999</v>
      </c>
      <c r="IX51">
        <v>2.6721200000000001</v>
      </c>
      <c r="IY51">
        <v>1.6015600000000001</v>
      </c>
      <c r="IZ51">
        <v>2.3278799999999999</v>
      </c>
      <c r="JA51">
        <v>1.5502899999999999</v>
      </c>
      <c r="JB51">
        <v>2.3877000000000002</v>
      </c>
      <c r="JC51">
        <v>43.263300000000001</v>
      </c>
      <c r="JD51">
        <v>24.078700000000001</v>
      </c>
      <c r="JE51">
        <v>18</v>
      </c>
      <c r="JF51">
        <v>544.63499999999999</v>
      </c>
      <c r="JG51">
        <v>381.47699999999998</v>
      </c>
      <c r="JH51">
        <v>26.131799999999998</v>
      </c>
      <c r="JI51">
        <v>37.546900000000001</v>
      </c>
      <c r="JJ51">
        <v>30.000299999999999</v>
      </c>
      <c r="JK51">
        <v>37.454799999999999</v>
      </c>
      <c r="JL51">
        <v>37.443300000000001</v>
      </c>
      <c r="JM51">
        <v>24.476400000000002</v>
      </c>
      <c r="JN51">
        <v>26.861699999999999</v>
      </c>
      <c r="JO51">
        <v>54.8337</v>
      </c>
      <c r="JP51">
        <v>26.135100000000001</v>
      </c>
      <c r="JQ51">
        <v>500</v>
      </c>
      <c r="JR51">
        <v>24.982399999999998</v>
      </c>
      <c r="JS51">
        <v>97.887500000000003</v>
      </c>
      <c r="JT51">
        <v>98.419499999999999</v>
      </c>
    </row>
    <row r="52" spans="1:280" x14ac:dyDescent="0.25">
      <c r="A52">
        <v>36</v>
      </c>
      <c r="B52">
        <v>1700243127.5999999</v>
      </c>
      <c r="C52">
        <v>7890.0999999046326</v>
      </c>
      <c r="D52" t="s">
        <v>572</v>
      </c>
      <c r="E52" t="s">
        <v>573</v>
      </c>
      <c r="F52" t="s">
        <v>412</v>
      </c>
      <c r="G52" t="s">
        <v>543</v>
      </c>
      <c r="H52" t="s">
        <v>544</v>
      </c>
      <c r="I52">
        <v>1700243127.5999999</v>
      </c>
      <c r="J52">
        <f t="shared" si="46"/>
        <v>3.5571617831037395E-3</v>
      </c>
      <c r="K52">
        <f t="shared" si="47"/>
        <v>3.5571617831037394</v>
      </c>
      <c r="L52">
        <f t="shared" si="48"/>
        <v>36.628725088230389</v>
      </c>
      <c r="M52">
        <f t="shared" si="49"/>
        <v>368.452</v>
      </c>
      <c r="N52">
        <f t="shared" si="50"/>
        <v>102.6572249282561</v>
      </c>
      <c r="O52">
        <f t="shared" si="51"/>
        <v>10.141551495926363</v>
      </c>
      <c r="P52">
        <f t="shared" si="52"/>
        <v>36.399531882811999</v>
      </c>
      <c r="Q52">
        <f t="shared" si="53"/>
        <v>0.23297101823346633</v>
      </c>
      <c r="R52">
        <f t="shared" si="54"/>
        <v>3.3536386855319447</v>
      </c>
      <c r="S52">
        <f t="shared" si="55"/>
        <v>0.22433894472998411</v>
      </c>
      <c r="T52">
        <f t="shared" si="56"/>
        <v>0.14096075042637132</v>
      </c>
      <c r="U52">
        <f t="shared" si="57"/>
        <v>344.36689930251634</v>
      </c>
      <c r="V52">
        <f t="shared" si="58"/>
        <v>30.815540700902261</v>
      </c>
      <c r="W52">
        <f t="shared" si="59"/>
        <v>29.930099999999999</v>
      </c>
      <c r="X52">
        <f t="shared" si="60"/>
        <v>4.2433739697722457</v>
      </c>
      <c r="Y52">
        <f t="shared" si="61"/>
        <v>64.711898967355339</v>
      </c>
      <c r="Z52">
        <f t="shared" si="62"/>
        <v>2.7322370711239001</v>
      </c>
      <c r="AA52">
        <f t="shared" si="63"/>
        <v>4.2221556077379345</v>
      </c>
      <c r="AB52">
        <f t="shared" si="64"/>
        <v>1.5111368986483456</v>
      </c>
      <c r="AC52">
        <f t="shared" si="65"/>
        <v>-156.87083463487491</v>
      </c>
      <c r="AD52">
        <f t="shared" si="66"/>
        <v>-15.765879360615394</v>
      </c>
      <c r="AE52">
        <f t="shared" si="67"/>
        <v>-1.044125964004661</v>
      </c>
      <c r="AF52">
        <f t="shared" si="68"/>
        <v>170.68605934302138</v>
      </c>
      <c r="AG52">
        <v>25</v>
      </c>
      <c r="AH52">
        <v>5</v>
      </c>
      <c r="AI52">
        <f t="shared" si="69"/>
        <v>1</v>
      </c>
      <c r="AJ52">
        <f t="shared" si="70"/>
        <v>0</v>
      </c>
      <c r="AK52">
        <f t="shared" si="71"/>
        <v>51645.277860055583</v>
      </c>
      <c r="AL52" t="s">
        <v>415</v>
      </c>
      <c r="AM52">
        <v>6977.87</v>
      </c>
      <c r="AN52">
        <v>273.15280000000001</v>
      </c>
      <c r="AO52">
        <v>850.46774885301022</v>
      </c>
      <c r="AP52">
        <f t="shared" si="72"/>
        <v>0.67882050745793765</v>
      </c>
      <c r="AQ52">
        <v>-1.0323826813720729</v>
      </c>
      <c r="AR52" t="s">
        <v>574</v>
      </c>
      <c r="AS52">
        <v>7098.47</v>
      </c>
      <c r="AT52">
        <v>481.37026923076922</v>
      </c>
      <c r="AU52">
        <v>679.62857423415005</v>
      </c>
      <c r="AV52">
        <f t="shared" si="73"/>
        <v>0.2917156701758622</v>
      </c>
      <c r="AW52">
        <v>0.5</v>
      </c>
      <c r="AX52">
        <f t="shared" si="74"/>
        <v>1513.1759996512581</v>
      </c>
      <c r="AY52">
        <f t="shared" si="75"/>
        <v>36.628725088230389</v>
      </c>
      <c r="AZ52">
        <f t="shared" si="76"/>
        <v>220.70857541614848</v>
      </c>
      <c r="BA52">
        <f t="shared" si="77"/>
        <v>2.4888782123349974E-2</v>
      </c>
      <c r="BB52">
        <f t="shared" si="78"/>
        <v>0.25137138298131878</v>
      </c>
      <c r="BC52">
        <f t="shared" si="79"/>
        <v>252.74717278351099</v>
      </c>
      <c r="BD52" t="s">
        <v>575</v>
      </c>
      <c r="BE52">
        <v>345.64</v>
      </c>
      <c r="BF52">
        <f t="shared" si="80"/>
        <v>345.64</v>
      </c>
      <c r="BG52">
        <f t="shared" si="81"/>
        <v>0.49142809307350011</v>
      </c>
      <c r="BH52">
        <f t="shared" si="82"/>
        <v>0.59360804619737517</v>
      </c>
      <c r="BI52">
        <f t="shared" si="83"/>
        <v>0.33841082429999919</v>
      </c>
      <c r="BJ52">
        <f t="shared" si="84"/>
        <v>0.48774937541339003</v>
      </c>
      <c r="BK52">
        <f t="shared" si="85"/>
        <v>0.29592023376196586</v>
      </c>
      <c r="BL52">
        <f t="shared" si="86"/>
        <v>0.42623048867461288</v>
      </c>
      <c r="BM52">
        <f t="shared" si="87"/>
        <v>0.57376951132538712</v>
      </c>
      <c r="BN52">
        <v>11404</v>
      </c>
      <c r="BO52">
        <v>290.00000000000011</v>
      </c>
      <c r="BP52">
        <v>622.16</v>
      </c>
      <c r="BQ52">
        <v>295</v>
      </c>
      <c r="BR52">
        <v>7098.47</v>
      </c>
      <c r="BS52">
        <v>623.58000000000004</v>
      </c>
      <c r="BT52">
        <v>-1.42</v>
      </c>
      <c r="BU52">
        <v>300.00000000000011</v>
      </c>
      <c r="BV52">
        <v>38.299999999999997</v>
      </c>
      <c r="BW52">
        <v>679.62857423415005</v>
      </c>
      <c r="BX52">
        <v>1.341469533643145</v>
      </c>
      <c r="BY52">
        <v>-39.787334691790562</v>
      </c>
      <c r="BZ52">
        <v>0.79818515711357785</v>
      </c>
      <c r="CA52">
        <v>0.98885682256054563</v>
      </c>
      <c r="CB52">
        <v>-6.999211123470522E-3</v>
      </c>
      <c r="CC52">
        <v>289.99999999999989</v>
      </c>
      <c r="CD52">
        <v>629.87</v>
      </c>
      <c r="CE52">
        <v>895</v>
      </c>
      <c r="CF52">
        <v>7088.48</v>
      </c>
      <c r="CG52">
        <v>623.5</v>
      </c>
      <c r="CH52">
        <v>6.37</v>
      </c>
      <c r="CV52">
        <f t="shared" si="88"/>
        <v>1799.99</v>
      </c>
      <c r="CW52">
        <f t="shared" si="89"/>
        <v>1513.1759996512581</v>
      </c>
      <c r="CX52">
        <f t="shared" si="90"/>
        <v>0.84065800346182928</v>
      </c>
      <c r="CY52">
        <f t="shared" si="91"/>
        <v>0.19131600692365866</v>
      </c>
      <c r="CZ52">
        <v>4.16</v>
      </c>
      <c r="DA52">
        <v>0.5</v>
      </c>
      <c r="DB52" t="s">
        <v>418</v>
      </c>
      <c r="DC52">
        <v>2</v>
      </c>
      <c r="DD52">
        <v>1700243127.5999999</v>
      </c>
      <c r="DE52">
        <v>368.452</v>
      </c>
      <c r="DF52">
        <v>400.012</v>
      </c>
      <c r="DG52">
        <v>27.6569</v>
      </c>
      <c r="DH52">
        <v>24.779699999999998</v>
      </c>
      <c r="DI52">
        <v>368.93599999999998</v>
      </c>
      <c r="DJ52">
        <v>27.651700000000002</v>
      </c>
      <c r="DK52">
        <v>500.08800000000002</v>
      </c>
      <c r="DL52">
        <v>98.6905</v>
      </c>
      <c r="DM52">
        <v>9.9931000000000006E-2</v>
      </c>
      <c r="DN52">
        <v>29.8429</v>
      </c>
      <c r="DO52">
        <v>29.930099999999999</v>
      </c>
      <c r="DP52">
        <v>999.9</v>
      </c>
      <c r="DQ52">
        <v>0</v>
      </c>
      <c r="DR52">
        <v>0</v>
      </c>
      <c r="DS52">
        <v>9990</v>
      </c>
      <c r="DT52">
        <v>0</v>
      </c>
      <c r="DU52">
        <v>194.685</v>
      </c>
      <c r="DV52">
        <v>-31.56</v>
      </c>
      <c r="DW52">
        <v>378.93200000000002</v>
      </c>
      <c r="DX52">
        <v>410.17599999999999</v>
      </c>
      <c r="DY52">
        <v>2.8772600000000002</v>
      </c>
      <c r="DZ52">
        <v>400.012</v>
      </c>
      <c r="EA52">
        <v>24.779699999999998</v>
      </c>
      <c r="EB52">
        <v>2.7294800000000001</v>
      </c>
      <c r="EC52">
        <v>2.4455200000000001</v>
      </c>
      <c r="ED52">
        <v>22.463699999999999</v>
      </c>
      <c r="EE52">
        <v>20.668399999999998</v>
      </c>
      <c r="EF52">
        <v>1799.99</v>
      </c>
      <c r="EG52">
        <v>0.97800399999999998</v>
      </c>
      <c r="EH52">
        <v>2.1996399999999999E-2</v>
      </c>
      <c r="EI52">
        <v>0</v>
      </c>
      <c r="EJ52">
        <v>481.291</v>
      </c>
      <c r="EK52">
        <v>5.0005300000000004</v>
      </c>
      <c r="EL52">
        <v>10851.7</v>
      </c>
      <c r="EM52">
        <v>16035.2</v>
      </c>
      <c r="EN52">
        <v>50.811999999999998</v>
      </c>
      <c r="EO52">
        <v>52.125</v>
      </c>
      <c r="EP52">
        <v>51.5</v>
      </c>
      <c r="EQ52">
        <v>51.561999999999998</v>
      </c>
      <c r="ER52">
        <v>51.75</v>
      </c>
      <c r="ES52">
        <v>1755.51</v>
      </c>
      <c r="ET52">
        <v>39.479999999999997</v>
      </c>
      <c r="EU52">
        <v>0</v>
      </c>
      <c r="EV52">
        <v>299.59999990463263</v>
      </c>
      <c r="EW52">
        <v>0</v>
      </c>
      <c r="EX52">
        <v>481.37026923076922</v>
      </c>
      <c r="EY52">
        <v>-0.45938461927778013</v>
      </c>
      <c r="EZ52">
        <v>-3086.5230726166501</v>
      </c>
      <c r="FA52">
        <v>11632.446153846149</v>
      </c>
      <c r="FB52">
        <v>15</v>
      </c>
      <c r="FC52">
        <v>1700243056.0999999</v>
      </c>
      <c r="FD52" t="s">
        <v>576</v>
      </c>
      <c r="FE52">
        <v>1700243056.0999999</v>
      </c>
      <c r="FF52">
        <v>1700243052.0999999</v>
      </c>
      <c r="FG52">
        <v>40</v>
      </c>
      <c r="FH52">
        <v>-0.111</v>
      </c>
      <c r="FI52">
        <v>-3.0000000000000001E-3</v>
      </c>
      <c r="FJ52">
        <v>-0.48799999999999999</v>
      </c>
      <c r="FK52">
        <v>5.0000000000000001E-3</v>
      </c>
      <c r="FL52">
        <v>400</v>
      </c>
      <c r="FM52">
        <v>25</v>
      </c>
      <c r="FN52">
        <v>0.09</v>
      </c>
      <c r="FO52">
        <v>0.05</v>
      </c>
      <c r="FP52">
        <v>36.543186392429789</v>
      </c>
      <c r="FQ52">
        <v>0.50659222038418017</v>
      </c>
      <c r="FR52">
        <v>4.1306429850936278E-2</v>
      </c>
      <c r="FS52">
        <v>1</v>
      </c>
      <c r="FT52">
        <v>0.2354071017974784</v>
      </c>
      <c r="FU52">
        <v>-2.0536485011373989E-2</v>
      </c>
      <c r="FV52">
        <v>1.497063895100671E-3</v>
      </c>
      <c r="FW52">
        <v>1</v>
      </c>
      <c r="FX52">
        <v>2</v>
      </c>
      <c r="FY52">
        <v>2</v>
      </c>
      <c r="FZ52" t="s">
        <v>420</v>
      </c>
      <c r="GA52">
        <v>3.13185</v>
      </c>
      <c r="GB52">
        <v>2.7667199999999998</v>
      </c>
      <c r="GC52">
        <v>8.2302700000000006E-2</v>
      </c>
      <c r="GD52">
        <v>8.7720500000000007E-2</v>
      </c>
      <c r="GE52">
        <v>0.11695700000000001</v>
      </c>
      <c r="GF52">
        <v>0.10850600000000001</v>
      </c>
      <c r="GG52">
        <v>21709.1</v>
      </c>
      <c r="GH52">
        <v>22485.4</v>
      </c>
      <c r="GI52">
        <v>23535.3</v>
      </c>
      <c r="GJ52">
        <v>24980.2</v>
      </c>
      <c r="GK52">
        <v>29938.2</v>
      </c>
      <c r="GL52">
        <v>31228.5</v>
      </c>
      <c r="GM52">
        <v>37528.1</v>
      </c>
      <c r="GN52">
        <v>38893.1</v>
      </c>
      <c r="GO52">
        <v>2.0131800000000002</v>
      </c>
      <c r="GP52">
        <v>1.7123999999999999</v>
      </c>
      <c r="GQ52">
        <v>-4.0099000000000003E-2</v>
      </c>
      <c r="GR52">
        <v>0</v>
      </c>
      <c r="GS52">
        <v>30.5824</v>
      </c>
      <c r="GT52">
        <v>999.9</v>
      </c>
      <c r="GU52">
        <v>42.9</v>
      </c>
      <c r="GV52">
        <v>39.1</v>
      </c>
      <c r="GW52">
        <v>30.710599999999999</v>
      </c>
      <c r="GX52">
        <v>60.395699999999998</v>
      </c>
      <c r="GY52">
        <v>26.6066</v>
      </c>
      <c r="GZ52">
        <v>1</v>
      </c>
      <c r="HA52">
        <v>0.86974799999999997</v>
      </c>
      <c r="HB52">
        <v>3.29758</v>
      </c>
      <c r="HC52">
        <v>20.285</v>
      </c>
      <c r="HD52">
        <v>5.2482899999999999</v>
      </c>
      <c r="HE52">
        <v>12.0099</v>
      </c>
      <c r="HF52">
        <v>4.9763999999999999</v>
      </c>
      <c r="HG52">
        <v>3.29223</v>
      </c>
      <c r="HH52">
        <v>9999</v>
      </c>
      <c r="HI52">
        <v>9999</v>
      </c>
      <c r="HJ52">
        <v>9999</v>
      </c>
      <c r="HK52">
        <v>999.9</v>
      </c>
      <c r="HL52">
        <v>1.87608</v>
      </c>
      <c r="HM52">
        <v>1.87696</v>
      </c>
      <c r="HN52">
        <v>1.88324</v>
      </c>
      <c r="HO52">
        <v>1.8863399999999999</v>
      </c>
      <c r="HP52">
        <v>1.87714</v>
      </c>
      <c r="HQ52">
        <v>1.8836999999999999</v>
      </c>
      <c r="HR52">
        <v>1.88263</v>
      </c>
      <c r="HS52">
        <v>1.88601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424</v>
      </c>
      <c r="IB52" t="s">
        <v>424</v>
      </c>
      <c r="IC52" t="s">
        <v>423</v>
      </c>
      <c r="ID52">
        <v>0</v>
      </c>
      <c r="IE52">
        <v>100</v>
      </c>
      <c r="IF52">
        <v>100</v>
      </c>
      <c r="IG52">
        <v>-0.48399999999999999</v>
      </c>
      <c r="IH52">
        <v>5.1999999999999998E-3</v>
      </c>
      <c r="II52">
        <v>-0.46989927270287363</v>
      </c>
      <c r="IJ52">
        <v>4.4610147972834149E-5</v>
      </c>
      <c r="IK52">
        <v>-2.082673137682459E-7</v>
      </c>
      <c r="IL52">
        <v>-4.0725795306076518E-11</v>
      </c>
      <c r="IM52">
        <v>5.2449999999950592E-3</v>
      </c>
      <c r="IN52">
        <v>0</v>
      </c>
      <c r="IO52">
        <v>0</v>
      </c>
      <c r="IP52">
        <v>0</v>
      </c>
      <c r="IQ52">
        <v>3</v>
      </c>
      <c r="IR52">
        <v>2179</v>
      </c>
      <c r="IS52">
        <v>0</v>
      </c>
      <c r="IT52">
        <v>22</v>
      </c>
      <c r="IU52">
        <v>1.2</v>
      </c>
      <c r="IV52">
        <v>1.3</v>
      </c>
      <c r="IW52">
        <v>1.02295</v>
      </c>
      <c r="IX52">
        <v>2.67578</v>
      </c>
      <c r="IY52">
        <v>1.6015600000000001</v>
      </c>
      <c r="IZ52">
        <v>2.3290999999999999</v>
      </c>
      <c r="JA52">
        <v>1.5502899999999999</v>
      </c>
      <c r="JB52">
        <v>2.4206500000000002</v>
      </c>
      <c r="JC52">
        <v>43.344799999999999</v>
      </c>
      <c r="JD52">
        <v>24.078700000000001</v>
      </c>
      <c r="JE52">
        <v>18</v>
      </c>
      <c r="JF52">
        <v>544.44399999999996</v>
      </c>
      <c r="JG52">
        <v>380.75700000000001</v>
      </c>
      <c r="JH52">
        <v>26.633800000000001</v>
      </c>
      <c r="JI52">
        <v>37.6068</v>
      </c>
      <c r="JJ52">
        <v>29.9998</v>
      </c>
      <c r="JK52">
        <v>37.542000000000002</v>
      </c>
      <c r="JL52">
        <v>37.530700000000003</v>
      </c>
      <c r="JM52">
        <v>20.450399999999998</v>
      </c>
      <c r="JN52">
        <v>26.970099999999999</v>
      </c>
      <c r="JO52">
        <v>54.438899999999997</v>
      </c>
      <c r="JP52">
        <v>26.643899999999999</v>
      </c>
      <c r="JQ52">
        <v>400</v>
      </c>
      <c r="JR52">
        <v>24.8508</v>
      </c>
      <c r="JS52">
        <v>97.870800000000003</v>
      </c>
      <c r="JT52">
        <v>98.408100000000005</v>
      </c>
    </row>
    <row r="53" spans="1:280" x14ac:dyDescent="0.25">
      <c r="A53">
        <v>37</v>
      </c>
      <c r="B53">
        <v>1700243252.0999999</v>
      </c>
      <c r="C53">
        <v>8014.5999999046326</v>
      </c>
      <c r="D53" t="s">
        <v>577</v>
      </c>
      <c r="E53" t="s">
        <v>578</v>
      </c>
      <c r="F53" t="s">
        <v>412</v>
      </c>
      <c r="G53" t="s">
        <v>543</v>
      </c>
      <c r="H53" t="s">
        <v>544</v>
      </c>
      <c r="I53">
        <v>1700243252.0999999</v>
      </c>
      <c r="J53">
        <f t="shared" si="46"/>
        <v>3.6984898207371268E-3</v>
      </c>
      <c r="K53">
        <f t="shared" si="47"/>
        <v>3.6984898207371266</v>
      </c>
      <c r="L53">
        <f t="shared" si="48"/>
        <v>29.171927609772432</v>
      </c>
      <c r="M53">
        <f t="shared" si="49"/>
        <v>274.95600000000002</v>
      </c>
      <c r="N53">
        <f t="shared" si="50"/>
        <v>78.648009506355663</v>
      </c>
      <c r="O53">
        <f t="shared" si="51"/>
        <v>7.7705748624830528</v>
      </c>
      <c r="P53">
        <f t="shared" si="52"/>
        <v>27.166182530229598</v>
      </c>
      <c r="Q53">
        <f t="shared" si="53"/>
        <v>0.25173076793654525</v>
      </c>
      <c r="R53">
        <f t="shared" si="54"/>
        <v>3.3611679653938991</v>
      </c>
      <c r="S53">
        <f t="shared" si="55"/>
        <v>0.24170632371344355</v>
      </c>
      <c r="T53">
        <f t="shared" si="56"/>
        <v>0.15193384614470706</v>
      </c>
      <c r="U53">
        <f t="shared" si="57"/>
        <v>344.3307993024427</v>
      </c>
      <c r="V53">
        <f t="shared" si="58"/>
        <v>30.845209391434338</v>
      </c>
      <c r="W53">
        <f t="shared" si="59"/>
        <v>29.915299999999998</v>
      </c>
      <c r="X53">
        <f t="shared" si="60"/>
        <v>4.2397661537077127</v>
      </c>
      <c r="Y53">
        <f t="shared" si="61"/>
        <v>65.639726196116698</v>
      </c>
      <c r="Z53">
        <f t="shared" si="62"/>
        <v>2.7816595613037398</v>
      </c>
      <c r="AA53">
        <f t="shared" si="63"/>
        <v>4.2377683797655834</v>
      </c>
      <c r="AB53">
        <f t="shared" si="64"/>
        <v>1.4581065924039729</v>
      </c>
      <c r="AC53">
        <f t="shared" si="65"/>
        <v>-163.10340109450729</v>
      </c>
      <c r="AD53">
        <f t="shared" si="66"/>
        <v>-1.4858997562723464</v>
      </c>
      <c r="AE53">
        <f t="shared" si="67"/>
        <v>-9.8210177967295406E-2</v>
      </c>
      <c r="AF53">
        <f t="shared" si="68"/>
        <v>179.64328827369576</v>
      </c>
      <c r="AG53">
        <v>26</v>
      </c>
      <c r="AH53">
        <v>5</v>
      </c>
      <c r="AI53">
        <f t="shared" si="69"/>
        <v>1</v>
      </c>
      <c r="AJ53">
        <f t="shared" si="70"/>
        <v>0</v>
      </c>
      <c r="AK53">
        <f t="shared" si="71"/>
        <v>51804.575287770014</v>
      </c>
      <c r="AL53" t="s">
        <v>427</v>
      </c>
      <c r="AM53" t="s">
        <v>427</v>
      </c>
      <c r="AN53">
        <v>0</v>
      </c>
      <c r="AO53">
        <v>0</v>
      </c>
      <c r="AP53" t="e">
        <f t="shared" si="72"/>
        <v>#DIV/0!</v>
      </c>
      <c r="AQ53">
        <v>0</v>
      </c>
      <c r="AR53" t="s">
        <v>427</v>
      </c>
      <c r="AS53" t="s">
        <v>427</v>
      </c>
      <c r="AT53">
        <v>0</v>
      </c>
      <c r="AU53">
        <v>0</v>
      </c>
      <c r="AV53" t="e">
        <f t="shared" si="73"/>
        <v>#DIV/0!</v>
      </c>
      <c r="AW53">
        <v>0.5</v>
      </c>
      <c r="AX53">
        <f t="shared" si="74"/>
        <v>1513.0163996512213</v>
      </c>
      <c r="AY53">
        <f t="shared" si="75"/>
        <v>29.171927609772432</v>
      </c>
      <c r="AZ53" t="e">
        <f t="shared" si="76"/>
        <v>#DIV/0!</v>
      </c>
      <c r="BA53">
        <f t="shared" si="77"/>
        <v>1.9280642044922389E-2</v>
      </c>
      <c r="BB53" t="e">
        <f t="shared" si="78"/>
        <v>#DIV/0!</v>
      </c>
      <c r="BC53" t="e">
        <f t="shared" si="79"/>
        <v>#DIV/0!</v>
      </c>
      <c r="BD53" t="s">
        <v>427</v>
      </c>
      <c r="BE53">
        <v>0</v>
      </c>
      <c r="BF53" t="e">
        <f t="shared" si="80"/>
        <v>#DIV/0!</v>
      </c>
      <c r="BG53" t="e">
        <f t="shared" si="81"/>
        <v>#DIV/0!</v>
      </c>
      <c r="BH53" t="e">
        <f t="shared" si="82"/>
        <v>#DIV/0!</v>
      </c>
      <c r="BI53" t="e">
        <f t="shared" si="83"/>
        <v>#DIV/0!</v>
      </c>
      <c r="BJ53" t="e">
        <f t="shared" si="84"/>
        <v>#DIV/0!</v>
      </c>
      <c r="BK53" t="e">
        <f t="shared" si="85"/>
        <v>#DIV/0!</v>
      </c>
      <c r="BL53" t="e">
        <f t="shared" si="86"/>
        <v>#DIV/0!</v>
      </c>
      <c r="BM53" t="e">
        <f t="shared" si="87"/>
        <v>#DIV/0!</v>
      </c>
      <c r="BN53">
        <v>11404</v>
      </c>
      <c r="BO53">
        <v>290.00000000000011</v>
      </c>
      <c r="BP53">
        <v>622.16</v>
      </c>
      <c r="BQ53">
        <v>295</v>
      </c>
      <c r="BR53">
        <v>7098.47</v>
      </c>
      <c r="BS53">
        <v>623.58000000000004</v>
      </c>
      <c r="BT53">
        <v>-1.42</v>
      </c>
      <c r="BU53">
        <v>300.00000000000011</v>
      </c>
      <c r="BV53">
        <v>38.299999999999997</v>
      </c>
      <c r="BW53">
        <v>679.62857423415005</v>
      </c>
      <c r="BX53">
        <v>1.341469533643145</v>
      </c>
      <c r="BY53">
        <v>-39.787334691790562</v>
      </c>
      <c r="BZ53">
        <v>0.79818515711357785</v>
      </c>
      <c r="CA53">
        <v>0.98885682256054563</v>
      </c>
      <c r="CB53">
        <v>-6.999211123470522E-3</v>
      </c>
      <c r="CC53">
        <v>289.99999999999989</v>
      </c>
      <c r="CD53">
        <v>629.87</v>
      </c>
      <c r="CE53">
        <v>895</v>
      </c>
      <c r="CF53">
        <v>7088.48</v>
      </c>
      <c r="CG53">
        <v>623.5</v>
      </c>
      <c r="CH53">
        <v>6.37</v>
      </c>
      <c r="CV53">
        <f t="shared" si="88"/>
        <v>1799.8</v>
      </c>
      <c r="CW53">
        <f t="shared" si="89"/>
        <v>1513.0163996512213</v>
      </c>
      <c r="CX53">
        <f t="shared" si="90"/>
        <v>0.84065807292544803</v>
      </c>
      <c r="CY53">
        <f t="shared" si="91"/>
        <v>0.19131614585089604</v>
      </c>
      <c r="CZ53">
        <v>4.16</v>
      </c>
      <c r="DA53">
        <v>0.5</v>
      </c>
      <c r="DB53" t="s">
        <v>418</v>
      </c>
      <c r="DC53">
        <v>2</v>
      </c>
      <c r="DD53">
        <v>1700243252.0999999</v>
      </c>
      <c r="DE53">
        <v>274.95600000000002</v>
      </c>
      <c r="DF53">
        <v>300.06799999999998</v>
      </c>
      <c r="DG53">
        <v>28.1539</v>
      </c>
      <c r="DH53">
        <v>25.164000000000001</v>
      </c>
      <c r="DI53">
        <v>275.09300000000002</v>
      </c>
      <c r="DJ53">
        <v>28.1496</v>
      </c>
      <c r="DK53">
        <v>500.10199999999998</v>
      </c>
      <c r="DL53">
        <v>98.702299999999994</v>
      </c>
      <c r="DM53">
        <v>9.9626599999999996E-2</v>
      </c>
      <c r="DN53">
        <v>29.9071</v>
      </c>
      <c r="DO53">
        <v>29.915299999999998</v>
      </c>
      <c r="DP53">
        <v>999.9</v>
      </c>
      <c r="DQ53">
        <v>0</v>
      </c>
      <c r="DR53">
        <v>0</v>
      </c>
      <c r="DS53">
        <v>10023.1</v>
      </c>
      <c r="DT53">
        <v>0</v>
      </c>
      <c r="DU53">
        <v>107.44799999999999</v>
      </c>
      <c r="DV53">
        <v>-25.111899999999999</v>
      </c>
      <c r="DW53">
        <v>282.92099999999999</v>
      </c>
      <c r="DX53">
        <v>307.81400000000002</v>
      </c>
      <c r="DY53">
        <v>2.9898799999999999</v>
      </c>
      <c r="DZ53">
        <v>300.06799999999998</v>
      </c>
      <c r="EA53">
        <v>25.164000000000001</v>
      </c>
      <c r="EB53">
        <v>2.7788499999999998</v>
      </c>
      <c r="EC53">
        <v>2.4837400000000001</v>
      </c>
      <c r="ED53">
        <v>22.759</v>
      </c>
      <c r="EE53">
        <v>20.920400000000001</v>
      </c>
      <c r="EF53">
        <v>1799.8</v>
      </c>
      <c r="EG53">
        <v>0.97800399999999998</v>
      </c>
      <c r="EH53">
        <v>2.1996399999999999E-2</v>
      </c>
      <c r="EI53">
        <v>0</v>
      </c>
      <c r="EJ53">
        <v>492.56</v>
      </c>
      <c r="EK53">
        <v>5.0005300000000004</v>
      </c>
      <c r="EL53">
        <v>9972.69</v>
      </c>
      <c r="EM53">
        <v>16033.5</v>
      </c>
      <c r="EN53">
        <v>50.75</v>
      </c>
      <c r="EO53">
        <v>52</v>
      </c>
      <c r="EP53">
        <v>51.375</v>
      </c>
      <c r="EQ53">
        <v>51.436999999999998</v>
      </c>
      <c r="ER53">
        <v>51.686999999999998</v>
      </c>
      <c r="ES53">
        <v>1755.32</v>
      </c>
      <c r="ET53">
        <v>39.479999999999997</v>
      </c>
      <c r="EU53">
        <v>0</v>
      </c>
      <c r="EV53">
        <v>122.3999998569489</v>
      </c>
      <c r="EW53">
        <v>0</v>
      </c>
      <c r="EX53">
        <v>492.82528000000002</v>
      </c>
      <c r="EY53">
        <v>-1.2754615322855629</v>
      </c>
      <c r="EZ53">
        <v>-131.3823078927976</v>
      </c>
      <c r="FA53">
        <v>9989.4547999999995</v>
      </c>
      <c r="FB53">
        <v>15</v>
      </c>
      <c r="FC53">
        <v>1700243218.0999999</v>
      </c>
      <c r="FD53" t="s">
        <v>579</v>
      </c>
      <c r="FE53">
        <v>1700243217.5999999</v>
      </c>
      <c r="FF53">
        <v>1700243218.0999999</v>
      </c>
      <c r="FG53">
        <v>41</v>
      </c>
      <c r="FH53">
        <v>0.33700000000000002</v>
      </c>
      <c r="FI53">
        <v>-1E-3</v>
      </c>
      <c r="FJ53">
        <v>-0.14000000000000001</v>
      </c>
      <c r="FK53">
        <v>4.0000000000000001E-3</v>
      </c>
      <c r="FL53">
        <v>300</v>
      </c>
      <c r="FM53">
        <v>25</v>
      </c>
      <c r="FN53">
        <v>0.08</v>
      </c>
      <c r="FO53">
        <v>0.04</v>
      </c>
      <c r="FP53">
        <v>28.924644627400848</v>
      </c>
      <c r="FQ53">
        <v>0.59611428111309861</v>
      </c>
      <c r="FR53">
        <v>5.6110550577596459E-2</v>
      </c>
      <c r="FS53">
        <v>1</v>
      </c>
      <c r="FT53">
        <v>0.24915996035851551</v>
      </c>
      <c r="FU53">
        <v>3.8435583998709749E-2</v>
      </c>
      <c r="FV53">
        <v>3.3993420420370879E-3</v>
      </c>
      <c r="FW53">
        <v>1</v>
      </c>
      <c r="FX53">
        <v>2</v>
      </c>
      <c r="FY53">
        <v>2</v>
      </c>
      <c r="FZ53" t="s">
        <v>420</v>
      </c>
      <c r="GA53">
        <v>3.1316600000000001</v>
      </c>
      <c r="GB53">
        <v>2.7667000000000002</v>
      </c>
      <c r="GC53">
        <v>6.4909400000000006E-2</v>
      </c>
      <c r="GD53">
        <v>6.9847900000000004E-2</v>
      </c>
      <c r="GE53">
        <v>0.11843099999999999</v>
      </c>
      <c r="GF53">
        <v>0.10970000000000001</v>
      </c>
      <c r="GG53">
        <v>22124.799999999999</v>
      </c>
      <c r="GH53">
        <v>22932.400000000001</v>
      </c>
      <c r="GI53">
        <v>23539.8</v>
      </c>
      <c r="GJ53">
        <v>24987.200000000001</v>
      </c>
      <c r="GK53">
        <v>29894</v>
      </c>
      <c r="GL53">
        <v>31196.1</v>
      </c>
      <c r="GM53">
        <v>37535.1</v>
      </c>
      <c r="GN53">
        <v>38904.699999999997</v>
      </c>
      <c r="GO53">
        <v>2.01085</v>
      </c>
      <c r="GP53">
        <v>1.7141500000000001</v>
      </c>
      <c r="GQ53">
        <v>-1.34781E-2</v>
      </c>
      <c r="GR53">
        <v>0</v>
      </c>
      <c r="GS53">
        <v>30.134599999999999</v>
      </c>
      <c r="GT53">
        <v>999.9</v>
      </c>
      <c r="GU53">
        <v>42.7</v>
      </c>
      <c r="GV53">
        <v>39.1</v>
      </c>
      <c r="GW53">
        <v>30.561699999999998</v>
      </c>
      <c r="GX53">
        <v>59.9557</v>
      </c>
      <c r="GY53">
        <v>26.666699999999999</v>
      </c>
      <c r="GZ53">
        <v>1</v>
      </c>
      <c r="HA53">
        <v>0.86345499999999997</v>
      </c>
      <c r="HB53">
        <v>3.49641</v>
      </c>
      <c r="HC53">
        <v>20.281400000000001</v>
      </c>
      <c r="HD53">
        <v>5.2476900000000004</v>
      </c>
      <c r="HE53">
        <v>12.0099</v>
      </c>
      <c r="HF53">
        <v>4.9768499999999998</v>
      </c>
      <c r="HG53">
        <v>3.2922500000000001</v>
      </c>
      <c r="HH53">
        <v>9999</v>
      </c>
      <c r="HI53">
        <v>9999</v>
      </c>
      <c r="HJ53">
        <v>9999</v>
      </c>
      <c r="HK53">
        <v>999.9</v>
      </c>
      <c r="HL53">
        <v>1.8760699999999999</v>
      </c>
      <c r="HM53">
        <v>1.8769800000000001</v>
      </c>
      <c r="HN53">
        <v>1.88324</v>
      </c>
      <c r="HO53">
        <v>1.88632</v>
      </c>
      <c r="HP53">
        <v>1.87714</v>
      </c>
      <c r="HQ53">
        <v>1.8836999999999999</v>
      </c>
      <c r="HR53">
        <v>1.88263</v>
      </c>
      <c r="HS53">
        <v>1.8859900000000001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424</v>
      </c>
      <c r="IB53" t="s">
        <v>424</v>
      </c>
      <c r="IC53" t="s">
        <v>423</v>
      </c>
      <c r="ID53">
        <v>0</v>
      </c>
      <c r="IE53">
        <v>100</v>
      </c>
      <c r="IF53">
        <v>100</v>
      </c>
      <c r="IG53">
        <v>-0.13700000000000001</v>
      </c>
      <c r="IH53">
        <v>4.3E-3</v>
      </c>
      <c r="II53">
        <v>-0.1331924403239225</v>
      </c>
      <c r="IJ53">
        <v>4.4610147972834149E-5</v>
      </c>
      <c r="IK53">
        <v>-2.082673137682459E-7</v>
      </c>
      <c r="IL53">
        <v>-4.0725795306076518E-11</v>
      </c>
      <c r="IM53">
        <v>4.2850000000029809E-3</v>
      </c>
      <c r="IN53">
        <v>0</v>
      </c>
      <c r="IO53">
        <v>0</v>
      </c>
      <c r="IP53">
        <v>0</v>
      </c>
      <c r="IQ53">
        <v>3</v>
      </c>
      <c r="IR53">
        <v>2179</v>
      </c>
      <c r="IS53">
        <v>0</v>
      </c>
      <c r="IT53">
        <v>22</v>
      </c>
      <c r="IU53">
        <v>0.6</v>
      </c>
      <c r="IV53">
        <v>0.6</v>
      </c>
      <c r="IW53">
        <v>0.81420899999999996</v>
      </c>
      <c r="IX53">
        <v>2.677</v>
      </c>
      <c r="IY53">
        <v>1.6015600000000001</v>
      </c>
      <c r="IZ53">
        <v>2.3278799999999999</v>
      </c>
      <c r="JA53">
        <v>1.5502899999999999</v>
      </c>
      <c r="JB53">
        <v>2.47559</v>
      </c>
      <c r="JC53">
        <v>43.399099999999997</v>
      </c>
      <c r="JD53">
        <v>24.087499999999999</v>
      </c>
      <c r="JE53">
        <v>18</v>
      </c>
      <c r="JF53">
        <v>542.77</v>
      </c>
      <c r="JG53">
        <v>381.77800000000002</v>
      </c>
      <c r="JH53">
        <v>26.563099999999999</v>
      </c>
      <c r="JI53">
        <v>37.5274</v>
      </c>
      <c r="JJ53">
        <v>30</v>
      </c>
      <c r="JK53">
        <v>37.5276</v>
      </c>
      <c r="JL53">
        <v>37.518700000000003</v>
      </c>
      <c r="JM53">
        <v>16.267299999999999</v>
      </c>
      <c r="JN53">
        <v>24.218800000000002</v>
      </c>
      <c r="JO53">
        <v>54.387500000000003</v>
      </c>
      <c r="JP53">
        <v>26.593699999999998</v>
      </c>
      <c r="JQ53">
        <v>300</v>
      </c>
      <c r="JR53">
        <v>25.082899999999999</v>
      </c>
      <c r="JS53">
        <v>97.889399999999995</v>
      </c>
      <c r="JT53">
        <v>98.436700000000002</v>
      </c>
    </row>
    <row r="54" spans="1:280" x14ac:dyDescent="0.25">
      <c r="A54">
        <v>38</v>
      </c>
      <c r="B54">
        <v>1700243409.5999999</v>
      </c>
      <c r="C54">
        <v>8172.0999999046326</v>
      </c>
      <c r="D54" t="s">
        <v>580</v>
      </c>
      <c r="E54" t="s">
        <v>581</v>
      </c>
      <c r="F54" t="s">
        <v>412</v>
      </c>
      <c r="G54" t="s">
        <v>543</v>
      </c>
      <c r="H54" t="s">
        <v>544</v>
      </c>
      <c r="I54">
        <v>1700243409.5999999</v>
      </c>
      <c r="J54">
        <f t="shared" si="46"/>
        <v>4.3631646374986191E-3</v>
      </c>
      <c r="K54">
        <f t="shared" si="47"/>
        <v>4.3631646374986195</v>
      </c>
      <c r="L54">
        <f t="shared" si="48"/>
        <v>22.805785913257687</v>
      </c>
      <c r="M54">
        <f t="shared" si="49"/>
        <v>180.28800000000001</v>
      </c>
      <c r="N54">
        <f t="shared" si="50"/>
        <v>54.270120647866328</v>
      </c>
      <c r="O54">
        <f t="shared" si="51"/>
        <v>5.3620086167575147</v>
      </c>
      <c r="P54">
        <f t="shared" si="52"/>
        <v>17.812855360512003</v>
      </c>
      <c r="Q54">
        <f t="shared" si="53"/>
        <v>0.30897687279502556</v>
      </c>
      <c r="R54">
        <f t="shared" si="54"/>
        <v>3.3555465840147125</v>
      </c>
      <c r="S54">
        <f t="shared" si="55"/>
        <v>0.29399653512287616</v>
      </c>
      <c r="T54">
        <f t="shared" si="56"/>
        <v>0.18503321815808144</v>
      </c>
      <c r="U54">
        <f t="shared" si="57"/>
        <v>344.37639930253567</v>
      </c>
      <c r="V54">
        <f t="shared" si="58"/>
        <v>31.03738315497468</v>
      </c>
      <c r="W54">
        <f t="shared" si="59"/>
        <v>29.878699999999998</v>
      </c>
      <c r="X54">
        <f t="shared" si="60"/>
        <v>4.2308556001998436</v>
      </c>
      <c r="Y54">
        <f t="shared" si="61"/>
        <v>65.175414730049525</v>
      </c>
      <c r="Z54">
        <f t="shared" si="62"/>
        <v>2.8168415260176003</v>
      </c>
      <c r="AA54">
        <f t="shared" si="63"/>
        <v>4.3219387827215128</v>
      </c>
      <c r="AB54">
        <f t="shared" si="64"/>
        <v>1.4140140741822433</v>
      </c>
      <c r="AC54">
        <f t="shared" si="65"/>
        <v>-192.41556051368912</v>
      </c>
      <c r="AD54">
        <f t="shared" si="66"/>
        <v>67.115468379276251</v>
      </c>
      <c r="AE54">
        <f t="shared" si="67"/>
        <v>4.4501498604209768</v>
      </c>
      <c r="AF54">
        <f t="shared" si="68"/>
        <v>223.5264570285438</v>
      </c>
      <c r="AG54">
        <v>28</v>
      </c>
      <c r="AH54">
        <v>6</v>
      </c>
      <c r="AI54">
        <f t="shared" si="69"/>
        <v>1</v>
      </c>
      <c r="AJ54">
        <f t="shared" si="70"/>
        <v>0</v>
      </c>
      <c r="AK54">
        <f t="shared" si="71"/>
        <v>51619.25955694302</v>
      </c>
      <c r="AL54" t="s">
        <v>415</v>
      </c>
      <c r="AM54">
        <v>6977.87</v>
      </c>
      <c r="AN54">
        <v>273.15280000000001</v>
      </c>
      <c r="AO54">
        <v>850.46774885301022</v>
      </c>
      <c r="AP54">
        <f t="shared" si="72"/>
        <v>0.67882050745793765</v>
      </c>
      <c r="AQ54">
        <v>-1.0323826813720729</v>
      </c>
      <c r="AR54" t="s">
        <v>582</v>
      </c>
      <c r="AS54">
        <v>7099.54</v>
      </c>
      <c r="AT54">
        <v>507.76700000000011</v>
      </c>
      <c r="AU54">
        <v>638.95442499574165</v>
      </c>
      <c r="AV54">
        <f t="shared" si="73"/>
        <v>0.20531577818968205</v>
      </c>
      <c r="AW54">
        <v>0.5</v>
      </c>
      <c r="AX54">
        <f t="shared" si="74"/>
        <v>1513.2179996512677</v>
      </c>
      <c r="AY54">
        <f t="shared" si="75"/>
        <v>22.805785913257687</v>
      </c>
      <c r="AZ54">
        <f t="shared" si="76"/>
        <v>155.34376558451703</v>
      </c>
      <c r="BA54">
        <f t="shared" si="77"/>
        <v>1.5753294370093034E-2</v>
      </c>
      <c r="BB54">
        <f t="shared" si="78"/>
        <v>0.33103037647587807</v>
      </c>
      <c r="BC54">
        <f t="shared" si="79"/>
        <v>246.90212455559023</v>
      </c>
      <c r="BD54" t="s">
        <v>583</v>
      </c>
      <c r="BE54">
        <v>356.95</v>
      </c>
      <c r="BF54">
        <f t="shared" si="80"/>
        <v>356.95</v>
      </c>
      <c r="BG54">
        <f t="shared" si="81"/>
        <v>0.44135295721227863</v>
      </c>
      <c r="BH54">
        <f t="shared" si="82"/>
        <v>0.46519633512035319</v>
      </c>
      <c r="BI54">
        <f t="shared" si="83"/>
        <v>0.42858301317196573</v>
      </c>
      <c r="BJ54">
        <f t="shared" si="84"/>
        <v>0.35862996780637241</v>
      </c>
      <c r="BK54">
        <f t="shared" si="85"/>
        <v>0.36637423693513577</v>
      </c>
      <c r="BL54">
        <f t="shared" si="86"/>
        <v>0.3270236778309934</v>
      </c>
      <c r="BM54">
        <f t="shared" si="87"/>
        <v>0.6729763221690066</v>
      </c>
      <c r="BN54">
        <v>11406</v>
      </c>
      <c r="BO54">
        <v>290.00000000000011</v>
      </c>
      <c r="BP54">
        <v>602.13</v>
      </c>
      <c r="BQ54">
        <v>275</v>
      </c>
      <c r="BR54">
        <v>7099.54</v>
      </c>
      <c r="BS54">
        <v>603.44000000000005</v>
      </c>
      <c r="BT54">
        <v>-1.31</v>
      </c>
      <c r="BU54">
        <v>300.00000000000011</v>
      </c>
      <c r="BV54">
        <v>38.299999999999997</v>
      </c>
      <c r="BW54">
        <v>638.95442499574165</v>
      </c>
      <c r="BX54">
        <v>1.0362009515143329</v>
      </c>
      <c r="BY54">
        <v>-25.21195267034955</v>
      </c>
      <c r="BZ54">
        <v>0.61660450372037079</v>
      </c>
      <c r="CA54">
        <v>0.98352804309389708</v>
      </c>
      <c r="CB54">
        <v>-6.9997314794215844E-3</v>
      </c>
      <c r="CC54">
        <v>289.99999999999989</v>
      </c>
      <c r="CD54">
        <v>607.37</v>
      </c>
      <c r="CE54">
        <v>755</v>
      </c>
      <c r="CF54">
        <v>7091.82</v>
      </c>
      <c r="CG54">
        <v>603.4</v>
      </c>
      <c r="CH54">
        <v>3.97</v>
      </c>
      <c r="CV54">
        <f t="shared" si="88"/>
        <v>1800.04</v>
      </c>
      <c r="CW54">
        <f t="shared" si="89"/>
        <v>1513.2179996512677</v>
      </c>
      <c r="CX54">
        <f t="shared" si="90"/>
        <v>0.84065798518436685</v>
      </c>
      <c r="CY54">
        <f t="shared" si="91"/>
        <v>0.19131597036873385</v>
      </c>
      <c r="CZ54">
        <v>4.16</v>
      </c>
      <c r="DA54">
        <v>0.5</v>
      </c>
      <c r="DB54" t="s">
        <v>418</v>
      </c>
      <c r="DC54">
        <v>2</v>
      </c>
      <c r="DD54">
        <v>1700243409.5999999</v>
      </c>
      <c r="DE54">
        <v>180.28800000000001</v>
      </c>
      <c r="DF54">
        <v>199.911</v>
      </c>
      <c r="DG54">
        <v>28.509899999999998</v>
      </c>
      <c r="DH54">
        <v>24.984300000000001</v>
      </c>
      <c r="DI54">
        <v>180.29900000000001</v>
      </c>
      <c r="DJ54">
        <v>28.502400000000002</v>
      </c>
      <c r="DK54">
        <v>500.15</v>
      </c>
      <c r="DL54">
        <v>98.702200000000005</v>
      </c>
      <c r="DM54">
        <v>0.100024</v>
      </c>
      <c r="DN54">
        <v>30.249700000000001</v>
      </c>
      <c r="DO54">
        <v>29.878699999999998</v>
      </c>
      <c r="DP54">
        <v>999.9</v>
      </c>
      <c r="DQ54">
        <v>0</v>
      </c>
      <c r="DR54">
        <v>0</v>
      </c>
      <c r="DS54">
        <v>9997.5</v>
      </c>
      <c r="DT54">
        <v>0</v>
      </c>
      <c r="DU54">
        <v>105.996</v>
      </c>
      <c r="DV54">
        <v>-19.623699999999999</v>
      </c>
      <c r="DW54">
        <v>185.57900000000001</v>
      </c>
      <c r="DX54">
        <v>205.03399999999999</v>
      </c>
      <c r="DY54">
        <v>3.5256400000000001</v>
      </c>
      <c r="DZ54">
        <v>199.911</v>
      </c>
      <c r="EA54">
        <v>24.984300000000001</v>
      </c>
      <c r="EB54">
        <v>2.81399</v>
      </c>
      <c r="EC54">
        <v>2.4660000000000002</v>
      </c>
      <c r="ED54">
        <v>22.9664</v>
      </c>
      <c r="EE54">
        <v>20.803799999999999</v>
      </c>
      <c r="EF54">
        <v>1800.04</v>
      </c>
      <c r="EG54">
        <v>0.97800399999999998</v>
      </c>
      <c r="EH54">
        <v>2.1996399999999999E-2</v>
      </c>
      <c r="EI54">
        <v>0</v>
      </c>
      <c r="EJ54">
        <v>507.48200000000003</v>
      </c>
      <c r="EK54">
        <v>5.0005300000000004</v>
      </c>
      <c r="EL54">
        <v>10134.1</v>
      </c>
      <c r="EM54">
        <v>16035.7</v>
      </c>
      <c r="EN54">
        <v>50.436999999999998</v>
      </c>
      <c r="EO54">
        <v>51.625</v>
      </c>
      <c r="EP54">
        <v>51.061999999999998</v>
      </c>
      <c r="EQ54">
        <v>51.061999999999998</v>
      </c>
      <c r="ER54">
        <v>51.436999999999998</v>
      </c>
      <c r="ES54">
        <v>1755.56</v>
      </c>
      <c r="ET54">
        <v>39.479999999999997</v>
      </c>
      <c r="EU54">
        <v>0</v>
      </c>
      <c r="EV54">
        <v>280.19999980926508</v>
      </c>
      <c r="EW54">
        <v>0</v>
      </c>
      <c r="EX54">
        <v>507.76700000000011</v>
      </c>
      <c r="EY54">
        <v>-0.1738119574226675</v>
      </c>
      <c r="EZ54">
        <v>56.871794864232527</v>
      </c>
      <c r="FA54">
        <v>10127.25769230769</v>
      </c>
      <c r="FB54">
        <v>15</v>
      </c>
      <c r="FC54">
        <v>1700243316.0999999</v>
      </c>
      <c r="FD54" t="s">
        <v>584</v>
      </c>
      <c r="FE54">
        <v>1700243313.5999999</v>
      </c>
      <c r="FF54">
        <v>1700243316.0999999</v>
      </c>
      <c r="FG54">
        <v>42</v>
      </c>
      <c r="FH54">
        <v>0.12</v>
      </c>
      <c r="FI54">
        <v>3.0000000000000001E-3</v>
      </c>
      <c r="FJ54">
        <v>-1.2999999999999999E-2</v>
      </c>
      <c r="FK54">
        <v>8.0000000000000002E-3</v>
      </c>
      <c r="FL54">
        <v>200</v>
      </c>
      <c r="FM54">
        <v>25</v>
      </c>
      <c r="FN54">
        <v>0.09</v>
      </c>
      <c r="FO54">
        <v>0.04</v>
      </c>
      <c r="FP54">
        <v>22.813098864479471</v>
      </c>
      <c r="FQ54">
        <v>0.46325595021197602</v>
      </c>
      <c r="FR54">
        <v>5.204932090622183E-2</v>
      </c>
      <c r="FS54">
        <v>1</v>
      </c>
      <c r="FT54">
        <v>0.30422405626599541</v>
      </c>
      <c r="FU54">
        <v>2.9469347222346301E-2</v>
      </c>
      <c r="FV54">
        <v>2.1600942485748638E-3</v>
      </c>
      <c r="FW54">
        <v>1</v>
      </c>
      <c r="FX54">
        <v>2</v>
      </c>
      <c r="FY54">
        <v>2</v>
      </c>
      <c r="FZ54" t="s">
        <v>420</v>
      </c>
      <c r="GA54">
        <v>3.1310199999999999</v>
      </c>
      <c r="GB54">
        <v>2.76688</v>
      </c>
      <c r="GC54">
        <v>4.4983099999999998E-2</v>
      </c>
      <c r="GD54">
        <v>4.9422099999999997E-2</v>
      </c>
      <c r="GE54">
        <v>0.119502</v>
      </c>
      <c r="GF54">
        <v>0.10918899999999999</v>
      </c>
      <c r="GG54">
        <v>22612.5</v>
      </c>
      <c r="GH54">
        <v>23455.5</v>
      </c>
      <c r="GI54">
        <v>23556.5</v>
      </c>
      <c r="GJ54">
        <v>25007.3</v>
      </c>
      <c r="GK54">
        <v>29878.2</v>
      </c>
      <c r="GL54">
        <v>31238.3</v>
      </c>
      <c r="GM54">
        <v>37560.699999999997</v>
      </c>
      <c r="GN54">
        <v>38934.6</v>
      </c>
      <c r="GO54">
        <v>2.0095800000000001</v>
      </c>
      <c r="GP54">
        <v>1.7183999999999999</v>
      </c>
      <c r="GQ54">
        <v>1.5720700000000001E-2</v>
      </c>
      <c r="GR54">
        <v>0</v>
      </c>
      <c r="GS54">
        <v>29.622800000000002</v>
      </c>
      <c r="GT54">
        <v>999.9</v>
      </c>
      <c r="GU54">
        <v>42.3</v>
      </c>
      <c r="GV54">
        <v>39.200000000000003</v>
      </c>
      <c r="GW54">
        <v>30.439299999999999</v>
      </c>
      <c r="GX54">
        <v>60.515700000000002</v>
      </c>
      <c r="GY54">
        <v>26.474399999999999</v>
      </c>
      <c r="GZ54">
        <v>1</v>
      </c>
      <c r="HA54">
        <v>0.83079000000000003</v>
      </c>
      <c r="HB54">
        <v>2.6580300000000001</v>
      </c>
      <c r="HC54">
        <v>20.296900000000001</v>
      </c>
      <c r="HD54">
        <v>5.2523299999999997</v>
      </c>
      <c r="HE54">
        <v>12.0099</v>
      </c>
      <c r="HF54">
        <v>4.9781500000000003</v>
      </c>
      <c r="HG54">
        <v>3.2930000000000001</v>
      </c>
      <c r="HH54">
        <v>9999</v>
      </c>
      <c r="HI54">
        <v>9999</v>
      </c>
      <c r="HJ54">
        <v>9999</v>
      </c>
      <c r="HK54">
        <v>999.9</v>
      </c>
      <c r="HL54">
        <v>1.8760699999999999</v>
      </c>
      <c r="HM54">
        <v>1.8769800000000001</v>
      </c>
      <c r="HN54">
        <v>1.88324</v>
      </c>
      <c r="HO54">
        <v>1.8863399999999999</v>
      </c>
      <c r="HP54">
        <v>1.87714</v>
      </c>
      <c r="HQ54">
        <v>1.8836999999999999</v>
      </c>
      <c r="HR54">
        <v>1.88263</v>
      </c>
      <c r="HS54">
        <v>1.88601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424</v>
      </c>
      <c r="IB54" t="s">
        <v>424</v>
      </c>
      <c r="IC54" t="s">
        <v>423</v>
      </c>
      <c r="ID54">
        <v>0</v>
      </c>
      <c r="IE54">
        <v>100</v>
      </c>
      <c r="IF54">
        <v>100</v>
      </c>
      <c r="IG54">
        <v>-1.0999999999999999E-2</v>
      </c>
      <c r="IH54">
        <v>7.4999999999999997E-3</v>
      </c>
      <c r="II54">
        <v>-1.276692948394988E-2</v>
      </c>
      <c r="IJ54">
        <v>4.4610147972834149E-5</v>
      </c>
      <c r="IK54">
        <v>-2.082673137682459E-7</v>
      </c>
      <c r="IL54">
        <v>-4.0725795306076518E-11</v>
      </c>
      <c r="IM54">
        <v>7.523809523803493E-3</v>
      </c>
      <c r="IN54">
        <v>0</v>
      </c>
      <c r="IO54">
        <v>0</v>
      </c>
      <c r="IP54">
        <v>0</v>
      </c>
      <c r="IQ54">
        <v>3</v>
      </c>
      <c r="IR54">
        <v>2179</v>
      </c>
      <c r="IS54">
        <v>0</v>
      </c>
      <c r="IT54">
        <v>22</v>
      </c>
      <c r="IU54">
        <v>1.6</v>
      </c>
      <c r="IV54">
        <v>1.6</v>
      </c>
      <c r="IW54">
        <v>0.59692400000000001</v>
      </c>
      <c r="IX54">
        <v>2.6892100000000001</v>
      </c>
      <c r="IY54">
        <v>1.6003400000000001</v>
      </c>
      <c r="IZ54">
        <v>2.3290999999999999</v>
      </c>
      <c r="JA54">
        <v>1.5502899999999999</v>
      </c>
      <c r="JB54">
        <v>2.4670399999999999</v>
      </c>
      <c r="JC54">
        <v>43.317599999999999</v>
      </c>
      <c r="JD54">
        <v>24.096299999999999</v>
      </c>
      <c r="JE54">
        <v>18</v>
      </c>
      <c r="JF54">
        <v>540.62800000000004</v>
      </c>
      <c r="JG54">
        <v>383.48599999999999</v>
      </c>
      <c r="JH54">
        <v>27.280999999999999</v>
      </c>
      <c r="JI54">
        <v>37.252200000000002</v>
      </c>
      <c r="JJ54">
        <v>29.9983</v>
      </c>
      <c r="JK54">
        <v>37.358400000000003</v>
      </c>
      <c r="JL54">
        <v>37.357500000000002</v>
      </c>
      <c r="JM54">
        <v>11.922700000000001</v>
      </c>
      <c r="JN54">
        <v>23.654699999999998</v>
      </c>
      <c r="JO54">
        <v>54.139099999999999</v>
      </c>
      <c r="JP54">
        <v>27.302299999999999</v>
      </c>
      <c r="JQ54">
        <v>200</v>
      </c>
      <c r="JR54">
        <v>25.0044</v>
      </c>
      <c r="JS54">
        <v>97.957099999999997</v>
      </c>
      <c r="JT54">
        <v>98.5137</v>
      </c>
    </row>
    <row r="55" spans="1:280" x14ac:dyDescent="0.25">
      <c r="A55">
        <v>39</v>
      </c>
      <c r="B55">
        <v>1700243525.0999999</v>
      </c>
      <c r="C55">
        <v>8287.5999999046326</v>
      </c>
      <c r="D55" t="s">
        <v>585</v>
      </c>
      <c r="E55" t="s">
        <v>586</v>
      </c>
      <c r="F55" t="s">
        <v>412</v>
      </c>
      <c r="G55" t="s">
        <v>543</v>
      </c>
      <c r="H55" t="s">
        <v>544</v>
      </c>
      <c r="I55">
        <v>1700243525.0999999</v>
      </c>
      <c r="J55">
        <f t="shared" si="46"/>
        <v>4.605508495419703E-3</v>
      </c>
      <c r="K55">
        <f t="shared" si="47"/>
        <v>4.605508495419703</v>
      </c>
      <c r="L55">
        <f t="shared" si="48"/>
        <v>14.484942965685232</v>
      </c>
      <c r="M55">
        <f t="shared" si="49"/>
        <v>107.55200000000001</v>
      </c>
      <c r="N55">
        <f t="shared" si="50"/>
        <v>32.368763420849426</v>
      </c>
      <c r="O55">
        <f t="shared" si="51"/>
        <v>3.1980059888433812</v>
      </c>
      <c r="P55">
        <f t="shared" si="52"/>
        <v>10.626045105279999</v>
      </c>
      <c r="Q55">
        <f t="shared" si="53"/>
        <v>0.32980136011982336</v>
      </c>
      <c r="R55">
        <f t="shared" si="54"/>
        <v>3.3542408078756898</v>
      </c>
      <c r="S55">
        <f t="shared" si="55"/>
        <v>0.31278712722316288</v>
      </c>
      <c r="T55">
        <f t="shared" si="56"/>
        <v>0.19694744163357336</v>
      </c>
      <c r="U55">
        <f t="shared" si="57"/>
        <v>344.39409930239395</v>
      </c>
      <c r="V55">
        <f t="shared" si="58"/>
        <v>31.176157085918057</v>
      </c>
      <c r="W55">
        <f t="shared" si="59"/>
        <v>29.985800000000001</v>
      </c>
      <c r="X55">
        <f t="shared" si="60"/>
        <v>4.2569760294780696</v>
      </c>
      <c r="Y55">
        <f t="shared" si="61"/>
        <v>65.319463044747124</v>
      </c>
      <c r="Z55">
        <f t="shared" si="62"/>
        <v>2.8546035520199999</v>
      </c>
      <c r="AA55">
        <f t="shared" si="63"/>
        <v>4.3702189500003286</v>
      </c>
      <c r="AB55">
        <f t="shared" si="64"/>
        <v>1.4023724774580697</v>
      </c>
      <c r="AC55">
        <f t="shared" si="65"/>
        <v>-203.10292464800889</v>
      </c>
      <c r="AD55">
        <f t="shared" si="66"/>
        <v>82.785727572773894</v>
      </c>
      <c r="AE55">
        <f t="shared" si="67"/>
        <v>5.499503007229106</v>
      </c>
      <c r="AF55">
        <f t="shared" si="68"/>
        <v>229.57640523438806</v>
      </c>
      <c r="AG55">
        <v>28</v>
      </c>
      <c r="AH55">
        <v>6</v>
      </c>
      <c r="AI55">
        <f t="shared" si="69"/>
        <v>1</v>
      </c>
      <c r="AJ55">
        <f t="shared" si="70"/>
        <v>0</v>
      </c>
      <c r="AK55">
        <f t="shared" si="71"/>
        <v>51556.78585748258</v>
      </c>
      <c r="AL55" t="s">
        <v>427</v>
      </c>
      <c r="AM55" t="s">
        <v>427</v>
      </c>
      <c r="AN55">
        <v>0</v>
      </c>
      <c r="AO55">
        <v>0</v>
      </c>
      <c r="AP55" t="e">
        <f t="shared" si="72"/>
        <v>#DIV/0!</v>
      </c>
      <c r="AQ55">
        <v>0</v>
      </c>
      <c r="AR55" t="s">
        <v>427</v>
      </c>
      <c r="AS55" t="s">
        <v>427</v>
      </c>
      <c r="AT55">
        <v>0</v>
      </c>
      <c r="AU55">
        <v>0</v>
      </c>
      <c r="AV55" t="e">
        <f t="shared" si="73"/>
        <v>#DIV/0!</v>
      </c>
      <c r="AW55">
        <v>0.5</v>
      </c>
      <c r="AX55">
        <f t="shared" si="74"/>
        <v>1513.2938996511969</v>
      </c>
      <c r="AY55">
        <f t="shared" si="75"/>
        <v>14.484942965685232</v>
      </c>
      <c r="AZ55" t="e">
        <f t="shared" si="76"/>
        <v>#DIV/0!</v>
      </c>
      <c r="BA55">
        <f t="shared" si="77"/>
        <v>9.5717976323197399E-3</v>
      </c>
      <c r="BB55" t="e">
        <f t="shared" si="78"/>
        <v>#DIV/0!</v>
      </c>
      <c r="BC55" t="e">
        <f t="shared" si="79"/>
        <v>#DIV/0!</v>
      </c>
      <c r="BD55" t="s">
        <v>427</v>
      </c>
      <c r="BE55">
        <v>0</v>
      </c>
      <c r="BF55" t="e">
        <f t="shared" si="80"/>
        <v>#DIV/0!</v>
      </c>
      <c r="BG55" t="e">
        <f t="shared" si="81"/>
        <v>#DIV/0!</v>
      </c>
      <c r="BH55" t="e">
        <f t="shared" si="82"/>
        <v>#DIV/0!</v>
      </c>
      <c r="BI55" t="e">
        <f t="shared" si="83"/>
        <v>#DIV/0!</v>
      </c>
      <c r="BJ55" t="e">
        <f t="shared" si="84"/>
        <v>#DIV/0!</v>
      </c>
      <c r="BK55" t="e">
        <f t="shared" si="85"/>
        <v>#DIV/0!</v>
      </c>
      <c r="BL55" t="e">
        <f t="shared" si="86"/>
        <v>#DIV/0!</v>
      </c>
      <c r="BM55" t="e">
        <f t="shared" si="87"/>
        <v>#DIV/0!</v>
      </c>
      <c r="BN55">
        <v>11406</v>
      </c>
      <c r="BO55">
        <v>290.00000000000011</v>
      </c>
      <c r="BP55">
        <v>602.13</v>
      </c>
      <c r="BQ55">
        <v>275</v>
      </c>
      <c r="BR55">
        <v>7099.54</v>
      </c>
      <c r="BS55">
        <v>603.44000000000005</v>
      </c>
      <c r="BT55">
        <v>-1.31</v>
      </c>
      <c r="BU55">
        <v>300.00000000000011</v>
      </c>
      <c r="BV55">
        <v>38.299999999999997</v>
      </c>
      <c r="BW55">
        <v>638.95442499574165</v>
      </c>
      <c r="BX55">
        <v>1.0362009515143329</v>
      </c>
      <c r="BY55">
        <v>-25.21195267034955</v>
      </c>
      <c r="BZ55">
        <v>0.61660450372037079</v>
      </c>
      <c r="CA55">
        <v>0.98352804309389708</v>
      </c>
      <c r="CB55">
        <v>-6.9997314794215844E-3</v>
      </c>
      <c r="CC55">
        <v>289.99999999999989</v>
      </c>
      <c r="CD55">
        <v>607.37</v>
      </c>
      <c r="CE55">
        <v>755</v>
      </c>
      <c r="CF55">
        <v>7091.82</v>
      </c>
      <c r="CG55">
        <v>603.4</v>
      </c>
      <c r="CH55">
        <v>3.97</v>
      </c>
      <c r="CV55">
        <f t="shared" si="88"/>
        <v>1800.13</v>
      </c>
      <c r="CW55">
        <f t="shared" si="89"/>
        <v>1513.2938996511969</v>
      </c>
      <c r="CX55">
        <f t="shared" si="90"/>
        <v>0.84065811894207465</v>
      </c>
      <c r="CY55">
        <f t="shared" si="91"/>
        <v>0.19131623788414945</v>
      </c>
      <c r="CZ55">
        <v>4.16</v>
      </c>
      <c r="DA55">
        <v>0.5</v>
      </c>
      <c r="DB55" t="s">
        <v>418</v>
      </c>
      <c r="DC55">
        <v>2</v>
      </c>
      <c r="DD55">
        <v>1700243525.0999999</v>
      </c>
      <c r="DE55">
        <v>107.55200000000001</v>
      </c>
      <c r="DF55">
        <v>120.012</v>
      </c>
      <c r="DG55">
        <v>28.893000000000001</v>
      </c>
      <c r="DH55">
        <v>25.172999999999998</v>
      </c>
      <c r="DI55">
        <v>107.51600000000001</v>
      </c>
      <c r="DJ55">
        <v>28.885899999999999</v>
      </c>
      <c r="DK55">
        <v>500.14400000000001</v>
      </c>
      <c r="DL55">
        <v>98.698999999999998</v>
      </c>
      <c r="DM55">
        <v>0.10014000000000001</v>
      </c>
      <c r="DN55">
        <v>30.4436</v>
      </c>
      <c r="DO55">
        <v>29.985800000000001</v>
      </c>
      <c r="DP55">
        <v>999.9</v>
      </c>
      <c r="DQ55">
        <v>0</v>
      </c>
      <c r="DR55">
        <v>0</v>
      </c>
      <c r="DS55">
        <v>9991.8799999999992</v>
      </c>
      <c r="DT55">
        <v>0</v>
      </c>
      <c r="DU55">
        <v>143.536</v>
      </c>
      <c r="DV55">
        <v>-12.4598</v>
      </c>
      <c r="DW55">
        <v>110.752</v>
      </c>
      <c r="DX55">
        <v>123.111</v>
      </c>
      <c r="DY55">
        <v>3.7200099999999998</v>
      </c>
      <c r="DZ55">
        <v>120.012</v>
      </c>
      <c r="EA55">
        <v>25.172999999999998</v>
      </c>
      <c r="EB55">
        <v>2.8517100000000002</v>
      </c>
      <c r="EC55">
        <v>2.48455</v>
      </c>
      <c r="ED55">
        <v>23.186499999999999</v>
      </c>
      <c r="EE55">
        <v>20.925599999999999</v>
      </c>
      <c r="EF55">
        <v>1800.13</v>
      </c>
      <c r="EG55">
        <v>0.97799999999999998</v>
      </c>
      <c r="EH55">
        <v>2.1999999999999999E-2</v>
      </c>
      <c r="EI55">
        <v>0</v>
      </c>
      <c r="EJ55">
        <v>526.74099999999999</v>
      </c>
      <c r="EK55">
        <v>5.0005300000000004</v>
      </c>
      <c r="EL55">
        <v>10630.4</v>
      </c>
      <c r="EM55">
        <v>16036.4</v>
      </c>
      <c r="EN55">
        <v>50.125</v>
      </c>
      <c r="EO55">
        <v>51.25</v>
      </c>
      <c r="EP55">
        <v>50.75</v>
      </c>
      <c r="EQ55">
        <v>50.75</v>
      </c>
      <c r="ER55">
        <v>51.186999999999998</v>
      </c>
      <c r="ES55">
        <v>1755.64</v>
      </c>
      <c r="ET55">
        <v>39.49</v>
      </c>
      <c r="EU55">
        <v>0</v>
      </c>
      <c r="EV55">
        <v>113.3999998569489</v>
      </c>
      <c r="EW55">
        <v>0</v>
      </c>
      <c r="EX55">
        <v>526.75784615384623</v>
      </c>
      <c r="EY55">
        <v>-0.36656408007459451</v>
      </c>
      <c r="EZ55">
        <v>-2.013675256814512</v>
      </c>
      <c r="FA55">
        <v>10628.573076923079</v>
      </c>
      <c r="FB55">
        <v>15</v>
      </c>
      <c r="FC55">
        <v>1700243482.5999999</v>
      </c>
      <c r="FD55" t="s">
        <v>587</v>
      </c>
      <c r="FE55">
        <v>1700243478.0999999</v>
      </c>
      <c r="FF55">
        <v>1700243482.5999999</v>
      </c>
      <c r="FG55">
        <v>43</v>
      </c>
      <c r="FH55">
        <v>4.5999999999999999E-2</v>
      </c>
      <c r="FI55">
        <v>0</v>
      </c>
      <c r="FJ55">
        <v>3.5999999999999997E-2</v>
      </c>
      <c r="FK55">
        <v>7.0000000000000001E-3</v>
      </c>
      <c r="FL55">
        <v>120</v>
      </c>
      <c r="FM55">
        <v>25</v>
      </c>
      <c r="FN55">
        <v>0.14000000000000001</v>
      </c>
      <c r="FO55">
        <v>0.02</v>
      </c>
      <c r="FP55">
        <v>14.41598923221397</v>
      </c>
      <c r="FQ55">
        <v>0.65324856273061549</v>
      </c>
      <c r="FR55">
        <v>6.1324204418161499E-2</v>
      </c>
      <c r="FS55">
        <v>1</v>
      </c>
      <c r="FT55">
        <v>0.32799793828927942</v>
      </c>
      <c r="FU55">
        <v>1.893352617990457E-2</v>
      </c>
      <c r="FV55">
        <v>1.6528270114418921E-3</v>
      </c>
      <c r="FW55">
        <v>1</v>
      </c>
      <c r="FX55">
        <v>2</v>
      </c>
      <c r="FY55">
        <v>2</v>
      </c>
      <c r="FZ55" t="s">
        <v>420</v>
      </c>
      <c r="GA55">
        <v>3.13015</v>
      </c>
      <c r="GB55">
        <v>2.76695</v>
      </c>
      <c r="GC55">
        <v>2.7822699999999999E-2</v>
      </c>
      <c r="GD55">
        <v>3.0948900000000001E-2</v>
      </c>
      <c r="GE55">
        <v>0.12067</v>
      </c>
      <c r="GF55">
        <v>0.10982</v>
      </c>
      <c r="GG55">
        <v>23036.7</v>
      </c>
      <c r="GH55">
        <v>23931.599999999999</v>
      </c>
      <c r="GI55">
        <v>23574.6</v>
      </c>
      <c r="GJ55">
        <v>25027.9</v>
      </c>
      <c r="GK55">
        <v>29860.7</v>
      </c>
      <c r="GL55">
        <v>31240.9</v>
      </c>
      <c r="GM55">
        <v>37588.199999999997</v>
      </c>
      <c r="GN55">
        <v>38965.1</v>
      </c>
      <c r="GO55">
        <v>2.01172</v>
      </c>
      <c r="GP55">
        <v>1.7239</v>
      </c>
      <c r="GQ55">
        <v>3.3110399999999998E-2</v>
      </c>
      <c r="GR55">
        <v>0</v>
      </c>
      <c r="GS55">
        <v>29.4468</v>
      </c>
      <c r="GT55">
        <v>999.9</v>
      </c>
      <c r="GU55">
        <v>42.1</v>
      </c>
      <c r="GV55">
        <v>39.200000000000003</v>
      </c>
      <c r="GW55">
        <v>30.295100000000001</v>
      </c>
      <c r="GX55">
        <v>60.675699999999999</v>
      </c>
      <c r="GY55">
        <v>26.410299999999999</v>
      </c>
      <c r="GZ55">
        <v>1</v>
      </c>
      <c r="HA55">
        <v>0.80036300000000005</v>
      </c>
      <c r="HB55">
        <v>2.9090199999999999</v>
      </c>
      <c r="HC55">
        <v>20.293299999999999</v>
      </c>
      <c r="HD55">
        <v>5.2512800000000004</v>
      </c>
      <c r="HE55">
        <v>12.0099</v>
      </c>
      <c r="HF55">
        <v>4.9779</v>
      </c>
      <c r="HG55">
        <v>3.2930000000000001</v>
      </c>
      <c r="HH55">
        <v>9999</v>
      </c>
      <c r="HI55">
        <v>9999</v>
      </c>
      <c r="HJ55">
        <v>9999</v>
      </c>
      <c r="HK55">
        <v>999.9</v>
      </c>
      <c r="HL55">
        <v>1.8761099999999999</v>
      </c>
      <c r="HM55">
        <v>1.8769800000000001</v>
      </c>
      <c r="HN55">
        <v>1.88324</v>
      </c>
      <c r="HO55">
        <v>1.88632</v>
      </c>
      <c r="HP55">
        <v>1.87714</v>
      </c>
      <c r="HQ55">
        <v>1.8836999999999999</v>
      </c>
      <c r="HR55">
        <v>1.88262</v>
      </c>
      <c r="HS55">
        <v>1.8859999999999999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424</v>
      </c>
      <c r="IB55" t="s">
        <v>424</v>
      </c>
      <c r="IC55" t="s">
        <v>423</v>
      </c>
      <c r="ID55">
        <v>0</v>
      </c>
      <c r="IE55">
        <v>100</v>
      </c>
      <c r="IF55">
        <v>100</v>
      </c>
      <c r="IG55">
        <v>3.5999999999999997E-2</v>
      </c>
      <c r="IH55">
        <v>7.1000000000000004E-3</v>
      </c>
      <c r="II55">
        <v>3.3715798792311111E-2</v>
      </c>
      <c r="IJ55">
        <v>4.4610147972834149E-5</v>
      </c>
      <c r="IK55">
        <v>-2.082673137682459E-7</v>
      </c>
      <c r="IL55">
        <v>-4.0725795306076518E-11</v>
      </c>
      <c r="IM55">
        <v>7.0428571428529096E-3</v>
      </c>
      <c r="IN55">
        <v>0</v>
      </c>
      <c r="IO55">
        <v>0</v>
      </c>
      <c r="IP55">
        <v>0</v>
      </c>
      <c r="IQ55">
        <v>3</v>
      </c>
      <c r="IR55">
        <v>2179</v>
      </c>
      <c r="IS55">
        <v>0</v>
      </c>
      <c r="IT55">
        <v>22</v>
      </c>
      <c r="IU55">
        <v>0.8</v>
      </c>
      <c r="IV55">
        <v>0.7</v>
      </c>
      <c r="IW55">
        <v>0.41748000000000002</v>
      </c>
      <c r="IX55">
        <v>2.7111800000000001</v>
      </c>
      <c r="IY55">
        <v>1.6015600000000001</v>
      </c>
      <c r="IZ55">
        <v>2.3278799999999999</v>
      </c>
      <c r="JA55">
        <v>1.5502899999999999</v>
      </c>
      <c r="JB55">
        <v>2.3791500000000001</v>
      </c>
      <c r="JC55">
        <v>43.236199999999997</v>
      </c>
      <c r="JD55">
        <v>24.087499999999999</v>
      </c>
      <c r="JE55">
        <v>18</v>
      </c>
      <c r="JF55">
        <v>540.29999999999995</v>
      </c>
      <c r="JG55">
        <v>385.59800000000001</v>
      </c>
      <c r="JH55">
        <v>27.3797</v>
      </c>
      <c r="JI55">
        <v>36.939300000000003</v>
      </c>
      <c r="JJ55">
        <v>29.9985</v>
      </c>
      <c r="JK55">
        <v>37.126800000000003</v>
      </c>
      <c r="JL55">
        <v>37.132599999999996</v>
      </c>
      <c r="JM55">
        <v>8.3344500000000004</v>
      </c>
      <c r="JN55">
        <v>22.422699999999999</v>
      </c>
      <c r="JO55">
        <v>54.080599999999997</v>
      </c>
      <c r="JP55">
        <v>27.391999999999999</v>
      </c>
      <c r="JQ55">
        <v>120</v>
      </c>
      <c r="JR55">
        <v>25.117999999999999</v>
      </c>
      <c r="JS55">
        <v>98.030199999999994</v>
      </c>
      <c r="JT55">
        <v>98.592399999999998</v>
      </c>
    </row>
    <row r="56" spans="1:280" x14ac:dyDescent="0.25">
      <c r="A56">
        <v>40</v>
      </c>
      <c r="B56">
        <v>1700243616</v>
      </c>
      <c r="C56">
        <v>8378.5</v>
      </c>
      <c r="D56" t="s">
        <v>588</v>
      </c>
      <c r="E56" t="s">
        <v>589</v>
      </c>
      <c r="F56" t="s">
        <v>412</v>
      </c>
      <c r="G56" t="s">
        <v>543</v>
      </c>
      <c r="H56" t="s">
        <v>544</v>
      </c>
      <c r="I56">
        <v>1700243616</v>
      </c>
      <c r="J56">
        <f t="shared" si="46"/>
        <v>5.3902953142909906E-3</v>
      </c>
      <c r="K56">
        <f t="shared" si="47"/>
        <v>5.3902953142909906</v>
      </c>
      <c r="L56">
        <f t="shared" si="48"/>
        <v>9.2601772195381962</v>
      </c>
      <c r="M56">
        <f t="shared" si="49"/>
        <v>62.013300000000001</v>
      </c>
      <c r="N56">
        <f t="shared" si="50"/>
        <v>21.320341642231369</v>
      </c>
      <c r="O56">
        <f t="shared" si="51"/>
        <v>2.1062985077488494</v>
      </c>
      <c r="P56">
        <f t="shared" si="52"/>
        <v>6.1264741176497992</v>
      </c>
      <c r="Q56">
        <f t="shared" si="53"/>
        <v>0.39366773352811468</v>
      </c>
      <c r="R56">
        <f t="shared" si="54"/>
        <v>3.3532789617741678</v>
      </c>
      <c r="S56">
        <f t="shared" si="55"/>
        <v>0.36967660903635396</v>
      </c>
      <c r="T56">
        <f t="shared" si="56"/>
        <v>0.23308144876522435</v>
      </c>
      <c r="U56">
        <f t="shared" si="57"/>
        <v>344.34719930212037</v>
      </c>
      <c r="V56">
        <f t="shared" si="58"/>
        <v>31.110384788591631</v>
      </c>
      <c r="W56">
        <f t="shared" si="59"/>
        <v>29.953199999999999</v>
      </c>
      <c r="X56">
        <f t="shared" si="60"/>
        <v>4.2490104353592519</v>
      </c>
      <c r="Y56">
        <f t="shared" si="61"/>
        <v>65.025663549516963</v>
      </c>
      <c r="Z56">
        <f t="shared" si="62"/>
        <v>2.8603312488367996</v>
      </c>
      <c r="AA56">
        <f t="shared" si="63"/>
        <v>4.3987728732036091</v>
      </c>
      <c r="AB56">
        <f t="shared" si="64"/>
        <v>1.3886791865224524</v>
      </c>
      <c r="AC56">
        <f t="shared" si="65"/>
        <v>-237.71202336023268</v>
      </c>
      <c r="AD56">
        <f t="shared" si="66"/>
        <v>109.22846952892787</v>
      </c>
      <c r="AE56">
        <f t="shared" si="67"/>
        <v>7.2611097729747325</v>
      </c>
      <c r="AF56">
        <f t="shared" si="68"/>
        <v>223.12475524379033</v>
      </c>
      <c r="AG56">
        <v>28</v>
      </c>
      <c r="AH56">
        <v>6</v>
      </c>
      <c r="AI56">
        <f t="shared" si="69"/>
        <v>1</v>
      </c>
      <c r="AJ56">
        <f t="shared" si="70"/>
        <v>0</v>
      </c>
      <c r="AK56">
        <f t="shared" si="71"/>
        <v>51515.667798759947</v>
      </c>
      <c r="AL56" t="s">
        <v>415</v>
      </c>
      <c r="AM56">
        <v>6977.87</v>
      </c>
      <c r="AN56">
        <v>273.15280000000001</v>
      </c>
      <c r="AO56">
        <v>850.46774885301022</v>
      </c>
      <c r="AP56">
        <f t="shared" si="72"/>
        <v>0.67882050745793765</v>
      </c>
      <c r="AQ56">
        <v>-1.0323826813720729</v>
      </c>
      <c r="AR56" t="s">
        <v>590</v>
      </c>
      <c r="AS56">
        <v>7102.04</v>
      </c>
      <c r="AT56">
        <v>541.89980769230772</v>
      </c>
      <c r="AU56">
        <v>616.18727989147851</v>
      </c>
      <c r="AV56">
        <f t="shared" si="73"/>
        <v>0.12055989246038012</v>
      </c>
      <c r="AW56">
        <v>0.5</v>
      </c>
      <c r="AX56">
        <f t="shared" si="74"/>
        <v>1513.0841996510601</v>
      </c>
      <c r="AY56">
        <f t="shared" si="75"/>
        <v>9.2601772195381962</v>
      </c>
      <c r="AZ56">
        <f t="shared" si="76"/>
        <v>91.208634196716062</v>
      </c>
      <c r="BA56">
        <f t="shared" si="77"/>
        <v>6.8023708814644208E-3</v>
      </c>
      <c r="BB56">
        <f t="shared" si="78"/>
        <v>0.38020984302498528</v>
      </c>
      <c r="BC56">
        <f t="shared" si="79"/>
        <v>243.42661212323867</v>
      </c>
      <c r="BD56" t="s">
        <v>591</v>
      </c>
      <c r="BE56">
        <v>372.36</v>
      </c>
      <c r="BF56">
        <f t="shared" si="80"/>
        <v>372.36</v>
      </c>
      <c r="BG56">
        <f t="shared" si="81"/>
        <v>0.39570320233553147</v>
      </c>
      <c r="BH56">
        <f t="shared" si="82"/>
        <v>0.30467252159903646</v>
      </c>
      <c r="BI56">
        <f t="shared" si="83"/>
        <v>0.49001604664131698</v>
      </c>
      <c r="BJ56">
        <f t="shared" si="84"/>
        <v>0.21655978204486087</v>
      </c>
      <c r="BK56">
        <f t="shared" si="85"/>
        <v>0.40581050157629245</v>
      </c>
      <c r="BL56">
        <f t="shared" si="86"/>
        <v>0.20935209522538387</v>
      </c>
      <c r="BM56">
        <f t="shared" si="87"/>
        <v>0.79064790477461611</v>
      </c>
      <c r="BN56">
        <v>11408</v>
      </c>
      <c r="BO56">
        <v>290.00000000000011</v>
      </c>
      <c r="BP56">
        <v>594.76</v>
      </c>
      <c r="BQ56">
        <v>295</v>
      </c>
      <c r="BR56">
        <v>7102.04</v>
      </c>
      <c r="BS56">
        <v>595.47</v>
      </c>
      <c r="BT56">
        <v>-0.71</v>
      </c>
      <c r="BU56">
        <v>300.00000000000011</v>
      </c>
      <c r="BV56">
        <v>38.299999999999997</v>
      </c>
      <c r="BW56">
        <v>616.18727989147851</v>
      </c>
      <c r="BX56">
        <v>1.0776678426742541</v>
      </c>
      <c r="BY56">
        <v>-14.710734598281521</v>
      </c>
      <c r="BZ56">
        <v>0.64154968623949815</v>
      </c>
      <c r="CA56">
        <v>0.94943885443358567</v>
      </c>
      <c r="CB56">
        <v>-7.0026075639599613E-3</v>
      </c>
      <c r="CC56">
        <v>289.99999999999989</v>
      </c>
      <c r="CD56">
        <v>596.17999999999995</v>
      </c>
      <c r="CE56">
        <v>685</v>
      </c>
      <c r="CF56">
        <v>7096.72</v>
      </c>
      <c r="CG56">
        <v>595.46</v>
      </c>
      <c r="CH56">
        <v>0.72</v>
      </c>
      <c r="CV56">
        <f t="shared" si="88"/>
        <v>1799.88</v>
      </c>
      <c r="CW56">
        <f t="shared" si="89"/>
        <v>1513.0841996510601</v>
      </c>
      <c r="CX56">
        <f t="shared" si="90"/>
        <v>0.84065837703127988</v>
      </c>
      <c r="CY56">
        <f t="shared" si="91"/>
        <v>0.19131675406255993</v>
      </c>
      <c r="CZ56">
        <v>4.16</v>
      </c>
      <c r="DA56">
        <v>0.5</v>
      </c>
      <c r="DB56" t="s">
        <v>418</v>
      </c>
      <c r="DC56">
        <v>2</v>
      </c>
      <c r="DD56">
        <v>1700243616</v>
      </c>
      <c r="DE56">
        <v>62.013300000000001</v>
      </c>
      <c r="DF56">
        <v>69.992800000000003</v>
      </c>
      <c r="DG56">
        <v>28.9528</v>
      </c>
      <c r="DH56">
        <v>24.599599999999999</v>
      </c>
      <c r="DI56">
        <v>61.927300000000002</v>
      </c>
      <c r="DJ56">
        <v>28.944800000000001</v>
      </c>
      <c r="DK56">
        <v>500.19299999999998</v>
      </c>
      <c r="DL56">
        <v>98.692899999999995</v>
      </c>
      <c r="DM56">
        <v>0.100006</v>
      </c>
      <c r="DN56">
        <v>30.557400000000001</v>
      </c>
      <c r="DO56">
        <v>29.953199999999999</v>
      </c>
      <c r="DP56">
        <v>999.9</v>
      </c>
      <c r="DQ56">
        <v>0</v>
      </c>
      <c r="DR56">
        <v>0</v>
      </c>
      <c r="DS56">
        <v>9988.1200000000008</v>
      </c>
      <c r="DT56">
        <v>0</v>
      </c>
      <c r="DU56">
        <v>154.00299999999999</v>
      </c>
      <c r="DV56">
        <v>-8.0298499999999997</v>
      </c>
      <c r="DW56">
        <v>63.810400000000001</v>
      </c>
      <c r="DX56">
        <v>71.757999999999996</v>
      </c>
      <c r="DY56">
        <v>4.3522800000000004</v>
      </c>
      <c r="DZ56">
        <v>69.992800000000003</v>
      </c>
      <c r="EA56">
        <v>24.599599999999999</v>
      </c>
      <c r="EB56">
        <v>2.8573499999999998</v>
      </c>
      <c r="EC56">
        <v>2.42781</v>
      </c>
      <c r="ED56">
        <v>23.219200000000001</v>
      </c>
      <c r="EE56">
        <v>20.5504</v>
      </c>
      <c r="EF56">
        <v>1799.88</v>
      </c>
      <c r="EG56">
        <v>0.977993</v>
      </c>
      <c r="EH56">
        <v>2.2007200000000001E-2</v>
      </c>
      <c r="EI56">
        <v>0</v>
      </c>
      <c r="EJ56">
        <v>541.81399999999996</v>
      </c>
      <c r="EK56">
        <v>5.0005300000000004</v>
      </c>
      <c r="EL56">
        <v>10930</v>
      </c>
      <c r="EM56">
        <v>16034.2</v>
      </c>
      <c r="EN56">
        <v>49.875</v>
      </c>
      <c r="EO56">
        <v>50.936999999999998</v>
      </c>
      <c r="EP56">
        <v>50.5</v>
      </c>
      <c r="EQ56">
        <v>50.5</v>
      </c>
      <c r="ER56">
        <v>50.936999999999998</v>
      </c>
      <c r="ES56">
        <v>1755.38</v>
      </c>
      <c r="ET56">
        <v>39.5</v>
      </c>
      <c r="EU56">
        <v>0</v>
      </c>
      <c r="EV56">
        <v>204.5999999046326</v>
      </c>
      <c r="EW56">
        <v>0</v>
      </c>
      <c r="EX56">
        <v>541.89980769230772</v>
      </c>
      <c r="EY56">
        <v>-1.40461538337901</v>
      </c>
      <c r="EZ56">
        <v>7.2547007334245839</v>
      </c>
      <c r="FA56">
        <v>10929.123076923081</v>
      </c>
      <c r="FB56">
        <v>15</v>
      </c>
      <c r="FC56">
        <v>1700243647</v>
      </c>
      <c r="FD56" t="s">
        <v>592</v>
      </c>
      <c r="FE56">
        <v>1700243634.5</v>
      </c>
      <c r="FF56">
        <v>1700243647</v>
      </c>
      <c r="FG56">
        <v>44</v>
      </c>
      <c r="FH56">
        <v>0.05</v>
      </c>
      <c r="FI56">
        <v>1E-3</v>
      </c>
      <c r="FJ56">
        <v>8.5999999999999993E-2</v>
      </c>
      <c r="FK56">
        <v>8.0000000000000002E-3</v>
      </c>
      <c r="FL56">
        <v>70</v>
      </c>
      <c r="FM56">
        <v>25</v>
      </c>
      <c r="FN56">
        <v>0.23</v>
      </c>
      <c r="FO56">
        <v>0.02</v>
      </c>
      <c r="FP56">
        <v>9.2371863016072169</v>
      </c>
      <c r="FQ56">
        <v>0.45979476738152669</v>
      </c>
      <c r="FR56">
        <v>4.673754367563053E-2</v>
      </c>
      <c r="FS56">
        <v>1</v>
      </c>
      <c r="FT56">
        <v>0.3883105113276667</v>
      </c>
      <c r="FU56">
        <v>2.202451842600197E-2</v>
      </c>
      <c r="FV56">
        <v>1.832917733100808E-3</v>
      </c>
      <c r="FW56">
        <v>1</v>
      </c>
      <c r="FX56">
        <v>2</v>
      </c>
      <c r="FY56">
        <v>2</v>
      </c>
      <c r="FZ56" t="s">
        <v>420</v>
      </c>
      <c r="GA56">
        <v>3.1294900000000001</v>
      </c>
      <c r="GB56">
        <v>2.7667700000000002</v>
      </c>
      <c r="GC56">
        <v>1.6290200000000001E-2</v>
      </c>
      <c r="GD56">
        <v>1.8400699999999999E-2</v>
      </c>
      <c r="GE56">
        <v>0.120894</v>
      </c>
      <c r="GF56">
        <v>0.10810500000000001</v>
      </c>
      <c r="GG56">
        <v>23325.8</v>
      </c>
      <c r="GH56">
        <v>24259.1</v>
      </c>
      <c r="GI56">
        <v>23590.3</v>
      </c>
      <c r="GJ56">
        <v>25045.5</v>
      </c>
      <c r="GK56">
        <v>29873</v>
      </c>
      <c r="GL56">
        <v>31323</v>
      </c>
      <c r="GM56">
        <v>37613</v>
      </c>
      <c r="GN56">
        <v>38991.9</v>
      </c>
      <c r="GO56">
        <v>2.0151300000000001</v>
      </c>
      <c r="GP56">
        <v>1.7278500000000001</v>
      </c>
      <c r="GQ56">
        <v>3.4056599999999999E-2</v>
      </c>
      <c r="GR56">
        <v>0</v>
      </c>
      <c r="GS56">
        <v>29.398599999999998</v>
      </c>
      <c r="GT56">
        <v>999.9</v>
      </c>
      <c r="GU56">
        <v>42</v>
      </c>
      <c r="GV56">
        <v>39.1</v>
      </c>
      <c r="GW56">
        <v>30.062799999999999</v>
      </c>
      <c r="GX56">
        <v>60.485700000000001</v>
      </c>
      <c r="GY56">
        <v>26.25</v>
      </c>
      <c r="GZ56">
        <v>1</v>
      </c>
      <c r="HA56">
        <v>0.76950499999999999</v>
      </c>
      <c r="HB56">
        <v>1.77275</v>
      </c>
      <c r="HC56">
        <v>20.308800000000002</v>
      </c>
      <c r="HD56">
        <v>5.2523299999999997</v>
      </c>
      <c r="HE56">
        <v>12.0099</v>
      </c>
      <c r="HF56">
        <v>4.9780499999999996</v>
      </c>
      <c r="HG56">
        <v>3.2930000000000001</v>
      </c>
      <c r="HH56">
        <v>9999</v>
      </c>
      <c r="HI56">
        <v>9999</v>
      </c>
      <c r="HJ56">
        <v>9999</v>
      </c>
      <c r="HK56">
        <v>999.9</v>
      </c>
      <c r="HL56">
        <v>1.8760699999999999</v>
      </c>
      <c r="HM56">
        <v>1.8769800000000001</v>
      </c>
      <c r="HN56">
        <v>1.88324</v>
      </c>
      <c r="HO56">
        <v>1.88632</v>
      </c>
      <c r="HP56">
        <v>1.87714</v>
      </c>
      <c r="HQ56">
        <v>1.8836999999999999</v>
      </c>
      <c r="HR56">
        <v>1.88263</v>
      </c>
      <c r="HS56">
        <v>1.8859999999999999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424</v>
      </c>
      <c r="IB56" t="s">
        <v>424</v>
      </c>
      <c r="IC56" t="s">
        <v>423</v>
      </c>
      <c r="ID56">
        <v>0</v>
      </c>
      <c r="IE56">
        <v>100</v>
      </c>
      <c r="IF56">
        <v>100</v>
      </c>
      <c r="IG56">
        <v>8.5999999999999993E-2</v>
      </c>
      <c r="IH56">
        <v>8.0000000000000002E-3</v>
      </c>
      <c r="II56">
        <v>3.3715798792311111E-2</v>
      </c>
      <c r="IJ56">
        <v>4.4610147972834149E-5</v>
      </c>
      <c r="IK56">
        <v>-2.082673137682459E-7</v>
      </c>
      <c r="IL56">
        <v>-4.0725795306076518E-11</v>
      </c>
      <c r="IM56">
        <v>7.0428571428529096E-3</v>
      </c>
      <c r="IN56">
        <v>0</v>
      </c>
      <c r="IO56">
        <v>0</v>
      </c>
      <c r="IP56">
        <v>0</v>
      </c>
      <c r="IQ56">
        <v>3</v>
      </c>
      <c r="IR56">
        <v>2179</v>
      </c>
      <c r="IS56">
        <v>0</v>
      </c>
      <c r="IT56">
        <v>22</v>
      </c>
      <c r="IU56">
        <v>2.2999999999999998</v>
      </c>
      <c r="IV56">
        <v>2.2000000000000002</v>
      </c>
      <c r="IW56">
        <v>0.305176</v>
      </c>
      <c r="IX56">
        <v>2.7111800000000001</v>
      </c>
      <c r="IY56">
        <v>1.6015600000000001</v>
      </c>
      <c r="IZ56">
        <v>2.3278799999999999</v>
      </c>
      <c r="JA56">
        <v>1.5502899999999999</v>
      </c>
      <c r="JB56">
        <v>2.51709</v>
      </c>
      <c r="JC56">
        <v>43.127899999999997</v>
      </c>
      <c r="JD56">
        <v>24.105</v>
      </c>
      <c r="JE56">
        <v>18</v>
      </c>
      <c r="JF56">
        <v>540.86199999999997</v>
      </c>
      <c r="JG56">
        <v>386.762</v>
      </c>
      <c r="JH56">
        <v>28.218499999999999</v>
      </c>
      <c r="JI56">
        <v>36.659999999999997</v>
      </c>
      <c r="JJ56">
        <v>29.998699999999999</v>
      </c>
      <c r="JK56">
        <v>36.903199999999998</v>
      </c>
      <c r="JL56">
        <v>36.912300000000002</v>
      </c>
      <c r="JM56">
        <v>6.0823799999999997</v>
      </c>
      <c r="JN56">
        <v>24.416699999999999</v>
      </c>
      <c r="JO56">
        <v>54.080599999999997</v>
      </c>
      <c r="JP56">
        <v>28.229500000000002</v>
      </c>
      <c r="JQ56">
        <v>70</v>
      </c>
      <c r="JR56">
        <v>24.511199999999999</v>
      </c>
      <c r="JS56">
        <v>98.095200000000006</v>
      </c>
      <c r="JT56">
        <v>98.661000000000001</v>
      </c>
    </row>
    <row r="57" spans="1:280" x14ac:dyDescent="0.25">
      <c r="A57">
        <v>41</v>
      </c>
      <c r="B57">
        <v>1700243751.5</v>
      </c>
      <c r="C57">
        <v>8514</v>
      </c>
      <c r="D57" t="s">
        <v>593</v>
      </c>
      <c r="E57" t="s">
        <v>594</v>
      </c>
      <c r="F57" t="s">
        <v>412</v>
      </c>
      <c r="G57" t="s">
        <v>543</v>
      </c>
      <c r="H57" t="s">
        <v>544</v>
      </c>
      <c r="I57">
        <v>1700243751.5</v>
      </c>
      <c r="J57">
        <f t="shared" si="46"/>
        <v>5.7429171543487163E-3</v>
      </c>
      <c r="K57">
        <f t="shared" si="47"/>
        <v>5.7429171543487163</v>
      </c>
      <c r="L57">
        <f t="shared" si="48"/>
        <v>4.0841432655408996</v>
      </c>
      <c r="M57">
        <f t="shared" si="49"/>
        <v>26.487400000000001</v>
      </c>
      <c r="N57">
        <f t="shared" si="50"/>
        <v>10.015439064749302</v>
      </c>
      <c r="O57">
        <f t="shared" si="51"/>
        <v>0.98943347792837288</v>
      </c>
      <c r="P57">
        <f t="shared" si="52"/>
        <v>2.6167120716176</v>
      </c>
      <c r="Q57">
        <f t="shared" si="53"/>
        <v>0.43169580373838456</v>
      </c>
      <c r="R57">
        <f t="shared" si="54"/>
        <v>3.3532300351543878</v>
      </c>
      <c r="S57">
        <f t="shared" si="55"/>
        <v>0.40302640175001558</v>
      </c>
      <c r="T57">
        <f t="shared" si="56"/>
        <v>0.25430849868639721</v>
      </c>
      <c r="U57">
        <f t="shared" si="57"/>
        <v>344.3648993019786</v>
      </c>
      <c r="V57">
        <f t="shared" si="58"/>
        <v>31.054833890335612</v>
      </c>
      <c r="W57">
        <f t="shared" si="59"/>
        <v>29.9435</v>
      </c>
      <c r="X57">
        <f t="shared" si="60"/>
        <v>4.2466428136190011</v>
      </c>
      <c r="Y57">
        <f t="shared" si="61"/>
        <v>65.601036813242573</v>
      </c>
      <c r="Z57">
        <f t="shared" si="62"/>
        <v>2.8897699091536002</v>
      </c>
      <c r="AA57">
        <f t="shared" si="63"/>
        <v>4.4050674341937475</v>
      </c>
      <c r="AB57">
        <f t="shared" si="64"/>
        <v>1.3568729044654009</v>
      </c>
      <c r="AC57">
        <f t="shared" si="65"/>
        <v>-253.2626465067784</v>
      </c>
      <c r="AD57">
        <f t="shared" si="66"/>
        <v>115.49991882793492</v>
      </c>
      <c r="AE57">
        <f t="shared" si="67"/>
        <v>7.6787068353074206</v>
      </c>
      <c r="AF57">
        <f t="shared" si="68"/>
        <v>214.28087845844254</v>
      </c>
      <c r="AG57">
        <v>28</v>
      </c>
      <c r="AH57">
        <v>6</v>
      </c>
      <c r="AI57">
        <f t="shared" si="69"/>
        <v>1</v>
      </c>
      <c r="AJ57">
        <f t="shared" si="70"/>
        <v>0</v>
      </c>
      <c r="AK57">
        <f t="shared" si="71"/>
        <v>51510.277225051577</v>
      </c>
      <c r="AL57" t="s">
        <v>427</v>
      </c>
      <c r="AM57" t="s">
        <v>427</v>
      </c>
      <c r="AN57">
        <v>0</v>
      </c>
      <c r="AO57">
        <v>0</v>
      </c>
      <c r="AP57" t="e">
        <f t="shared" si="72"/>
        <v>#DIV/0!</v>
      </c>
      <c r="AQ57">
        <v>0</v>
      </c>
      <c r="AR57" t="s">
        <v>427</v>
      </c>
      <c r="AS57" t="s">
        <v>427</v>
      </c>
      <c r="AT57">
        <v>0</v>
      </c>
      <c r="AU57">
        <v>0</v>
      </c>
      <c r="AV57" t="e">
        <f t="shared" si="73"/>
        <v>#DIV/0!</v>
      </c>
      <c r="AW57">
        <v>0.5</v>
      </c>
      <c r="AX57">
        <f t="shared" si="74"/>
        <v>1513.1600996509892</v>
      </c>
      <c r="AY57">
        <f t="shared" si="75"/>
        <v>4.0841432655408996</v>
      </c>
      <c r="AZ57" t="e">
        <f t="shared" si="76"/>
        <v>#DIV/0!</v>
      </c>
      <c r="BA57">
        <f t="shared" si="77"/>
        <v>2.6990820511873848E-3</v>
      </c>
      <c r="BB57" t="e">
        <f t="shared" si="78"/>
        <v>#DIV/0!</v>
      </c>
      <c r="BC57" t="e">
        <f t="shared" si="79"/>
        <v>#DIV/0!</v>
      </c>
      <c r="BD57" t="s">
        <v>427</v>
      </c>
      <c r="BE57">
        <v>0</v>
      </c>
      <c r="BF57" t="e">
        <f t="shared" si="80"/>
        <v>#DIV/0!</v>
      </c>
      <c r="BG57" t="e">
        <f t="shared" si="81"/>
        <v>#DIV/0!</v>
      </c>
      <c r="BH57" t="e">
        <f t="shared" si="82"/>
        <v>#DIV/0!</v>
      </c>
      <c r="BI57" t="e">
        <f t="shared" si="83"/>
        <v>#DIV/0!</v>
      </c>
      <c r="BJ57" t="e">
        <f t="shared" si="84"/>
        <v>#DIV/0!</v>
      </c>
      <c r="BK57" t="e">
        <f t="shared" si="85"/>
        <v>#DIV/0!</v>
      </c>
      <c r="BL57" t="e">
        <f t="shared" si="86"/>
        <v>#DIV/0!</v>
      </c>
      <c r="BM57" t="e">
        <f t="shared" si="87"/>
        <v>#DIV/0!</v>
      </c>
      <c r="BN57">
        <v>11408</v>
      </c>
      <c r="BO57">
        <v>290.00000000000011</v>
      </c>
      <c r="BP57">
        <v>594.76</v>
      </c>
      <c r="BQ57">
        <v>295</v>
      </c>
      <c r="BR57">
        <v>7102.04</v>
      </c>
      <c r="BS57">
        <v>595.47</v>
      </c>
      <c r="BT57">
        <v>-0.71</v>
      </c>
      <c r="BU57">
        <v>300.00000000000011</v>
      </c>
      <c r="BV57">
        <v>38.299999999999997</v>
      </c>
      <c r="BW57">
        <v>616.18727989147851</v>
      </c>
      <c r="BX57">
        <v>1.0776678426742541</v>
      </c>
      <c r="BY57">
        <v>-14.710734598281521</v>
      </c>
      <c r="BZ57">
        <v>0.64154968623949815</v>
      </c>
      <c r="CA57">
        <v>0.94943885443358567</v>
      </c>
      <c r="CB57">
        <v>-7.0026075639599613E-3</v>
      </c>
      <c r="CC57">
        <v>289.99999999999989</v>
      </c>
      <c r="CD57">
        <v>596.17999999999995</v>
      </c>
      <c r="CE57">
        <v>685</v>
      </c>
      <c r="CF57">
        <v>7096.72</v>
      </c>
      <c r="CG57">
        <v>595.46</v>
      </c>
      <c r="CH57">
        <v>0.72</v>
      </c>
      <c r="CV57">
        <f t="shared" si="88"/>
        <v>1799.97</v>
      </c>
      <c r="CW57">
        <f t="shared" si="89"/>
        <v>1513.1600996509892</v>
      </c>
      <c r="CX57">
        <f t="shared" si="90"/>
        <v>0.84065851078128484</v>
      </c>
      <c r="CY57">
        <f t="shared" si="91"/>
        <v>0.19131702156256969</v>
      </c>
      <c r="CZ57">
        <v>4.16</v>
      </c>
      <c r="DA57">
        <v>0.5</v>
      </c>
      <c r="DB57" t="s">
        <v>418</v>
      </c>
      <c r="DC57">
        <v>2</v>
      </c>
      <c r="DD57">
        <v>1700243751.5</v>
      </c>
      <c r="DE57">
        <v>26.487400000000001</v>
      </c>
      <c r="DF57">
        <v>30.011099999999999</v>
      </c>
      <c r="DG57">
        <v>29.2514</v>
      </c>
      <c r="DH57">
        <v>24.6142</v>
      </c>
      <c r="DI57">
        <v>26.322700000000001</v>
      </c>
      <c r="DJ57">
        <v>29.2454</v>
      </c>
      <c r="DK57">
        <v>500.12299999999999</v>
      </c>
      <c r="DL57">
        <v>98.690700000000007</v>
      </c>
      <c r="DM57">
        <v>0.100124</v>
      </c>
      <c r="DN57">
        <v>30.5824</v>
      </c>
      <c r="DO57">
        <v>29.9435</v>
      </c>
      <c r="DP57">
        <v>999.9</v>
      </c>
      <c r="DQ57">
        <v>0</v>
      </c>
      <c r="DR57">
        <v>0</v>
      </c>
      <c r="DS57">
        <v>9988.1200000000008</v>
      </c>
      <c r="DT57">
        <v>0</v>
      </c>
      <c r="DU57">
        <v>143.15100000000001</v>
      </c>
      <c r="DV57">
        <v>-3.5237699999999998</v>
      </c>
      <c r="DW57">
        <v>27.285499999999999</v>
      </c>
      <c r="DX57">
        <v>30.7685</v>
      </c>
      <c r="DY57">
        <v>4.6371900000000004</v>
      </c>
      <c r="DZ57">
        <v>30.011099999999999</v>
      </c>
      <c r="EA57">
        <v>24.6142</v>
      </c>
      <c r="EB57">
        <v>2.8868399999999999</v>
      </c>
      <c r="EC57">
        <v>2.4291900000000002</v>
      </c>
      <c r="ED57">
        <v>23.389199999999999</v>
      </c>
      <c r="EE57">
        <v>20.559699999999999</v>
      </c>
      <c r="EF57">
        <v>1799.97</v>
      </c>
      <c r="EG57">
        <v>0.977989</v>
      </c>
      <c r="EH57">
        <v>2.2010800000000001E-2</v>
      </c>
      <c r="EI57">
        <v>0</v>
      </c>
      <c r="EJ57">
        <v>558.25199999999995</v>
      </c>
      <c r="EK57">
        <v>5.0005300000000004</v>
      </c>
      <c r="EL57">
        <v>11302</v>
      </c>
      <c r="EM57">
        <v>16035</v>
      </c>
      <c r="EN57">
        <v>49.561999999999998</v>
      </c>
      <c r="EO57">
        <v>50.561999999999998</v>
      </c>
      <c r="EP57">
        <v>50.125</v>
      </c>
      <c r="EQ57">
        <v>50.125</v>
      </c>
      <c r="ER57">
        <v>50.686999999999998</v>
      </c>
      <c r="ES57">
        <v>1755.46</v>
      </c>
      <c r="ET57">
        <v>39.51</v>
      </c>
      <c r="EU57">
        <v>0</v>
      </c>
      <c r="EV57">
        <v>133.39999985694891</v>
      </c>
      <c r="EW57">
        <v>0</v>
      </c>
      <c r="EX57">
        <v>558.13696153846149</v>
      </c>
      <c r="EY57">
        <v>0.61357264336197015</v>
      </c>
      <c r="EZ57">
        <v>448.7897441241692</v>
      </c>
      <c r="FA57">
        <v>11297.35</v>
      </c>
      <c r="FB57">
        <v>15</v>
      </c>
      <c r="FC57">
        <v>1700243711</v>
      </c>
      <c r="FD57" t="s">
        <v>595</v>
      </c>
      <c r="FE57">
        <v>1700243707</v>
      </c>
      <c r="FF57">
        <v>1700243711</v>
      </c>
      <c r="FG57">
        <v>45</v>
      </c>
      <c r="FH57">
        <v>0.08</v>
      </c>
      <c r="FI57">
        <v>-2E-3</v>
      </c>
      <c r="FJ57">
        <v>0.16500000000000001</v>
      </c>
      <c r="FK57">
        <v>6.0000000000000001E-3</v>
      </c>
      <c r="FL57">
        <v>30</v>
      </c>
      <c r="FM57">
        <v>25</v>
      </c>
      <c r="FN57">
        <v>0.18</v>
      </c>
      <c r="FO57">
        <v>0.02</v>
      </c>
      <c r="FP57">
        <v>4.0457590885758696</v>
      </c>
      <c r="FQ57">
        <v>9.9554270970911907E-2</v>
      </c>
      <c r="FR57">
        <v>1.7519923231672091E-2</v>
      </c>
      <c r="FS57">
        <v>1</v>
      </c>
      <c r="FT57">
        <v>0.43247049279738292</v>
      </c>
      <c r="FU57">
        <v>3.981960997702106E-2</v>
      </c>
      <c r="FV57">
        <v>3.3220335488611508E-3</v>
      </c>
      <c r="FW57">
        <v>1</v>
      </c>
      <c r="FX57">
        <v>2</v>
      </c>
      <c r="FY57">
        <v>2</v>
      </c>
      <c r="FZ57" t="s">
        <v>420</v>
      </c>
      <c r="GA57">
        <v>3.1282399999999999</v>
      </c>
      <c r="GB57">
        <v>2.7669100000000002</v>
      </c>
      <c r="GC57">
        <v>6.9788100000000002E-3</v>
      </c>
      <c r="GD57">
        <v>7.9622300000000007E-3</v>
      </c>
      <c r="GE57">
        <v>0.12185</v>
      </c>
      <c r="GF57">
        <v>0.10823199999999999</v>
      </c>
      <c r="GG57">
        <v>23568.6</v>
      </c>
      <c r="GH57">
        <v>24540.7</v>
      </c>
      <c r="GI57">
        <v>23611.4</v>
      </c>
      <c r="GJ57">
        <v>25068.400000000001</v>
      </c>
      <c r="GK57">
        <v>29866</v>
      </c>
      <c r="GL57">
        <v>31345.4</v>
      </c>
      <c r="GM57">
        <v>37644.9</v>
      </c>
      <c r="GN57">
        <v>39025.1</v>
      </c>
      <c r="GO57">
        <v>2.0179999999999998</v>
      </c>
      <c r="GP57">
        <v>1.7349000000000001</v>
      </c>
      <c r="GQ57">
        <v>2.88151E-2</v>
      </c>
      <c r="GR57">
        <v>0</v>
      </c>
      <c r="GS57">
        <v>29.474299999999999</v>
      </c>
      <c r="GT57">
        <v>999.9</v>
      </c>
      <c r="GU57">
        <v>41.8</v>
      </c>
      <c r="GV57">
        <v>39.1</v>
      </c>
      <c r="GW57">
        <v>29.922999999999998</v>
      </c>
      <c r="GX57">
        <v>61.085700000000003</v>
      </c>
      <c r="GY57">
        <v>25.885400000000001</v>
      </c>
      <c r="GZ57">
        <v>1</v>
      </c>
      <c r="HA57">
        <v>0.73690800000000001</v>
      </c>
      <c r="HB57">
        <v>1.91988</v>
      </c>
      <c r="HC57">
        <v>20.308299999999999</v>
      </c>
      <c r="HD57">
        <v>5.2526299999999999</v>
      </c>
      <c r="HE57">
        <v>12.0099</v>
      </c>
      <c r="HF57">
        <v>4.97905</v>
      </c>
      <c r="HG57">
        <v>3.2930000000000001</v>
      </c>
      <c r="HH57">
        <v>9999</v>
      </c>
      <c r="HI57">
        <v>9999</v>
      </c>
      <c r="HJ57">
        <v>9999</v>
      </c>
      <c r="HK57">
        <v>999.9</v>
      </c>
      <c r="HL57">
        <v>1.87608</v>
      </c>
      <c r="HM57">
        <v>1.87697</v>
      </c>
      <c r="HN57">
        <v>1.88324</v>
      </c>
      <c r="HO57">
        <v>1.88632</v>
      </c>
      <c r="HP57">
        <v>1.87714</v>
      </c>
      <c r="HQ57">
        <v>1.8836999999999999</v>
      </c>
      <c r="HR57">
        <v>1.88263</v>
      </c>
      <c r="HS57">
        <v>1.8860399999999999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424</v>
      </c>
      <c r="IB57" t="s">
        <v>424</v>
      </c>
      <c r="IC57" t="s">
        <v>423</v>
      </c>
      <c r="ID57">
        <v>0</v>
      </c>
      <c r="IE57">
        <v>100</v>
      </c>
      <c r="IF57">
        <v>100</v>
      </c>
      <c r="IG57">
        <v>0.16500000000000001</v>
      </c>
      <c r="IH57">
        <v>6.0000000000000001E-3</v>
      </c>
      <c r="II57">
        <v>0.16360220506269871</v>
      </c>
      <c r="IJ57">
        <v>4.4610147972834149E-5</v>
      </c>
      <c r="IK57">
        <v>-2.082673137682459E-7</v>
      </c>
      <c r="IL57">
        <v>-4.0725795306076518E-11</v>
      </c>
      <c r="IM57">
        <v>5.959999999998189E-3</v>
      </c>
      <c r="IN57">
        <v>0</v>
      </c>
      <c r="IO57">
        <v>0</v>
      </c>
      <c r="IP57">
        <v>0</v>
      </c>
      <c r="IQ57">
        <v>3</v>
      </c>
      <c r="IR57">
        <v>2179</v>
      </c>
      <c r="IS57">
        <v>0</v>
      </c>
      <c r="IT57">
        <v>22</v>
      </c>
      <c r="IU57">
        <v>0.7</v>
      </c>
      <c r="IV57">
        <v>0.7</v>
      </c>
      <c r="IW57">
        <v>0.21606400000000001</v>
      </c>
      <c r="IX57">
        <v>2.7380399999999998</v>
      </c>
      <c r="IY57">
        <v>1.6015600000000001</v>
      </c>
      <c r="IZ57">
        <v>2.3278799999999999</v>
      </c>
      <c r="JA57">
        <v>1.5502899999999999</v>
      </c>
      <c r="JB57">
        <v>2.3584000000000001</v>
      </c>
      <c r="JC57">
        <v>43.0199</v>
      </c>
      <c r="JD57">
        <v>24.096299999999999</v>
      </c>
      <c r="JE57">
        <v>18</v>
      </c>
      <c r="JF57">
        <v>540.10699999999997</v>
      </c>
      <c r="JG57">
        <v>389.11900000000003</v>
      </c>
      <c r="JH57">
        <v>28.085699999999999</v>
      </c>
      <c r="JI57">
        <v>36.2714</v>
      </c>
      <c r="JJ57">
        <v>29.999600000000001</v>
      </c>
      <c r="JK57">
        <v>36.555500000000002</v>
      </c>
      <c r="JL57">
        <v>36.568300000000001</v>
      </c>
      <c r="JM57">
        <v>4.3141699999999998</v>
      </c>
      <c r="JN57">
        <v>24.180599999999998</v>
      </c>
      <c r="JO57">
        <v>54.530099999999997</v>
      </c>
      <c r="JP57">
        <v>28.0581</v>
      </c>
      <c r="JQ57">
        <v>30</v>
      </c>
      <c r="JR57">
        <v>24.5185</v>
      </c>
      <c r="JS57">
        <v>98.18</v>
      </c>
      <c r="JT57">
        <v>98.747299999999996</v>
      </c>
    </row>
    <row r="58" spans="1:280" x14ac:dyDescent="0.25">
      <c r="A58">
        <v>42</v>
      </c>
      <c r="B58">
        <v>1700243852</v>
      </c>
      <c r="C58">
        <v>8614.5</v>
      </c>
      <c r="D58" t="s">
        <v>596</v>
      </c>
      <c r="E58" t="s">
        <v>597</v>
      </c>
      <c r="F58" t="s">
        <v>412</v>
      </c>
      <c r="G58" t="s">
        <v>543</v>
      </c>
      <c r="H58" t="s">
        <v>544</v>
      </c>
      <c r="I58">
        <v>1700243852</v>
      </c>
      <c r="J58">
        <f t="shared" si="46"/>
        <v>5.7086560982468424E-3</v>
      </c>
      <c r="K58">
        <f t="shared" si="47"/>
        <v>5.7086560982468422</v>
      </c>
      <c r="L58">
        <f t="shared" si="48"/>
        <v>1.1664485198162884</v>
      </c>
      <c r="M58">
        <f t="shared" si="49"/>
        <v>8.9878199999999993</v>
      </c>
      <c r="N58">
        <f t="shared" si="50"/>
        <v>4.1339477221035921</v>
      </c>
      <c r="O58">
        <f t="shared" si="51"/>
        <v>0.40843759179245498</v>
      </c>
      <c r="P58">
        <f t="shared" si="52"/>
        <v>0.88800434912032777</v>
      </c>
      <c r="Q58">
        <f t="shared" si="53"/>
        <v>0.42039899178433515</v>
      </c>
      <c r="R58">
        <f t="shared" si="54"/>
        <v>3.3542852925498772</v>
      </c>
      <c r="S58">
        <f t="shared" si="55"/>
        <v>0.393167631118369</v>
      </c>
      <c r="T58">
        <f t="shared" si="56"/>
        <v>0.24802926005323805</v>
      </c>
      <c r="U58">
        <f t="shared" si="57"/>
        <v>344.38719930273555</v>
      </c>
      <c r="V58">
        <f t="shared" si="58"/>
        <v>31.180807998336945</v>
      </c>
      <c r="W58">
        <f t="shared" si="59"/>
        <v>30.069099999999999</v>
      </c>
      <c r="X58">
        <f t="shared" si="60"/>
        <v>4.2773889737265556</v>
      </c>
      <c r="Y58">
        <f t="shared" si="61"/>
        <v>65.275027852025119</v>
      </c>
      <c r="Z58">
        <f t="shared" si="62"/>
        <v>2.8949047300641597</v>
      </c>
      <c r="AA58">
        <f t="shared" si="63"/>
        <v>4.4349344999541769</v>
      </c>
      <c r="AB58">
        <f t="shared" si="64"/>
        <v>1.3824842436623959</v>
      </c>
      <c r="AC58">
        <f t="shared" si="65"/>
        <v>-251.75173393268574</v>
      </c>
      <c r="AD58">
        <f t="shared" si="66"/>
        <v>114.19807841896626</v>
      </c>
      <c r="AE58">
        <f t="shared" si="67"/>
        <v>7.598924786513904</v>
      </c>
      <c r="AF58">
        <f t="shared" si="68"/>
        <v>214.43246857552998</v>
      </c>
      <c r="AG58">
        <v>30</v>
      </c>
      <c r="AH58">
        <v>6</v>
      </c>
      <c r="AI58">
        <f t="shared" si="69"/>
        <v>1</v>
      </c>
      <c r="AJ58">
        <f t="shared" si="70"/>
        <v>0</v>
      </c>
      <c r="AK58">
        <f t="shared" si="71"/>
        <v>51514.20089698441</v>
      </c>
      <c r="AL58" t="s">
        <v>415</v>
      </c>
      <c r="AM58">
        <v>6977.87</v>
      </c>
      <c r="AN58">
        <v>273.15280000000001</v>
      </c>
      <c r="AO58">
        <v>850.46774885301022</v>
      </c>
      <c r="AP58">
        <f t="shared" si="72"/>
        <v>0.67882050745793765</v>
      </c>
      <c r="AQ58">
        <v>-1.0323826813720729</v>
      </c>
      <c r="AR58" t="s">
        <v>598</v>
      </c>
      <c r="AS58">
        <v>7105.9</v>
      </c>
      <c r="AT58">
        <v>568.22123076923071</v>
      </c>
      <c r="AU58">
        <v>607.49363123798298</v>
      </c>
      <c r="AV58">
        <f t="shared" si="73"/>
        <v>6.464660442401815E-2</v>
      </c>
      <c r="AW58">
        <v>0.5</v>
      </c>
      <c r="AX58">
        <f t="shared" si="74"/>
        <v>1513.2680996513677</v>
      </c>
      <c r="AY58">
        <f t="shared" si="75"/>
        <v>1.1664485198162884</v>
      </c>
      <c r="AZ58">
        <f t="shared" si="76"/>
        <v>48.913822112823823</v>
      </c>
      <c r="BA58">
        <f t="shared" si="77"/>
        <v>1.4530347938312689E-3</v>
      </c>
      <c r="BB58">
        <f t="shared" si="78"/>
        <v>0.39996158827193234</v>
      </c>
      <c r="BC58">
        <f t="shared" si="79"/>
        <v>242.05814182309066</v>
      </c>
      <c r="BD58" t="s">
        <v>599</v>
      </c>
      <c r="BE58">
        <v>400.96</v>
      </c>
      <c r="BF58">
        <f t="shared" si="80"/>
        <v>400.96</v>
      </c>
      <c r="BG58">
        <f t="shared" si="81"/>
        <v>0.33997661970068349</v>
      </c>
      <c r="BH58">
        <f t="shared" si="82"/>
        <v>0.19015014762171961</v>
      </c>
      <c r="BI58">
        <f t="shared" si="83"/>
        <v>0.54053376885051241</v>
      </c>
      <c r="BJ58">
        <f t="shared" si="84"/>
        <v>0.11746217272756096</v>
      </c>
      <c r="BK58">
        <f t="shared" si="85"/>
        <v>0.42086926399144864</v>
      </c>
      <c r="BL58">
        <f t="shared" si="86"/>
        <v>0.1341776742259192</v>
      </c>
      <c r="BM58">
        <f t="shared" si="87"/>
        <v>0.8658223257740808</v>
      </c>
      <c r="BN58">
        <v>11410</v>
      </c>
      <c r="BO58">
        <v>290.00000000000011</v>
      </c>
      <c r="BP58">
        <v>595.15</v>
      </c>
      <c r="BQ58">
        <v>255</v>
      </c>
      <c r="BR58">
        <v>7105.9</v>
      </c>
      <c r="BS58">
        <v>594.78</v>
      </c>
      <c r="BT58">
        <v>0.37</v>
      </c>
      <c r="BU58">
        <v>300.00000000000011</v>
      </c>
      <c r="BV58">
        <v>38.299999999999997</v>
      </c>
      <c r="BW58">
        <v>607.49363123798298</v>
      </c>
      <c r="BX58">
        <v>1.006423136103199</v>
      </c>
      <c r="BY58">
        <v>-9.0310606024020146</v>
      </c>
      <c r="BZ58">
        <v>0.59935258204373176</v>
      </c>
      <c r="CA58">
        <v>0.89021563437385454</v>
      </c>
      <c r="CB58">
        <v>-7.0050440489432758E-3</v>
      </c>
      <c r="CC58">
        <v>289.99999999999989</v>
      </c>
      <c r="CD58">
        <v>594.66999999999996</v>
      </c>
      <c r="CE58">
        <v>715</v>
      </c>
      <c r="CF58">
        <v>7098.49</v>
      </c>
      <c r="CG58">
        <v>594.77</v>
      </c>
      <c r="CH58">
        <v>-0.1</v>
      </c>
      <c r="CV58">
        <f t="shared" si="88"/>
        <v>1800.1</v>
      </c>
      <c r="CW58">
        <f t="shared" si="89"/>
        <v>1513.2680996513677</v>
      </c>
      <c r="CX58">
        <f t="shared" si="90"/>
        <v>0.84065779659539341</v>
      </c>
      <c r="CY58">
        <f t="shared" si="91"/>
        <v>0.19131559319078695</v>
      </c>
      <c r="CZ58">
        <v>4.16</v>
      </c>
      <c r="DA58">
        <v>0.5</v>
      </c>
      <c r="DB58" t="s">
        <v>418</v>
      </c>
      <c r="DC58">
        <v>2</v>
      </c>
      <c r="DD58">
        <v>1700243852</v>
      </c>
      <c r="DE58">
        <v>8.9878199999999993</v>
      </c>
      <c r="DF58">
        <v>10.0007</v>
      </c>
      <c r="DG58">
        <v>29.3004</v>
      </c>
      <c r="DH58">
        <v>24.691299999999998</v>
      </c>
      <c r="DI58">
        <v>8.85778</v>
      </c>
      <c r="DJ58">
        <v>29.294799999999999</v>
      </c>
      <c r="DK58">
        <v>500.14499999999998</v>
      </c>
      <c r="DL58">
        <v>98.700999999999993</v>
      </c>
      <c r="DM58">
        <v>9.9860400000000002E-2</v>
      </c>
      <c r="DN58">
        <v>30.700600000000001</v>
      </c>
      <c r="DO58">
        <v>30.069099999999999</v>
      </c>
      <c r="DP58">
        <v>999.9</v>
      </c>
      <c r="DQ58">
        <v>0</v>
      </c>
      <c r="DR58">
        <v>0</v>
      </c>
      <c r="DS58">
        <v>9991.8799999999992</v>
      </c>
      <c r="DT58">
        <v>0</v>
      </c>
      <c r="DU58">
        <v>107.98399999999999</v>
      </c>
      <c r="DV58">
        <v>-1.01285</v>
      </c>
      <c r="DW58">
        <v>9.2591199999999994</v>
      </c>
      <c r="DX58">
        <v>10.2539</v>
      </c>
      <c r="DY58">
        <v>4.6091100000000003</v>
      </c>
      <c r="DZ58">
        <v>10.0007</v>
      </c>
      <c r="EA58">
        <v>24.691299999999998</v>
      </c>
      <c r="EB58">
        <v>2.8919800000000002</v>
      </c>
      <c r="EC58">
        <v>2.4370500000000002</v>
      </c>
      <c r="ED58">
        <v>23.418700000000001</v>
      </c>
      <c r="EE58">
        <v>20.612100000000002</v>
      </c>
      <c r="EF58">
        <v>1800.1</v>
      </c>
      <c r="EG58">
        <v>0.97801000000000005</v>
      </c>
      <c r="EH58">
        <v>2.19904E-2</v>
      </c>
      <c r="EI58">
        <v>0</v>
      </c>
      <c r="EJ58">
        <v>568.38300000000004</v>
      </c>
      <c r="EK58">
        <v>5.0005300000000004</v>
      </c>
      <c r="EL58">
        <v>11230.2</v>
      </c>
      <c r="EM58">
        <v>16036.2</v>
      </c>
      <c r="EN58">
        <v>49.311999999999998</v>
      </c>
      <c r="EO58">
        <v>50.311999999999998</v>
      </c>
      <c r="EP58">
        <v>49.875</v>
      </c>
      <c r="EQ58">
        <v>49.875</v>
      </c>
      <c r="ER58">
        <v>50.436999999999998</v>
      </c>
      <c r="ES58">
        <v>1755.63</v>
      </c>
      <c r="ET58">
        <v>39.47</v>
      </c>
      <c r="EU58">
        <v>0</v>
      </c>
      <c r="EV58">
        <v>234.19999980926511</v>
      </c>
      <c r="EW58">
        <v>0</v>
      </c>
      <c r="EX58">
        <v>568.22123076923071</v>
      </c>
      <c r="EY58">
        <v>2.0376062440311659E-2</v>
      </c>
      <c r="EZ58">
        <v>-1794.430770592938</v>
      </c>
      <c r="FA58">
        <v>11363.16538461538</v>
      </c>
      <c r="FB58">
        <v>15</v>
      </c>
      <c r="FC58">
        <v>1700243819</v>
      </c>
      <c r="FD58" t="s">
        <v>600</v>
      </c>
      <c r="FE58">
        <v>1700243810.5</v>
      </c>
      <c r="FF58">
        <v>1700243819</v>
      </c>
      <c r="FG58">
        <v>46</v>
      </c>
      <c r="FH58">
        <v>-3.4000000000000002E-2</v>
      </c>
      <c r="FI58">
        <v>0</v>
      </c>
      <c r="FJ58">
        <v>0.13</v>
      </c>
      <c r="FK58">
        <v>6.0000000000000001E-3</v>
      </c>
      <c r="FL58">
        <v>10</v>
      </c>
      <c r="FM58">
        <v>24</v>
      </c>
      <c r="FN58">
        <v>0.23</v>
      </c>
      <c r="FO58">
        <v>0.02</v>
      </c>
      <c r="FP58">
        <v>1.1518574193093509</v>
      </c>
      <c r="FQ58">
        <v>0.2331936242851437</v>
      </c>
      <c r="FR58">
        <v>2.9846237338983329E-2</v>
      </c>
      <c r="FS58">
        <v>1</v>
      </c>
      <c r="FT58">
        <v>0.41775861186558338</v>
      </c>
      <c r="FU58">
        <v>4.4207366692849151E-2</v>
      </c>
      <c r="FV58">
        <v>4.3404884138164316E-3</v>
      </c>
      <c r="FW58">
        <v>1</v>
      </c>
      <c r="FX58">
        <v>2</v>
      </c>
      <c r="FY58">
        <v>2</v>
      </c>
      <c r="FZ58" t="s">
        <v>420</v>
      </c>
      <c r="GA58">
        <v>3.1275900000000001</v>
      </c>
      <c r="GB58">
        <v>2.7666599999999999</v>
      </c>
      <c r="GC58">
        <v>2.3532100000000001E-3</v>
      </c>
      <c r="GD58">
        <v>2.65877E-3</v>
      </c>
      <c r="GE58">
        <v>0.122072</v>
      </c>
      <c r="GF58">
        <v>0.108543</v>
      </c>
      <c r="GG58">
        <v>23691.4</v>
      </c>
      <c r="GH58">
        <v>24686</v>
      </c>
      <c r="GI58">
        <v>23623.7</v>
      </c>
      <c r="GJ58">
        <v>25082</v>
      </c>
      <c r="GK58">
        <v>29873.9</v>
      </c>
      <c r="GL58">
        <v>31350.3</v>
      </c>
      <c r="GM58">
        <v>37664.1</v>
      </c>
      <c r="GN58">
        <v>39044.400000000001</v>
      </c>
      <c r="GO58">
        <v>2.0180500000000001</v>
      </c>
      <c r="GP58">
        <v>1.7393700000000001</v>
      </c>
      <c r="GQ58">
        <v>3.2525499999999999E-2</v>
      </c>
      <c r="GR58">
        <v>0</v>
      </c>
      <c r="GS58">
        <v>29.5396</v>
      </c>
      <c r="GT58">
        <v>999.9</v>
      </c>
      <c r="GU58">
        <v>41.7</v>
      </c>
      <c r="GV58">
        <v>39.1</v>
      </c>
      <c r="GW58">
        <v>29.8477</v>
      </c>
      <c r="GX58">
        <v>60.585700000000003</v>
      </c>
      <c r="GY58">
        <v>26.017600000000002</v>
      </c>
      <c r="GZ58">
        <v>1</v>
      </c>
      <c r="HA58">
        <v>0.71952199999999999</v>
      </c>
      <c r="HB58">
        <v>2.6787100000000001</v>
      </c>
      <c r="HC58">
        <v>20.2974</v>
      </c>
      <c r="HD58">
        <v>5.2481400000000002</v>
      </c>
      <c r="HE58">
        <v>12.0099</v>
      </c>
      <c r="HF58">
        <v>4.9781000000000004</v>
      </c>
      <c r="HG58">
        <v>3.29223</v>
      </c>
      <c r="HH58">
        <v>9999</v>
      </c>
      <c r="HI58">
        <v>9999</v>
      </c>
      <c r="HJ58">
        <v>9999</v>
      </c>
      <c r="HK58">
        <v>999.9</v>
      </c>
      <c r="HL58">
        <v>1.87608</v>
      </c>
      <c r="HM58">
        <v>1.87697</v>
      </c>
      <c r="HN58">
        <v>1.88324</v>
      </c>
      <c r="HO58">
        <v>1.8863099999999999</v>
      </c>
      <c r="HP58">
        <v>1.87714</v>
      </c>
      <c r="HQ58">
        <v>1.8836999999999999</v>
      </c>
      <c r="HR58">
        <v>1.88263</v>
      </c>
      <c r="HS58">
        <v>1.88602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424</v>
      </c>
      <c r="IB58" t="s">
        <v>424</v>
      </c>
      <c r="IC58" t="s">
        <v>423</v>
      </c>
      <c r="ID58">
        <v>0</v>
      </c>
      <c r="IE58">
        <v>100</v>
      </c>
      <c r="IF58">
        <v>100</v>
      </c>
      <c r="IG58">
        <v>0.13</v>
      </c>
      <c r="IH58">
        <v>5.5999999999999999E-3</v>
      </c>
      <c r="II58">
        <v>0.1296631206953151</v>
      </c>
      <c r="IJ58">
        <v>4.4610147972834149E-5</v>
      </c>
      <c r="IK58">
        <v>-2.082673137682459E-7</v>
      </c>
      <c r="IL58">
        <v>-4.0725795306076518E-11</v>
      </c>
      <c r="IM58">
        <v>5.5571428571461468E-3</v>
      </c>
      <c r="IN58">
        <v>0</v>
      </c>
      <c r="IO58">
        <v>0</v>
      </c>
      <c r="IP58">
        <v>0</v>
      </c>
      <c r="IQ58">
        <v>3</v>
      </c>
      <c r="IR58">
        <v>2179</v>
      </c>
      <c r="IS58">
        <v>0</v>
      </c>
      <c r="IT58">
        <v>22</v>
      </c>
      <c r="IU58">
        <v>0.7</v>
      </c>
      <c r="IV58">
        <v>0.6</v>
      </c>
      <c r="IW58">
        <v>0.17333999999999999</v>
      </c>
      <c r="IX58">
        <v>2.7465799999999998</v>
      </c>
      <c r="IY58">
        <v>1.6015600000000001</v>
      </c>
      <c r="IZ58">
        <v>2.3278799999999999</v>
      </c>
      <c r="JA58">
        <v>1.5502899999999999</v>
      </c>
      <c r="JB58">
        <v>2.4499499999999999</v>
      </c>
      <c r="JC58">
        <v>42.912100000000002</v>
      </c>
      <c r="JD58">
        <v>24.096299999999999</v>
      </c>
      <c r="JE58">
        <v>18</v>
      </c>
      <c r="JF58">
        <v>538.226</v>
      </c>
      <c r="JG58">
        <v>390.42099999999999</v>
      </c>
      <c r="JH58">
        <v>27.8565</v>
      </c>
      <c r="JI58">
        <v>36.0154</v>
      </c>
      <c r="JJ58">
        <v>29.999500000000001</v>
      </c>
      <c r="JK58">
        <v>36.306800000000003</v>
      </c>
      <c r="JL58">
        <v>36.319299999999998</v>
      </c>
      <c r="JM58">
        <v>3.4485999999999999</v>
      </c>
      <c r="JN58">
        <v>23.166599999999999</v>
      </c>
      <c r="JO58">
        <v>54.463999999999999</v>
      </c>
      <c r="JP58">
        <v>27.839600000000001</v>
      </c>
      <c r="JQ58">
        <v>10</v>
      </c>
      <c r="JR58">
        <v>24.657699999999998</v>
      </c>
      <c r="JS58">
        <v>98.230599999999995</v>
      </c>
      <c r="JT58">
        <v>98.798000000000002</v>
      </c>
    </row>
    <row r="59" spans="1:280" x14ac:dyDescent="0.25">
      <c r="A59">
        <v>43</v>
      </c>
      <c r="B59">
        <v>1700249705.0999999</v>
      </c>
      <c r="C59">
        <v>14467.599999904631</v>
      </c>
      <c r="D59" t="s">
        <v>601</v>
      </c>
      <c r="E59" t="s">
        <v>602</v>
      </c>
      <c r="F59" t="s">
        <v>412</v>
      </c>
      <c r="G59" t="s">
        <v>544</v>
      </c>
      <c r="H59" t="s">
        <v>544</v>
      </c>
      <c r="I59">
        <v>1700249705.0999999</v>
      </c>
      <c r="J59">
        <f t="shared" si="46"/>
        <v>3.6958868713550873E-3</v>
      </c>
      <c r="K59">
        <f t="shared" si="47"/>
        <v>3.6958868713550874</v>
      </c>
      <c r="L59">
        <f t="shared" si="48"/>
        <v>42.23275691040611</v>
      </c>
      <c r="M59">
        <f t="shared" si="49"/>
        <v>415.61200000000002</v>
      </c>
      <c r="N59">
        <f t="shared" si="50"/>
        <v>124.85491947021907</v>
      </c>
      <c r="O59">
        <f t="shared" si="51"/>
        <v>12.338180996300533</v>
      </c>
      <c r="P59">
        <f t="shared" si="52"/>
        <v>41.070837272516002</v>
      </c>
      <c r="Q59">
        <f t="shared" si="53"/>
        <v>0.2459925264911276</v>
      </c>
      <c r="R59">
        <f t="shared" si="54"/>
        <v>3.4298278840635872</v>
      </c>
      <c r="S59">
        <f t="shared" si="55"/>
        <v>0.23659447123448085</v>
      </c>
      <c r="T59">
        <f t="shared" si="56"/>
        <v>0.14868600664056383</v>
      </c>
      <c r="U59">
        <f t="shared" si="57"/>
        <v>344.36879930252019</v>
      </c>
      <c r="V59">
        <f t="shared" si="58"/>
        <v>30.909503175294077</v>
      </c>
      <c r="W59">
        <f t="shared" si="59"/>
        <v>30.003699999999998</v>
      </c>
      <c r="X59">
        <f t="shared" si="60"/>
        <v>4.2613553082279241</v>
      </c>
      <c r="Y59">
        <f t="shared" si="61"/>
        <v>65.121543200364215</v>
      </c>
      <c r="Z59">
        <f t="shared" si="62"/>
        <v>2.7726066341653</v>
      </c>
      <c r="AA59">
        <f t="shared" si="63"/>
        <v>4.2575874248474399</v>
      </c>
      <c r="AB59">
        <f t="shared" si="64"/>
        <v>1.4887486740626241</v>
      </c>
      <c r="AC59">
        <f t="shared" si="65"/>
        <v>-162.98861102675934</v>
      </c>
      <c r="AD59">
        <f t="shared" si="66"/>
        <v>-2.8475967656387287</v>
      </c>
      <c r="AE59">
        <f t="shared" si="67"/>
        <v>-0.18459845331348901</v>
      </c>
      <c r="AF59">
        <f t="shared" si="68"/>
        <v>178.34799305680863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51663.842285692474</v>
      </c>
      <c r="AL59" t="s">
        <v>415</v>
      </c>
      <c r="AM59">
        <v>6977.87</v>
      </c>
      <c r="AN59">
        <v>273.15280000000001</v>
      </c>
      <c r="AO59">
        <v>850.46774885301022</v>
      </c>
      <c r="AP59">
        <f t="shared" si="72"/>
        <v>0.67882050745793765</v>
      </c>
      <c r="AQ59">
        <v>-1.0323826813720729</v>
      </c>
      <c r="AR59" t="s">
        <v>603</v>
      </c>
      <c r="AS59">
        <v>7114.38</v>
      </c>
      <c r="AT59">
        <v>507.04500000000002</v>
      </c>
      <c r="AU59">
        <v>707.85300788720974</v>
      </c>
      <c r="AV59">
        <f t="shared" si="73"/>
        <v>0.28368602753639316</v>
      </c>
      <c r="AW59">
        <v>0.5</v>
      </c>
      <c r="AX59">
        <f t="shared" si="74"/>
        <v>1513.18439965126</v>
      </c>
      <c r="AY59">
        <f t="shared" si="75"/>
        <v>42.23275691040611</v>
      </c>
      <c r="AZ59">
        <f t="shared" si="76"/>
        <v>214.63463563355396</v>
      </c>
      <c r="BA59">
        <f t="shared" si="77"/>
        <v>2.8592113163306065E-2</v>
      </c>
      <c r="BB59">
        <f t="shared" si="78"/>
        <v>0.20147507939745155</v>
      </c>
      <c r="BC59">
        <f t="shared" si="79"/>
        <v>256.55144242344471</v>
      </c>
      <c r="BD59" t="s">
        <v>604</v>
      </c>
      <c r="BE59">
        <v>368.96</v>
      </c>
      <c r="BF59">
        <f t="shared" si="80"/>
        <v>368.96</v>
      </c>
      <c r="BG59">
        <f t="shared" si="81"/>
        <v>0.47876183912636483</v>
      </c>
      <c r="BH59">
        <f t="shared" si="82"/>
        <v>0.59254101800188974</v>
      </c>
      <c r="BI59">
        <f t="shared" si="83"/>
        <v>0.29618368822832059</v>
      </c>
      <c r="BJ59">
        <f t="shared" si="84"/>
        <v>0.46194596699919854</v>
      </c>
      <c r="BK59">
        <f t="shared" si="85"/>
        <v>0.24703108978754595</v>
      </c>
      <c r="BL59">
        <f t="shared" si="86"/>
        <v>0.4311726454298479</v>
      </c>
      <c r="BM59">
        <f t="shared" si="87"/>
        <v>0.5688273545701521</v>
      </c>
      <c r="BN59">
        <v>11412</v>
      </c>
      <c r="BO59">
        <v>290.00000000000011</v>
      </c>
      <c r="BP59">
        <v>654.24</v>
      </c>
      <c r="BQ59">
        <v>285</v>
      </c>
      <c r="BR59">
        <v>7114.38</v>
      </c>
      <c r="BS59">
        <v>656.08</v>
      </c>
      <c r="BT59">
        <v>-1.84</v>
      </c>
      <c r="BU59">
        <v>300.00000000000011</v>
      </c>
      <c r="BV59">
        <v>38.299999999999997</v>
      </c>
      <c r="BW59">
        <v>707.85300788720974</v>
      </c>
      <c r="BX59">
        <v>1.304018163399387</v>
      </c>
      <c r="BY59">
        <v>-36.833176497787683</v>
      </c>
      <c r="BZ59">
        <v>0.77766422338362318</v>
      </c>
      <c r="CA59">
        <v>0.98767244749140815</v>
      </c>
      <c r="CB59">
        <v>-7.0149813125695171E-3</v>
      </c>
      <c r="CC59">
        <v>289.99999999999989</v>
      </c>
      <c r="CD59">
        <v>665.24</v>
      </c>
      <c r="CE59">
        <v>895</v>
      </c>
      <c r="CF59">
        <v>7105.36</v>
      </c>
      <c r="CG59">
        <v>656.01</v>
      </c>
      <c r="CH59">
        <v>9.23</v>
      </c>
      <c r="CV59">
        <f t="shared" si="88"/>
        <v>1800</v>
      </c>
      <c r="CW59">
        <f t="shared" si="89"/>
        <v>1513.18439965126</v>
      </c>
      <c r="CX59">
        <f t="shared" si="90"/>
        <v>0.84065799980625555</v>
      </c>
      <c r="CY59">
        <f t="shared" si="91"/>
        <v>0.19131599961251122</v>
      </c>
      <c r="CZ59">
        <v>3.93</v>
      </c>
      <c r="DA59">
        <v>0.5</v>
      </c>
      <c r="DB59" t="s">
        <v>418</v>
      </c>
      <c r="DC59">
        <v>2</v>
      </c>
      <c r="DD59">
        <v>1700249705.0999999</v>
      </c>
      <c r="DE59">
        <v>415.61200000000002</v>
      </c>
      <c r="DF59">
        <v>450.005</v>
      </c>
      <c r="DG59">
        <v>28.057099999999998</v>
      </c>
      <c r="DH59">
        <v>25.234400000000001</v>
      </c>
      <c r="DI59">
        <v>415.916</v>
      </c>
      <c r="DJ59">
        <v>28.051500000000001</v>
      </c>
      <c r="DK59">
        <v>500.13499999999999</v>
      </c>
      <c r="DL59">
        <v>98.720100000000002</v>
      </c>
      <c r="DM59">
        <v>0.10004300000000001</v>
      </c>
      <c r="DN59">
        <v>29.988299999999999</v>
      </c>
      <c r="DO59">
        <v>30.003699999999998</v>
      </c>
      <c r="DP59">
        <v>999.9</v>
      </c>
      <c r="DQ59">
        <v>0</v>
      </c>
      <c r="DR59">
        <v>0</v>
      </c>
      <c r="DS59">
        <v>9995.6200000000008</v>
      </c>
      <c r="DT59">
        <v>0</v>
      </c>
      <c r="DU59">
        <v>487.32799999999997</v>
      </c>
      <c r="DV59">
        <v>-34.392800000000001</v>
      </c>
      <c r="DW59">
        <v>427.61</v>
      </c>
      <c r="DX59">
        <v>461.65499999999997</v>
      </c>
      <c r="DY59">
        <v>2.8226599999999999</v>
      </c>
      <c r="DZ59">
        <v>450.005</v>
      </c>
      <c r="EA59">
        <v>25.234400000000001</v>
      </c>
      <c r="EB59">
        <v>2.7698</v>
      </c>
      <c r="EC59">
        <v>2.4911500000000002</v>
      </c>
      <c r="ED59">
        <v>22.705200000000001</v>
      </c>
      <c r="EE59">
        <v>20.968800000000002</v>
      </c>
      <c r="EF59">
        <v>1800</v>
      </c>
      <c r="EG59">
        <v>0.97800500000000001</v>
      </c>
      <c r="EH59">
        <v>2.1994900000000001E-2</v>
      </c>
      <c r="EI59">
        <v>0</v>
      </c>
      <c r="EJ59">
        <v>507.01100000000002</v>
      </c>
      <c r="EK59">
        <v>5.0005300000000004</v>
      </c>
      <c r="EL59">
        <v>9934.3700000000008</v>
      </c>
      <c r="EM59">
        <v>16035.3</v>
      </c>
      <c r="EN59">
        <v>47.561999999999998</v>
      </c>
      <c r="EO59">
        <v>48.686999999999998</v>
      </c>
      <c r="EP59">
        <v>48.125</v>
      </c>
      <c r="EQ59">
        <v>48.311999999999998</v>
      </c>
      <c r="ER59">
        <v>48.811999999999998</v>
      </c>
      <c r="ES59">
        <v>1755.52</v>
      </c>
      <c r="ET59">
        <v>39.479999999999997</v>
      </c>
      <c r="EU59">
        <v>0</v>
      </c>
      <c r="EV59">
        <v>5851.1999998092651</v>
      </c>
      <c r="EW59">
        <v>0</v>
      </c>
      <c r="EX59">
        <v>507.04500000000002</v>
      </c>
      <c r="EY59">
        <v>-0.36328206228147969</v>
      </c>
      <c r="EZ59">
        <v>1.9070085591089661</v>
      </c>
      <c r="FA59">
        <v>9933.5576923076915</v>
      </c>
      <c r="FB59">
        <v>15</v>
      </c>
      <c r="FC59">
        <v>1700249665.5999999</v>
      </c>
      <c r="FD59" t="s">
        <v>605</v>
      </c>
      <c r="FE59">
        <v>1700249663.5999999</v>
      </c>
      <c r="FF59">
        <v>1700249665.5999999</v>
      </c>
      <c r="FG59">
        <v>51</v>
      </c>
      <c r="FH59">
        <v>8.0000000000000002E-3</v>
      </c>
      <c r="FI59">
        <v>-4.0000000000000001E-3</v>
      </c>
      <c r="FJ59">
        <v>-0.309</v>
      </c>
      <c r="FK59">
        <v>6.0000000000000001E-3</v>
      </c>
      <c r="FL59">
        <v>450</v>
      </c>
      <c r="FM59">
        <v>25</v>
      </c>
      <c r="FN59">
        <v>0.05</v>
      </c>
      <c r="FO59">
        <v>0.03</v>
      </c>
      <c r="FP59">
        <v>42.212971752005167</v>
      </c>
      <c r="FQ59">
        <v>-0.55758744270312544</v>
      </c>
      <c r="FR59">
        <v>5.644471517062466E-2</v>
      </c>
      <c r="FS59">
        <v>1</v>
      </c>
      <c r="FT59">
        <v>0.2504348564704208</v>
      </c>
      <c r="FU59">
        <v>-3.8376209547661237E-2</v>
      </c>
      <c r="FV59">
        <v>2.9360883500028829E-3</v>
      </c>
      <c r="FW59">
        <v>1</v>
      </c>
      <c r="FX59">
        <v>2</v>
      </c>
      <c r="FY59">
        <v>2</v>
      </c>
      <c r="FZ59" t="s">
        <v>420</v>
      </c>
      <c r="GA59">
        <v>3.1224599999999998</v>
      </c>
      <c r="GB59">
        <v>2.76688</v>
      </c>
      <c r="GC59">
        <v>9.1061900000000001E-2</v>
      </c>
      <c r="GD59">
        <v>9.67055E-2</v>
      </c>
      <c r="GE59">
        <v>0.119036</v>
      </c>
      <c r="GF59">
        <v>0.110753</v>
      </c>
      <c r="GG59">
        <v>21690.799999999999</v>
      </c>
      <c r="GH59">
        <v>22455.3</v>
      </c>
      <c r="GI59">
        <v>23729.200000000001</v>
      </c>
      <c r="GJ59">
        <v>25179.200000000001</v>
      </c>
      <c r="GK59">
        <v>30112.6</v>
      </c>
      <c r="GL59">
        <v>31401.1</v>
      </c>
      <c r="GM59">
        <v>37832.9</v>
      </c>
      <c r="GN59">
        <v>39203</v>
      </c>
      <c r="GO59">
        <v>2.1166499999999999</v>
      </c>
      <c r="GP59">
        <v>1.7846299999999999</v>
      </c>
      <c r="GQ59">
        <v>4.7229199999999999E-2</v>
      </c>
      <c r="GR59">
        <v>0</v>
      </c>
      <c r="GS59">
        <v>29.2346</v>
      </c>
      <c r="GT59">
        <v>999.9</v>
      </c>
      <c r="GU59">
        <v>45</v>
      </c>
      <c r="GV59">
        <v>37.9</v>
      </c>
      <c r="GW59">
        <v>30.180900000000001</v>
      </c>
      <c r="GX59">
        <v>60.062100000000001</v>
      </c>
      <c r="GY59">
        <v>27.135400000000001</v>
      </c>
      <c r="GZ59">
        <v>1</v>
      </c>
      <c r="HA59">
        <v>0.57170500000000002</v>
      </c>
      <c r="HB59">
        <v>2.1720299999999999</v>
      </c>
      <c r="HC59">
        <v>20.308900000000001</v>
      </c>
      <c r="HD59">
        <v>5.2521800000000001</v>
      </c>
      <c r="HE59">
        <v>12.010400000000001</v>
      </c>
      <c r="HF59">
        <v>4.9793000000000003</v>
      </c>
      <c r="HG59">
        <v>3.2930000000000001</v>
      </c>
      <c r="HH59">
        <v>9999</v>
      </c>
      <c r="HI59">
        <v>9999</v>
      </c>
      <c r="HJ59">
        <v>9999</v>
      </c>
      <c r="HK59">
        <v>999.9</v>
      </c>
      <c r="HL59">
        <v>1.87608</v>
      </c>
      <c r="HM59">
        <v>1.8769800000000001</v>
      </c>
      <c r="HN59">
        <v>1.88324</v>
      </c>
      <c r="HO59">
        <v>1.8863300000000001</v>
      </c>
      <c r="HP59">
        <v>1.87714</v>
      </c>
      <c r="HQ59">
        <v>1.8836999999999999</v>
      </c>
      <c r="HR59">
        <v>1.8826400000000001</v>
      </c>
      <c r="HS59">
        <v>1.8859900000000001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424</v>
      </c>
      <c r="IB59" t="s">
        <v>424</v>
      </c>
      <c r="IC59" t="s">
        <v>423</v>
      </c>
      <c r="ID59">
        <v>0</v>
      </c>
      <c r="IE59">
        <v>100</v>
      </c>
      <c r="IF59">
        <v>100</v>
      </c>
      <c r="IG59">
        <v>-0.30399999999999999</v>
      </c>
      <c r="IH59">
        <v>5.5999999999999999E-3</v>
      </c>
      <c r="II59">
        <v>-0.28283651151424349</v>
      </c>
      <c r="IJ59">
        <v>4.4610147972834149E-5</v>
      </c>
      <c r="IK59">
        <v>-2.082673137682459E-7</v>
      </c>
      <c r="IL59">
        <v>-4.0725795306076518E-11</v>
      </c>
      <c r="IM59">
        <v>5.6150000000023681E-3</v>
      </c>
      <c r="IN59">
        <v>0</v>
      </c>
      <c r="IO59">
        <v>0</v>
      </c>
      <c r="IP59">
        <v>0</v>
      </c>
      <c r="IQ59">
        <v>3</v>
      </c>
      <c r="IR59">
        <v>2179</v>
      </c>
      <c r="IS59">
        <v>0</v>
      </c>
      <c r="IT59">
        <v>22</v>
      </c>
      <c r="IU59">
        <v>0.7</v>
      </c>
      <c r="IV59">
        <v>0.7</v>
      </c>
      <c r="IW59">
        <v>1.1254900000000001</v>
      </c>
      <c r="IX59">
        <v>2.6916500000000001</v>
      </c>
      <c r="IY59">
        <v>1.6015600000000001</v>
      </c>
      <c r="IZ59">
        <v>2.3303199999999999</v>
      </c>
      <c r="JA59">
        <v>1.5502899999999999</v>
      </c>
      <c r="JB59">
        <v>2.4169900000000002</v>
      </c>
      <c r="JC59">
        <v>42.085700000000003</v>
      </c>
      <c r="JD59">
        <v>24.096299999999999</v>
      </c>
      <c r="JE59">
        <v>18</v>
      </c>
      <c r="JF59">
        <v>588.64499999999998</v>
      </c>
      <c r="JG59">
        <v>406.03300000000002</v>
      </c>
      <c r="JH59">
        <v>27.256699999999999</v>
      </c>
      <c r="JI59">
        <v>34.160699999999999</v>
      </c>
      <c r="JJ59">
        <v>30</v>
      </c>
      <c r="JK59">
        <v>34.254100000000001</v>
      </c>
      <c r="JL59">
        <v>34.247799999999998</v>
      </c>
      <c r="JM59">
        <v>22.5182</v>
      </c>
      <c r="JN59">
        <v>22.754200000000001</v>
      </c>
      <c r="JO59">
        <v>67.002899999999997</v>
      </c>
      <c r="JP59">
        <v>27.253799999999998</v>
      </c>
      <c r="JQ59">
        <v>450</v>
      </c>
      <c r="JR59">
        <v>25.2028</v>
      </c>
      <c r="JS59">
        <v>98.670199999999994</v>
      </c>
      <c r="JT59">
        <v>99.192099999999996</v>
      </c>
    </row>
    <row r="60" spans="1:280" x14ac:dyDescent="0.25">
      <c r="A60">
        <v>44</v>
      </c>
      <c r="B60">
        <v>1700249807.5999999</v>
      </c>
      <c r="C60">
        <v>14570.099999904631</v>
      </c>
      <c r="D60" t="s">
        <v>606</v>
      </c>
      <c r="E60" t="s">
        <v>607</v>
      </c>
      <c r="F60" t="s">
        <v>412</v>
      </c>
      <c r="G60" t="s">
        <v>544</v>
      </c>
      <c r="H60" t="s">
        <v>544</v>
      </c>
      <c r="I60">
        <v>1700249807.5999999</v>
      </c>
      <c r="J60">
        <f t="shared" si="46"/>
        <v>2.716184148592394E-3</v>
      </c>
      <c r="K60">
        <f t="shared" si="47"/>
        <v>2.7161841485923941</v>
      </c>
      <c r="L60">
        <f t="shared" si="48"/>
        <v>50.98412235717236</v>
      </c>
      <c r="M60">
        <f t="shared" si="49"/>
        <v>1456.9</v>
      </c>
      <c r="N60">
        <f t="shared" si="50"/>
        <v>949.29128103320079</v>
      </c>
      <c r="O60">
        <f t="shared" si="51"/>
        <v>93.807703732879702</v>
      </c>
      <c r="P60">
        <f t="shared" si="52"/>
        <v>143.96892323680001</v>
      </c>
      <c r="Q60">
        <f t="shared" si="53"/>
        <v>0.17515968656279376</v>
      </c>
      <c r="R60">
        <f t="shared" si="54"/>
        <v>3.4221214728030249</v>
      </c>
      <c r="S60">
        <f t="shared" si="55"/>
        <v>0.17032706451446966</v>
      </c>
      <c r="T60">
        <f t="shared" si="56"/>
        <v>0.10687750158352302</v>
      </c>
      <c r="U60">
        <f t="shared" si="57"/>
        <v>344.35739930249702</v>
      </c>
      <c r="V60">
        <f t="shared" si="58"/>
        <v>31.09021672156949</v>
      </c>
      <c r="W60">
        <f t="shared" si="59"/>
        <v>30.0611</v>
      </c>
      <c r="X60">
        <f t="shared" si="60"/>
        <v>4.2754248511614499</v>
      </c>
      <c r="Y60">
        <f t="shared" si="61"/>
        <v>64.875998023251455</v>
      </c>
      <c r="Z60">
        <f t="shared" si="62"/>
        <v>2.7556377236576002</v>
      </c>
      <c r="AA60">
        <f t="shared" si="63"/>
        <v>4.2475457913880321</v>
      </c>
      <c r="AB60">
        <f t="shared" si="64"/>
        <v>1.5197871275038497</v>
      </c>
      <c r="AC60">
        <f t="shared" si="65"/>
        <v>-119.78372095292457</v>
      </c>
      <c r="AD60">
        <f t="shared" si="66"/>
        <v>-21.013799722676275</v>
      </c>
      <c r="AE60">
        <f t="shared" si="67"/>
        <v>-1.3654195625396395</v>
      </c>
      <c r="AF60">
        <f t="shared" si="68"/>
        <v>202.19445906435655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51502.630723518821</v>
      </c>
      <c r="AL60" t="s">
        <v>427</v>
      </c>
      <c r="AM60" t="s">
        <v>427</v>
      </c>
      <c r="AN60">
        <v>0</v>
      </c>
      <c r="AO60">
        <v>0</v>
      </c>
      <c r="AP60" t="e">
        <f t="shared" si="72"/>
        <v>#DIV/0!</v>
      </c>
      <c r="AQ60">
        <v>0</v>
      </c>
      <c r="AR60" t="s">
        <v>427</v>
      </c>
      <c r="AS60" t="s">
        <v>427</v>
      </c>
      <c r="AT60">
        <v>0</v>
      </c>
      <c r="AU60">
        <v>0</v>
      </c>
      <c r="AV60" t="e">
        <f t="shared" si="73"/>
        <v>#DIV/0!</v>
      </c>
      <c r="AW60">
        <v>0.5</v>
      </c>
      <c r="AX60">
        <f t="shared" si="74"/>
        <v>1513.1339996512484</v>
      </c>
      <c r="AY60">
        <f t="shared" si="75"/>
        <v>50.98412235717236</v>
      </c>
      <c r="AZ60" t="e">
        <f t="shared" si="76"/>
        <v>#DIV/0!</v>
      </c>
      <c r="BA60">
        <f t="shared" si="77"/>
        <v>3.3694386861258377E-2</v>
      </c>
      <c r="BB60" t="e">
        <f t="shared" si="78"/>
        <v>#DIV/0!</v>
      </c>
      <c r="BC60" t="e">
        <f t="shared" si="79"/>
        <v>#DIV/0!</v>
      </c>
      <c r="BD60" t="s">
        <v>427</v>
      </c>
      <c r="BE60">
        <v>0</v>
      </c>
      <c r="BF60" t="e">
        <f t="shared" si="80"/>
        <v>#DIV/0!</v>
      </c>
      <c r="BG60" t="e">
        <f t="shared" si="81"/>
        <v>#DIV/0!</v>
      </c>
      <c r="BH60" t="e">
        <f t="shared" si="82"/>
        <v>#DIV/0!</v>
      </c>
      <c r="BI60" t="e">
        <f t="shared" si="83"/>
        <v>#DIV/0!</v>
      </c>
      <c r="BJ60" t="e">
        <f t="shared" si="84"/>
        <v>#DIV/0!</v>
      </c>
      <c r="BK60" t="e">
        <f t="shared" si="85"/>
        <v>#DIV/0!</v>
      </c>
      <c r="BL60" t="e">
        <f t="shared" si="86"/>
        <v>#DIV/0!</v>
      </c>
      <c r="BM60" t="e">
        <f t="shared" si="87"/>
        <v>#DIV/0!</v>
      </c>
      <c r="BN60">
        <v>11412</v>
      </c>
      <c r="BO60">
        <v>290.00000000000011</v>
      </c>
      <c r="BP60">
        <v>654.24</v>
      </c>
      <c r="BQ60">
        <v>285</v>
      </c>
      <c r="BR60">
        <v>7114.38</v>
      </c>
      <c r="BS60">
        <v>656.08</v>
      </c>
      <c r="BT60">
        <v>-1.84</v>
      </c>
      <c r="BU60">
        <v>300.00000000000011</v>
      </c>
      <c r="BV60">
        <v>38.299999999999997</v>
      </c>
      <c r="BW60">
        <v>707.85300788720974</v>
      </c>
      <c r="BX60">
        <v>1.304018163399387</v>
      </c>
      <c r="BY60">
        <v>-36.833176497787683</v>
      </c>
      <c r="BZ60">
        <v>0.77766422338362318</v>
      </c>
      <c r="CA60">
        <v>0.98767244749140815</v>
      </c>
      <c r="CB60">
        <v>-7.0149813125695171E-3</v>
      </c>
      <c r="CC60">
        <v>289.99999999999989</v>
      </c>
      <c r="CD60">
        <v>665.24</v>
      </c>
      <c r="CE60">
        <v>895</v>
      </c>
      <c r="CF60">
        <v>7105.36</v>
      </c>
      <c r="CG60">
        <v>656.01</v>
      </c>
      <c r="CH60">
        <v>9.23</v>
      </c>
      <c r="CV60">
        <f t="shared" si="88"/>
        <v>1799.94</v>
      </c>
      <c r="CW60">
        <f t="shared" si="89"/>
        <v>1513.1339996512484</v>
      </c>
      <c r="CX60">
        <f t="shared" si="90"/>
        <v>0.84065802174030713</v>
      </c>
      <c r="CY60">
        <f t="shared" si="91"/>
        <v>0.19131604348061435</v>
      </c>
      <c r="CZ60">
        <v>3.93</v>
      </c>
      <c r="DA60">
        <v>0.5</v>
      </c>
      <c r="DB60" t="s">
        <v>418</v>
      </c>
      <c r="DC60">
        <v>2</v>
      </c>
      <c r="DD60">
        <v>1700249807.5999999</v>
      </c>
      <c r="DE60">
        <v>1456.9</v>
      </c>
      <c r="DF60">
        <v>1500.08</v>
      </c>
      <c r="DG60">
        <v>27.8858</v>
      </c>
      <c r="DH60">
        <v>25.810600000000001</v>
      </c>
      <c r="DI60">
        <v>1456.98</v>
      </c>
      <c r="DJ60">
        <v>27.8765</v>
      </c>
      <c r="DK60">
        <v>500.04500000000002</v>
      </c>
      <c r="DL60">
        <v>98.718500000000006</v>
      </c>
      <c r="DM60">
        <v>0.100172</v>
      </c>
      <c r="DN60">
        <v>29.947199999999999</v>
      </c>
      <c r="DO60">
        <v>30.0611</v>
      </c>
      <c r="DP60">
        <v>999.9</v>
      </c>
      <c r="DQ60">
        <v>0</v>
      </c>
      <c r="DR60">
        <v>0</v>
      </c>
      <c r="DS60">
        <v>9961.8799999999992</v>
      </c>
      <c r="DT60">
        <v>0</v>
      </c>
      <c r="DU60">
        <v>495.197</v>
      </c>
      <c r="DV60">
        <v>-43.183500000000002</v>
      </c>
      <c r="DW60">
        <v>1498.69</v>
      </c>
      <c r="DX60">
        <v>1539.83</v>
      </c>
      <c r="DY60">
        <v>2.0752100000000002</v>
      </c>
      <c r="DZ60">
        <v>1500.08</v>
      </c>
      <c r="EA60">
        <v>25.810600000000001</v>
      </c>
      <c r="EB60">
        <v>2.75284</v>
      </c>
      <c r="EC60">
        <v>2.5479799999999999</v>
      </c>
      <c r="ED60">
        <v>22.603999999999999</v>
      </c>
      <c r="EE60">
        <v>21.336300000000001</v>
      </c>
      <c r="EF60">
        <v>1799.94</v>
      </c>
      <c r="EG60">
        <v>0.97800500000000001</v>
      </c>
      <c r="EH60">
        <v>2.1994900000000001E-2</v>
      </c>
      <c r="EI60">
        <v>0</v>
      </c>
      <c r="EJ60">
        <v>500.15199999999999</v>
      </c>
      <c r="EK60">
        <v>5.0005300000000004</v>
      </c>
      <c r="EL60">
        <v>9818.65</v>
      </c>
      <c r="EM60">
        <v>16034.8</v>
      </c>
      <c r="EN60">
        <v>47.561999999999998</v>
      </c>
      <c r="EO60">
        <v>48.686999999999998</v>
      </c>
      <c r="EP60">
        <v>48.125</v>
      </c>
      <c r="EQ60">
        <v>48.25</v>
      </c>
      <c r="ER60">
        <v>48.811999999999998</v>
      </c>
      <c r="ES60">
        <v>1755.46</v>
      </c>
      <c r="ET60">
        <v>39.479999999999997</v>
      </c>
      <c r="EU60">
        <v>0</v>
      </c>
      <c r="EV60">
        <v>100.4000000953674</v>
      </c>
      <c r="EW60">
        <v>0</v>
      </c>
      <c r="EX60">
        <v>500.08659999999998</v>
      </c>
      <c r="EY60">
        <v>-1.4385384590830079</v>
      </c>
      <c r="EZ60">
        <v>-23.899230711220319</v>
      </c>
      <c r="FA60">
        <v>9820.1640000000007</v>
      </c>
      <c r="FB60">
        <v>15</v>
      </c>
      <c r="FC60">
        <v>1700249774.0999999</v>
      </c>
      <c r="FD60" t="s">
        <v>608</v>
      </c>
      <c r="FE60">
        <v>1700249768.0999999</v>
      </c>
      <c r="FF60">
        <v>1700249774.0999999</v>
      </c>
      <c r="FG60">
        <v>52</v>
      </c>
      <c r="FH60">
        <v>0.71099999999999997</v>
      </c>
      <c r="FI60">
        <v>4.0000000000000001E-3</v>
      </c>
      <c r="FJ60">
        <v>-0.112</v>
      </c>
      <c r="FK60">
        <v>8.9999999999999993E-3</v>
      </c>
      <c r="FL60">
        <v>1501</v>
      </c>
      <c r="FM60">
        <v>25</v>
      </c>
      <c r="FN60">
        <v>0.03</v>
      </c>
      <c r="FO60">
        <v>0.03</v>
      </c>
      <c r="FP60">
        <v>51.117156329091962</v>
      </c>
      <c r="FQ60">
        <v>-0.675281019675392</v>
      </c>
      <c r="FR60">
        <v>7.616456111919101E-2</v>
      </c>
      <c r="FS60">
        <v>1</v>
      </c>
      <c r="FT60">
        <v>0.1797716198943968</v>
      </c>
      <c r="FU60">
        <v>-1.338724119567395E-2</v>
      </c>
      <c r="FV60">
        <v>1.5470984821759561E-3</v>
      </c>
      <c r="FW60">
        <v>1</v>
      </c>
      <c r="FX60">
        <v>2</v>
      </c>
      <c r="FY60">
        <v>2</v>
      </c>
      <c r="FZ60" t="s">
        <v>420</v>
      </c>
      <c r="GA60">
        <v>3.12215</v>
      </c>
      <c r="GB60">
        <v>2.7667099999999998</v>
      </c>
      <c r="GC60">
        <v>0.21143600000000001</v>
      </c>
      <c r="GD60">
        <v>0.215004</v>
      </c>
      <c r="GE60">
        <v>0.11852799999999999</v>
      </c>
      <c r="GF60">
        <v>0.112523</v>
      </c>
      <c r="GG60">
        <v>18814.2</v>
      </c>
      <c r="GH60">
        <v>19509.7</v>
      </c>
      <c r="GI60">
        <v>23730</v>
      </c>
      <c r="GJ60">
        <v>25180.2</v>
      </c>
      <c r="GK60">
        <v>30130.799999999999</v>
      </c>
      <c r="GL60">
        <v>31339.4</v>
      </c>
      <c r="GM60">
        <v>37834.300000000003</v>
      </c>
      <c r="GN60">
        <v>39204.300000000003</v>
      </c>
      <c r="GO60">
        <v>2.1155499999999998</v>
      </c>
      <c r="GP60">
        <v>1.7899700000000001</v>
      </c>
      <c r="GQ60">
        <v>5.2533999999999997E-2</v>
      </c>
      <c r="GR60">
        <v>0</v>
      </c>
      <c r="GS60">
        <v>29.2057</v>
      </c>
      <c r="GT60">
        <v>999.9</v>
      </c>
      <c r="GU60">
        <v>45.2</v>
      </c>
      <c r="GV60">
        <v>37.9</v>
      </c>
      <c r="GW60">
        <v>30.316600000000001</v>
      </c>
      <c r="GX60">
        <v>60.6021</v>
      </c>
      <c r="GY60">
        <v>27.019200000000001</v>
      </c>
      <c r="GZ60">
        <v>1</v>
      </c>
      <c r="HA60">
        <v>0.57294999999999996</v>
      </c>
      <c r="HB60">
        <v>2.98441</v>
      </c>
      <c r="HC60">
        <v>20.2959</v>
      </c>
      <c r="HD60">
        <v>5.2493400000000001</v>
      </c>
      <c r="HE60">
        <v>12.0131</v>
      </c>
      <c r="HF60">
        <v>4.9774500000000002</v>
      </c>
      <c r="HG60">
        <v>3.29223</v>
      </c>
      <c r="HH60">
        <v>9999</v>
      </c>
      <c r="HI60">
        <v>9999</v>
      </c>
      <c r="HJ60">
        <v>9999</v>
      </c>
      <c r="HK60">
        <v>999.9</v>
      </c>
      <c r="HL60">
        <v>1.87609</v>
      </c>
      <c r="HM60">
        <v>1.8769800000000001</v>
      </c>
      <c r="HN60">
        <v>1.88324</v>
      </c>
      <c r="HO60">
        <v>1.8863399999999999</v>
      </c>
      <c r="HP60">
        <v>1.87714</v>
      </c>
      <c r="HQ60">
        <v>1.8836999999999999</v>
      </c>
      <c r="HR60">
        <v>1.88263</v>
      </c>
      <c r="HS60">
        <v>1.8859999999999999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424</v>
      </c>
      <c r="IB60" t="s">
        <v>424</v>
      </c>
      <c r="IC60" t="s">
        <v>423</v>
      </c>
      <c r="ID60">
        <v>0</v>
      </c>
      <c r="IE60">
        <v>100</v>
      </c>
      <c r="IF60">
        <v>100</v>
      </c>
      <c r="IG60">
        <v>-0.08</v>
      </c>
      <c r="IH60">
        <v>9.2999999999999992E-3</v>
      </c>
      <c r="II60">
        <v>0.42785545630230348</v>
      </c>
      <c r="IJ60">
        <v>4.4610147972834149E-5</v>
      </c>
      <c r="IK60">
        <v>-2.082673137682459E-7</v>
      </c>
      <c r="IL60">
        <v>-4.0725795306076518E-11</v>
      </c>
      <c r="IM60">
        <v>9.2380952380999304E-3</v>
      </c>
      <c r="IN60">
        <v>0</v>
      </c>
      <c r="IO60">
        <v>0</v>
      </c>
      <c r="IP60">
        <v>0</v>
      </c>
      <c r="IQ60">
        <v>3</v>
      </c>
      <c r="IR60">
        <v>2179</v>
      </c>
      <c r="IS60">
        <v>0</v>
      </c>
      <c r="IT60">
        <v>22</v>
      </c>
      <c r="IU60">
        <v>0.7</v>
      </c>
      <c r="IV60">
        <v>0.6</v>
      </c>
      <c r="IW60">
        <v>2.99316</v>
      </c>
      <c r="IX60">
        <v>2.6672400000000001</v>
      </c>
      <c r="IY60">
        <v>1.6015600000000001</v>
      </c>
      <c r="IZ60">
        <v>2.3278799999999999</v>
      </c>
      <c r="JA60">
        <v>1.5502899999999999</v>
      </c>
      <c r="JB60">
        <v>2.3986800000000001</v>
      </c>
      <c r="JC60">
        <v>42.0593</v>
      </c>
      <c r="JD60">
        <v>24.087499999999999</v>
      </c>
      <c r="JE60">
        <v>18</v>
      </c>
      <c r="JF60">
        <v>587.59799999999996</v>
      </c>
      <c r="JG60">
        <v>409.25099999999998</v>
      </c>
      <c r="JH60">
        <v>26.708100000000002</v>
      </c>
      <c r="JI60">
        <v>34.131900000000002</v>
      </c>
      <c r="JJ60">
        <v>30.0002</v>
      </c>
      <c r="JK60">
        <v>34.222900000000003</v>
      </c>
      <c r="JL60">
        <v>34.213700000000003</v>
      </c>
      <c r="JM60">
        <v>59.910800000000002</v>
      </c>
      <c r="JN60">
        <v>20.751100000000001</v>
      </c>
      <c r="JO60">
        <v>67.795000000000002</v>
      </c>
      <c r="JP60">
        <v>26.646000000000001</v>
      </c>
      <c r="JQ60">
        <v>1500</v>
      </c>
      <c r="JR60">
        <v>25.9314</v>
      </c>
      <c r="JS60">
        <v>98.673699999999997</v>
      </c>
      <c r="JT60">
        <v>99.195499999999996</v>
      </c>
    </row>
    <row r="61" spans="1:280" x14ac:dyDescent="0.25">
      <c r="A61">
        <v>45</v>
      </c>
      <c r="B61">
        <v>1700249909.5999999</v>
      </c>
      <c r="C61">
        <v>14672.099999904631</v>
      </c>
      <c r="D61" t="s">
        <v>609</v>
      </c>
      <c r="E61" t="s">
        <v>610</v>
      </c>
      <c r="F61" t="s">
        <v>412</v>
      </c>
      <c r="G61" t="s">
        <v>544</v>
      </c>
      <c r="H61" t="s">
        <v>544</v>
      </c>
      <c r="I61">
        <v>1700249909.5999999</v>
      </c>
      <c r="J61">
        <f t="shared" si="46"/>
        <v>2.3033285338466395E-3</v>
      </c>
      <c r="K61">
        <f t="shared" si="47"/>
        <v>2.3033285338466394</v>
      </c>
      <c r="L61">
        <f t="shared" si="48"/>
        <v>47.171381759914922</v>
      </c>
      <c r="M61">
        <f t="shared" si="49"/>
        <v>1210.82</v>
      </c>
      <c r="N61">
        <f t="shared" si="50"/>
        <v>666.16985313183443</v>
      </c>
      <c r="O61">
        <f t="shared" si="51"/>
        <v>65.827470381193066</v>
      </c>
      <c r="P61">
        <f t="shared" si="52"/>
        <v>119.64698989640799</v>
      </c>
      <c r="Q61">
        <f t="shared" si="53"/>
        <v>0.14787920775982727</v>
      </c>
      <c r="R61">
        <f t="shared" si="54"/>
        <v>3.4441861537977099</v>
      </c>
      <c r="S61">
        <f t="shared" si="55"/>
        <v>0.14444028563814443</v>
      </c>
      <c r="T61">
        <f t="shared" si="56"/>
        <v>9.0577491233259019E-2</v>
      </c>
      <c r="U61">
        <f t="shared" si="57"/>
        <v>344.36689930251634</v>
      </c>
      <c r="V61">
        <f t="shared" si="58"/>
        <v>31.023808404292712</v>
      </c>
      <c r="W61">
        <f t="shared" si="59"/>
        <v>30.002700000000001</v>
      </c>
      <c r="X61">
        <f t="shared" si="60"/>
        <v>4.2611105522817798</v>
      </c>
      <c r="Y61">
        <f t="shared" si="61"/>
        <v>65.101396005722606</v>
      </c>
      <c r="Z61">
        <f t="shared" si="62"/>
        <v>2.7411830725626403</v>
      </c>
      <c r="AA61">
        <f t="shared" si="63"/>
        <v>4.2106363929917601</v>
      </c>
      <c r="AB61">
        <f t="shared" si="64"/>
        <v>1.5199274797191396</v>
      </c>
      <c r="AC61">
        <f t="shared" si="65"/>
        <v>-101.5767883426368</v>
      </c>
      <c r="AD61">
        <f t="shared" si="66"/>
        <v>-38.4920784213503</v>
      </c>
      <c r="AE61">
        <f t="shared" si="67"/>
        <v>-2.4825027474768837</v>
      </c>
      <c r="AF61">
        <f t="shared" si="68"/>
        <v>201.81552979105237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52010.50887390643</v>
      </c>
      <c r="AL61" t="s">
        <v>415</v>
      </c>
      <c r="AM61">
        <v>6977.87</v>
      </c>
      <c r="AN61">
        <v>273.15280000000001</v>
      </c>
      <c r="AO61">
        <v>850.46774885301022</v>
      </c>
      <c r="AP61">
        <f t="shared" si="72"/>
        <v>0.67882050745793765</v>
      </c>
      <c r="AQ61">
        <v>-1.0323826813720729</v>
      </c>
      <c r="AR61" t="s">
        <v>611</v>
      </c>
      <c r="AS61">
        <v>7114.52</v>
      </c>
      <c r="AT61">
        <v>501.79043999999988</v>
      </c>
      <c r="AU61">
        <v>738.46798127521993</v>
      </c>
      <c r="AV61">
        <f t="shared" si="73"/>
        <v>0.32049804091236911</v>
      </c>
      <c r="AW61">
        <v>0.5</v>
      </c>
      <c r="AX61">
        <f t="shared" si="74"/>
        <v>1513.1759996512581</v>
      </c>
      <c r="AY61">
        <f t="shared" si="75"/>
        <v>47.171381759914922</v>
      </c>
      <c r="AZ61">
        <f t="shared" si="76"/>
        <v>242.48497172192197</v>
      </c>
      <c r="BA61">
        <f t="shared" si="77"/>
        <v>3.1856019691296006E-2</v>
      </c>
      <c r="BB61">
        <f t="shared" si="78"/>
        <v>0.15166502870494672</v>
      </c>
      <c r="BC61">
        <f t="shared" si="79"/>
        <v>260.46510284275411</v>
      </c>
      <c r="BD61" t="s">
        <v>612</v>
      </c>
      <c r="BE61">
        <v>375.92</v>
      </c>
      <c r="BF61">
        <f t="shared" si="80"/>
        <v>375.92</v>
      </c>
      <c r="BG61">
        <f t="shared" si="81"/>
        <v>0.4909461079804105</v>
      </c>
      <c r="BH61">
        <f t="shared" si="82"/>
        <v>0.65281715386397854</v>
      </c>
      <c r="BI61">
        <f t="shared" si="83"/>
        <v>0.23601369482522169</v>
      </c>
      <c r="BJ61">
        <f t="shared" si="84"/>
        <v>0.50863919940585911</v>
      </c>
      <c r="BK61">
        <f t="shared" si="85"/>
        <v>0.19400115621517791</v>
      </c>
      <c r="BL61">
        <f t="shared" si="86"/>
        <v>0.48906277385545027</v>
      </c>
      <c r="BM61">
        <f t="shared" si="87"/>
        <v>0.51093722614454973</v>
      </c>
      <c r="BN61">
        <v>11414</v>
      </c>
      <c r="BO61">
        <v>290.00000000000011</v>
      </c>
      <c r="BP61">
        <v>671.3</v>
      </c>
      <c r="BQ61">
        <v>295</v>
      </c>
      <c r="BR61">
        <v>7114.52</v>
      </c>
      <c r="BS61">
        <v>673.47</v>
      </c>
      <c r="BT61">
        <v>-2.17</v>
      </c>
      <c r="BU61">
        <v>300.00000000000011</v>
      </c>
      <c r="BV61">
        <v>38.299999999999997</v>
      </c>
      <c r="BW61">
        <v>738.46798127521993</v>
      </c>
      <c r="BX61">
        <v>1.1597437555869541</v>
      </c>
      <c r="BY61">
        <v>-46.244595416097447</v>
      </c>
      <c r="BZ61">
        <v>0.69163914034259599</v>
      </c>
      <c r="CA61">
        <v>0.99377579907364066</v>
      </c>
      <c r="CB61">
        <v>-7.0151717463848772E-3</v>
      </c>
      <c r="CC61">
        <v>289.99999999999989</v>
      </c>
      <c r="CD61">
        <v>681.68</v>
      </c>
      <c r="CE61">
        <v>875</v>
      </c>
      <c r="CF61">
        <v>7105.66</v>
      </c>
      <c r="CG61">
        <v>673.39</v>
      </c>
      <c r="CH61">
        <v>8.2899999999999991</v>
      </c>
      <c r="CV61">
        <f t="shared" si="88"/>
        <v>1799.99</v>
      </c>
      <c r="CW61">
        <f t="shared" si="89"/>
        <v>1513.1759996512581</v>
      </c>
      <c r="CX61">
        <f t="shared" si="90"/>
        <v>0.84065800346182928</v>
      </c>
      <c r="CY61">
        <f t="shared" si="91"/>
        <v>0.19131600692365866</v>
      </c>
      <c r="CZ61">
        <v>3.93</v>
      </c>
      <c r="DA61">
        <v>0.5</v>
      </c>
      <c r="DB61" t="s">
        <v>418</v>
      </c>
      <c r="DC61">
        <v>2</v>
      </c>
      <c r="DD61">
        <v>1700249909.5999999</v>
      </c>
      <c r="DE61">
        <v>1210.82</v>
      </c>
      <c r="DF61">
        <v>1250.08</v>
      </c>
      <c r="DG61">
        <v>27.740600000000001</v>
      </c>
      <c r="DH61">
        <v>25.980799999999999</v>
      </c>
      <c r="DI61">
        <v>1210.94</v>
      </c>
      <c r="DJ61">
        <v>27.729500000000002</v>
      </c>
      <c r="DK61">
        <v>500.11200000000002</v>
      </c>
      <c r="DL61">
        <v>98.715599999999995</v>
      </c>
      <c r="DM61">
        <v>9.9244399999999997E-2</v>
      </c>
      <c r="DN61">
        <v>29.795400000000001</v>
      </c>
      <c r="DO61">
        <v>30.002700000000001</v>
      </c>
      <c r="DP61">
        <v>999.9</v>
      </c>
      <c r="DQ61">
        <v>0</v>
      </c>
      <c r="DR61">
        <v>0</v>
      </c>
      <c r="DS61">
        <v>10059.4</v>
      </c>
      <c r="DT61">
        <v>0</v>
      </c>
      <c r="DU61">
        <v>482.62799999999999</v>
      </c>
      <c r="DV61">
        <v>-39.2622</v>
      </c>
      <c r="DW61">
        <v>1245.3699999999999</v>
      </c>
      <c r="DX61">
        <v>1283.43</v>
      </c>
      <c r="DY61">
        <v>1.75987</v>
      </c>
      <c r="DZ61">
        <v>1250.08</v>
      </c>
      <c r="EA61">
        <v>25.980799999999999</v>
      </c>
      <c r="EB61">
        <v>2.7384300000000001</v>
      </c>
      <c r="EC61">
        <v>2.5647099999999998</v>
      </c>
      <c r="ED61">
        <v>22.517600000000002</v>
      </c>
      <c r="EE61">
        <v>21.443100000000001</v>
      </c>
      <c r="EF61">
        <v>1799.99</v>
      </c>
      <c r="EG61">
        <v>0.97800500000000001</v>
      </c>
      <c r="EH61">
        <v>2.1994900000000001E-2</v>
      </c>
      <c r="EI61">
        <v>0</v>
      </c>
      <c r="EJ61">
        <v>501.93299999999999</v>
      </c>
      <c r="EK61">
        <v>5.0005300000000004</v>
      </c>
      <c r="EL61">
        <v>9842.3700000000008</v>
      </c>
      <c r="EM61">
        <v>16035.2</v>
      </c>
      <c r="EN61">
        <v>47.5</v>
      </c>
      <c r="EO61">
        <v>48.625</v>
      </c>
      <c r="EP61">
        <v>48.061999999999998</v>
      </c>
      <c r="EQ61">
        <v>48.25</v>
      </c>
      <c r="ER61">
        <v>48.75</v>
      </c>
      <c r="ES61">
        <v>1755.51</v>
      </c>
      <c r="ET61">
        <v>39.479999999999997</v>
      </c>
      <c r="EU61">
        <v>0</v>
      </c>
      <c r="EV61">
        <v>202.4000000953674</v>
      </c>
      <c r="EW61">
        <v>0</v>
      </c>
      <c r="EX61">
        <v>501.79043999999988</v>
      </c>
      <c r="EY61">
        <v>-0.34461539205163938</v>
      </c>
      <c r="EZ61">
        <v>-28.685384555574231</v>
      </c>
      <c r="FA61">
        <v>9844.5488000000005</v>
      </c>
      <c r="FB61">
        <v>15</v>
      </c>
      <c r="FC61">
        <v>1700249875.0999999</v>
      </c>
      <c r="FD61" t="s">
        <v>613</v>
      </c>
      <c r="FE61">
        <v>1700249863.0999999</v>
      </c>
      <c r="FF61">
        <v>1700249875.0999999</v>
      </c>
      <c r="FG61">
        <v>53</v>
      </c>
      <c r="FH61">
        <v>-0.22700000000000001</v>
      </c>
      <c r="FI61">
        <v>2E-3</v>
      </c>
      <c r="FJ61">
        <v>-0.14899999999999999</v>
      </c>
      <c r="FK61">
        <v>1.0999999999999999E-2</v>
      </c>
      <c r="FL61">
        <v>1250</v>
      </c>
      <c r="FM61">
        <v>26</v>
      </c>
      <c r="FN61">
        <v>7.0000000000000007E-2</v>
      </c>
      <c r="FO61">
        <v>0.04</v>
      </c>
      <c r="FP61">
        <v>47.221681695665261</v>
      </c>
      <c r="FQ61">
        <v>-0.26543659505493178</v>
      </c>
      <c r="FR61">
        <v>0.1227549507983533</v>
      </c>
      <c r="FS61">
        <v>1</v>
      </c>
      <c r="FT61">
        <v>0.1480483763205776</v>
      </c>
      <c r="FU61">
        <v>-7.984510780883294E-3</v>
      </c>
      <c r="FV61">
        <v>8.9227538619653872E-4</v>
      </c>
      <c r="FW61">
        <v>1</v>
      </c>
      <c r="FX61">
        <v>2</v>
      </c>
      <c r="FY61">
        <v>2</v>
      </c>
      <c r="FZ61" t="s">
        <v>420</v>
      </c>
      <c r="GA61">
        <v>3.1222400000000001</v>
      </c>
      <c r="GB61">
        <v>2.7666400000000002</v>
      </c>
      <c r="GC61">
        <v>0.18895000000000001</v>
      </c>
      <c r="GD61">
        <v>0.19258600000000001</v>
      </c>
      <c r="GE61">
        <v>0.1181</v>
      </c>
      <c r="GF61">
        <v>0.11304599999999999</v>
      </c>
      <c r="GG61">
        <v>19354.2</v>
      </c>
      <c r="GH61">
        <v>20070.5</v>
      </c>
      <c r="GI61">
        <v>23732.1</v>
      </c>
      <c r="GJ61">
        <v>25182.1</v>
      </c>
      <c r="GK61">
        <v>30147.8</v>
      </c>
      <c r="GL61">
        <v>31323.1</v>
      </c>
      <c r="GM61">
        <v>37837.1</v>
      </c>
      <c r="GN61">
        <v>39206.9</v>
      </c>
      <c r="GO61">
        <v>2.1157300000000001</v>
      </c>
      <c r="GP61">
        <v>1.78992</v>
      </c>
      <c r="GQ61">
        <v>5.5558999999999997E-2</v>
      </c>
      <c r="GR61">
        <v>0</v>
      </c>
      <c r="GS61">
        <v>29.097899999999999</v>
      </c>
      <c r="GT61">
        <v>999.9</v>
      </c>
      <c r="GU61">
        <v>45.5</v>
      </c>
      <c r="GV61">
        <v>37.799999999999997</v>
      </c>
      <c r="GW61">
        <v>30.354399999999998</v>
      </c>
      <c r="GX61">
        <v>60.302100000000003</v>
      </c>
      <c r="GY61">
        <v>26.526399999999999</v>
      </c>
      <c r="GZ61">
        <v>1</v>
      </c>
      <c r="HA61">
        <v>0.566662</v>
      </c>
      <c r="HB61">
        <v>2.2994699999999999</v>
      </c>
      <c r="HC61">
        <v>20.306799999999999</v>
      </c>
      <c r="HD61">
        <v>5.2488900000000003</v>
      </c>
      <c r="HE61">
        <v>12.0123</v>
      </c>
      <c r="HF61">
        <v>4.9779999999999998</v>
      </c>
      <c r="HG61">
        <v>3.29223</v>
      </c>
      <c r="HH61">
        <v>9999</v>
      </c>
      <c r="HI61">
        <v>9999</v>
      </c>
      <c r="HJ61">
        <v>9999</v>
      </c>
      <c r="HK61">
        <v>999.9</v>
      </c>
      <c r="HL61">
        <v>1.87612</v>
      </c>
      <c r="HM61">
        <v>1.8769800000000001</v>
      </c>
      <c r="HN61">
        <v>1.8832599999999999</v>
      </c>
      <c r="HO61">
        <v>1.8864000000000001</v>
      </c>
      <c r="HP61">
        <v>1.87714</v>
      </c>
      <c r="HQ61">
        <v>1.8836999999999999</v>
      </c>
      <c r="HR61">
        <v>1.88263</v>
      </c>
      <c r="HS61">
        <v>1.8860300000000001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424</v>
      </c>
      <c r="IB61" t="s">
        <v>424</v>
      </c>
      <c r="IC61" t="s">
        <v>423</v>
      </c>
      <c r="ID61">
        <v>0</v>
      </c>
      <c r="IE61">
        <v>100</v>
      </c>
      <c r="IF61">
        <v>100</v>
      </c>
      <c r="IG61">
        <v>-0.12</v>
      </c>
      <c r="IH61">
        <v>1.11E-2</v>
      </c>
      <c r="II61">
        <v>0.2002806039072261</v>
      </c>
      <c r="IJ61">
        <v>4.4610147972834149E-5</v>
      </c>
      <c r="IK61">
        <v>-2.082673137682459E-7</v>
      </c>
      <c r="IL61">
        <v>-4.0725795306076518E-11</v>
      </c>
      <c r="IM61">
        <v>1.111000000000217E-2</v>
      </c>
      <c r="IN61">
        <v>0</v>
      </c>
      <c r="IO61">
        <v>0</v>
      </c>
      <c r="IP61">
        <v>0</v>
      </c>
      <c r="IQ61">
        <v>3</v>
      </c>
      <c r="IR61">
        <v>2179</v>
      </c>
      <c r="IS61">
        <v>0</v>
      </c>
      <c r="IT61">
        <v>22</v>
      </c>
      <c r="IU61">
        <v>0.8</v>
      </c>
      <c r="IV61">
        <v>0.6</v>
      </c>
      <c r="IW61">
        <v>2.5817899999999998</v>
      </c>
      <c r="IX61">
        <v>2.6696800000000001</v>
      </c>
      <c r="IY61">
        <v>1.6015600000000001</v>
      </c>
      <c r="IZ61">
        <v>2.3278799999999999</v>
      </c>
      <c r="JA61">
        <v>1.5502899999999999</v>
      </c>
      <c r="JB61">
        <v>2.2900399999999999</v>
      </c>
      <c r="JC61">
        <v>42.032899999999998</v>
      </c>
      <c r="JD61">
        <v>24.096299999999999</v>
      </c>
      <c r="JE61">
        <v>18</v>
      </c>
      <c r="JF61">
        <v>587.42200000000003</v>
      </c>
      <c r="JG61">
        <v>408.99200000000002</v>
      </c>
      <c r="JH61">
        <v>26.998000000000001</v>
      </c>
      <c r="JI61">
        <v>34.105200000000004</v>
      </c>
      <c r="JJ61">
        <v>29.9999</v>
      </c>
      <c r="JK61">
        <v>34.188899999999997</v>
      </c>
      <c r="JL61">
        <v>34.179699999999997</v>
      </c>
      <c r="JM61">
        <v>51.674100000000003</v>
      </c>
      <c r="JN61">
        <v>21.1313</v>
      </c>
      <c r="JO61">
        <v>69.509200000000007</v>
      </c>
      <c r="JP61">
        <v>26.986499999999999</v>
      </c>
      <c r="JQ61">
        <v>1250</v>
      </c>
      <c r="JR61">
        <v>25.962900000000001</v>
      </c>
      <c r="JS61">
        <v>98.681600000000003</v>
      </c>
      <c r="JT61">
        <v>99.202600000000004</v>
      </c>
    </row>
    <row r="62" spans="1:280" x14ac:dyDescent="0.25">
      <c r="A62">
        <v>46</v>
      </c>
      <c r="B62">
        <v>1700250058.5999999</v>
      </c>
      <c r="C62">
        <v>14821.099999904631</v>
      </c>
      <c r="D62" t="s">
        <v>614</v>
      </c>
      <c r="E62" t="s">
        <v>615</v>
      </c>
      <c r="F62" t="s">
        <v>412</v>
      </c>
      <c r="G62" t="s">
        <v>544</v>
      </c>
      <c r="H62" t="s">
        <v>544</v>
      </c>
      <c r="I62">
        <v>1700250058.5999999</v>
      </c>
      <c r="J62">
        <f t="shared" si="46"/>
        <v>2.1417118578454073E-3</v>
      </c>
      <c r="K62">
        <f t="shared" si="47"/>
        <v>2.1417118578454071</v>
      </c>
      <c r="L62">
        <f t="shared" si="48"/>
        <v>46.667650558204706</v>
      </c>
      <c r="M62">
        <f t="shared" si="49"/>
        <v>961.64400000000001</v>
      </c>
      <c r="N62">
        <f t="shared" si="50"/>
        <v>390.9903231137892</v>
      </c>
      <c r="O62">
        <f t="shared" si="51"/>
        <v>38.637543696075454</v>
      </c>
      <c r="P62">
        <f t="shared" si="52"/>
        <v>95.029364855292002</v>
      </c>
      <c r="Q62">
        <f t="shared" si="53"/>
        <v>0.13747947421335666</v>
      </c>
      <c r="R62">
        <f t="shared" si="54"/>
        <v>3.4259809154776502</v>
      </c>
      <c r="S62">
        <f t="shared" si="55"/>
        <v>0.13448653721687531</v>
      </c>
      <c r="T62">
        <f t="shared" si="56"/>
        <v>8.4317562458061365E-2</v>
      </c>
      <c r="U62">
        <f t="shared" si="57"/>
        <v>344.37639930253567</v>
      </c>
      <c r="V62">
        <f t="shared" si="58"/>
        <v>31.039648482140873</v>
      </c>
      <c r="W62">
        <f t="shared" si="59"/>
        <v>30.006699999999999</v>
      </c>
      <c r="X62">
        <f t="shared" si="60"/>
        <v>4.2620896495804983</v>
      </c>
      <c r="Y62">
        <f t="shared" si="61"/>
        <v>65.271993383061726</v>
      </c>
      <c r="Z62">
        <f t="shared" si="62"/>
        <v>2.7441635827941999</v>
      </c>
      <c r="AA62">
        <f t="shared" si="63"/>
        <v>4.2041976053795809</v>
      </c>
      <c r="AB62">
        <f t="shared" si="64"/>
        <v>1.5179260667862984</v>
      </c>
      <c r="AC62">
        <f t="shared" si="65"/>
        <v>-94.449492930982458</v>
      </c>
      <c r="AD62">
        <f t="shared" si="66"/>
        <v>-43.940482833113428</v>
      </c>
      <c r="AE62">
        <f t="shared" si="67"/>
        <v>-2.8486315985340136</v>
      </c>
      <c r="AF62">
        <f t="shared" si="68"/>
        <v>203.13779193990575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51617.261947086612</v>
      </c>
      <c r="AL62" t="s">
        <v>427</v>
      </c>
      <c r="AM62" t="s">
        <v>427</v>
      </c>
      <c r="AN62">
        <v>0</v>
      </c>
      <c r="AO62">
        <v>0</v>
      </c>
      <c r="AP62" t="e">
        <f t="shared" si="72"/>
        <v>#DIV/0!</v>
      </c>
      <c r="AQ62">
        <v>0</v>
      </c>
      <c r="AR62" t="s">
        <v>427</v>
      </c>
      <c r="AS62" t="s">
        <v>427</v>
      </c>
      <c r="AT62">
        <v>0</v>
      </c>
      <c r="AU62">
        <v>0</v>
      </c>
      <c r="AV62" t="e">
        <f t="shared" si="73"/>
        <v>#DIV/0!</v>
      </c>
      <c r="AW62">
        <v>0.5</v>
      </c>
      <c r="AX62">
        <f t="shared" si="74"/>
        <v>1513.2179996512677</v>
      </c>
      <c r="AY62">
        <f t="shared" si="75"/>
        <v>46.667650558204706</v>
      </c>
      <c r="AZ62" t="e">
        <f t="shared" si="76"/>
        <v>#DIV/0!</v>
      </c>
      <c r="BA62">
        <f t="shared" si="77"/>
        <v>3.0840004922595164E-2</v>
      </c>
      <c r="BB62" t="e">
        <f t="shared" si="78"/>
        <v>#DIV/0!</v>
      </c>
      <c r="BC62" t="e">
        <f t="shared" si="79"/>
        <v>#DIV/0!</v>
      </c>
      <c r="BD62" t="s">
        <v>427</v>
      </c>
      <c r="BE62">
        <v>0</v>
      </c>
      <c r="BF62" t="e">
        <f t="shared" si="80"/>
        <v>#DIV/0!</v>
      </c>
      <c r="BG62" t="e">
        <f t="shared" si="81"/>
        <v>#DIV/0!</v>
      </c>
      <c r="BH62" t="e">
        <f t="shared" si="82"/>
        <v>#DIV/0!</v>
      </c>
      <c r="BI62" t="e">
        <f t="shared" si="83"/>
        <v>#DIV/0!</v>
      </c>
      <c r="BJ62" t="e">
        <f t="shared" si="84"/>
        <v>#DIV/0!</v>
      </c>
      <c r="BK62" t="e">
        <f t="shared" si="85"/>
        <v>#DIV/0!</v>
      </c>
      <c r="BL62" t="e">
        <f t="shared" si="86"/>
        <v>#DIV/0!</v>
      </c>
      <c r="BM62" t="e">
        <f t="shared" si="87"/>
        <v>#DIV/0!</v>
      </c>
      <c r="BN62">
        <v>11414</v>
      </c>
      <c r="BO62">
        <v>290.00000000000011</v>
      </c>
      <c r="BP62">
        <v>671.3</v>
      </c>
      <c r="BQ62">
        <v>295</v>
      </c>
      <c r="BR62">
        <v>7114.52</v>
      </c>
      <c r="BS62">
        <v>673.47</v>
      </c>
      <c r="BT62">
        <v>-2.17</v>
      </c>
      <c r="BU62">
        <v>300.00000000000011</v>
      </c>
      <c r="BV62">
        <v>38.299999999999997</v>
      </c>
      <c r="BW62">
        <v>738.46798127521993</v>
      </c>
      <c r="BX62">
        <v>1.1597437555869541</v>
      </c>
      <c r="BY62">
        <v>-46.244595416097447</v>
      </c>
      <c r="BZ62">
        <v>0.69163914034259599</v>
      </c>
      <c r="CA62">
        <v>0.99377579907364066</v>
      </c>
      <c r="CB62">
        <v>-7.0151717463848772E-3</v>
      </c>
      <c r="CC62">
        <v>289.99999999999989</v>
      </c>
      <c r="CD62">
        <v>681.68</v>
      </c>
      <c r="CE62">
        <v>875</v>
      </c>
      <c r="CF62">
        <v>7105.66</v>
      </c>
      <c r="CG62">
        <v>673.39</v>
      </c>
      <c r="CH62">
        <v>8.2899999999999991</v>
      </c>
      <c r="CV62">
        <f t="shared" si="88"/>
        <v>1800.04</v>
      </c>
      <c r="CW62">
        <f t="shared" si="89"/>
        <v>1513.2179996512677</v>
      </c>
      <c r="CX62">
        <f t="shared" si="90"/>
        <v>0.84065798518436685</v>
      </c>
      <c r="CY62">
        <f t="shared" si="91"/>
        <v>0.19131597036873385</v>
      </c>
      <c r="CZ62">
        <v>3.93</v>
      </c>
      <c r="DA62">
        <v>0.5</v>
      </c>
      <c r="DB62" t="s">
        <v>418</v>
      </c>
      <c r="DC62">
        <v>2</v>
      </c>
      <c r="DD62">
        <v>1700250058.5999999</v>
      </c>
      <c r="DE62">
        <v>961.64400000000001</v>
      </c>
      <c r="DF62">
        <v>999.93799999999999</v>
      </c>
      <c r="DG62">
        <v>27.769400000000001</v>
      </c>
      <c r="DH62">
        <v>26.132999999999999</v>
      </c>
      <c r="DI62">
        <v>961.88800000000003</v>
      </c>
      <c r="DJ62">
        <v>27.755500000000001</v>
      </c>
      <c r="DK62">
        <v>500.07299999999998</v>
      </c>
      <c r="DL62">
        <v>98.719499999999996</v>
      </c>
      <c r="DM62">
        <v>0.100193</v>
      </c>
      <c r="DN62">
        <v>29.768799999999999</v>
      </c>
      <c r="DO62">
        <v>30.006699999999999</v>
      </c>
      <c r="DP62">
        <v>999.9</v>
      </c>
      <c r="DQ62">
        <v>0</v>
      </c>
      <c r="DR62">
        <v>0</v>
      </c>
      <c r="DS62">
        <v>9978.75</v>
      </c>
      <c r="DT62">
        <v>0</v>
      </c>
      <c r="DU62">
        <v>524.48800000000006</v>
      </c>
      <c r="DV62">
        <v>-38.293900000000001</v>
      </c>
      <c r="DW62">
        <v>989.11099999999999</v>
      </c>
      <c r="DX62">
        <v>1026.77</v>
      </c>
      <c r="DY62">
        <v>1.63639</v>
      </c>
      <c r="DZ62">
        <v>999.93799999999999</v>
      </c>
      <c r="EA62">
        <v>26.132999999999999</v>
      </c>
      <c r="EB62">
        <v>2.7413799999999999</v>
      </c>
      <c r="EC62">
        <v>2.5798399999999999</v>
      </c>
      <c r="ED62">
        <v>22.535299999999999</v>
      </c>
      <c r="EE62">
        <v>21.539200000000001</v>
      </c>
      <c r="EF62">
        <v>1800.04</v>
      </c>
      <c r="EG62">
        <v>0.97800500000000001</v>
      </c>
      <c r="EH62">
        <v>2.1994900000000001E-2</v>
      </c>
      <c r="EI62">
        <v>0</v>
      </c>
      <c r="EJ62">
        <v>500.85</v>
      </c>
      <c r="EK62">
        <v>5.0005300000000004</v>
      </c>
      <c r="EL62">
        <v>9862.51</v>
      </c>
      <c r="EM62">
        <v>16035.6</v>
      </c>
      <c r="EN62">
        <v>47.436999999999998</v>
      </c>
      <c r="EO62">
        <v>48.561999999999998</v>
      </c>
      <c r="EP62">
        <v>48</v>
      </c>
      <c r="EQ62">
        <v>48.186999999999998</v>
      </c>
      <c r="ER62">
        <v>48.686999999999998</v>
      </c>
      <c r="ES62">
        <v>1755.56</v>
      </c>
      <c r="ET62">
        <v>39.479999999999997</v>
      </c>
      <c r="EU62">
        <v>0</v>
      </c>
      <c r="EV62">
        <v>147.20000004768369</v>
      </c>
      <c r="EW62">
        <v>0</v>
      </c>
      <c r="EX62">
        <v>501.05471999999997</v>
      </c>
      <c r="EY62">
        <v>-2.1284615384308432</v>
      </c>
      <c r="EZ62">
        <v>-1.282307659647252</v>
      </c>
      <c r="FA62">
        <v>9884.0567999999985</v>
      </c>
      <c r="FB62">
        <v>15</v>
      </c>
      <c r="FC62">
        <v>1700249978.5999999</v>
      </c>
      <c r="FD62" t="s">
        <v>616</v>
      </c>
      <c r="FE62">
        <v>1700249977.0999999</v>
      </c>
      <c r="FF62">
        <v>1700249978.5999999</v>
      </c>
      <c r="FG62">
        <v>54</v>
      </c>
      <c r="FH62">
        <v>-0.25900000000000001</v>
      </c>
      <c r="FI62">
        <v>3.0000000000000001E-3</v>
      </c>
      <c r="FJ62">
        <v>-0.26300000000000001</v>
      </c>
      <c r="FK62">
        <v>1.4E-2</v>
      </c>
      <c r="FL62">
        <v>1000</v>
      </c>
      <c r="FM62">
        <v>26</v>
      </c>
      <c r="FN62">
        <v>0.08</v>
      </c>
      <c r="FO62">
        <v>0.09</v>
      </c>
      <c r="FP62">
        <v>46.469625046754189</v>
      </c>
      <c r="FQ62">
        <v>0.47444017852816789</v>
      </c>
      <c r="FR62">
        <v>0.1043801916718374</v>
      </c>
      <c r="FS62">
        <v>1</v>
      </c>
      <c r="FT62">
        <v>0.13593254289248111</v>
      </c>
      <c r="FU62">
        <v>2.7087882482851999E-2</v>
      </c>
      <c r="FV62">
        <v>2.0645470120428432E-3</v>
      </c>
      <c r="FW62">
        <v>1</v>
      </c>
      <c r="FX62">
        <v>2</v>
      </c>
      <c r="FY62">
        <v>2</v>
      </c>
      <c r="FZ62" t="s">
        <v>420</v>
      </c>
      <c r="GA62">
        <v>3.1219800000000002</v>
      </c>
      <c r="GB62">
        <v>2.7668900000000001</v>
      </c>
      <c r="GC62">
        <v>0.163461</v>
      </c>
      <c r="GD62">
        <v>0.16751199999999999</v>
      </c>
      <c r="GE62">
        <v>0.118196</v>
      </c>
      <c r="GF62">
        <v>0.113526</v>
      </c>
      <c r="GG62">
        <v>19967</v>
      </c>
      <c r="GH62">
        <v>20698.900000000001</v>
      </c>
      <c r="GI62">
        <v>23735.4</v>
      </c>
      <c r="GJ62">
        <v>25185.9</v>
      </c>
      <c r="GK62">
        <v>30148.9</v>
      </c>
      <c r="GL62">
        <v>31311.3</v>
      </c>
      <c r="GM62">
        <v>37842.5</v>
      </c>
      <c r="GN62">
        <v>39213.199999999997</v>
      </c>
      <c r="GO62">
        <v>2.1164499999999999</v>
      </c>
      <c r="GP62">
        <v>1.7907999999999999</v>
      </c>
      <c r="GQ62">
        <v>6.0006999999999998E-2</v>
      </c>
      <c r="GR62">
        <v>0</v>
      </c>
      <c r="GS62">
        <v>29.029399999999999</v>
      </c>
      <c r="GT62">
        <v>999.9</v>
      </c>
      <c r="GU62">
        <v>46.1</v>
      </c>
      <c r="GV62">
        <v>37.799999999999997</v>
      </c>
      <c r="GW62">
        <v>30.7546</v>
      </c>
      <c r="GX62">
        <v>60.372100000000003</v>
      </c>
      <c r="GY62">
        <v>27.063300000000002</v>
      </c>
      <c r="GZ62">
        <v>1</v>
      </c>
      <c r="HA62">
        <v>0.56029700000000005</v>
      </c>
      <c r="HB62">
        <v>2.2099700000000002</v>
      </c>
      <c r="HC62">
        <v>20.308700000000002</v>
      </c>
      <c r="HD62">
        <v>5.2526299999999999</v>
      </c>
      <c r="HE62">
        <v>12.012499999999999</v>
      </c>
      <c r="HF62">
        <v>4.9794499999999999</v>
      </c>
      <c r="HG62">
        <v>3.2930000000000001</v>
      </c>
      <c r="HH62">
        <v>9999</v>
      </c>
      <c r="HI62">
        <v>9999</v>
      </c>
      <c r="HJ62">
        <v>9999</v>
      </c>
      <c r="HK62">
        <v>999.9</v>
      </c>
      <c r="HL62">
        <v>1.8761000000000001</v>
      </c>
      <c r="HM62">
        <v>1.8769800000000001</v>
      </c>
      <c r="HN62">
        <v>1.88324</v>
      </c>
      <c r="HO62">
        <v>1.8863399999999999</v>
      </c>
      <c r="HP62">
        <v>1.87714</v>
      </c>
      <c r="HQ62">
        <v>1.8836999999999999</v>
      </c>
      <c r="HR62">
        <v>1.88263</v>
      </c>
      <c r="HS62">
        <v>1.8859999999999999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424</v>
      </c>
      <c r="IB62" t="s">
        <v>424</v>
      </c>
      <c r="IC62" t="s">
        <v>423</v>
      </c>
      <c r="ID62">
        <v>0</v>
      </c>
      <c r="IE62">
        <v>100</v>
      </c>
      <c r="IF62">
        <v>100</v>
      </c>
      <c r="IG62">
        <v>-0.24399999999999999</v>
      </c>
      <c r="IH62">
        <v>1.3899999999999999E-2</v>
      </c>
      <c r="II62">
        <v>-5.8554527404226973E-2</v>
      </c>
      <c r="IJ62">
        <v>4.4610147972834149E-5</v>
      </c>
      <c r="IK62">
        <v>-2.082673137682459E-7</v>
      </c>
      <c r="IL62">
        <v>-4.0725795306076518E-11</v>
      </c>
      <c r="IM62">
        <v>1.388000000000034E-2</v>
      </c>
      <c r="IN62">
        <v>0</v>
      </c>
      <c r="IO62">
        <v>0</v>
      </c>
      <c r="IP62">
        <v>0</v>
      </c>
      <c r="IQ62">
        <v>3</v>
      </c>
      <c r="IR62">
        <v>2179</v>
      </c>
      <c r="IS62">
        <v>0</v>
      </c>
      <c r="IT62">
        <v>22</v>
      </c>
      <c r="IU62">
        <v>1.4</v>
      </c>
      <c r="IV62">
        <v>1.3</v>
      </c>
      <c r="IW62">
        <v>2.1520999999999999</v>
      </c>
      <c r="IX62">
        <v>2.6684600000000001</v>
      </c>
      <c r="IY62">
        <v>1.6015600000000001</v>
      </c>
      <c r="IZ62">
        <v>2.3290999999999999</v>
      </c>
      <c r="JA62">
        <v>1.5502899999999999</v>
      </c>
      <c r="JB62">
        <v>2.3889200000000002</v>
      </c>
      <c r="JC62">
        <v>41.980200000000004</v>
      </c>
      <c r="JD62">
        <v>24.096299999999999</v>
      </c>
      <c r="JE62">
        <v>18</v>
      </c>
      <c r="JF62">
        <v>587.44100000000003</v>
      </c>
      <c r="JG62">
        <v>409.18599999999998</v>
      </c>
      <c r="JH62">
        <v>27.059699999999999</v>
      </c>
      <c r="JI62">
        <v>34.043599999999998</v>
      </c>
      <c r="JJ62">
        <v>30.000299999999999</v>
      </c>
      <c r="JK62">
        <v>34.133400000000002</v>
      </c>
      <c r="JL62">
        <v>34.124099999999999</v>
      </c>
      <c r="JM62">
        <v>43.067700000000002</v>
      </c>
      <c r="JN62">
        <v>21.703299999999999</v>
      </c>
      <c r="JO62">
        <v>71.639799999999994</v>
      </c>
      <c r="JP62">
        <v>27.048100000000002</v>
      </c>
      <c r="JQ62">
        <v>1000</v>
      </c>
      <c r="JR62">
        <v>26.090800000000002</v>
      </c>
      <c r="JS62">
        <v>98.695400000000006</v>
      </c>
      <c r="JT62">
        <v>99.218000000000004</v>
      </c>
    </row>
    <row r="63" spans="1:280" x14ac:dyDescent="0.25">
      <c r="A63">
        <v>47</v>
      </c>
      <c r="B63">
        <v>1700250226.5999999</v>
      </c>
      <c r="C63">
        <v>14989.099999904631</v>
      </c>
      <c r="D63" t="s">
        <v>617</v>
      </c>
      <c r="E63" t="s">
        <v>618</v>
      </c>
      <c r="F63" t="s">
        <v>412</v>
      </c>
      <c r="G63" t="s">
        <v>544</v>
      </c>
      <c r="H63" t="s">
        <v>544</v>
      </c>
      <c r="I63">
        <v>1700250226.5999999</v>
      </c>
      <c r="J63">
        <f t="shared" si="46"/>
        <v>2.3849031364543897E-3</v>
      </c>
      <c r="K63">
        <f t="shared" si="47"/>
        <v>2.3849031364543896</v>
      </c>
      <c r="L63">
        <f t="shared" si="48"/>
        <v>45.251501990696909</v>
      </c>
      <c r="M63">
        <f t="shared" si="49"/>
        <v>713.1</v>
      </c>
      <c r="N63">
        <f t="shared" si="50"/>
        <v>216.03716769415905</v>
      </c>
      <c r="O63">
        <f t="shared" si="51"/>
        <v>21.348780964681424</v>
      </c>
      <c r="P63">
        <f t="shared" si="52"/>
        <v>70.468502565570006</v>
      </c>
      <c r="Q63">
        <f t="shared" si="53"/>
        <v>0.15237609017202056</v>
      </c>
      <c r="R63">
        <f t="shared" si="54"/>
        <v>3.4289760721830578</v>
      </c>
      <c r="S63">
        <f t="shared" si="55"/>
        <v>0.14871185353678651</v>
      </c>
      <c r="T63">
        <f t="shared" si="56"/>
        <v>9.3266786511382482E-2</v>
      </c>
      <c r="U63">
        <f t="shared" si="57"/>
        <v>344.3896993025628</v>
      </c>
      <c r="V63">
        <f t="shared" si="58"/>
        <v>31.043740562804437</v>
      </c>
      <c r="W63">
        <f t="shared" si="59"/>
        <v>30.011700000000001</v>
      </c>
      <c r="X63">
        <f t="shared" si="60"/>
        <v>4.2633137969128736</v>
      </c>
      <c r="Y63">
        <f t="shared" si="61"/>
        <v>64.822945869944988</v>
      </c>
      <c r="Z63">
        <f t="shared" si="62"/>
        <v>2.7346443296830998</v>
      </c>
      <c r="AA63">
        <f t="shared" si="63"/>
        <v>4.2186363069176886</v>
      </c>
      <c r="AB63">
        <f t="shared" si="64"/>
        <v>1.5286694672297738</v>
      </c>
      <c r="AC63">
        <f t="shared" si="65"/>
        <v>-105.17422831763859</v>
      </c>
      <c r="AD63">
        <f t="shared" si="66"/>
        <v>-33.885380202048097</v>
      </c>
      <c r="AE63">
        <f t="shared" si="67"/>
        <v>-2.1955494111185985</v>
      </c>
      <c r="AF63">
        <f t="shared" si="68"/>
        <v>203.13454137175751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51672.516091919359</v>
      </c>
      <c r="AL63" t="s">
        <v>415</v>
      </c>
      <c r="AM63">
        <v>6977.87</v>
      </c>
      <c r="AN63">
        <v>273.15280000000001</v>
      </c>
      <c r="AO63">
        <v>850.46774885301022</v>
      </c>
      <c r="AP63">
        <f t="shared" si="72"/>
        <v>0.67882050745793765</v>
      </c>
      <c r="AQ63">
        <v>-1.0323826813720729</v>
      </c>
      <c r="AR63" t="s">
        <v>619</v>
      </c>
      <c r="AS63">
        <v>7114.97</v>
      </c>
      <c r="AT63">
        <v>500.89247999999998</v>
      </c>
      <c r="AU63">
        <v>712.15364403030037</v>
      </c>
      <c r="AV63">
        <f t="shared" si="73"/>
        <v>0.29665110303263675</v>
      </c>
      <c r="AW63">
        <v>0.5</v>
      </c>
      <c r="AX63">
        <f t="shared" si="74"/>
        <v>1513.2767996512812</v>
      </c>
      <c r="AY63">
        <f t="shared" si="75"/>
        <v>45.251501990696909</v>
      </c>
      <c r="AZ63">
        <f t="shared" si="76"/>
        <v>224.45761590512552</v>
      </c>
      <c r="BA63">
        <f t="shared" si="77"/>
        <v>3.0585207334662513E-2</v>
      </c>
      <c r="BB63">
        <f t="shared" si="78"/>
        <v>0.19421947213518004</v>
      </c>
      <c r="BC63">
        <f t="shared" si="79"/>
        <v>257.11419362428302</v>
      </c>
      <c r="BD63" t="s">
        <v>620</v>
      </c>
      <c r="BE63">
        <v>370.59</v>
      </c>
      <c r="BF63">
        <f t="shared" si="80"/>
        <v>370.59</v>
      </c>
      <c r="BG63">
        <f t="shared" si="81"/>
        <v>0.4796207207440305</v>
      </c>
      <c r="BH63">
        <f t="shared" si="82"/>
        <v>0.61851185781224194</v>
      </c>
      <c r="BI63">
        <f t="shared" si="83"/>
        <v>0.28822779375227164</v>
      </c>
      <c r="BJ63">
        <f t="shared" si="84"/>
        <v>0.48123179466078408</v>
      </c>
      <c r="BK63">
        <f t="shared" si="85"/>
        <v>0.23958171375521736</v>
      </c>
      <c r="BL63">
        <f t="shared" si="86"/>
        <v>0.45761180001472318</v>
      </c>
      <c r="BM63">
        <f t="shared" si="87"/>
        <v>0.54238819998527688</v>
      </c>
      <c r="BN63">
        <v>11416</v>
      </c>
      <c r="BO63">
        <v>290.00000000000011</v>
      </c>
      <c r="BP63">
        <v>656.13</v>
      </c>
      <c r="BQ63">
        <v>285</v>
      </c>
      <c r="BR63">
        <v>7114.97</v>
      </c>
      <c r="BS63">
        <v>657.25</v>
      </c>
      <c r="BT63">
        <v>-1.1200000000000001</v>
      </c>
      <c r="BU63">
        <v>300.00000000000011</v>
      </c>
      <c r="BV63">
        <v>38.299999999999997</v>
      </c>
      <c r="BW63">
        <v>712.15364403030037</v>
      </c>
      <c r="BX63">
        <v>1.4143153123892209</v>
      </c>
      <c r="BY63">
        <v>-39.060508761853917</v>
      </c>
      <c r="BZ63">
        <v>0.84351540444736828</v>
      </c>
      <c r="CA63">
        <v>0.98711055926446245</v>
      </c>
      <c r="CB63">
        <v>-7.0155414905450483E-3</v>
      </c>
      <c r="CC63">
        <v>289.99999999999989</v>
      </c>
      <c r="CD63">
        <v>667.13</v>
      </c>
      <c r="CE63">
        <v>805</v>
      </c>
      <c r="CF63">
        <v>7107.34</v>
      </c>
      <c r="CG63">
        <v>657.2</v>
      </c>
      <c r="CH63">
        <v>9.93</v>
      </c>
      <c r="CV63">
        <f t="shared" si="88"/>
        <v>1800.11</v>
      </c>
      <c r="CW63">
        <f t="shared" si="89"/>
        <v>1513.2767996512812</v>
      </c>
      <c r="CX63">
        <f t="shared" si="90"/>
        <v>0.84065795959762535</v>
      </c>
      <c r="CY63">
        <f t="shared" si="91"/>
        <v>0.19131591919525076</v>
      </c>
      <c r="CZ63">
        <v>3.93</v>
      </c>
      <c r="DA63">
        <v>0.5</v>
      </c>
      <c r="DB63" t="s">
        <v>418</v>
      </c>
      <c r="DC63">
        <v>2</v>
      </c>
      <c r="DD63">
        <v>1700250226.5999999</v>
      </c>
      <c r="DE63">
        <v>713.1</v>
      </c>
      <c r="DF63">
        <v>749.98699999999997</v>
      </c>
      <c r="DG63">
        <v>27.672999999999998</v>
      </c>
      <c r="DH63">
        <v>25.851199999999999</v>
      </c>
      <c r="DI63">
        <v>713.53700000000003</v>
      </c>
      <c r="DJ63">
        <v>27.6647</v>
      </c>
      <c r="DK63">
        <v>500.23599999999999</v>
      </c>
      <c r="DL63">
        <v>98.72</v>
      </c>
      <c r="DM63">
        <v>9.9944699999999997E-2</v>
      </c>
      <c r="DN63">
        <v>29.828399999999998</v>
      </c>
      <c r="DO63">
        <v>30.011700000000001</v>
      </c>
      <c r="DP63">
        <v>999.9</v>
      </c>
      <c r="DQ63">
        <v>0</v>
      </c>
      <c r="DR63">
        <v>0</v>
      </c>
      <c r="DS63">
        <v>9991.8799999999992</v>
      </c>
      <c r="DT63">
        <v>0</v>
      </c>
      <c r="DU63">
        <v>503.35700000000003</v>
      </c>
      <c r="DV63">
        <v>-36.886800000000001</v>
      </c>
      <c r="DW63">
        <v>733.39499999999998</v>
      </c>
      <c r="DX63">
        <v>769.88900000000001</v>
      </c>
      <c r="DY63">
        <v>1.82185</v>
      </c>
      <c r="DZ63">
        <v>749.98699999999997</v>
      </c>
      <c r="EA63">
        <v>25.851199999999999</v>
      </c>
      <c r="EB63">
        <v>2.7318799999999999</v>
      </c>
      <c r="EC63">
        <v>2.5520299999999998</v>
      </c>
      <c r="ED63">
        <v>22.478200000000001</v>
      </c>
      <c r="EE63">
        <v>21.362200000000001</v>
      </c>
      <c r="EF63">
        <v>1800.11</v>
      </c>
      <c r="EG63">
        <v>0.97800500000000001</v>
      </c>
      <c r="EH63">
        <v>2.1994900000000001E-2</v>
      </c>
      <c r="EI63">
        <v>0</v>
      </c>
      <c r="EJ63">
        <v>500.52800000000002</v>
      </c>
      <c r="EK63">
        <v>5.0005300000000004</v>
      </c>
      <c r="EL63">
        <v>9856.06</v>
      </c>
      <c r="EM63">
        <v>16036.3</v>
      </c>
      <c r="EN63">
        <v>47.375</v>
      </c>
      <c r="EO63">
        <v>48.5</v>
      </c>
      <c r="EP63">
        <v>47.936999999999998</v>
      </c>
      <c r="EQ63">
        <v>48.125</v>
      </c>
      <c r="ER63">
        <v>48.625</v>
      </c>
      <c r="ES63">
        <v>1755.63</v>
      </c>
      <c r="ET63">
        <v>39.479999999999997</v>
      </c>
      <c r="EU63">
        <v>0</v>
      </c>
      <c r="EV63">
        <v>315.20000004768372</v>
      </c>
      <c r="EW63">
        <v>0</v>
      </c>
      <c r="EX63">
        <v>500.89247999999998</v>
      </c>
      <c r="EY63">
        <v>-1.115307709100591</v>
      </c>
      <c r="EZ63">
        <v>-13.95538461941641</v>
      </c>
      <c r="FA63">
        <v>9856.9795999999988</v>
      </c>
      <c r="FB63">
        <v>15</v>
      </c>
      <c r="FC63">
        <v>1700250127.0999999</v>
      </c>
      <c r="FD63" t="s">
        <v>621</v>
      </c>
      <c r="FE63">
        <v>1700250127.0999999</v>
      </c>
      <c r="FF63">
        <v>1700250115.0999999</v>
      </c>
      <c r="FG63">
        <v>55</v>
      </c>
      <c r="FH63">
        <v>-0.28899999999999998</v>
      </c>
      <c r="FI63">
        <v>-6.0000000000000001E-3</v>
      </c>
      <c r="FJ63">
        <v>-0.44900000000000001</v>
      </c>
      <c r="FK63">
        <v>8.0000000000000002E-3</v>
      </c>
      <c r="FL63">
        <v>750</v>
      </c>
      <c r="FM63">
        <v>26</v>
      </c>
      <c r="FN63">
        <v>7.0000000000000007E-2</v>
      </c>
      <c r="FO63">
        <v>0.05</v>
      </c>
      <c r="FP63">
        <v>45.227014659849743</v>
      </c>
      <c r="FQ63">
        <v>0.417162960408205</v>
      </c>
      <c r="FR63">
        <v>4.7122455621018397E-2</v>
      </c>
      <c r="FS63">
        <v>1</v>
      </c>
      <c r="FT63">
        <v>0.1533851495535595</v>
      </c>
      <c r="FU63">
        <v>-2.6782594983453829E-3</v>
      </c>
      <c r="FV63">
        <v>2.7509063179261228E-4</v>
      </c>
      <c r="FW63">
        <v>1</v>
      </c>
      <c r="FX63">
        <v>2</v>
      </c>
      <c r="FY63">
        <v>2</v>
      </c>
      <c r="FZ63" t="s">
        <v>420</v>
      </c>
      <c r="GA63">
        <v>3.1221700000000001</v>
      </c>
      <c r="GB63">
        <v>2.76675</v>
      </c>
      <c r="GC63">
        <v>0.13423499999999999</v>
      </c>
      <c r="GD63">
        <v>0.138819</v>
      </c>
      <c r="GE63">
        <v>0.117947</v>
      </c>
      <c r="GF63">
        <v>0.112688</v>
      </c>
      <c r="GG63">
        <v>20669.8</v>
      </c>
      <c r="GH63">
        <v>21417.9</v>
      </c>
      <c r="GI63">
        <v>23739.7</v>
      </c>
      <c r="GJ63">
        <v>25190.6</v>
      </c>
      <c r="GK63">
        <v>30162.6</v>
      </c>
      <c r="GL63">
        <v>31346.400000000001</v>
      </c>
      <c r="GM63">
        <v>37848.9</v>
      </c>
      <c r="GN63">
        <v>39219.9</v>
      </c>
      <c r="GO63">
        <v>2.1174200000000001</v>
      </c>
      <c r="GP63">
        <v>1.79135</v>
      </c>
      <c r="GQ63">
        <v>6.1079899999999999E-2</v>
      </c>
      <c r="GR63">
        <v>0</v>
      </c>
      <c r="GS63">
        <v>29.0169</v>
      </c>
      <c r="GT63">
        <v>999.9</v>
      </c>
      <c r="GU63">
        <v>46.3</v>
      </c>
      <c r="GV63">
        <v>37.700000000000003</v>
      </c>
      <c r="GW63">
        <v>30.7182</v>
      </c>
      <c r="GX63">
        <v>60.372199999999999</v>
      </c>
      <c r="GY63">
        <v>26.322099999999999</v>
      </c>
      <c r="GZ63">
        <v>1</v>
      </c>
      <c r="HA63">
        <v>0.55252500000000004</v>
      </c>
      <c r="HB63">
        <v>1.9620899999999999</v>
      </c>
      <c r="HC63">
        <v>20.311499999999999</v>
      </c>
      <c r="HD63">
        <v>5.2496400000000003</v>
      </c>
      <c r="HE63">
        <v>12.0137</v>
      </c>
      <c r="HF63">
        <v>4.9787499999999998</v>
      </c>
      <c r="HG63">
        <v>3.2930000000000001</v>
      </c>
      <c r="HH63">
        <v>9999</v>
      </c>
      <c r="HI63">
        <v>9999</v>
      </c>
      <c r="HJ63">
        <v>9999</v>
      </c>
      <c r="HK63">
        <v>999.9</v>
      </c>
      <c r="HL63">
        <v>1.8761099999999999</v>
      </c>
      <c r="HM63">
        <v>1.8769800000000001</v>
      </c>
      <c r="HN63">
        <v>1.8832500000000001</v>
      </c>
      <c r="HO63">
        <v>1.8863099999999999</v>
      </c>
      <c r="HP63">
        <v>1.87714</v>
      </c>
      <c r="HQ63">
        <v>1.8836999999999999</v>
      </c>
      <c r="HR63">
        <v>1.88263</v>
      </c>
      <c r="HS63">
        <v>1.8859900000000001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424</v>
      </c>
      <c r="IB63" t="s">
        <v>424</v>
      </c>
      <c r="IC63" t="s">
        <v>423</v>
      </c>
      <c r="ID63">
        <v>0</v>
      </c>
      <c r="IE63">
        <v>100</v>
      </c>
      <c r="IF63">
        <v>100</v>
      </c>
      <c r="IG63">
        <v>-0.437</v>
      </c>
      <c r="IH63">
        <v>8.3000000000000001E-3</v>
      </c>
      <c r="II63">
        <v>-0.34796206963625942</v>
      </c>
      <c r="IJ63">
        <v>4.4610147972834149E-5</v>
      </c>
      <c r="IK63">
        <v>-2.082673137682459E-7</v>
      </c>
      <c r="IL63">
        <v>-4.0725795306076518E-11</v>
      </c>
      <c r="IM63">
        <v>8.3350000000024238E-3</v>
      </c>
      <c r="IN63">
        <v>0</v>
      </c>
      <c r="IO63">
        <v>0</v>
      </c>
      <c r="IP63">
        <v>0</v>
      </c>
      <c r="IQ63">
        <v>3</v>
      </c>
      <c r="IR63">
        <v>2179</v>
      </c>
      <c r="IS63">
        <v>0</v>
      </c>
      <c r="IT63">
        <v>22</v>
      </c>
      <c r="IU63">
        <v>1.7</v>
      </c>
      <c r="IV63">
        <v>1.9</v>
      </c>
      <c r="IW63">
        <v>1.70166</v>
      </c>
      <c r="IX63">
        <v>2.65869</v>
      </c>
      <c r="IY63">
        <v>1.6015600000000001</v>
      </c>
      <c r="IZ63">
        <v>2.3278799999999999</v>
      </c>
      <c r="JA63">
        <v>1.5502899999999999</v>
      </c>
      <c r="JB63">
        <v>2.4939</v>
      </c>
      <c r="JC63">
        <v>41.927500000000002</v>
      </c>
      <c r="JD63">
        <v>24.105</v>
      </c>
      <c r="JE63">
        <v>18</v>
      </c>
      <c r="JF63">
        <v>587.50800000000004</v>
      </c>
      <c r="JG63">
        <v>409.089</v>
      </c>
      <c r="JH63">
        <v>27.1859</v>
      </c>
      <c r="JI63">
        <v>33.965299999999999</v>
      </c>
      <c r="JJ63">
        <v>29.999600000000001</v>
      </c>
      <c r="JK63">
        <v>34.063299999999998</v>
      </c>
      <c r="JL63">
        <v>34.0565</v>
      </c>
      <c r="JM63">
        <v>34.052399999999999</v>
      </c>
      <c r="JN63">
        <v>22.726500000000001</v>
      </c>
      <c r="JO63">
        <v>72.311300000000003</v>
      </c>
      <c r="JP63">
        <v>27.200700000000001</v>
      </c>
      <c r="JQ63">
        <v>750</v>
      </c>
      <c r="JR63">
        <v>25.868300000000001</v>
      </c>
      <c r="JS63">
        <v>98.712599999999995</v>
      </c>
      <c r="JT63">
        <v>99.235600000000005</v>
      </c>
    </row>
    <row r="64" spans="1:280" x14ac:dyDescent="0.25">
      <c r="A64">
        <v>48</v>
      </c>
      <c r="B64">
        <v>1700250443.0999999</v>
      </c>
      <c r="C64">
        <v>15205.599999904631</v>
      </c>
      <c r="D64" t="s">
        <v>622</v>
      </c>
      <c r="E64" t="s">
        <v>623</v>
      </c>
      <c r="F64" t="s">
        <v>412</v>
      </c>
      <c r="G64" t="s">
        <v>544</v>
      </c>
      <c r="H64" t="s">
        <v>544</v>
      </c>
      <c r="I64">
        <v>1700250443.0999999</v>
      </c>
      <c r="J64">
        <f t="shared" si="46"/>
        <v>2.6889208329713165E-3</v>
      </c>
      <c r="K64">
        <f t="shared" si="47"/>
        <v>2.6889208329713163</v>
      </c>
      <c r="L64">
        <f t="shared" si="48"/>
        <v>42.879021275174942</v>
      </c>
      <c r="M64">
        <f t="shared" si="49"/>
        <v>565.06100000000004</v>
      </c>
      <c r="N64">
        <f t="shared" si="50"/>
        <v>151.12573461230386</v>
      </c>
      <c r="O64">
        <f t="shared" si="51"/>
        <v>14.93440932272367</v>
      </c>
      <c r="P64">
        <f t="shared" si="52"/>
        <v>55.839942071788705</v>
      </c>
      <c r="Q64">
        <f t="shared" si="53"/>
        <v>0.17352479461087916</v>
      </c>
      <c r="R64">
        <f t="shared" si="54"/>
        <v>3.4380854996831145</v>
      </c>
      <c r="S64">
        <f t="shared" si="55"/>
        <v>0.16880203152277726</v>
      </c>
      <c r="T64">
        <f t="shared" si="56"/>
        <v>0.10591488490261999</v>
      </c>
      <c r="U64">
        <f t="shared" si="57"/>
        <v>344.39159930256665</v>
      </c>
      <c r="V64">
        <f t="shared" si="58"/>
        <v>31.02694208497439</v>
      </c>
      <c r="W64">
        <f t="shared" si="59"/>
        <v>30.002500000000001</v>
      </c>
      <c r="X64">
        <f t="shared" si="60"/>
        <v>4.2610616025627452</v>
      </c>
      <c r="Y64">
        <f t="shared" si="61"/>
        <v>64.811135883607747</v>
      </c>
      <c r="Z64">
        <f t="shared" si="62"/>
        <v>2.7426804402717999</v>
      </c>
      <c r="AA64">
        <f t="shared" si="63"/>
        <v>4.2318043078234151</v>
      </c>
      <c r="AB64">
        <f t="shared" si="64"/>
        <v>1.5183811622909453</v>
      </c>
      <c r="AC64">
        <f t="shared" si="65"/>
        <v>-118.58140873403507</v>
      </c>
      <c r="AD64">
        <f t="shared" si="66"/>
        <v>-22.223952448524269</v>
      </c>
      <c r="AE64">
        <f t="shared" si="67"/>
        <v>-1.4364704006053459</v>
      </c>
      <c r="AF64">
        <f t="shared" si="68"/>
        <v>202.14976771940198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51862.291289798108</v>
      </c>
      <c r="AL64" t="s">
        <v>415</v>
      </c>
      <c r="AM64">
        <v>6977.87</v>
      </c>
      <c r="AN64">
        <v>273.15280000000001</v>
      </c>
      <c r="AO64">
        <v>850.46774885301022</v>
      </c>
      <c r="AP64">
        <f t="shared" si="72"/>
        <v>0.67882050745793765</v>
      </c>
      <c r="AQ64">
        <v>-1.0323826813720729</v>
      </c>
      <c r="AR64" t="s">
        <v>624</v>
      </c>
      <c r="AS64">
        <v>7115.02</v>
      </c>
      <c r="AT64">
        <v>502.32330769230771</v>
      </c>
      <c r="AU64">
        <v>698.92651035047902</v>
      </c>
      <c r="AV64">
        <f t="shared" si="73"/>
        <v>0.28129309698037352</v>
      </c>
      <c r="AW64">
        <v>0.5</v>
      </c>
      <c r="AX64">
        <f t="shared" si="74"/>
        <v>1513.2851996512834</v>
      </c>
      <c r="AY64">
        <f t="shared" si="75"/>
        <v>42.879021275174942</v>
      </c>
      <c r="AZ64">
        <f t="shared" si="76"/>
        <v>212.83834021223618</v>
      </c>
      <c r="BA64">
        <f t="shared" si="77"/>
        <v>2.9017269161600086E-2</v>
      </c>
      <c r="BB64">
        <f t="shared" si="78"/>
        <v>0.21681998930980648</v>
      </c>
      <c r="BC64">
        <f t="shared" si="79"/>
        <v>255.36935462734371</v>
      </c>
      <c r="BD64" t="s">
        <v>625</v>
      </c>
      <c r="BE64">
        <v>368.07</v>
      </c>
      <c r="BF64">
        <f t="shared" si="80"/>
        <v>368.07</v>
      </c>
      <c r="BG64">
        <f t="shared" si="81"/>
        <v>0.47337810978806616</v>
      </c>
      <c r="BH64">
        <f t="shared" si="82"/>
        <v>0.59422497822366538</v>
      </c>
      <c r="BI64">
        <f t="shared" si="83"/>
        <v>0.31414167844449625</v>
      </c>
      <c r="BJ64">
        <f t="shared" si="84"/>
        <v>0.46175514804879764</v>
      </c>
      <c r="BK64">
        <f t="shared" si="85"/>
        <v>0.26249318297336349</v>
      </c>
      <c r="BL64">
        <f t="shared" si="86"/>
        <v>0.4354095945489288</v>
      </c>
      <c r="BM64">
        <f t="shared" si="87"/>
        <v>0.5645904054510712</v>
      </c>
      <c r="BN64">
        <v>11418</v>
      </c>
      <c r="BO64">
        <v>290.00000000000011</v>
      </c>
      <c r="BP64">
        <v>647.47</v>
      </c>
      <c r="BQ64">
        <v>285</v>
      </c>
      <c r="BR64">
        <v>7115.02</v>
      </c>
      <c r="BS64">
        <v>648.91</v>
      </c>
      <c r="BT64">
        <v>-1.44</v>
      </c>
      <c r="BU64">
        <v>300.00000000000011</v>
      </c>
      <c r="BV64">
        <v>38.299999999999997</v>
      </c>
      <c r="BW64">
        <v>698.92651035047902</v>
      </c>
      <c r="BX64">
        <v>1.4049729647089491</v>
      </c>
      <c r="BY64">
        <v>-35.583927474479538</v>
      </c>
      <c r="BZ64">
        <v>0.83795009094974748</v>
      </c>
      <c r="CA64">
        <v>0.98471043548531834</v>
      </c>
      <c r="CB64">
        <v>-7.0156206896551821E-3</v>
      </c>
      <c r="CC64">
        <v>289.99999999999989</v>
      </c>
      <c r="CD64">
        <v>658.52</v>
      </c>
      <c r="CE64">
        <v>885</v>
      </c>
      <c r="CF64">
        <v>7106.07</v>
      </c>
      <c r="CG64">
        <v>648.85</v>
      </c>
      <c r="CH64">
        <v>9.67</v>
      </c>
      <c r="CV64">
        <f t="shared" si="88"/>
        <v>1800.12</v>
      </c>
      <c r="CW64">
        <f t="shared" si="89"/>
        <v>1513.2851996512834</v>
      </c>
      <c r="CX64">
        <f t="shared" si="90"/>
        <v>0.84065795594253911</v>
      </c>
      <c r="CY64">
        <f t="shared" si="91"/>
        <v>0.19131591188507804</v>
      </c>
      <c r="CZ64">
        <v>3.93</v>
      </c>
      <c r="DA64">
        <v>0.5</v>
      </c>
      <c r="DB64" t="s">
        <v>418</v>
      </c>
      <c r="DC64">
        <v>2</v>
      </c>
      <c r="DD64">
        <v>1700250443.0999999</v>
      </c>
      <c r="DE64">
        <v>565.06100000000004</v>
      </c>
      <c r="DF64">
        <v>599.94399999999996</v>
      </c>
      <c r="DG64">
        <v>27.754000000000001</v>
      </c>
      <c r="DH64">
        <v>25.7</v>
      </c>
      <c r="DI64">
        <v>565.32399999999996</v>
      </c>
      <c r="DJ64">
        <v>27.747599999999998</v>
      </c>
      <c r="DK64">
        <v>500.20299999999997</v>
      </c>
      <c r="DL64">
        <v>98.721199999999996</v>
      </c>
      <c r="DM64">
        <v>9.9886699999999995E-2</v>
      </c>
      <c r="DN64">
        <v>29.8826</v>
      </c>
      <c r="DO64">
        <v>30.002500000000001</v>
      </c>
      <c r="DP64">
        <v>999.9</v>
      </c>
      <c r="DQ64">
        <v>0</v>
      </c>
      <c r="DR64">
        <v>0</v>
      </c>
      <c r="DS64">
        <v>10031.9</v>
      </c>
      <c r="DT64">
        <v>0</v>
      </c>
      <c r="DU64">
        <v>481.79899999999998</v>
      </c>
      <c r="DV64">
        <v>-34.883899999999997</v>
      </c>
      <c r="DW64">
        <v>581.19100000000003</v>
      </c>
      <c r="DX64">
        <v>615.77</v>
      </c>
      <c r="DY64">
        <v>2.05396</v>
      </c>
      <c r="DZ64">
        <v>599.94399999999996</v>
      </c>
      <c r="EA64">
        <v>25.7</v>
      </c>
      <c r="EB64">
        <v>2.7399100000000001</v>
      </c>
      <c r="EC64">
        <v>2.53714</v>
      </c>
      <c r="ED64">
        <v>22.526399999999999</v>
      </c>
      <c r="EE64">
        <v>21.2667</v>
      </c>
      <c r="EF64">
        <v>1800.12</v>
      </c>
      <c r="EG64">
        <v>0.97800500000000001</v>
      </c>
      <c r="EH64">
        <v>2.1994900000000001E-2</v>
      </c>
      <c r="EI64">
        <v>0</v>
      </c>
      <c r="EJ64">
        <v>502.25400000000002</v>
      </c>
      <c r="EK64">
        <v>5.0005300000000004</v>
      </c>
      <c r="EL64">
        <v>9837.9699999999993</v>
      </c>
      <c r="EM64">
        <v>16036.4</v>
      </c>
      <c r="EN64">
        <v>47.311999999999998</v>
      </c>
      <c r="EO64">
        <v>48.436999999999998</v>
      </c>
      <c r="EP64">
        <v>47.875</v>
      </c>
      <c r="EQ64">
        <v>48.061999999999998</v>
      </c>
      <c r="ER64">
        <v>48.561999999999998</v>
      </c>
      <c r="ES64">
        <v>1755.64</v>
      </c>
      <c r="ET64">
        <v>39.479999999999997</v>
      </c>
      <c r="EU64">
        <v>0</v>
      </c>
      <c r="EV64">
        <v>214.79999995231631</v>
      </c>
      <c r="EW64">
        <v>0</v>
      </c>
      <c r="EX64">
        <v>502.32330769230771</v>
      </c>
      <c r="EY64">
        <v>-0.2129230757730009</v>
      </c>
      <c r="EZ64">
        <v>-49.715897433521512</v>
      </c>
      <c r="FA64">
        <v>9846.4426923076935</v>
      </c>
      <c r="FB64">
        <v>15</v>
      </c>
      <c r="FC64">
        <v>1700250299.5999999</v>
      </c>
      <c r="FD64" t="s">
        <v>626</v>
      </c>
      <c r="FE64">
        <v>1700250299.5999999</v>
      </c>
      <c r="FF64">
        <v>1700250291.5999999</v>
      </c>
      <c r="FG64">
        <v>56</v>
      </c>
      <c r="FH64">
        <v>0.13300000000000001</v>
      </c>
      <c r="FI64">
        <v>-2E-3</v>
      </c>
      <c r="FJ64">
        <v>-0.27200000000000002</v>
      </c>
      <c r="FK64">
        <v>6.0000000000000001E-3</v>
      </c>
      <c r="FL64">
        <v>600</v>
      </c>
      <c r="FM64">
        <v>26</v>
      </c>
      <c r="FN64">
        <v>0.08</v>
      </c>
      <c r="FO64">
        <v>0.06</v>
      </c>
      <c r="FP64">
        <v>42.864711026923572</v>
      </c>
      <c r="FQ64">
        <v>0.67017170917549607</v>
      </c>
      <c r="FR64">
        <v>6.9365050207891674E-2</v>
      </c>
      <c r="FS64">
        <v>1</v>
      </c>
      <c r="FT64">
        <v>0.17422665800131121</v>
      </c>
      <c r="FU64">
        <v>-1.142220943774698E-2</v>
      </c>
      <c r="FV64">
        <v>1.053508451308204E-3</v>
      </c>
      <c r="FW64">
        <v>1</v>
      </c>
      <c r="FX64">
        <v>2</v>
      </c>
      <c r="FY64">
        <v>2</v>
      </c>
      <c r="FZ64" t="s">
        <v>420</v>
      </c>
      <c r="GA64">
        <v>3.12182</v>
      </c>
      <c r="GB64">
        <v>2.7670400000000002</v>
      </c>
      <c r="GC64">
        <v>0.11421199999999999</v>
      </c>
      <c r="GD64">
        <v>0.119145</v>
      </c>
      <c r="GE64">
        <v>0.118218</v>
      </c>
      <c r="GF64">
        <v>0.112252</v>
      </c>
      <c r="GG64">
        <v>21152.9</v>
      </c>
      <c r="GH64">
        <v>21913.200000000001</v>
      </c>
      <c r="GI64">
        <v>23744.6</v>
      </c>
      <c r="GJ64">
        <v>25196.400000000001</v>
      </c>
      <c r="GK64">
        <v>30159.4</v>
      </c>
      <c r="GL64">
        <v>31369</v>
      </c>
      <c r="GM64">
        <v>37856.300000000003</v>
      </c>
      <c r="GN64">
        <v>39228.800000000003</v>
      </c>
      <c r="GO64">
        <v>2.1182500000000002</v>
      </c>
      <c r="GP64">
        <v>1.79277</v>
      </c>
      <c r="GQ64">
        <v>5.9295399999999998E-2</v>
      </c>
      <c r="GR64">
        <v>0</v>
      </c>
      <c r="GS64">
        <v>29.036799999999999</v>
      </c>
      <c r="GT64">
        <v>999.9</v>
      </c>
      <c r="GU64">
        <v>46.6</v>
      </c>
      <c r="GV64">
        <v>37.6</v>
      </c>
      <c r="GW64">
        <v>30.749199999999998</v>
      </c>
      <c r="GX64">
        <v>60.272199999999998</v>
      </c>
      <c r="GY64">
        <v>26.662700000000001</v>
      </c>
      <c r="GZ64">
        <v>1</v>
      </c>
      <c r="HA64">
        <v>0.54369400000000001</v>
      </c>
      <c r="HB64">
        <v>1.92008</v>
      </c>
      <c r="HC64">
        <v>20.312000000000001</v>
      </c>
      <c r="HD64">
        <v>5.2517300000000002</v>
      </c>
      <c r="HE64">
        <v>12.013199999999999</v>
      </c>
      <c r="HF64">
        <v>4.9791499999999997</v>
      </c>
      <c r="HG64">
        <v>3.2930000000000001</v>
      </c>
      <c r="HH64">
        <v>9999</v>
      </c>
      <c r="HI64">
        <v>9999</v>
      </c>
      <c r="HJ64">
        <v>9999</v>
      </c>
      <c r="HK64">
        <v>999.9</v>
      </c>
      <c r="HL64">
        <v>1.87608</v>
      </c>
      <c r="HM64">
        <v>1.87696</v>
      </c>
      <c r="HN64">
        <v>1.88324</v>
      </c>
      <c r="HO64">
        <v>1.8863099999999999</v>
      </c>
      <c r="HP64">
        <v>1.87713</v>
      </c>
      <c r="HQ64">
        <v>1.8836999999999999</v>
      </c>
      <c r="HR64">
        <v>1.88263</v>
      </c>
      <c r="HS64">
        <v>1.8859900000000001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424</v>
      </c>
      <c r="IB64" t="s">
        <v>424</v>
      </c>
      <c r="IC64" t="s">
        <v>423</v>
      </c>
      <c r="ID64">
        <v>0</v>
      </c>
      <c r="IE64">
        <v>100</v>
      </c>
      <c r="IF64">
        <v>100</v>
      </c>
      <c r="IG64">
        <v>-0.26300000000000001</v>
      </c>
      <c r="IH64">
        <v>6.4000000000000003E-3</v>
      </c>
      <c r="II64">
        <v>-0.21509434867671939</v>
      </c>
      <c r="IJ64">
        <v>4.4610147972834149E-5</v>
      </c>
      <c r="IK64">
        <v>-2.082673137682459E-7</v>
      </c>
      <c r="IL64">
        <v>-4.0725795306076518E-11</v>
      </c>
      <c r="IM64">
        <v>6.3949999999977081E-3</v>
      </c>
      <c r="IN64">
        <v>0</v>
      </c>
      <c r="IO64">
        <v>0</v>
      </c>
      <c r="IP64">
        <v>0</v>
      </c>
      <c r="IQ64">
        <v>3</v>
      </c>
      <c r="IR64">
        <v>2179</v>
      </c>
      <c r="IS64">
        <v>0</v>
      </c>
      <c r="IT64">
        <v>22</v>
      </c>
      <c r="IU64">
        <v>2.4</v>
      </c>
      <c r="IV64">
        <v>2.5</v>
      </c>
      <c r="IW64">
        <v>1.4196800000000001</v>
      </c>
      <c r="IX64">
        <v>2.66479</v>
      </c>
      <c r="IY64">
        <v>1.6015600000000001</v>
      </c>
      <c r="IZ64">
        <v>2.3278799999999999</v>
      </c>
      <c r="JA64">
        <v>1.5502899999999999</v>
      </c>
      <c r="JB64">
        <v>2.49634</v>
      </c>
      <c r="JC64">
        <v>41.848599999999998</v>
      </c>
      <c r="JD64">
        <v>24.105</v>
      </c>
      <c r="JE64">
        <v>18</v>
      </c>
      <c r="JF64">
        <v>587.29200000000003</v>
      </c>
      <c r="JG64">
        <v>409.39499999999998</v>
      </c>
      <c r="JH64">
        <v>27.2502</v>
      </c>
      <c r="JI64">
        <v>33.873899999999999</v>
      </c>
      <c r="JJ64">
        <v>29.999700000000001</v>
      </c>
      <c r="JK64">
        <v>33.973300000000002</v>
      </c>
      <c r="JL64">
        <v>33.964799999999997</v>
      </c>
      <c r="JM64">
        <v>28.4072</v>
      </c>
      <c r="JN64">
        <v>23.029900000000001</v>
      </c>
      <c r="JO64">
        <v>73.547899999999998</v>
      </c>
      <c r="JP64">
        <v>27.2529</v>
      </c>
      <c r="JQ64">
        <v>600</v>
      </c>
      <c r="JR64">
        <v>25.7821</v>
      </c>
      <c r="JS64">
        <v>98.732399999999998</v>
      </c>
      <c r="JT64">
        <v>99.258200000000002</v>
      </c>
    </row>
    <row r="65" spans="1:280" x14ac:dyDescent="0.25">
      <c r="A65">
        <v>49</v>
      </c>
      <c r="B65">
        <v>1700250605.5</v>
      </c>
      <c r="C65">
        <v>15368</v>
      </c>
      <c r="D65" t="s">
        <v>627</v>
      </c>
      <c r="E65" t="s">
        <v>628</v>
      </c>
      <c r="F65" t="s">
        <v>412</v>
      </c>
      <c r="G65" t="s">
        <v>544</v>
      </c>
      <c r="H65" t="s">
        <v>544</v>
      </c>
      <c r="I65">
        <v>1700250605.5</v>
      </c>
      <c r="J65">
        <f t="shared" si="46"/>
        <v>3.1444246011058442E-3</v>
      </c>
      <c r="K65">
        <f t="shared" si="47"/>
        <v>3.1444246011058441</v>
      </c>
      <c r="L65">
        <f t="shared" si="48"/>
        <v>41.03262089555772</v>
      </c>
      <c r="M65">
        <f t="shared" si="49"/>
        <v>466.55799999999999</v>
      </c>
      <c r="N65">
        <f t="shared" si="50"/>
        <v>133.91488170503811</v>
      </c>
      <c r="O65">
        <f t="shared" si="51"/>
        <v>13.233726396239147</v>
      </c>
      <c r="P65">
        <f t="shared" si="52"/>
        <v>46.106159684150001</v>
      </c>
      <c r="Q65">
        <f t="shared" si="53"/>
        <v>0.20771916716144515</v>
      </c>
      <c r="R65">
        <f t="shared" si="54"/>
        <v>3.4243262469171714</v>
      </c>
      <c r="S65">
        <f t="shared" si="55"/>
        <v>0.20096445923711112</v>
      </c>
      <c r="T65">
        <f t="shared" si="56"/>
        <v>0.12619137278860282</v>
      </c>
      <c r="U65">
        <f t="shared" si="57"/>
        <v>344.34409930246983</v>
      </c>
      <c r="V65">
        <f t="shared" si="58"/>
        <v>30.949122682381486</v>
      </c>
      <c r="W65">
        <f t="shared" si="59"/>
        <v>29.979900000000001</v>
      </c>
      <c r="X65">
        <f t="shared" si="60"/>
        <v>4.2555334397678086</v>
      </c>
      <c r="Y65">
        <f t="shared" si="61"/>
        <v>65.243882923830299</v>
      </c>
      <c r="Z65">
        <f t="shared" si="62"/>
        <v>2.7642172395225</v>
      </c>
      <c r="AA65">
        <f t="shared" si="63"/>
        <v>4.2367454474615132</v>
      </c>
      <c r="AB65">
        <f t="shared" si="64"/>
        <v>1.4913162002453086</v>
      </c>
      <c r="AC65">
        <f t="shared" si="65"/>
        <v>-138.66912490876774</v>
      </c>
      <c r="AD65">
        <f t="shared" si="66"/>
        <v>-14.215145300032809</v>
      </c>
      <c r="AE65">
        <f t="shared" si="67"/>
        <v>-0.92249340005831959</v>
      </c>
      <c r="AF65">
        <f t="shared" si="68"/>
        <v>190.53733569361094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51558.341940901715</v>
      </c>
      <c r="AL65" t="s">
        <v>427</v>
      </c>
      <c r="AM65" t="s">
        <v>427</v>
      </c>
      <c r="AN65">
        <v>0</v>
      </c>
      <c r="AO65">
        <v>0</v>
      </c>
      <c r="AP65" t="e">
        <f t="shared" si="72"/>
        <v>#DIV/0!</v>
      </c>
      <c r="AQ65">
        <v>0</v>
      </c>
      <c r="AR65" t="s">
        <v>427</v>
      </c>
      <c r="AS65" t="s">
        <v>427</v>
      </c>
      <c r="AT65">
        <v>0</v>
      </c>
      <c r="AU65">
        <v>0</v>
      </c>
      <c r="AV65" t="e">
        <f t="shared" si="73"/>
        <v>#DIV/0!</v>
      </c>
      <c r="AW65">
        <v>0.5</v>
      </c>
      <c r="AX65">
        <f t="shared" si="74"/>
        <v>1513.0751996512347</v>
      </c>
      <c r="AY65">
        <f t="shared" si="75"/>
        <v>41.03262089555772</v>
      </c>
      <c r="AZ65" t="e">
        <f t="shared" si="76"/>
        <v>#DIV/0!</v>
      </c>
      <c r="BA65">
        <f t="shared" si="77"/>
        <v>2.7118692385557426E-2</v>
      </c>
      <c r="BB65" t="e">
        <f t="shared" si="78"/>
        <v>#DIV/0!</v>
      </c>
      <c r="BC65" t="e">
        <f t="shared" si="79"/>
        <v>#DIV/0!</v>
      </c>
      <c r="BD65" t="s">
        <v>427</v>
      </c>
      <c r="BE65">
        <v>0</v>
      </c>
      <c r="BF65" t="e">
        <f t="shared" si="80"/>
        <v>#DIV/0!</v>
      </c>
      <c r="BG65" t="e">
        <f t="shared" si="81"/>
        <v>#DIV/0!</v>
      </c>
      <c r="BH65" t="e">
        <f t="shared" si="82"/>
        <v>#DIV/0!</v>
      </c>
      <c r="BI65" t="e">
        <f t="shared" si="83"/>
        <v>#DIV/0!</v>
      </c>
      <c r="BJ65" t="e">
        <f t="shared" si="84"/>
        <v>#DIV/0!</v>
      </c>
      <c r="BK65" t="e">
        <f t="shared" si="85"/>
        <v>#DIV/0!</v>
      </c>
      <c r="BL65" t="e">
        <f t="shared" si="86"/>
        <v>#DIV/0!</v>
      </c>
      <c r="BM65" t="e">
        <f t="shared" si="87"/>
        <v>#DIV/0!</v>
      </c>
      <c r="BN65">
        <v>11418</v>
      </c>
      <c r="BO65">
        <v>290.00000000000011</v>
      </c>
      <c r="BP65">
        <v>647.47</v>
      </c>
      <c r="BQ65">
        <v>285</v>
      </c>
      <c r="BR65">
        <v>7115.02</v>
      </c>
      <c r="BS65">
        <v>648.91</v>
      </c>
      <c r="BT65">
        <v>-1.44</v>
      </c>
      <c r="BU65">
        <v>300.00000000000011</v>
      </c>
      <c r="BV65">
        <v>38.299999999999997</v>
      </c>
      <c r="BW65">
        <v>698.92651035047902</v>
      </c>
      <c r="BX65">
        <v>1.4049729647089491</v>
      </c>
      <c r="BY65">
        <v>-35.583927474479538</v>
      </c>
      <c r="BZ65">
        <v>0.83795009094974748</v>
      </c>
      <c r="CA65">
        <v>0.98471043548531834</v>
      </c>
      <c r="CB65">
        <v>-7.0156206896551821E-3</v>
      </c>
      <c r="CC65">
        <v>289.99999999999989</v>
      </c>
      <c r="CD65">
        <v>658.52</v>
      </c>
      <c r="CE65">
        <v>885</v>
      </c>
      <c r="CF65">
        <v>7106.07</v>
      </c>
      <c r="CG65">
        <v>648.85</v>
      </c>
      <c r="CH65">
        <v>9.67</v>
      </c>
      <c r="CV65">
        <f t="shared" si="88"/>
        <v>1799.87</v>
      </c>
      <c r="CW65">
        <f t="shared" si="89"/>
        <v>1513.0751996512347</v>
      </c>
      <c r="CX65">
        <f t="shared" si="90"/>
        <v>0.84065804733188221</v>
      </c>
      <c r="CY65">
        <f t="shared" si="91"/>
        <v>0.19131609466376451</v>
      </c>
      <c r="CZ65">
        <v>3.93</v>
      </c>
      <c r="DA65">
        <v>0.5</v>
      </c>
      <c r="DB65" t="s">
        <v>418</v>
      </c>
      <c r="DC65">
        <v>2</v>
      </c>
      <c r="DD65">
        <v>1700250605.5</v>
      </c>
      <c r="DE65">
        <v>466.55799999999999</v>
      </c>
      <c r="DF65">
        <v>499.95600000000002</v>
      </c>
      <c r="DG65">
        <v>27.971699999999998</v>
      </c>
      <c r="DH65">
        <v>25.569800000000001</v>
      </c>
      <c r="DI65">
        <v>466.78899999999999</v>
      </c>
      <c r="DJ65">
        <v>27.965699999999998</v>
      </c>
      <c r="DK65">
        <v>500.101</v>
      </c>
      <c r="DL65">
        <v>98.721699999999998</v>
      </c>
      <c r="DM65">
        <v>0.10022499999999999</v>
      </c>
      <c r="DN65">
        <v>29.902899999999999</v>
      </c>
      <c r="DO65">
        <v>29.979900000000001</v>
      </c>
      <c r="DP65">
        <v>999.9</v>
      </c>
      <c r="DQ65">
        <v>0</v>
      </c>
      <c r="DR65">
        <v>0</v>
      </c>
      <c r="DS65">
        <v>9971.25</v>
      </c>
      <c r="DT65">
        <v>0</v>
      </c>
      <c r="DU65">
        <v>528.41600000000005</v>
      </c>
      <c r="DV65">
        <v>-33.397599999999997</v>
      </c>
      <c r="DW65">
        <v>479.98399999999998</v>
      </c>
      <c r="DX65">
        <v>513.07500000000005</v>
      </c>
      <c r="DY65">
        <v>2.4018600000000001</v>
      </c>
      <c r="DZ65">
        <v>499.95600000000002</v>
      </c>
      <c r="EA65">
        <v>25.569800000000001</v>
      </c>
      <c r="EB65">
        <v>2.7614100000000001</v>
      </c>
      <c r="EC65">
        <v>2.5243000000000002</v>
      </c>
      <c r="ED65">
        <v>22.655200000000001</v>
      </c>
      <c r="EE65">
        <v>21.184000000000001</v>
      </c>
      <c r="EF65">
        <v>1799.87</v>
      </c>
      <c r="EG65">
        <v>0.97800200000000004</v>
      </c>
      <c r="EH65">
        <v>2.1998400000000001E-2</v>
      </c>
      <c r="EI65">
        <v>0</v>
      </c>
      <c r="EJ65">
        <v>503.19200000000001</v>
      </c>
      <c r="EK65">
        <v>5.0005300000000004</v>
      </c>
      <c r="EL65">
        <v>9894.09</v>
      </c>
      <c r="EM65">
        <v>16034.1</v>
      </c>
      <c r="EN65">
        <v>47.25</v>
      </c>
      <c r="EO65">
        <v>48.375</v>
      </c>
      <c r="EP65">
        <v>47.811999999999998</v>
      </c>
      <c r="EQ65">
        <v>48</v>
      </c>
      <c r="ER65">
        <v>48.561999999999998</v>
      </c>
      <c r="ES65">
        <v>1755.39</v>
      </c>
      <c r="ET65">
        <v>39.479999999999997</v>
      </c>
      <c r="EU65">
        <v>0</v>
      </c>
      <c r="EV65">
        <v>160.79999995231631</v>
      </c>
      <c r="EW65">
        <v>0</v>
      </c>
      <c r="EX65">
        <v>503.24900000000008</v>
      </c>
      <c r="EY65">
        <v>-2.278358968424985</v>
      </c>
      <c r="EZ65">
        <v>287.58222277515472</v>
      </c>
      <c r="FA65">
        <v>9923.1023076923084</v>
      </c>
      <c r="FB65">
        <v>15</v>
      </c>
      <c r="FC65">
        <v>1700250509.5999999</v>
      </c>
      <c r="FD65" t="s">
        <v>629</v>
      </c>
      <c r="FE65">
        <v>1700250506.5999999</v>
      </c>
      <c r="FF65">
        <v>1700250509.5999999</v>
      </c>
      <c r="FG65">
        <v>57</v>
      </c>
      <c r="FH65">
        <v>1.2999999999999999E-2</v>
      </c>
      <c r="FI65">
        <v>0</v>
      </c>
      <c r="FJ65">
        <v>-0.23699999999999999</v>
      </c>
      <c r="FK65">
        <v>6.0000000000000001E-3</v>
      </c>
      <c r="FL65">
        <v>500</v>
      </c>
      <c r="FM65">
        <v>26</v>
      </c>
      <c r="FN65">
        <v>0.09</v>
      </c>
      <c r="FO65">
        <v>0.04</v>
      </c>
      <c r="FP65">
        <v>40.767293253908647</v>
      </c>
      <c r="FQ65">
        <v>0.58079879576807791</v>
      </c>
      <c r="FR65">
        <v>5.887300568860155E-2</v>
      </c>
      <c r="FS65">
        <v>1</v>
      </c>
      <c r="FT65">
        <v>0.20682402131481539</v>
      </c>
      <c r="FU65">
        <v>2.6793911127888811E-2</v>
      </c>
      <c r="FV65">
        <v>2.5065042356725411E-3</v>
      </c>
      <c r="FW65">
        <v>1</v>
      </c>
      <c r="FX65">
        <v>2</v>
      </c>
      <c r="FY65">
        <v>2</v>
      </c>
      <c r="FZ65" t="s">
        <v>420</v>
      </c>
      <c r="GA65">
        <v>3.12141</v>
      </c>
      <c r="GB65">
        <v>2.7668499999999998</v>
      </c>
      <c r="GC65">
        <v>9.9395600000000001E-2</v>
      </c>
      <c r="GD65">
        <v>0.104603</v>
      </c>
      <c r="GE65">
        <v>0.118878</v>
      </c>
      <c r="GF65">
        <v>0.111871</v>
      </c>
      <c r="GG65">
        <v>21509.8</v>
      </c>
      <c r="GH65">
        <v>22278.1</v>
      </c>
      <c r="GI65">
        <v>23747.599999999999</v>
      </c>
      <c r="GJ65">
        <v>25199.4</v>
      </c>
      <c r="GK65">
        <v>30140.6</v>
      </c>
      <c r="GL65">
        <v>31386.400000000001</v>
      </c>
      <c r="GM65">
        <v>37861</v>
      </c>
      <c r="GN65">
        <v>39233.599999999999</v>
      </c>
      <c r="GO65">
        <v>2.1191</v>
      </c>
      <c r="GP65">
        <v>1.7938000000000001</v>
      </c>
      <c r="GQ65">
        <v>5.7294999999999999E-2</v>
      </c>
      <c r="GR65">
        <v>0</v>
      </c>
      <c r="GS65">
        <v>29.046800000000001</v>
      </c>
      <c r="GT65">
        <v>999.9</v>
      </c>
      <c r="GU65">
        <v>46.7</v>
      </c>
      <c r="GV65">
        <v>37.6</v>
      </c>
      <c r="GW65">
        <v>30.8156</v>
      </c>
      <c r="GX65">
        <v>60.752200000000002</v>
      </c>
      <c r="GY65">
        <v>26.875</v>
      </c>
      <c r="GZ65">
        <v>1</v>
      </c>
      <c r="HA65">
        <v>0.53665600000000002</v>
      </c>
      <c r="HB65">
        <v>1.62616</v>
      </c>
      <c r="HC65">
        <v>20.315799999999999</v>
      </c>
      <c r="HD65">
        <v>5.2511299999999999</v>
      </c>
      <c r="HE65">
        <v>12.014900000000001</v>
      </c>
      <c r="HF65">
        <v>4.9790000000000001</v>
      </c>
      <c r="HG65">
        <v>3.2930000000000001</v>
      </c>
      <c r="HH65">
        <v>9999</v>
      </c>
      <c r="HI65">
        <v>9999</v>
      </c>
      <c r="HJ65">
        <v>9999</v>
      </c>
      <c r="HK65">
        <v>999.9</v>
      </c>
      <c r="HL65">
        <v>1.87612</v>
      </c>
      <c r="HM65">
        <v>1.87696</v>
      </c>
      <c r="HN65">
        <v>1.88324</v>
      </c>
      <c r="HO65">
        <v>1.88632</v>
      </c>
      <c r="HP65">
        <v>1.87714</v>
      </c>
      <c r="HQ65">
        <v>1.8836999999999999</v>
      </c>
      <c r="HR65">
        <v>1.88263</v>
      </c>
      <c r="HS65">
        <v>1.8859900000000001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424</v>
      </c>
      <c r="IB65" t="s">
        <v>424</v>
      </c>
      <c r="IC65" t="s">
        <v>423</v>
      </c>
      <c r="ID65">
        <v>0</v>
      </c>
      <c r="IE65">
        <v>100</v>
      </c>
      <c r="IF65">
        <v>100</v>
      </c>
      <c r="IG65">
        <v>-0.23100000000000001</v>
      </c>
      <c r="IH65">
        <v>6.0000000000000001E-3</v>
      </c>
      <c r="II65">
        <v>-0.20220440483603699</v>
      </c>
      <c r="IJ65">
        <v>4.4610147972834149E-5</v>
      </c>
      <c r="IK65">
        <v>-2.082673137682459E-7</v>
      </c>
      <c r="IL65">
        <v>-4.0725795306076518E-11</v>
      </c>
      <c r="IM65">
        <v>5.9799999999974318E-3</v>
      </c>
      <c r="IN65">
        <v>0</v>
      </c>
      <c r="IO65">
        <v>0</v>
      </c>
      <c r="IP65">
        <v>0</v>
      </c>
      <c r="IQ65">
        <v>3</v>
      </c>
      <c r="IR65">
        <v>2179</v>
      </c>
      <c r="IS65">
        <v>0</v>
      </c>
      <c r="IT65">
        <v>22</v>
      </c>
      <c r="IU65">
        <v>1.6</v>
      </c>
      <c r="IV65">
        <v>1.6</v>
      </c>
      <c r="IW65">
        <v>1.22559</v>
      </c>
      <c r="IX65">
        <v>2.6696800000000001</v>
      </c>
      <c r="IY65">
        <v>1.6015600000000001</v>
      </c>
      <c r="IZ65">
        <v>2.3278799999999999</v>
      </c>
      <c r="JA65">
        <v>1.5502899999999999</v>
      </c>
      <c r="JB65">
        <v>2.3584000000000001</v>
      </c>
      <c r="JC65">
        <v>41.796100000000003</v>
      </c>
      <c r="JD65">
        <v>24.096299999999999</v>
      </c>
      <c r="JE65">
        <v>18</v>
      </c>
      <c r="JF65">
        <v>587.32399999999996</v>
      </c>
      <c r="JG65">
        <v>409.62299999999999</v>
      </c>
      <c r="JH65">
        <v>27.5062</v>
      </c>
      <c r="JI65">
        <v>33.813400000000001</v>
      </c>
      <c r="JJ65">
        <v>30</v>
      </c>
      <c r="JK65">
        <v>33.909599999999998</v>
      </c>
      <c r="JL65">
        <v>33.900199999999998</v>
      </c>
      <c r="JM65">
        <v>24.5123</v>
      </c>
      <c r="JN65">
        <v>23.7624</v>
      </c>
      <c r="JO65">
        <v>73.692300000000003</v>
      </c>
      <c r="JP65">
        <v>27.5215</v>
      </c>
      <c r="JQ65">
        <v>500</v>
      </c>
      <c r="JR65">
        <v>25.5776</v>
      </c>
      <c r="JS65">
        <v>98.744799999999998</v>
      </c>
      <c r="JT65">
        <v>99.270399999999995</v>
      </c>
    </row>
    <row r="66" spans="1:280" x14ac:dyDescent="0.25">
      <c r="A66">
        <v>50</v>
      </c>
      <c r="B66">
        <v>1700250785.5</v>
      </c>
      <c r="C66">
        <v>15548</v>
      </c>
      <c r="D66" t="s">
        <v>630</v>
      </c>
      <c r="E66" t="s">
        <v>631</v>
      </c>
      <c r="F66" t="s">
        <v>412</v>
      </c>
      <c r="G66" t="s">
        <v>544</v>
      </c>
      <c r="H66" t="s">
        <v>544</v>
      </c>
      <c r="I66">
        <v>1700250785.5</v>
      </c>
      <c r="J66">
        <f t="shared" si="46"/>
        <v>3.8279233180916515E-3</v>
      </c>
      <c r="K66">
        <f t="shared" si="47"/>
        <v>3.8279233180916514</v>
      </c>
      <c r="L66">
        <f t="shared" si="48"/>
        <v>39.166117724962319</v>
      </c>
      <c r="M66">
        <f t="shared" si="49"/>
        <v>368.10199999999998</v>
      </c>
      <c r="N66">
        <f t="shared" si="50"/>
        <v>107.31151473940801</v>
      </c>
      <c r="O66">
        <f t="shared" si="51"/>
        <v>10.604161602874537</v>
      </c>
      <c r="P66">
        <f t="shared" si="52"/>
        <v>36.374596927647993</v>
      </c>
      <c r="Q66">
        <f t="shared" si="53"/>
        <v>0.25455713723802587</v>
      </c>
      <c r="R66">
        <f t="shared" si="54"/>
        <v>3.4195130613954015</v>
      </c>
      <c r="S66">
        <f t="shared" si="55"/>
        <v>0.24447862787154787</v>
      </c>
      <c r="T66">
        <f t="shared" si="56"/>
        <v>0.15367140762179354</v>
      </c>
      <c r="U66">
        <f t="shared" si="57"/>
        <v>344.3655993023358</v>
      </c>
      <c r="V66">
        <f t="shared" si="58"/>
        <v>30.952401233679733</v>
      </c>
      <c r="W66">
        <f t="shared" si="59"/>
        <v>30.005700000000001</v>
      </c>
      <c r="X66">
        <f t="shared" si="60"/>
        <v>4.2618448568767686</v>
      </c>
      <c r="Y66">
        <f t="shared" si="61"/>
        <v>64.791622953058138</v>
      </c>
      <c r="Z66">
        <f t="shared" si="62"/>
        <v>2.7696718641215998</v>
      </c>
      <c r="AA66">
        <f t="shared" si="63"/>
        <v>4.274737593976063</v>
      </c>
      <c r="AB66">
        <f t="shared" si="64"/>
        <v>1.4921729927551688</v>
      </c>
      <c r="AC66">
        <f t="shared" si="65"/>
        <v>-168.81141832784184</v>
      </c>
      <c r="AD66">
        <f t="shared" si="66"/>
        <v>9.6969566575285793</v>
      </c>
      <c r="AE66">
        <f t="shared" si="67"/>
        <v>0.63073637110076475</v>
      </c>
      <c r="AF66">
        <f t="shared" si="68"/>
        <v>185.88187400312327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51426.83137878259</v>
      </c>
      <c r="AL66" t="s">
        <v>415</v>
      </c>
      <c r="AM66">
        <v>6977.87</v>
      </c>
      <c r="AN66">
        <v>273.15280000000001</v>
      </c>
      <c r="AO66">
        <v>850.46774885301022</v>
      </c>
      <c r="AP66">
        <f t="shared" si="72"/>
        <v>0.67882050745793765</v>
      </c>
      <c r="AQ66">
        <v>-1.0323826813720729</v>
      </c>
      <c r="AR66" t="s">
        <v>632</v>
      </c>
      <c r="AS66">
        <v>7115.55</v>
      </c>
      <c r="AT66">
        <v>505.49457692307692</v>
      </c>
      <c r="AU66">
        <v>684.04244937736064</v>
      </c>
      <c r="AV66">
        <f t="shared" si="73"/>
        <v>0.26101870229954915</v>
      </c>
      <c r="AW66">
        <v>0.5</v>
      </c>
      <c r="AX66">
        <f t="shared" si="74"/>
        <v>1513.167899651168</v>
      </c>
      <c r="AY66">
        <f t="shared" si="75"/>
        <v>39.166117724962319</v>
      </c>
      <c r="AZ66">
        <f t="shared" si="76"/>
        <v>197.48256076414114</v>
      </c>
      <c r="BA66">
        <f t="shared" si="77"/>
        <v>2.6565789834427089E-2</v>
      </c>
      <c r="BB66">
        <f t="shared" si="78"/>
        <v>0.24329674222284847</v>
      </c>
      <c r="BC66">
        <f t="shared" si="79"/>
        <v>253.35514171902915</v>
      </c>
      <c r="BD66" t="s">
        <v>633</v>
      </c>
      <c r="BE66">
        <v>372.06</v>
      </c>
      <c r="BF66">
        <f t="shared" si="80"/>
        <v>372.06</v>
      </c>
      <c r="BG66">
        <f t="shared" si="81"/>
        <v>0.45608638712602989</v>
      </c>
      <c r="BH66">
        <f t="shared" si="82"/>
        <v>0.57230101504306041</v>
      </c>
      <c r="BI66">
        <f t="shared" si="83"/>
        <v>0.34787333582003371</v>
      </c>
      <c r="BJ66">
        <f t="shared" si="84"/>
        <v>0.43453971820620269</v>
      </c>
      <c r="BK66">
        <f t="shared" si="85"/>
        <v>0.28827471002837829</v>
      </c>
      <c r="BL66">
        <f t="shared" si="86"/>
        <v>0.42123165188639305</v>
      </c>
      <c r="BM66">
        <f t="shared" si="87"/>
        <v>0.578768348113607</v>
      </c>
      <c r="BN66">
        <v>11420</v>
      </c>
      <c r="BO66">
        <v>290.00000000000011</v>
      </c>
      <c r="BP66">
        <v>636.98</v>
      </c>
      <c r="BQ66">
        <v>285</v>
      </c>
      <c r="BR66">
        <v>7115.55</v>
      </c>
      <c r="BS66">
        <v>638.19000000000005</v>
      </c>
      <c r="BT66">
        <v>-1.21</v>
      </c>
      <c r="BU66">
        <v>300.00000000000011</v>
      </c>
      <c r="BV66">
        <v>38.299999999999997</v>
      </c>
      <c r="BW66">
        <v>684.04244937736064</v>
      </c>
      <c r="BX66">
        <v>1.238091718421479</v>
      </c>
      <c r="BY66">
        <v>-32.625925105219977</v>
      </c>
      <c r="BZ66">
        <v>0.738475932889195</v>
      </c>
      <c r="CA66">
        <v>0.98585772436901908</v>
      </c>
      <c r="CB66">
        <v>-7.0160896551724229E-3</v>
      </c>
      <c r="CC66">
        <v>289.99999999999989</v>
      </c>
      <c r="CD66">
        <v>646.25</v>
      </c>
      <c r="CE66">
        <v>885</v>
      </c>
      <c r="CF66">
        <v>7106.61</v>
      </c>
      <c r="CG66">
        <v>638.13</v>
      </c>
      <c r="CH66">
        <v>8.1199999999999992</v>
      </c>
      <c r="CV66">
        <f t="shared" si="88"/>
        <v>1799.98</v>
      </c>
      <c r="CW66">
        <f t="shared" si="89"/>
        <v>1513.167899651168</v>
      </c>
      <c r="CX66">
        <f t="shared" si="90"/>
        <v>0.84065817378591312</v>
      </c>
      <c r="CY66">
        <f t="shared" si="91"/>
        <v>0.19131634757182625</v>
      </c>
      <c r="CZ66">
        <v>3.93</v>
      </c>
      <c r="DA66">
        <v>0.5</v>
      </c>
      <c r="DB66" t="s">
        <v>418</v>
      </c>
      <c r="DC66">
        <v>2</v>
      </c>
      <c r="DD66">
        <v>1700250785.5</v>
      </c>
      <c r="DE66">
        <v>368.10199999999998</v>
      </c>
      <c r="DF66">
        <v>399.983</v>
      </c>
      <c r="DG66">
        <v>28.028400000000001</v>
      </c>
      <c r="DH66">
        <v>25.105</v>
      </c>
      <c r="DI66">
        <v>368.43</v>
      </c>
      <c r="DJ66">
        <v>28.022500000000001</v>
      </c>
      <c r="DK66">
        <v>500.17399999999998</v>
      </c>
      <c r="DL66">
        <v>98.716499999999996</v>
      </c>
      <c r="DM66">
        <v>0.100124</v>
      </c>
      <c r="DN66">
        <v>30.058299999999999</v>
      </c>
      <c r="DO66">
        <v>30.005700000000001</v>
      </c>
      <c r="DP66">
        <v>999.9</v>
      </c>
      <c r="DQ66">
        <v>0</v>
      </c>
      <c r="DR66">
        <v>0</v>
      </c>
      <c r="DS66">
        <v>9950.6200000000008</v>
      </c>
      <c r="DT66">
        <v>0</v>
      </c>
      <c r="DU66">
        <v>496.53800000000001</v>
      </c>
      <c r="DV66">
        <v>-31.880800000000001</v>
      </c>
      <c r="DW66">
        <v>378.71699999999998</v>
      </c>
      <c r="DX66">
        <v>410.28300000000002</v>
      </c>
      <c r="DY66">
        <v>2.9234300000000002</v>
      </c>
      <c r="DZ66">
        <v>399.983</v>
      </c>
      <c r="EA66">
        <v>25.105</v>
      </c>
      <c r="EB66">
        <v>2.7668699999999999</v>
      </c>
      <c r="EC66">
        <v>2.4782799999999998</v>
      </c>
      <c r="ED66">
        <v>22.6877</v>
      </c>
      <c r="EE66">
        <v>20.884599999999999</v>
      </c>
      <c r="EF66">
        <v>1799.98</v>
      </c>
      <c r="EG66">
        <v>0.97800200000000004</v>
      </c>
      <c r="EH66">
        <v>2.1998400000000001E-2</v>
      </c>
      <c r="EI66">
        <v>0</v>
      </c>
      <c r="EJ66">
        <v>505.23099999999999</v>
      </c>
      <c r="EK66">
        <v>5.0005300000000004</v>
      </c>
      <c r="EL66">
        <v>9903.61</v>
      </c>
      <c r="EM66">
        <v>16035.1</v>
      </c>
      <c r="EN66">
        <v>47.186999999999998</v>
      </c>
      <c r="EO66">
        <v>48.311999999999998</v>
      </c>
      <c r="EP66">
        <v>47.75</v>
      </c>
      <c r="EQ66">
        <v>47.936999999999998</v>
      </c>
      <c r="ER66">
        <v>48.5</v>
      </c>
      <c r="ES66">
        <v>1755.49</v>
      </c>
      <c r="ET66">
        <v>39.49</v>
      </c>
      <c r="EU66">
        <v>0</v>
      </c>
      <c r="EV66">
        <v>340.79999995231628</v>
      </c>
      <c r="EW66">
        <v>0</v>
      </c>
      <c r="EX66">
        <v>505.49457692307692</v>
      </c>
      <c r="EY66">
        <v>-1.9755555628834029</v>
      </c>
      <c r="EZ66">
        <v>-7.1938461841303134</v>
      </c>
      <c r="FA66">
        <v>9904.5315384615387</v>
      </c>
      <c r="FB66">
        <v>15</v>
      </c>
      <c r="FC66">
        <v>1700250666</v>
      </c>
      <c r="FD66" t="s">
        <v>634</v>
      </c>
      <c r="FE66">
        <v>1700250663</v>
      </c>
      <c r="FF66">
        <v>1700250666</v>
      </c>
      <c r="FG66">
        <v>58</v>
      </c>
      <c r="FH66">
        <v>-0.111</v>
      </c>
      <c r="FI66">
        <v>0</v>
      </c>
      <c r="FJ66">
        <v>-0.33200000000000002</v>
      </c>
      <c r="FK66">
        <v>6.0000000000000001E-3</v>
      </c>
      <c r="FL66">
        <v>400</v>
      </c>
      <c r="FM66">
        <v>26</v>
      </c>
      <c r="FN66">
        <v>0.1</v>
      </c>
      <c r="FO66">
        <v>0.03</v>
      </c>
      <c r="FP66">
        <v>39.045902860621581</v>
      </c>
      <c r="FQ66">
        <v>0.69176585254850298</v>
      </c>
      <c r="FR66">
        <v>6.8860837591964583E-2</v>
      </c>
      <c r="FS66">
        <v>1</v>
      </c>
      <c r="FT66">
        <v>0.25365120624079329</v>
      </c>
      <c r="FU66">
        <v>4.2207259528747607E-3</v>
      </c>
      <c r="FV66">
        <v>3.2553777454750679E-4</v>
      </c>
      <c r="FW66">
        <v>1</v>
      </c>
      <c r="FX66">
        <v>2</v>
      </c>
      <c r="FY66">
        <v>2</v>
      </c>
      <c r="FZ66" t="s">
        <v>420</v>
      </c>
      <c r="GA66">
        <v>3.1214200000000001</v>
      </c>
      <c r="GB66">
        <v>2.7665700000000002</v>
      </c>
      <c r="GC66">
        <v>8.3011399999999999E-2</v>
      </c>
      <c r="GD66">
        <v>8.8548199999999994E-2</v>
      </c>
      <c r="GE66">
        <v>0.119056</v>
      </c>
      <c r="GF66">
        <v>0.110454</v>
      </c>
      <c r="GG66">
        <v>21903.9</v>
      </c>
      <c r="GH66">
        <v>22681.3</v>
      </c>
      <c r="GI66">
        <v>23750.400000000001</v>
      </c>
      <c r="GJ66">
        <v>25203.200000000001</v>
      </c>
      <c r="GK66">
        <v>30138</v>
      </c>
      <c r="GL66">
        <v>31440.799999999999</v>
      </c>
      <c r="GM66">
        <v>37865.300000000003</v>
      </c>
      <c r="GN66">
        <v>39238.9</v>
      </c>
      <c r="GO66">
        <v>2.1200700000000001</v>
      </c>
      <c r="GP66">
        <v>1.794</v>
      </c>
      <c r="GQ66">
        <v>5.5275900000000003E-2</v>
      </c>
      <c r="GR66">
        <v>0</v>
      </c>
      <c r="GS66">
        <v>29.105499999999999</v>
      </c>
      <c r="GT66">
        <v>999.9</v>
      </c>
      <c r="GU66">
        <v>46.7</v>
      </c>
      <c r="GV66">
        <v>37.5</v>
      </c>
      <c r="GW66">
        <v>30.651299999999999</v>
      </c>
      <c r="GX66">
        <v>60.6922</v>
      </c>
      <c r="GY66">
        <v>26.774799999999999</v>
      </c>
      <c r="GZ66">
        <v>1</v>
      </c>
      <c r="HA66">
        <v>0.53063499999999997</v>
      </c>
      <c r="HB66">
        <v>1.6452899999999999</v>
      </c>
      <c r="HC66">
        <v>20.314599999999999</v>
      </c>
      <c r="HD66">
        <v>5.2457399999999996</v>
      </c>
      <c r="HE66">
        <v>12.012</v>
      </c>
      <c r="HF66">
        <v>4.9778500000000001</v>
      </c>
      <c r="HG66">
        <v>3.2923300000000002</v>
      </c>
      <c r="HH66">
        <v>9999</v>
      </c>
      <c r="HI66">
        <v>9999</v>
      </c>
      <c r="HJ66">
        <v>9999</v>
      </c>
      <c r="HK66">
        <v>999.9</v>
      </c>
      <c r="HL66">
        <v>1.8761399999999999</v>
      </c>
      <c r="HM66">
        <v>1.8769800000000001</v>
      </c>
      <c r="HN66">
        <v>1.88324</v>
      </c>
      <c r="HO66">
        <v>1.88635</v>
      </c>
      <c r="HP66">
        <v>1.87714</v>
      </c>
      <c r="HQ66">
        <v>1.88371</v>
      </c>
      <c r="HR66">
        <v>1.88263</v>
      </c>
      <c r="HS66">
        <v>1.8859999999999999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424</v>
      </c>
      <c r="IB66" t="s">
        <v>424</v>
      </c>
      <c r="IC66" t="s">
        <v>423</v>
      </c>
      <c r="ID66">
        <v>0</v>
      </c>
      <c r="IE66">
        <v>100</v>
      </c>
      <c r="IF66">
        <v>100</v>
      </c>
      <c r="IG66">
        <v>-0.32800000000000001</v>
      </c>
      <c r="IH66">
        <v>5.8999999999999999E-3</v>
      </c>
      <c r="II66">
        <v>-0.31342956859003951</v>
      </c>
      <c r="IJ66">
        <v>4.4610147972834149E-5</v>
      </c>
      <c r="IK66">
        <v>-2.082673137682459E-7</v>
      </c>
      <c r="IL66">
        <v>-4.0725795306076518E-11</v>
      </c>
      <c r="IM66">
        <v>5.9399999999989461E-3</v>
      </c>
      <c r="IN66">
        <v>0</v>
      </c>
      <c r="IO66">
        <v>0</v>
      </c>
      <c r="IP66">
        <v>0</v>
      </c>
      <c r="IQ66">
        <v>3</v>
      </c>
      <c r="IR66">
        <v>2179</v>
      </c>
      <c r="IS66">
        <v>0</v>
      </c>
      <c r="IT66">
        <v>22</v>
      </c>
      <c r="IU66">
        <v>2</v>
      </c>
      <c r="IV66">
        <v>2</v>
      </c>
      <c r="IW66">
        <v>1.02417</v>
      </c>
      <c r="IX66">
        <v>2.6696800000000001</v>
      </c>
      <c r="IY66">
        <v>1.6015600000000001</v>
      </c>
      <c r="IZ66">
        <v>2.3278799999999999</v>
      </c>
      <c r="JA66">
        <v>1.5502899999999999</v>
      </c>
      <c r="JB66">
        <v>2.49146</v>
      </c>
      <c r="JC66">
        <v>41.743600000000001</v>
      </c>
      <c r="JD66">
        <v>24.105</v>
      </c>
      <c r="JE66">
        <v>18</v>
      </c>
      <c r="JF66">
        <v>587.45399999999995</v>
      </c>
      <c r="JG66">
        <v>409.34199999999998</v>
      </c>
      <c r="JH66">
        <v>27.7362</v>
      </c>
      <c r="JI66">
        <v>33.752600000000001</v>
      </c>
      <c r="JJ66">
        <v>30</v>
      </c>
      <c r="JK66">
        <v>33.847000000000001</v>
      </c>
      <c r="JL66">
        <v>33.839199999999998</v>
      </c>
      <c r="JM66">
        <v>20.482399999999998</v>
      </c>
      <c r="JN66">
        <v>25.049700000000001</v>
      </c>
      <c r="JO66">
        <v>73.394800000000004</v>
      </c>
      <c r="JP66">
        <v>27.552099999999999</v>
      </c>
      <c r="JQ66">
        <v>400</v>
      </c>
      <c r="JR66">
        <v>25.184200000000001</v>
      </c>
      <c r="JS66">
        <v>98.756200000000007</v>
      </c>
      <c r="JT66">
        <v>99.284199999999998</v>
      </c>
    </row>
    <row r="67" spans="1:280" x14ac:dyDescent="0.25">
      <c r="A67">
        <v>51</v>
      </c>
      <c r="B67">
        <v>1700250907.5</v>
      </c>
      <c r="C67">
        <v>15670</v>
      </c>
      <c r="D67" t="s">
        <v>635</v>
      </c>
      <c r="E67" t="s">
        <v>636</v>
      </c>
      <c r="F67" t="s">
        <v>412</v>
      </c>
      <c r="G67" t="s">
        <v>544</v>
      </c>
      <c r="H67" t="s">
        <v>544</v>
      </c>
      <c r="I67">
        <v>1700250907.5</v>
      </c>
      <c r="J67">
        <f t="shared" si="46"/>
        <v>4.1193316618293859E-3</v>
      </c>
      <c r="K67">
        <f t="shared" si="47"/>
        <v>4.1193316618293858</v>
      </c>
      <c r="L67">
        <f t="shared" si="48"/>
        <v>31.204094301094575</v>
      </c>
      <c r="M67">
        <f t="shared" si="49"/>
        <v>274.61700000000002</v>
      </c>
      <c r="N67">
        <f t="shared" si="50"/>
        <v>86.378705835956509</v>
      </c>
      <c r="O67">
        <f t="shared" si="51"/>
        <v>8.5361203292490444</v>
      </c>
      <c r="P67">
        <f t="shared" si="52"/>
        <v>27.138213449379897</v>
      </c>
      <c r="Q67">
        <f t="shared" si="53"/>
        <v>0.28213338384209824</v>
      </c>
      <c r="R67">
        <f t="shared" si="54"/>
        <v>3.4332817752064213</v>
      </c>
      <c r="S67">
        <f t="shared" si="55"/>
        <v>0.26985692479996998</v>
      </c>
      <c r="T67">
        <f t="shared" si="56"/>
        <v>0.16971905192505896</v>
      </c>
      <c r="U67">
        <f t="shared" si="57"/>
        <v>344.36749930233964</v>
      </c>
      <c r="V67">
        <f t="shared" si="58"/>
        <v>30.832164661919759</v>
      </c>
      <c r="W67">
        <f t="shared" si="59"/>
        <v>29.954000000000001</v>
      </c>
      <c r="X67">
        <f t="shared" si="60"/>
        <v>4.2492057544742785</v>
      </c>
      <c r="Y67">
        <f t="shared" si="61"/>
        <v>65.565870584080841</v>
      </c>
      <c r="Z67">
        <f t="shared" si="62"/>
        <v>2.7944601334131898</v>
      </c>
      <c r="AA67">
        <f t="shared" si="63"/>
        <v>4.2620651697587233</v>
      </c>
      <c r="AB67">
        <f t="shared" si="64"/>
        <v>1.4547456210610887</v>
      </c>
      <c r="AC67">
        <f t="shared" si="65"/>
        <v>-181.66252628667593</v>
      </c>
      <c r="AD67">
        <f t="shared" si="66"/>
        <v>9.7360015796149124</v>
      </c>
      <c r="AE67">
        <f t="shared" si="67"/>
        <v>0.63041359818752984</v>
      </c>
      <c r="AF67">
        <f t="shared" si="68"/>
        <v>173.07138819346616</v>
      </c>
      <c r="AG67">
        <v>0</v>
      </c>
      <c r="AH67">
        <v>0</v>
      </c>
      <c r="AI67">
        <f t="shared" si="69"/>
        <v>1</v>
      </c>
      <c r="AJ67">
        <f t="shared" si="70"/>
        <v>0</v>
      </c>
      <c r="AK67">
        <f t="shared" si="71"/>
        <v>51736.176563794521</v>
      </c>
      <c r="AL67" t="s">
        <v>427</v>
      </c>
      <c r="AM67" t="s">
        <v>427</v>
      </c>
      <c r="AN67">
        <v>0</v>
      </c>
      <c r="AO67">
        <v>0</v>
      </c>
      <c r="AP67" t="e">
        <f t="shared" si="72"/>
        <v>#DIV/0!</v>
      </c>
      <c r="AQ67">
        <v>0</v>
      </c>
      <c r="AR67" t="s">
        <v>427</v>
      </c>
      <c r="AS67" t="s">
        <v>427</v>
      </c>
      <c r="AT67">
        <v>0</v>
      </c>
      <c r="AU67">
        <v>0</v>
      </c>
      <c r="AV67" t="e">
        <f t="shared" si="73"/>
        <v>#DIV/0!</v>
      </c>
      <c r="AW67">
        <v>0.5</v>
      </c>
      <c r="AX67">
        <f t="shared" si="74"/>
        <v>1513.1762996511698</v>
      </c>
      <c r="AY67">
        <f t="shared" si="75"/>
        <v>31.204094301094575</v>
      </c>
      <c r="AZ67" t="e">
        <f t="shared" si="76"/>
        <v>#DIV/0!</v>
      </c>
      <c r="BA67">
        <f t="shared" si="77"/>
        <v>2.0621585408314953E-2</v>
      </c>
      <c r="BB67" t="e">
        <f t="shared" si="78"/>
        <v>#DIV/0!</v>
      </c>
      <c r="BC67" t="e">
        <f t="shared" si="79"/>
        <v>#DIV/0!</v>
      </c>
      <c r="BD67" t="s">
        <v>427</v>
      </c>
      <c r="BE67">
        <v>0</v>
      </c>
      <c r="BF67" t="e">
        <f t="shared" si="80"/>
        <v>#DIV/0!</v>
      </c>
      <c r="BG67" t="e">
        <f t="shared" si="81"/>
        <v>#DIV/0!</v>
      </c>
      <c r="BH67" t="e">
        <f t="shared" si="82"/>
        <v>#DIV/0!</v>
      </c>
      <c r="BI67" t="e">
        <f t="shared" si="83"/>
        <v>#DIV/0!</v>
      </c>
      <c r="BJ67" t="e">
        <f t="shared" si="84"/>
        <v>#DIV/0!</v>
      </c>
      <c r="BK67" t="e">
        <f t="shared" si="85"/>
        <v>#DIV/0!</v>
      </c>
      <c r="BL67" t="e">
        <f t="shared" si="86"/>
        <v>#DIV/0!</v>
      </c>
      <c r="BM67" t="e">
        <f t="shared" si="87"/>
        <v>#DIV/0!</v>
      </c>
      <c r="BN67">
        <v>11420</v>
      </c>
      <c r="BO67">
        <v>290.00000000000011</v>
      </c>
      <c r="BP67">
        <v>636.98</v>
      </c>
      <c r="BQ67">
        <v>285</v>
      </c>
      <c r="BR67">
        <v>7115.55</v>
      </c>
      <c r="BS67">
        <v>638.19000000000005</v>
      </c>
      <c r="BT67">
        <v>-1.21</v>
      </c>
      <c r="BU67">
        <v>300.00000000000011</v>
      </c>
      <c r="BV67">
        <v>38.299999999999997</v>
      </c>
      <c r="BW67">
        <v>684.04244937736064</v>
      </c>
      <c r="BX67">
        <v>1.238091718421479</v>
      </c>
      <c r="BY67">
        <v>-32.625925105219977</v>
      </c>
      <c r="BZ67">
        <v>0.738475932889195</v>
      </c>
      <c r="CA67">
        <v>0.98585772436901908</v>
      </c>
      <c r="CB67">
        <v>-7.0160896551724229E-3</v>
      </c>
      <c r="CC67">
        <v>289.99999999999989</v>
      </c>
      <c r="CD67">
        <v>646.25</v>
      </c>
      <c r="CE67">
        <v>885</v>
      </c>
      <c r="CF67">
        <v>7106.61</v>
      </c>
      <c r="CG67">
        <v>638.13</v>
      </c>
      <c r="CH67">
        <v>8.1199999999999992</v>
      </c>
      <c r="CV67">
        <f t="shared" si="88"/>
        <v>1799.99</v>
      </c>
      <c r="CW67">
        <f t="shared" si="89"/>
        <v>1513.1762996511698</v>
      </c>
      <c r="CX67">
        <f t="shared" si="90"/>
        <v>0.84065817012937283</v>
      </c>
      <c r="CY67">
        <f t="shared" si="91"/>
        <v>0.19131634025874569</v>
      </c>
      <c r="CZ67">
        <v>3.93</v>
      </c>
      <c r="DA67">
        <v>0.5</v>
      </c>
      <c r="DB67" t="s">
        <v>418</v>
      </c>
      <c r="DC67">
        <v>2</v>
      </c>
      <c r="DD67">
        <v>1700250907.5</v>
      </c>
      <c r="DE67">
        <v>274.61700000000002</v>
      </c>
      <c r="DF67">
        <v>300.02499999999998</v>
      </c>
      <c r="DG67">
        <v>28.277699999999999</v>
      </c>
      <c r="DH67">
        <v>25.132400000000001</v>
      </c>
      <c r="DI67">
        <v>274.73</v>
      </c>
      <c r="DJ67">
        <v>28.2698</v>
      </c>
      <c r="DK67">
        <v>500.149</v>
      </c>
      <c r="DL67">
        <v>98.722399999999993</v>
      </c>
      <c r="DM67">
        <v>9.9644700000000003E-2</v>
      </c>
      <c r="DN67">
        <v>30.006599999999999</v>
      </c>
      <c r="DO67">
        <v>29.954000000000001</v>
      </c>
      <c r="DP67">
        <v>999.9</v>
      </c>
      <c r="DQ67">
        <v>0</v>
      </c>
      <c r="DR67">
        <v>0</v>
      </c>
      <c r="DS67">
        <v>10010.6</v>
      </c>
      <c r="DT67">
        <v>0</v>
      </c>
      <c r="DU67">
        <v>531.35299999999995</v>
      </c>
      <c r="DV67">
        <v>-25.408200000000001</v>
      </c>
      <c r="DW67">
        <v>282.60899999999998</v>
      </c>
      <c r="DX67">
        <v>307.76</v>
      </c>
      <c r="DY67">
        <v>3.14527</v>
      </c>
      <c r="DZ67">
        <v>300.02499999999998</v>
      </c>
      <c r="EA67">
        <v>25.132400000000001</v>
      </c>
      <c r="EB67">
        <v>2.7916400000000001</v>
      </c>
      <c r="EC67">
        <v>2.4811299999999998</v>
      </c>
      <c r="ED67">
        <v>22.834700000000002</v>
      </c>
      <c r="EE67">
        <v>20.903199999999998</v>
      </c>
      <c r="EF67">
        <v>1799.99</v>
      </c>
      <c r="EG67">
        <v>0.97800200000000004</v>
      </c>
      <c r="EH67">
        <v>2.1998400000000001E-2</v>
      </c>
      <c r="EI67">
        <v>0</v>
      </c>
      <c r="EJ67">
        <v>514.96100000000001</v>
      </c>
      <c r="EK67">
        <v>5.0005300000000004</v>
      </c>
      <c r="EL67">
        <v>10139.9</v>
      </c>
      <c r="EM67">
        <v>16035.2</v>
      </c>
      <c r="EN67">
        <v>47.186999999999998</v>
      </c>
      <c r="EO67">
        <v>48.311999999999998</v>
      </c>
      <c r="EP67">
        <v>47.75</v>
      </c>
      <c r="EQ67">
        <v>47.936999999999998</v>
      </c>
      <c r="ER67">
        <v>48.5</v>
      </c>
      <c r="ES67">
        <v>1755.5</v>
      </c>
      <c r="ET67">
        <v>39.49</v>
      </c>
      <c r="EU67">
        <v>0</v>
      </c>
      <c r="EV67">
        <v>120</v>
      </c>
      <c r="EW67">
        <v>0</v>
      </c>
      <c r="EX67">
        <v>515.02119230769233</v>
      </c>
      <c r="EY67">
        <v>-1.287623928677319</v>
      </c>
      <c r="EZ67">
        <v>13.28547008147928</v>
      </c>
      <c r="FA67">
        <v>10138.47692307692</v>
      </c>
      <c r="FB67">
        <v>15</v>
      </c>
      <c r="FC67">
        <v>1700250874</v>
      </c>
      <c r="FD67" t="s">
        <v>637</v>
      </c>
      <c r="FE67">
        <v>1700250864</v>
      </c>
      <c r="FF67">
        <v>1700250874</v>
      </c>
      <c r="FG67">
        <v>59</v>
      </c>
      <c r="FH67">
        <v>0.20499999999999999</v>
      </c>
      <c r="FI67">
        <v>2E-3</v>
      </c>
      <c r="FJ67">
        <v>-0.115</v>
      </c>
      <c r="FK67">
        <v>8.0000000000000002E-3</v>
      </c>
      <c r="FL67">
        <v>300</v>
      </c>
      <c r="FM67">
        <v>25</v>
      </c>
      <c r="FN67">
        <v>0.06</v>
      </c>
      <c r="FO67">
        <v>0.04</v>
      </c>
      <c r="FP67">
        <v>31.0639462528782</v>
      </c>
      <c r="FQ67">
        <v>0.48974993613431839</v>
      </c>
      <c r="FR67">
        <v>4.2997941048459637E-2</v>
      </c>
      <c r="FS67">
        <v>1</v>
      </c>
      <c r="FT67">
        <v>0.27980637938526159</v>
      </c>
      <c r="FU67">
        <v>3.7782286576896543E-2</v>
      </c>
      <c r="FV67">
        <v>3.610711742958417E-3</v>
      </c>
      <c r="FW67">
        <v>1</v>
      </c>
      <c r="FX67">
        <v>2</v>
      </c>
      <c r="FY67">
        <v>2</v>
      </c>
      <c r="FZ67" t="s">
        <v>420</v>
      </c>
      <c r="GA67">
        <v>3.1212499999999999</v>
      </c>
      <c r="GB67">
        <v>2.76661</v>
      </c>
      <c r="GC67">
        <v>6.5506099999999998E-2</v>
      </c>
      <c r="GD67">
        <v>7.0545099999999999E-2</v>
      </c>
      <c r="GE67">
        <v>0.1198</v>
      </c>
      <c r="GF67">
        <v>0.110555</v>
      </c>
      <c r="GG67">
        <v>22324.6</v>
      </c>
      <c r="GH67">
        <v>23132.2</v>
      </c>
      <c r="GI67">
        <v>23753.3</v>
      </c>
      <c r="GJ67">
        <v>25206.2</v>
      </c>
      <c r="GK67">
        <v>30116.1</v>
      </c>
      <c r="GL67">
        <v>31441.200000000001</v>
      </c>
      <c r="GM67">
        <v>37869.599999999999</v>
      </c>
      <c r="GN67">
        <v>39243.699999999997</v>
      </c>
      <c r="GO67">
        <v>2.1207500000000001</v>
      </c>
      <c r="GP67">
        <v>1.7943800000000001</v>
      </c>
      <c r="GQ67">
        <v>5.0753399999999997E-2</v>
      </c>
      <c r="GR67">
        <v>0</v>
      </c>
      <c r="GS67">
        <v>29.127500000000001</v>
      </c>
      <c r="GT67">
        <v>999.9</v>
      </c>
      <c r="GU67">
        <v>46.8</v>
      </c>
      <c r="GV67">
        <v>37.4</v>
      </c>
      <c r="GW67">
        <v>30.546099999999999</v>
      </c>
      <c r="GX67">
        <v>60.522199999999998</v>
      </c>
      <c r="GY67">
        <v>26.654599999999999</v>
      </c>
      <c r="GZ67">
        <v>1</v>
      </c>
      <c r="HA67">
        <v>0.52704799999999996</v>
      </c>
      <c r="HB67">
        <v>1.62863</v>
      </c>
      <c r="HC67">
        <v>20.315300000000001</v>
      </c>
      <c r="HD67">
        <v>5.2482899999999999</v>
      </c>
      <c r="HE67">
        <v>12.011100000000001</v>
      </c>
      <c r="HF67">
        <v>4.9781500000000003</v>
      </c>
      <c r="HG67">
        <v>3.2921999999999998</v>
      </c>
      <c r="HH67">
        <v>9999</v>
      </c>
      <c r="HI67">
        <v>9999</v>
      </c>
      <c r="HJ67">
        <v>9999</v>
      </c>
      <c r="HK67">
        <v>999.9</v>
      </c>
      <c r="HL67">
        <v>1.8761099999999999</v>
      </c>
      <c r="HM67">
        <v>1.8769800000000001</v>
      </c>
      <c r="HN67">
        <v>1.8832599999999999</v>
      </c>
      <c r="HO67">
        <v>1.8863399999999999</v>
      </c>
      <c r="HP67">
        <v>1.87714</v>
      </c>
      <c r="HQ67">
        <v>1.8836999999999999</v>
      </c>
      <c r="HR67">
        <v>1.88263</v>
      </c>
      <c r="HS67">
        <v>1.8859900000000001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424</v>
      </c>
      <c r="IB67" t="s">
        <v>424</v>
      </c>
      <c r="IC67" t="s">
        <v>423</v>
      </c>
      <c r="ID67">
        <v>0</v>
      </c>
      <c r="IE67">
        <v>100</v>
      </c>
      <c r="IF67">
        <v>100</v>
      </c>
      <c r="IG67">
        <v>-0.113</v>
      </c>
      <c r="IH67">
        <v>7.9000000000000008E-3</v>
      </c>
      <c r="II67">
        <v>-0.108428314921555</v>
      </c>
      <c r="IJ67">
        <v>4.4610147972834149E-5</v>
      </c>
      <c r="IK67">
        <v>-2.082673137682459E-7</v>
      </c>
      <c r="IL67">
        <v>-4.0725795306076518E-11</v>
      </c>
      <c r="IM67">
        <v>7.899999999999352E-3</v>
      </c>
      <c r="IN67">
        <v>0</v>
      </c>
      <c r="IO67">
        <v>0</v>
      </c>
      <c r="IP67">
        <v>0</v>
      </c>
      <c r="IQ67">
        <v>3</v>
      </c>
      <c r="IR67">
        <v>2179</v>
      </c>
      <c r="IS67">
        <v>0</v>
      </c>
      <c r="IT67">
        <v>22</v>
      </c>
      <c r="IU67">
        <v>0.7</v>
      </c>
      <c r="IV67">
        <v>0.6</v>
      </c>
      <c r="IW67">
        <v>0.81542999999999999</v>
      </c>
      <c r="IX67">
        <v>2.67944</v>
      </c>
      <c r="IY67">
        <v>1.6015600000000001</v>
      </c>
      <c r="IZ67">
        <v>2.3315399999999999</v>
      </c>
      <c r="JA67">
        <v>1.5502899999999999</v>
      </c>
      <c r="JB67">
        <v>2.3168899999999999</v>
      </c>
      <c r="JC67">
        <v>41.717399999999998</v>
      </c>
      <c r="JD67">
        <v>24.096299999999999</v>
      </c>
      <c r="JE67">
        <v>18</v>
      </c>
      <c r="JF67">
        <v>587.57799999999997</v>
      </c>
      <c r="JG67">
        <v>409.298</v>
      </c>
      <c r="JH67">
        <v>27.554200000000002</v>
      </c>
      <c r="JI67">
        <v>33.714100000000002</v>
      </c>
      <c r="JJ67">
        <v>30.0002</v>
      </c>
      <c r="JK67">
        <v>33.807600000000001</v>
      </c>
      <c r="JL67">
        <v>33.796599999999998</v>
      </c>
      <c r="JM67">
        <v>16.301500000000001</v>
      </c>
      <c r="JN67">
        <v>25.077300000000001</v>
      </c>
      <c r="JO67">
        <v>73.451400000000007</v>
      </c>
      <c r="JP67">
        <v>27.544499999999999</v>
      </c>
      <c r="JQ67">
        <v>300</v>
      </c>
      <c r="JR67">
        <v>25.081199999999999</v>
      </c>
      <c r="JS67">
        <v>98.767600000000002</v>
      </c>
      <c r="JT67">
        <v>99.296499999999995</v>
      </c>
    </row>
    <row r="68" spans="1:280" x14ac:dyDescent="0.25">
      <c r="A68">
        <v>52</v>
      </c>
      <c r="B68">
        <v>1700251099.5</v>
      </c>
      <c r="C68">
        <v>15862</v>
      </c>
      <c r="D68" t="s">
        <v>638</v>
      </c>
      <c r="E68" t="s">
        <v>639</v>
      </c>
      <c r="F68" t="s">
        <v>412</v>
      </c>
      <c r="G68" t="s">
        <v>544</v>
      </c>
      <c r="H68" t="s">
        <v>544</v>
      </c>
      <c r="I68">
        <v>1700251099.5</v>
      </c>
      <c r="J68">
        <f t="shared" si="46"/>
        <v>4.9740039503921073E-3</v>
      </c>
      <c r="K68">
        <f t="shared" si="47"/>
        <v>4.974003950392107</v>
      </c>
      <c r="L68">
        <f t="shared" si="48"/>
        <v>24.729785937466229</v>
      </c>
      <c r="M68">
        <f t="shared" si="49"/>
        <v>179.81</v>
      </c>
      <c r="N68">
        <f t="shared" si="50"/>
        <v>55.507857449579959</v>
      </c>
      <c r="O68">
        <f t="shared" si="51"/>
        <v>5.4855111134665906</v>
      </c>
      <c r="P68">
        <f t="shared" si="52"/>
        <v>17.769551891070002</v>
      </c>
      <c r="Q68">
        <f t="shared" si="53"/>
        <v>0.34121219348378073</v>
      </c>
      <c r="R68">
        <f t="shared" si="54"/>
        <v>3.4306284135972893</v>
      </c>
      <c r="S68">
        <f t="shared" si="55"/>
        <v>0.32341715261971776</v>
      </c>
      <c r="T68">
        <f t="shared" si="56"/>
        <v>0.20365716466611855</v>
      </c>
      <c r="U68">
        <f t="shared" si="57"/>
        <v>344.38649930237841</v>
      </c>
      <c r="V68">
        <f t="shared" si="58"/>
        <v>30.832904275678892</v>
      </c>
      <c r="W68">
        <f t="shared" si="59"/>
        <v>29.9832</v>
      </c>
      <c r="X68">
        <f t="shared" si="60"/>
        <v>4.2563402594634017</v>
      </c>
      <c r="Y68">
        <f t="shared" si="61"/>
        <v>64.761036006206282</v>
      </c>
      <c r="Z68">
        <f t="shared" si="62"/>
        <v>2.7906626160189001</v>
      </c>
      <c r="AA68">
        <f t="shared" si="63"/>
        <v>4.3091691982065585</v>
      </c>
      <c r="AB68">
        <f t="shared" si="64"/>
        <v>1.4656776434445016</v>
      </c>
      <c r="AC68">
        <f t="shared" si="65"/>
        <v>-219.35357421229193</v>
      </c>
      <c r="AD68">
        <f t="shared" si="66"/>
        <v>39.746193188375898</v>
      </c>
      <c r="AE68">
        <f t="shared" si="67"/>
        <v>2.5784026479049618</v>
      </c>
      <c r="AF68">
        <f t="shared" si="68"/>
        <v>167.35752092636733</v>
      </c>
      <c r="AG68">
        <v>0</v>
      </c>
      <c r="AH68">
        <v>0</v>
      </c>
      <c r="AI68">
        <f t="shared" si="69"/>
        <v>1</v>
      </c>
      <c r="AJ68">
        <f t="shared" si="70"/>
        <v>0</v>
      </c>
      <c r="AK68">
        <f t="shared" si="71"/>
        <v>51645.640244765164</v>
      </c>
      <c r="AL68" t="s">
        <v>415</v>
      </c>
      <c r="AM68">
        <v>6977.87</v>
      </c>
      <c r="AN68">
        <v>273.15280000000001</v>
      </c>
      <c r="AO68">
        <v>850.46774885301022</v>
      </c>
      <c r="AP68">
        <f t="shared" si="72"/>
        <v>0.67882050745793765</v>
      </c>
      <c r="AQ68">
        <v>-1.0323826813720729</v>
      </c>
      <c r="AR68" t="s">
        <v>640</v>
      </c>
      <c r="AS68">
        <v>7115.72</v>
      </c>
      <c r="AT68">
        <v>527.66996153846151</v>
      </c>
      <c r="AU68">
        <v>646.21555394755467</v>
      </c>
      <c r="AV68">
        <f t="shared" si="73"/>
        <v>0.18344589771157693</v>
      </c>
      <c r="AW68">
        <v>0.5</v>
      </c>
      <c r="AX68">
        <f t="shared" si="74"/>
        <v>1513.2602996511891</v>
      </c>
      <c r="AY68">
        <f t="shared" si="75"/>
        <v>24.729785937466229</v>
      </c>
      <c r="AZ68">
        <f t="shared" si="76"/>
        <v>138.80069707040116</v>
      </c>
      <c r="BA68">
        <f t="shared" si="77"/>
        <v>1.7024281033987714E-2</v>
      </c>
      <c r="BB68">
        <f t="shared" si="78"/>
        <v>0.31607440219866972</v>
      </c>
      <c r="BC68">
        <f t="shared" si="79"/>
        <v>247.9788284685153</v>
      </c>
      <c r="BD68" t="s">
        <v>641</v>
      </c>
      <c r="BE68">
        <v>378.39</v>
      </c>
      <c r="BF68">
        <f t="shared" si="80"/>
        <v>378.39</v>
      </c>
      <c r="BG68">
        <f t="shared" si="81"/>
        <v>0.41445234846404022</v>
      </c>
      <c r="BH68">
        <f t="shared" si="82"/>
        <v>0.4426224109754166</v>
      </c>
      <c r="BI68">
        <f t="shared" si="83"/>
        <v>0.43266643132771992</v>
      </c>
      <c r="BJ68">
        <f t="shared" si="84"/>
        <v>0.31776314079791079</v>
      </c>
      <c r="BK68">
        <f t="shared" si="85"/>
        <v>0.35379682322665795</v>
      </c>
      <c r="BL68">
        <f t="shared" si="86"/>
        <v>0.31740274470177526</v>
      </c>
      <c r="BM68">
        <f t="shared" si="87"/>
        <v>0.68259725529822468</v>
      </c>
      <c r="BN68">
        <v>11422</v>
      </c>
      <c r="BO68">
        <v>290.00000000000011</v>
      </c>
      <c r="BP68">
        <v>614.63</v>
      </c>
      <c r="BQ68">
        <v>295</v>
      </c>
      <c r="BR68">
        <v>7115.72</v>
      </c>
      <c r="BS68">
        <v>616.04999999999995</v>
      </c>
      <c r="BT68">
        <v>-1.42</v>
      </c>
      <c r="BU68">
        <v>300.00000000000011</v>
      </c>
      <c r="BV68">
        <v>38.299999999999997</v>
      </c>
      <c r="BW68">
        <v>646.21555394755467</v>
      </c>
      <c r="BX68">
        <v>1.1398656360567461</v>
      </c>
      <c r="BY68">
        <v>-21.463439514962449</v>
      </c>
      <c r="BZ68">
        <v>0.67990441017723591</v>
      </c>
      <c r="CA68">
        <v>0.97267116299218359</v>
      </c>
      <c r="CB68">
        <v>-7.0161332591768674E-3</v>
      </c>
      <c r="CC68">
        <v>289.99999999999989</v>
      </c>
      <c r="CD68">
        <v>621.53</v>
      </c>
      <c r="CE68">
        <v>805</v>
      </c>
      <c r="CF68">
        <v>7108.12</v>
      </c>
      <c r="CG68">
        <v>616.02</v>
      </c>
      <c r="CH68">
        <v>5.51</v>
      </c>
      <c r="CV68">
        <f t="shared" si="88"/>
        <v>1800.09</v>
      </c>
      <c r="CW68">
        <f t="shared" si="89"/>
        <v>1513.2602996511891</v>
      </c>
      <c r="CX68">
        <f t="shared" si="90"/>
        <v>0.84065813356620456</v>
      </c>
      <c r="CY68">
        <f t="shared" si="91"/>
        <v>0.19131626713240918</v>
      </c>
      <c r="CZ68">
        <v>3.93</v>
      </c>
      <c r="DA68">
        <v>0.5</v>
      </c>
      <c r="DB68" t="s">
        <v>418</v>
      </c>
      <c r="DC68">
        <v>2</v>
      </c>
      <c r="DD68">
        <v>1700251099.5</v>
      </c>
      <c r="DE68">
        <v>179.81</v>
      </c>
      <c r="DF68">
        <v>199.946</v>
      </c>
      <c r="DG68">
        <v>28.238700000000001</v>
      </c>
      <c r="DH68">
        <v>24.4404</v>
      </c>
      <c r="DI68">
        <v>179.90299999999999</v>
      </c>
      <c r="DJ68">
        <v>28.23</v>
      </c>
      <c r="DK68">
        <v>500.11399999999998</v>
      </c>
      <c r="DL68">
        <v>98.724000000000004</v>
      </c>
      <c r="DM68">
        <v>0.100047</v>
      </c>
      <c r="DN68">
        <v>30.1981</v>
      </c>
      <c r="DO68">
        <v>29.9832</v>
      </c>
      <c r="DP68">
        <v>999.9</v>
      </c>
      <c r="DQ68">
        <v>0</v>
      </c>
      <c r="DR68">
        <v>0</v>
      </c>
      <c r="DS68">
        <v>9998.75</v>
      </c>
      <c r="DT68">
        <v>0</v>
      </c>
      <c r="DU68">
        <v>568.37199999999996</v>
      </c>
      <c r="DV68">
        <v>-20.136199999999999</v>
      </c>
      <c r="DW68">
        <v>185.035</v>
      </c>
      <c r="DX68">
        <v>204.95500000000001</v>
      </c>
      <c r="DY68">
        <v>3.7982900000000002</v>
      </c>
      <c r="DZ68">
        <v>199.946</v>
      </c>
      <c r="EA68">
        <v>24.4404</v>
      </c>
      <c r="EB68">
        <v>2.7878400000000001</v>
      </c>
      <c r="EC68">
        <v>2.4128500000000002</v>
      </c>
      <c r="ED68">
        <v>22.812200000000001</v>
      </c>
      <c r="EE68">
        <v>20.450299999999999</v>
      </c>
      <c r="EF68">
        <v>1800.09</v>
      </c>
      <c r="EG68">
        <v>0.97800200000000004</v>
      </c>
      <c r="EH68">
        <v>2.1998400000000001E-2</v>
      </c>
      <c r="EI68">
        <v>0</v>
      </c>
      <c r="EJ68">
        <v>527.57799999999997</v>
      </c>
      <c r="EK68">
        <v>5.0005300000000004</v>
      </c>
      <c r="EL68">
        <v>10403.700000000001</v>
      </c>
      <c r="EM68">
        <v>16036.1</v>
      </c>
      <c r="EN68">
        <v>47.125</v>
      </c>
      <c r="EO68">
        <v>48.311999999999998</v>
      </c>
      <c r="EP68">
        <v>47.686999999999998</v>
      </c>
      <c r="EQ68">
        <v>47.875</v>
      </c>
      <c r="ER68">
        <v>48.5</v>
      </c>
      <c r="ES68">
        <v>1755.6</v>
      </c>
      <c r="ET68">
        <v>39.49</v>
      </c>
      <c r="EU68">
        <v>0</v>
      </c>
      <c r="EV68">
        <v>312</v>
      </c>
      <c r="EW68">
        <v>0</v>
      </c>
      <c r="EX68">
        <v>527.66996153846151</v>
      </c>
      <c r="EY68">
        <v>-0.28003418101775701</v>
      </c>
      <c r="EZ68">
        <v>-156.46153812876759</v>
      </c>
      <c r="FA68">
        <v>10439.96538461538</v>
      </c>
      <c r="FB68">
        <v>15</v>
      </c>
      <c r="FC68">
        <v>1700251036</v>
      </c>
      <c r="FD68" t="s">
        <v>642</v>
      </c>
      <c r="FE68">
        <v>1700251028.5</v>
      </c>
      <c r="FF68">
        <v>1700251036</v>
      </c>
      <c r="FG68">
        <v>60</v>
      </c>
      <c r="FH68">
        <v>1.4999999999999999E-2</v>
      </c>
      <c r="FI68">
        <v>1E-3</v>
      </c>
      <c r="FJ68">
        <v>-9.4E-2</v>
      </c>
      <c r="FK68">
        <v>8.9999999999999993E-3</v>
      </c>
      <c r="FL68">
        <v>200</v>
      </c>
      <c r="FM68">
        <v>25</v>
      </c>
      <c r="FN68">
        <v>7.0000000000000007E-2</v>
      </c>
      <c r="FO68">
        <v>0.03</v>
      </c>
      <c r="FP68">
        <v>24.660122034481351</v>
      </c>
      <c r="FQ68">
        <v>0.63447231564745443</v>
      </c>
      <c r="FR68">
        <v>5.6592283449058332E-2</v>
      </c>
      <c r="FS68">
        <v>1</v>
      </c>
      <c r="FT68">
        <v>0.34340390350334221</v>
      </c>
      <c r="FU68">
        <v>-2.4303966153019212E-2</v>
      </c>
      <c r="FV68">
        <v>1.799491946858573E-3</v>
      </c>
      <c r="FW68">
        <v>1</v>
      </c>
      <c r="FX68">
        <v>2</v>
      </c>
      <c r="FY68">
        <v>2</v>
      </c>
      <c r="FZ68" t="s">
        <v>420</v>
      </c>
      <c r="GA68">
        <v>3.1210399999999998</v>
      </c>
      <c r="GB68">
        <v>2.7669199999999998</v>
      </c>
      <c r="GC68">
        <v>4.5377800000000003E-2</v>
      </c>
      <c r="GD68">
        <v>4.99538E-2</v>
      </c>
      <c r="GE68">
        <v>0.1197</v>
      </c>
      <c r="GF68">
        <v>0.10842599999999999</v>
      </c>
      <c r="GG68">
        <v>22807.1</v>
      </c>
      <c r="GH68">
        <v>23647.5</v>
      </c>
      <c r="GI68">
        <v>23755.3</v>
      </c>
      <c r="GJ68">
        <v>25209.4</v>
      </c>
      <c r="GK68">
        <v>30122</v>
      </c>
      <c r="GL68">
        <v>31519.1</v>
      </c>
      <c r="GM68">
        <v>37872.800000000003</v>
      </c>
      <c r="GN68">
        <v>39246.9</v>
      </c>
      <c r="GO68">
        <v>2.1220699999999999</v>
      </c>
      <c r="GP68">
        <v>1.7940499999999999</v>
      </c>
      <c r="GQ68">
        <v>4.5854600000000002E-2</v>
      </c>
      <c r="GR68">
        <v>0</v>
      </c>
      <c r="GS68">
        <v>29.236499999999999</v>
      </c>
      <c r="GT68">
        <v>999.9</v>
      </c>
      <c r="GU68">
        <v>46.7</v>
      </c>
      <c r="GV68">
        <v>37.4</v>
      </c>
      <c r="GW68">
        <v>30.483599999999999</v>
      </c>
      <c r="GX68">
        <v>60.072099999999999</v>
      </c>
      <c r="GY68">
        <v>27.023199999999999</v>
      </c>
      <c r="GZ68">
        <v>1</v>
      </c>
      <c r="HA68">
        <v>0.52281</v>
      </c>
      <c r="HB68">
        <v>1.6075200000000001</v>
      </c>
      <c r="HC68">
        <v>20.316099999999999</v>
      </c>
      <c r="HD68">
        <v>5.2524800000000003</v>
      </c>
      <c r="HE68">
        <v>12.013400000000001</v>
      </c>
      <c r="HF68">
        <v>4.9791999999999996</v>
      </c>
      <c r="HG68">
        <v>3.2930000000000001</v>
      </c>
      <c r="HH68">
        <v>9999</v>
      </c>
      <c r="HI68">
        <v>9999</v>
      </c>
      <c r="HJ68">
        <v>9999</v>
      </c>
      <c r="HK68">
        <v>999.9</v>
      </c>
      <c r="HL68">
        <v>1.8761300000000001</v>
      </c>
      <c r="HM68">
        <v>1.87697</v>
      </c>
      <c r="HN68">
        <v>1.88327</v>
      </c>
      <c r="HO68">
        <v>1.88635</v>
      </c>
      <c r="HP68">
        <v>1.87714</v>
      </c>
      <c r="HQ68">
        <v>1.88371</v>
      </c>
      <c r="HR68">
        <v>1.88263</v>
      </c>
      <c r="HS68">
        <v>1.8859900000000001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424</v>
      </c>
      <c r="IB68" t="s">
        <v>424</v>
      </c>
      <c r="IC68" t="s">
        <v>423</v>
      </c>
      <c r="ID68">
        <v>0</v>
      </c>
      <c r="IE68">
        <v>100</v>
      </c>
      <c r="IF68">
        <v>100</v>
      </c>
      <c r="IG68">
        <v>-9.2999999999999999E-2</v>
      </c>
      <c r="IH68">
        <v>8.6999999999999994E-3</v>
      </c>
      <c r="II68">
        <v>-9.3831740383626738E-2</v>
      </c>
      <c r="IJ68">
        <v>4.4610147972834149E-5</v>
      </c>
      <c r="IK68">
        <v>-2.082673137682459E-7</v>
      </c>
      <c r="IL68">
        <v>-4.0725795306076518E-11</v>
      </c>
      <c r="IM68">
        <v>8.714999999998696E-3</v>
      </c>
      <c r="IN68">
        <v>0</v>
      </c>
      <c r="IO68">
        <v>0</v>
      </c>
      <c r="IP68">
        <v>0</v>
      </c>
      <c r="IQ68">
        <v>3</v>
      </c>
      <c r="IR68">
        <v>2179</v>
      </c>
      <c r="IS68">
        <v>0</v>
      </c>
      <c r="IT68">
        <v>22</v>
      </c>
      <c r="IU68">
        <v>1.2</v>
      </c>
      <c r="IV68">
        <v>1.1000000000000001</v>
      </c>
      <c r="IW68">
        <v>0.59814500000000004</v>
      </c>
      <c r="IX68">
        <v>2.6892100000000001</v>
      </c>
      <c r="IY68">
        <v>1.6015600000000001</v>
      </c>
      <c r="IZ68">
        <v>2.3278799999999999</v>
      </c>
      <c r="JA68">
        <v>1.5502899999999999</v>
      </c>
      <c r="JB68">
        <v>2.4584999999999999</v>
      </c>
      <c r="JC68">
        <v>41.664999999999999</v>
      </c>
      <c r="JD68">
        <v>24.105</v>
      </c>
      <c r="JE68">
        <v>18</v>
      </c>
      <c r="JF68">
        <v>588.00800000000004</v>
      </c>
      <c r="JG68">
        <v>408.72199999999998</v>
      </c>
      <c r="JH68">
        <v>27.746200000000002</v>
      </c>
      <c r="JI68">
        <v>33.665599999999998</v>
      </c>
      <c r="JJ68">
        <v>29.999600000000001</v>
      </c>
      <c r="JK68">
        <v>33.7515</v>
      </c>
      <c r="JL68">
        <v>33.741900000000001</v>
      </c>
      <c r="JM68">
        <v>11.944699999999999</v>
      </c>
      <c r="JN68">
        <v>27.8019</v>
      </c>
      <c r="JO68">
        <v>72.693399999999997</v>
      </c>
      <c r="JP68">
        <v>27.767900000000001</v>
      </c>
      <c r="JQ68">
        <v>200</v>
      </c>
      <c r="JR68">
        <v>24.518699999999999</v>
      </c>
      <c r="JS68">
        <v>98.775999999999996</v>
      </c>
      <c r="JT68">
        <v>99.306200000000004</v>
      </c>
    </row>
    <row r="69" spans="1:280" x14ac:dyDescent="0.25">
      <c r="A69">
        <v>53</v>
      </c>
      <c r="B69">
        <v>1700251206</v>
      </c>
      <c r="C69">
        <v>15968.5</v>
      </c>
      <c r="D69" t="s">
        <v>643</v>
      </c>
      <c r="E69" t="s">
        <v>644</v>
      </c>
      <c r="F69" t="s">
        <v>412</v>
      </c>
      <c r="G69" t="s">
        <v>544</v>
      </c>
      <c r="H69" t="s">
        <v>544</v>
      </c>
      <c r="I69">
        <v>1700251206</v>
      </c>
      <c r="J69">
        <f t="shared" si="46"/>
        <v>5.076565972685936E-3</v>
      </c>
      <c r="K69">
        <f t="shared" si="47"/>
        <v>5.0765659726859358</v>
      </c>
      <c r="L69">
        <f t="shared" si="48"/>
        <v>15.548967935479983</v>
      </c>
      <c r="M69">
        <f t="shared" si="49"/>
        <v>107.372</v>
      </c>
      <c r="N69">
        <f t="shared" si="50"/>
        <v>32.620011247732485</v>
      </c>
      <c r="O69">
        <f t="shared" si="51"/>
        <v>3.2236957652411471</v>
      </c>
      <c r="P69">
        <f t="shared" si="52"/>
        <v>10.6111141126456</v>
      </c>
      <c r="Q69">
        <f t="shared" si="53"/>
        <v>0.35719209840044602</v>
      </c>
      <c r="R69">
        <f t="shared" si="54"/>
        <v>3.4350710440651295</v>
      </c>
      <c r="S69">
        <f t="shared" si="55"/>
        <v>0.33776594599247317</v>
      </c>
      <c r="T69">
        <f t="shared" si="56"/>
        <v>0.21276099193242659</v>
      </c>
      <c r="U69">
        <f t="shared" si="57"/>
        <v>344.38839930238231</v>
      </c>
      <c r="V69">
        <f t="shared" si="58"/>
        <v>30.811006506062846</v>
      </c>
      <c r="W69">
        <f t="shared" si="59"/>
        <v>29.999300000000002</v>
      </c>
      <c r="X69">
        <f t="shared" si="60"/>
        <v>4.2602784737029769</v>
      </c>
      <c r="Y69">
        <f t="shared" si="61"/>
        <v>65.625688658121334</v>
      </c>
      <c r="Z69">
        <f t="shared" si="62"/>
        <v>2.8282139281983603</v>
      </c>
      <c r="AA69">
        <f t="shared" si="63"/>
        <v>4.3096140947670829</v>
      </c>
      <c r="AB69">
        <f t="shared" si="64"/>
        <v>1.4320645455046166</v>
      </c>
      <c r="AC69">
        <f t="shared" si="65"/>
        <v>-223.87655939544979</v>
      </c>
      <c r="AD69">
        <f t="shared" si="66"/>
        <v>37.149424955604047</v>
      </c>
      <c r="AE69">
        <f t="shared" si="67"/>
        <v>2.4070422707282262</v>
      </c>
      <c r="AF69">
        <f t="shared" si="68"/>
        <v>160.06830713326482</v>
      </c>
      <c r="AG69">
        <v>0</v>
      </c>
      <c r="AH69">
        <v>0</v>
      </c>
      <c r="AI69">
        <f t="shared" si="69"/>
        <v>1</v>
      </c>
      <c r="AJ69">
        <f t="shared" si="70"/>
        <v>0</v>
      </c>
      <c r="AK69">
        <f t="shared" si="71"/>
        <v>51742.323740985965</v>
      </c>
      <c r="AL69" t="s">
        <v>427</v>
      </c>
      <c r="AM69" t="s">
        <v>427</v>
      </c>
      <c r="AN69">
        <v>0</v>
      </c>
      <c r="AO69">
        <v>0</v>
      </c>
      <c r="AP69" t="e">
        <f t="shared" si="72"/>
        <v>#DIV/0!</v>
      </c>
      <c r="AQ69">
        <v>0</v>
      </c>
      <c r="AR69" t="s">
        <v>427</v>
      </c>
      <c r="AS69" t="s">
        <v>427</v>
      </c>
      <c r="AT69">
        <v>0</v>
      </c>
      <c r="AU69">
        <v>0</v>
      </c>
      <c r="AV69" t="e">
        <f t="shared" si="73"/>
        <v>#DIV/0!</v>
      </c>
      <c r="AW69">
        <v>0.5</v>
      </c>
      <c r="AX69">
        <f t="shared" si="74"/>
        <v>1513.2686996511911</v>
      </c>
      <c r="AY69">
        <f t="shared" si="75"/>
        <v>15.548967935479983</v>
      </c>
      <c r="AZ69" t="e">
        <f t="shared" si="76"/>
        <v>#DIV/0!</v>
      </c>
      <c r="BA69">
        <f t="shared" si="77"/>
        <v>1.0275087259165556E-2</v>
      </c>
      <c r="BB69" t="e">
        <f t="shared" si="78"/>
        <v>#DIV/0!</v>
      </c>
      <c r="BC69" t="e">
        <f t="shared" si="79"/>
        <v>#DIV/0!</v>
      </c>
      <c r="BD69" t="s">
        <v>427</v>
      </c>
      <c r="BE69">
        <v>0</v>
      </c>
      <c r="BF69" t="e">
        <f t="shared" si="80"/>
        <v>#DIV/0!</v>
      </c>
      <c r="BG69" t="e">
        <f t="shared" si="81"/>
        <v>#DIV/0!</v>
      </c>
      <c r="BH69" t="e">
        <f t="shared" si="82"/>
        <v>#DIV/0!</v>
      </c>
      <c r="BI69" t="e">
        <f t="shared" si="83"/>
        <v>#DIV/0!</v>
      </c>
      <c r="BJ69" t="e">
        <f t="shared" si="84"/>
        <v>#DIV/0!</v>
      </c>
      <c r="BK69" t="e">
        <f t="shared" si="85"/>
        <v>#DIV/0!</v>
      </c>
      <c r="BL69" t="e">
        <f t="shared" si="86"/>
        <v>#DIV/0!</v>
      </c>
      <c r="BM69" t="e">
        <f t="shared" si="87"/>
        <v>#DIV/0!</v>
      </c>
      <c r="BN69">
        <v>11422</v>
      </c>
      <c r="BO69">
        <v>290.00000000000011</v>
      </c>
      <c r="BP69">
        <v>614.63</v>
      </c>
      <c r="BQ69">
        <v>295</v>
      </c>
      <c r="BR69">
        <v>7115.72</v>
      </c>
      <c r="BS69">
        <v>616.04999999999995</v>
      </c>
      <c r="BT69">
        <v>-1.42</v>
      </c>
      <c r="BU69">
        <v>300.00000000000011</v>
      </c>
      <c r="BV69">
        <v>38.299999999999997</v>
      </c>
      <c r="BW69">
        <v>646.21555394755467</v>
      </c>
      <c r="BX69">
        <v>1.1398656360567461</v>
      </c>
      <c r="BY69">
        <v>-21.463439514962449</v>
      </c>
      <c r="BZ69">
        <v>0.67990441017723591</v>
      </c>
      <c r="CA69">
        <v>0.97267116299218359</v>
      </c>
      <c r="CB69">
        <v>-7.0161332591768674E-3</v>
      </c>
      <c r="CC69">
        <v>289.99999999999989</v>
      </c>
      <c r="CD69">
        <v>621.53</v>
      </c>
      <c r="CE69">
        <v>805</v>
      </c>
      <c r="CF69">
        <v>7108.12</v>
      </c>
      <c r="CG69">
        <v>616.02</v>
      </c>
      <c r="CH69">
        <v>5.51</v>
      </c>
      <c r="CV69">
        <f t="shared" si="88"/>
        <v>1800.1</v>
      </c>
      <c r="CW69">
        <f t="shared" si="89"/>
        <v>1513.2686996511911</v>
      </c>
      <c r="CX69">
        <f t="shared" si="90"/>
        <v>0.84065812991011124</v>
      </c>
      <c r="CY69">
        <f t="shared" si="91"/>
        <v>0.19131625982022238</v>
      </c>
      <c r="CZ69">
        <v>3.93</v>
      </c>
      <c r="DA69">
        <v>0.5</v>
      </c>
      <c r="DB69" t="s">
        <v>418</v>
      </c>
      <c r="DC69">
        <v>2</v>
      </c>
      <c r="DD69">
        <v>1700251206</v>
      </c>
      <c r="DE69">
        <v>107.372</v>
      </c>
      <c r="DF69">
        <v>120.02</v>
      </c>
      <c r="DG69">
        <v>28.618200000000002</v>
      </c>
      <c r="DH69">
        <v>24.742799999999999</v>
      </c>
      <c r="DI69">
        <v>107.316</v>
      </c>
      <c r="DJ69">
        <v>28.6174</v>
      </c>
      <c r="DK69">
        <v>500.07600000000002</v>
      </c>
      <c r="DL69">
        <v>98.726200000000006</v>
      </c>
      <c r="DM69">
        <v>9.9509799999999995E-2</v>
      </c>
      <c r="DN69">
        <v>30.1999</v>
      </c>
      <c r="DO69">
        <v>29.999300000000002</v>
      </c>
      <c r="DP69">
        <v>999.9</v>
      </c>
      <c r="DQ69">
        <v>0</v>
      </c>
      <c r="DR69">
        <v>0</v>
      </c>
      <c r="DS69">
        <v>10018.1</v>
      </c>
      <c r="DT69">
        <v>0</v>
      </c>
      <c r="DU69">
        <v>701.15300000000002</v>
      </c>
      <c r="DV69">
        <v>-12.6477</v>
      </c>
      <c r="DW69">
        <v>110.536</v>
      </c>
      <c r="DX69">
        <v>123.065</v>
      </c>
      <c r="DY69">
        <v>3.8753600000000001</v>
      </c>
      <c r="DZ69">
        <v>120.02</v>
      </c>
      <c r="EA69">
        <v>24.742799999999999</v>
      </c>
      <c r="EB69">
        <v>2.8253599999999999</v>
      </c>
      <c r="EC69">
        <v>2.4427599999999998</v>
      </c>
      <c r="ED69">
        <v>23.033000000000001</v>
      </c>
      <c r="EE69">
        <v>20.650099999999998</v>
      </c>
      <c r="EF69">
        <v>1800.1</v>
      </c>
      <c r="EG69">
        <v>0.97800200000000004</v>
      </c>
      <c r="EH69">
        <v>2.1998400000000001E-2</v>
      </c>
      <c r="EI69">
        <v>0</v>
      </c>
      <c r="EJ69">
        <v>544.58900000000006</v>
      </c>
      <c r="EK69">
        <v>5.0005300000000004</v>
      </c>
      <c r="EL69">
        <v>10971.7</v>
      </c>
      <c r="EM69">
        <v>16036.2</v>
      </c>
      <c r="EN69">
        <v>47.186999999999998</v>
      </c>
      <c r="EO69">
        <v>48.375</v>
      </c>
      <c r="EP69">
        <v>47.75</v>
      </c>
      <c r="EQ69">
        <v>47.936999999999998</v>
      </c>
      <c r="ER69">
        <v>48.5</v>
      </c>
      <c r="ES69">
        <v>1755.61</v>
      </c>
      <c r="ET69">
        <v>39.49</v>
      </c>
      <c r="EU69">
        <v>0</v>
      </c>
      <c r="EV69">
        <v>104.5999999046326</v>
      </c>
      <c r="EW69">
        <v>0</v>
      </c>
      <c r="EX69">
        <v>544.88611538461532</v>
      </c>
      <c r="EY69">
        <v>-2.6385299153109329</v>
      </c>
      <c r="EZ69">
        <v>-304.12649577646772</v>
      </c>
      <c r="FA69">
        <v>11009.75769230769</v>
      </c>
      <c r="FB69">
        <v>15</v>
      </c>
      <c r="FC69">
        <v>1700251174</v>
      </c>
      <c r="FD69" t="s">
        <v>645</v>
      </c>
      <c r="FE69">
        <v>1700251174</v>
      </c>
      <c r="FF69">
        <v>1700251170</v>
      </c>
      <c r="FG69">
        <v>61</v>
      </c>
      <c r="FH69">
        <v>0.14699999999999999</v>
      </c>
      <c r="FI69">
        <v>-8.0000000000000002E-3</v>
      </c>
      <c r="FJ69">
        <v>5.6000000000000001E-2</v>
      </c>
      <c r="FK69">
        <v>1E-3</v>
      </c>
      <c r="FL69">
        <v>120</v>
      </c>
      <c r="FM69">
        <v>25</v>
      </c>
      <c r="FN69">
        <v>0.13</v>
      </c>
      <c r="FO69">
        <v>0.02</v>
      </c>
      <c r="FP69">
        <v>15.43823579208178</v>
      </c>
      <c r="FQ69">
        <v>0.52986728490022716</v>
      </c>
      <c r="FR69">
        <v>4.964392421444528E-2</v>
      </c>
      <c r="FS69">
        <v>1</v>
      </c>
      <c r="FT69">
        <v>0.35493578655080299</v>
      </c>
      <c r="FU69">
        <v>4.2527655063996382E-2</v>
      </c>
      <c r="FV69">
        <v>3.767239871301883E-3</v>
      </c>
      <c r="FW69">
        <v>1</v>
      </c>
      <c r="FX69">
        <v>2</v>
      </c>
      <c r="FY69">
        <v>2</v>
      </c>
      <c r="FZ69" t="s">
        <v>420</v>
      </c>
      <c r="GA69">
        <v>3.12093</v>
      </c>
      <c r="GB69">
        <v>2.76654</v>
      </c>
      <c r="GC69">
        <v>2.8073500000000001E-2</v>
      </c>
      <c r="GD69">
        <v>3.1283900000000003E-2</v>
      </c>
      <c r="GE69">
        <v>0.12084</v>
      </c>
      <c r="GF69">
        <v>0.109373</v>
      </c>
      <c r="GG69">
        <v>23220.6</v>
      </c>
      <c r="GH69">
        <v>24112.3</v>
      </c>
      <c r="GI69">
        <v>23756.1</v>
      </c>
      <c r="GJ69">
        <v>25210</v>
      </c>
      <c r="GK69">
        <v>30083.9</v>
      </c>
      <c r="GL69">
        <v>31486.2</v>
      </c>
      <c r="GM69">
        <v>37873.800000000003</v>
      </c>
      <c r="GN69">
        <v>39247.599999999999</v>
      </c>
      <c r="GO69">
        <v>2.1217999999999999</v>
      </c>
      <c r="GP69">
        <v>1.79487</v>
      </c>
      <c r="GQ69">
        <v>3.9696700000000001E-2</v>
      </c>
      <c r="GR69">
        <v>0</v>
      </c>
      <c r="GS69">
        <v>29.353000000000002</v>
      </c>
      <c r="GT69">
        <v>999.9</v>
      </c>
      <c r="GU69">
        <v>46.8</v>
      </c>
      <c r="GV69">
        <v>37.4</v>
      </c>
      <c r="GW69">
        <v>30.546800000000001</v>
      </c>
      <c r="GX69">
        <v>60.232100000000003</v>
      </c>
      <c r="GY69">
        <v>27.159500000000001</v>
      </c>
      <c r="GZ69">
        <v>1</v>
      </c>
      <c r="HA69">
        <v>0.52479200000000004</v>
      </c>
      <c r="HB69">
        <v>2.36808</v>
      </c>
      <c r="HC69">
        <v>20.3064</v>
      </c>
      <c r="HD69">
        <v>5.2494899999999998</v>
      </c>
      <c r="HE69">
        <v>12.0152</v>
      </c>
      <c r="HF69">
        <v>4.9782000000000002</v>
      </c>
      <c r="HG69">
        <v>3.2924000000000002</v>
      </c>
      <c r="HH69">
        <v>9999</v>
      </c>
      <c r="HI69">
        <v>9999</v>
      </c>
      <c r="HJ69">
        <v>9999</v>
      </c>
      <c r="HK69">
        <v>999.9</v>
      </c>
      <c r="HL69">
        <v>1.87615</v>
      </c>
      <c r="HM69">
        <v>1.8769800000000001</v>
      </c>
      <c r="HN69">
        <v>1.88327</v>
      </c>
      <c r="HO69">
        <v>1.8864000000000001</v>
      </c>
      <c r="HP69">
        <v>1.87714</v>
      </c>
      <c r="HQ69">
        <v>1.88371</v>
      </c>
      <c r="HR69">
        <v>1.88263</v>
      </c>
      <c r="HS69">
        <v>1.88602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424</v>
      </c>
      <c r="IB69" t="s">
        <v>424</v>
      </c>
      <c r="IC69" t="s">
        <v>423</v>
      </c>
      <c r="ID69">
        <v>0</v>
      </c>
      <c r="IE69">
        <v>100</v>
      </c>
      <c r="IF69">
        <v>100</v>
      </c>
      <c r="IG69">
        <v>5.6000000000000001E-2</v>
      </c>
      <c r="IH69">
        <v>8.0000000000000004E-4</v>
      </c>
      <c r="II69">
        <v>5.3515452104283143E-2</v>
      </c>
      <c r="IJ69">
        <v>4.4610147972834149E-5</v>
      </c>
      <c r="IK69">
        <v>-2.082673137682459E-7</v>
      </c>
      <c r="IL69">
        <v>-4.0725795306076518E-11</v>
      </c>
      <c r="IM69">
        <v>7.9500000000010118E-4</v>
      </c>
      <c r="IN69">
        <v>0</v>
      </c>
      <c r="IO69">
        <v>0</v>
      </c>
      <c r="IP69">
        <v>0</v>
      </c>
      <c r="IQ69">
        <v>3</v>
      </c>
      <c r="IR69">
        <v>2179</v>
      </c>
      <c r="IS69">
        <v>0</v>
      </c>
      <c r="IT69">
        <v>22</v>
      </c>
      <c r="IU69">
        <v>0.5</v>
      </c>
      <c r="IV69">
        <v>0.6</v>
      </c>
      <c r="IW69">
        <v>0.41870099999999999</v>
      </c>
      <c r="IX69">
        <v>2.7038600000000002</v>
      </c>
      <c r="IY69">
        <v>1.6015600000000001</v>
      </c>
      <c r="IZ69">
        <v>2.3303199999999999</v>
      </c>
      <c r="JA69">
        <v>1.5502899999999999</v>
      </c>
      <c r="JB69">
        <v>2.4340799999999998</v>
      </c>
      <c r="JC69">
        <v>41.691200000000002</v>
      </c>
      <c r="JD69">
        <v>24.096299999999999</v>
      </c>
      <c r="JE69">
        <v>18</v>
      </c>
      <c r="JF69">
        <v>587.68200000000002</v>
      </c>
      <c r="JG69">
        <v>409.13900000000001</v>
      </c>
      <c r="JH69">
        <v>27.215699999999998</v>
      </c>
      <c r="JI69">
        <v>33.659599999999998</v>
      </c>
      <c r="JJ69">
        <v>30</v>
      </c>
      <c r="JK69">
        <v>33.736400000000003</v>
      </c>
      <c r="JL69">
        <v>33.725000000000001</v>
      </c>
      <c r="JM69">
        <v>8.3566599999999998</v>
      </c>
      <c r="JN69">
        <v>26.661799999999999</v>
      </c>
      <c r="JO69">
        <v>72.542100000000005</v>
      </c>
      <c r="JP69">
        <v>27.220500000000001</v>
      </c>
      <c r="JQ69">
        <v>120</v>
      </c>
      <c r="JR69">
        <v>24.5961</v>
      </c>
      <c r="JS69">
        <v>98.778800000000004</v>
      </c>
      <c r="JT69">
        <v>99.308300000000003</v>
      </c>
    </row>
    <row r="70" spans="1:280" x14ac:dyDescent="0.25">
      <c r="A70">
        <v>54</v>
      </c>
      <c r="B70">
        <v>1700251315.5</v>
      </c>
      <c r="C70">
        <v>16078</v>
      </c>
      <c r="D70" t="s">
        <v>646</v>
      </c>
      <c r="E70" t="s">
        <v>647</v>
      </c>
      <c r="F70" t="s">
        <v>412</v>
      </c>
      <c r="G70" t="s">
        <v>544</v>
      </c>
      <c r="H70" t="s">
        <v>544</v>
      </c>
      <c r="I70">
        <v>1700251315.5</v>
      </c>
      <c r="J70">
        <f t="shared" si="46"/>
        <v>5.8336566214450348E-3</v>
      </c>
      <c r="K70">
        <f t="shared" si="47"/>
        <v>5.8336566214450345</v>
      </c>
      <c r="L70">
        <f t="shared" si="48"/>
        <v>9.8719480729176379</v>
      </c>
      <c r="M70">
        <f t="shared" si="49"/>
        <v>61.972099999999998</v>
      </c>
      <c r="N70">
        <f t="shared" si="50"/>
        <v>20.35199707672453</v>
      </c>
      <c r="O70">
        <f t="shared" si="51"/>
        <v>2.0113554910653364</v>
      </c>
      <c r="P70">
        <f t="shared" si="52"/>
        <v>6.1246040453889004</v>
      </c>
      <c r="Q70">
        <f t="shared" si="53"/>
        <v>0.41076895835897703</v>
      </c>
      <c r="R70">
        <f t="shared" si="54"/>
        <v>3.4328478236689226</v>
      </c>
      <c r="S70">
        <f t="shared" si="55"/>
        <v>0.38528570429166192</v>
      </c>
      <c r="T70">
        <f t="shared" si="56"/>
        <v>0.2429612763948899</v>
      </c>
      <c r="U70">
        <f t="shared" si="57"/>
        <v>344.37889930236292</v>
      </c>
      <c r="V70">
        <f t="shared" si="58"/>
        <v>30.721699202379227</v>
      </c>
      <c r="W70">
        <f t="shared" si="59"/>
        <v>30.003399999999999</v>
      </c>
      <c r="X70">
        <f t="shared" si="60"/>
        <v>4.2612818801576449</v>
      </c>
      <c r="Y70">
        <f t="shared" si="61"/>
        <v>65.101894355948104</v>
      </c>
      <c r="Z70">
        <f t="shared" si="62"/>
        <v>2.8185071619528004</v>
      </c>
      <c r="AA70">
        <f t="shared" si="63"/>
        <v>4.3293781077129054</v>
      </c>
      <c r="AB70">
        <f t="shared" si="64"/>
        <v>1.4427747182048445</v>
      </c>
      <c r="AC70">
        <f t="shared" si="65"/>
        <v>-257.26425700572605</v>
      </c>
      <c r="AD70">
        <f t="shared" si="66"/>
        <v>51.135308463581083</v>
      </c>
      <c r="AE70">
        <f t="shared" si="67"/>
        <v>3.3167598451834603</v>
      </c>
      <c r="AF70">
        <f t="shared" si="68"/>
        <v>141.56671060540143</v>
      </c>
      <c r="AG70">
        <v>0</v>
      </c>
      <c r="AH70">
        <v>0</v>
      </c>
      <c r="AI70">
        <f t="shared" si="69"/>
        <v>1</v>
      </c>
      <c r="AJ70">
        <f t="shared" si="70"/>
        <v>0</v>
      </c>
      <c r="AK70">
        <f t="shared" si="71"/>
        <v>51680.246519857232</v>
      </c>
      <c r="AL70" t="s">
        <v>415</v>
      </c>
      <c r="AM70">
        <v>6977.87</v>
      </c>
      <c r="AN70">
        <v>273.15280000000001</v>
      </c>
      <c r="AO70">
        <v>850.46774885301022</v>
      </c>
      <c r="AP70">
        <f t="shared" si="72"/>
        <v>0.67882050745793765</v>
      </c>
      <c r="AQ70">
        <v>-1.0323826813720729</v>
      </c>
      <c r="AR70" t="s">
        <v>648</v>
      </c>
      <c r="AS70">
        <v>7115.39</v>
      </c>
      <c r="AT70">
        <v>558.19811538461533</v>
      </c>
      <c r="AU70">
        <v>624.69895396826598</v>
      </c>
      <c r="AV70">
        <f t="shared" si="73"/>
        <v>0.10645261715458032</v>
      </c>
      <c r="AW70">
        <v>0.5</v>
      </c>
      <c r="AX70">
        <f t="shared" si="74"/>
        <v>1513.2266996511812</v>
      </c>
      <c r="AY70">
        <f t="shared" si="75"/>
        <v>9.8719480729176379</v>
      </c>
      <c r="AZ70">
        <f t="shared" si="76"/>
        <v>80.543471263028152</v>
      </c>
      <c r="BA70">
        <f t="shared" si="77"/>
        <v>7.2060126594404557E-3</v>
      </c>
      <c r="BB70">
        <f t="shared" si="78"/>
        <v>0.36140415067225012</v>
      </c>
      <c r="BC70">
        <f t="shared" si="79"/>
        <v>244.74399366865435</v>
      </c>
      <c r="BD70" t="s">
        <v>649</v>
      </c>
      <c r="BE70">
        <v>400.6</v>
      </c>
      <c r="BF70">
        <f t="shared" si="80"/>
        <v>400.6</v>
      </c>
      <c r="BG70">
        <f t="shared" si="81"/>
        <v>0.35873111767632304</v>
      </c>
      <c r="BH70">
        <f t="shared" si="82"/>
        <v>0.2967476527938977</v>
      </c>
      <c r="BI70">
        <f t="shared" si="83"/>
        <v>0.50185592423632919</v>
      </c>
      <c r="BJ70">
        <f t="shared" si="84"/>
        <v>0.18916673623928673</v>
      </c>
      <c r="BK70">
        <f t="shared" si="85"/>
        <v>0.39106694765707006</v>
      </c>
      <c r="BL70">
        <f t="shared" si="86"/>
        <v>0.21296580270129631</v>
      </c>
      <c r="BM70">
        <f t="shared" si="87"/>
        <v>0.78703419729870372</v>
      </c>
      <c r="BN70">
        <v>11424</v>
      </c>
      <c r="BO70">
        <v>290.00000000000011</v>
      </c>
      <c r="BP70">
        <v>607.16999999999996</v>
      </c>
      <c r="BQ70">
        <v>285</v>
      </c>
      <c r="BR70">
        <v>7115.39</v>
      </c>
      <c r="BS70">
        <v>608.15</v>
      </c>
      <c r="BT70">
        <v>-0.98</v>
      </c>
      <c r="BU70">
        <v>300.00000000000011</v>
      </c>
      <c r="BV70">
        <v>38.299999999999997</v>
      </c>
      <c r="BW70">
        <v>624.69895396826598</v>
      </c>
      <c r="BX70">
        <v>1.116462486943929</v>
      </c>
      <c r="BY70">
        <v>-11.77170165925777</v>
      </c>
      <c r="BZ70">
        <v>0.66591360552560219</v>
      </c>
      <c r="CA70">
        <v>0.91776671891623929</v>
      </c>
      <c r="CB70">
        <v>-7.0157637374861108E-3</v>
      </c>
      <c r="CC70">
        <v>289.99999999999989</v>
      </c>
      <c r="CD70">
        <v>609.24</v>
      </c>
      <c r="CE70">
        <v>865</v>
      </c>
      <c r="CF70">
        <v>7106.7</v>
      </c>
      <c r="CG70">
        <v>608.13</v>
      </c>
      <c r="CH70">
        <v>1.1100000000000001</v>
      </c>
      <c r="CV70">
        <f t="shared" si="88"/>
        <v>1800.05</v>
      </c>
      <c r="CW70">
        <f t="shared" si="89"/>
        <v>1513.2266996511812</v>
      </c>
      <c r="CX70">
        <f t="shared" si="90"/>
        <v>0.84065814819098428</v>
      </c>
      <c r="CY70">
        <f t="shared" si="91"/>
        <v>0.19131629638196879</v>
      </c>
      <c r="CZ70">
        <v>3.93</v>
      </c>
      <c r="DA70">
        <v>0.5</v>
      </c>
      <c r="DB70" t="s">
        <v>418</v>
      </c>
      <c r="DC70">
        <v>2</v>
      </c>
      <c r="DD70">
        <v>1700251315.5</v>
      </c>
      <c r="DE70">
        <v>61.972099999999998</v>
      </c>
      <c r="DF70">
        <v>70.011300000000006</v>
      </c>
      <c r="DG70">
        <v>28.519200000000001</v>
      </c>
      <c r="DH70">
        <v>24.0671</v>
      </c>
      <c r="DI70">
        <v>61.875399999999999</v>
      </c>
      <c r="DJ70">
        <v>28.514600000000002</v>
      </c>
      <c r="DK70">
        <v>500.26799999999997</v>
      </c>
      <c r="DL70">
        <v>98.728200000000001</v>
      </c>
      <c r="DM70">
        <v>0.10020900000000001</v>
      </c>
      <c r="DN70">
        <v>30.279699999999998</v>
      </c>
      <c r="DO70">
        <v>30.003399999999999</v>
      </c>
      <c r="DP70">
        <v>999.9</v>
      </c>
      <c r="DQ70">
        <v>0</v>
      </c>
      <c r="DR70">
        <v>0</v>
      </c>
      <c r="DS70">
        <v>10008.1</v>
      </c>
      <c r="DT70">
        <v>0</v>
      </c>
      <c r="DU70">
        <v>520.49599999999998</v>
      </c>
      <c r="DV70">
        <v>-8.0391899999999996</v>
      </c>
      <c r="DW70">
        <v>63.7913</v>
      </c>
      <c r="DX70">
        <v>71.737799999999993</v>
      </c>
      <c r="DY70">
        <v>4.4520999999999997</v>
      </c>
      <c r="DZ70">
        <v>70.011300000000006</v>
      </c>
      <c r="EA70">
        <v>24.0671</v>
      </c>
      <c r="EB70">
        <v>2.8156500000000002</v>
      </c>
      <c r="EC70">
        <v>2.3761000000000001</v>
      </c>
      <c r="ED70">
        <v>22.976099999999999</v>
      </c>
      <c r="EE70">
        <v>20.201799999999999</v>
      </c>
      <c r="EF70">
        <v>1800.05</v>
      </c>
      <c r="EG70">
        <v>0.97800200000000004</v>
      </c>
      <c r="EH70">
        <v>2.1998400000000001E-2</v>
      </c>
      <c r="EI70">
        <v>0</v>
      </c>
      <c r="EJ70">
        <v>558.01199999999994</v>
      </c>
      <c r="EK70">
        <v>5.0005300000000004</v>
      </c>
      <c r="EL70">
        <v>10920</v>
      </c>
      <c r="EM70">
        <v>16035.7</v>
      </c>
      <c r="EN70">
        <v>47.25</v>
      </c>
      <c r="EO70">
        <v>48.436999999999998</v>
      </c>
      <c r="EP70">
        <v>47.75</v>
      </c>
      <c r="EQ70">
        <v>48</v>
      </c>
      <c r="ER70">
        <v>48.561999999999998</v>
      </c>
      <c r="ES70">
        <v>1755.56</v>
      </c>
      <c r="ET70">
        <v>39.49</v>
      </c>
      <c r="EU70">
        <v>0</v>
      </c>
      <c r="EV70">
        <v>213.79999995231631</v>
      </c>
      <c r="EW70">
        <v>0</v>
      </c>
      <c r="EX70">
        <v>558.19811538461533</v>
      </c>
      <c r="EY70">
        <v>0.92632478645051908</v>
      </c>
      <c r="EZ70">
        <v>-7.9555555865256222</v>
      </c>
      <c r="FA70">
        <v>10920.29615384615</v>
      </c>
      <c r="FB70">
        <v>15</v>
      </c>
      <c r="FC70">
        <v>1700251278.5</v>
      </c>
      <c r="FD70" t="s">
        <v>650</v>
      </c>
      <c r="FE70">
        <v>1700251272</v>
      </c>
      <c r="FF70">
        <v>1700251278.5</v>
      </c>
      <c r="FG70">
        <v>62</v>
      </c>
      <c r="FH70">
        <v>4.1000000000000002E-2</v>
      </c>
      <c r="FI70">
        <v>4.0000000000000001E-3</v>
      </c>
      <c r="FJ70">
        <v>9.7000000000000003E-2</v>
      </c>
      <c r="FK70">
        <v>5.0000000000000001E-3</v>
      </c>
      <c r="FL70">
        <v>70</v>
      </c>
      <c r="FM70">
        <v>24</v>
      </c>
      <c r="FN70">
        <v>0.15</v>
      </c>
      <c r="FO70">
        <v>0.03</v>
      </c>
      <c r="FP70">
        <v>9.8434634771207978</v>
      </c>
      <c r="FQ70">
        <v>-6.1157993681858362E-2</v>
      </c>
      <c r="FR70">
        <v>1.603819187277896E-2</v>
      </c>
      <c r="FS70">
        <v>1</v>
      </c>
      <c r="FT70">
        <v>0.41311916997946202</v>
      </c>
      <c r="FU70">
        <v>3.3279310126112349E-2</v>
      </c>
      <c r="FV70">
        <v>4.1537803884012349E-3</v>
      </c>
      <c r="FW70">
        <v>1</v>
      </c>
      <c r="FX70">
        <v>2</v>
      </c>
      <c r="FY70">
        <v>2</v>
      </c>
      <c r="FZ70" t="s">
        <v>420</v>
      </c>
      <c r="GA70">
        <v>3.12148</v>
      </c>
      <c r="GB70">
        <v>2.7671600000000001</v>
      </c>
      <c r="GC70">
        <v>1.6447199999999999E-2</v>
      </c>
      <c r="GD70">
        <v>1.8598699999999999E-2</v>
      </c>
      <c r="GE70">
        <v>0.120541</v>
      </c>
      <c r="GF70">
        <v>0.107266</v>
      </c>
      <c r="GG70">
        <v>23496.2</v>
      </c>
      <c r="GH70">
        <v>24425.8</v>
      </c>
      <c r="GI70">
        <v>23754.400000000001</v>
      </c>
      <c r="GJ70">
        <v>25208.400000000001</v>
      </c>
      <c r="GK70">
        <v>30092.2</v>
      </c>
      <c r="GL70">
        <v>31558.7</v>
      </c>
      <c r="GM70">
        <v>37871.4</v>
      </c>
      <c r="GN70">
        <v>39245.1</v>
      </c>
      <c r="GO70">
        <v>2.1229499999999999</v>
      </c>
      <c r="GP70">
        <v>1.7928200000000001</v>
      </c>
      <c r="GQ70">
        <v>3.54014E-2</v>
      </c>
      <c r="GR70">
        <v>0</v>
      </c>
      <c r="GS70">
        <v>29.427099999999999</v>
      </c>
      <c r="GT70">
        <v>999.9</v>
      </c>
      <c r="GU70">
        <v>46.6</v>
      </c>
      <c r="GV70">
        <v>37.4</v>
      </c>
      <c r="GW70">
        <v>30.4162</v>
      </c>
      <c r="GX70">
        <v>60.222099999999998</v>
      </c>
      <c r="GY70">
        <v>26.634599999999999</v>
      </c>
      <c r="GZ70">
        <v>1</v>
      </c>
      <c r="HA70">
        <v>0.52566299999999999</v>
      </c>
      <c r="HB70">
        <v>1.8667400000000001</v>
      </c>
      <c r="HC70">
        <v>20.313199999999998</v>
      </c>
      <c r="HD70">
        <v>5.2529300000000001</v>
      </c>
      <c r="HE70">
        <v>12.0128</v>
      </c>
      <c r="HF70">
        <v>4.9794999999999998</v>
      </c>
      <c r="HG70">
        <v>3.2930000000000001</v>
      </c>
      <c r="HH70">
        <v>9999</v>
      </c>
      <c r="HI70">
        <v>9999</v>
      </c>
      <c r="HJ70">
        <v>9999</v>
      </c>
      <c r="HK70">
        <v>999.9</v>
      </c>
      <c r="HL70">
        <v>1.8761099999999999</v>
      </c>
      <c r="HM70">
        <v>1.8769800000000001</v>
      </c>
      <c r="HN70">
        <v>1.8832599999999999</v>
      </c>
      <c r="HO70">
        <v>1.88636</v>
      </c>
      <c r="HP70">
        <v>1.87714</v>
      </c>
      <c r="HQ70">
        <v>1.8837200000000001</v>
      </c>
      <c r="HR70">
        <v>1.8826499999999999</v>
      </c>
      <c r="HS70">
        <v>1.8859900000000001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424</v>
      </c>
      <c r="IB70" t="s">
        <v>424</v>
      </c>
      <c r="IC70" t="s">
        <v>423</v>
      </c>
      <c r="ID70">
        <v>0</v>
      </c>
      <c r="IE70">
        <v>100</v>
      </c>
      <c r="IF70">
        <v>100</v>
      </c>
      <c r="IG70">
        <v>9.7000000000000003E-2</v>
      </c>
      <c r="IH70">
        <v>4.5999999999999999E-3</v>
      </c>
      <c r="II70">
        <v>9.4723403729983544E-2</v>
      </c>
      <c r="IJ70">
        <v>4.4610147972834149E-5</v>
      </c>
      <c r="IK70">
        <v>-2.082673137682459E-7</v>
      </c>
      <c r="IL70">
        <v>-4.0725795306076518E-11</v>
      </c>
      <c r="IM70">
        <v>4.576190476193176E-3</v>
      </c>
      <c r="IN70">
        <v>0</v>
      </c>
      <c r="IO70">
        <v>0</v>
      </c>
      <c r="IP70">
        <v>0</v>
      </c>
      <c r="IQ70">
        <v>3</v>
      </c>
      <c r="IR70">
        <v>2179</v>
      </c>
      <c r="IS70">
        <v>0</v>
      </c>
      <c r="IT70">
        <v>22</v>
      </c>
      <c r="IU70">
        <v>0.7</v>
      </c>
      <c r="IV70">
        <v>0.6</v>
      </c>
      <c r="IW70">
        <v>0.305176</v>
      </c>
      <c r="IX70">
        <v>2.7038600000000002</v>
      </c>
      <c r="IY70">
        <v>1.6015600000000001</v>
      </c>
      <c r="IZ70">
        <v>2.3278799999999999</v>
      </c>
      <c r="JA70">
        <v>1.5502899999999999</v>
      </c>
      <c r="JB70">
        <v>2.4731399999999999</v>
      </c>
      <c r="JC70">
        <v>41.717399999999998</v>
      </c>
      <c r="JD70">
        <v>24.105</v>
      </c>
      <c r="JE70">
        <v>18</v>
      </c>
      <c r="JF70">
        <v>588.54100000000005</v>
      </c>
      <c r="JG70">
        <v>407.85300000000001</v>
      </c>
      <c r="JH70">
        <v>27.7331</v>
      </c>
      <c r="JI70">
        <v>33.683799999999998</v>
      </c>
      <c r="JJ70">
        <v>30</v>
      </c>
      <c r="JK70">
        <v>33.742400000000004</v>
      </c>
      <c r="JL70">
        <v>33.729799999999997</v>
      </c>
      <c r="JM70">
        <v>6.0985300000000002</v>
      </c>
      <c r="JN70">
        <v>28.572099999999999</v>
      </c>
      <c r="JO70">
        <v>71.610600000000005</v>
      </c>
      <c r="JP70">
        <v>27.741900000000001</v>
      </c>
      <c r="JQ70">
        <v>70</v>
      </c>
      <c r="JR70">
        <v>24.065300000000001</v>
      </c>
      <c r="JS70">
        <v>98.772400000000005</v>
      </c>
      <c r="JT70">
        <v>99.301900000000003</v>
      </c>
    </row>
    <row r="71" spans="1:280" x14ac:dyDescent="0.25">
      <c r="A71">
        <v>55</v>
      </c>
      <c r="B71">
        <v>1700251458</v>
      </c>
      <c r="C71">
        <v>16220.5</v>
      </c>
      <c r="D71" t="s">
        <v>651</v>
      </c>
      <c r="E71" t="s">
        <v>652</v>
      </c>
      <c r="F71" t="s">
        <v>412</v>
      </c>
      <c r="G71" t="s">
        <v>544</v>
      </c>
      <c r="H71" t="s">
        <v>544</v>
      </c>
      <c r="I71">
        <v>1700251458</v>
      </c>
      <c r="J71">
        <f t="shared" si="46"/>
        <v>5.9134605075897807E-3</v>
      </c>
      <c r="K71">
        <f t="shared" si="47"/>
        <v>5.9134605075897806</v>
      </c>
      <c r="L71">
        <f t="shared" si="48"/>
        <v>4.1223246925425947</v>
      </c>
      <c r="M71">
        <f t="shared" si="49"/>
        <v>26.6722</v>
      </c>
      <c r="N71">
        <f t="shared" si="50"/>
        <v>9.5457955271633281</v>
      </c>
      <c r="O71">
        <f t="shared" si="51"/>
        <v>0.94340629450974334</v>
      </c>
      <c r="P71">
        <f t="shared" si="52"/>
        <v>2.6360004566219999</v>
      </c>
      <c r="Q71">
        <f t="shared" si="53"/>
        <v>0.41790220000799044</v>
      </c>
      <c r="R71">
        <f t="shared" si="54"/>
        <v>3.4331728076552954</v>
      </c>
      <c r="S71">
        <f t="shared" si="55"/>
        <v>0.391558972320389</v>
      </c>
      <c r="T71">
        <f t="shared" si="56"/>
        <v>0.24695268305484808</v>
      </c>
      <c r="U71">
        <f t="shared" si="57"/>
        <v>344.41879930244431</v>
      </c>
      <c r="V71">
        <f t="shared" si="58"/>
        <v>30.679513836402666</v>
      </c>
      <c r="W71">
        <f t="shared" si="59"/>
        <v>29.990200000000002</v>
      </c>
      <c r="X71">
        <f t="shared" si="60"/>
        <v>4.2580521365079207</v>
      </c>
      <c r="Y71">
        <f t="shared" si="61"/>
        <v>65.203263479479958</v>
      </c>
      <c r="Z71">
        <f t="shared" si="62"/>
        <v>2.818933879632</v>
      </c>
      <c r="AA71">
        <f t="shared" si="63"/>
        <v>4.323301824484818</v>
      </c>
      <c r="AB71">
        <f t="shared" si="64"/>
        <v>1.4391182568759207</v>
      </c>
      <c r="AC71">
        <f t="shared" si="65"/>
        <v>-260.78360838470934</v>
      </c>
      <c r="AD71">
        <f t="shared" si="66"/>
        <v>49.048641287672204</v>
      </c>
      <c r="AE71">
        <f t="shared" si="67"/>
        <v>3.1805189689410178</v>
      </c>
      <c r="AF71">
        <f t="shared" si="68"/>
        <v>135.86435117434823</v>
      </c>
      <c r="AG71">
        <v>0</v>
      </c>
      <c r="AH71">
        <v>0</v>
      </c>
      <c r="AI71">
        <f t="shared" si="69"/>
        <v>1</v>
      </c>
      <c r="AJ71">
        <f t="shared" si="70"/>
        <v>0</v>
      </c>
      <c r="AK71">
        <f t="shared" si="71"/>
        <v>51691.54011213038</v>
      </c>
      <c r="AL71" t="s">
        <v>427</v>
      </c>
      <c r="AM71" t="s">
        <v>427</v>
      </c>
      <c r="AN71">
        <v>0</v>
      </c>
      <c r="AO71">
        <v>0</v>
      </c>
      <c r="AP71" t="e">
        <f t="shared" si="72"/>
        <v>#DIV/0!</v>
      </c>
      <c r="AQ71">
        <v>0</v>
      </c>
      <c r="AR71" t="s">
        <v>427</v>
      </c>
      <c r="AS71" t="s">
        <v>427</v>
      </c>
      <c r="AT71">
        <v>0</v>
      </c>
      <c r="AU71">
        <v>0</v>
      </c>
      <c r="AV71" t="e">
        <f t="shared" si="73"/>
        <v>#DIV/0!</v>
      </c>
      <c r="AW71">
        <v>0.5</v>
      </c>
      <c r="AX71">
        <f t="shared" si="74"/>
        <v>1513.4030996512222</v>
      </c>
      <c r="AY71">
        <f t="shared" si="75"/>
        <v>4.1223246925425947</v>
      </c>
      <c r="AZ71" t="e">
        <f t="shared" si="76"/>
        <v>#DIV/0!</v>
      </c>
      <c r="BA71">
        <f t="shared" si="77"/>
        <v>2.7238775270730072E-3</v>
      </c>
      <c r="BB71" t="e">
        <f t="shared" si="78"/>
        <v>#DIV/0!</v>
      </c>
      <c r="BC71" t="e">
        <f t="shared" si="79"/>
        <v>#DIV/0!</v>
      </c>
      <c r="BD71" t="s">
        <v>427</v>
      </c>
      <c r="BE71">
        <v>0</v>
      </c>
      <c r="BF71" t="e">
        <f t="shared" si="80"/>
        <v>#DIV/0!</v>
      </c>
      <c r="BG71" t="e">
        <f t="shared" si="81"/>
        <v>#DIV/0!</v>
      </c>
      <c r="BH71" t="e">
        <f t="shared" si="82"/>
        <v>#DIV/0!</v>
      </c>
      <c r="BI71" t="e">
        <f t="shared" si="83"/>
        <v>#DIV/0!</v>
      </c>
      <c r="BJ71" t="e">
        <f t="shared" si="84"/>
        <v>#DIV/0!</v>
      </c>
      <c r="BK71" t="e">
        <f t="shared" si="85"/>
        <v>#DIV/0!</v>
      </c>
      <c r="BL71" t="e">
        <f t="shared" si="86"/>
        <v>#DIV/0!</v>
      </c>
      <c r="BM71" t="e">
        <f t="shared" si="87"/>
        <v>#DIV/0!</v>
      </c>
      <c r="BN71">
        <v>11424</v>
      </c>
      <c r="BO71">
        <v>290.00000000000011</v>
      </c>
      <c r="BP71">
        <v>607.16999999999996</v>
      </c>
      <c r="BQ71">
        <v>285</v>
      </c>
      <c r="BR71">
        <v>7115.39</v>
      </c>
      <c r="BS71">
        <v>608.15</v>
      </c>
      <c r="BT71">
        <v>-0.98</v>
      </c>
      <c r="BU71">
        <v>300.00000000000011</v>
      </c>
      <c r="BV71">
        <v>38.299999999999997</v>
      </c>
      <c r="BW71">
        <v>624.69895396826598</v>
      </c>
      <c r="BX71">
        <v>1.116462486943929</v>
      </c>
      <c r="BY71">
        <v>-11.77170165925777</v>
      </c>
      <c r="BZ71">
        <v>0.66591360552560219</v>
      </c>
      <c r="CA71">
        <v>0.91776671891623929</v>
      </c>
      <c r="CB71">
        <v>-7.0157637374861108E-3</v>
      </c>
      <c r="CC71">
        <v>289.99999999999989</v>
      </c>
      <c r="CD71">
        <v>609.24</v>
      </c>
      <c r="CE71">
        <v>865</v>
      </c>
      <c r="CF71">
        <v>7106.7</v>
      </c>
      <c r="CG71">
        <v>608.13</v>
      </c>
      <c r="CH71">
        <v>1.1100000000000001</v>
      </c>
      <c r="CV71">
        <f t="shared" si="88"/>
        <v>1800.26</v>
      </c>
      <c r="CW71">
        <f t="shared" si="89"/>
        <v>1513.4030996512222</v>
      </c>
      <c r="CX71">
        <f t="shared" si="90"/>
        <v>0.84065807141814086</v>
      </c>
      <c r="CY71">
        <f t="shared" si="91"/>
        <v>0.19131614283628159</v>
      </c>
      <c r="CZ71">
        <v>3.93</v>
      </c>
      <c r="DA71">
        <v>0.5</v>
      </c>
      <c r="DB71" t="s">
        <v>418</v>
      </c>
      <c r="DC71">
        <v>2</v>
      </c>
      <c r="DD71">
        <v>1700251458</v>
      </c>
      <c r="DE71">
        <v>26.6722</v>
      </c>
      <c r="DF71">
        <v>30.0349</v>
      </c>
      <c r="DG71">
        <v>28.523199999999999</v>
      </c>
      <c r="DH71">
        <v>24.009699999999999</v>
      </c>
      <c r="DI71">
        <v>26.5307</v>
      </c>
      <c r="DJ71">
        <v>28.520199999999999</v>
      </c>
      <c r="DK71">
        <v>500.21100000000001</v>
      </c>
      <c r="DL71">
        <v>98.729500000000002</v>
      </c>
      <c r="DM71">
        <v>0.10001</v>
      </c>
      <c r="DN71">
        <v>30.255199999999999</v>
      </c>
      <c r="DO71">
        <v>29.990200000000002</v>
      </c>
      <c r="DP71">
        <v>999.9</v>
      </c>
      <c r="DQ71">
        <v>0</v>
      </c>
      <c r="DR71">
        <v>0</v>
      </c>
      <c r="DS71">
        <v>10009.4</v>
      </c>
      <c r="DT71">
        <v>0</v>
      </c>
      <c r="DU71">
        <v>532.65099999999995</v>
      </c>
      <c r="DV71">
        <v>-3.3627400000000001</v>
      </c>
      <c r="DW71">
        <v>27.455300000000001</v>
      </c>
      <c r="DX71">
        <v>30.773800000000001</v>
      </c>
      <c r="DY71">
        <v>4.5134499999999997</v>
      </c>
      <c r="DZ71">
        <v>30.0349</v>
      </c>
      <c r="EA71">
        <v>24.009699999999999</v>
      </c>
      <c r="EB71">
        <v>2.8160799999999999</v>
      </c>
      <c r="EC71">
        <v>2.3704700000000001</v>
      </c>
      <c r="ED71">
        <v>22.9786</v>
      </c>
      <c r="EE71">
        <v>20.163399999999999</v>
      </c>
      <c r="EF71">
        <v>1800.26</v>
      </c>
      <c r="EG71">
        <v>0.97800500000000001</v>
      </c>
      <c r="EH71">
        <v>2.1994900000000001E-2</v>
      </c>
      <c r="EI71">
        <v>0</v>
      </c>
      <c r="EJ71">
        <v>571.83600000000001</v>
      </c>
      <c r="EK71">
        <v>5.0005300000000004</v>
      </c>
      <c r="EL71">
        <v>11157.3</v>
      </c>
      <c r="EM71">
        <v>16037.6</v>
      </c>
      <c r="EN71">
        <v>47.311999999999998</v>
      </c>
      <c r="EO71">
        <v>48.5</v>
      </c>
      <c r="EP71">
        <v>47.875</v>
      </c>
      <c r="EQ71">
        <v>48.061999999999998</v>
      </c>
      <c r="ER71">
        <v>48.625</v>
      </c>
      <c r="ES71">
        <v>1755.77</v>
      </c>
      <c r="ET71">
        <v>39.49</v>
      </c>
      <c r="EU71">
        <v>0</v>
      </c>
      <c r="EV71">
        <v>140.4000000953674</v>
      </c>
      <c r="EW71">
        <v>0</v>
      </c>
      <c r="EX71">
        <v>571.74432000000002</v>
      </c>
      <c r="EY71">
        <v>1.461076933957731</v>
      </c>
      <c r="EZ71">
        <v>29.884615346477691</v>
      </c>
      <c r="FA71">
        <v>11151.868</v>
      </c>
      <c r="FB71">
        <v>15</v>
      </c>
      <c r="FC71">
        <v>1700251420</v>
      </c>
      <c r="FD71" t="s">
        <v>653</v>
      </c>
      <c r="FE71">
        <v>1700251415.5</v>
      </c>
      <c r="FF71">
        <v>1700251420</v>
      </c>
      <c r="FG71">
        <v>63</v>
      </c>
      <c r="FH71">
        <v>4.5999999999999999E-2</v>
      </c>
      <c r="FI71">
        <v>-2E-3</v>
      </c>
      <c r="FJ71">
        <v>0.14199999999999999</v>
      </c>
      <c r="FK71">
        <v>3.0000000000000001E-3</v>
      </c>
      <c r="FL71">
        <v>30</v>
      </c>
      <c r="FM71">
        <v>24</v>
      </c>
      <c r="FN71">
        <v>0.25</v>
      </c>
      <c r="FO71">
        <v>0.02</v>
      </c>
      <c r="FP71">
        <v>4.0780920909038043</v>
      </c>
      <c r="FQ71">
        <v>7.1332030539376243E-2</v>
      </c>
      <c r="FR71">
        <v>2.6440856168063291E-2</v>
      </c>
      <c r="FS71">
        <v>1</v>
      </c>
      <c r="FT71">
        <v>0.42020935279040528</v>
      </c>
      <c r="FU71">
        <v>3.9134599709619453E-2</v>
      </c>
      <c r="FV71">
        <v>3.5989510125000609E-3</v>
      </c>
      <c r="FW71">
        <v>1</v>
      </c>
      <c r="FX71">
        <v>2</v>
      </c>
      <c r="FY71">
        <v>2</v>
      </c>
      <c r="FZ71" t="s">
        <v>420</v>
      </c>
      <c r="GA71">
        <v>3.1214599999999999</v>
      </c>
      <c r="GB71">
        <v>2.7669700000000002</v>
      </c>
      <c r="GC71">
        <v>7.1001800000000002E-3</v>
      </c>
      <c r="GD71">
        <v>8.0443900000000002E-3</v>
      </c>
      <c r="GE71">
        <v>0.12055200000000001</v>
      </c>
      <c r="GF71">
        <v>0.107082</v>
      </c>
      <c r="GG71">
        <v>23715.9</v>
      </c>
      <c r="GH71">
        <v>24685.599999999999</v>
      </c>
      <c r="GI71">
        <v>23751.5</v>
      </c>
      <c r="GJ71">
        <v>25206.2</v>
      </c>
      <c r="GK71">
        <v>30088</v>
      </c>
      <c r="GL71">
        <v>31562.400000000001</v>
      </c>
      <c r="GM71">
        <v>37866.6</v>
      </c>
      <c r="GN71">
        <v>39241.599999999999</v>
      </c>
      <c r="GO71">
        <v>2.1225499999999999</v>
      </c>
      <c r="GP71">
        <v>1.7919799999999999</v>
      </c>
      <c r="GQ71">
        <v>3.3378600000000001E-2</v>
      </c>
      <c r="GR71">
        <v>0</v>
      </c>
      <c r="GS71">
        <v>29.4468</v>
      </c>
      <c r="GT71">
        <v>999.9</v>
      </c>
      <c r="GU71">
        <v>46.4</v>
      </c>
      <c r="GV71">
        <v>37.299999999999997</v>
      </c>
      <c r="GW71">
        <v>30.119800000000001</v>
      </c>
      <c r="GX71">
        <v>60.472099999999998</v>
      </c>
      <c r="GY71">
        <v>26.762799999999999</v>
      </c>
      <c r="GZ71">
        <v>1</v>
      </c>
      <c r="HA71">
        <v>0.53067600000000004</v>
      </c>
      <c r="HB71">
        <v>1.86561</v>
      </c>
      <c r="HC71">
        <v>20.313099999999999</v>
      </c>
      <c r="HD71">
        <v>5.2527799999999996</v>
      </c>
      <c r="HE71">
        <v>12.013999999999999</v>
      </c>
      <c r="HF71">
        <v>4.9794499999999999</v>
      </c>
      <c r="HG71">
        <v>3.2930000000000001</v>
      </c>
      <c r="HH71">
        <v>9999</v>
      </c>
      <c r="HI71">
        <v>9999</v>
      </c>
      <c r="HJ71">
        <v>9999</v>
      </c>
      <c r="HK71">
        <v>999.9</v>
      </c>
      <c r="HL71">
        <v>1.87612</v>
      </c>
      <c r="HM71">
        <v>1.87696</v>
      </c>
      <c r="HN71">
        <v>1.8832899999999999</v>
      </c>
      <c r="HO71">
        <v>1.88635</v>
      </c>
      <c r="HP71">
        <v>1.87714</v>
      </c>
      <c r="HQ71">
        <v>1.8836999999999999</v>
      </c>
      <c r="HR71">
        <v>1.88263</v>
      </c>
      <c r="HS71">
        <v>1.88601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424</v>
      </c>
      <c r="IB71" t="s">
        <v>424</v>
      </c>
      <c r="IC71" t="s">
        <v>423</v>
      </c>
      <c r="ID71">
        <v>0</v>
      </c>
      <c r="IE71">
        <v>100</v>
      </c>
      <c r="IF71">
        <v>100</v>
      </c>
      <c r="IG71">
        <v>0.14199999999999999</v>
      </c>
      <c r="IH71">
        <v>3.0000000000000001E-3</v>
      </c>
      <c r="II71">
        <v>0.14046854329714289</v>
      </c>
      <c r="IJ71">
        <v>4.4610147972834149E-5</v>
      </c>
      <c r="IK71">
        <v>-2.082673137682459E-7</v>
      </c>
      <c r="IL71">
        <v>-4.0725795306076518E-11</v>
      </c>
      <c r="IM71">
        <v>2.9299999999956579E-3</v>
      </c>
      <c r="IN71">
        <v>0</v>
      </c>
      <c r="IO71">
        <v>0</v>
      </c>
      <c r="IP71">
        <v>0</v>
      </c>
      <c r="IQ71">
        <v>3</v>
      </c>
      <c r="IR71">
        <v>2179</v>
      </c>
      <c r="IS71">
        <v>0</v>
      </c>
      <c r="IT71">
        <v>22</v>
      </c>
      <c r="IU71">
        <v>0.7</v>
      </c>
      <c r="IV71">
        <v>0.6</v>
      </c>
      <c r="IW71">
        <v>0.21728500000000001</v>
      </c>
      <c r="IX71">
        <v>2.7258300000000002</v>
      </c>
      <c r="IY71">
        <v>1.6003400000000001</v>
      </c>
      <c r="IZ71">
        <v>2.3290999999999999</v>
      </c>
      <c r="JA71">
        <v>1.5502899999999999</v>
      </c>
      <c r="JB71">
        <v>2.49146</v>
      </c>
      <c r="JC71">
        <v>41.717399999999998</v>
      </c>
      <c r="JD71">
        <v>24.105</v>
      </c>
      <c r="JE71">
        <v>18</v>
      </c>
      <c r="JF71">
        <v>588.47500000000002</v>
      </c>
      <c r="JG71">
        <v>407.46899999999999</v>
      </c>
      <c r="JH71">
        <v>27.701599999999999</v>
      </c>
      <c r="JI71">
        <v>33.729199999999999</v>
      </c>
      <c r="JJ71">
        <v>30.0001</v>
      </c>
      <c r="JK71">
        <v>33.766599999999997</v>
      </c>
      <c r="JL71">
        <v>33.754100000000001</v>
      </c>
      <c r="JM71">
        <v>4.3299399999999997</v>
      </c>
      <c r="JN71">
        <v>28.388400000000001</v>
      </c>
      <c r="JO71">
        <v>70.765000000000001</v>
      </c>
      <c r="JP71">
        <v>27.7224</v>
      </c>
      <c r="JQ71">
        <v>30</v>
      </c>
      <c r="JR71">
        <v>24.072399999999998</v>
      </c>
      <c r="JS71">
        <v>98.76</v>
      </c>
      <c r="JT71">
        <v>99.293199999999999</v>
      </c>
    </row>
    <row r="72" spans="1:280" x14ac:dyDescent="0.25">
      <c r="A72">
        <v>56</v>
      </c>
      <c r="B72">
        <v>1700251560.5</v>
      </c>
      <c r="C72">
        <v>16323</v>
      </c>
      <c r="D72" t="s">
        <v>654</v>
      </c>
      <c r="E72" t="s">
        <v>655</v>
      </c>
      <c r="F72" t="s">
        <v>412</v>
      </c>
      <c r="G72" t="s">
        <v>544</v>
      </c>
      <c r="H72" t="s">
        <v>544</v>
      </c>
      <c r="I72">
        <v>1700251560.5</v>
      </c>
      <c r="J72">
        <f t="shared" si="46"/>
        <v>5.9474456728434216E-3</v>
      </c>
      <c r="K72">
        <f t="shared" si="47"/>
        <v>5.947445672843422</v>
      </c>
      <c r="L72">
        <f t="shared" si="48"/>
        <v>1.2114106847693509</v>
      </c>
      <c r="M72">
        <f t="shared" si="49"/>
        <v>8.9932999999999996</v>
      </c>
      <c r="N72">
        <f t="shared" si="50"/>
        <v>3.9892789199801042</v>
      </c>
      <c r="O72">
        <f t="shared" si="51"/>
        <v>0.39426603700816526</v>
      </c>
      <c r="P72">
        <f t="shared" si="52"/>
        <v>0.88882046649252988</v>
      </c>
      <c r="Q72">
        <f t="shared" si="53"/>
        <v>0.42296124463375118</v>
      </c>
      <c r="R72">
        <f t="shared" si="54"/>
        <v>3.4392975223915361</v>
      </c>
      <c r="S72">
        <f t="shared" si="55"/>
        <v>0.39604315332656775</v>
      </c>
      <c r="T72">
        <f t="shared" si="56"/>
        <v>0.24980256001926615</v>
      </c>
      <c r="U72">
        <f t="shared" si="57"/>
        <v>344.3636993023319</v>
      </c>
      <c r="V72">
        <f t="shared" si="58"/>
        <v>30.687529974641695</v>
      </c>
      <c r="W72">
        <f t="shared" si="59"/>
        <v>29.988800000000001</v>
      </c>
      <c r="X72">
        <f t="shared" si="60"/>
        <v>4.2577097131041048</v>
      </c>
      <c r="Y72">
        <f t="shared" si="61"/>
        <v>65.321544738453696</v>
      </c>
      <c r="Z72">
        <f t="shared" si="62"/>
        <v>2.8267362875065603</v>
      </c>
      <c r="AA72">
        <f t="shared" si="63"/>
        <v>4.3274180040058177</v>
      </c>
      <c r="AB72">
        <f t="shared" si="64"/>
        <v>1.4309734255975446</v>
      </c>
      <c r="AC72">
        <f t="shared" si="65"/>
        <v>-262.28235417239489</v>
      </c>
      <c r="AD72">
        <f t="shared" si="66"/>
        <v>52.47369247168939</v>
      </c>
      <c r="AE72">
        <f t="shared" si="67"/>
        <v>3.3968097960355559</v>
      </c>
      <c r="AF72">
        <f t="shared" si="68"/>
        <v>137.95184739766194</v>
      </c>
      <c r="AG72">
        <v>0</v>
      </c>
      <c r="AH72">
        <v>0</v>
      </c>
      <c r="AI72">
        <f t="shared" si="69"/>
        <v>1</v>
      </c>
      <c r="AJ72">
        <f t="shared" si="70"/>
        <v>0</v>
      </c>
      <c r="AK72">
        <f t="shared" si="71"/>
        <v>51822.41632689182</v>
      </c>
      <c r="AL72" t="s">
        <v>415</v>
      </c>
      <c r="AM72">
        <v>6977.87</v>
      </c>
      <c r="AN72">
        <v>273.15280000000001</v>
      </c>
      <c r="AO72">
        <v>850.46774885301022</v>
      </c>
      <c r="AP72">
        <f t="shared" si="72"/>
        <v>0.67882050745793765</v>
      </c>
      <c r="AQ72">
        <v>-1.0323826813720729</v>
      </c>
      <c r="AR72" t="s">
        <v>656</v>
      </c>
      <c r="AS72">
        <v>7125.27</v>
      </c>
      <c r="AT72">
        <v>579.669076923077</v>
      </c>
      <c r="AU72">
        <v>614.27095001409191</v>
      </c>
      <c r="AV72">
        <f t="shared" si="73"/>
        <v>5.6329984496615193E-2</v>
      </c>
      <c r="AW72">
        <v>0.5</v>
      </c>
      <c r="AX72">
        <f t="shared" si="74"/>
        <v>1513.159499651166</v>
      </c>
      <c r="AY72">
        <f t="shared" si="75"/>
        <v>1.2114106847693509</v>
      </c>
      <c r="AZ72">
        <f t="shared" si="76"/>
        <v>42.618125578128094</v>
      </c>
      <c r="BA72">
        <f t="shared" si="77"/>
        <v>1.4828531735475959E-3</v>
      </c>
      <c r="BB72">
        <f t="shared" si="78"/>
        <v>0.3845156584948381</v>
      </c>
      <c r="BC72">
        <f t="shared" si="79"/>
        <v>243.12697283123299</v>
      </c>
      <c r="BD72" t="s">
        <v>657</v>
      </c>
      <c r="BE72">
        <v>429.29</v>
      </c>
      <c r="BF72">
        <f t="shared" si="80"/>
        <v>429.29</v>
      </c>
      <c r="BG72">
        <f t="shared" si="81"/>
        <v>0.30113901692705514</v>
      </c>
      <c r="BH72">
        <f t="shared" si="82"/>
        <v>0.18705641358409572</v>
      </c>
      <c r="BI72">
        <f t="shared" si="83"/>
        <v>0.56080075332125467</v>
      </c>
      <c r="BJ72">
        <f t="shared" si="84"/>
        <v>0.10143662273492476</v>
      </c>
      <c r="BK72">
        <f t="shared" si="85"/>
        <v>0.40912988535666034</v>
      </c>
      <c r="BL72">
        <f t="shared" si="86"/>
        <v>0.13852981120497579</v>
      </c>
      <c r="BM72">
        <f t="shared" si="87"/>
        <v>0.86147018879502424</v>
      </c>
      <c r="BN72">
        <v>11426</v>
      </c>
      <c r="BO72">
        <v>290.00000000000011</v>
      </c>
      <c r="BP72">
        <v>602.30999999999995</v>
      </c>
      <c r="BQ72">
        <v>105</v>
      </c>
      <c r="BR72">
        <v>7125.27</v>
      </c>
      <c r="BS72">
        <v>602.29</v>
      </c>
      <c r="BT72">
        <v>0.02</v>
      </c>
      <c r="BU72">
        <v>300.00000000000011</v>
      </c>
      <c r="BV72">
        <v>38.299999999999997</v>
      </c>
      <c r="BW72">
        <v>614.27095001409191</v>
      </c>
      <c r="BX72">
        <v>1.0456485333036361</v>
      </c>
      <c r="BY72">
        <v>-8.5383921600028518</v>
      </c>
      <c r="BZ72">
        <v>0.62362947496153176</v>
      </c>
      <c r="CA72">
        <v>0.87004296287301863</v>
      </c>
      <c r="CB72">
        <v>-7.0151917686318219E-3</v>
      </c>
      <c r="CC72">
        <v>289.99999999999989</v>
      </c>
      <c r="CD72">
        <v>602.54</v>
      </c>
      <c r="CE72">
        <v>695</v>
      </c>
      <c r="CF72">
        <v>7109.72</v>
      </c>
      <c r="CG72">
        <v>602.26</v>
      </c>
      <c r="CH72">
        <v>0.28000000000000003</v>
      </c>
      <c r="CV72">
        <f t="shared" si="88"/>
        <v>1799.97</v>
      </c>
      <c r="CW72">
        <f t="shared" si="89"/>
        <v>1513.159499651166</v>
      </c>
      <c r="CX72">
        <f t="shared" si="90"/>
        <v>0.84065817744249405</v>
      </c>
      <c r="CY72">
        <f t="shared" si="91"/>
        <v>0.19131635488498802</v>
      </c>
      <c r="CZ72">
        <v>3.93</v>
      </c>
      <c r="DA72">
        <v>0.5</v>
      </c>
      <c r="DB72" t="s">
        <v>418</v>
      </c>
      <c r="DC72">
        <v>2</v>
      </c>
      <c r="DD72">
        <v>1700251560.5</v>
      </c>
      <c r="DE72">
        <v>8.9932999999999996</v>
      </c>
      <c r="DF72">
        <v>9.9871400000000001</v>
      </c>
      <c r="DG72">
        <v>28.601600000000001</v>
      </c>
      <c r="DH72">
        <v>24.0623</v>
      </c>
      <c r="DI72">
        <v>8.9011499999999995</v>
      </c>
      <c r="DJ72">
        <v>28.598400000000002</v>
      </c>
      <c r="DK72">
        <v>500.18599999999998</v>
      </c>
      <c r="DL72">
        <v>98.731499999999997</v>
      </c>
      <c r="DM72">
        <v>9.9904099999999996E-2</v>
      </c>
      <c r="DN72">
        <v>30.271799999999999</v>
      </c>
      <c r="DO72">
        <v>29.988800000000001</v>
      </c>
      <c r="DP72">
        <v>999.9</v>
      </c>
      <c r="DQ72">
        <v>0</v>
      </c>
      <c r="DR72">
        <v>0</v>
      </c>
      <c r="DS72">
        <v>10036.200000000001</v>
      </c>
      <c r="DT72">
        <v>0</v>
      </c>
      <c r="DU72">
        <v>514.00900000000001</v>
      </c>
      <c r="DV72">
        <v>-0.99383900000000003</v>
      </c>
      <c r="DW72">
        <v>9.2581000000000007</v>
      </c>
      <c r="DX72">
        <v>10.2334</v>
      </c>
      <c r="DY72">
        <v>4.5393100000000004</v>
      </c>
      <c r="DZ72">
        <v>9.9871400000000001</v>
      </c>
      <c r="EA72">
        <v>24.0623</v>
      </c>
      <c r="EB72">
        <v>2.8238799999999999</v>
      </c>
      <c r="EC72">
        <v>2.3757100000000002</v>
      </c>
      <c r="ED72">
        <v>23.0243</v>
      </c>
      <c r="EE72">
        <v>20.199100000000001</v>
      </c>
      <c r="EF72">
        <v>1799.97</v>
      </c>
      <c r="EG72">
        <v>0.97800200000000004</v>
      </c>
      <c r="EH72">
        <v>2.1998400000000001E-2</v>
      </c>
      <c r="EI72">
        <v>0</v>
      </c>
      <c r="EJ72">
        <v>578.94200000000001</v>
      </c>
      <c r="EK72">
        <v>5.0005300000000004</v>
      </c>
      <c r="EL72">
        <v>11277.2</v>
      </c>
      <c r="EM72">
        <v>16035</v>
      </c>
      <c r="EN72">
        <v>47.311999999999998</v>
      </c>
      <c r="EO72">
        <v>48.5</v>
      </c>
      <c r="EP72">
        <v>47.875</v>
      </c>
      <c r="EQ72">
        <v>48.125</v>
      </c>
      <c r="ER72">
        <v>48.686999999999998</v>
      </c>
      <c r="ES72">
        <v>1755.48</v>
      </c>
      <c r="ET72">
        <v>39.49</v>
      </c>
      <c r="EU72">
        <v>0</v>
      </c>
      <c r="EV72">
        <v>243</v>
      </c>
      <c r="EW72">
        <v>0</v>
      </c>
      <c r="EX72">
        <v>579.669076923077</v>
      </c>
      <c r="EY72">
        <v>-1.7537777780764909</v>
      </c>
      <c r="EZ72">
        <v>-32.947008494427493</v>
      </c>
      <c r="FA72">
        <v>11281.25</v>
      </c>
      <c r="FB72">
        <v>15</v>
      </c>
      <c r="FC72">
        <v>1700251522.5</v>
      </c>
      <c r="FD72" t="s">
        <v>658</v>
      </c>
      <c r="FE72">
        <v>1700251515</v>
      </c>
      <c r="FF72">
        <v>1700251522.5</v>
      </c>
      <c r="FG72">
        <v>64</v>
      </c>
      <c r="FH72">
        <v>-4.9000000000000002E-2</v>
      </c>
      <c r="FI72">
        <v>0</v>
      </c>
      <c r="FJ72">
        <v>9.1999999999999998E-2</v>
      </c>
      <c r="FK72">
        <v>3.0000000000000001E-3</v>
      </c>
      <c r="FL72">
        <v>10</v>
      </c>
      <c r="FM72">
        <v>24</v>
      </c>
      <c r="FN72">
        <v>0.39</v>
      </c>
      <c r="FO72">
        <v>0.02</v>
      </c>
      <c r="FP72">
        <v>1.231508305839133</v>
      </c>
      <c r="FQ72">
        <v>4.7124286483841073E-2</v>
      </c>
      <c r="FR72">
        <v>2.3403246013771209E-2</v>
      </c>
      <c r="FS72">
        <v>1</v>
      </c>
      <c r="FT72">
        <v>0.41979023455489167</v>
      </c>
      <c r="FU72">
        <v>4.840471342838254E-2</v>
      </c>
      <c r="FV72">
        <v>4.0636302758684847E-3</v>
      </c>
      <c r="FW72">
        <v>1</v>
      </c>
      <c r="FX72">
        <v>2</v>
      </c>
      <c r="FY72">
        <v>2</v>
      </c>
      <c r="FZ72" t="s">
        <v>420</v>
      </c>
      <c r="GA72">
        <v>3.12148</v>
      </c>
      <c r="GB72">
        <v>2.76709</v>
      </c>
      <c r="GC72">
        <v>2.38485E-3</v>
      </c>
      <c r="GD72">
        <v>2.6779999999999998E-3</v>
      </c>
      <c r="GE72">
        <v>0.120777</v>
      </c>
      <c r="GF72">
        <v>0.10724400000000001</v>
      </c>
      <c r="GG72">
        <v>23827.1</v>
      </c>
      <c r="GH72">
        <v>24817</v>
      </c>
      <c r="GI72">
        <v>23750.400000000001</v>
      </c>
      <c r="GJ72">
        <v>25204.400000000001</v>
      </c>
      <c r="GK72">
        <v>30079</v>
      </c>
      <c r="GL72">
        <v>31555</v>
      </c>
      <c r="GM72">
        <v>37865</v>
      </c>
      <c r="GN72">
        <v>39239.599999999999</v>
      </c>
      <c r="GO72">
        <v>2.1220699999999999</v>
      </c>
      <c r="GP72">
        <v>1.79158</v>
      </c>
      <c r="GQ72">
        <v>3.3602100000000003E-2</v>
      </c>
      <c r="GR72">
        <v>0</v>
      </c>
      <c r="GS72">
        <v>29.441700000000001</v>
      </c>
      <c r="GT72">
        <v>999.9</v>
      </c>
      <c r="GU72">
        <v>46.4</v>
      </c>
      <c r="GV72">
        <v>37.299999999999997</v>
      </c>
      <c r="GW72">
        <v>30.119499999999999</v>
      </c>
      <c r="GX72">
        <v>60.322099999999999</v>
      </c>
      <c r="GY72">
        <v>26.698699999999999</v>
      </c>
      <c r="GZ72">
        <v>1</v>
      </c>
      <c r="HA72">
        <v>0.53282499999999999</v>
      </c>
      <c r="HB72">
        <v>1.7652399999999999</v>
      </c>
      <c r="HC72">
        <v>20.314</v>
      </c>
      <c r="HD72">
        <v>5.2520300000000004</v>
      </c>
      <c r="HE72">
        <v>12.0158</v>
      </c>
      <c r="HF72">
        <v>4.9792500000000004</v>
      </c>
      <c r="HG72">
        <v>3.2930000000000001</v>
      </c>
      <c r="HH72">
        <v>9999</v>
      </c>
      <c r="HI72">
        <v>9999</v>
      </c>
      <c r="HJ72">
        <v>9999</v>
      </c>
      <c r="HK72">
        <v>999.9</v>
      </c>
      <c r="HL72">
        <v>1.8761000000000001</v>
      </c>
      <c r="HM72">
        <v>1.87696</v>
      </c>
      <c r="HN72">
        <v>1.8832599999999999</v>
      </c>
      <c r="HO72">
        <v>1.8863399999999999</v>
      </c>
      <c r="HP72">
        <v>1.87714</v>
      </c>
      <c r="HQ72">
        <v>1.8836999999999999</v>
      </c>
      <c r="HR72">
        <v>1.88263</v>
      </c>
      <c r="HS72">
        <v>1.88601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424</v>
      </c>
      <c r="IB72" t="s">
        <v>424</v>
      </c>
      <c r="IC72" t="s">
        <v>423</v>
      </c>
      <c r="ID72">
        <v>0</v>
      </c>
      <c r="IE72">
        <v>100</v>
      </c>
      <c r="IF72">
        <v>100</v>
      </c>
      <c r="IG72">
        <v>9.1999999999999998E-2</v>
      </c>
      <c r="IH72">
        <v>3.2000000000000002E-3</v>
      </c>
      <c r="II72">
        <v>9.1769656723679413E-2</v>
      </c>
      <c r="IJ72">
        <v>4.4610147972834149E-5</v>
      </c>
      <c r="IK72">
        <v>-2.082673137682459E-7</v>
      </c>
      <c r="IL72">
        <v>-4.0725795306076518E-11</v>
      </c>
      <c r="IM72">
        <v>3.1849999999984391E-3</v>
      </c>
      <c r="IN72">
        <v>0</v>
      </c>
      <c r="IO72">
        <v>0</v>
      </c>
      <c r="IP72">
        <v>0</v>
      </c>
      <c r="IQ72">
        <v>3</v>
      </c>
      <c r="IR72">
        <v>2179</v>
      </c>
      <c r="IS72">
        <v>0</v>
      </c>
      <c r="IT72">
        <v>22</v>
      </c>
      <c r="IU72">
        <v>0.8</v>
      </c>
      <c r="IV72">
        <v>0.6</v>
      </c>
      <c r="IW72">
        <v>0.17456099999999999</v>
      </c>
      <c r="IX72">
        <v>2.7392599999999998</v>
      </c>
      <c r="IY72">
        <v>1.6015600000000001</v>
      </c>
      <c r="IZ72">
        <v>2.3290999999999999</v>
      </c>
      <c r="JA72">
        <v>1.5502899999999999</v>
      </c>
      <c r="JB72">
        <v>2.4902299999999999</v>
      </c>
      <c r="JC72">
        <v>41.717399999999998</v>
      </c>
      <c r="JD72">
        <v>24.105</v>
      </c>
      <c r="JE72">
        <v>18</v>
      </c>
      <c r="JF72">
        <v>588.33100000000002</v>
      </c>
      <c r="JG72">
        <v>407.33499999999998</v>
      </c>
      <c r="JH72">
        <v>27.741</v>
      </c>
      <c r="JI72">
        <v>33.755800000000001</v>
      </c>
      <c r="JJ72">
        <v>30</v>
      </c>
      <c r="JK72">
        <v>33.7879</v>
      </c>
      <c r="JL72">
        <v>33.772300000000001</v>
      </c>
      <c r="JM72">
        <v>3.4682499999999998</v>
      </c>
      <c r="JN72">
        <v>28.405799999999999</v>
      </c>
      <c r="JO72">
        <v>70.2607</v>
      </c>
      <c r="JP72">
        <v>27.760300000000001</v>
      </c>
      <c r="JQ72">
        <v>10</v>
      </c>
      <c r="JR72">
        <v>23.983000000000001</v>
      </c>
      <c r="JS72">
        <v>98.755700000000004</v>
      </c>
      <c r="JT72">
        <v>99.287199999999999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2023-11-17T20:17:41Z</dcterms:created>
  <dcterms:modified xsi:type="dcterms:W3CDTF">2023-11-17T23:16:27Z</dcterms:modified>
</cp:coreProperties>
</file>