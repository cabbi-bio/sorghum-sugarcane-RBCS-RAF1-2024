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86" i="1" l="1"/>
  <c r="U86" i="1" s="1"/>
  <c r="CX86" i="1"/>
  <c r="CV86" i="1"/>
  <c r="BK86" i="1"/>
  <c r="BJ86" i="1"/>
  <c r="BH86" i="1"/>
  <c r="BL86" i="1" s="1"/>
  <c r="BM86" i="1" s="1"/>
  <c r="BF86" i="1"/>
  <c r="BG86" i="1" s="1"/>
  <c r="BB86" i="1"/>
  <c r="AV86" i="1"/>
  <c r="AP86" i="1"/>
  <c r="BC86" i="1" s="1"/>
  <c r="AK86" i="1"/>
  <c r="AI86" i="1"/>
  <c r="AA86" i="1"/>
  <c r="Z86" i="1"/>
  <c r="Y86" i="1" s="1"/>
  <c r="R86" i="1"/>
  <c r="CY85" i="1"/>
  <c r="U85" i="1" s="1"/>
  <c r="CX85" i="1"/>
  <c r="CV85" i="1"/>
  <c r="BK85" i="1"/>
  <c r="BJ85" i="1"/>
  <c r="BB85" i="1"/>
  <c r="AV85" i="1"/>
  <c r="AP85" i="1"/>
  <c r="BC85" i="1" s="1"/>
  <c r="BF85" i="1" s="1"/>
  <c r="AK85" i="1"/>
  <c r="AI85" i="1" s="1"/>
  <c r="AA85" i="1"/>
  <c r="Z85" i="1"/>
  <c r="Y85" i="1"/>
  <c r="R85" i="1"/>
  <c r="CY84" i="1"/>
  <c r="CX84" i="1"/>
  <c r="CV84" i="1"/>
  <c r="CW84" i="1" s="1"/>
  <c r="AX84" i="1" s="1"/>
  <c r="BL84" i="1"/>
  <c r="BM84" i="1" s="1"/>
  <c r="BK84" i="1"/>
  <c r="BJ84" i="1"/>
  <c r="BI84" i="1"/>
  <c r="BH84" i="1"/>
  <c r="BG84" i="1"/>
  <c r="BF84" i="1"/>
  <c r="BC84" i="1"/>
  <c r="BB84" i="1"/>
  <c r="AV84" i="1"/>
  <c r="AP84" i="1"/>
  <c r="AK84" i="1"/>
  <c r="AI84" i="1" s="1"/>
  <c r="AA84" i="1"/>
  <c r="Z84" i="1"/>
  <c r="Y84" i="1" s="1"/>
  <c r="R84" i="1"/>
  <c r="M84" i="1"/>
  <c r="CY83" i="1"/>
  <c r="CX83" i="1"/>
  <c r="CV83" i="1"/>
  <c r="BK83" i="1"/>
  <c r="BJ83" i="1"/>
  <c r="BB83" i="1"/>
  <c r="AV83" i="1"/>
  <c r="AP83" i="1"/>
  <c r="BC83" i="1" s="1"/>
  <c r="BF83" i="1" s="1"/>
  <c r="AK83" i="1"/>
  <c r="AI83" i="1" s="1"/>
  <c r="K83" i="1" s="1"/>
  <c r="J83" i="1" s="1"/>
  <c r="AC83" i="1" s="1"/>
  <c r="AA83" i="1"/>
  <c r="Y83" i="1" s="1"/>
  <c r="Z83" i="1"/>
  <c r="R83" i="1"/>
  <c r="CY82" i="1"/>
  <c r="CX82" i="1"/>
  <c r="CV82" i="1"/>
  <c r="CW82" i="1" s="1"/>
  <c r="AX82" i="1" s="1"/>
  <c r="AZ82" i="1" s="1"/>
  <c r="BK82" i="1"/>
  <c r="BJ82" i="1"/>
  <c r="BI82" i="1"/>
  <c r="BH82" i="1"/>
  <c r="BL82" i="1" s="1"/>
  <c r="BM82" i="1" s="1"/>
  <c r="BF82" i="1"/>
  <c r="BG82" i="1" s="1"/>
  <c r="BB82" i="1"/>
  <c r="AV82" i="1"/>
  <c r="AP82" i="1"/>
  <c r="BC82" i="1" s="1"/>
  <c r="AK82" i="1"/>
  <c r="AI82" i="1" s="1"/>
  <c r="AA82" i="1"/>
  <c r="Z82" i="1"/>
  <c r="Y82" i="1" s="1"/>
  <c r="R82" i="1"/>
  <c r="CY81" i="1"/>
  <c r="CX81" i="1"/>
  <c r="CV81" i="1"/>
  <c r="BK81" i="1"/>
  <c r="BJ81" i="1"/>
  <c r="BB81" i="1"/>
  <c r="AV81" i="1"/>
  <c r="AP81" i="1"/>
  <c r="BC81" i="1" s="1"/>
  <c r="BF81" i="1" s="1"/>
  <c r="BI81" i="1" s="1"/>
  <c r="AK81" i="1"/>
  <c r="AI81" i="1" s="1"/>
  <c r="AA81" i="1"/>
  <c r="Z81" i="1"/>
  <c r="R81" i="1"/>
  <c r="CY80" i="1"/>
  <c r="CX80" i="1"/>
  <c r="CW80" i="1"/>
  <c r="AX80" i="1" s="1"/>
  <c r="CV80" i="1"/>
  <c r="BK80" i="1"/>
  <c r="BJ80" i="1"/>
  <c r="BF80" i="1"/>
  <c r="BI80" i="1" s="1"/>
  <c r="BB80" i="1"/>
  <c r="AV80" i="1"/>
  <c r="AP80" i="1"/>
  <c r="BC80" i="1" s="1"/>
  <c r="AK80" i="1"/>
  <c r="AI80" i="1" s="1"/>
  <c r="AA80" i="1"/>
  <c r="Z80" i="1"/>
  <c r="U80" i="1"/>
  <c r="R80" i="1"/>
  <c r="CY79" i="1"/>
  <c r="CX79" i="1"/>
  <c r="CV79" i="1"/>
  <c r="CW79" i="1" s="1"/>
  <c r="AX79" i="1" s="1"/>
  <c r="BK79" i="1"/>
  <c r="BJ79" i="1"/>
  <c r="BF79" i="1"/>
  <c r="BI79" i="1" s="1"/>
  <c r="BB79" i="1"/>
  <c r="AV79" i="1"/>
  <c r="AP79" i="1"/>
  <c r="BC79" i="1" s="1"/>
  <c r="AK79" i="1"/>
  <c r="AI79" i="1" s="1"/>
  <c r="K79" i="1" s="1"/>
  <c r="J79" i="1" s="1"/>
  <c r="AC79" i="1" s="1"/>
  <c r="AA79" i="1"/>
  <c r="Y79" i="1" s="1"/>
  <c r="Z79" i="1"/>
  <c r="R79" i="1"/>
  <c r="CY78" i="1"/>
  <c r="CX78" i="1"/>
  <c r="CW78" i="1" s="1"/>
  <c r="AX78" i="1" s="1"/>
  <c r="CV78" i="1"/>
  <c r="BK78" i="1"/>
  <c r="BJ78" i="1"/>
  <c r="BF78" i="1"/>
  <c r="BI78" i="1" s="1"/>
  <c r="BB78" i="1"/>
  <c r="AV78" i="1"/>
  <c r="AP78" i="1"/>
  <c r="BC78" i="1" s="1"/>
  <c r="AK78" i="1"/>
  <c r="AI78" i="1" s="1"/>
  <c r="AA78" i="1"/>
  <c r="Z78" i="1"/>
  <c r="Y78" i="1"/>
  <c r="R78" i="1"/>
  <c r="CY77" i="1"/>
  <c r="CX77" i="1"/>
  <c r="CV77" i="1"/>
  <c r="BK77" i="1"/>
  <c r="BJ77" i="1"/>
  <c r="BB77" i="1"/>
  <c r="AV77" i="1"/>
  <c r="AP77" i="1"/>
  <c r="BC77" i="1" s="1"/>
  <c r="BF77" i="1" s="1"/>
  <c r="AK77" i="1"/>
  <c r="AI77" i="1" s="1"/>
  <c r="AA77" i="1"/>
  <c r="Y77" i="1" s="1"/>
  <c r="Z77" i="1"/>
  <c r="R77" i="1"/>
  <c r="CY76" i="1"/>
  <c r="CX76" i="1"/>
  <c r="CV76" i="1"/>
  <c r="U76" i="1" s="1"/>
  <c r="BL76" i="1"/>
  <c r="BM76" i="1" s="1"/>
  <c r="BK76" i="1"/>
  <c r="BJ76" i="1"/>
  <c r="BH76" i="1"/>
  <c r="BF76" i="1"/>
  <c r="BI76" i="1" s="1"/>
  <c r="BB76" i="1"/>
  <c r="AV76" i="1"/>
  <c r="AP76" i="1"/>
  <c r="BC76" i="1" s="1"/>
  <c r="AK76" i="1"/>
  <c r="AI76" i="1" s="1"/>
  <c r="AA76" i="1"/>
  <c r="Z76" i="1"/>
  <c r="R76" i="1"/>
  <c r="CY75" i="1"/>
  <c r="CX75" i="1"/>
  <c r="CV75" i="1"/>
  <c r="CW75" i="1" s="1"/>
  <c r="AX75" i="1" s="1"/>
  <c r="AZ75" i="1" s="1"/>
  <c r="BK75" i="1"/>
  <c r="BJ75" i="1"/>
  <c r="BB75" i="1"/>
  <c r="AV75" i="1"/>
  <c r="AP75" i="1"/>
  <c r="BC75" i="1" s="1"/>
  <c r="BF75" i="1" s="1"/>
  <c r="AK75" i="1"/>
  <c r="AI75" i="1" s="1"/>
  <c r="AA75" i="1"/>
  <c r="Y75" i="1" s="1"/>
  <c r="Z75" i="1"/>
  <c r="R75" i="1"/>
  <c r="CY74" i="1"/>
  <c r="CX74" i="1"/>
  <c r="CV74" i="1"/>
  <c r="CW74" i="1" s="1"/>
  <c r="AX74" i="1" s="1"/>
  <c r="AZ74" i="1" s="1"/>
  <c r="BK74" i="1"/>
  <c r="BJ74" i="1"/>
  <c r="BI74" i="1"/>
  <c r="BF74" i="1"/>
  <c r="BG74" i="1" s="1"/>
  <c r="BB74" i="1"/>
  <c r="AV74" i="1"/>
  <c r="AP74" i="1"/>
  <c r="BC74" i="1" s="1"/>
  <c r="AK74" i="1"/>
  <c r="AI74" i="1" s="1"/>
  <c r="AA74" i="1"/>
  <c r="Y74" i="1" s="1"/>
  <c r="Z74" i="1"/>
  <c r="R74" i="1"/>
  <c r="CY73" i="1"/>
  <c r="CX73" i="1"/>
  <c r="CV73" i="1"/>
  <c r="BK73" i="1"/>
  <c r="BJ73" i="1"/>
  <c r="BF73" i="1"/>
  <c r="BB73" i="1"/>
  <c r="AV73" i="1"/>
  <c r="AP73" i="1"/>
  <c r="BC73" i="1" s="1"/>
  <c r="AK73" i="1"/>
  <c r="AI73" i="1" s="1"/>
  <c r="L73" i="1" s="1"/>
  <c r="AY73" i="1" s="1"/>
  <c r="AA73" i="1"/>
  <c r="Z73" i="1"/>
  <c r="Y73" i="1" s="1"/>
  <c r="R73" i="1"/>
  <c r="CY72" i="1"/>
  <c r="CX72" i="1"/>
  <c r="CV72" i="1"/>
  <c r="CW72" i="1" s="1"/>
  <c r="AX72" i="1" s="1"/>
  <c r="BK72" i="1"/>
  <c r="BJ72" i="1"/>
  <c r="BF72" i="1"/>
  <c r="BI72" i="1" s="1"/>
  <c r="BB72" i="1"/>
  <c r="AV72" i="1"/>
  <c r="AP72" i="1"/>
  <c r="BC72" i="1" s="1"/>
  <c r="AK72" i="1"/>
  <c r="AI72" i="1" s="1"/>
  <c r="AJ72" i="1" s="1"/>
  <c r="AA72" i="1"/>
  <c r="Z72" i="1"/>
  <c r="Y72" i="1" s="1"/>
  <c r="R72" i="1"/>
  <c r="CY71" i="1"/>
  <c r="CX71" i="1"/>
  <c r="CV71" i="1"/>
  <c r="BK71" i="1"/>
  <c r="BJ71" i="1"/>
  <c r="BB71" i="1"/>
  <c r="AV71" i="1"/>
  <c r="AP71" i="1"/>
  <c r="BC71" i="1" s="1"/>
  <c r="BF71" i="1" s="1"/>
  <c r="AK71" i="1"/>
  <c r="AI71" i="1" s="1"/>
  <c r="P71" i="1" s="1"/>
  <c r="AA71" i="1"/>
  <c r="Y71" i="1" s="1"/>
  <c r="Z71" i="1"/>
  <c r="R71" i="1"/>
  <c r="CY70" i="1"/>
  <c r="CX70" i="1"/>
  <c r="CV70" i="1"/>
  <c r="BK70" i="1"/>
  <c r="BJ70" i="1"/>
  <c r="BI70" i="1"/>
  <c r="BH70" i="1"/>
  <c r="BL70" i="1" s="1"/>
  <c r="BM70" i="1" s="1"/>
  <c r="BF70" i="1"/>
  <c r="BG70" i="1" s="1"/>
  <c r="BB70" i="1"/>
  <c r="AV70" i="1"/>
  <c r="AP70" i="1"/>
  <c r="BC70" i="1" s="1"/>
  <c r="AK70" i="1"/>
  <c r="AI70" i="1" s="1"/>
  <c r="AA70" i="1"/>
  <c r="Z70" i="1"/>
  <c r="Y70" i="1" s="1"/>
  <c r="R70" i="1"/>
  <c r="CY69" i="1"/>
  <c r="U69" i="1" s="1"/>
  <c r="CX69" i="1"/>
  <c r="CW69" i="1" s="1"/>
  <c r="AX69" i="1" s="1"/>
  <c r="AZ69" i="1" s="1"/>
  <c r="CV69" i="1"/>
  <c r="BK69" i="1"/>
  <c r="BJ69" i="1"/>
  <c r="BF69" i="1"/>
  <c r="BH69" i="1" s="1"/>
  <c r="BL69" i="1" s="1"/>
  <c r="BM69" i="1" s="1"/>
  <c r="BB69" i="1"/>
  <c r="AV69" i="1"/>
  <c r="AP69" i="1"/>
  <c r="BC69" i="1" s="1"/>
  <c r="AK69" i="1"/>
  <c r="AI69" i="1" s="1"/>
  <c r="AA69" i="1"/>
  <c r="Z69" i="1"/>
  <c r="R69" i="1"/>
  <c r="P69" i="1"/>
  <c r="CY68" i="1"/>
  <c r="CX68" i="1"/>
  <c r="CW68" i="1" s="1"/>
  <c r="AX68" i="1" s="1"/>
  <c r="CV68" i="1"/>
  <c r="BK68" i="1"/>
  <c r="BJ68" i="1"/>
  <c r="BH68" i="1"/>
  <c r="BL68" i="1" s="1"/>
  <c r="BM68" i="1" s="1"/>
  <c r="BF68" i="1"/>
  <c r="BI68" i="1" s="1"/>
  <c r="BC68" i="1"/>
  <c r="BB68" i="1"/>
  <c r="AV68" i="1"/>
  <c r="AP68" i="1"/>
  <c r="AK68" i="1"/>
  <c r="AI68" i="1" s="1"/>
  <c r="AA68" i="1"/>
  <c r="Z68" i="1"/>
  <c r="U68" i="1"/>
  <c r="R68" i="1"/>
  <c r="CY67" i="1"/>
  <c r="CX67" i="1"/>
  <c r="CV67" i="1"/>
  <c r="BK67" i="1"/>
  <c r="BJ67" i="1"/>
  <c r="BF67" i="1"/>
  <c r="BB67" i="1"/>
  <c r="AV67" i="1"/>
  <c r="AP67" i="1"/>
  <c r="BC67" i="1" s="1"/>
  <c r="AK67" i="1"/>
  <c r="AI67" i="1" s="1"/>
  <c r="AA67" i="1"/>
  <c r="Z67" i="1"/>
  <c r="R67" i="1"/>
  <c r="P67" i="1"/>
  <c r="CY66" i="1"/>
  <c r="CX66" i="1"/>
  <c r="CV66" i="1"/>
  <c r="BK66" i="1"/>
  <c r="BJ66" i="1"/>
  <c r="BB66" i="1"/>
  <c r="AV66" i="1"/>
  <c r="AP66" i="1"/>
  <c r="BC66" i="1" s="1"/>
  <c r="BF66" i="1" s="1"/>
  <c r="AK66" i="1"/>
  <c r="AI66" i="1" s="1"/>
  <c r="AA66" i="1"/>
  <c r="Z66" i="1"/>
  <c r="Y66" i="1" s="1"/>
  <c r="R66" i="1"/>
  <c r="CY65" i="1"/>
  <c r="CX65" i="1"/>
  <c r="CV65" i="1"/>
  <c r="BK65" i="1"/>
  <c r="BJ65" i="1"/>
  <c r="BF65" i="1"/>
  <c r="BI65" i="1" s="1"/>
  <c r="BB65" i="1"/>
  <c r="AV65" i="1"/>
  <c r="AP65" i="1"/>
  <c r="BC65" i="1" s="1"/>
  <c r="AK65" i="1"/>
  <c r="AI65" i="1" s="1"/>
  <c r="AA65" i="1"/>
  <c r="Z65" i="1"/>
  <c r="Y65" i="1" s="1"/>
  <c r="R65" i="1"/>
  <c r="CY64" i="1"/>
  <c r="CX64" i="1"/>
  <c r="CW64" i="1"/>
  <c r="AX64" i="1" s="1"/>
  <c r="CV64" i="1"/>
  <c r="BK64" i="1"/>
  <c r="BJ64" i="1"/>
  <c r="BG64" i="1"/>
  <c r="BB64" i="1"/>
  <c r="AV64" i="1"/>
  <c r="AP64" i="1"/>
  <c r="BC64" i="1" s="1"/>
  <c r="BF64" i="1" s="1"/>
  <c r="AK64" i="1"/>
  <c r="AI64" i="1" s="1"/>
  <c r="AJ64" i="1" s="1"/>
  <c r="AA64" i="1"/>
  <c r="Z64" i="1"/>
  <c r="U64" i="1"/>
  <c r="R64" i="1"/>
  <c r="M64" i="1"/>
  <c r="CY63" i="1"/>
  <c r="CX63" i="1"/>
  <c r="CV63" i="1"/>
  <c r="CW63" i="1" s="1"/>
  <c r="AX63" i="1" s="1"/>
  <c r="BK63" i="1"/>
  <c r="BJ63" i="1"/>
  <c r="BF63" i="1"/>
  <c r="BI63" i="1" s="1"/>
  <c r="BC63" i="1"/>
  <c r="BB63" i="1"/>
  <c r="AV63" i="1"/>
  <c r="AP63" i="1"/>
  <c r="AK63" i="1"/>
  <c r="AI63" i="1" s="1"/>
  <c r="AA63" i="1"/>
  <c r="Z63" i="1"/>
  <c r="R63" i="1"/>
  <c r="P63" i="1"/>
  <c r="K63" i="1"/>
  <c r="J63" i="1" s="1"/>
  <c r="CY62" i="1"/>
  <c r="CX62" i="1"/>
  <c r="CV62" i="1"/>
  <c r="BK62" i="1"/>
  <c r="BJ62" i="1"/>
  <c r="BH62" i="1"/>
  <c r="BL62" i="1" s="1"/>
  <c r="BM62" i="1" s="1"/>
  <c r="BF62" i="1"/>
  <c r="BG62" i="1" s="1"/>
  <c r="BB62" i="1"/>
  <c r="AV62" i="1"/>
  <c r="AP62" i="1"/>
  <c r="BC62" i="1" s="1"/>
  <c r="AK62" i="1"/>
  <c r="AI62" i="1" s="1"/>
  <c r="AA62" i="1"/>
  <c r="Z62" i="1"/>
  <c r="Y62" i="1" s="1"/>
  <c r="R62" i="1"/>
  <c r="CY61" i="1"/>
  <c r="CX61" i="1"/>
  <c r="CV61" i="1"/>
  <c r="BK61" i="1"/>
  <c r="BJ61" i="1"/>
  <c r="BI61" i="1"/>
  <c r="BF61" i="1"/>
  <c r="BB61" i="1"/>
  <c r="AV61" i="1"/>
  <c r="AP61" i="1"/>
  <c r="BC61" i="1" s="1"/>
  <c r="AK61" i="1"/>
  <c r="AI61" i="1"/>
  <c r="K61" i="1" s="1"/>
  <c r="J61" i="1" s="1"/>
  <c r="AA61" i="1"/>
  <c r="Z61" i="1"/>
  <c r="Y61" i="1" s="1"/>
  <c r="R61" i="1"/>
  <c r="CY60" i="1"/>
  <c r="CX60" i="1"/>
  <c r="CW60" i="1"/>
  <c r="AX60" i="1" s="1"/>
  <c r="CV60" i="1"/>
  <c r="U60" i="1" s="1"/>
  <c r="BK60" i="1"/>
  <c r="BJ60" i="1"/>
  <c r="BF60" i="1"/>
  <c r="BI60" i="1" s="1"/>
  <c r="BB60" i="1"/>
  <c r="AV60" i="1"/>
  <c r="AP60" i="1"/>
  <c r="BC60" i="1" s="1"/>
  <c r="AK60" i="1"/>
  <c r="AI60" i="1" s="1"/>
  <c r="AJ60" i="1" s="1"/>
  <c r="AA60" i="1"/>
  <c r="Z60" i="1"/>
  <c r="R60" i="1"/>
  <c r="CY59" i="1"/>
  <c r="CX59" i="1"/>
  <c r="CV59" i="1"/>
  <c r="BK59" i="1"/>
  <c r="BJ59" i="1"/>
  <c r="BF59" i="1"/>
  <c r="BI59" i="1" s="1"/>
  <c r="BB59" i="1"/>
  <c r="AV59" i="1"/>
  <c r="AP59" i="1"/>
  <c r="BC59" i="1" s="1"/>
  <c r="AK59" i="1"/>
  <c r="AI59" i="1" s="1"/>
  <c r="P59" i="1" s="1"/>
  <c r="AA59" i="1"/>
  <c r="Z59" i="1"/>
  <c r="R59" i="1"/>
  <c r="CY58" i="1"/>
  <c r="CX58" i="1"/>
  <c r="CV58" i="1"/>
  <c r="BK58" i="1"/>
  <c r="BJ58" i="1"/>
  <c r="BB58" i="1"/>
  <c r="AV58" i="1"/>
  <c r="AP58" i="1"/>
  <c r="BC58" i="1" s="1"/>
  <c r="BF58" i="1" s="1"/>
  <c r="AK58" i="1"/>
  <c r="AI58" i="1" s="1"/>
  <c r="P58" i="1" s="1"/>
  <c r="AA58" i="1"/>
  <c r="Y58" i="1" s="1"/>
  <c r="Z58" i="1"/>
  <c r="R58" i="1"/>
  <c r="CY57" i="1"/>
  <c r="CX57" i="1"/>
  <c r="CV57" i="1"/>
  <c r="BK57" i="1"/>
  <c r="BJ57" i="1"/>
  <c r="BF57" i="1"/>
  <c r="BG57" i="1" s="1"/>
  <c r="BB57" i="1"/>
  <c r="AV57" i="1"/>
  <c r="AP57" i="1"/>
  <c r="BC57" i="1" s="1"/>
  <c r="AK57" i="1"/>
  <c r="AI57" i="1" s="1"/>
  <c r="AA57" i="1"/>
  <c r="Z57" i="1"/>
  <c r="Y57" i="1" s="1"/>
  <c r="R57" i="1"/>
  <c r="P57" i="1"/>
  <c r="L57" i="1"/>
  <c r="AY57" i="1" s="1"/>
  <c r="CY56" i="1"/>
  <c r="CX56" i="1"/>
  <c r="CW56" i="1" s="1"/>
  <c r="AX56" i="1" s="1"/>
  <c r="AZ56" i="1" s="1"/>
  <c r="CV56" i="1"/>
  <c r="BK56" i="1"/>
  <c r="BJ56" i="1"/>
  <c r="BF56" i="1"/>
  <c r="BB56" i="1"/>
  <c r="AV56" i="1"/>
  <c r="AP56" i="1"/>
  <c r="BC56" i="1" s="1"/>
  <c r="AK56" i="1"/>
  <c r="AI56" i="1"/>
  <c r="K56" i="1" s="1"/>
  <c r="J56" i="1" s="1"/>
  <c r="AA56" i="1"/>
  <c r="Z56" i="1"/>
  <c r="Y56" i="1" s="1"/>
  <c r="U56" i="1"/>
  <c r="R56" i="1"/>
  <c r="CY55" i="1"/>
  <c r="CX55" i="1"/>
  <c r="CV55" i="1"/>
  <c r="BK55" i="1"/>
  <c r="BJ55" i="1"/>
  <c r="BH55" i="1"/>
  <c r="BL55" i="1" s="1"/>
  <c r="BM55" i="1" s="1"/>
  <c r="BF55" i="1"/>
  <c r="BB55" i="1"/>
  <c r="AV55" i="1"/>
  <c r="AP55" i="1"/>
  <c r="BC55" i="1" s="1"/>
  <c r="AK55" i="1"/>
  <c r="AI55" i="1" s="1"/>
  <c r="AJ55" i="1" s="1"/>
  <c r="AA55" i="1"/>
  <c r="Z55" i="1"/>
  <c r="R55" i="1"/>
  <c r="CY54" i="1"/>
  <c r="CX54" i="1"/>
  <c r="CV54" i="1"/>
  <c r="BK54" i="1"/>
  <c r="BJ54" i="1"/>
  <c r="BF54" i="1"/>
  <c r="BB54" i="1"/>
  <c r="AV54" i="1"/>
  <c r="AP54" i="1"/>
  <c r="BC54" i="1" s="1"/>
  <c r="AK54" i="1"/>
  <c r="AI54" i="1" s="1"/>
  <c r="AA54" i="1"/>
  <c r="Z54" i="1"/>
  <c r="Y54" i="1" s="1"/>
  <c r="R54" i="1"/>
  <c r="CY53" i="1"/>
  <c r="CX53" i="1"/>
  <c r="CV53" i="1"/>
  <c r="BK53" i="1"/>
  <c r="BJ53" i="1"/>
  <c r="BF53" i="1"/>
  <c r="BB53" i="1"/>
  <c r="AV53" i="1"/>
  <c r="AP53" i="1"/>
  <c r="BC53" i="1" s="1"/>
  <c r="AK53" i="1"/>
  <c r="AI53" i="1" s="1"/>
  <c r="AJ53" i="1"/>
  <c r="AA53" i="1"/>
  <c r="Z53" i="1"/>
  <c r="Y53" i="1" s="1"/>
  <c r="R53" i="1"/>
  <c r="L53" i="1"/>
  <c r="AY53" i="1" s="1"/>
  <c r="CY52" i="1"/>
  <c r="U52" i="1" s="1"/>
  <c r="CX52" i="1"/>
  <c r="CW52" i="1" s="1"/>
  <c r="AX52" i="1" s="1"/>
  <c r="CV52" i="1"/>
  <c r="BK52" i="1"/>
  <c r="BJ52" i="1"/>
  <c r="BF52" i="1"/>
  <c r="BB52" i="1"/>
  <c r="AV52" i="1"/>
  <c r="AP52" i="1"/>
  <c r="BC52" i="1" s="1"/>
  <c r="AK52" i="1"/>
  <c r="AI52" i="1"/>
  <c r="P52" i="1" s="1"/>
  <c r="AA52" i="1"/>
  <c r="Z52" i="1"/>
  <c r="Y52" i="1" s="1"/>
  <c r="R52" i="1"/>
  <c r="CY51" i="1"/>
  <c r="CX51" i="1"/>
  <c r="CV51" i="1"/>
  <c r="CW51" i="1" s="1"/>
  <c r="AX51" i="1" s="1"/>
  <c r="BK51" i="1"/>
  <c r="BJ51" i="1"/>
  <c r="BC51" i="1"/>
  <c r="BF51" i="1" s="1"/>
  <c r="BB51" i="1"/>
  <c r="AV51" i="1"/>
  <c r="AP51" i="1"/>
  <c r="AK51" i="1"/>
  <c r="AI51" i="1" s="1"/>
  <c r="AJ51" i="1" s="1"/>
  <c r="AA51" i="1"/>
  <c r="Z51" i="1"/>
  <c r="R51" i="1"/>
  <c r="P51" i="1"/>
  <c r="CY50" i="1"/>
  <c r="U50" i="1" s="1"/>
  <c r="CX50" i="1"/>
  <c r="CV50" i="1"/>
  <c r="BK50" i="1"/>
  <c r="BJ50" i="1"/>
  <c r="BF50" i="1"/>
  <c r="BG50" i="1" s="1"/>
  <c r="BB50" i="1"/>
  <c r="AV50" i="1"/>
  <c r="AP50" i="1"/>
  <c r="BC50" i="1" s="1"/>
  <c r="AK50" i="1"/>
  <c r="AJ50" i="1"/>
  <c r="AI50" i="1"/>
  <c r="P50" i="1" s="1"/>
  <c r="AA50" i="1"/>
  <c r="Z50" i="1"/>
  <c r="Y50" i="1" s="1"/>
  <c r="R50" i="1"/>
  <c r="CY49" i="1"/>
  <c r="CX49" i="1"/>
  <c r="CV49" i="1"/>
  <c r="BK49" i="1"/>
  <c r="BJ49" i="1"/>
  <c r="BB49" i="1"/>
  <c r="AV49" i="1"/>
  <c r="AP49" i="1"/>
  <c r="BC49" i="1" s="1"/>
  <c r="BF49" i="1" s="1"/>
  <c r="BH49" i="1" s="1"/>
  <c r="BL49" i="1" s="1"/>
  <c r="BM49" i="1" s="1"/>
  <c r="AK49" i="1"/>
  <c r="AI49" i="1" s="1"/>
  <c r="AA49" i="1"/>
  <c r="Z49" i="1"/>
  <c r="R49" i="1"/>
  <c r="CY48" i="1"/>
  <c r="CX48" i="1"/>
  <c r="CV48" i="1"/>
  <c r="CW48" i="1" s="1"/>
  <c r="AX48" i="1" s="1"/>
  <c r="BK48" i="1"/>
  <c r="BJ48" i="1"/>
  <c r="BF48" i="1"/>
  <c r="BI48" i="1" s="1"/>
  <c r="BB48" i="1"/>
  <c r="AV48" i="1"/>
  <c r="AP48" i="1"/>
  <c r="BC48" i="1" s="1"/>
  <c r="AK48" i="1"/>
  <c r="AI48" i="1" s="1"/>
  <c r="AJ48" i="1" s="1"/>
  <c r="AA48" i="1"/>
  <c r="Z48" i="1"/>
  <c r="R48" i="1"/>
  <c r="M48" i="1"/>
  <c r="CY47" i="1"/>
  <c r="CX47" i="1"/>
  <c r="CV47" i="1"/>
  <c r="BK47" i="1"/>
  <c r="BJ47" i="1"/>
  <c r="BC47" i="1"/>
  <c r="BF47" i="1" s="1"/>
  <c r="BB47" i="1"/>
  <c r="AV47" i="1"/>
  <c r="AP47" i="1"/>
  <c r="AK47" i="1"/>
  <c r="AI47" i="1" s="1"/>
  <c r="M47" i="1" s="1"/>
  <c r="AA47" i="1"/>
  <c r="Z47" i="1"/>
  <c r="R47" i="1"/>
  <c r="CY46" i="1"/>
  <c r="CX46" i="1"/>
  <c r="CV46" i="1"/>
  <c r="BK46" i="1"/>
  <c r="BJ46" i="1"/>
  <c r="BH46" i="1"/>
  <c r="BL46" i="1" s="1"/>
  <c r="BM46" i="1" s="1"/>
  <c r="BF46" i="1"/>
  <c r="BG46" i="1" s="1"/>
  <c r="BB46" i="1"/>
  <c r="AV46" i="1"/>
  <c r="AP46" i="1"/>
  <c r="BC46" i="1" s="1"/>
  <c r="AK46" i="1"/>
  <c r="AI46" i="1" s="1"/>
  <c r="P46" i="1" s="1"/>
  <c r="AA46" i="1"/>
  <c r="Z46" i="1"/>
  <c r="Y46" i="1" s="1"/>
  <c r="R46" i="1"/>
  <c r="CY45" i="1"/>
  <c r="U45" i="1" s="1"/>
  <c r="CX45" i="1"/>
  <c r="CW45" i="1" s="1"/>
  <c r="AX45" i="1" s="1"/>
  <c r="CV45" i="1"/>
  <c r="BK45" i="1"/>
  <c r="BJ45" i="1"/>
  <c r="BI45" i="1"/>
  <c r="BF45" i="1"/>
  <c r="BG45" i="1" s="1"/>
  <c r="BB45" i="1"/>
  <c r="AV45" i="1"/>
  <c r="AP45" i="1"/>
  <c r="BC45" i="1" s="1"/>
  <c r="AK45" i="1"/>
  <c r="AI45" i="1" s="1"/>
  <c r="L45" i="1" s="1"/>
  <c r="AY45" i="1" s="1"/>
  <c r="AA45" i="1"/>
  <c r="Z45" i="1"/>
  <c r="R45" i="1"/>
  <c r="M45" i="1"/>
  <c r="CY44" i="1"/>
  <c r="CX44" i="1"/>
  <c r="CV44" i="1"/>
  <c r="BK44" i="1"/>
  <c r="BJ44" i="1"/>
  <c r="BF44" i="1"/>
  <c r="BB44" i="1"/>
  <c r="AV44" i="1"/>
  <c r="AP44" i="1"/>
  <c r="BC44" i="1" s="1"/>
  <c r="AK44" i="1"/>
  <c r="AI44" i="1" s="1"/>
  <c r="P44" i="1" s="1"/>
  <c r="AA44" i="1"/>
  <c r="Z44" i="1"/>
  <c r="Y44" i="1" s="1"/>
  <c r="R44" i="1"/>
  <c r="L44" i="1"/>
  <c r="AY44" i="1" s="1"/>
  <c r="CY43" i="1"/>
  <c r="CX43" i="1"/>
  <c r="CV43" i="1"/>
  <c r="BK43" i="1"/>
  <c r="BJ43" i="1"/>
  <c r="BB43" i="1"/>
  <c r="AV43" i="1"/>
  <c r="AP43" i="1"/>
  <c r="BC43" i="1" s="1"/>
  <c r="BF43" i="1" s="1"/>
  <c r="AK43" i="1"/>
  <c r="AI43" i="1" s="1"/>
  <c r="AJ43" i="1" s="1"/>
  <c r="AA43" i="1"/>
  <c r="Z43" i="1"/>
  <c r="R43" i="1"/>
  <c r="K43" i="1"/>
  <c r="J43" i="1" s="1"/>
  <c r="CY42" i="1"/>
  <c r="CX42" i="1"/>
  <c r="CV42" i="1"/>
  <c r="BK42" i="1"/>
  <c r="BJ42" i="1"/>
  <c r="BF42" i="1"/>
  <c r="BB42" i="1"/>
  <c r="AV42" i="1"/>
  <c r="AP42" i="1"/>
  <c r="BC42" i="1" s="1"/>
  <c r="AK42" i="1"/>
  <c r="AI42" i="1" s="1"/>
  <c r="K42" i="1" s="1"/>
  <c r="J42" i="1" s="1"/>
  <c r="AA42" i="1"/>
  <c r="Y42" i="1" s="1"/>
  <c r="Z42" i="1"/>
  <c r="R42" i="1"/>
  <c r="CY41" i="1"/>
  <c r="U41" i="1" s="1"/>
  <c r="CX41" i="1"/>
  <c r="CV41" i="1"/>
  <c r="CW41" i="1" s="1"/>
  <c r="AX41" i="1" s="1"/>
  <c r="BK41" i="1"/>
  <c r="BJ41" i="1"/>
  <c r="BB41" i="1"/>
  <c r="AV41" i="1"/>
  <c r="AZ41" i="1" s="1"/>
  <c r="AP41" i="1"/>
  <c r="BC41" i="1" s="1"/>
  <c r="BF41" i="1" s="1"/>
  <c r="BH41" i="1" s="1"/>
  <c r="BL41" i="1" s="1"/>
  <c r="BM41" i="1" s="1"/>
  <c r="AK41" i="1"/>
  <c r="AI41" i="1" s="1"/>
  <c r="AA41" i="1"/>
  <c r="Z41" i="1"/>
  <c r="R41" i="1"/>
  <c r="CY40" i="1"/>
  <c r="CX40" i="1"/>
  <c r="CV40" i="1"/>
  <c r="U40" i="1" s="1"/>
  <c r="BK40" i="1"/>
  <c r="BJ40" i="1"/>
  <c r="BG40" i="1"/>
  <c r="BF40" i="1"/>
  <c r="BH40" i="1" s="1"/>
  <c r="BL40" i="1" s="1"/>
  <c r="BM40" i="1" s="1"/>
  <c r="BC40" i="1"/>
  <c r="BB40" i="1"/>
  <c r="AV40" i="1"/>
  <c r="AP40" i="1"/>
  <c r="AK40" i="1"/>
  <c r="AI40" i="1" s="1"/>
  <c r="K40" i="1" s="1"/>
  <c r="J40" i="1" s="1"/>
  <c r="AA40" i="1"/>
  <c r="Z40" i="1"/>
  <c r="Y40" i="1" s="1"/>
  <c r="R40" i="1"/>
  <c r="CY39" i="1"/>
  <c r="CX39" i="1"/>
  <c r="CW39" i="1" s="1"/>
  <c r="AX39" i="1" s="1"/>
  <c r="AZ39" i="1" s="1"/>
  <c r="CV39" i="1"/>
  <c r="U39" i="1" s="1"/>
  <c r="BK39" i="1"/>
  <c r="BJ39" i="1"/>
  <c r="BG39" i="1"/>
  <c r="BF39" i="1"/>
  <c r="BI39" i="1" s="1"/>
  <c r="BC39" i="1"/>
  <c r="BB39" i="1"/>
  <c r="AV39" i="1"/>
  <c r="AP39" i="1"/>
  <c r="AK39" i="1"/>
  <c r="AI39" i="1" s="1"/>
  <c r="AA39" i="1"/>
  <c r="Z39" i="1"/>
  <c r="R39" i="1"/>
  <c r="CY38" i="1"/>
  <c r="CX38" i="1"/>
  <c r="CV38" i="1"/>
  <c r="BK38" i="1"/>
  <c r="BJ38" i="1"/>
  <c r="BF38" i="1"/>
  <c r="BG38" i="1" s="1"/>
  <c r="BB38" i="1"/>
  <c r="AV38" i="1"/>
  <c r="AP38" i="1"/>
  <c r="BC38" i="1" s="1"/>
  <c r="AK38" i="1"/>
  <c r="AI38" i="1"/>
  <c r="AA38" i="1"/>
  <c r="Z38" i="1"/>
  <c r="Y38" i="1" s="1"/>
  <c r="R38" i="1"/>
  <c r="CY37" i="1"/>
  <c r="CX37" i="1"/>
  <c r="CV37" i="1"/>
  <c r="CW37" i="1" s="1"/>
  <c r="AX37" i="1" s="1"/>
  <c r="BK37" i="1"/>
  <c r="BJ37" i="1"/>
  <c r="BF37" i="1"/>
  <c r="BH37" i="1" s="1"/>
  <c r="BL37" i="1" s="1"/>
  <c r="BM37" i="1" s="1"/>
  <c r="BB37" i="1"/>
  <c r="AV37" i="1"/>
  <c r="AP37" i="1"/>
  <c r="BC37" i="1" s="1"/>
  <c r="AK37" i="1"/>
  <c r="AI37" i="1"/>
  <c r="K37" i="1" s="1"/>
  <c r="J37" i="1" s="1"/>
  <c r="AC37" i="1" s="1"/>
  <c r="AA37" i="1"/>
  <c r="Z37" i="1"/>
  <c r="Y37" i="1" s="1"/>
  <c r="R37" i="1"/>
  <c r="CY36" i="1"/>
  <c r="CX36" i="1"/>
  <c r="CW36" i="1"/>
  <c r="AX36" i="1" s="1"/>
  <c r="CV36" i="1"/>
  <c r="U36" i="1" s="1"/>
  <c r="BK36" i="1"/>
  <c r="BJ36" i="1"/>
  <c r="BF36" i="1"/>
  <c r="BH36" i="1" s="1"/>
  <c r="BL36" i="1" s="1"/>
  <c r="BM36" i="1" s="1"/>
  <c r="BB36" i="1"/>
  <c r="AV36" i="1"/>
  <c r="AP36" i="1"/>
  <c r="BC36" i="1" s="1"/>
  <c r="AK36" i="1"/>
  <c r="AI36" i="1" s="1"/>
  <c r="M36" i="1" s="1"/>
  <c r="AJ36" i="1"/>
  <c r="AA36" i="1"/>
  <c r="Z36" i="1"/>
  <c r="Y36" i="1" s="1"/>
  <c r="R36" i="1"/>
  <c r="K36" i="1"/>
  <c r="J36" i="1" s="1"/>
  <c r="CY35" i="1"/>
  <c r="U35" i="1" s="1"/>
  <c r="CX35" i="1"/>
  <c r="CW35" i="1" s="1"/>
  <c r="AX35" i="1" s="1"/>
  <c r="CV35" i="1"/>
  <c r="BK35" i="1"/>
  <c r="BJ35" i="1"/>
  <c r="BC35" i="1"/>
  <c r="BF35" i="1" s="1"/>
  <c r="BB35" i="1"/>
  <c r="AZ35" i="1"/>
  <c r="AV35" i="1"/>
  <c r="AP35" i="1"/>
  <c r="AK35" i="1"/>
  <c r="AI35" i="1" s="1"/>
  <c r="AA35" i="1"/>
  <c r="Z35" i="1"/>
  <c r="Y35" i="1"/>
  <c r="R35" i="1"/>
  <c r="CY34" i="1"/>
  <c r="CX34" i="1"/>
  <c r="CV34" i="1"/>
  <c r="BK34" i="1"/>
  <c r="BJ34" i="1"/>
  <c r="BI34" i="1"/>
  <c r="BF34" i="1"/>
  <c r="BG34" i="1" s="1"/>
  <c r="BB34" i="1"/>
  <c r="AV34" i="1"/>
  <c r="AP34" i="1"/>
  <c r="BC34" i="1" s="1"/>
  <c r="AK34" i="1"/>
  <c r="AI34" i="1" s="1"/>
  <c r="AA34" i="1"/>
  <c r="Y34" i="1" s="1"/>
  <c r="Z34" i="1"/>
  <c r="R34" i="1"/>
  <c r="CY33" i="1"/>
  <c r="U33" i="1" s="1"/>
  <c r="CX33" i="1"/>
  <c r="CW33" i="1"/>
  <c r="AX33" i="1" s="1"/>
  <c r="CV33" i="1"/>
  <c r="BK33" i="1"/>
  <c r="BJ33" i="1"/>
  <c r="BI33" i="1"/>
  <c r="BF33" i="1"/>
  <c r="BH33" i="1" s="1"/>
  <c r="BL33" i="1" s="1"/>
  <c r="BM33" i="1" s="1"/>
  <c r="BB33" i="1"/>
  <c r="AV33" i="1"/>
  <c r="AP33" i="1"/>
  <c r="BC33" i="1" s="1"/>
  <c r="AK33" i="1"/>
  <c r="AI33" i="1" s="1"/>
  <c r="AA33" i="1"/>
  <c r="Z33" i="1"/>
  <c r="R33" i="1"/>
  <c r="CY32" i="1"/>
  <c r="U32" i="1" s="1"/>
  <c r="CX32" i="1"/>
  <c r="CW32" i="1" s="1"/>
  <c r="AX32" i="1" s="1"/>
  <c r="AZ32" i="1" s="1"/>
  <c r="CV32" i="1"/>
  <c r="BL32" i="1"/>
  <c r="BM32" i="1" s="1"/>
  <c r="BK32" i="1"/>
  <c r="BJ32" i="1"/>
  <c r="BG32" i="1"/>
  <c r="BF32" i="1"/>
  <c r="BH32" i="1" s="1"/>
  <c r="BB32" i="1"/>
  <c r="AV32" i="1"/>
  <c r="AP32" i="1"/>
  <c r="BC32" i="1" s="1"/>
  <c r="AK32" i="1"/>
  <c r="AI32" i="1" s="1"/>
  <c r="L32" i="1" s="1"/>
  <c r="AY32" i="1" s="1"/>
  <c r="AJ32" i="1"/>
  <c r="AA32" i="1"/>
  <c r="Z32" i="1"/>
  <c r="R32" i="1"/>
  <c r="CY31" i="1"/>
  <c r="CX31" i="1"/>
  <c r="CV31" i="1"/>
  <c r="U31" i="1" s="1"/>
  <c r="BK31" i="1"/>
  <c r="BJ31" i="1"/>
  <c r="BF31" i="1"/>
  <c r="BI31" i="1" s="1"/>
  <c r="BC31" i="1"/>
  <c r="BB31" i="1"/>
  <c r="AV31" i="1"/>
  <c r="AP31" i="1"/>
  <c r="AK31" i="1"/>
  <c r="AI31" i="1" s="1"/>
  <c r="AA31" i="1"/>
  <c r="Z31" i="1"/>
  <c r="R31" i="1"/>
  <c r="CY30" i="1"/>
  <c r="CX30" i="1"/>
  <c r="CV30" i="1"/>
  <c r="BK30" i="1"/>
  <c r="BJ30" i="1"/>
  <c r="BB30" i="1"/>
  <c r="AV30" i="1"/>
  <c r="AP30" i="1"/>
  <c r="BC30" i="1" s="1"/>
  <c r="BF30" i="1" s="1"/>
  <c r="AK30" i="1"/>
  <c r="AI30" i="1" s="1"/>
  <c r="L30" i="1" s="1"/>
  <c r="AY30" i="1" s="1"/>
  <c r="AA30" i="1"/>
  <c r="Z30" i="1"/>
  <c r="Y30" i="1" s="1"/>
  <c r="R30" i="1"/>
  <c r="CY29" i="1"/>
  <c r="U29" i="1" s="1"/>
  <c r="CX29" i="1"/>
  <c r="CW29" i="1" s="1"/>
  <c r="AX29" i="1" s="1"/>
  <c r="CV29" i="1"/>
  <c r="BK29" i="1"/>
  <c r="BJ29" i="1"/>
  <c r="BI29" i="1"/>
  <c r="BF29" i="1"/>
  <c r="BH29" i="1" s="1"/>
  <c r="BL29" i="1" s="1"/>
  <c r="BM29" i="1" s="1"/>
  <c r="BB29" i="1"/>
  <c r="AV29" i="1"/>
  <c r="AP29" i="1"/>
  <c r="BC29" i="1" s="1"/>
  <c r="AK29" i="1"/>
  <c r="AI29" i="1" s="1"/>
  <c r="AA29" i="1"/>
  <c r="Z29" i="1"/>
  <c r="R29" i="1"/>
  <c r="CY28" i="1"/>
  <c r="CX28" i="1"/>
  <c r="CV28" i="1"/>
  <c r="U28" i="1" s="1"/>
  <c r="BK28" i="1"/>
  <c r="BJ28" i="1"/>
  <c r="BB28" i="1"/>
  <c r="AV28" i="1"/>
  <c r="AP28" i="1"/>
  <c r="BC28" i="1" s="1"/>
  <c r="BF28" i="1" s="1"/>
  <c r="BG28" i="1" s="1"/>
  <c r="AK28" i="1"/>
  <c r="AI28" i="1" s="1"/>
  <c r="L28" i="1" s="1"/>
  <c r="AY28" i="1" s="1"/>
  <c r="AA28" i="1"/>
  <c r="Z28" i="1"/>
  <c r="R28" i="1"/>
  <c r="M28" i="1"/>
  <c r="CY27" i="1"/>
  <c r="CX27" i="1"/>
  <c r="CW27" i="1" s="1"/>
  <c r="AX27" i="1" s="1"/>
  <c r="AZ27" i="1" s="1"/>
  <c r="CV27" i="1"/>
  <c r="BK27" i="1"/>
  <c r="BJ27" i="1"/>
  <c r="BH27" i="1"/>
  <c r="BL27" i="1" s="1"/>
  <c r="BM27" i="1" s="1"/>
  <c r="BF27" i="1"/>
  <c r="BI27" i="1" s="1"/>
  <c r="BB27" i="1"/>
  <c r="AV27" i="1"/>
  <c r="AP27" i="1"/>
  <c r="BC27" i="1" s="1"/>
  <c r="AK27" i="1"/>
  <c r="AI27" i="1"/>
  <c r="AA27" i="1"/>
  <c r="Z27" i="1"/>
  <c r="U27" i="1"/>
  <c r="R27" i="1"/>
  <c r="CY26" i="1"/>
  <c r="CX26" i="1"/>
  <c r="CV26" i="1"/>
  <c r="BK26" i="1"/>
  <c r="BJ26" i="1"/>
  <c r="BB26" i="1"/>
  <c r="AV26" i="1"/>
  <c r="AP26" i="1"/>
  <c r="BC26" i="1" s="1"/>
  <c r="BF26" i="1" s="1"/>
  <c r="AK26" i="1"/>
  <c r="AI26" i="1"/>
  <c r="AA26" i="1"/>
  <c r="Z26" i="1"/>
  <c r="Y26" i="1" s="1"/>
  <c r="R26" i="1"/>
  <c r="CY25" i="1"/>
  <c r="CX25" i="1"/>
  <c r="CV25" i="1"/>
  <c r="BL25" i="1"/>
  <c r="BM25" i="1" s="1"/>
  <c r="BK25" i="1"/>
  <c r="BJ25" i="1"/>
  <c r="BG25" i="1"/>
  <c r="BF25" i="1"/>
  <c r="BH25" i="1" s="1"/>
  <c r="BB25" i="1"/>
  <c r="AV25" i="1"/>
  <c r="AP25" i="1"/>
  <c r="BC25" i="1" s="1"/>
  <c r="AK25" i="1"/>
  <c r="AI25" i="1" s="1"/>
  <c r="AA25" i="1"/>
  <c r="Z25" i="1"/>
  <c r="R25" i="1"/>
  <c r="CY24" i="1"/>
  <c r="CX24" i="1"/>
  <c r="CV24" i="1"/>
  <c r="U24" i="1" s="1"/>
  <c r="BK24" i="1"/>
  <c r="BJ24" i="1"/>
  <c r="BB24" i="1"/>
  <c r="AV24" i="1"/>
  <c r="AP24" i="1"/>
  <c r="BC24" i="1" s="1"/>
  <c r="BF24" i="1" s="1"/>
  <c r="AK24" i="1"/>
  <c r="AI24" i="1" s="1"/>
  <c r="P24" i="1" s="1"/>
  <c r="AA24" i="1"/>
  <c r="Z24" i="1"/>
  <c r="R24" i="1"/>
  <c r="L24" i="1"/>
  <c r="AY24" i="1" s="1"/>
  <c r="CY23" i="1"/>
  <c r="U23" i="1" s="1"/>
  <c r="CX23" i="1"/>
  <c r="CW23" i="1" s="1"/>
  <c r="AX23" i="1" s="1"/>
  <c r="CV23" i="1"/>
  <c r="BK23" i="1"/>
  <c r="BJ23" i="1"/>
  <c r="BG23" i="1"/>
  <c r="BF23" i="1"/>
  <c r="BI23" i="1" s="1"/>
  <c r="BC23" i="1"/>
  <c r="BB23" i="1"/>
  <c r="AV23" i="1"/>
  <c r="AP23" i="1"/>
  <c r="AK23" i="1"/>
  <c r="AI23" i="1" s="1"/>
  <c r="AA23" i="1"/>
  <c r="Z23" i="1"/>
  <c r="Y23" i="1" s="1"/>
  <c r="R23" i="1"/>
  <c r="CY22" i="1"/>
  <c r="U22" i="1" s="1"/>
  <c r="CX22" i="1"/>
  <c r="CV22" i="1"/>
  <c r="BK22" i="1"/>
  <c r="BJ22" i="1"/>
  <c r="BF22" i="1"/>
  <c r="BG22" i="1" s="1"/>
  <c r="BC22" i="1"/>
  <c r="BB22" i="1"/>
  <c r="AV22" i="1"/>
  <c r="AP22" i="1"/>
  <c r="AK22" i="1"/>
  <c r="AI22" i="1" s="1"/>
  <c r="AA22" i="1"/>
  <c r="Z22" i="1"/>
  <c r="R22" i="1"/>
  <c r="CY21" i="1"/>
  <c r="U21" i="1" s="1"/>
  <c r="CX21" i="1"/>
  <c r="CW21" i="1"/>
  <c r="AX21" i="1" s="1"/>
  <c r="CV21" i="1"/>
  <c r="BK21" i="1"/>
  <c r="BJ21" i="1"/>
  <c r="BF21" i="1"/>
  <c r="BH21" i="1" s="1"/>
  <c r="BL21" i="1" s="1"/>
  <c r="BM21" i="1" s="1"/>
  <c r="BB21" i="1"/>
  <c r="AV21" i="1"/>
  <c r="AZ21" i="1" s="1"/>
  <c r="AP21" i="1"/>
  <c r="BC21" i="1" s="1"/>
  <c r="AK21" i="1"/>
  <c r="AI21" i="1" s="1"/>
  <c r="M21" i="1" s="1"/>
  <c r="AA21" i="1"/>
  <c r="Z21" i="1"/>
  <c r="Y21" i="1"/>
  <c r="R21" i="1"/>
  <c r="CY20" i="1"/>
  <c r="U20" i="1" s="1"/>
  <c r="CX20" i="1"/>
  <c r="CW20" i="1" s="1"/>
  <c r="AX20" i="1" s="1"/>
  <c r="CV20" i="1"/>
  <c r="BK20" i="1"/>
  <c r="BJ20" i="1"/>
  <c r="BI20" i="1"/>
  <c r="BF20" i="1"/>
  <c r="BH20" i="1" s="1"/>
  <c r="BL20" i="1" s="1"/>
  <c r="BM20" i="1" s="1"/>
  <c r="BB20" i="1"/>
  <c r="AV20" i="1"/>
  <c r="AP20" i="1"/>
  <c r="BC20" i="1" s="1"/>
  <c r="AK20" i="1"/>
  <c r="AI20" i="1" s="1"/>
  <c r="AA20" i="1"/>
  <c r="Z20" i="1"/>
  <c r="R20" i="1"/>
  <c r="CY19" i="1"/>
  <c r="CX19" i="1"/>
  <c r="CV19" i="1"/>
  <c r="U19" i="1" s="1"/>
  <c r="BK19" i="1"/>
  <c r="BJ19" i="1"/>
  <c r="BH19" i="1"/>
  <c r="BL19" i="1" s="1"/>
  <c r="BM19" i="1" s="1"/>
  <c r="BF19" i="1"/>
  <c r="BG19" i="1" s="1"/>
  <c r="BB19" i="1"/>
  <c r="AV19" i="1"/>
  <c r="AP19" i="1"/>
  <c r="BC19" i="1" s="1"/>
  <c r="AK19" i="1"/>
  <c r="AI19" i="1" s="1"/>
  <c r="AA19" i="1"/>
  <c r="Y19" i="1" s="1"/>
  <c r="Z19" i="1"/>
  <c r="R19" i="1"/>
  <c r="CY18" i="1"/>
  <c r="CX18" i="1"/>
  <c r="CV18" i="1"/>
  <c r="CW18" i="1" s="1"/>
  <c r="AX18" i="1" s="1"/>
  <c r="BK18" i="1"/>
  <c r="BJ18" i="1"/>
  <c r="BB18" i="1"/>
  <c r="AV18" i="1"/>
  <c r="AP18" i="1"/>
  <c r="BC18" i="1" s="1"/>
  <c r="BF18" i="1" s="1"/>
  <c r="AK18" i="1"/>
  <c r="AI18" i="1" s="1"/>
  <c r="AA18" i="1"/>
  <c r="Y18" i="1" s="1"/>
  <c r="Z18" i="1"/>
  <c r="R18" i="1"/>
  <c r="CY17" i="1"/>
  <c r="CX17" i="1"/>
  <c r="CV17" i="1"/>
  <c r="CW17" i="1" s="1"/>
  <c r="AX17" i="1" s="1"/>
  <c r="BK17" i="1"/>
  <c r="BJ17" i="1"/>
  <c r="BG17" i="1"/>
  <c r="BF17" i="1"/>
  <c r="BH17" i="1" s="1"/>
  <c r="BL17" i="1" s="1"/>
  <c r="BM17" i="1" s="1"/>
  <c r="BB17" i="1"/>
  <c r="AV17" i="1"/>
  <c r="AP17" i="1"/>
  <c r="BC17" i="1" s="1"/>
  <c r="AK17" i="1"/>
  <c r="AI17" i="1"/>
  <c r="M17" i="1" s="1"/>
  <c r="AA17" i="1"/>
  <c r="Z17" i="1"/>
  <c r="Y17" i="1" s="1"/>
  <c r="R17" i="1"/>
  <c r="K25" i="1" l="1"/>
  <c r="J25" i="1" s="1"/>
  <c r="L25" i="1"/>
  <c r="AY25" i="1" s="1"/>
  <c r="M25" i="1"/>
  <c r="AJ25" i="1"/>
  <c r="BG26" i="1"/>
  <c r="BH26" i="1"/>
  <c r="BL26" i="1" s="1"/>
  <c r="BM26" i="1" s="1"/>
  <c r="K29" i="1"/>
  <c r="J29" i="1" s="1"/>
  <c r="AC29" i="1" s="1"/>
  <c r="M29" i="1"/>
  <c r="L29" i="1"/>
  <c r="AY29" i="1" s="1"/>
  <c r="BA29" i="1" s="1"/>
  <c r="AJ29" i="1"/>
  <c r="K33" i="1"/>
  <c r="J33" i="1" s="1"/>
  <c r="L33" i="1"/>
  <c r="AY33" i="1" s="1"/>
  <c r="BA33" i="1" s="1"/>
  <c r="M33" i="1"/>
  <c r="AJ33" i="1"/>
  <c r="K85" i="1"/>
  <c r="J85" i="1" s="1"/>
  <c r="AC85" i="1" s="1"/>
  <c r="P85" i="1"/>
  <c r="M85" i="1"/>
  <c r="L85" i="1"/>
  <c r="AY85" i="1" s="1"/>
  <c r="K65" i="1"/>
  <c r="J65" i="1" s="1"/>
  <c r="AC65" i="1" s="1"/>
  <c r="L65" i="1"/>
  <c r="AY65" i="1" s="1"/>
  <c r="P65" i="1"/>
  <c r="L23" i="1"/>
  <c r="AY23" i="1" s="1"/>
  <c r="BA23" i="1" s="1"/>
  <c r="M23" i="1"/>
  <c r="P23" i="1"/>
  <c r="AJ23" i="1"/>
  <c r="K23" i="1"/>
  <c r="J23" i="1" s="1"/>
  <c r="K41" i="1"/>
  <c r="J41" i="1" s="1"/>
  <c r="AC41" i="1" s="1"/>
  <c r="L41" i="1"/>
  <c r="AY41" i="1" s="1"/>
  <c r="AJ41" i="1"/>
  <c r="M41" i="1"/>
  <c r="AJ81" i="1"/>
  <c r="L81" i="1"/>
  <c r="AY81" i="1" s="1"/>
  <c r="K81" i="1"/>
  <c r="J81" i="1" s="1"/>
  <c r="P81" i="1"/>
  <c r="M81" i="1"/>
  <c r="BI17" i="1"/>
  <c r="BI19" i="1"/>
  <c r="Y20" i="1"/>
  <c r="BG20" i="1"/>
  <c r="BH23" i="1"/>
  <c r="BL23" i="1" s="1"/>
  <c r="BM23" i="1" s="1"/>
  <c r="K24" i="1"/>
  <c r="J24" i="1" s="1"/>
  <c r="AC24" i="1" s="1"/>
  <c r="Y27" i="1"/>
  <c r="BG27" i="1"/>
  <c r="CW28" i="1"/>
  <c r="AX28" i="1" s="1"/>
  <c r="AZ28" i="1" s="1"/>
  <c r="Y29" i="1"/>
  <c r="CW31" i="1"/>
  <c r="AX31" i="1" s="1"/>
  <c r="AZ31" i="1" s="1"/>
  <c r="BA32" i="1"/>
  <c r="BI32" i="1"/>
  <c r="BH34" i="1"/>
  <c r="BL34" i="1" s="1"/>
  <c r="BM34" i="1" s="1"/>
  <c r="AZ36" i="1"/>
  <c r="BI40" i="1"/>
  <c r="P45" i="1"/>
  <c r="L48" i="1"/>
  <c r="AY48" i="1" s="1"/>
  <c r="K52" i="1"/>
  <c r="J52" i="1" s="1"/>
  <c r="AC52" i="1" s="1"/>
  <c r="CW59" i="1"/>
  <c r="AX59" i="1" s="1"/>
  <c r="AZ59" i="1" s="1"/>
  <c r="Y68" i="1"/>
  <c r="BG68" i="1"/>
  <c r="AZ72" i="1"/>
  <c r="AZ78" i="1"/>
  <c r="BG21" i="1"/>
  <c r="M24" i="1"/>
  <c r="CW25" i="1"/>
  <c r="AX25" i="1" s="1"/>
  <c r="Y31" i="1"/>
  <c r="BG31" i="1"/>
  <c r="M32" i="1"/>
  <c r="AJ37" i="1"/>
  <c r="BH38" i="1"/>
  <c r="BL38" i="1" s="1"/>
  <c r="BM38" i="1" s="1"/>
  <c r="Y41" i="1"/>
  <c r="L43" i="1"/>
  <c r="AY43" i="1" s="1"/>
  <c r="U44" i="1"/>
  <c r="Y45" i="1"/>
  <c r="BI46" i="1"/>
  <c r="BG48" i="1"/>
  <c r="BH50" i="1"/>
  <c r="BL50" i="1" s="1"/>
  <c r="BM50" i="1" s="1"/>
  <c r="M52" i="1"/>
  <c r="AJ52" i="1"/>
  <c r="L56" i="1"/>
  <c r="AY56" i="1" s="1"/>
  <c r="AJ56" i="1"/>
  <c r="AZ60" i="1"/>
  <c r="AJ61" i="1"/>
  <c r="Y64" i="1"/>
  <c r="BG69" i="1"/>
  <c r="K71" i="1"/>
  <c r="J71" i="1" s="1"/>
  <c r="AC71" i="1" s="1"/>
  <c r="U72" i="1"/>
  <c r="CW76" i="1"/>
  <c r="AX76" i="1" s="1"/>
  <c r="U78" i="1"/>
  <c r="U84" i="1"/>
  <c r="BI86" i="1"/>
  <c r="L52" i="1"/>
  <c r="AY52" i="1" s="1"/>
  <c r="BI21" i="1"/>
  <c r="BH31" i="1"/>
  <c r="BL31" i="1" s="1"/>
  <c r="BM31" i="1" s="1"/>
  <c r="BI38" i="1"/>
  <c r="CW44" i="1"/>
  <c r="AX44" i="1" s="1"/>
  <c r="AZ44" i="1" s="1"/>
  <c r="Y48" i="1"/>
  <c r="BH48" i="1"/>
  <c r="BL48" i="1" s="1"/>
  <c r="BM48" i="1" s="1"/>
  <c r="Y49" i="1"/>
  <c r="BI50" i="1"/>
  <c r="Y51" i="1"/>
  <c r="M56" i="1"/>
  <c r="M60" i="1"/>
  <c r="Y69" i="1"/>
  <c r="BG78" i="1"/>
  <c r="AZ17" i="1"/>
  <c r="CW19" i="1"/>
  <c r="AX19" i="1" s="1"/>
  <c r="AZ20" i="1"/>
  <c r="Y22" i="1"/>
  <c r="U25" i="1"/>
  <c r="V25" i="1" s="1"/>
  <c r="W25" i="1" s="1"/>
  <c r="S25" i="1" s="1"/>
  <c r="Q25" i="1" s="1"/>
  <c r="T25" i="1" s="1"/>
  <c r="N25" i="1" s="1"/>
  <c r="O25" i="1" s="1"/>
  <c r="Y28" i="1"/>
  <c r="BG36" i="1"/>
  <c r="L37" i="1"/>
  <c r="AY37" i="1" s="1"/>
  <c r="BA37" i="1" s="1"/>
  <c r="Y39" i="1"/>
  <c r="BH39" i="1"/>
  <c r="BL39" i="1" s="1"/>
  <c r="BM39" i="1" s="1"/>
  <c r="CW40" i="1"/>
  <c r="AX40" i="1" s="1"/>
  <c r="AJ47" i="1"/>
  <c r="AZ51" i="1"/>
  <c r="P56" i="1"/>
  <c r="L59" i="1"/>
  <c r="AY59" i="1" s="1"/>
  <c r="BA59" i="1" s="1"/>
  <c r="L61" i="1"/>
  <c r="AY61" i="1" s="1"/>
  <c r="BA61" i="1" s="1"/>
  <c r="AZ63" i="1"/>
  <c r="BG72" i="1"/>
  <c r="Y76" i="1"/>
  <c r="BG76" i="1"/>
  <c r="BH78" i="1"/>
  <c r="BL78" i="1" s="1"/>
  <c r="BM78" i="1" s="1"/>
  <c r="Y80" i="1"/>
  <c r="BG80" i="1"/>
  <c r="Y81" i="1"/>
  <c r="CW85" i="1"/>
  <c r="AX85" i="1" s="1"/>
  <c r="AZ23" i="1"/>
  <c r="Y24" i="1"/>
  <c r="Y25" i="1"/>
  <c r="Y32" i="1"/>
  <c r="Y33" i="1"/>
  <c r="BI36" i="1"/>
  <c r="M37" i="1"/>
  <c r="AZ52" i="1"/>
  <c r="BG60" i="1"/>
  <c r="P61" i="1"/>
  <c r="BH72" i="1"/>
  <c r="BL72" i="1" s="1"/>
  <c r="BM72" i="1" s="1"/>
  <c r="BH80" i="1"/>
  <c r="BL80" i="1" s="1"/>
  <c r="BM80" i="1" s="1"/>
  <c r="CW83" i="1"/>
  <c r="AX83" i="1" s="1"/>
  <c r="AZ83" i="1" s="1"/>
  <c r="CW86" i="1"/>
  <c r="AX86" i="1" s="1"/>
  <c r="AZ86" i="1" s="1"/>
  <c r="U17" i="1"/>
  <c r="V17" i="1" s="1"/>
  <c r="W17" i="1" s="1"/>
  <c r="CW24" i="1"/>
  <c r="AX24" i="1" s="1"/>
  <c r="AJ28" i="1"/>
  <c r="AZ29" i="1"/>
  <c r="U37" i="1"/>
  <c r="V37" i="1" s="1"/>
  <c r="W37" i="1" s="1"/>
  <c r="CW38" i="1"/>
  <c r="AX38" i="1" s="1"/>
  <c r="AZ38" i="1" s="1"/>
  <c r="CW46" i="1"/>
  <c r="AX46" i="1" s="1"/>
  <c r="AZ46" i="1" s="1"/>
  <c r="Y60" i="1"/>
  <c r="CW71" i="1"/>
  <c r="AX71" i="1" s="1"/>
  <c r="AZ71" i="1" s="1"/>
  <c r="BH74" i="1"/>
  <c r="BL74" i="1" s="1"/>
  <c r="BM74" i="1" s="1"/>
  <c r="CW77" i="1"/>
  <c r="AX77" i="1" s="1"/>
  <c r="AZ77" i="1" s="1"/>
  <c r="CW81" i="1"/>
  <c r="AX81" i="1" s="1"/>
  <c r="AZ24" i="1"/>
  <c r="AZ79" i="1"/>
  <c r="AZ84" i="1"/>
  <c r="AZ85" i="1"/>
  <c r="AZ18" i="1"/>
  <c r="M35" i="1"/>
  <c r="L35" i="1"/>
  <c r="AY35" i="1" s="1"/>
  <c r="BA35" i="1" s="1"/>
  <c r="AJ35" i="1"/>
  <c r="P35" i="1"/>
  <c r="K35" i="1"/>
  <c r="J35" i="1" s="1"/>
  <c r="P22" i="1"/>
  <c r="K22" i="1"/>
  <c r="J22" i="1" s="1"/>
  <c r="M22" i="1"/>
  <c r="L22" i="1"/>
  <c r="AY22" i="1" s="1"/>
  <c r="AJ22" i="1"/>
  <c r="M39" i="1"/>
  <c r="L39" i="1"/>
  <c r="AY39" i="1" s="1"/>
  <c r="BA39" i="1" s="1"/>
  <c r="AJ39" i="1"/>
  <c r="P39" i="1"/>
  <c r="K39" i="1"/>
  <c r="J39" i="1" s="1"/>
  <c r="BI18" i="1"/>
  <c r="BH18" i="1"/>
  <c r="BL18" i="1" s="1"/>
  <c r="BM18" i="1" s="1"/>
  <c r="BG18" i="1"/>
  <c r="V22" i="1"/>
  <c r="W22" i="1" s="1"/>
  <c r="AC25" i="1"/>
  <c r="BG30" i="1"/>
  <c r="BI30" i="1"/>
  <c r="BH30" i="1"/>
  <c r="BL30" i="1" s="1"/>
  <c r="BM30" i="1" s="1"/>
  <c r="AC36" i="1"/>
  <c r="K19" i="1"/>
  <c r="J19" i="1" s="1"/>
  <c r="V19" i="1" s="1"/>
  <c r="W19" i="1" s="1"/>
  <c r="AJ19" i="1"/>
  <c r="M19" i="1"/>
  <c r="P19" i="1"/>
  <c r="L19" i="1"/>
  <c r="AY19" i="1" s="1"/>
  <c r="BA19" i="1" s="1"/>
  <c r="V23" i="1"/>
  <c r="W23" i="1" s="1"/>
  <c r="AD23" i="1" s="1"/>
  <c r="AC23" i="1"/>
  <c r="BH24" i="1"/>
  <c r="BL24" i="1" s="1"/>
  <c r="BM24" i="1" s="1"/>
  <c r="BI24" i="1"/>
  <c r="BG24" i="1"/>
  <c r="V41" i="1"/>
  <c r="W41" i="1" s="1"/>
  <c r="AD41" i="1" s="1"/>
  <c r="P18" i="1"/>
  <c r="K18" i="1"/>
  <c r="J18" i="1" s="1"/>
  <c r="M18" i="1"/>
  <c r="L18" i="1"/>
  <c r="AY18" i="1" s="1"/>
  <c r="BA18" i="1" s="1"/>
  <c r="AJ18" i="1"/>
  <c r="AZ19" i="1"/>
  <c r="M20" i="1"/>
  <c r="L20" i="1"/>
  <c r="AY20" i="1" s="1"/>
  <c r="BA20" i="1" s="1"/>
  <c r="K20" i="1"/>
  <c r="J20" i="1" s="1"/>
  <c r="V20" i="1" s="1"/>
  <c r="W20" i="1" s="1"/>
  <c r="AJ20" i="1"/>
  <c r="P20" i="1"/>
  <c r="M31" i="1"/>
  <c r="L31" i="1"/>
  <c r="AY31" i="1" s="1"/>
  <c r="BA31" i="1" s="1"/>
  <c r="AJ31" i="1"/>
  <c r="P31" i="1"/>
  <c r="K31" i="1"/>
  <c r="J31" i="1" s="1"/>
  <c r="P17" i="1"/>
  <c r="P21" i="1"/>
  <c r="CW22" i="1"/>
  <c r="AX22" i="1" s="1"/>
  <c r="AZ22" i="1" s="1"/>
  <c r="P28" i="1"/>
  <c r="P32" i="1"/>
  <c r="BG33" i="1"/>
  <c r="CW34" i="1"/>
  <c r="AX34" i="1" s="1"/>
  <c r="AZ34" i="1" s="1"/>
  <c r="BA41" i="1"/>
  <c r="AC42" i="1"/>
  <c r="V33" i="1"/>
  <c r="W33" i="1" s="1"/>
  <c r="AJ17" i="1"/>
  <c r="AJ21" i="1"/>
  <c r="V24" i="1"/>
  <c r="W24" i="1" s="1"/>
  <c r="AD24" i="1" s="1"/>
  <c r="M27" i="1"/>
  <c r="L27" i="1"/>
  <c r="AY27" i="1" s="1"/>
  <c r="BA27" i="1" s="1"/>
  <c r="AJ27" i="1"/>
  <c r="CW30" i="1"/>
  <c r="AX30" i="1" s="1"/>
  <c r="AZ30" i="1" s="1"/>
  <c r="U30" i="1"/>
  <c r="BG37" i="1"/>
  <c r="AJ40" i="1"/>
  <c r="P40" i="1"/>
  <c r="L40" i="1"/>
  <c r="AY40" i="1" s="1"/>
  <c r="BA40" i="1" s="1"/>
  <c r="BI43" i="1"/>
  <c r="BG43" i="1"/>
  <c r="BH43" i="1"/>
  <c r="BL43" i="1" s="1"/>
  <c r="BM43" i="1" s="1"/>
  <c r="CW26" i="1"/>
  <c r="AX26" i="1" s="1"/>
  <c r="AZ26" i="1" s="1"/>
  <c r="U26" i="1"/>
  <c r="V36" i="1"/>
  <c r="W36" i="1" s="1"/>
  <c r="S36" i="1" s="1"/>
  <c r="Q36" i="1" s="1"/>
  <c r="T36" i="1" s="1"/>
  <c r="N36" i="1" s="1"/>
  <c r="O36" i="1" s="1"/>
  <c r="AC40" i="1"/>
  <c r="K17" i="1"/>
  <c r="J17" i="1" s="1"/>
  <c r="U18" i="1"/>
  <c r="K21" i="1"/>
  <c r="J21" i="1" s="1"/>
  <c r="V21" i="1" s="1"/>
  <c r="W21" i="1" s="1"/>
  <c r="BH22" i="1"/>
  <c r="BL22" i="1" s="1"/>
  <c r="BM22" i="1" s="1"/>
  <c r="AJ24" i="1"/>
  <c r="S33" i="1"/>
  <c r="Q33" i="1" s="1"/>
  <c r="T33" i="1" s="1"/>
  <c r="N33" i="1" s="1"/>
  <c r="O33" i="1" s="1"/>
  <c r="M34" i="1"/>
  <c r="L34" i="1"/>
  <c r="AY34" i="1" s="1"/>
  <c r="BA34" i="1" s="1"/>
  <c r="K34" i="1"/>
  <c r="J34" i="1" s="1"/>
  <c r="AJ34" i="1"/>
  <c r="P34" i="1"/>
  <c r="BI37" i="1"/>
  <c r="M40" i="1"/>
  <c r="S41" i="1"/>
  <c r="Q41" i="1" s="1"/>
  <c r="T41" i="1" s="1"/>
  <c r="N41" i="1" s="1"/>
  <c r="O41" i="1" s="1"/>
  <c r="AC43" i="1"/>
  <c r="AZ25" i="1"/>
  <c r="V44" i="1"/>
  <c r="W44" i="1" s="1"/>
  <c r="L17" i="1"/>
  <c r="AY17" i="1" s="1"/>
  <c r="BA17" i="1" s="1"/>
  <c r="L21" i="1"/>
  <c r="AY21" i="1" s="1"/>
  <c r="BA21" i="1" s="1"/>
  <c r="BI22" i="1"/>
  <c r="M26" i="1"/>
  <c r="K26" i="1"/>
  <c r="J26" i="1" s="1"/>
  <c r="AJ26" i="1"/>
  <c r="P26" i="1"/>
  <c r="K27" i="1"/>
  <c r="J27" i="1" s="1"/>
  <c r="AZ33" i="1"/>
  <c r="AZ40" i="1"/>
  <c r="M30" i="1"/>
  <c r="K30" i="1"/>
  <c r="J30" i="1" s="1"/>
  <c r="AJ30" i="1"/>
  <c r="P30" i="1"/>
  <c r="BI35" i="1"/>
  <c r="BH35" i="1"/>
  <c r="BL35" i="1" s="1"/>
  <c r="BM35" i="1" s="1"/>
  <c r="BG35" i="1"/>
  <c r="M38" i="1"/>
  <c r="L38" i="1"/>
  <c r="AY38" i="1" s="1"/>
  <c r="K38" i="1"/>
  <c r="J38" i="1" s="1"/>
  <c r="AJ38" i="1"/>
  <c r="P38" i="1"/>
  <c r="BI25" i="1"/>
  <c r="L26" i="1"/>
  <c r="AY26" i="1" s="1"/>
  <c r="BI26" i="1"/>
  <c r="P27" i="1"/>
  <c r="K28" i="1"/>
  <c r="J28" i="1" s="1"/>
  <c r="V28" i="1" s="1"/>
  <c r="W28" i="1" s="1"/>
  <c r="AD28" i="1" s="1"/>
  <c r="BG29" i="1"/>
  <c r="K32" i="1"/>
  <c r="J32" i="1" s="1"/>
  <c r="V32" i="1" s="1"/>
  <c r="W32" i="1" s="1"/>
  <c r="AC33" i="1"/>
  <c r="P36" i="1"/>
  <c r="L36" i="1"/>
  <c r="AY36" i="1" s="1"/>
  <c r="BA36" i="1" s="1"/>
  <c r="AZ37" i="1"/>
  <c r="V40" i="1"/>
  <c r="W40" i="1" s="1"/>
  <c r="S40" i="1" s="1"/>
  <c r="Q40" i="1" s="1"/>
  <c r="T40" i="1" s="1"/>
  <c r="N40" i="1" s="1"/>
  <c r="O40" i="1" s="1"/>
  <c r="BG41" i="1"/>
  <c r="BI41" i="1"/>
  <c r="M42" i="1"/>
  <c r="P42" i="1"/>
  <c r="AJ42" i="1"/>
  <c r="L42" i="1"/>
  <c r="AY42" i="1" s="1"/>
  <c r="BA24" i="1"/>
  <c r="BI28" i="1"/>
  <c r="BH28" i="1"/>
  <c r="BL28" i="1" s="1"/>
  <c r="BM28" i="1" s="1"/>
  <c r="AD33" i="1"/>
  <c r="M43" i="1"/>
  <c r="Y43" i="1"/>
  <c r="M44" i="1"/>
  <c r="S56" i="1"/>
  <c r="Q56" i="1" s="1"/>
  <c r="T56" i="1" s="1"/>
  <c r="AC56" i="1"/>
  <c r="V56" i="1"/>
  <c r="W56" i="1" s="1"/>
  <c r="AD56" i="1" s="1"/>
  <c r="P25" i="1"/>
  <c r="P29" i="1"/>
  <c r="P33" i="1"/>
  <c r="P37" i="1"/>
  <c r="P41" i="1"/>
  <c r="CW42" i="1"/>
  <c r="AX42" i="1" s="1"/>
  <c r="AZ42" i="1" s="1"/>
  <c r="U42" i="1"/>
  <c r="P43" i="1"/>
  <c r="BA45" i="1"/>
  <c r="AZ45" i="1"/>
  <c r="CW43" i="1"/>
  <c r="AX43" i="1" s="1"/>
  <c r="AZ43" i="1" s="1"/>
  <c r="U43" i="1"/>
  <c r="BI42" i="1"/>
  <c r="BG42" i="1"/>
  <c r="BH44" i="1"/>
  <c r="BL44" i="1" s="1"/>
  <c r="BM44" i="1" s="1"/>
  <c r="BI44" i="1"/>
  <c r="BG58" i="1"/>
  <c r="BI58" i="1"/>
  <c r="BH58" i="1"/>
  <c r="BL58" i="1" s="1"/>
  <c r="BM58" i="1" s="1"/>
  <c r="U34" i="1"/>
  <c r="U38" i="1"/>
  <c r="BH42" i="1"/>
  <c r="BL42" i="1" s="1"/>
  <c r="BM42" i="1" s="1"/>
  <c r="BG44" i="1"/>
  <c r="K44" i="1"/>
  <c r="J44" i="1" s="1"/>
  <c r="AJ44" i="1"/>
  <c r="M49" i="1"/>
  <c r="K49" i="1"/>
  <c r="J49" i="1" s="1"/>
  <c r="AJ49" i="1"/>
  <c r="P49" i="1"/>
  <c r="L49" i="1"/>
  <c r="AY49" i="1" s="1"/>
  <c r="BA44" i="1"/>
  <c r="BG49" i="1"/>
  <c r="BI49" i="1"/>
  <c r="M54" i="1"/>
  <c r="K54" i="1"/>
  <c r="J54" i="1" s="1"/>
  <c r="L54" i="1"/>
  <c r="AY54" i="1" s="1"/>
  <c r="BA54" i="1" s="1"/>
  <c r="P54" i="1"/>
  <c r="AJ54" i="1"/>
  <c r="BH45" i="1"/>
  <c r="BL45" i="1" s="1"/>
  <c r="BM45" i="1" s="1"/>
  <c r="AJ46" i="1"/>
  <c r="BI55" i="1"/>
  <c r="BG55" i="1"/>
  <c r="Y47" i="1"/>
  <c r="CW47" i="1"/>
  <c r="AX47" i="1" s="1"/>
  <c r="AZ47" i="1" s="1"/>
  <c r="U47" i="1"/>
  <c r="CW50" i="1"/>
  <c r="AX50" i="1" s="1"/>
  <c r="AZ50" i="1" s="1"/>
  <c r="K47" i="1"/>
  <c r="J47" i="1" s="1"/>
  <c r="U48" i="1"/>
  <c r="K48" i="1"/>
  <c r="J48" i="1" s="1"/>
  <c r="P48" i="1"/>
  <c r="BG53" i="1"/>
  <c r="BI53" i="1"/>
  <c r="L47" i="1"/>
  <c r="AY47" i="1" s="1"/>
  <c r="M50" i="1"/>
  <c r="L50" i="1"/>
  <c r="AY50" i="1" s="1"/>
  <c r="K50" i="1"/>
  <c r="J50" i="1" s="1"/>
  <c r="BI51" i="1"/>
  <c r="BH51" i="1"/>
  <c r="BL51" i="1" s="1"/>
  <c r="BM51" i="1" s="1"/>
  <c r="BG51" i="1"/>
  <c r="BH53" i="1"/>
  <c r="BL53" i="1" s="1"/>
  <c r="BM53" i="1" s="1"/>
  <c r="M55" i="1"/>
  <c r="K55" i="1"/>
  <c r="J55" i="1" s="1"/>
  <c r="P55" i="1"/>
  <c r="L55" i="1"/>
  <c r="AY55" i="1" s="1"/>
  <c r="M63" i="1"/>
  <c r="L63" i="1"/>
  <c r="AY63" i="1" s="1"/>
  <c r="BA63" i="1" s="1"/>
  <c r="AJ63" i="1"/>
  <c r="P47" i="1"/>
  <c r="BI47" i="1"/>
  <c r="BH47" i="1"/>
  <c r="BL47" i="1" s="1"/>
  <c r="BM47" i="1" s="1"/>
  <c r="BG47" i="1"/>
  <c r="AZ48" i="1"/>
  <c r="CW49" i="1"/>
  <c r="AX49" i="1" s="1"/>
  <c r="AZ49" i="1" s="1"/>
  <c r="U49" i="1"/>
  <c r="BI52" i="1"/>
  <c r="BG52" i="1"/>
  <c r="BA48" i="1"/>
  <c r="K51" i="1"/>
  <c r="J51" i="1" s="1"/>
  <c r="BH52" i="1"/>
  <c r="BL52" i="1" s="1"/>
  <c r="BM52" i="1" s="1"/>
  <c r="K53" i="1"/>
  <c r="J53" i="1" s="1"/>
  <c r="M53" i="1"/>
  <c r="P53" i="1"/>
  <c r="M59" i="1"/>
  <c r="AJ59" i="1"/>
  <c r="K59" i="1"/>
  <c r="J59" i="1" s="1"/>
  <c r="K45" i="1"/>
  <c r="J45" i="1" s="1"/>
  <c r="AJ45" i="1"/>
  <c r="M46" i="1"/>
  <c r="L46" i="1"/>
  <c r="AY46" i="1" s="1"/>
  <c r="BA46" i="1" s="1"/>
  <c r="K46" i="1"/>
  <c r="J46" i="1" s="1"/>
  <c r="L51" i="1"/>
  <c r="AY51" i="1" s="1"/>
  <c r="BA51" i="1" s="1"/>
  <c r="M51" i="1"/>
  <c r="CW53" i="1"/>
  <c r="AX53" i="1" s="1"/>
  <c r="AZ53" i="1" s="1"/>
  <c r="U53" i="1"/>
  <c r="BG54" i="1"/>
  <c r="BI54" i="1"/>
  <c r="BH54" i="1"/>
  <c r="BL54" i="1" s="1"/>
  <c r="BM54" i="1" s="1"/>
  <c r="BI56" i="1"/>
  <c r="BG56" i="1"/>
  <c r="BH56" i="1"/>
  <c r="BL56" i="1" s="1"/>
  <c r="BM56" i="1" s="1"/>
  <c r="AC63" i="1"/>
  <c r="U51" i="1"/>
  <c r="Y55" i="1"/>
  <c r="K57" i="1"/>
  <c r="J57" i="1" s="1"/>
  <c r="AJ57" i="1"/>
  <c r="M57" i="1"/>
  <c r="BH57" i="1"/>
  <c r="BL57" i="1" s="1"/>
  <c r="BM57" i="1" s="1"/>
  <c r="CW58" i="1"/>
  <c r="AX58" i="1" s="1"/>
  <c r="AZ58" i="1" s="1"/>
  <c r="BH61" i="1"/>
  <c r="BL61" i="1" s="1"/>
  <c r="BM61" i="1" s="1"/>
  <c r="BG61" i="1"/>
  <c r="BG73" i="1"/>
  <c r="BH73" i="1"/>
  <c r="BL73" i="1" s="1"/>
  <c r="BM73" i="1" s="1"/>
  <c r="BI73" i="1"/>
  <c r="BI57" i="1"/>
  <c r="AC61" i="1"/>
  <c r="CW66" i="1"/>
  <c r="AX66" i="1" s="1"/>
  <c r="AZ66" i="1" s="1"/>
  <c r="Y67" i="1"/>
  <c r="U46" i="1"/>
  <c r="Y59" i="1"/>
  <c r="P60" i="1"/>
  <c r="L60" i="1"/>
  <c r="AY60" i="1" s="1"/>
  <c r="BA60" i="1" s="1"/>
  <c r="K60" i="1"/>
  <c r="J60" i="1" s="1"/>
  <c r="V60" i="1" s="1"/>
  <c r="W60" i="1" s="1"/>
  <c r="CW62" i="1"/>
  <c r="AX62" i="1" s="1"/>
  <c r="AZ62" i="1" s="1"/>
  <c r="Y63" i="1"/>
  <c r="P64" i="1"/>
  <c r="L64" i="1"/>
  <c r="AY64" i="1" s="1"/>
  <c r="BA64" i="1" s="1"/>
  <c r="K64" i="1"/>
  <c r="J64" i="1" s="1"/>
  <c r="V64" i="1" s="1"/>
  <c r="W64" i="1" s="1"/>
  <c r="CW54" i="1"/>
  <c r="AX54" i="1" s="1"/>
  <c r="AZ54" i="1" s="1"/>
  <c r="U54" i="1"/>
  <c r="CW55" i="1"/>
  <c r="AX55" i="1" s="1"/>
  <c r="AZ55" i="1" s="1"/>
  <c r="U55" i="1"/>
  <c r="M58" i="1"/>
  <c r="L58" i="1"/>
  <c r="AY58" i="1" s="1"/>
  <c r="K58" i="1"/>
  <c r="J58" i="1" s="1"/>
  <c r="BI64" i="1"/>
  <c r="BH64" i="1"/>
  <c r="BL64" i="1" s="1"/>
  <c r="BM64" i="1" s="1"/>
  <c r="CW65" i="1"/>
  <c r="AX65" i="1" s="1"/>
  <c r="AZ65" i="1" s="1"/>
  <c r="U65" i="1"/>
  <c r="AJ67" i="1"/>
  <c r="M67" i="1"/>
  <c r="L67" i="1"/>
  <c r="AY67" i="1" s="1"/>
  <c r="CW67" i="1"/>
  <c r="AX67" i="1" s="1"/>
  <c r="AZ67" i="1" s="1"/>
  <c r="U67" i="1"/>
  <c r="K80" i="1"/>
  <c r="J80" i="1" s="1"/>
  <c r="V80" i="1" s="1"/>
  <c r="W80" i="1" s="1"/>
  <c r="AJ80" i="1"/>
  <c r="P80" i="1"/>
  <c r="L80" i="1"/>
  <c r="AY80" i="1" s="1"/>
  <c r="BA80" i="1" s="1"/>
  <c r="M80" i="1"/>
  <c r="AC81" i="1"/>
  <c r="M82" i="1"/>
  <c r="L82" i="1"/>
  <c r="AY82" i="1" s="1"/>
  <c r="BA82" i="1" s="1"/>
  <c r="K82" i="1"/>
  <c r="J82" i="1" s="1"/>
  <c r="AJ82" i="1"/>
  <c r="P82" i="1"/>
  <c r="BA52" i="1"/>
  <c r="BA57" i="1"/>
  <c r="CW57" i="1"/>
  <c r="AX57" i="1" s="1"/>
  <c r="AZ57" i="1" s="1"/>
  <c r="U57" i="1"/>
  <c r="AJ58" i="1"/>
  <c r="CW61" i="1"/>
  <c r="AX61" i="1" s="1"/>
  <c r="AZ61" i="1" s="1"/>
  <c r="U61" i="1"/>
  <c r="AZ64" i="1"/>
  <c r="K67" i="1"/>
  <c r="J67" i="1" s="1"/>
  <c r="BG66" i="1"/>
  <c r="BI66" i="1"/>
  <c r="P68" i="1"/>
  <c r="L68" i="1"/>
  <c r="AY68" i="1" s="1"/>
  <c r="BA68" i="1" s="1"/>
  <c r="K68" i="1"/>
  <c r="J68" i="1" s="1"/>
  <c r="AJ68" i="1"/>
  <c r="M70" i="1"/>
  <c r="L70" i="1"/>
  <c r="AY70" i="1" s="1"/>
  <c r="K70" i="1"/>
  <c r="J70" i="1" s="1"/>
  <c r="AJ70" i="1"/>
  <c r="P70" i="1"/>
  <c r="AZ73" i="1"/>
  <c r="BG77" i="1"/>
  <c r="BH77" i="1"/>
  <c r="BL77" i="1" s="1"/>
  <c r="BM77" i="1" s="1"/>
  <c r="BI77" i="1"/>
  <c r="M66" i="1"/>
  <c r="L66" i="1"/>
  <c r="AY66" i="1" s="1"/>
  <c r="BA66" i="1" s="1"/>
  <c r="K66" i="1"/>
  <c r="J66" i="1" s="1"/>
  <c r="AJ66" i="1"/>
  <c r="P66" i="1"/>
  <c r="BH66" i="1"/>
  <c r="BL66" i="1" s="1"/>
  <c r="BM66" i="1" s="1"/>
  <c r="M68" i="1"/>
  <c r="BG85" i="1"/>
  <c r="BH85" i="1"/>
  <c r="BL85" i="1" s="1"/>
  <c r="BM85" i="1" s="1"/>
  <c r="BI85" i="1"/>
  <c r="BA56" i="1"/>
  <c r="M62" i="1"/>
  <c r="L62" i="1"/>
  <c r="AY62" i="1" s="1"/>
  <c r="K62" i="1"/>
  <c r="J62" i="1" s="1"/>
  <c r="AJ62" i="1"/>
  <c r="P62" i="1"/>
  <c r="BH65" i="1"/>
  <c r="BL65" i="1" s="1"/>
  <c r="BM65" i="1" s="1"/>
  <c r="BG65" i="1"/>
  <c r="BI75" i="1"/>
  <c r="BH75" i="1"/>
  <c r="BL75" i="1" s="1"/>
  <c r="BM75" i="1" s="1"/>
  <c r="BG75" i="1"/>
  <c r="M61" i="1"/>
  <c r="BI62" i="1"/>
  <c r="M65" i="1"/>
  <c r="M74" i="1"/>
  <c r="L74" i="1"/>
  <c r="AY74" i="1" s="1"/>
  <c r="BA74" i="1" s="1"/>
  <c r="K74" i="1"/>
  <c r="J74" i="1" s="1"/>
  <c r="AJ74" i="1"/>
  <c r="P74" i="1"/>
  <c r="M71" i="1"/>
  <c r="L71" i="1"/>
  <c r="AY71" i="1" s="1"/>
  <c r="BA71" i="1" s="1"/>
  <c r="AJ71" i="1"/>
  <c r="M77" i="1"/>
  <c r="L77" i="1"/>
  <c r="AY77" i="1" s="1"/>
  <c r="BA77" i="1" s="1"/>
  <c r="K77" i="1"/>
  <c r="J77" i="1" s="1"/>
  <c r="AJ77" i="1"/>
  <c r="P77" i="1"/>
  <c r="M78" i="1"/>
  <c r="L78" i="1"/>
  <c r="AY78" i="1" s="1"/>
  <c r="BA78" i="1" s="1"/>
  <c r="K78" i="1"/>
  <c r="J78" i="1" s="1"/>
  <c r="AJ78" i="1"/>
  <c r="P78" i="1"/>
  <c r="AZ80" i="1"/>
  <c r="BI83" i="1"/>
  <c r="BH83" i="1"/>
  <c r="BL83" i="1" s="1"/>
  <c r="BM83" i="1" s="1"/>
  <c r="BG83" i="1"/>
  <c r="M86" i="1"/>
  <c r="L86" i="1"/>
  <c r="AY86" i="1" s="1"/>
  <c r="BA86" i="1" s="1"/>
  <c r="K86" i="1"/>
  <c r="J86" i="1" s="1"/>
  <c r="V86" i="1" s="1"/>
  <c r="W86" i="1" s="1"/>
  <c r="AJ86" i="1"/>
  <c r="P86" i="1"/>
  <c r="BH60" i="1"/>
  <c r="BL60" i="1" s="1"/>
  <c r="BM60" i="1" s="1"/>
  <c r="K69" i="1"/>
  <c r="J69" i="1" s="1"/>
  <c r="V69" i="1" s="1"/>
  <c r="W69" i="1" s="1"/>
  <c r="AD69" i="1" s="1"/>
  <c r="AJ69" i="1"/>
  <c r="BI69" i="1"/>
  <c r="P75" i="1"/>
  <c r="M75" i="1"/>
  <c r="L75" i="1"/>
  <c r="AY75" i="1" s="1"/>
  <c r="BA75" i="1" s="1"/>
  <c r="AJ75" i="1"/>
  <c r="BG81" i="1"/>
  <c r="BH81" i="1"/>
  <c r="BL81" i="1" s="1"/>
  <c r="BM81" i="1" s="1"/>
  <c r="U59" i="1"/>
  <c r="BG59" i="1"/>
  <c r="U63" i="1"/>
  <c r="BG63" i="1"/>
  <c r="AZ68" i="1"/>
  <c r="L69" i="1"/>
  <c r="AY69" i="1" s="1"/>
  <c r="BA69" i="1" s="1"/>
  <c r="K76" i="1"/>
  <c r="J76" i="1" s="1"/>
  <c r="V76" i="1" s="1"/>
  <c r="W76" i="1" s="1"/>
  <c r="AJ76" i="1"/>
  <c r="P76" i="1"/>
  <c r="L76" i="1"/>
  <c r="AY76" i="1" s="1"/>
  <c r="BA76" i="1" s="1"/>
  <c r="AZ81" i="1"/>
  <c r="BA85" i="1"/>
  <c r="BH59" i="1"/>
  <c r="BL59" i="1" s="1"/>
  <c r="BM59" i="1" s="1"/>
  <c r="BH63" i="1"/>
  <c r="BL63" i="1" s="1"/>
  <c r="BM63" i="1" s="1"/>
  <c r="AJ65" i="1"/>
  <c r="M69" i="1"/>
  <c r="K72" i="1"/>
  <c r="J72" i="1" s="1"/>
  <c r="P72" i="1"/>
  <c r="L72" i="1"/>
  <c r="AY72" i="1" s="1"/>
  <c r="BA72" i="1" s="1"/>
  <c r="M73" i="1"/>
  <c r="K73" i="1"/>
  <c r="J73" i="1" s="1"/>
  <c r="AJ73" i="1"/>
  <c r="P73" i="1"/>
  <c r="P79" i="1"/>
  <c r="M79" i="1"/>
  <c r="L79" i="1"/>
  <c r="AY79" i="1" s="1"/>
  <c r="BA79" i="1" s="1"/>
  <c r="AJ79" i="1"/>
  <c r="BA81" i="1"/>
  <c r="P83" i="1"/>
  <c r="M83" i="1"/>
  <c r="L83" i="1"/>
  <c r="AY83" i="1" s="1"/>
  <c r="BA83" i="1" s="1"/>
  <c r="AJ83" i="1"/>
  <c r="U58" i="1"/>
  <c r="U62" i="1"/>
  <c r="U66" i="1"/>
  <c r="BI67" i="1"/>
  <c r="BH67" i="1"/>
  <c r="BL67" i="1" s="1"/>
  <c r="BM67" i="1" s="1"/>
  <c r="BG67" i="1"/>
  <c r="CW70" i="1"/>
  <c r="AX70" i="1" s="1"/>
  <c r="AZ70" i="1" s="1"/>
  <c r="BI71" i="1"/>
  <c r="BH71" i="1"/>
  <c r="BL71" i="1" s="1"/>
  <c r="BM71" i="1" s="1"/>
  <c r="BG71" i="1"/>
  <c r="M72" i="1"/>
  <c r="CW73" i="1"/>
  <c r="AX73" i="1" s="1"/>
  <c r="BA73" i="1" s="1"/>
  <c r="U73" i="1"/>
  <c r="K75" i="1"/>
  <c r="J75" i="1" s="1"/>
  <c r="M76" i="1"/>
  <c r="AZ76" i="1"/>
  <c r="K84" i="1"/>
  <c r="J84" i="1" s="1"/>
  <c r="V84" i="1" s="1"/>
  <c r="W84" i="1" s="1"/>
  <c r="AJ84" i="1"/>
  <c r="P84" i="1"/>
  <c r="L84" i="1"/>
  <c r="AY84" i="1" s="1"/>
  <c r="BA84" i="1" s="1"/>
  <c r="U71" i="1"/>
  <c r="U75" i="1"/>
  <c r="U79" i="1"/>
  <c r="BG79" i="1"/>
  <c r="U83" i="1"/>
  <c r="BH79" i="1"/>
  <c r="BL79" i="1" s="1"/>
  <c r="BM79" i="1" s="1"/>
  <c r="AJ85" i="1"/>
  <c r="U70" i="1"/>
  <c r="U74" i="1"/>
  <c r="U82" i="1"/>
  <c r="U77" i="1"/>
  <c r="U81" i="1"/>
  <c r="S37" i="1" l="1"/>
  <c r="Q37" i="1" s="1"/>
  <c r="T37" i="1" s="1"/>
  <c r="N37" i="1" s="1"/>
  <c r="O37" i="1" s="1"/>
  <c r="AD37" i="1"/>
  <c r="V72" i="1"/>
  <c r="W72" i="1" s="1"/>
  <c r="N56" i="1"/>
  <c r="O56" i="1" s="1"/>
  <c r="V85" i="1"/>
  <c r="W85" i="1" s="1"/>
  <c r="BA67" i="1"/>
  <c r="BA38" i="1"/>
  <c r="BA70" i="1"/>
  <c r="BA28" i="1"/>
  <c r="AD36" i="1"/>
  <c r="AD40" i="1"/>
  <c r="V29" i="1"/>
  <c r="W29" i="1" s="1"/>
  <c r="AE29" i="1" s="1"/>
  <c r="BA65" i="1"/>
  <c r="BA22" i="1"/>
  <c r="V52" i="1"/>
  <c r="W52" i="1" s="1"/>
  <c r="BA25" i="1"/>
  <c r="BA47" i="1"/>
  <c r="X64" i="1"/>
  <c r="AB64" i="1" s="1"/>
  <c r="AE64" i="1"/>
  <c r="AD64" i="1"/>
  <c r="X72" i="1"/>
  <c r="AB72" i="1" s="1"/>
  <c r="AE72" i="1"/>
  <c r="AD72" i="1"/>
  <c r="X76" i="1"/>
  <c r="AB76" i="1" s="1"/>
  <c r="AE76" i="1"/>
  <c r="AD76" i="1"/>
  <c r="X19" i="1"/>
  <c r="AB19" i="1" s="1"/>
  <c r="AE19" i="1"/>
  <c r="AD19" i="1"/>
  <c r="AE32" i="1"/>
  <c r="X32" i="1"/>
  <c r="AB32" i="1" s="1"/>
  <c r="AD32" i="1"/>
  <c r="X84" i="1"/>
  <c r="AB84" i="1" s="1"/>
  <c r="AE84" i="1"/>
  <c r="AF84" i="1" s="1"/>
  <c r="AD84" i="1"/>
  <c r="AE86" i="1"/>
  <c r="AD86" i="1"/>
  <c r="X86" i="1"/>
  <c r="AB86" i="1" s="1"/>
  <c r="X80" i="1"/>
  <c r="AB80" i="1" s="1"/>
  <c r="AE80" i="1"/>
  <c r="AD80" i="1"/>
  <c r="X20" i="1"/>
  <c r="AB20" i="1" s="1"/>
  <c r="AE20" i="1"/>
  <c r="AD20" i="1"/>
  <c r="AC68" i="1"/>
  <c r="V55" i="1"/>
  <c r="W55" i="1" s="1"/>
  <c r="AC47" i="1"/>
  <c r="V42" i="1"/>
  <c r="W42" i="1" s="1"/>
  <c r="AE17" i="1"/>
  <c r="X17" i="1"/>
  <c r="AB17" i="1" s="1"/>
  <c r="X85" i="1"/>
  <c r="AB85" i="1" s="1"/>
  <c r="AE85" i="1"/>
  <c r="AC74" i="1"/>
  <c r="BA58" i="1"/>
  <c r="S48" i="1"/>
  <c r="Q48" i="1" s="1"/>
  <c r="T48" i="1" s="1"/>
  <c r="N48" i="1" s="1"/>
  <c r="O48" i="1" s="1"/>
  <c r="AC48" i="1"/>
  <c r="AC54" i="1"/>
  <c r="V81" i="1"/>
  <c r="W81" i="1" s="1"/>
  <c r="V66" i="1"/>
  <c r="W66" i="1" s="1"/>
  <c r="V46" i="1"/>
  <c r="W46" i="1" s="1"/>
  <c r="S46" i="1" s="1"/>
  <c r="Q46" i="1" s="1"/>
  <c r="T46" i="1" s="1"/>
  <c r="N46" i="1" s="1"/>
  <c r="O46" i="1" s="1"/>
  <c r="V53" i="1"/>
  <c r="W53" i="1" s="1"/>
  <c r="S45" i="1"/>
  <c r="Q45" i="1" s="1"/>
  <c r="T45" i="1" s="1"/>
  <c r="N45" i="1" s="1"/>
  <c r="O45" i="1" s="1"/>
  <c r="AC45" i="1"/>
  <c r="S53" i="1"/>
  <c r="Q53" i="1" s="1"/>
  <c r="T53" i="1" s="1"/>
  <c r="N53" i="1" s="1"/>
  <c r="O53" i="1" s="1"/>
  <c r="AC53" i="1"/>
  <c r="V48" i="1"/>
  <c r="W48" i="1" s="1"/>
  <c r="BA49" i="1"/>
  <c r="V43" i="1"/>
  <c r="W43" i="1" s="1"/>
  <c r="AE56" i="1"/>
  <c r="AF56" i="1" s="1"/>
  <c r="X56" i="1"/>
  <c r="AB56" i="1" s="1"/>
  <c r="V26" i="1"/>
  <c r="W26" i="1" s="1"/>
  <c r="S26" i="1" s="1"/>
  <c r="Q26" i="1" s="1"/>
  <c r="T26" i="1" s="1"/>
  <c r="N26" i="1" s="1"/>
  <c r="O26" i="1" s="1"/>
  <c r="V35" i="1"/>
  <c r="W35" i="1" s="1"/>
  <c r="AC35" i="1"/>
  <c r="S35" i="1"/>
  <c r="Q35" i="1" s="1"/>
  <c r="T35" i="1" s="1"/>
  <c r="N35" i="1" s="1"/>
  <c r="O35" i="1" s="1"/>
  <c r="V77" i="1"/>
  <c r="W77" i="1" s="1"/>
  <c r="S77" i="1" s="1"/>
  <c r="Q77" i="1" s="1"/>
  <c r="T77" i="1" s="1"/>
  <c r="N77" i="1" s="1"/>
  <c r="O77" i="1" s="1"/>
  <c r="X60" i="1"/>
  <c r="AB60" i="1" s="1"/>
  <c r="AE60" i="1"/>
  <c r="X25" i="1"/>
  <c r="AB25" i="1" s="1"/>
  <c r="AE25" i="1"/>
  <c r="AF25" i="1" s="1"/>
  <c r="X22" i="1"/>
  <c r="AB22" i="1" s="1"/>
  <c r="AE22" i="1"/>
  <c r="AD22" i="1"/>
  <c r="V82" i="1"/>
  <c r="W82" i="1" s="1"/>
  <c r="AC77" i="1"/>
  <c r="AC59" i="1"/>
  <c r="BA53" i="1"/>
  <c r="AC32" i="1"/>
  <c r="S32" i="1"/>
  <c r="Q32" i="1" s="1"/>
  <c r="T32" i="1" s="1"/>
  <c r="N32" i="1" s="1"/>
  <c r="O32" i="1" s="1"/>
  <c r="AC26" i="1"/>
  <c r="AD25" i="1"/>
  <c r="AE21" i="1"/>
  <c r="X21" i="1"/>
  <c r="AB21" i="1" s="1"/>
  <c r="AD21" i="1"/>
  <c r="V74" i="1"/>
  <c r="W74" i="1" s="1"/>
  <c r="V71" i="1"/>
  <c r="W71" i="1" s="1"/>
  <c r="AD60" i="1"/>
  <c r="AC82" i="1"/>
  <c r="S82" i="1"/>
  <c r="Q82" i="1" s="1"/>
  <c r="T82" i="1" s="1"/>
  <c r="N82" i="1" s="1"/>
  <c r="O82" i="1" s="1"/>
  <c r="V54" i="1"/>
  <c r="W54" i="1" s="1"/>
  <c r="S60" i="1"/>
  <c r="Q60" i="1" s="1"/>
  <c r="T60" i="1" s="1"/>
  <c r="N60" i="1" s="1"/>
  <c r="O60" i="1" s="1"/>
  <c r="AC60" i="1"/>
  <c r="AC51" i="1"/>
  <c r="BA55" i="1"/>
  <c r="AC49" i="1"/>
  <c r="V38" i="1"/>
  <c r="W38" i="1" s="1"/>
  <c r="S38" i="1" s="1"/>
  <c r="Q38" i="1" s="1"/>
  <c r="T38" i="1" s="1"/>
  <c r="N38" i="1" s="1"/>
  <c r="O38" i="1" s="1"/>
  <c r="V45" i="1"/>
  <c r="W45" i="1" s="1"/>
  <c r="V30" i="1"/>
  <c r="W30" i="1" s="1"/>
  <c r="BA30" i="1"/>
  <c r="AE23" i="1"/>
  <c r="AF23" i="1" s="1"/>
  <c r="X23" i="1"/>
  <c r="AB23" i="1" s="1"/>
  <c r="V65" i="1"/>
  <c r="W65" i="1" s="1"/>
  <c r="V47" i="1"/>
  <c r="W47" i="1" s="1"/>
  <c r="V70" i="1"/>
  <c r="W70" i="1" s="1"/>
  <c r="AC75" i="1"/>
  <c r="V63" i="1"/>
  <c r="W63" i="1" s="1"/>
  <c r="S69" i="1"/>
  <c r="Q69" i="1" s="1"/>
  <c r="T69" i="1" s="1"/>
  <c r="N69" i="1" s="1"/>
  <c r="O69" i="1" s="1"/>
  <c r="AC69" i="1"/>
  <c r="AC62" i="1"/>
  <c r="AC66" i="1"/>
  <c r="S66" i="1"/>
  <c r="Q66" i="1" s="1"/>
  <c r="T66" i="1" s="1"/>
  <c r="N66" i="1" s="1"/>
  <c r="O66" i="1" s="1"/>
  <c r="S80" i="1"/>
  <c r="Q80" i="1" s="1"/>
  <c r="T80" i="1" s="1"/>
  <c r="N80" i="1" s="1"/>
  <c r="O80" i="1" s="1"/>
  <c r="AC80" i="1"/>
  <c r="AC46" i="1"/>
  <c r="V34" i="1"/>
  <c r="W34" i="1" s="1"/>
  <c r="X40" i="1"/>
  <c r="AB40" i="1" s="1"/>
  <c r="AE40" i="1"/>
  <c r="AF40" i="1" s="1"/>
  <c r="AC28" i="1"/>
  <c r="S28" i="1"/>
  <c r="Q28" i="1" s="1"/>
  <c r="T28" i="1" s="1"/>
  <c r="N28" i="1" s="1"/>
  <c r="O28" i="1" s="1"/>
  <c r="AC34" i="1"/>
  <c r="S34" i="1"/>
  <c r="Q34" i="1" s="1"/>
  <c r="T34" i="1" s="1"/>
  <c r="N34" i="1" s="1"/>
  <c r="O34" i="1" s="1"/>
  <c r="AC31" i="1"/>
  <c r="V31" i="1"/>
  <c r="W31" i="1" s="1"/>
  <c r="S31" i="1" s="1"/>
  <c r="Q31" i="1" s="1"/>
  <c r="T31" i="1" s="1"/>
  <c r="N31" i="1" s="1"/>
  <c r="O31" i="1" s="1"/>
  <c r="V39" i="1"/>
  <c r="W39" i="1" s="1"/>
  <c r="S39" i="1" s="1"/>
  <c r="Q39" i="1" s="1"/>
  <c r="T39" i="1" s="1"/>
  <c r="N39" i="1" s="1"/>
  <c r="O39" i="1" s="1"/>
  <c r="AC39" i="1"/>
  <c r="S22" i="1"/>
  <c r="Q22" i="1" s="1"/>
  <c r="T22" i="1" s="1"/>
  <c r="N22" i="1" s="1"/>
  <c r="O22" i="1" s="1"/>
  <c r="AC22" i="1"/>
  <c r="AE28" i="1"/>
  <c r="AF28" i="1" s="1"/>
  <c r="X28" i="1"/>
  <c r="AB28" i="1" s="1"/>
  <c r="V75" i="1"/>
  <c r="W75" i="1" s="1"/>
  <c r="S75" i="1" s="1"/>
  <c r="Q75" i="1" s="1"/>
  <c r="T75" i="1" s="1"/>
  <c r="N75" i="1" s="1"/>
  <c r="O75" i="1" s="1"/>
  <c r="V58" i="1"/>
  <c r="W58" i="1" s="1"/>
  <c r="S58" i="1" s="1"/>
  <c r="Q58" i="1" s="1"/>
  <c r="T58" i="1" s="1"/>
  <c r="N58" i="1" s="1"/>
  <c r="O58" i="1" s="1"/>
  <c r="S72" i="1"/>
  <c r="Q72" i="1" s="1"/>
  <c r="T72" i="1" s="1"/>
  <c r="N72" i="1" s="1"/>
  <c r="O72" i="1" s="1"/>
  <c r="AC72" i="1"/>
  <c r="V73" i="1"/>
  <c r="W73" i="1" s="1"/>
  <c r="AC78" i="1"/>
  <c r="BA62" i="1"/>
  <c r="V78" i="1"/>
  <c r="W78" i="1" s="1"/>
  <c r="AC70" i="1"/>
  <c r="S70" i="1"/>
  <c r="Q70" i="1" s="1"/>
  <c r="T70" i="1" s="1"/>
  <c r="N70" i="1" s="1"/>
  <c r="O70" i="1" s="1"/>
  <c r="V57" i="1"/>
  <c r="W57" i="1" s="1"/>
  <c r="V67" i="1"/>
  <c r="W67" i="1" s="1"/>
  <c r="S57" i="1"/>
  <c r="Q57" i="1" s="1"/>
  <c r="T57" i="1" s="1"/>
  <c r="N57" i="1" s="1"/>
  <c r="O57" i="1" s="1"/>
  <c r="AC57" i="1"/>
  <c r="V49" i="1"/>
  <c r="W49" i="1" s="1"/>
  <c r="AC55" i="1"/>
  <c r="AC21" i="1"/>
  <c r="S21" i="1"/>
  <c r="Q21" i="1" s="1"/>
  <c r="T21" i="1" s="1"/>
  <c r="N21" i="1" s="1"/>
  <c r="O21" i="1" s="1"/>
  <c r="X33" i="1"/>
  <c r="AB33" i="1" s="1"/>
  <c r="AE33" i="1"/>
  <c r="AF33" i="1" s="1"/>
  <c r="S18" i="1"/>
  <c r="Q18" i="1" s="1"/>
  <c r="T18" i="1" s="1"/>
  <c r="N18" i="1" s="1"/>
  <c r="O18" i="1" s="1"/>
  <c r="AC18" i="1"/>
  <c r="S84" i="1"/>
  <c r="Q84" i="1" s="1"/>
  <c r="T84" i="1" s="1"/>
  <c r="N84" i="1" s="1"/>
  <c r="O84" i="1" s="1"/>
  <c r="AC84" i="1"/>
  <c r="AC73" i="1"/>
  <c r="S73" i="1"/>
  <c r="Q73" i="1" s="1"/>
  <c r="T73" i="1" s="1"/>
  <c r="N73" i="1" s="1"/>
  <c r="O73" i="1" s="1"/>
  <c r="S76" i="1"/>
  <c r="Q76" i="1" s="1"/>
  <c r="T76" i="1" s="1"/>
  <c r="N76" i="1" s="1"/>
  <c r="O76" i="1" s="1"/>
  <c r="AC76" i="1"/>
  <c r="V59" i="1"/>
  <c r="W59" i="1" s="1"/>
  <c r="AC67" i="1"/>
  <c r="S67" i="1"/>
  <c r="Q67" i="1" s="1"/>
  <c r="T67" i="1" s="1"/>
  <c r="N67" i="1" s="1"/>
  <c r="O67" i="1" s="1"/>
  <c r="AC58" i="1"/>
  <c r="S64" i="1"/>
  <c r="Q64" i="1" s="1"/>
  <c r="T64" i="1" s="1"/>
  <c r="N64" i="1" s="1"/>
  <c r="O64" i="1" s="1"/>
  <c r="AC64" i="1"/>
  <c r="AC50" i="1"/>
  <c r="V50" i="1"/>
  <c r="W50" i="1" s="1"/>
  <c r="S50" i="1" s="1"/>
  <c r="Q50" i="1" s="1"/>
  <c r="T50" i="1" s="1"/>
  <c r="N50" i="1" s="1"/>
  <c r="O50" i="1" s="1"/>
  <c r="S44" i="1"/>
  <c r="Q44" i="1" s="1"/>
  <c r="T44" i="1" s="1"/>
  <c r="N44" i="1" s="1"/>
  <c r="O44" i="1" s="1"/>
  <c r="AC44" i="1"/>
  <c r="BA42" i="1"/>
  <c r="V18" i="1"/>
  <c r="W18" i="1" s="1"/>
  <c r="X36" i="1"/>
  <c r="AB36" i="1" s="1"/>
  <c r="AE36" i="1"/>
  <c r="AC20" i="1"/>
  <c r="S20" i="1"/>
  <c r="Q20" i="1" s="1"/>
  <c r="T20" i="1" s="1"/>
  <c r="N20" i="1" s="1"/>
  <c r="O20" i="1" s="1"/>
  <c r="V79" i="1"/>
  <c r="W79" i="1" s="1"/>
  <c r="V62" i="1"/>
  <c r="W62" i="1" s="1"/>
  <c r="S62" i="1" s="1"/>
  <c r="Q62" i="1" s="1"/>
  <c r="T62" i="1" s="1"/>
  <c r="N62" i="1" s="1"/>
  <c r="O62" i="1" s="1"/>
  <c r="AC86" i="1"/>
  <c r="S86" i="1"/>
  <c r="Q86" i="1" s="1"/>
  <c r="T86" i="1" s="1"/>
  <c r="N86" i="1" s="1"/>
  <c r="O86" i="1" s="1"/>
  <c r="V61" i="1"/>
  <c r="W61" i="1" s="1"/>
  <c r="AE44" i="1"/>
  <c r="X44" i="1"/>
  <c r="AB44" i="1" s="1"/>
  <c r="AD44" i="1"/>
  <c r="X24" i="1"/>
  <c r="AB24" i="1" s="1"/>
  <c r="AE24" i="1"/>
  <c r="AF24" i="1" s="1"/>
  <c r="V68" i="1"/>
  <c r="W68" i="1" s="1"/>
  <c r="S68" i="1" s="1"/>
  <c r="Q68" i="1" s="1"/>
  <c r="T68" i="1" s="1"/>
  <c r="N68" i="1" s="1"/>
  <c r="O68" i="1" s="1"/>
  <c r="V83" i="1"/>
  <c r="W83" i="1" s="1"/>
  <c r="X69" i="1"/>
  <c r="AB69" i="1" s="1"/>
  <c r="AE69" i="1"/>
  <c r="AF69" i="1" s="1"/>
  <c r="V51" i="1"/>
  <c r="W51" i="1" s="1"/>
  <c r="BA50" i="1"/>
  <c r="BA43" i="1"/>
  <c r="X29" i="1"/>
  <c r="AB29" i="1" s="1"/>
  <c r="BA26" i="1"/>
  <c r="AC38" i="1"/>
  <c r="AC30" i="1"/>
  <c r="S30" i="1"/>
  <c r="Q30" i="1" s="1"/>
  <c r="T30" i="1" s="1"/>
  <c r="N30" i="1" s="1"/>
  <c r="O30" i="1" s="1"/>
  <c r="AC27" i="1"/>
  <c r="S27" i="1"/>
  <c r="Q27" i="1" s="1"/>
  <c r="T27" i="1" s="1"/>
  <c r="N27" i="1" s="1"/>
  <c r="O27" i="1" s="1"/>
  <c r="V27" i="1"/>
  <c r="W27" i="1" s="1"/>
  <c r="AC17" i="1"/>
  <c r="S17" i="1"/>
  <c r="Q17" i="1" s="1"/>
  <c r="T17" i="1" s="1"/>
  <c r="N17" i="1" s="1"/>
  <c r="O17" i="1" s="1"/>
  <c r="S24" i="1"/>
  <c r="Q24" i="1" s="1"/>
  <c r="T24" i="1" s="1"/>
  <c r="N24" i="1" s="1"/>
  <c r="O24" i="1" s="1"/>
  <c r="X41" i="1"/>
  <c r="AB41" i="1" s="1"/>
  <c r="AE41" i="1"/>
  <c r="AF41" i="1" s="1"/>
  <c r="S23" i="1"/>
  <c r="Q23" i="1" s="1"/>
  <c r="T23" i="1" s="1"/>
  <c r="N23" i="1" s="1"/>
  <c r="O23" i="1" s="1"/>
  <c r="AC19" i="1"/>
  <c r="S19" i="1"/>
  <c r="Q19" i="1" s="1"/>
  <c r="T19" i="1" s="1"/>
  <c r="N19" i="1" s="1"/>
  <c r="O19" i="1" s="1"/>
  <c r="X37" i="1"/>
  <c r="AB37" i="1" s="1"/>
  <c r="AE37" i="1"/>
  <c r="AF37" i="1" s="1"/>
  <c r="AD17" i="1"/>
  <c r="AF44" i="1" l="1"/>
  <c r="AF36" i="1"/>
  <c r="AF80" i="1"/>
  <c r="AF72" i="1"/>
  <c r="S52" i="1"/>
  <c r="Q52" i="1" s="1"/>
  <c r="T52" i="1" s="1"/>
  <c r="N52" i="1" s="1"/>
  <c r="O52" i="1" s="1"/>
  <c r="AD52" i="1"/>
  <c r="AE52" i="1"/>
  <c r="X52" i="1"/>
  <c r="AB52" i="1" s="1"/>
  <c r="AF60" i="1"/>
  <c r="S85" i="1"/>
  <c r="Q85" i="1" s="1"/>
  <c r="T85" i="1" s="1"/>
  <c r="N85" i="1" s="1"/>
  <c r="O85" i="1" s="1"/>
  <c r="AD85" i="1"/>
  <c r="S29" i="1"/>
  <c r="Q29" i="1" s="1"/>
  <c r="T29" i="1" s="1"/>
  <c r="N29" i="1" s="1"/>
  <c r="O29" i="1" s="1"/>
  <c r="AD29" i="1"/>
  <c r="AF29" i="1" s="1"/>
  <c r="AF85" i="1"/>
  <c r="AF22" i="1"/>
  <c r="AE63" i="1"/>
  <c r="X63" i="1"/>
  <c r="AB63" i="1" s="1"/>
  <c r="AD63" i="1"/>
  <c r="S63" i="1"/>
  <c r="Q63" i="1" s="1"/>
  <c r="T63" i="1" s="1"/>
  <c r="N63" i="1" s="1"/>
  <c r="O63" i="1" s="1"/>
  <c r="AE55" i="1"/>
  <c r="X55" i="1"/>
  <c r="AB55" i="1" s="1"/>
  <c r="AD55" i="1"/>
  <c r="AE51" i="1"/>
  <c r="X51" i="1"/>
  <c r="AB51" i="1" s="1"/>
  <c r="AD51" i="1"/>
  <c r="AE59" i="1"/>
  <c r="X59" i="1"/>
  <c r="AB59" i="1" s="1"/>
  <c r="AD59" i="1"/>
  <c r="AE47" i="1"/>
  <c r="AF47" i="1" s="1"/>
  <c r="X47" i="1"/>
  <c r="AB47" i="1" s="1"/>
  <c r="AD47" i="1"/>
  <c r="X79" i="1"/>
  <c r="AB79" i="1" s="1"/>
  <c r="AE79" i="1"/>
  <c r="S79" i="1"/>
  <c r="Q79" i="1" s="1"/>
  <c r="T79" i="1" s="1"/>
  <c r="N79" i="1" s="1"/>
  <c r="O79" i="1" s="1"/>
  <c r="AD79" i="1"/>
  <c r="AE49" i="1"/>
  <c r="AD49" i="1"/>
  <c r="X49" i="1"/>
  <c r="AB49" i="1" s="1"/>
  <c r="X34" i="1"/>
  <c r="AB34" i="1" s="1"/>
  <c r="AE34" i="1"/>
  <c r="AD34" i="1"/>
  <c r="X65" i="1"/>
  <c r="AB65" i="1" s="1"/>
  <c r="AD65" i="1"/>
  <c r="AE65" i="1"/>
  <c r="S65" i="1"/>
  <c r="Q65" i="1" s="1"/>
  <c r="T65" i="1" s="1"/>
  <c r="N65" i="1" s="1"/>
  <c r="O65" i="1" s="1"/>
  <c r="X30" i="1"/>
  <c r="AB30" i="1" s="1"/>
  <c r="AE30" i="1"/>
  <c r="AD30" i="1"/>
  <c r="S51" i="1"/>
  <c r="Q51" i="1" s="1"/>
  <c r="T51" i="1" s="1"/>
  <c r="N51" i="1" s="1"/>
  <c r="O51" i="1" s="1"/>
  <c r="S59" i="1"/>
  <c r="Q59" i="1" s="1"/>
  <c r="T59" i="1" s="1"/>
  <c r="N59" i="1" s="1"/>
  <c r="O59" i="1" s="1"/>
  <c r="X81" i="1"/>
  <c r="AB81" i="1" s="1"/>
  <c r="AE81" i="1"/>
  <c r="S81" i="1"/>
  <c r="Q81" i="1" s="1"/>
  <c r="T81" i="1" s="1"/>
  <c r="N81" i="1" s="1"/>
  <c r="O81" i="1" s="1"/>
  <c r="AD81" i="1"/>
  <c r="AF17" i="1"/>
  <c r="AF76" i="1"/>
  <c r="X83" i="1"/>
  <c r="AB83" i="1" s="1"/>
  <c r="AE83" i="1"/>
  <c r="S83" i="1"/>
  <c r="Q83" i="1" s="1"/>
  <c r="T83" i="1" s="1"/>
  <c r="N83" i="1" s="1"/>
  <c r="O83" i="1" s="1"/>
  <c r="AD83" i="1"/>
  <c r="X61" i="1"/>
  <c r="AB61" i="1" s="1"/>
  <c r="AD61" i="1"/>
  <c r="AE61" i="1"/>
  <c r="S61" i="1"/>
  <c r="Q61" i="1" s="1"/>
  <c r="T61" i="1" s="1"/>
  <c r="N61" i="1" s="1"/>
  <c r="O61" i="1" s="1"/>
  <c r="AE78" i="1"/>
  <c r="AD78" i="1"/>
  <c r="X78" i="1"/>
  <c r="AB78" i="1" s="1"/>
  <c r="S49" i="1"/>
  <c r="Q49" i="1" s="1"/>
  <c r="T49" i="1" s="1"/>
  <c r="N49" i="1" s="1"/>
  <c r="O49" i="1" s="1"/>
  <c r="AE71" i="1"/>
  <c r="X71" i="1"/>
  <c r="AB71" i="1" s="1"/>
  <c r="S71" i="1"/>
  <c r="Q71" i="1" s="1"/>
  <c r="T71" i="1" s="1"/>
  <c r="N71" i="1" s="1"/>
  <c r="O71" i="1" s="1"/>
  <c r="AD71" i="1"/>
  <c r="X48" i="1"/>
  <c r="AB48" i="1" s="1"/>
  <c r="AE48" i="1"/>
  <c r="AD48" i="1"/>
  <c r="AE53" i="1"/>
  <c r="X53" i="1"/>
  <c r="AB53" i="1" s="1"/>
  <c r="AD53" i="1"/>
  <c r="AE42" i="1"/>
  <c r="X42" i="1"/>
  <c r="AB42" i="1" s="1"/>
  <c r="AD42" i="1"/>
  <c r="S42" i="1"/>
  <c r="Q42" i="1" s="1"/>
  <c r="T42" i="1" s="1"/>
  <c r="N42" i="1" s="1"/>
  <c r="O42" i="1" s="1"/>
  <c r="AE43" i="1"/>
  <c r="X43" i="1"/>
  <c r="AB43" i="1" s="1"/>
  <c r="S43" i="1"/>
  <c r="Q43" i="1" s="1"/>
  <c r="T43" i="1" s="1"/>
  <c r="N43" i="1" s="1"/>
  <c r="O43" i="1" s="1"/>
  <c r="AD43" i="1"/>
  <c r="AE74" i="1"/>
  <c r="AD74" i="1"/>
  <c r="X74" i="1"/>
  <c r="AB74" i="1" s="1"/>
  <c r="AE35" i="1"/>
  <c r="AD35" i="1"/>
  <c r="X35" i="1"/>
  <c r="AB35" i="1" s="1"/>
  <c r="S74" i="1"/>
  <c r="Q74" i="1" s="1"/>
  <c r="T74" i="1" s="1"/>
  <c r="N74" i="1" s="1"/>
  <c r="O74" i="1" s="1"/>
  <c r="AF32" i="1"/>
  <c r="AE67" i="1"/>
  <c r="X67" i="1"/>
  <c r="AB67" i="1" s="1"/>
  <c r="AD67" i="1"/>
  <c r="S78" i="1"/>
  <c r="Q78" i="1" s="1"/>
  <c r="T78" i="1" s="1"/>
  <c r="N78" i="1" s="1"/>
  <c r="O78" i="1" s="1"/>
  <c r="X75" i="1"/>
  <c r="AB75" i="1" s="1"/>
  <c r="AE75" i="1"/>
  <c r="AD75" i="1"/>
  <c r="AE39" i="1"/>
  <c r="AD39" i="1"/>
  <c r="X39" i="1"/>
  <c r="AB39" i="1" s="1"/>
  <c r="AE70" i="1"/>
  <c r="AF70" i="1" s="1"/>
  <c r="X70" i="1"/>
  <c r="AB70" i="1" s="1"/>
  <c r="AD70" i="1"/>
  <c r="AE54" i="1"/>
  <c r="X54" i="1"/>
  <c r="AB54" i="1" s="1"/>
  <c r="AD54" i="1"/>
  <c r="X26" i="1"/>
  <c r="AB26" i="1" s="1"/>
  <c r="AE26" i="1"/>
  <c r="AD26" i="1"/>
  <c r="AE46" i="1"/>
  <c r="X46" i="1"/>
  <c r="AB46" i="1" s="1"/>
  <c r="AD46" i="1"/>
  <c r="AE58" i="1"/>
  <c r="AF58" i="1" s="1"/>
  <c r="X58" i="1"/>
  <c r="AB58" i="1" s="1"/>
  <c r="AD58" i="1"/>
  <c r="X45" i="1"/>
  <c r="AB45" i="1" s="1"/>
  <c r="AE45" i="1"/>
  <c r="AD45" i="1"/>
  <c r="X68" i="1"/>
  <c r="AB68" i="1" s="1"/>
  <c r="AE68" i="1"/>
  <c r="AD68" i="1"/>
  <c r="AE50" i="1"/>
  <c r="X50" i="1"/>
  <c r="AB50" i="1" s="1"/>
  <c r="AD50" i="1"/>
  <c r="AE82" i="1"/>
  <c r="AD82" i="1"/>
  <c r="X82" i="1"/>
  <c r="AB82" i="1" s="1"/>
  <c r="AF86" i="1"/>
  <c r="AF19" i="1"/>
  <c r="AE27" i="1"/>
  <c r="X27" i="1"/>
  <c r="AB27" i="1" s="1"/>
  <c r="AD27" i="1"/>
  <c r="X62" i="1"/>
  <c r="AB62" i="1" s="1"/>
  <c r="AE62" i="1"/>
  <c r="AD62" i="1"/>
  <c r="X18" i="1"/>
  <c r="AB18" i="1" s="1"/>
  <c r="AE18" i="1"/>
  <c r="AD18" i="1"/>
  <c r="S55" i="1"/>
  <c r="Q55" i="1" s="1"/>
  <c r="T55" i="1" s="1"/>
  <c r="N55" i="1" s="1"/>
  <c r="O55" i="1" s="1"/>
  <c r="X57" i="1"/>
  <c r="AB57" i="1" s="1"/>
  <c r="AE57" i="1"/>
  <c r="AD57" i="1"/>
  <c r="X73" i="1"/>
  <c r="AB73" i="1" s="1"/>
  <c r="AE73" i="1"/>
  <c r="AD73" i="1"/>
  <c r="AE31" i="1"/>
  <c r="X31" i="1"/>
  <c r="AB31" i="1" s="1"/>
  <c r="AD31" i="1"/>
  <c r="X38" i="1"/>
  <c r="AB38" i="1" s="1"/>
  <c r="AE38" i="1"/>
  <c r="AD38" i="1"/>
  <c r="X66" i="1"/>
  <c r="AB66" i="1" s="1"/>
  <c r="AE66" i="1"/>
  <c r="AD66" i="1"/>
  <c r="S54" i="1"/>
  <c r="Q54" i="1" s="1"/>
  <c r="T54" i="1" s="1"/>
  <c r="N54" i="1" s="1"/>
  <c r="O54" i="1" s="1"/>
  <c r="AF20" i="1"/>
  <c r="AF64" i="1"/>
  <c r="AF21" i="1"/>
  <c r="X77" i="1"/>
  <c r="AB77" i="1" s="1"/>
  <c r="AE77" i="1"/>
  <c r="AD77" i="1"/>
  <c r="S47" i="1"/>
  <c r="Q47" i="1" s="1"/>
  <c r="T47" i="1" s="1"/>
  <c r="N47" i="1" s="1"/>
  <c r="O47" i="1" s="1"/>
  <c r="AF66" i="1" l="1"/>
  <c r="AF34" i="1"/>
  <c r="AF67" i="1"/>
  <c r="AF61" i="1"/>
  <c r="AF51" i="1"/>
  <c r="AF52" i="1"/>
  <c r="AF54" i="1"/>
  <c r="AF53" i="1"/>
  <c r="AF49" i="1"/>
  <c r="AF81" i="1"/>
  <c r="AF43" i="1"/>
  <c r="AF46" i="1"/>
  <c r="AF83" i="1"/>
  <c r="AF57" i="1"/>
  <c r="AF82" i="1"/>
  <c r="AF68" i="1"/>
  <c r="AF39" i="1"/>
  <c r="AF65" i="1"/>
  <c r="AF35" i="1"/>
  <c r="AF31" i="1"/>
  <c r="AF27" i="1"/>
  <c r="AF50" i="1"/>
  <c r="AF45" i="1"/>
  <c r="AF78" i="1"/>
  <c r="AF55" i="1"/>
  <c r="AF75" i="1"/>
  <c r="AF48" i="1"/>
  <c r="AF38" i="1"/>
  <c r="AF18" i="1"/>
  <c r="AF73" i="1"/>
  <c r="AF74" i="1"/>
  <c r="AF42" i="1"/>
  <c r="AF30" i="1"/>
  <c r="AF59" i="1"/>
  <c r="AF77" i="1"/>
  <c r="AF26" i="1"/>
  <c r="AF79" i="1"/>
  <c r="AF62" i="1"/>
  <c r="AF71" i="1"/>
  <c r="AF63" i="1"/>
</calcChain>
</file>

<file path=xl/sharedStrings.xml><?xml version="1.0" encoding="utf-8"?>
<sst xmlns="http://schemas.openxmlformats.org/spreadsheetml/2006/main" count="2076" uniqueCount="728">
  <si>
    <t>File opened</t>
  </si>
  <si>
    <t>2023-11-16 09:06:20</t>
  </si>
  <si>
    <t>Console s/n</t>
  </si>
  <si>
    <t>68C-831539</t>
  </si>
  <si>
    <t>Console ver</t>
  </si>
  <si>
    <t>Bluestem v.2.1.08</t>
  </si>
  <si>
    <t>Scripts ver</t>
  </si>
  <si>
    <t>2022.05  2.1.08, Aug 2022</t>
  </si>
  <si>
    <t>Head s/n</t>
  </si>
  <si>
    <t>68H-891539</t>
  </si>
  <si>
    <t>Head ver</t>
  </si>
  <si>
    <t>1.4.22</t>
  </si>
  <si>
    <t>Head cal</t>
  </si>
  <si>
    <t>{"oxygen": "21", "co2azero": "0.984839", "co2aspan1": "1.00034", "co2aspan2": "-0.0267778", "co2aspan2a": "0.277994", "co2aspan2b": "0.27602", "co2aspanconc1": "2490", "co2aspanconc2": "303.6", "co2bzero": "0.980666", "co2bspan1": "1.00053", "co2bspan2": "-0.0279681", "co2bspan2a": "0.279156", "co2bspan2b": "0.277124", "co2bspanconc1": "2490", "co2bspanconc2": "303.6", "h2oazero": "1.10598", "h2oaspan1": "1.01178", "h2oaspan2": "0", "h2oaspan2a": "0.0711258", "h2oaspan2b": "0.0719634", "h2oaspanconc1": "12.71", "h2oaspanconc2": "0", "h2obzero": "1.10938", "h2obspan1": "1.00779", "h2obspan2": "0", "h2obspan2a": "0.0716626", "h2obspan2b": "0.0722211", "h2obspanconc1": "12.71", "h2obspanconc2": "0", "tazero": "-0.0666676", "tbzero": "-0.0277004", "flowmeterzero": "1.00285", "flowazero": "0.341", "flowbzero": "0.27495", "chamberpressurezero": "2.62865", "ssa_ref": "31797.9", "ssb_ref": "31865.7"}</t>
  </si>
  <si>
    <t>CO2 rangematch</t>
  </si>
  <si>
    <t>Tue Aug 29 07:41</t>
  </si>
  <si>
    <t>H2O rangematch</t>
  </si>
  <si>
    <t>Tue Aug 29 07:48</t>
  </si>
  <si>
    <t>Chamber type</t>
  </si>
  <si>
    <t>6800-01A</t>
  </si>
  <si>
    <t>Chamber s/n</t>
  </si>
  <si>
    <t>MPF-651414</t>
  </si>
  <si>
    <t>Chamber rev</t>
  </si>
  <si>
    <t>0</t>
  </si>
  <si>
    <t>Chamber cal</t>
  </si>
  <si>
    <t>Fluorometer</t>
  </si>
  <si>
    <t>Flr. Version</t>
  </si>
  <si>
    <t>09:06:20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</si>
  <si>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</si>
  <si>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</si>
  <si>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</si>
  <si>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</si>
  <si>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</si>
  <si>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</si>
  <si>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</si>
  <si>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</si>
  <si>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</si>
  <si>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</si>
  <si>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</si>
  <si>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</si>
  <si>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</si>
  <si>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</si>
  <si>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</si>
  <si>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</si>
  <si>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</si>
  <si>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</si>
  <si>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</si>
  <si>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</si>
  <si>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</si>
  <si>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</si>
  <si>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</si>
  <si>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</si>
  <si>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</si>
  <si>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</si>
  <si>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</si>
  <si>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</si>
  <si>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</si>
  <si>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</si>
  <si>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</si>
  <si>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</si>
  <si>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</si>
  <si>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</si>
  <si>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</si>
  <si>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</si>
  <si>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</si>
  <si>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</si>
  <si>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</si>
  <si>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</si>
  <si>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</si>
  <si>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</si>
  <si>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</si>
  <si>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</si>
  <si>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</si>
  <si>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</si>
  <si>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</si>
  <si>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</si>
  <si>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</si>
  <si>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</si>
  <si>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</si>
  <si>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</si>
  <si>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</si>
  <si>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4.11497 84.8306 399.079 653.008 902.356 1128.34 1261.12 1358.07</t>
  </si>
  <si>
    <t>Fs_true</t>
  </si>
  <si>
    <t>0.352572 103.349 402.504 601.009 801.315 1001.98 1201.05 1401.35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</si>
  <si>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</si>
  <si>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</si>
  <si>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</si>
  <si>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</si>
  <si>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</si>
  <si>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</si>
  <si>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</si>
  <si>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</si>
  <si>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</si>
  <si>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</si>
  <si>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</si>
  <si>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</si>
  <si>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</si>
  <si>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</si>
  <si>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</si>
  <si>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</si>
  <si>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</si>
  <si>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</si>
  <si>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</si>
  <si>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</si>
  <si>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</si>
  <si>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</si>
  <si>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</si>
  <si>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</si>
  <si>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</si>
  <si>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</si>
  <si>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</si>
  <si>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</si>
  <si>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</si>
  <si>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</si>
  <si>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</si>
  <si>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</si>
  <si>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</si>
  <si>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</si>
  <si>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</si>
  <si>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</si>
  <si>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</si>
  <si>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</si>
  <si>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</si>
  <si>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</si>
  <si>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</si>
  <si>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</si>
  <si>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</si>
  <si>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</si>
  <si>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</si>
  <si>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</si>
  <si>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</si>
  <si>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</si>
  <si>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</si>
  <si>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</si>
  <si>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</si>
  <si>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</si>
  <si>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</si>
  <si>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</si>
  <si>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</si>
  <si>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</si>
  <si>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</si>
  <si>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</si>
  <si>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</si>
  <si>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</si>
  <si>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</si>
  <si>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</si>
  <si>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</si>
  <si>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</si>
  <si>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</si>
  <si>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</si>
  <si>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</si>
  <si>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</si>
  <si>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</si>
  <si>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</si>
  <si>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</si>
  <si>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</si>
  <si>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</si>
  <si>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</si>
  <si>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</si>
  <si>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</si>
  <si>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</si>
  <si>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</si>
  <si>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</si>
  <si>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</si>
  <si>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</si>
  <si>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</si>
  <si>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</si>
  <si>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</si>
  <si>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</si>
  <si>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</si>
  <si>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</si>
  <si>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</si>
  <si>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</si>
  <si>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</si>
  <si>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</si>
  <si>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</si>
  <si>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</si>
  <si>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</si>
  <si>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</si>
  <si>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</si>
  <si>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</si>
  <si>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</si>
  <si>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</si>
  <si>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</si>
  <si>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</si>
  <si>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</si>
  <si>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</si>
  <si>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</si>
  <si>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</si>
  <si>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</si>
  <si>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</si>
  <si>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</si>
  <si>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</si>
  <si>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</si>
  <si>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</si>
  <si>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</si>
  <si>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</si>
  <si>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</si>
  <si>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</si>
  <si>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</si>
  <si>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</si>
  <si>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</si>
  <si>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</si>
  <si>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</si>
  <si>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</si>
  <si>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</si>
  <si>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</si>
  <si>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</si>
  <si>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</si>
  <si>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</si>
  <si>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</si>
  <si>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</si>
  <si>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</si>
  <si>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</si>
  <si>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</si>
  <si>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</si>
  <si>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</si>
  <si>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</si>
  <si>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</si>
  <si>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</si>
  <si>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</si>
  <si>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</si>
  <si>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</si>
  <si>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</si>
  <si>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</si>
  <si>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</si>
  <si>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</si>
  <si>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</si>
  <si>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</si>
  <si>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</si>
  <si>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</si>
  <si>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</si>
  <si>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</si>
  <si>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</si>
  <si>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</si>
  <si>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</si>
  <si>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</si>
  <si>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</si>
  <si>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</si>
  <si>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</si>
  <si>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</si>
  <si>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</si>
  <si>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</si>
  <si>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</si>
  <si>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</si>
  <si>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</si>
  <si>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</si>
  <si>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</si>
  <si>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</si>
  <si>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</si>
  <si>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</si>
  <si>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</si>
  <si>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</si>
  <si>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</si>
  <si>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</si>
  <si>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</si>
  <si>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</si>
  <si>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</si>
  <si>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</si>
  <si>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</si>
  <si>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</si>
  <si>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</si>
  <si>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</si>
  <si>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</si>
  <si>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</si>
  <si>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</si>
  <si>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</si>
  <si>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</si>
  <si>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</si>
  <si>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</si>
  <si>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</si>
  <si>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</si>
  <si>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</si>
  <si>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</si>
  <si>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</si>
  <si>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</si>
  <si>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</si>
  <si>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</si>
  <si>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</si>
  <si>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</si>
  <si>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</si>
  <si>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</si>
  <si>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</si>
  <si>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</si>
  <si>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</si>
  <si>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</si>
  <si>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</si>
  <si>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</si>
  <si>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</si>
  <si>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</si>
  <si>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</si>
  <si>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</si>
  <si>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</si>
  <si>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</si>
  <si>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</si>
  <si>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</si>
  <si>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</si>
  <si>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</si>
  <si>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</si>
  <si>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</si>
  <si>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</si>
  <si>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</si>
  <si>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</si>
  <si>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</si>
  <si>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</si>
  <si>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</si>
  <si>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</si>
  <si>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</si>
  <si>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</si>
  <si>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</si>
  <si>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</si>
  <si>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</si>
  <si>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</si>
  <si>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</si>
  <si>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</si>
  <si>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</si>
  <si>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</si>
  <si>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</si>
  <si>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</si>
  <si>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</si>
  <si>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</si>
  <si>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</si>
  <si>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</si>
  <si>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</si>
  <si>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</si>
  <si>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</si>
  <si>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</si>
  <si>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</si>
  <si>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</si>
  <si>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</si>
  <si>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</si>
  <si>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</si>
  <si>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</si>
  <si>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</si>
  <si>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</si>
  <si>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</si>
  <si>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</si>
  <si>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</si>
  <si>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</si>
  <si>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</si>
  <si>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</si>
  <si>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</si>
  <si>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</si>
  <si>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</si>
  <si>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</si>
  <si>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</si>
  <si>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</si>
  <si>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</si>
  <si>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</si>
  <si>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</si>
  <si>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</si>
  <si>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</si>
  <si>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</si>
  <si>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</si>
  <si>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</si>
  <si>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</si>
  <si>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</si>
  <si>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</si>
  <si>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</si>
  <si>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</si>
  <si>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</si>
  <si>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</si>
  <si>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</si>
  <si>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</si>
  <si>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</si>
  <si>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</si>
  <si>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</si>
  <si>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</si>
  <si>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</si>
  <si>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</si>
  <si>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</si>
  <si>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</si>
  <si>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</si>
  <si>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</si>
  <si>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</si>
  <si>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</si>
  <si>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</si>
  <si>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</si>
  <si>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</si>
  <si>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</si>
  <si>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</si>
  <si>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</si>
  <si>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</si>
  <si>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</si>
  <si>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</si>
  <si>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</si>
  <si>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</si>
  <si>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</si>
  <si>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</si>
  <si>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</si>
  <si>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</si>
  <si>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</si>
  <si>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</si>
  <si>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</si>
  <si>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</si>
  <si>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</si>
  <si>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</si>
  <si>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</si>
  <si>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</si>
  <si>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</si>
  <si>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</si>
  <si>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</si>
  <si>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</si>
  <si>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</si>
  <si>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</si>
  <si>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</si>
  <si>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</si>
  <si>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</si>
  <si>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</si>
  <si>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</si>
  <si>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20231116 09:17:36</t>
  </si>
  <si>
    <t>09:17:36</t>
  </si>
  <si>
    <t>none</t>
  </si>
  <si>
    <t>wt</t>
  </si>
  <si>
    <t>5</t>
  </si>
  <si>
    <t>RECT-12243-20210724-05_20_30</t>
  </si>
  <si>
    <t>MPF-34415-20231116-09_16_00</t>
  </si>
  <si>
    <t>DARK-34416-20231116-09_16_07</t>
  </si>
  <si>
    <t>0: Broadleaf</t>
  </si>
  <si>
    <t>09:16:59</t>
  </si>
  <si>
    <t>2/2</t>
  </si>
  <si>
    <t>11111111</t>
  </si>
  <si>
    <t>oooooooo</t>
  </si>
  <si>
    <t>off</t>
  </si>
  <si>
    <t>20231116 09:20:32</t>
  </si>
  <si>
    <t>09:20:32</t>
  </si>
  <si>
    <t>-</t>
  </si>
  <si>
    <t>09:18:49</t>
  </si>
  <si>
    <t>20231116 09:22:24</t>
  </si>
  <si>
    <t>09:22:24</t>
  </si>
  <si>
    <t>MPF-34417-20231116-09_20_48</t>
  </si>
  <si>
    <t>DARK-34418-20231116-09_20_55</t>
  </si>
  <si>
    <t>09:21:53</t>
  </si>
  <si>
    <t>20231116 09:26:08</t>
  </si>
  <si>
    <t>09:26:08</t>
  </si>
  <si>
    <t>MPF-34419-20231116-09_24_32</t>
  </si>
  <si>
    <t>DARK-34420-20231116-09_24_40</t>
  </si>
  <si>
    <t>09:23:35</t>
  </si>
  <si>
    <t>20231116 09:29:48</t>
  </si>
  <si>
    <t>09:29:48</t>
  </si>
  <si>
    <t>MPF-34421-20231116-09_28_12</t>
  </si>
  <si>
    <t>DARK-34422-20231116-09_28_19</t>
  </si>
  <si>
    <t>09:27:16</t>
  </si>
  <si>
    <t>20231116 09:33:10</t>
  </si>
  <si>
    <t>09:33:10</t>
  </si>
  <si>
    <t>MPF-34423-20231116-09_31_34</t>
  </si>
  <si>
    <t>DARK-34424-20231116-09_31_41</t>
  </si>
  <si>
    <t>09:30:59</t>
  </si>
  <si>
    <t>20231116 09:36:40</t>
  </si>
  <si>
    <t>09:36:40</t>
  </si>
  <si>
    <t>MPF-34425-20231116-09_35_04</t>
  </si>
  <si>
    <t>DARK-34426-20231116-09_35_12</t>
  </si>
  <si>
    <t>09:34:21</t>
  </si>
  <si>
    <t>20231116 09:38:46</t>
  </si>
  <si>
    <t>09:38:46</t>
  </si>
  <si>
    <t>09:38:13</t>
  </si>
  <si>
    <t>20231116 09:41:52</t>
  </si>
  <si>
    <t>09:41:52</t>
  </si>
  <si>
    <t>MPF-34427-20231116-09_40_16</t>
  </si>
  <si>
    <t>DARK-34428-20231116-09_40_23</t>
  </si>
  <si>
    <t>09:40:38</t>
  </si>
  <si>
    <t>20231116 09:44:50</t>
  </si>
  <si>
    <t>09:44:50</t>
  </si>
  <si>
    <t>09:43:26</t>
  </si>
  <si>
    <t>20231116 09:46:57</t>
  </si>
  <si>
    <t>09:46:57</t>
  </si>
  <si>
    <t>MPF-34429-20231116-09_45_21</t>
  </si>
  <si>
    <t>DARK-34430-20231116-09_45_28</t>
  </si>
  <si>
    <t>09:46:24</t>
  </si>
  <si>
    <t>20231116 09:48:45</t>
  </si>
  <si>
    <t>09:48:45</t>
  </si>
  <si>
    <t>09:48:11</t>
  </si>
  <si>
    <t>20231116 09:50:23</t>
  </si>
  <si>
    <t>09:50:23</t>
  </si>
  <si>
    <t>MPF-34431-20231116-09_48_48</t>
  </si>
  <si>
    <t>DARK-34432-20231116-09_48_55</t>
  </si>
  <si>
    <t>09:49:52</t>
  </si>
  <si>
    <t>20231116 09:52:14</t>
  </si>
  <si>
    <t>09:52:14</t>
  </si>
  <si>
    <t>09:51:42</t>
  </si>
  <si>
    <t>20231116 10:17:08</t>
  </si>
  <si>
    <t>10:17:08</t>
  </si>
  <si>
    <t>25</t>
  </si>
  <si>
    <t>MPF-34433-20231116-10_15_33</t>
  </si>
  <si>
    <t>DARK-34434-20231116-10_15_40</t>
  </si>
  <si>
    <t>10:16:30</t>
  </si>
  <si>
    <t>20231116 10:20:29</t>
  </si>
  <si>
    <t>10:20:29</t>
  </si>
  <si>
    <t>MPF-34435-20231116-10_18_53</t>
  </si>
  <si>
    <t>DARK-34436-20231116-10_19_00</t>
  </si>
  <si>
    <t>10:20:00</t>
  </si>
  <si>
    <t>20231116 10:22:49</t>
  </si>
  <si>
    <t>10:22:49</t>
  </si>
  <si>
    <t>10:22:20</t>
  </si>
  <si>
    <t>20231116 10:24:20</t>
  </si>
  <si>
    <t>10:24:20</t>
  </si>
  <si>
    <t>MPF-34437-20231116-10_22_44</t>
  </si>
  <si>
    <t>DARK-34438-20231116-10_22_51</t>
  </si>
  <si>
    <t>10:23:48</t>
  </si>
  <si>
    <t>1/2</t>
  </si>
  <si>
    <t>20231116 10:27:16</t>
  </si>
  <si>
    <t>10:27:16</t>
  </si>
  <si>
    <t>10:25:32</t>
  </si>
  <si>
    <t>20231116 10:29:53</t>
  </si>
  <si>
    <t>10:29:53</t>
  </si>
  <si>
    <t>MPF-34439-20231116-10_28_18</t>
  </si>
  <si>
    <t>DARK-34440-20231116-10_28_25</t>
  </si>
  <si>
    <t>10:28:18</t>
  </si>
  <si>
    <t>20231116 10:33:38</t>
  </si>
  <si>
    <t>10:33:38</t>
  </si>
  <si>
    <t>MPF-34441-20231116-10_32_02</t>
  </si>
  <si>
    <t>DARK-34442-20231116-10_32_09</t>
  </si>
  <si>
    <t>10:32:07</t>
  </si>
  <si>
    <t>20231116 10:36:44</t>
  </si>
  <si>
    <t>10:36:44</t>
  </si>
  <si>
    <t>MPF-34443-20231116-10_35_09</t>
  </si>
  <si>
    <t>DARK-34444-20231116-10_35_16</t>
  </si>
  <si>
    <t>10:35:21</t>
  </si>
  <si>
    <t>20231116 10:40:04</t>
  </si>
  <si>
    <t>10:40:04</t>
  </si>
  <si>
    <t>MPF-34445-20231116-10_38_28</t>
  </si>
  <si>
    <t>DARK-34446-20231116-10_38_35</t>
  </si>
  <si>
    <t>10:38:30</t>
  </si>
  <si>
    <t>20231116 10:43:07</t>
  </si>
  <si>
    <t>10:43:07</t>
  </si>
  <si>
    <t>MPF-34447-20231116-10_41_32</t>
  </si>
  <si>
    <t>DARK-34448-20231116-10_41_39</t>
  </si>
  <si>
    <t>10:41:49</t>
  </si>
  <si>
    <t>20231116 10:45:31</t>
  </si>
  <si>
    <t>10:45:31</t>
  </si>
  <si>
    <t>10:44:50</t>
  </si>
  <si>
    <t>20231116 10:47:23</t>
  </si>
  <si>
    <t>10:47:23</t>
  </si>
  <si>
    <t>MPF-34449-20231116-10_45_47</t>
  </si>
  <si>
    <t>DARK-34450-20231116-10_45_55</t>
  </si>
  <si>
    <t>10:46:51</t>
  </si>
  <si>
    <t>20231116 10:49:12</t>
  </si>
  <si>
    <t>10:49:12</t>
  </si>
  <si>
    <t>10:48:41</t>
  </si>
  <si>
    <t>20231116 10:50:45</t>
  </si>
  <si>
    <t>10:50:45</t>
  </si>
  <si>
    <t>MPF-34451-20231116-10_49_09</t>
  </si>
  <si>
    <t>DARK-34452-20231116-10_49_17</t>
  </si>
  <si>
    <t>10:50:15</t>
  </si>
  <si>
    <t>9</t>
  </si>
  <si>
    <t>20231116 12:16:43</t>
  </si>
  <si>
    <t>12:16:43</t>
  </si>
  <si>
    <t>3</t>
  </si>
  <si>
    <t>MPF-34469-20231116-12_15_07</t>
  </si>
  <si>
    <t>DARK-34470-20231116-12_15_15</t>
  </si>
  <si>
    <t>12:16:10</t>
  </si>
  <si>
    <t>20231116 12:20:19</t>
  </si>
  <si>
    <t>12:20:19</t>
  </si>
  <si>
    <t>MPF-34471-20231116-12_18_43</t>
  </si>
  <si>
    <t>DARK-34472-20231116-12_18_51</t>
  </si>
  <si>
    <t>12:19:38</t>
  </si>
  <si>
    <t>20231116 12:22:20</t>
  </si>
  <si>
    <t>12:22:20</t>
  </si>
  <si>
    <t>12:21:24</t>
  </si>
  <si>
    <t>20231116 12:23:55</t>
  </si>
  <si>
    <t>12:23:55</t>
  </si>
  <si>
    <t>MPF-34473-20231116-12_22_20</t>
  </si>
  <si>
    <t>DARK-34474-20231116-12_22_27</t>
  </si>
  <si>
    <t>12:23:22</t>
  </si>
  <si>
    <t>20231116 12:26:17</t>
  </si>
  <si>
    <t>12:26:17</t>
  </si>
  <si>
    <t>12:25:06</t>
  </si>
  <si>
    <t>20231116 12:29:27</t>
  </si>
  <si>
    <t>12:29:27</t>
  </si>
  <si>
    <t>MPF-34475-20231116-12_27_51</t>
  </si>
  <si>
    <t>DARK-34476-20231116-12_27_59</t>
  </si>
  <si>
    <t>12:27:36</t>
  </si>
  <si>
    <t>20231116 12:31:37</t>
  </si>
  <si>
    <t>12:31:37</t>
  </si>
  <si>
    <t>12:30:41</t>
  </si>
  <si>
    <t>20231116 12:33:23</t>
  </si>
  <si>
    <t>12:33:23</t>
  </si>
  <si>
    <t>MPF-34477-20231116-12_31_48</t>
  </si>
  <si>
    <t>DARK-34478-20231116-12_31_55</t>
  </si>
  <si>
    <t>12:32:45</t>
  </si>
  <si>
    <t>20231116 12:37:14</t>
  </si>
  <si>
    <t>12:37:14</t>
  </si>
  <si>
    <t>MPF-34479-20231116-12_35_39</t>
  </si>
  <si>
    <t>DARK-34480-20231116-12_35_46</t>
  </si>
  <si>
    <t>12:34:40</t>
  </si>
  <si>
    <t>20231116 12:39:36</t>
  </si>
  <si>
    <t>12:39:36</t>
  </si>
  <si>
    <t>12:38:35</t>
  </si>
  <si>
    <t>20231116 12:41:21</t>
  </si>
  <si>
    <t>12:41:21</t>
  </si>
  <si>
    <t>MPF-34481-20231116-12_39_46</t>
  </si>
  <si>
    <t>DARK-34482-20231116-12_39_53</t>
  </si>
  <si>
    <t>12:40:50</t>
  </si>
  <si>
    <t>20231116 12:43:10</t>
  </si>
  <si>
    <t>12:43:10</t>
  </si>
  <si>
    <t>12:42:42</t>
  </si>
  <si>
    <t>20231116 12:44:41</t>
  </si>
  <si>
    <t>12:44:41</t>
  </si>
  <si>
    <t>MPF-34483-20231116-12_43_05</t>
  </si>
  <si>
    <t>DARK-34484-20231116-12_43_13</t>
  </si>
  <si>
    <t>12:45:15</t>
  </si>
  <si>
    <t>20231116 12:47:10</t>
  </si>
  <si>
    <t>12:47:10</t>
  </si>
  <si>
    <t>12:46:38</t>
  </si>
  <si>
    <t>20231116 13:10:19</t>
  </si>
  <si>
    <t>13:10:19</t>
  </si>
  <si>
    <t>10</t>
  </si>
  <si>
    <t>MPF-34485-20231116-13_08_44</t>
  </si>
  <si>
    <t>DARK-34486-20231116-13_08_51</t>
  </si>
  <si>
    <t>13:09:45</t>
  </si>
  <si>
    <t>20231116 13:14:08</t>
  </si>
  <si>
    <t>13:14:08</t>
  </si>
  <si>
    <t>MPF-34487-20231116-13_12_32</t>
  </si>
  <si>
    <t>DARK-34488-20231116-13_12_40</t>
  </si>
  <si>
    <t>13:13:26</t>
  </si>
  <si>
    <t>20231116 13:17:13</t>
  </si>
  <si>
    <t>13:17:13</t>
  </si>
  <si>
    <t>MPF-34489-20231116-13_15_38</t>
  </si>
  <si>
    <t>DARK-34490-20231116-13_15_45</t>
  </si>
  <si>
    <t>13:15:22</t>
  </si>
  <si>
    <t>20231116 13:21:11</t>
  </si>
  <si>
    <t>13:21:11</t>
  </si>
  <si>
    <t>MPF-34491-20231116-13_19_35</t>
  </si>
  <si>
    <t>DARK-34492-20231116-13_19_43</t>
  </si>
  <si>
    <t>13:19:24</t>
  </si>
  <si>
    <t>20231116 13:26:20</t>
  </si>
  <si>
    <t>13:26:20</t>
  </si>
  <si>
    <t>MPF-34493-20231116-13_24_45</t>
  </si>
  <si>
    <t>DARK-34494-20231116-13_24_52</t>
  </si>
  <si>
    <t>13:23:01</t>
  </si>
  <si>
    <t>20231116 13:28:35</t>
  </si>
  <si>
    <t>13:28:35</t>
  </si>
  <si>
    <t>13:27:35</t>
  </si>
  <si>
    <t>20231116 13:30:12</t>
  </si>
  <si>
    <t>13:30:12</t>
  </si>
  <si>
    <t>MPF-34495-20231116-13_28_37</t>
  </si>
  <si>
    <t>DARK-34496-20231116-13_28_44</t>
  </si>
  <si>
    <t>13:29:40</t>
  </si>
  <si>
    <t>20231116 13:32:13</t>
  </si>
  <si>
    <t>13:32:13</t>
  </si>
  <si>
    <t>13:31:42</t>
  </si>
  <si>
    <t>20231116 13:33:48</t>
  </si>
  <si>
    <t>13:33:48</t>
  </si>
  <si>
    <t>MPF-34497-20231116-13_32_13</t>
  </si>
  <si>
    <t>DARK-34498-20231116-13_32_20</t>
  </si>
  <si>
    <t>13:33:18</t>
  </si>
  <si>
    <t>20231116 13:37:15</t>
  </si>
  <si>
    <t>13:37:15</t>
  </si>
  <si>
    <t>MPF-34499-20231116-13_35_40</t>
  </si>
  <si>
    <t>DARK-34500-20231116-13_35_47</t>
  </si>
  <si>
    <t>13:35:12</t>
  </si>
  <si>
    <t>20231116 13:39:19</t>
  </si>
  <si>
    <t>13:39:19</t>
  </si>
  <si>
    <t>13:38:47</t>
  </si>
  <si>
    <t>20231116 13:41:46</t>
  </si>
  <si>
    <t>13:41:46</t>
  </si>
  <si>
    <t>MPF-34501-20231116-13_40_11</t>
  </si>
  <si>
    <t>DARK-34502-20231116-13_40_18</t>
  </si>
  <si>
    <t>13:41:14</t>
  </si>
  <si>
    <t>20231116 13:44:18</t>
  </si>
  <si>
    <t>13:44:18</t>
  </si>
  <si>
    <t>13:43:45</t>
  </si>
  <si>
    <t>20231116 13:45:52</t>
  </si>
  <si>
    <t>13:45:52</t>
  </si>
  <si>
    <t>MPF-34503-20231116-13_44_17</t>
  </si>
  <si>
    <t>DARK-34504-20231116-13_44_24</t>
  </si>
  <si>
    <t>13:45:22</t>
  </si>
  <si>
    <t>20231116 14:07:10</t>
  </si>
  <si>
    <t>14:07:10</t>
  </si>
  <si>
    <t>7</t>
  </si>
  <si>
    <t>MPF-34505-20231116-14_05_35</t>
  </si>
  <si>
    <t>DARK-34506-20231116-14_05_42</t>
  </si>
  <si>
    <t>14:06:23</t>
  </si>
  <si>
    <t>20231116 14:10:36</t>
  </si>
  <si>
    <t>14:10:36</t>
  </si>
  <si>
    <t>MPF-34507-20231116-14_09_01</t>
  </si>
  <si>
    <t>DARK-34508-20231116-14_09_08</t>
  </si>
  <si>
    <t>14:10:01</t>
  </si>
  <si>
    <t>20231116 14:12:17</t>
  </si>
  <si>
    <t>14:12:17</t>
  </si>
  <si>
    <t>14:11:48</t>
  </si>
  <si>
    <t>20231116 14:16:41</t>
  </si>
  <si>
    <t>14:16:41</t>
  </si>
  <si>
    <t>MPF-34509-20231116-14_15_06</t>
  </si>
  <si>
    <t>DARK-34510-20231116-14_15_13</t>
  </si>
  <si>
    <t>14:13:18</t>
  </si>
  <si>
    <t>20231116 14:18:52</t>
  </si>
  <si>
    <t>14:18:52</t>
  </si>
  <si>
    <t>14:18:27</t>
  </si>
  <si>
    <t>20231116 14:20:35</t>
  </si>
  <si>
    <t>14:20:35</t>
  </si>
  <si>
    <t>MPF-34511-20231116-14_19_00</t>
  </si>
  <si>
    <t>DARK-34512-20231116-14_19_07</t>
  </si>
  <si>
    <t>14:20:08</t>
  </si>
  <si>
    <t>20231116 14:25:14</t>
  </si>
  <si>
    <t>14:25:14</t>
  </si>
  <si>
    <t>MPF-34513-20231116-14_23_39</t>
  </si>
  <si>
    <t>DARK-34514-20231116-14_23_46</t>
  </si>
  <si>
    <t>14:21:48</t>
  </si>
  <si>
    <t>20231116 14:28:37</t>
  </si>
  <si>
    <t>14:28:37</t>
  </si>
  <si>
    <t>MPF-34515-20231116-14_27_02</t>
  </si>
  <si>
    <t>DARK-34516-20231116-14_27_09</t>
  </si>
  <si>
    <t>14:26:29</t>
  </si>
  <si>
    <t>20231116 14:30:26</t>
  </si>
  <si>
    <t>14:30:26</t>
  </si>
  <si>
    <t>14:29:50</t>
  </si>
  <si>
    <t>20231116 14:32:57</t>
  </si>
  <si>
    <t>14:32:57</t>
  </si>
  <si>
    <t>MPF-34517-20231116-14_31_22</t>
  </si>
  <si>
    <t>DARK-34518-20231116-14_31_29</t>
  </si>
  <si>
    <t>14:31:29</t>
  </si>
  <si>
    <t>20231116 14:35:15</t>
  </si>
  <si>
    <t>14:35:15</t>
  </si>
  <si>
    <t>14:34:12</t>
  </si>
  <si>
    <t>20231116 14:37:00</t>
  </si>
  <si>
    <t>14:37:00</t>
  </si>
  <si>
    <t>MPF-34519-20231116-14_35_25</t>
  </si>
  <si>
    <t>DARK-34520-20231116-14_35_32</t>
  </si>
  <si>
    <t>14:36:28</t>
  </si>
  <si>
    <t>20231116 14:39:01</t>
  </si>
  <si>
    <t>14:39:01</t>
  </si>
  <si>
    <t>14:38:32</t>
  </si>
  <si>
    <t>20231116 14:40:47</t>
  </si>
  <si>
    <t>14:40:47</t>
  </si>
  <si>
    <t>MPF-34521-20231116-14_39_12</t>
  </si>
  <si>
    <t>DARK-34522-20231116-14_39_20</t>
  </si>
  <si>
    <t>14:40:17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</si>
</sst>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86"/>
  <sheetViews>
    <sheetView tabSelected="1" topLeftCell="A31" workbookViewId="0">
      <selection activeCell="A45" sqref="A45:XFD58"/>
    </sheetView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1700147856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1700147856</v>
      </c>
      <c r="J17">
        <f t="shared" ref="J17:J44" si="0">(K17)/1000</f>
        <v>3.3469397104683297E-3</v>
      </c>
      <c r="K17">
        <f t="shared" ref="K17:K44" si="1">1000*DK17*AI17*(DG17-DH17)/(100*CZ17*(1000-AI17*DG17))</f>
        <v>3.3469397104683298</v>
      </c>
      <c r="L17">
        <f t="shared" ref="L17:L44" si="2">DK17*AI17*(DF17-DE17*(1000-AI17*DH17)/(1000-AI17*DG17))/(100*CZ17)</f>
        <v>38.421375596158946</v>
      </c>
      <c r="M17">
        <f t="shared" ref="M17:M44" si="3">DE17 - IF(AI17&gt;1, L17*CZ17*100/(AK17*DS17), 0)</f>
        <v>410.10700000000003</v>
      </c>
      <c r="N17">
        <f t="shared" ref="N17:N44" si="4">((T17-J17/2)*M17-L17)/(T17+J17/2)</f>
        <v>97.693704205236173</v>
      </c>
      <c r="O17">
        <f t="shared" ref="O17:O44" si="5">N17*(DL17+DM17)/1000</f>
        <v>9.7477750806684931</v>
      </c>
      <c r="P17">
        <f t="shared" ref="P17:P44" si="6">(DE17 - IF(AI17&gt;1, L17*CZ17*100/(AK17*DS17), 0))*(DL17+DM17)/1000</f>
        <v>40.9200452324895</v>
      </c>
      <c r="Q17">
        <f t="shared" ref="Q17:Q44" si="7">2/((1/S17-1/R17)+SIGN(S17)*SQRT((1/S17-1/R17)*(1/S17-1/R17) + 4*DA17/((DA17+1)*(DA17+1))*(2*1/S17*1/R17-1/R17*1/R17)))</f>
        <v>0.20743502582079537</v>
      </c>
      <c r="R17">
        <f t="shared" ref="R17:R44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3.137029177507773</v>
      </c>
      <c r="S17">
        <f t="shared" ref="S17:S44" si="9">J17*(1000-(1000*0.61365*EXP(17.502*W17/(240.97+W17))/(DL17+DM17)+DG17)/2)/(1000*0.61365*EXP(17.502*W17/(240.97+W17))/(DL17+DM17)-DG17)</f>
        <v>0.20010497083436987</v>
      </c>
      <c r="T17">
        <f t="shared" ref="T17:T44" si="10">1/((DA17+1)/(Q17/1.6)+1/(R17/1.37)) + DA17/((DA17+1)/(Q17/1.6) + DA17/(R17/1.37))</f>
        <v>0.12570260387673066</v>
      </c>
      <c r="U17">
        <f t="shared" ref="U17:U44" si="11">(CV17*CY17)</f>
        <v>289.58025641905925</v>
      </c>
      <c r="V17">
        <f t="shared" ref="V17:V44" si="12">(DN17+(U17+2*0.95*0.0000000567*(((DN17+$B$7)+273)^4-(DN17+273)^4)-44100*J17)/(1.84*29.3*R17+8*0.95*0.0000000567*(DN17+273)^3))</f>
        <v>29.925480980783558</v>
      </c>
      <c r="W17">
        <f t="shared" ref="W17:W44" si="13">($C$7*DO17+$D$7*DP17+$E$7*V17)</f>
        <v>29.9695</v>
      </c>
      <c r="X17">
        <f t="shared" ref="X17:X44" si="14">0.61365*EXP(17.502*W17/(240.97+W17))</f>
        <v>4.2529916071440681</v>
      </c>
      <c r="Y17">
        <f t="shared" ref="Y17:Y44" si="15">(Z17/AA17*100)</f>
        <v>65.152535548768654</v>
      </c>
      <c r="Z17">
        <f t="shared" ref="Z17:Z44" si="16">DG17*(DL17+DM17)/1000</f>
        <v>2.6417574183808497</v>
      </c>
      <c r="AA17">
        <f t="shared" ref="AA17:AA44" si="17">0.61365*EXP(17.502*DN17/(240.97+DN17))</f>
        <v>4.0547269513454527</v>
      </c>
      <c r="AB17">
        <f t="shared" ref="AB17:AB44" si="18">(X17-DG17*(DL17+DM17)/1000)</f>
        <v>1.6112341887632184</v>
      </c>
      <c r="AC17">
        <f t="shared" ref="AC17:AC44" si="19">(-J17*44100)</f>
        <v>-147.60004123165334</v>
      </c>
      <c r="AD17">
        <f t="shared" ref="AD17:AD44" si="20">2*29.3*R17*0.92*(DN17-W17)</f>
        <v>-140.10192149754448</v>
      </c>
      <c r="AE17">
        <f t="shared" ref="AE17:AE44" si="21">2*0.95*0.0000000567*(((DN17+$B$7)+273)^4-(W17+273)^4)</f>
        <v>-9.8867112536002981</v>
      </c>
      <c r="AF17">
        <f t="shared" ref="AF17:AF44" si="22">U17+AE17+AC17+AD17</f>
        <v>-8.0084175637388739</v>
      </c>
      <c r="AG17">
        <v>266</v>
      </c>
      <c r="AH17">
        <v>53</v>
      </c>
      <c r="AI17">
        <f t="shared" ref="AI17:AI44" si="23">IF(AG17*$H$13&gt;=AK17,1,(AK17/(AK17-AG17*$H$13)))</f>
        <v>1</v>
      </c>
      <c r="AJ17">
        <f t="shared" ref="AJ17:AJ44" si="24">(AI17-1)*100</f>
        <v>0</v>
      </c>
      <c r="AK17">
        <f t="shared" ref="AK17:AK44" si="25">MAX(0,($B$13+$C$13*DS17)/(1+$D$13*DS17)*DL17/(DN17+273)*$E$13)</f>
        <v>52302.606236463827</v>
      </c>
      <c r="AL17" t="s">
        <v>415</v>
      </c>
      <c r="AM17">
        <v>10238.9</v>
      </c>
      <c r="AN17">
        <v>302.21199999999999</v>
      </c>
      <c r="AO17">
        <v>4052.3</v>
      </c>
      <c r="AP17">
        <f t="shared" ref="AP17:AP44" si="26">1-AN17/AO17</f>
        <v>0.92542210596451402</v>
      </c>
      <c r="AQ17">
        <v>-0.32343011824092421</v>
      </c>
      <c r="AR17" t="s">
        <v>416</v>
      </c>
      <c r="AS17">
        <v>7109.95</v>
      </c>
      <c r="AT17">
        <v>584.57461538461541</v>
      </c>
      <c r="AU17">
        <v>844.16142537531073</v>
      </c>
      <c r="AV17">
        <f t="shared" ref="AV17:AV44" si="27">1-AT17/AU17</f>
        <v>0.30750849563551674</v>
      </c>
      <c r="AW17">
        <v>0.5</v>
      </c>
      <c r="AX17">
        <f t="shared" ref="AX17:AX44" si="28">CW17</f>
        <v>1513.2600002171291</v>
      </c>
      <c r="AY17">
        <f t="shared" ref="AY17:AY44" si="29">L17</f>
        <v>38.421375596158946</v>
      </c>
      <c r="AZ17">
        <f t="shared" ref="AZ17:AZ44" si="30">AV17*AW17*AX17</f>
        <v>232.67015308608555</v>
      </c>
      <c r="BA17">
        <f t="shared" ref="BA17:BA44" si="31">(AY17-AQ17)/AX17</f>
        <v>2.5603535221204943E-2</v>
      </c>
      <c r="BB17">
        <f t="shared" ref="BB17:BB44" si="32">(AO17-AU17)/AU17</f>
        <v>3.8003851848576997</v>
      </c>
      <c r="BC17">
        <f t="shared" ref="BC17:BC44" si="33">AN17/(AP17+AN17/AU17)</f>
        <v>235.4731013361345</v>
      </c>
      <c r="BD17" t="s">
        <v>417</v>
      </c>
      <c r="BE17">
        <v>413.35</v>
      </c>
      <c r="BF17">
        <f t="shared" ref="BF17:BF44" si="34">IF(BE17&lt;&gt;0, BE17, BC17)</f>
        <v>413.35</v>
      </c>
      <c r="BG17">
        <f t="shared" ref="BG17:BG44" si="35">1-BF17/AU17</f>
        <v>0.51034246818820672</v>
      </c>
      <c r="BH17">
        <f t="shared" ref="BH17:BH44" si="36">(AU17-AT17)/(AU17-BF17)</f>
        <v>0.60255321632788783</v>
      </c>
      <c r="BI17">
        <f t="shared" ref="BI17:BI44" si="37">(AO17-AU17)/(AO17-BF17)</f>
        <v>0.88161106215383267</v>
      </c>
      <c r="BJ17">
        <f t="shared" ref="BJ17:BJ44" si="38">(AU17-AT17)/(AU17-AN17)</f>
        <v>0.47898714868260317</v>
      </c>
      <c r="BK17">
        <f t="shared" ref="BK17:BK44" si="39">(AO17-AU17)/(AO17-AN17)</f>
        <v>0.85548354455273834</v>
      </c>
      <c r="BL17">
        <f t="shared" ref="BL17:BL44" si="40">(BH17*BF17/AT17)</f>
        <v>0.4260625853643375</v>
      </c>
      <c r="BM17">
        <f t="shared" ref="BM17:BM44" si="41">(1-BL17)</f>
        <v>0.5739374146356625</v>
      </c>
      <c r="BN17">
        <v>34415</v>
      </c>
      <c r="BO17">
        <v>290.00000000000011</v>
      </c>
      <c r="BP17">
        <v>771.78</v>
      </c>
      <c r="BQ17">
        <v>295</v>
      </c>
      <c r="BR17">
        <v>7109.95</v>
      </c>
      <c r="BS17">
        <v>772.58</v>
      </c>
      <c r="BT17">
        <v>-0.8</v>
      </c>
      <c r="BU17">
        <v>300.00000000000011</v>
      </c>
      <c r="BV17">
        <v>38.299999999999997</v>
      </c>
      <c r="BW17">
        <v>844.16142537531073</v>
      </c>
      <c r="BX17">
        <v>1.275063776461298</v>
      </c>
      <c r="BY17">
        <v>-50.892241555933232</v>
      </c>
      <c r="BZ17">
        <v>0.76002932901061238</v>
      </c>
      <c r="CA17">
        <v>0.9937939975258715</v>
      </c>
      <c r="CB17">
        <v>-7.008136596218028E-3</v>
      </c>
      <c r="CC17">
        <v>289.99999999999989</v>
      </c>
      <c r="CD17">
        <v>782.37</v>
      </c>
      <c r="CE17">
        <v>885</v>
      </c>
      <c r="CF17">
        <v>7102.84</v>
      </c>
      <c r="CG17">
        <v>772.51</v>
      </c>
      <c r="CH17">
        <v>9.86</v>
      </c>
      <c r="CV17">
        <f t="shared" ref="CV17:CV44" si="42">$B$11*DT17+$C$11*DU17+$F$11*EF17*(1-EI17)</f>
        <v>1800.09</v>
      </c>
      <c r="CW17">
        <f t="shared" ref="CW17:CW44" si="43">CV17*CX17</f>
        <v>1513.2600002171291</v>
      </c>
      <c r="CX17">
        <f t="shared" ref="CX17:CX44" si="44">($B$11*$D$9+$C$11*$D$9+$F$11*((ES17+EK17)/MAX(ES17+EK17+ET17, 0.1)*$I$9+ET17/MAX(ES17+EK17+ET17, 0.1)*$J$9))/($B$11+$C$11+$F$11)</f>
        <v>0.84065796722226616</v>
      </c>
      <c r="CY17">
        <f t="shared" ref="CY17:CY44" si="45">($B$11*$K$9+$C$11*$K$9+$F$11*((ES17+EK17)/MAX(ES17+EK17+ET17, 0.1)*$P$9+ET17/MAX(ES17+EK17+ET17, 0.1)*$Q$9))/($B$11+$C$11+$F$11)</f>
        <v>0.16086987673897377</v>
      </c>
      <c r="CZ17">
        <v>5</v>
      </c>
      <c r="DA17">
        <v>0.5</v>
      </c>
      <c r="DB17" t="s">
        <v>418</v>
      </c>
      <c r="DC17">
        <v>2</v>
      </c>
      <c r="DD17">
        <v>1700147856</v>
      </c>
      <c r="DE17">
        <v>410.10700000000003</v>
      </c>
      <c r="DF17">
        <v>449.89699999999999</v>
      </c>
      <c r="DG17">
        <v>26.476099999999999</v>
      </c>
      <c r="DH17">
        <v>23.2181</v>
      </c>
      <c r="DI17">
        <v>410.64</v>
      </c>
      <c r="DJ17">
        <v>26.140599999999999</v>
      </c>
      <c r="DK17">
        <v>500.05</v>
      </c>
      <c r="DL17">
        <v>99.679100000000005</v>
      </c>
      <c r="DM17">
        <v>9.9848500000000007E-2</v>
      </c>
      <c r="DN17">
        <v>29.141100000000002</v>
      </c>
      <c r="DO17">
        <v>29.9695</v>
      </c>
      <c r="DP17">
        <v>999.9</v>
      </c>
      <c r="DQ17">
        <v>0</v>
      </c>
      <c r="DR17">
        <v>0</v>
      </c>
      <c r="DS17">
        <v>9993.75</v>
      </c>
      <c r="DT17">
        <v>0</v>
      </c>
      <c r="DU17">
        <v>469.27</v>
      </c>
      <c r="DV17">
        <v>-39.79</v>
      </c>
      <c r="DW17">
        <v>421.26</v>
      </c>
      <c r="DX17">
        <v>460.59100000000001</v>
      </c>
      <c r="DY17">
        <v>3.2579899999999999</v>
      </c>
      <c r="DZ17">
        <v>449.89699999999999</v>
      </c>
      <c r="EA17">
        <v>23.2181</v>
      </c>
      <c r="EB17">
        <v>2.6391100000000001</v>
      </c>
      <c r="EC17">
        <v>2.3143600000000002</v>
      </c>
      <c r="ED17">
        <v>21.910799999999998</v>
      </c>
      <c r="EE17">
        <v>19.776700000000002</v>
      </c>
      <c r="EF17">
        <v>1800.09</v>
      </c>
      <c r="EG17">
        <v>0.97800600000000004</v>
      </c>
      <c r="EH17">
        <v>2.1994300000000001E-2</v>
      </c>
      <c r="EI17">
        <v>0</v>
      </c>
      <c r="EJ17">
        <v>584.33900000000006</v>
      </c>
      <c r="EK17">
        <v>4.9996700000000001</v>
      </c>
      <c r="EL17">
        <v>17536.099999999999</v>
      </c>
      <c r="EM17">
        <v>15047.5</v>
      </c>
      <c r="EN17">
        <v>50.625</v>
      </c>
      <c r="EO17">
        <v>51.625</v>
      </c>
      <c r="EP17">
        <v>51.436999999999998</v>
      </c>
      <c r="EQ17">
        <v>51.25</v>
      </c>
      <c r="ER17">
        <v>51.875</v>
      </c>
      <c r="ES17">
        <v>1755.61</v>
      </c>
      <c r="ET17">
        <v>39.479999999999997</v>
      </c>
      <c r="EU17">
        <v>0</v>
      </c>
      <c r="EV17">
        <v>1700147996.9000001</v>
      </c>
      <c r="EW17">
        <v>0</v>
      </c>
      <c r="EX17">
        <v>584.57461538461541</v>
      </c>
      <c r="EY17">
        <v>-0.29292309179206882</v>
      </c>
      <c r="EZ17">
        <v>-231.876922725101</v>
      </c>
      <c r="FA17">
        <v>17559.376923076921</v>
      </c>
      <c r="FB17">
        <v>15</v>
      </c>
      <c r="FC17">
        <v>1700147819.5</v>
      </c>
      <c r="FD17" t="s">
        <v>419</v>
      </c>
      <c r="FE17">
        <v>1700147819</v>
      </c>
      <c r="FF17">
        <v>1700147819.5</v>
      </c>
      <c r="FG17">
        <v>2</v>
      </c>
      <c r="FH17">
        <v>0.36699999999999999</v>
      </c>
      <c r="FI17">
        <v>-6.2E-2</v>
      </c>
      <c r="FJ17">
        <v>-0.54400000000000004</v>
      </c>
      <c r="FK17">
        <v>0.29699999999999999</v>
      </c>
      <c r="FL17">
        <v>449</v>
      </c>
      <c r="FM17">
        <v>23</v>
      </c>
      <c r="FN17">
        <v>7.0000000000000007E-2</v>
      </c>
      <c r="FO17">
        <v>0.03</v>
      </c>
      <c r="FP17">
        <v>38.402104391449512</v>
      </c>
      <c r="FQ17">
        <v>-0.2542881132727855</v>
      </c>
      <c r="FR17">
        <v>9.6123650008557798E-2</v>
      </c>
      <c r="FS17">
        <v>1</v>
      </c>
      <c r="FT17">
        <v>0.2111778859962804</v>
      </c>
      <c r="FU17">
        <v>-2.3361581736505151E-2</v>
      </c>
      <c r="FV17">
        <v>1.8756568395880129E-3</v>
      </c>
      <c r="FW17">
        <v>1</v>
      </c>
      <c r="FX17">
        <v>2</v>
      </c>
      <c r="FY17">
        <v>2</v>
      </c>
      <c r="FZ17" t="s">
        <v>420</v>
      </c>
      <c r="GA17">
        <v>3.0121799999999999</v>
      </c>
      <c r="GB17">
        <v>2.7768799999999998</v>
      </c>
      <c r="GC17">
        <v>9.0302199999999999E-2</v>
      </c>
      <c r="GD17">
        <v>9.7364099999999995E-2</v>
      </c>
      <c r="GE17">
        <v>0.12273199999999999</v>
      </c>
      <c r="GF17">
        <v>0.11326600000000001</v>
      </c>
      <c r="GG17">
        <v>21744.2</v>
      </c>
      <c r="GH17">
        <v>22292.6</v>
      </c>
      <c r="GI17">
        <v>23673.4</v>
      </c>
      <c r="GJ17">
        <v>24359.1</v>
      </c>
      <c r="GK17">
        <v>30711.8</v>
      </c>
      <c r="GL17">
        <v>30959.1</v>
      </c>
      <c r="GM17">
        <v>38764.699999999997</v>
      </c>
      <c r="GN17">
        <v>38774.400000000001</v>
      </c>
      <c r="GO17">
        <v>1.3967499999999999</v>
      </c>
      <c r="GP17">
        <v>1.8541300000000001</v>
      </c>
      <c r="GQ17">
        <v>4.4874799999999999E-2</v>
      </c>
      <c r="GR17">
        <v>0</v>
      </c>
      <c r="GS17">
        <v>29.238700000000001</v>
      </c>
      <c r="GT17">
        <v>999.9</v>
      </c>
      <c r="GU17">
        <v>69.3</v>
      </c>
      <c r="GV17">
        <v>31.5</v>
      </c>
      <c r="GW17">
        <v>32.268099999999997</v>
      </c>
      <c r="GX17">
        <v>61.3</v>
      </c>
      <c r="GY17">
        <v>30.536899999999999</v>
      </c>
      <c r="GZ17">
        <v>1</v>
      </c>
      <c r="HA17">
        <v>0.64505299999999999</v>
      </c>
      <c r="HB17">
        <v>4.3296299999999999</v>
      </c>
      <c r="HC17">
        <v>20.331399999999999</v>
      </c>
      <c r="HD17">
        <v>5.2451400000000001</v>
      </c>
      <c r="HE17">
        <v>11.997999999999999</v>
      </c>
      <c r="HF17">
        <v>4.9632500000000004</v>
      </c>
      <c r="HG17">
        <v>3.3008999999999999</v>
      </c>
      <c r="HH17">
        <v>9999</v>
      </c>
      <c r="HI17">
        <v>9999</v>
      </c>
      <c r="HJ17">
        <v>9999</v>
      </c>
      <c r="HK17">
        <v>999.9</v>
      </c>
      <c r="HL17">
        <v>1.87469</v>
      </c>
      <c r="HM17">
        <v>1.8800399999999999</v>
      </c>
      <c r="HN17">
        <v>1.88015</v>
      </c>
      <c r="HO17">
        <v>1.8788100000000001</v>
      </c>
      <c r="HP17">
        <v>1.8812599999999999</v>
      </c>
      <c r="HQ17">
        <v>1.8771100000000001</v>
      </c>
      <c r="HR17">
        <v>1.8748100000000001</v>
      </c>
      <c r="HS17">
        <v>1.8821699999999999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-0.53300000000000003</v>
      </c>
      <c r="IH17">
        <v>0.33550000000000002</v>
      </c>
      <c r="II17">
        <v>-0.61456324559309528</v>
      </c>
      <c r="IJ17">
        <v>7.0786345690369205E-4</v>
      </c>
      <c r="IK17">
        <v>-1.387476646623666E-6</v>
      </c>
      <c r="IL17">
        <v>3.6592443641472651E-10</v>
      </c>
      <c r="IM17">
        <v>0.33545958630327338</v>
      </c>
      <c r="IN17">
        <v>0</v>
      </c>
      <c r="IO17">
        <v>0</v>
      </c>
      <c r="IP17">
        <v>0</v>
      </c>
      <c r="IQ17">
        <v>2</v>
      </c>
      <c r="IR17">
        <v>2142</v>
      </c>
      <c r="IS17">
        <v>1</v>
      </c>
      <c r="IT17">
        <v>24</v>
      </c>
      <c r="IU17">
        <v>0.6</v>
      </c>
      <c r="IV17">
        <v>0.6</v>
      </c>
      <c r="IW17">
        <v>1.09741</v>
      </c>
      <c r="IX17">
        <v>2.5842299999999998</v>
      </c>
      <c r="IY17">
        <v>1.5490699999999999</v>
      </c>
      <c r="IZ17">
        <v>2.3791500000000001</v>
      </c>
      <c r="JA17">
        <v>1.5966800000000001</v>
      </c>
      <c r="JB17">
        <v>2.3571800000000001</v>
      </c>
      <c r="JC17">
        <v>36.457799999999999</v>
      </c>
      <c r="JD17">
        <v>14.911300000000001</v>
      </c>
      <c r="JE17">
        <v>18</v>
      </c>
      <c r="JF17">
        <v>221.74100000000001</v>
      </c>
      <c r="JG17">
        <v>488.80700000000002</v>
      </c>
      <c r="JH17">
        <v>24.638100000000001</v>
      </c>
      <c r="JI17">
        <v>34.992899999999999</v>
      </c>
      <c r="JJ17">
        <v>30.000399999999999</v>
      </c>
      <c r="JK17">
        <v>34.7684</v>
      </c>
      <c r="JL17">
        <v>34.663800000000002</v>
      </c>
      <c r="JM17">
        <v>21.9453</v>
      </c>
      <c r="JN17">
        <v>35.430199999999999</v>
      </c>
      <c r="JO17">
        <v>78.948999999999998</v>
      </c>
      <c r="JP17">
        <v>24.654499999999999</v>
      </c>
      <c r="JQ17">
        <v>450</v>
      </c>
      <c r="JR17">
        <v>23.2057</v>
      </c>
      <c r="JS17">
        <v>98.179599999999994</v>
      </c>
      <c r="JT17">
        <v>99.061700000000002</v>
      </c>
    </row>
    <row r="18" spans="1:280" x14ac:dyDescent="0.25">
      <c r="A18">
        <v>2</v>
      </c>
      <c r="B18">
        <v>1700148032.5</v>
      </c>
      <c r="C18">
        <v>176.5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1700148032.5</v>
      </c>
      <c r="J18">
        <f t="shared" si="0"/>
        <v>1.8833972734066341E-3</v>
      </c>
      <c r="K18">
        <f t="shared" si="1"/>
        <v>1.8833972734066342</v>
      </c>
      <c r="L18">
        <f t="shared" si="2"/>
        <v>42.880904537611904</v>
      </c>
      <c r="M18">
        <f t="shared" si="3"/>
        <v>1454.42</v>
      </c>
      <c r="N18">
        <f t="shared" si="4"/>
        <v>797.40917305549692</v>
      </c>
      <c r="O18">
        <f t="shared" si="5"/>
        <v>79.563654841197803</v>
      </c>
      <c r="P18">
        <f t="shared" si="6"/>
        <v>145.11868534284</v>
      </c>
      <c r="Q18">
        <f t="shared" si="7"/>
        <v>0.11143803802793428</v>
      </c>
      <c r="R18">
        <f t="shared" si="8"/>
        <v>3.1406905084873236</v>
      </c>
      <c r="S18">
        <f t="shared" si="9"/>
        <v>0.10928709004385581</v>
      </c>
      <c r="T18">
        <f t="shared" si="10"/>
        <v>6.8494227422782245E-2</v>
      </c>
      <c r="U18">
        <f t="shared" si="11"/>
        <v>289.57546841906634</v>
      </c>
      <c r="V18">
        <f t="shared" si="12"/>
        <v>29.981102765985614</v>
      </c>
      <c r="W18">
        <f t="shared" si="13"/>
        <v>29.959199999999999</v>
      </c>
      <c r="X18">
        <f t="shared" si="14"/>
        <v>4.2504755194652235</v>
      </c>
      <c r="Y18">
        <f t="shared" si="15"/>
        <v>64.991796783367818</v>
      </c>
      <c r="Z18">
        <f t="shared" si="16"/>
        <v>2.5898998775034001</v>
      </c>
      <c r="AA18">
        <f t="shared" si="17"/>
        <v>3.9849642657766724</v>
      </c>
      <c r="AB18">
        <f t="shared" si="18"/>
        <v>1.6605756419618234</v>
      </c>
      <c r="AC18">
        <f t="shared" si="19"/>
        <v>-83.057819757232565</v>
      </c>
      <c r="AD18">
        <f t="shared" si="20"/>
        <v>-189.30077368340943</v>
      </c>
      <c r="AE18">
        <f t="shared" si="21"/>
        <v>-13.322513252887349</v>
      </c>
      <c r="AF18">
        <f t="shared" si="22"/>
        <v>3.89436172553701</v>
      </c>
      <c r="AG18">
        <v>268</v>
      </c>
      <c r="AH18">
        <v>54</v>
      </c>
      <c r="AI18">
        <f t="shared" si="23"/>
        <v>1</v>
      </c>
      <c r="AJ18">
        <f t="shared" si="24"/>
        <v>0</v>
      </c>
      <c r="AK18">
        <f t="shared" si="25"/>
        <v>52448.088893016386</v>
      </c>
      <c r="AL18" t="s">
        <v>426</v>
      </c>
      <c r="AM18" t="s">
        <v>426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426</v>
      </c>
      <c r="AS18" t="s">
        <v>426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1513.2348002171329</v>
      </c>
      <c r="AY18">
        <f t="shared" si="29"/>
        <v>42.880904537611904</v>
      </c>
      <c r="AZ18" t="e">
        <f t="shared" si="30"/>
        <v>#DIV/0!</v>
      </c>
      <c r="BA18">
        <f t="shared" si="31"/>
        <v>2.8337244511862241E-2</v>
      </c>
      <c r="BB18" t="e">
        <f t="shared" si="32"/>
        <v>#DIV/0!</v>
      </c>
      <c r="BC18" t="e">
        <f t="shared" si="33"/>
        <v>#DIV/0!</v>
      </c>
      <c r="BD18" t="s">
        <v>426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BN18">
        <v>34415</v>
      </c>
      <c r="BO18">
        <v>290.00000000000011</v>
      </c>
      <c r="BP18">
        <v>771.78</v>
      </c>
      <c r="BQ18">
        <v>295</v>
      </c>
      <c r="BR18">
        <v>7109.95</v>
      </c>
      <c r="BS18">
        <v>772.58</v>
      </c>
      <c r="BT18">
        <v>-0.8</v>
      </c>
      <c r="BU18">
        <v>300.00000000000011</v>
      </c>
      <c r="BV18">
        <v>38.299999999999997</v>
      </c>
      <c r="BW18">
        <v>844.16142537531073</v>
      </c>
      <c r="BX18">
        <v>1.275063776461298</v>
      </c>
      <c r="BY18">
        <v>-50.892241555933232</v>
      </c>
      <c r="BZ18">
        <v>0.76002932901061238</v>
      </c>
      <c r="CA18">
        <v>0.9937939975258715</v>
      </c>
      <c r="CB18">
        <v>-7.008136596218028E-3</v>
      </c>
      <c r="CC18">
        <v>289.99999999999989</v>
      </c>
      <c r="CD18">
        <v>782.37</v>
      </c>
      <c r="CE18">
        <v>885</v>
      </c>
      <c r="CF18">
        <v>7102.84</v>
      </c>
      <c r="CG18">
        <v>772.51</v>
      </c>
      <c r="CH18">
        <v>9.86</v>
      </c>
      <c r="CV18">
        <f t="shared" si="42"/>
        <v>1800.06</v>
      </c>
      <c r="CW18">
        <f t="shared" si="43"/>
        <v>1513.2348002171329</v>
      </c>
      <c r="CX18">
        <f t="shared" si="44"/>
        <v>0.84065797818802313</v>
      </c>
      <c r="CY18">
        <f t="shared" si="45"/>
        <v>0.16086989790288453</v>
      </c>
      <c r="CZ18">
        <v>5</v>
      </c>
      <c r="DA18">
        <v>0.5</v>
      </c>
      <c r="DB18" t="s">
        <v>418</v>
      </c>
      <c r="DC18">
        <v>2</v>
      </c>
      <c r="DD18">
        <v>1700148032.5</v>
      </c>
      <c r="DE18">
        <v>1454.42</v>
      </c>
      <c r="DF18">
        <v>1500.02</v>
      </c>
      <c r="DG18">
        <v>25.956700000000001</v>
      </c>
      <c r="DH18">
        <v>24.123000000000001</v>
      </c>
      <c r="DI18">
        <v>1455.95</v>
      </c>
      <c r="DJ18">
        <v>25.563300000000002</v>
      </c>
      <c r="DK18">
        <v>500.221</v>
      </c>
      <c r="DL18">
        <v>99.677800000000005</v>
      </c>
      <c r="DM18">
        <v>9.9902000000000005E-2</v>
      </c>
      <c r="DN18">
        <v>28.841200000000001</v>
      </c>
      <c r="DO18">
        <v>29.959199999999999</v>
      </c>
      <c r="DP18">
        <v>999.9</v>
      </c>
      <c r="DQ18">
        <v>0</v>
      </c>
      <c r="DR18">
        <v>0</v>
      </c>
      <c r="DS18">
        <v>10012.5</v>
      </c>
      <c r="DT18">
        <v>0</v>
      </c>
      <c r="DU18">
        <v>469.71899999999999</v>
      </c>
      <c r="DV18">
        <v>-45.601900000000001</v>
      </c>
      <c r="DW18">
        <v>1493.18</v>
      </c>
      <c r="DX18">
        <v>1537.1</v>
      </c>
      <c r="DY18">
        <v>1.8337300000000001</v>
      </c>
      <c r="DZ18">
        <v>1500.02</v>
      </c>
      <c r="EA18">
        <v>24.123000000000001</v>
      </c>
      <c r="EB18">
        <v>2.58731</v>
      </c>
      <c r="EC18">
        <v>2.4045299999999998</v>
      </c>
      <c r="ED18">
        <v>21.586400000000001</v>
      </c>
      <c r="EE18">
        <v>20.394300000000001</v>
      </c>
      <c r="EF18">
        <v>1800.06</v>
      </c>
      <c r="EG18">
        <v>0.97800600000000004</v>
      </c>
      <c r="EH18">
        <v>2.1994300000000001E-2</v>
      </c>
      <c r="EI18">
        <v>0</v>
      </c>
      <c r="EJ18">
        <v>581.96</v>
      </c>
      <c r="EK18">
        <v>4.9996700000000001</v>
      </c>
      <c r="EL18">
        <v>17422</v>
      </c>
      <c r="EM18">
        <v>15047.3</v>
      </c>
      <c r="EN18">
        <v>50.561999999999998</v>
      </c>
      <c r="EO18">
        <v>51.686999999999998</v>
      </c>
      <c r="EP18">
        <v>51.436999999999998</v>
      </c>
      <c r="EQ18">
        <v>51.25</v>
      </c>
      <c r="ER18">
        <v>51.811999999999998</v>
      </c>
      <c r="ES18">
        <v>1755.58</v>
      </c>
      <c r="ET18">
        <v>39.479999999999997</v>
      </c>
      <c r="EU18">
        <v>0</v>
      </c>
      <c r="EV18">
        <v>174.79999995231631</v>
      </c>
      <c r="EW18">
        <v>0</v>
      </c>
      <c r="EX18">
        <v>581.86707692307698</v>
      </c>
      <c r="EY18">
        <v>0.16902562660805071</v>
      </c>
      <c r="EZ18">
        <v>-108.235897061968</v>
      </c>
      <c r="FA18">
        <v>17445.311538461541</v>
      </c>
      <c r="FB18">
        <v>15</v>
      </c>
      <c r="FC18">
        <v>1700147929.5</v>
      </c>
      <c r="FD18" t="s">
        <v>427</v>
      </c>
      <c r="FE18">
        <v>1700147929.5</v>
      </c>
      <c r="FF18">
        <v>1700147924</v>
      </c>
      <c r="FG18">
        <v>3</v>
      </c>
      <c r="FH18">
        <v>-0.13100000000000001</v>
      </c>
      <c r="FI18">
        <v>2E-3</v>
      </c>
      <c r="FJ18">
        <v>-1.571</v>
      </c>
      <c r="FK18">
        <v>0.30399999999999999</v>
      </c>
      <c r="FL18">
        <v>1500</v>
      </c>
      <c r="FM18">
        <v>23</v>
      </c>
      <c r="FN18">
        <v>0.02</v>
      </c>
      <c r="FO18">
        <v>0.03</v>
      </c>
      <c r="FP18">
        <v>42.899178612860922</v>
      </c>
      <c r="FQ18">
        <v>-0.5901970320320169</v>
      </c>
      <c r="FR18">
        <v>7.0161293763933971E-2</v>
      </c>
      <c r="FS18">
        <v>1</v>
      </c>
      <c r="FT18">
        <v>0.1164592177893978</v>
      </c>
      <c r="FU18">
        <v>-4.7545307146875493E-2</v>
      </c>
      <c r="FV18">
        <v>3.6058920545719271E-3</v>
      </c>
      <c r="FW18">
        <v>1</v>
      </c>
      <c r="FX18">
        <v>2</v>
      </c>
      <c r="FY18">
        <v>2</v>
      </c>
      <c r="FZ18" t="s">
        <v>420</v>
      </c>
      <c r="GA18">
        <v>3.0127799999999998</v>
      </c>
      <c r="GB18">
        <v>2.7770999999999999</v>
      </c>
      <c r="GC18">
        <v>0.21184</v>
      </c>
      <c r="GD18">
        <v>0.21665599999999999</v>
      </c>
      <c r="GE18">
        <v>0.120772</v>
      </c>
      <c r="GF18">
        <v>0.116226</v>
      </c>
      <c r="GG18">
        <v>18828.900000000001</v>
      </c>
      <c r="GH18">
        <v>19336.099999999999</v>
      </c>
      <c r="GI18">
        <v>23666</v>
      </c>
      <c r="GJ18">
        <v>24352.3</v>
      </c>
      <c r="GK18">
        <v>30772.3</v>
      </c>
      <c r="GL18">
        <v>30849.3</v>
      </c>
      <c r="GM18">
        <v>38754.400000000001</v>
      </c>
      <c r="GN18">
        <v>38766.699999999997</v>
      </c>
      <c r="GO18">
        <v>1.39073</v>
      </c>
      <c r="GP18">
        <v>1.8507</v>
      </c>
      <c r="GQ18">
        <v>6.1288500000000003E-2</v>
      </c>
      <c r="GR18">
        <v>0</v>
      </c>
      <c r="GS18">
        <v>28.960899999999999</v>
      </c>
      <c r="GT18">
        <v>999.9</v>
      </c>
      <c r="GU18">
        <v>67.7</v>
      </c>
      <c r="GV18">
        <v>32.1</v>
      </c>
      <c r="GW18">
        <v>32.616399999999999</v>
      </c>
      <c r="GX18">
        <v>61.220100000000002</v>
      </c>
      <c r="GY18">
        <v>29.883800000000001</v>
      </c>
      <c r="GZ18">
        <v>1</v>
      </c>
      <c r="HA18">
        <v>0.66134899999999996</v>
      </c>
      <c r="HB18">
        <v>4.3879799999999998</v>
      </c>
      <c r="HC18">
        <v>20.330300000000001</v>
      </c>
      <c r="HD18">
        <v>5.2460399999999998</v>
      </c>
      <c r="HE18">
        <v>11.997999999999999</v>
      </c>
      <c r="HF18">
        <v>4.9637500000000001</v>
      </c>
      <c r="HG18">
        <v>3.30098</v>
      </c>
      <c r="HH18">
        <v>9999</v>
      </c>
      <c r="HI18">
        <v>9999</v>
      </c>
      <c r="HJ18">
        <v>9999</v>
      </c>
      <c r="HK18">
        <v>999.9</v>
      </c>
      <c r="HL18">
        <v>1.87469</v>
      </c>
      <c r="HM18">
        <v>1.8800399999999999</v>
      </c>
      <c r="HN18">
        <v>1.8801699999999999</v>
      </c>
      <c r="HO18">
        <v>1.8788100000000001</v>
      </c>
      <c r="HP18">
        <v>1.8812599999999999</v>
      </c>
      <c r="HQ18">
        <v>1.8771100000000001</v>
      </c>
      <c r="HR18">
        <v>1.8748199999999999</v>
      </c>
      <c r="HS18">
        <v>1.8821699999999999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-1.53</v>
      </c>
      <c r="IH18">
        <v>0.39340000000000003</v>
      </c>
      <c r="II18">
        <v>-0.74419630747302035</v>
      </c>
      <c r="IJ18">
        <v>7.0786345690369205E-4</v>
      </c>
      <c r="IK18">
        <v>-1.387476646623666E-6</v>
      </c>
      <c r="IL18">
        <v>3.6592443641472651E-10</v>
      </c>
      <c r="IM18">
        <v>-8.5692737533341959E-2</v>
      </c>
      <c r="IN18">
        <v>-1.92785045113246E-3</v>
      </c>
      <c r="IO18">
        <v>9.94469593919068E-4</v>
      </c>
      <c r="IP18">
        <v>-7.2714521965658074E-6</v>
      </c>
      <c r="IQ18">
        <v>2</v>
      </c>
      <c r="IR18">
        <v>2142</v>
      </c>
      <c r="IS18">
        <v>1</v>
      </c>
      <c r="IT18">
        <v>24</v>
      </c>
      <c r="IU18">
        <v>1.7</v>
      </c>
      <c r="IV18">
        <v>1.8</v>
      </c>
      <c r="IW18">
        <v>2.94434</v>
      </c>
      <c r="IX18">
        <v>2.5988799999999999</v>
      </c>
      <c r="IY18">
        <v>1.5490699999999999</v>
      </c>
      <c r="IZ18">
        <v>2.3767100000000001</v>
      </c>
      <c r="JA18">
        <v>1.5966800000000001</v>
      </c>
      <c r="JB18">
        <v>2.2778299999999998</v>
      </c>
      <c r="JC18">
        <v>36.955599999999997</v>
      </c>
      <c r="JD18">
        <v>14.8588</v>
      </c>
      <c r="JE18">
        <v>18</v>
      </c>
      <c r="JF18">
        <v>220.327</v>
      </c>
      <c r="JG18">
        <v>488.64299999999997</v>
      </c>
      <c r="JH18">
        <v>24.361699999999999</v>
      </c>
      <c r="JI18">
        <v>35.217799999999997</v>
      </c>
      <c r="JJ18">
        <v>30.000299999999999</v>
      </c>
      <c r="JK18">
        <v>35.030200000000001</v>
      </c>
      <c r="JL18">
        <v>34.943300000000001</v>
      </c>
      <c r="JM18">
        <v>58.870800000000003</v>
      </c>
      <c r="JN18">
        <v>32.979300000000002</v>
      </c>
      <c r="JO18">
        <v>75.187200000000004</v>
      </c>
      <c r="JP18">
        <v>24.367000000000001</v>
      </c>
      <c r="JQ18">
        <v>1500</v>
      </c>
      <c r="JR18">
        <v>24.170400000000001</v>
      </c>
      <c r="JS18">
        <v>98.151799999999994</v>
      </c>
      <c r="JT18">
        <v>99.039100000000005</v>
      </c>
    </row>
    <row r="19" spans="1:280" x14ac:dyDescent="0.25">
      <c r="A19">
        <v>3</v>
      </c>
      <c r="B19">
        <v>1700148144</v>
      </c>
      <c r="C19">
        <v>288</v>
      </c>
      <c r="D19" t="s">
        <v>428</v>
      </c>
      <c r="E19" t="s">
        <v>429</v>
      </c>
      <c r="F19" t="s">
        <v>412</v>
      </c>
      <c r="G19" t="s">
        <v>413</v>
      </c>
      <c r="H19" t="s">
        <v>414</v>
      </c>
      <c r="I19">
        <v>1700148144</v>
      </c>
      <c r="J19">
        <f t="shared" si="0"/>
        <v>1.6375983557196309E-3</v>
      </c>
      <c r="K19">
        <f t="shared" si="1"/>
        <v>1.637598355719631</v>
      </c>
      <c r="L19">
        <f t="shared" si="2"/>
        <v>41.394674880054346</v>
      </c>
      <c r="M19">
        <f t="shared" si="3"/>
        <v>1206.6400000000001</v>
      </c>
      <c r="N19">
        <f t="shared" si="4"/>
        <v>488.01310119876939</v>
      </c>
      <c r="O19">
        <f t="shared" si="5"/>
        <v>48.685572298379604</v>
      </c>
      <c r="P19">
        <f t="shared" si="6"/>
        <v>120.37783168896802</v>
      </c>
      <c r="Q19">
        <f t="shared" si="7"/>
        <v>9.6646744608276935E-2</v>
      </c>
      <c r="R19">
        <f t="shared" si="8"/>
        <v>3.1391600445418621</v>
      </c>
      <c r="S19">
        <f t="shared" si="9"/>
        <v>9.5023640787418984E-2</v>
      </c>
      <c r="T19">
        <f t="shared" si="10"/>
        <v>5.9533334359512857E-2</v>
      </c>
      <c r="U19">
        <f t="shared" si="11"/>
        <v>289.57068041907326</v>
      </c>
      <c r="V19">
        <f t="shared" si="12"/>
        <v>30.049048437298314</v>
      </c>
      <c r="W19">
        <f t="shared" si="13"/>
        <v>30.005500000000001</v>
      </c>
      <c r="X19">
        <f t="shared" si="14"/>
        <v>4.2617958998064047</v>
      </c>
      <c r="Y19">
        <f t="shared" si="15"/>
        <v>65.258300912340715</v>
      </c>
      <c r="Z19">
        <f t="shared" si="16"/>
        <v>2.6016651890379499</v>
      </c>
      <c r="AA19">
        <f t="shared" si="17"/>
        <v>3.9867191647123628</v>
      </c>
      <c r="AB19">
        <f t="shared" si="18"/>
        <v>1.6601307107684549</v>
      </c>
      <c r="AC19">
        <f t="shared" si="19"/>
        <v>-72.218087487235721</v>
      </c>
      <c r="AD19">
        <f t="shared" si="20"/>
        <v>-195.7580530248951</v>
      </c>
      <c r="AE19">
        <f t="shared" si="21"/>
        <v>-13.787366027545509</v>
      </c>
      <c r="AF19">
        <f t="shared" si="22"/>
        <v>7.8071738793969416</v>
      </c>
      <c r="AG19">
        <v>267</v>
      </c>
      <c r="AH19">
        <v>53</v>
      </c>
      <c r="AI19">
        <f t="shared" si="23"/>
        <v>1</v>
      </c>
      <c r="AJ19">
        <f t="shared" si="24"/>
        <v>0</v>
      </c>
      <c r="AK19">
        <f t="shared" si="25"/>
        <v>52407.341442643556</v>
      </c>
      <c r="AL19" t="s">
        <v>415</v>
      </c>
      <c r="AM19">
        <v>10238.9</v>
      </c>
      <c r="AN19">
        <v>302.21199999999999</v>
      </c>
      <c r="AO19">
        <v>4052.3</v>
      </c>
      <c r="AP19">
        <f t="shared" si="26"/>
        <v>0.92542210596451402</v>
      </c>
      <c r="AQ19">
        <v>-0.32343011824092421</v>
      </c>
      <c r="AR19" t="s">
        <v>430</v>
      </c>
      <c r="AS19">
        <v>7110.5</v>
      </c>
      <c r="AT19">
        <v>581.33932000000004</v>
      </c>
      <c r="AU19">
        <v>874.49322682195691</v>
      </c>
      <c r="AV19">
        <f t="shared" si="27"/>
        <v>0.33522718968027154</v>
      </c>
      <c r="AW19">
        <v>0.5</v>
      </c>
      <c r="AX19">
        <f t="shared" si="28"/>
        <v>1513.2096002171363</v>
      </c>
      <c r="AY19">
        <f t="shared" si="29"/>
        <v>41.394674880054346</v>
      </c>
      <c r="AZ19">
        <f t="shared" si="30"/>
        <v>253.63450083899892</v>
      </c>
      <c r="BA19">
        <f t="shared" si="31"/>
        <v>2.7569283853544794E-2</v>
      </c>
      <c r="BB19">
        <f t="shared" si="32"/>
        <v>3.6338838034534384</v>
      </c>
      <c r="BC19">
        <f t="shared" si="33"/>
        <v>237.77359573771838</v>
      </c>
      <c r="BD19" t="s">
        <v>431</v>
      </c>
      <c r="BE19">
        <v>415.87</v>
      </c>
      <c r="BF19">
        <f t="shared" si="34"/>
        <v>415.87</v>
      </c>
      <c r="BG19">
        <f t="shared" si="35"/>
        <v>0.52444457287412538</v>
      </c>
      <c r="BH19">
        <f t="shared" si="36"/>
        <v>0.63920423056934006</v>
      </c>
      <c r="BI19">
        <f t="shared" si="37"/>
        <v>0.87388091429727599</v>
      </c>
      <c r="BJ19">
        <f t="shared" si="38"/>
        <v>0.5122549772424394</v>
      </c>
      <c r="BK19">
        <f t="shared" si="39"/>
        <v>0.84739525397218496</v>
      </c>
      <c r="BL19">
        <f t="shared" si="40"/>
        <v>0.45726455139293076</v>
      </c>
      <c r="BM19">
        <f t="shared" si="41"/>
        <v>0.54273544860706924</v>
      </c>
      <c r="BN19">
        <v>34417</v>
      </c>
      <c r="BO19">
        <v>290.00000000000011</v>
      </c>
      <c r="BP19">
        <v>790.08</v>
      </c>
      <c r="BQ19">
        <v>275</v>
      </c>
      <c r="BR19">
        <v>7110.5</v>
      </c>
      <c r="BS19">
        <v>791.66</v>
      </c>
      <c r="BT19">
        <v>-1.58</v>
      </c>
      <c r="BU19">
        <v>300.00000000000011</v>
      </c>
      <c r="BV19">
        <v>38.299999999999997</v>
      </c>
      <c r="BW19">
        <v>874.49322682195691</v>
      </c>
      <c r="BX19">
        <v>1.0646728316407139</v>
      </c>
      <c r="BY19">
        <v>-58.896486501824427</v>
      </c>
      <c r="BZ19">
        <v>0.63463801661424157</v>
      </c>
      <c r="CA19">
        <v>0.99675942724619992</v>
      </c>
      <c r="CB19">
        <v>-7.0086100111234704E-3</v>
      </c>
      <c r="CC19">
        <v>289.99999999999989</v>
      </c>
      <c r="CD19">
        <v>801.99</v>
      </c>
      <c r="CE19">
        <v>895</v>
      </c>
      <c r="CF19">
        <v>7103.1</v>
      </c>
      <c r="CG19">
        <v>791.58</v>
      </c>
      <c r="CH19">
        <v>10.41</v>
      </c>
      <c r="CV19">
        <f t="shared" si="42"/>
        <v>1800.03</v>
      </c>
      <c r="CW19">
        <f t="shared" si="43"/>
        <v>1513.2096002171363</v>
      </c>
      <c r="CX19">
        <f t="shared" si="44"/>
        <v>0.84065798915414536</v>
      </c>
      <c r="CY19">
        <f t="shared" si="45"/>
        <v>0.1608699190675007</v>
      </c>
      <c r="CZ19">
        <v>5</v>
      </c>
      <c r="DA19">
        <v>0.5</v>
      </c>
      <c r="DB19" t="s">
        <v>418</v>
      </c>
      <c r="DC19">
        <v>2</v>
      </c>
      <c r="DD19">
        <v>1700148144</v>
      </c>
      <c r="DE19">
        <v>1206.6400000000001</v>
      </c>
      <c r="DF19">
        <v>1250</v>
      </c>
      <c r="DG19">
        <v>26.078499999999998</v>
      </c>
      <c r="DH19">
        <v>24.484000000000002</v>
      </c>
      <c r="DI19">
        <v>1207.7</v>
      </c>
      <c r="DJ19">
        <v>25.688700000000001</v>
      </c>
      <c r="DK19">
        <v>500.12299999999999</v>
      </c>
      <c r="DL19">
        <v>99.662999999999997</v>
      </c>
      <c r="DM19">
        <v>9.9838700000000002E-2</v>
      </c>
      <c r="DN19">
        <v>28.848800000000001</v>
      </c>
      <c r="DO19">
        <v>30.005500000000001</v>
      </c>
      <c r="DP19">
        <v>999.9</v>
      </c>
      <c r="DQ19">
        <v>0</v>
      </c>
      <c r="DR19">
        <v>0</v>
      </c>
      <c r="DS19">
        <v>10006.200000000001</v>
      </c>
      <c r="DT19">
        <v>0</v>
      </c>
      <c r="DU19">
        <v>469.45400000000001</v>
      </c>
      <c r="DV19">
        <v>-43.367199999999997</v>
      </c>
      <c r="DW19">
        <v>1238.95</v>
      </c>
      <c r="DX19">
        <v>1281.3800000000001</v>
      </c>
      <c r="DY19">
        <v>1.5945499999999999</v>
      </c>
      <c r="DZ19">
        <v>1250</v>
      </c>
      <c r="EA19">
        <v>24.484000000000002</v>
      </c>
      <c r="EB19">
        <v>2.5990600000000001</v>
      </c>
      <c r="EC19">
        <v>2.44015</v>
      </c>
      <c r="ED19">
        <v>21.660499999999999</v>
      </c>
      <c r="EE19">
        <v>20.6327</v>
      </c>
      <c r="EF19">
        <v>1800.03</v>
      </c>
      <c r="EG19">
        <v>0.97800600000000004</v>
      </c>
      <c r="EH19">
        <v>2.1994300000000001E-2</v>
      </c>
      <c r="EI19">
        <v>0</v>
      </c>
      <c r="EJ19">
        <v>581.03499999999997</v>
      </c>
      <c r="EK19">
        <v>4.9996700000000001</v>
      </c>
      <c r="EL19">
        <v>17149.8</v>
      </c>
      <c r="EM19">
        <v>15047.1</v>
      </c>
      <c r="EN19">
        <v>50.5</v>
      </c>
      <c r="EO19">
        <v>51.625</v>
      </c>
      <c r="EP19">
        <v>51.375</v>
      </c>
      <c r="EQ19">
        <v>51.186999999999998</v>
      </c>
      <c r="ER19">
        <v>51.75</v>
      </c>
      <c r="ES19">
        <v>1755.55</v>
      </c>
      <c r="ET19">
        <v>39.479999999999997</v>
      </c>
      <c r="EU19">
        <v>0</v>
      </c>
      <c r="EV19">
        <v>285.79999995231628</v>
      </c>
      <c r="EW19">
        <v>0</v>
      </c>
      <c r="EX19">
        <v>581.33932000000004</v>
      </c>
      <c r="EY19">
        <v>-3.0129231009126931</v>
      </c>
      <c r="EZ19">
        <v>-56.200000285517703</v>
      </c>
      <c r="FA19">
        <v>17159.883999999998</v>
      </c>
      <c r="FB19">
        <v>15</v>
      </c>
      <c r="FC19">
        <v>1700148113.5</v>
      </c>
      <c r="FD19" t="s">
        <v>432</v>
      </c>
      <c r="FE19">
        <v>1700148113.5</v>
      </c>
      <c r="FF19">
        <v>1700148102</v>
      </c>
      <c r="FG19">
        <v>4</v>
      </c>
      <c r="FH19">
        <v>0.20499999999999999</v>
      </c>
      <c r="FI19">
        <v>-1.2999999999999999E-2</v>
      </c>
      <c r="FJ19">
        <v>-1.109</v>
      </c>
      <c r="FK19">
        <v>0.33</v>
      </c>
      <c r="FL19">
        <v>1249</v>
      </c>
      <c r="FM19">
        <v>24</v>
      </c>
      <c r="FN19">
        <v>0.12</v>
      </c>
      <c r="FO19">
        <v>0.05</v>
      </c>
      <c r="FP19">
        <v>41.305827799124053</v>
      </c>
      <c r="FQ19">
        <v>-0.39737556275216979</v>
      </c>
      <c r="FR19">
        <v>0.14079909123912171</v>
      </c>
      <c r="FS19">
        <v>1</v>
      </c>
      <c r="FT19">
        <v>9.5447712344996299E-2</v>
      </c>
      <c r="FU19">
        <v>3.4799038358143498E-2</v>
      </c>
      <c r="FV19">
        <v>2.8064236397743031E-3</v>
      </c>
      <c r="FW19">
        <v>1</v>
      </c>
      <c r="FX19">
        <v>2</v>
      </c>
      <c r="FY19">
        <v>2</v>
      </c>
      <c r="FZ19" t="s">
        <v>420</v>
      </c>
      <c r="GA19">
        <v>3.0125899999999999</v>
      </c>
      <c r="GB19">
        <v>2.77698</v>
      </c>
      <c r="GC19">
        <v>0.189</v>
      </c>
      <c r="GD19">
        <v>0.19400600000000001</v>
      </c>
      <c r="GE19">
        <v>0.121133</v>
      </c>
      <c r="GF19">
        <v>0.117372</v>
      </c>
      <c r="GG19">
        <v>19374.2</v>
      </c>
      <c r="GH19">
        <v>19895.5</v>
      </c>
      <c r="GI19">
        <v>23664</v>
      </c>
      <c r="GJ19">
        <v>24351</v>
      </c>
      <c r="GK19">
        <v>30757.7</v>
      </c>
      <c r="GL19">
        <v>30808.2</v>
      </c>
      <c r="GM19">
        <v>38751.4</v>
      </c>
      <c r="GN19">
        <v>38764.9</v>
      </c>
      <c r="GO19">
        <v>1.3934200000000001</v>
      </c>
      <c r="GP19">
        <v>1.8459700000000001</v>
      </c>
      <c r="GQ19">
        <v>7.3216900000000001E-2</v>
      </c>
      <c r="GR19">
        <v>0</v>
      </c>
      <c r="GS19">
        <v>28.812899999999999</v>
      </c>
      <c r="GT19">
        <v>999.9</v>
      </c>
      <c r="GU19">
        <v>66.7</v>
      </c>
      <c r="GV19">
        <v>32.4</v>
      </c>
      <c r="GW19">
        <v>32.686999999999998</v>
      </c>
      <c r="GX19">
        <v>61.120100000000001</v>
      </c>
      <c r="GY19">
        <v>29.743600000000001</v>
      </c>
      <c r="GZ19">
        <v>1</v>
      </c>
      <c r="HA19">
        <v>0.66845299999999996</v>
      </c>
      <c r="HB19">
        <v>4.4999900000000004</v>
      </c>
      <c r="HC19">
        <v>20.326499999999999</v>
      </c>
      <c r="HD19">
        <v>5.2460399999999998</v>
      </c>
      <c r="HE19">
        <v>11.997999999999999</v>
      </c>
      <c r="HF19">
        <v>4.9638499999999999</v>
      </c>
      <c r="HG19">
        <v>3.3010000000000002</v>
      </c>
      <c r="HH19">
        <v>9999</v>
      </c>
      <c r="HI19">
        <v>9999</v>
      </c>
      <c r="HJ19">
        <v>9999</v>
      </c>
      <c r="HK19">
        <v>999.9</v>
      </c>
      <c r="HL19">
        <v>1.87469</v>
      </c>
      <c r="HM19">
        <v>1.8800399999999999</v>
      </c>
      <c r="HN19">
        <v>1.8801600000000001</v>
      </c>
      <c r="HO19">
        <v>1.8788100000000001</v>
      </c>
      <c r="HP19">
        <v>1.88127</v>
      </c>
      <c r="HQ19">
        <v>1.87713</v>
      </c>
      <c r="HR19">
        <v>1.87479</v>
      </c>
      <c r="HS19">
        <v>1.8821699999999999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-1.06</v>
      </c>
      <c r="IH19">
        <v>0.38979999999999998</v>
      </c>
      <c r="II19">
        <v>-0.53948802295282394</v>
      </c>
      <c r="IJ19">
        <v>7.0786345690369205E-4</v>
      </c>
      <c r="IK19">
        <v>-1.387476646623666E-6</v>
      </c>
      <c r="IL19">
        <v>3.6592443641472651E-10</v>
      </c>
      <c r="IM19">
        <v>-9.3653706826188413E-2</v>
      </c>
      <c r="IN19">
        <v>-1.92785045113246E-3</v>
      </c>
      <c r="IO19">
        <v>9.94469593919068E-4</v>
      </c>
      <c r="IP19">
        <v>-7.2714521965658074E-6</v>
      </c>
      <c r="IQ19">
        <v>2</v>
      </c>
      <c r="IR19">
        <v>2142</v>
      </c>
      <c r="IS19">
        <v>1</v>
      </c>
      <c r="IT19">
        <v>24</v>
      </c>
      <c r="IU19">
        <v>0.5</v>
      </c>
      <c r="IV19">
        <v>0.7</v>
      </c>
      <c r="IW19">
        <v>2.5402800000000001</v>
      </c>
      <c r="IX19">
        <v>2.5854499999999998</v>
      </c>
      <c r="IY19">
        <v>1.5490699999999999</v>
      </c>
      <c r="IZ19">
        <v>2.3754900000000001</v>
      </c>
      <c r="JA19">
        <v>1.5966800000000001</v>
      </c>
      <c r="JB19">
        <v>2.1777299999999999</v>
      </c>
      <c r="JC19">
        <v>37.241999999999997</v>
      </c>
      <c r="JD19">
        <v>14.8238</v>
      </c>
      <c r="JE19">
        <v>18</v>
      </c>
      <c r="JF19">
        <v>221.602</v>
      </c>
      <c r="JG19">
        <v>486.4</v>
      </c>
      <c r="JH19">
        <v>24.2666</v>
      </c>
      <c r="JI19">
        <v>35.302399999999999</v>
      </c>
      <c r="JJ19">
        <v>30.000299999999999</v>
      </c>
      <c r="JK19">
        <v>35.148099999999999</v>
      </c>
      <c r="JL19">
        <v>35.071399999999997</v>
      </c>
      <c r="JM19">
        <v>50.809800000000003</v>
      </c>
      <c r="JN19">
        <v>31.923500000000001</v>
      </c>
      <c r="JO19">
        <v>73.311700000000002</v>
      </c>
      <c r="JP19">
        <v>24.266999999999999</v>
      </c>
      <c r="JQ19">
        <v>1250</v>
      </c>
      <c r="JR19">
        <v>24.456199999999999</v>
      </c>
      <c r="JS19">
        <v>98.143900000000002</v>
      </c>
      <c r="JT19">
        <v>99.034300000000002</v>
      </c>
    </row>
    <row r="20" spans="1:280" x14ac:dyDescent="0.25">
      <c r="A20">
        <v>4</v>
      </c>
      <c r="B20">
        <v>1700148368.5</v>
      </c>
      <c r="C20">
        <v>512.5</v>
      </c>
      <c r="D20" t="s">
        <v>433</v>
      </c>
      <c r="E20" t="s">
        <v>434</v>
      </c>
      <c r="F20" t="s">
        <v>412</v>
      </c>
      <c r="G20" t="s">
        <v>413</v>
      </c>
      <c r="H20" t="s">
        <v>414</v>
      </c>
      <c r="I20">
        <v>1700148368.5</v>
      </c>
      <c r="J20">
        <f t="shared" si="0"/>
        <v>1.9602419305038568E-3</v>
      </c>
      <c r="K20">
        <f t="shared" si="1"/>
        <v>1.960241930503857</v>
      </c>
      <c r="L20">
        <f t="shared" si="2"/>
        <v>43.524948528140783</v>
      </c>
      <c r="M20">
        <f t="shared" si="3"/>
        <v>954.53800000000001</v>
      </c>
      <c r="N20">
        <f t="shared" si="4"/>
        <v>328.58315209529746</v>
      </c>
      <c r="O20">
        <f t="shared" si="5"/>
        <v>32.777357578183903</v>
      </c>
      <c r="P20">
        <f t="shared" si="6"/>
        <v>95.218617109408001</v>
      </c>
      <c r="Q20">
        <f t="shared" si="7"/>
        <v>0.11648941638865191</v>
      </c>
      <c r="R20">
        <f t="shared" si="8"/>
        <v>3.1343082049435607</v>
      </c>
      <c r="S20">
        <f t="shared" si="9"/>
        <v>0.11413658478112827</v>
      </c>
      <c r="T20">
        <f t="shared" si="10"/>
        <v>7.1542799964200363E-2</v>
      </c>
      <c r="U20">
        <f t="shared" si="11"/>
        <v>289.58344841905466</v>
      </c>
      <c r="V20">
        <f t="shared" si="12"/>
        <v>30.06580097542453</v>
      </c>
      <c r="W20">
        <f t="shared" si="13"/>
        <v>29.9923</v>
      </c>
      <c r="X20">
        <f t="shared" si="14"/>
        <v>4.2585658166146194</v>
      </c>
      <c r="Y20">
        <f t="shared" si="15"/>
        <v>64.970329858495745</v>
      </c>
      <c r="Z20">
        <f t="shared" si="16"/>
        <v>2.6042776282736</v>
      </c>
      <c r="AA20">
        <f t="shared" si="17"/>
        <v>4.0084106605979555</v>
      </c>
      <c r="AB20">
        <f t="shared" si="18"/>
        <v>1.6542881883410194</v>
      </c>
      <c r="AC20">
        <f t="shared" si="19"/>
        <v>-86.446669135220091</v>
      </c>
      <c r="AD20">
        <f t="shared" si="20"/>
        <v>-177.39186977737432</v>
      </c>
      <c r="AE20">
        <f t="shared" si="21"/>
        <v>-12.518152760650722</v>
      </c>
      <c r="AF20">
        <f t="shared" si="22"/>
        <v>13.226756745809553</v>
      </c>
      <c r="AG20">
        <v>266</v>
      </c>
      <c r="AH20">
        <v>53</v>
      </c>
      <c r="AI20">
        <f t="shared" si="23"/>
        <v>1</v>
      </c>
      <c r="AJ20">
        <f t="shared" si="24"/>
        <v>0</v>
      </c>
      <c r="AK20">
        <f t="shared" si="25"/>
        <v>52267.002419716824</v>
      </c>
      <c r="AL20" t="s">
        <v>415</v>
      </c>
      <c r="AM20">
        <v>10238.9</v>
      </c>
      <c r="AN20">
        <v>302.21199999999999</v>
      </c>
      <c r="AO20">
        <v>4052.3</v>
      </c>
      <c r="AP20">
        <f t="shared" si="26"/>
        <v>0.92542210596451402</v>
      </c>
      <c r="AQ20">
        <v>-0.32343011824092421</v>
      </c>
      <c r="AR20" t="s">
        <v>435</v>
      </c>
      <c r="AS20">
        <v>7110.93</v>
      </c>
      <c r="AT20">
        <v>575.79253846153836</v>
      </c>
      <c r="AU20">
        <v>872.43840058545675</v>
      </c>
      <c r="AV20">
        <f t="shared" si="27"/>
        <v>0.34001926316500031</v>
      </c>
      <c r="AW20">
        <v>0.5</v>
      </c>
      <c r="AX20">
        <f t="shared" si="28"/>
        <v>1513.2768002171267</v>
      </c>
      <c r="AY20">
        <f t="shared" si="29"/>
        <v>43.524948528140783</v>
      </c>
      <c r="AZ20">
        <f t="shared" si="30"/>
        <v>257.2716312872584</v>
      </c>
      <c r="BA20">
        <f t="shared" si="31"/>
        <v>2.8975781985219284E-2</v>
      </c>
      <c r="BB20">
        <f t="shared" si="32"/>
        <v>3.6447978416363518</v>
      </c>
      <c r="BC20">
        <f t="shared" si="33"/>
        <v>237.62142431555839</v>
      </c>
      <c r="BD20" t="s">
        <v>436</v>
      </c>
      <c r="BE20">
        <v>416.4</v>
      </c>
      <c r="BF20">
        <f t="shared" si="34"/>
        <v>416.4</v>
      </c>
      <c r="BG20">
        <f t="shared" si="35"/>
        <v>0.52271701965368389</v>
      </c>
      <c r="BH20">
        <f t="shared" si="36"/>
        <v>0.65048439285614523</v>
      </c>
      <c r="BI20">
        <f t="shared" si="37"/>
        <v>0.87457344795361347</v>
      </c>
      <c r="BJ20">
        <f t="shared" si="38"/>
        <v>0.5202247069222844</v>
      </c>
      <c r="BK20">
        <f t="shared" si="39"/>
        <v>0.84794319477690749</v>
      </c>
      <c r="BL20">
        <f t="shared" si="40"/>
        <v>0.47041544148698933</v>
      </c>
      <c r="BM20">
        <f t="shared" si="41"/>
        <v>0.52958455851301067</v>
      </c>
      <c r="BN20">
        <v>34419</v>
      </c>
      <c r="BO20">
        <v>290.00000000000011</v>
      </c>
      <c r="BP20">
        <v>787.49</v>
      </c>
      <c r="BQ20">
        <v>275</v>
      </c>
      <c r="BR20">
        <v>7110.93</v>
      </c>
      <c r="BS20">
        <v>789.06</v>
      </c>
      <c r="BT20">
        <v>-1.57</v>
      </c>
      <c r="BU20">
        <v>300.00000000000011</v>
      </c>
      <c r="BV20">
        <v>38.299999999999997</v>
      </c>
      <c r="BW20">
        <v>872.43840058545675</v>
      </c>
      <c r="BX20">
        <v>1.7214961947951679</v>
      </c>
      <c r="BY20">
        <v>-59.291796126338077</v>
      </c>
      <c r="BZ20">
        <v>1.0262229557810421</v>
      </c>
      <c r="CA20">
        <v>0.9916818901595974</v>
      </c>
      <c r="CB20">
        <v>-7.0089913236930004E-3</v>
      </c>
      <c r="CC20">
        <v>289.99999999999989</v>
      </c>
      <c r="CD20">
        <v>799.39</v>
      </c>
      <c r="CE20">
        <v>885</v>
      </c>
      <c r="CF20">
        <v>7103.56</v>
      </c>
      <c r="CG20">
        <v>788.97</v>
      </c>
      <c r="CH20">
        <v>10.42</v>
      </c>
      <c r="CV20">
        <f t="shared" si="42"/>
        <v>1800.11</v>
      </c>
      <c r="CW20">
        <f t="shared" si="43"/>
        <v>1513.2768002171267</v>
      </c>
      <c r="CX20">
        <f t="shared" si="44"/>
        <v>0.84065795991196468</v>
      </c>
      <c r="CY20">
        <f t="shared" si="45"/>
        <v>0.16086986263009187</v>
      </c>
      <c r="CZ20">
        <v>5</v>
      </c>
      <c r="DA20">
        <v>0.5</v>
      </c>
      <c r="DB20" t="s">
        <v>418</v>
      </c>
      <c r="DC20">
        <v>2</v>
      </c>
      <c r="DD20">
        <v>1700148368.5</v>
      </c>
      <c r="DE20">
        <v>954.53800000000001</v>
      </c>
      <c r="DF20">
        <v>999.923</v>
      </c>
      <c r="DG20">
        <v>26.107099999999999</v>
      </c>
      <c r="DH20">
        <v>24.198499999999999</v>
      </c>
      <c r="DI20">
        <v>955.07100000000003</v>
      </c>
      <c r="DJ20">
        <v>25.720199999999998</v>
      </c>
      <c r="DK20">
        <v>500.12200000000001</v>
      </c>
      <c r="DL20">
        <v>99.653400000000005</v>
      </c>
      <c r="DM20">
        <v>0.100216</v>
      </c>
      <c r="DN20">
        <v>28.942499999999999</v>
      </c>
      <c r="DO20">
        <v>29.9923</v>
      </c>
      <c r="DP20">
        <v>999.9</v>
      </c>
      <c r="DQ20">
        <v>0</v>
      </c>
      <c r="DR20">
        <v>0</v>
      </c>
      <c r="DS20">
        <v>9982.5</v>
      </c>
      <c r="DT20">
        <v>0</v>
      </c>
      <c r="DU20">
        <v>469.89400000000001</v>
      </c>
      <c r="DV20">
        <v>-45.384799999999998</v>
      </c>
      <c r="DW20">
        <v>980.12599999999998</v>
      </c>
      <c r="DX20">
        <v>1024.72</v>
      </c>
      <c r="DY20">
        <v>1.90859</v>
      </c>
      <c r="DZ20">
        <v>999.923</v>
      </c>
      <c r="EA20">
        <v>24.198499999999999</v>
      </c>
      <c r="EB20">
        <v>2.6016599999999999</v>
      </c>
      <c r="EC20">
        <v>2.4114599999999999</v>
      </c>
      <c r="ED20">
        <v>21.6769</v>
      </c>
      <c r="EE20">
        <v>20.440999999999999</v>
      </c>
      <c r="EF20">
        <v>1800.11</v>
      </c>
      <c r="EG20">
        <v>0.97800600000000004</v>
      </c>
      <c r="EH20">
        <v>2.1994300000000001E-2</v>
      </c>
      <c r="EI20">
        <v>0</v>
      </c>
      <c r="EJ20">
        <v>576.08600000000001</v>
      </c>
      <c r="EK20">
        <v>4.9996700000000001</v>
      </c>
      <c r="EL20">
        <v>17020.8</v>
      </c>
      <c r="EM20">
        <v>15047.8</v>
      </c>
      <c r="EN20">
        <v>50.375</v>
      </c>
      <c r="EO20">
        <v>51.5</v>
      </c>
      <c r="EP20">
        <v>51.25</v>
      </c>
      <c r="EQ20">
        <v>51.125</v>
      </c>
      <c r="ER20">
        <v>51.625</v>
      </c>
      <c r="ES20">
        <v>1755.63</v>
      </c>
      <c r="ET20">
        <v>39.479999999999997</v>
      </c>
      <c r="EU20">
        <v>0</v>
      </c>
      <c r="EV20">
        <v>222.79999995231631</v>
      </c>
      <c r="EW20">
        <v>0</v>
      </c>
      <c r="EX20">
        <v>575.79253846153836</v>
      </c>
      <c r="EY20">
        <v>1.471453005814334</v>
      </c>
      <c r="EZ20">
        <v>53.152136517549998</v>
      </c>
      <c r="FA20">
        <v>16997.419230769228</v>
      </c>
      <c r="FB20">
        <v>15</v>
      </c>
      <c r="FC20">
        <v>1700148215</v>
      </c>
      <c r="FD20" t="s">
        <v>437</v>
      </c>
      <c r="FE20">
        <v>1700148214.5</v>
      </c>
      <c r="FF20">
        <v>1700148215</v>
      </c>
      <c r="FG20">
        <v>5</v>
      </c>
      <c r="FH20">
        <v>0.27800000000000002</v>
      </c>
      <c r="FI20">
        <v>-4.0000000000000001E-3</v>
      </c>
      <c r="FJ20">
        <v>-0.57599999999999996</v>
      </c>
      <c r="FK20">
        <v>0.32400000000000001</v>
      </c>
      <c r="FL20">
        <v>1000</v>
      </c>
      <c r="FM20">
        <v>24</v>
      </c>
      <c r="FN20">
        <v>0.08</v>
      </c>
      <c r="FO20">
        <v>0.06</v>
      </c>
      <c r="FP20">
        <v>43.506577638342897</v>
      </c>
      <c r="FQ20">
        <v>0.61019489287596895</v>
      </c>
      <c r="FR20">
        <v>0.1060837763749566</v>
      </c>
      <c r="FS20">
        <v>1</v>
      </c>
      <c r="FT20">
        <v>0.1160591032108715</v>
      </c>
      <c r="FU20">
        <v>6.8503441343185107E-3</v>
      </c>
      <c r="FV20">
        <v>5.7794590640603775E-4</v>
      </c>
      <c r="FW20">
        <v>1</v>
      </c>
      <c r="FX20">
        <v>2</v>
      </c>
      <c r="FY20">
        <v>2</v>
      </c>
      <c r="FZ20" t="s">
        <v>420</v>
      </c>
      <c r="GA20">
        <v>3.0126200000000001</v>
      </c>
      <c r="GB20">
        <v>2.7771499999999998</v>
      </c>
      <c r="GC20">
        <v>0.162912</v>
      </c>
      <c r="GD20">
        <v>0.16863700000000001</v>
      </c>
      <c r="GE20">
        <v>0.121194</v>
      </c>
      <c r="GF20">
        <v>0.11638</v>
      </c>
      <c r="GG20">
        <v>20000</v>
      </c>
      <c r="GH20">
        <v>20524.8</v>
      </c>
      <c r="GI20">
        <v>23665.7</v>
      </c>
      <c r="GJ20">
        <v>24353.200000000001</v>
      </c>
      <c r="GK20">
        <v>30758.5</v>
      </c>
      <c r="GL20">
        <v>30846.400000000001</v>
      </c>
      <c r="GM20">
        <v>38754.800000000003</v>
      </c>
      <c r="GN20">
        <v>38769.199999999997</v>
      </c>
      <c r="GO20">
        <v>1.3956</v>
      </c>
      <c r="GP20">
        <v>1.8388800000000001</v>
      </c>
      <c r="GQ20">
        <v>7.4394000000000002E-2</v>
      </c>
      <c r="GR20">
        <v>0</v>
      </c>
      <c r="GS20">
        <v>28.7804</v>
      </c>
      <c r="GT20">
        <v>999.9</v>
      </c>
      <c r="GU20">
        <v>64.599999999999994</v>
      </c>
      <c r="GV20">
        <v>33</v>
      </c>
      <c r="GW20">
        <v>32.752600000000001</v>
      </c>
      <c r="GX20">
        <v>61.310099999999998</v>
      </c>
      <c r="GY20">
        <v>30.416699999999999</v>
      </c>
      <c r="GZ20">
        <v>1</v>
      </c>
      <c r="HA20">
        <v>0.67093499999999995</v>
      </c>
      <c r="HB20">
        <v>4.2859499999999997</v>
      </c>
      <c r="HC20">
        <v>20.332000000000001</v>
      </c>
      <c r="HD20">
        <v>5.2467899999999998</v>
      </c>
      <c r="HE20">
        <v>11.997999999999999</v>
      </c>
      <c r="HF20">
        <v>4.9637500000000001</v>
      </c>
      <c r="HG20">
        <v>3.3009499999999998</v>
      </c>
      <c r="HH20">
        <v>9999</v>
      </c>
      <c r="HI20">
        <v>9999</v>
      </c>
      <c r="HJ20">
        <v>9999</v>
      </c>
      <c r="HK20">
        <v>999.9</v>
      </c>
      <c r="HL20">
        <v>1.87469</v>
      </c>
      <c r="HM20">
        <v>1.8800399999999999</v>
      </c>
      <c r="HN20">
        <v>1.88012</v>
      </c>
      <c r="HO20">
        <v>1.8788100000000001</v>
      </c>
      <c r="HP20">
        <v>1.8812599999999999</v>
      </c>
      <c r="HQ20">
        <v>1.87714</v>
      </c>
      <c r="HR20">
        <v>1.8748400000000001</v>
      </c>
      <c r="HS20">
        <v>1.8821699999999999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-0.53300000000000003</v>
      </c>
      <c r="IH20">
        <v>0.38690000000000002</v>
      </c>
      <c r="II20">
        <v>-0.26221814123136611</v>
      </c>
      <c r="IJ20">
        <v>7.0786345690369205E-4</v>
      </c>
      <c r="IK20">
        <v>-1.387476646623666E-6</v>
      </c>
      <c r="IL20">
        <v>3.6592443641472651E-10</v>
      </c>
      <c r="IM20">
        <v>-9.7686343189684235E-2</v>
      </c>
      <c r="IN20">
        <v>-1.92785045113246E-3</v>
      </c>
      <c r="IO20">
        <v>9.94469593919068E-4</v>
      </c>
      <c r="IP20">
        <v>-7.2714521965658074E-6</v>
      </c>
      <c r="IQ20">
        <v>2</v>
      </c>
      <c r="IR20">
        <v>2142</v>
      </c>
      <c r="IS20">
        <v>1</v>
      </c>
      <c r="IT20">
        <v>24</v>
      </c>
      <c r="IU20">
        <v>2.6</v>
      </c>
      <c r="IV20">
        <v>2.6</v>
      </c>
      <c r="IW20">
        <v>2.1191399999999998</v>
      </c>
      <c r="IX20">
        <v>2.5805699999999998</v>
      </c>
      <c r="IY20">
        <v>1.5490699999999999</v>
      </c>
      <c r="IZ20">
        <v>2.3742700000000001</v>
      </c>
      <c r="JA20">
        <v>1.5966800000000001</v>
      </c>
      <c r="JB20">
        <v>2.34497</v>
      </c>
      <c r="JC20">
        <v>37.747</v>
      </c>
      <c r="JD20">
        <v>14.7887</v>
      </c>
      <c r="JE20">
        <v>18</v>
      </c>
      <c r="JF20">
        <v>222.684</v>
      </c>
      <c r="JG20">
        <v>482.625</v>
      </c>
      <c r="JH20">
        <v>24.5258</v>
      </c>
      <c r="JI20">
        <v>35.354199999999999</v>
      </c>
      <c r="JJ20">
        <v>30.0001</v>
      </c>
      <c r="JK20">
        <v>35.261600000000001</v>
      </c>
      <c r="JL20">
        <v>35.210599999999999</v>
      </c>
      <c r="JM20">
        <v>42.380499999999998</v>
      </c>
      <c r="JN20">
        <v>32.514699999999998</v>
      </c>
      <c r="JO20">
        <v>67.614000000000004</v>
      </c>
      <c r="JP20">
        <v>24.523800000000001</v>
      </c>
      <c r="JQ20">
        <v>1000</v>
      </c>
      <c r="JR20">
        <v>24.109400000000001</v>
      </c>
      <c r="JS20">
        <v>98.151899999999998</v>
      </c>
      <c r="JT20">
        <v>99.044300000000007</v>
      </c>
    </row>
    <row r="21" spans="1:280" x14ac:dyDescent="0.25">
      <c r="A21">
        <v>5</v>
      </c>
      <c r="B21">
        <v>1700148588</v>
      </c>
      <c r="C21">
        <v>732</v>
      </c>
      <c r="D21" t="s">
        <v>438</v>
      </c>
      <c r="E21" t="s">
        <v>439</v>
      </c>
      <c r="F21" t="s">
        <v>412</v>
      </c>
      <c r="G21" t="s">
        <v>413</v>
      </c>
      <c r="H21" t="s">
        <v>414</v>
      </c>
      <c r="I21">
        <v>1700148588</v>
      </c>
      <c r="J21">
        <f t="shared" si="0"/>
        <v>2.4365898424191187E-3</v>
      </c>
      <c r="K21">
        <f t="shared" si="1"/>
        <v>2.4365898424191186</v>
      </c>
      <c r="L21">
        <f t="shared" si="2"/>
        <v>43.463101007863763</v>
      </c>
      <c r="M21">
        <f t="shared" si="3"/>
        <v>704.74099999999999</v>
      </c>
      <c r="N21">
        <f t="shared" si="4"/>
        <v>200.7417643474457</v>
      </c>
      <c r="O21">
        <f t="shared" si="5"/>
        <v>20.021853896834465</v>
      </c>
      <c r="P21">
        <f t="shared" si="6"/>
        <v>70.290412077314002</v>
      </c>
      <c r="Q21">
        <f t="shared" si="7"/>
        <v>0.14457692014155132</v>
      </c>
      <c r="R21">
        <f t="shared" si="8"/>
        <v>3.1368557122670579</v>
      </c>
      <c r="S21">
        <f t="shared" si="9"/>
        <v>0.14097445567715081</v>
      </c>
      <c r="T21">
        <f t="shared" si="10"/>
        <v>8.8425225493068041E-2</v>
      </c>
      <c r="U21">
        <f t="shared" si="11"/>
        <v>289.58025641905925</v>
      </c>
      <c r="V21">
        <f t="shared" si="12"/>
        <v>30.071774694998826</v>
      </c>
      <c r="W21">
        <f t="shared" si="13"/>
        <v>30.044899999999998</v>
      </c>
      <c r="X21">
        <f t="shared" si="14"/>
        <v>4.2714499101429544</v>
      </c>
      <c r="Y21">
        <f t="shared" si="15"/>
        <v>64.577174501420529</v>
      </c>
      <c r="Z21">
        <f t="shared" si="16"/>
        <v>2.6070071827228003</v>
      </c>
      <c r="AA21">
        <f t="shared" si="17"/>
        <v>4.03704126551008</v>
      </c>
      <c r="AB21">
        <f t="shared" si="18"/>
        <v>1.6644427274201541</v>
      </c>
      <c r="AC21">
        <f t="shared" si="19"/>
        <v>-107.45361205068313</v>
      </c>
      <c r="AD21">
        <f t="shared" si="20"/>
        <v>-165.63041335745066</v>
      </c>
      <c r="AE21">
        <f t="shared" si="21"/>
        <v>-11.688849130118266</v>
      </c>
      <c r="AF21">
        <f t="shared" si="22"/>
        <v>4.8073818808071564</v>
      </c>
      <c r="AG21">
        <v>265</v>
      </c>
      <c r="AH21">
        <v>53</v>
      </c>
      <c r="AI21">
        <f t="shared" si="23"/>
        <v>1</v>
      </c>
      <c r="AJ21">
        <f t="shared" si="24"/>
        <v>0</v>
      </c>
      <c r="AK21">
        <f t="shared" si="25"/>
        <v>52310.413513959997</v>
      </c>
      <c r="AL21" t="s">
        <v>415</v>
      </c>
      <c r="AM21">
        <v>10238.9</v>
      </c>
      <c r="AN21">
        <v>302.21199999999999</v>
      </c>
      <c r="AO21">
        <v>4052.3</v>
      </c>
      <c r="AP21">
        <f t="shared" si="26"/>
        <v>0.92542210596451402</v>
      </c>
      <c r="AQ21">
        <v>-0.32343011824092421</v>
      </c>
      <c r="AR21" t="s">
        <v>440</v>
      </c>
      <c r="AS21">
        <v>7110.58</v>
      </c>
      <c r="AT21">
        <v>574.22496153846157</v>
      </c>
      <c r="AU21">
        <v>866.04716241306846</v>
      </c>
      <c r="AV21">
        <f t="shared" si="27"/>
        <v>0.33695878647243904</v>
      </c>
      <c r="AW21">
        <v>0.5</v>
      </c>
      <c r="AX21">
        <f t="shared" si="28"/>
        <v>1513.2600002171291</v>
      </c>
      <c r="AY21">
        <f t="shared" si="29"/>
        <v>43.463101007863763</v>
      </c>
      <c r="AZ21">
        <f t="shared" si="30"/>
        <v>254.95312664522334</v>
      </c>
      <c r="BA21">
        <f t="shared" si="31"/>
        <v>2.893523328431466E-2</v>
      </c>
      <c r="BB21">
        <f t="shared" si="32"/>
        <v>3.6790754313068477</v>
      </c>
      <c r="BC21">
        <f t="shared" si="33"/>
        <v>237.14476528727459</v>
      </c>
      <c r="BD21" t="s">
        <v>441</v>
      </c>
      <c r="BE21">
        <v>414.09</v>
      </c>
      <c r="BF21">
        <f t="shared" si="34"/>
        <v>414.09</v>
      </c>
      <c r="BG21">
        <f t="shared" si="35"/>
        <v>0.52186206713475003</v>
      </c>
      <c r="BH21">
        <f t="shared" si="36"/>
        <v>0.64568553204583257</v>
      </c>
      <c r="BI21">
        <f t="shared" si="37"/>
        <v>0.87577485565344815</v>
      </c>
      <c r="BJ21">
        <f t="shared" si="38"/>
        <v>0.51756651647208995</v>
      </c>
      <c r="BK21">
        <f t="shared" si="39"/>
        <v>0.84964748496220122</v>
      </c>
      <c r="BL21">
        <f t="shared" si="40"/>
        <v>0.46562225586382883</v>
      </c>
      <c r="BM21">
        <f t="shared" si="41"/>
        <v>0.53437774413617123</v>
      </c>
      <c r="BN21">
        <v>34421</v>
      </c>
      <c r="BO21">
        <v>290.00000000000011</v>
      </c>
      <c r="BP21">
        <v>780.94</v>
      </c>
      <c r="BQ21">
        <v>285</v>
      </c>
      <c r="BR21">
        <v>7110.58</v>
      </c>
      <c r="BS21">
        <v>783.22</v>
      </c>
      <c r="BT21">
        <v>-2.2799999999999998</v>
      </c>
      <c r="BU21">
        <v>300.00000000000011</v>
      </c>
      <c r="BV21">
        <v>38.299999999999997</v>
      </c>
      <c r="BW21">
        <v>866.04716241306846</v>
      </c>
      <c r="BX21">
        <v>1.3634484665936539</v>
      </c>
      <c r="BY21">
        <v>-58.898130792439872</v>
      </c>
      <c r="BZ21">
        <v>0.81278332728394453</v>
      </c>
      <c r="CA21">
        <v>0.99469610403779729</v>
      </c>
      <c r="CB21">
        <v>-7.0089655172413841E-3</v>
      </c>
      <c r="CC21">
        <v>289.99999999999989</v>
      </c>
      <c r="CD21">
        <v>793.2</v>
      </c>
      <c r="CE21">
        <v>885</v>
      </c>
      <c r="CF21">
        <v>7103.56</v>
      </c>
      <c r="CG21">
        <v>783.13</v>
      </c>
      <c r="CH21">
        <v>10.07</v>
      </c>
      <c r="CV21">
        <f t="shared" si="42"/>
        <v>1800.09</v>
      </c>
      <c r="CW21">
        <f t="shared" si="43"/>
        <v>1513.2600002171291</v>
      </c>
      <c r="CX21">
        <f t="shared" si="44"/>
        <v>0.84065796722226616</v>
      </c>
      <c r="CY21">
        <f t="shared" si="45"/>
        <v>0.16086987673897377</v>
      </c>
      <c r="CZ21">
        <v>5</v>
      </c>
      <c r="DA21">
        <v>0.5</v>
      </c>
      <c r="DB21" t="s">
        <v>418</v>
      </c>
      <c r="DC21">
        <v>2</v>
      </c>
      <c r="DD21">
        <v>1700148588</v>
      </c>
      <c r="DE21">
        <v>704.74099999999999</v>
      </c>
      <c r="DF21">
        <v>749.90599999999995</v>
      </c>
      <c r="DG21">
        <v>26.138200000000001</v>
      </c>
      <c r="DH21">
        <v>23.766100000000002</v>
      </c>
      <c r="DI21">
        <v>705.30899999999997</v>
      </c>
      <c r="DJ21">
        <v>25.7486</v>
      </c>
      <c r="DK21">
        <v>500.16899999999998</v>
      </c>
      <c r="DL21">
        <v>99.639099999999999</v>
      </c>
      <c r="DM21">
        <v>0.100254</v>
      </c>
      <c r="DN21">
        <v>29.0655</v>
      </c>
      <c r="DO21">
        <v>30.044899999999998</v>
      </c>
      <c r="DP21">
        <v>999.9</v>
      </c>
      <c r="DQ21">
        <v>0</v>
      </c>
      <c r="DR21">
        <v>0</v>
      </c>
      <c r="DS21">
        <v>9996.8799999999992</v>
      </c>
      <c r="DT21">
        <v>0</v>
      </c>
      <c r="DU21">
        <v>468.29599999999999</v>
      </c>
      <c r="DV21">
        <v>-45.165300000000002</v>
      </c>
      <c r="DW21">
        <v>723.65599999999995</v>
      </c>
      <c r="DX21">
        <v>768.16200000000003</v>
      </c>
      <c r="DY21">
        <v>2.3720300000000001</v>
      </c>
      <c r="DZ21">
        <v>749.90599999999995</v>
      </c>
      <c r="EA21">
        <v>23.766100000000002</v>
      </c>
      <c r="EB21">
        <v>2.6043799999999999</v>
      </c>
      <c r="EC21">
        <v>2.3680400000000001</v>
      </c>
      <c r="ED21">
        <v>21.693999999999999</v>
      </c>
      <c r="EE21">
        <v>20.146799999999999</v>
      </c>
      <c r="EF21">
        <v>1800.09</v>
      </c>
      <c r="EG21">
        <v>0.97800600000000004</v>
      </c>
      <c r="EH21">
        <v>2.1994300000000001E-2</v>
      </c>
      <c r="EI21">
        <v>0</v>
      </c>
      <c r="EJ21">
        <v>574.06799999999998</v>
      </c>
      <c r="EK21">
        <v>4.9996700000000001</v>
      </c>
      <c r="EL21">
        <v>16864</v>
      </c>
      <c r="EM21">
        <v>15047.5</v>
      </c>
      <c r="EN21">
        <v>50.375</v>
      </c>
      <c r="EO21">
        <v>51.5</v>
      </c>
      <c r="EP21">
        <v>51.186999999999998</v>
      </c>
      <c r="EQ21">
        <v>51.125</v>
      </c>
      <c r="ER21">
        <v>51.625</v>
      </c>
      <c r="ES21">
        <v>1755.61</v>
      </c>
      <c r="ET21">
        <v>39.479999999999997</v>
      </c>
      <c r="EU21">
        <v>0</v>
      </c>
      <c r="EV21">
        <v>217.79999995231631</v>
      </c>
      <c r="EW21">
        <v>0</v>
      </c>
      <c r="EX21">
        <v>574.22496153846157</v>
      </c>
      <c r="EY21">
        <v>-1.8890598397117899</v>
      </c>
      <c r="EZ21">
        <v>-115.0153842337875</v>
      </c>
      <c r="FA21">
        <v>16873.130769230771</v>
      </c>
      <c r="FB21">
        <v>15</v>
      </c>
      <c r="FC21">
        <v>1700148436.5</v>
      </c>
      <c r="FD21" t="s">
        <v>442</v>
      </c>
      <c r="FE21">
        <v>1700148432.5</v>
      </c>
      <c r="FF21">
        <v>1700148436.5</v>
      </c>
      <c r="FG21">
        <v>6</v>
      </c>
      <c r="FH21">
        <v>-0.24299999999999999</v>
      </c>
      <c r="FI21">
        <v>2E-3</v>
      </c>
      <c r="FJ21">
        <v>-0.60099999999999998</v>
      </c>
      <c r="FK21">
        <v>0.32400000000000001</v>
      </c>
      <c r="FL21">
        <v>750</v>
      </c>
      <c r="FM21">
        <v>24</v>
      </c>
      <c r="FN21">
        <v>0.11</v>
      </c>
      <c r="FO21">
        <v>0.04</v>
      </c>
      <c r="FP21">
        <v>43.289769300838692</v>
      </c>
      <c r="FQ21">
        <v>0.30465618652290583</v>
      </c>
      <c r="FR21">
        <v>4.5747532355726407E-2</v>
      </c>
      <c r="FS21">
        <v>1</v>
      </c>
      <c r="FT21">
        <v>0.15275766241464159</v>
      </c>
      <c r="FU21">
        <v>-2.9696983876561459E-2</v>
      </c>
      <c r="FV21">
        <v>2.2558897380677641E-3</v>
      </c>
      <c r="FW21">
        <v>1</v>
      </c>
      <c r="FX21">
        <v>2</v>
      </c>
      <c r="FY21">
        <v>2</v>
      </c>
      <c r="FZ21" t="s">
        <v>420</v>
      </c>
      <c r="GA21">
        <v>3.0128300000000001</v>
      </c>
      <c r="GB21">
        <v>2.7773099999999999</v>
      </c>
      <c r="GC21">
        <v>0.133186</v>
      </c>
      <c r="GD21">
        <v>0.13959099999999999</v>
      </c>
      <c r="GE21">
        <v>0.121236</v>
      </c>
      <c r="GF21">
        <v>0.11489000000000001</v>
      </c>
      <c r="GG21">
        <v>20707.7</v>
      </c>
      <c r="GH21">
        <v>21239.200000000001</v>
      </c>
      <c r="GI21">
        <v>23662.2</v>
      </c>
      <c r="GJ21">
        <v>24349.3</v>
      </c>
      <c r="GK21">
        <v>30753.7</v>
      </c>
      <c r="GL21">
        <v>30895.1</v>
      </c>
      <c r="GM21">
        <v>38749.699999999997</v>
      </c>
      <c r="GN21">
        <v>38764.5</v>
      </c>
      <c r="GO21">
        <v>1.3974</v>
      </c>
      <c r="GP21">
        <v>1.8306</v>
      </c>
      <c r="GQ21">
        <v>6.4577899999999994E-2</v>
      </c>
      <c r="GR21">
        <v>0</v>
      </c>
      <c r="GS21">
        <v>28.993200000000002</v>
      </c>
      <c r="GT21">
        <v>999.9</v>
      </c>
      <c r="GU21">
        <v>62.3</v>
      </c>
      <c r="GV21">
        <v>33.6</v>
      </c>
      <c r="GW21">
        <v>32.671999999999997</v>
      </c>
      <c r="GX21">
        <v>61.210099999999997</v>
      </c>
      <c r="GY21">
        <v>30.472799999999999</v>
      </c>
      <c r="GZ21">
        <v>1</v>
      </c>
      <c r="HA21">
        <v>0.684751</v>
      </c>
      <c r="HB21">
        <v>4.54894</v>
      </c>
      <c r="HC21">
        <v>20.265999999999998</v>
      </c>
      <c r="HD21">
        <v>5.2438000000000002</v>
      </c>
      <c r="HE21">
        <v>11.997999999999999</v>
      </c>
      <c r="HF21">
        <v>4.9636500000000003</v>
      </c>
      <c r="HG21">
        <v>3.3008299999999999</v>
      </c>
      <c r="HH21">
        <v>9999</v>
      </c>
      <c r="HI21">
        <v>9999</v>
      </c>
      <c r="HJ21">
        <v>9999</v>
      </c>
      <c r="HK21">
        <v>999.9</v>
      </c>
      <c r="HL21">
        <v>1.8748400000000001</v>
      </c>
      <c r="HM21">
        <v>1.8801699999999999</v>
      </c>
      <c r="HN21">
        <v>1.8802000000000001</v>
      </c>
      <c r="HO21">
        <v>1.87896</v>
      </c>
      <c r="HP21">
        <v>1.8813899999999999</v>
      </c>
      <c r="HQ21">
        <v>1.87717</v>
      </c>
      <c r="HR21">
        <v>1.8748800000000001</v>
      </c>
      <c r="HS21">
        <v>1.8822000000000001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-0.56799999999999995</v>
      </c>
      <c r="IH21">
        <v>0.3896</v>
      </c>
      <c r="II21">
        <v>-0.5055585919744422</v>
      </c>
      <c r="IJ21">
        <v>7.0786345690369205E-4</v>
      </c>
      <c r="IK21">
        <v>-1.387476646623666E-6</v>
      </c>
      <c r="IL21">
        <v>3.6592443641472651E-10</v>
      </c>
      <c r="IM21">
        <v>-9.5935277986301762E-2</v>
      </c>
      <c r="IN21">
        <v>-1.92785045113246E-3</v>
      </c>
      <c r="IO21">
        <v>9.94469593919068E-4</v>
      </c>
      <c r="IP21">
        <v>-7.2714521965658074E-6</v>
      </c>
      <c r="IQ21">
        <v>2</v>
      </c>
      <c r="IR21">
        <v>2142</v>
      </c>
      <c r="IS21">
        <v>1</v>
      </c>
      <c r="IT21">
        <v>24</v>
      </c>
      <c r="IU21">
        <v>2.6</v>
      </c>
      <c r="IV21">
        <v>2.5</v>
      </c>
      <c r="IW21">
        <v>1.6772499999999999</v>
      </c>
      <c r="IX21">
        <v>2.5915499999999998</v>
      </c>
      <c r="IY21">
        <v>1.5490699999999999</v>
      </c>
      <c r="IZ21">
        <v>2.3730500000000001</v>
      </c>
      <c r="JA21">
        <v>1.5966800000000001</v>
      </c>
      <c r="JB21">
        <v>2.3584000000000001</v>
      </c>
      <c r="JC21">
        <v>38.476900000000001</v>
      </c>
      <c r="JD21">
        <v>24.1313</v>
      </c>
      <c r="JE21">
        <v>18</v>
      </c>
      <c r="JF21">
        <v>223.67099999999999</v>
      </c>
      <c r="JG21">
        <v>477.98700000000002</v>
      </c>
      <c r="JH21">
        <v>24.591999999999999</v>
      </c>
      <c r="JI21">
        <v>35.4816</v>
      </c>
      <c r="JJ21">
        <v>29.9999</v>
      </c>
      <c r="JK21">
        <v>35.3872</v>
      </c>
      <c r="JL21">
        <v>35.338999999999999</v>
      </c>
      <c r="JM21">
        <v>33.524700000000003</v>
      </c>
      <c r="JN21">
        <v>32.874400000000001</v>
      </c>
      <c r="JO21">
        <v>61.935899999999997</v>
      </c>
      <c r="JP21">
        <v>24.578399999999998</v>
      </c>
      <c r="JQ21">
        <v>750</v>
      </c>
      <c r="JR21">
        <v>23.8886</v>
      </c>
      <c r="JS21">
        <v>98.138300000000001</v>
      </c>
      <c r="JT21">
        <v>99.030900000000003</v>
      </c>
    </row>
    <row r="22" spans="1:280" x14ac:dyDescent="0.25">
      <c r="A22">
        <v>6</v>
      </c>
      <c r="B22">
        <v>1700148790</v>
      </c>
      <c r="C22">
        <v>934</v>
      </c>
      <c r="D22" t="s">
        <v>443</v>
      </c>
      <c r="E22" t="s">
        <v>444</v>
      </c>
      <c r="F22" t="s">
        <v>412</v>
      </c>
      <c r="G22" t="s">
        <v>413</v>
      </c>
      <c r="H22" t="s">
        <v>414</v>
      </c>
      <c r="I22">
        <v>1700148790</v>
      </c>
      <c r="J22">
        <f t="shared" si="0"/>
        <v>3.1085141236079868E-3</v>
      </c>
      <c r="K22">
        <f t="shared" si="1"/>
        <v>3.108514123607987</v>
      </c>
      <c r="L22">
        <f t="shared" si="2"/>
        <v>42.746660271810306</v>
      </c>
      <c r="M22">
        <f t="shared" si="3"/>
        <v>555.43100000000004</v>
      </c>
      <c r="N22">
        <f t="shared" si="4"/>
        <v>170.79300586578387</v>
      </c>
      <c r="O22">
        <f t="shared" si="5"/>
        <v>17.035085351633839</v>
      </c>
      <c r="P22">
        <f t="shared" si="6"/>
        <v>55.399308911858</v>
      </c>
      <c r="Q22">
        <f t="shared" si="7"/>
        <v>0.18769164974712713</v>
      </c>
      <c r="R22">
        <f t="shared" si="8"/>
        <v>3.1383719333827642</v>
      </c>
      <c r="S22">
        <f t="shared" si="9"/>
        <v>0.18167121003477466</v>
      </c>
      <c r="T22">
        <f t="shared" si="10"/>
        <v>0.11406933202253763</v>
      </c>
      <c r="U22">
        <f t="shared" si="11"/>
        <v>289.56589241908023</v>
      </c>
      <c r="V22">
        <f t="shared" si="12"/>
        <v>29.998844817271397</v>
      </c>
      <c r="W22">
        <f t="shared" si="13"/>
        <v>30.0214</v>
      </c>
      <c r="X22">
        <f t="shared" si="14"/>
        <v>4.2656895165969715</v>
      </c>
      <c r="Y22">
        <f t="shared" si="15"/>
        <v>64.50669501791559</v>
      </c>
      <c r="Z22">
        <f t="shared" si="16"/>
        <v>2.6179450205931998</v>
      </c>
      <c r="AA22">
        <f t="shared" si="17"/>
        <v>4.0584082316821721</v>
      </c>
      <c r="AB22">
        <f t="shared" si="18"/>
        <v>1.6477444960037717</v>
      </c>
      <c r="AC22">
        <f t="shared" si="19"/>
        <v>-137.08547285111223</v>
      </c>
      <c r="AD22">
        <f t="shared" si="20"/>
        <v>-146.2867817736707</v>
      </c>
      <c r="AE22">
        <f t="shared" si="21"/>
        <v>-10.322208035472254</v>
      </c>
      <c r="AF22">
        <f t="shared" si="22"/>
        <v>-4.1285702411749696</v>
      </c>
      <c r="AG22">
        <v>261</v>
      </c>
      <c r="AH22">
        <v>52</v>
      </c>
      <c r="AI22">
        <f t="shared" si="23"/>
        <v>1</v>
      </c>
      <c r="AJ22">
        <f t="shared" si="24"/>
        <v>0</v>
      </c>
      <c r="AK22">
        <f t="shared" si="25"/>
        <v>52333.334052141588</v>
      </c>
      <c r="AL22" t="s">
        <v>415</v>
      </c>
      <c r="AM22">
        <v>10238.9</v>
      </c>
      <c r="AN22">
        <v>302.21199999999999</v>
      </c>
      <c r="AO22">
        <v>4052.3</v>
      </c>
      <c r="AP22">
        <f t="shared" si="26"/>
        <v>0.92542210596451402</v>
      </c>
      <c r="AQ22">
        <v>-0.32343011824092421</v>
      </c>
      <c r="AR22" t="s">
        <v>445</v>
      </c>
      <c r="AS22">
        <v>7110.28</v>
      </c>
      <c r="AT22">
        <v>573.17916000000002</v>
      </c>
      <c r="AU22">
        <v>862.98621535850384</v>
      </c>
      <c r="AV22">
        <f t="shared" si="27"/>
        <v>0.33581886964221264</v>
      </c>
      <c r="AW22">
        <v>0.5</v>
      </c>
      <c r="AX22">
        <f t="shared" si="28"/>
        <v>1513.1844002171399</v>
      </c>
      <c r="AY22">
        <f t="shared" si="29"/>
        <v>42.746660271810306</v>
      </c>
      <c r="AZ22">
        <f t="shared" si="30"/>
        <v>254.0779374205747</v>
      </c>
      <c r="BA22">
        <f t="shared" si="31"/>
        <v>2.8463213329367344E-2</v>
      </c>
      <c r="BB22">
        <f t="shared" si="32"/>
        <v>3.695671759156181</v>
      </c>
      <c r="BC22">
        <f t="shared" si="33"/>
        <v>236.91466566595318</v>
      </c>
      <c r="BD22" t="s">
        <v>446</v>
      </c>
      <c r="BE22">
        <v>414.41</v>
      </c>
      <c r="BF22">
        <f t="shared" si="34"/>
        <v>414.41</v>
      </c>
      <c r="BG22">
        <f t="shared" si="35"/>
        <v>0.51979534246923653</v>
      </c>
      <c r="BH22">
        <f t="shared" si="36"/>
        <v>0.64605978969903455</v>
      </c>
      <c r="BI22">
        <f t="shared" si="37"/>
        <v>0.87669329876425517</v>
      </c>
      <c r="BJ22">
        <f t="shared" si="38"/>
        <v>0.51679811129195674</v>
      </c>
      <c r="BK22">
        <f t="shared" si="39"/>
        <v>0.85046371835580825</v>
      </c>
      <c r="BL22">
        <f t="shared" si="40"/>
        <v>0.46710288184444265</v>
      </c>
      <c r="BM22">
        <f t="shared" si="41"/>
        <v>0.53289711815555729</v>
      </c>
      <c r="BN22">
        <v>34423</v>
      </c>
      <c r="BO22">
        <v>290.00000000000011</v>
      </c>
      <c r="BP22">
        <v>778.89</v>
      </c>
      <c r="BQ22">
        <v>295</v>
      </c>
      <c r="BR22">
        <v>7110.28</v>
      </c>
      <c r="BS22">
        <v>781.2</v>
      </c>
      <c r="BT22">
        <v>-2.31</v>
      </c>
      <c r="BU22">
        <v>300.00000000000011</v>
      </c>
      <c r="BV22">
        <v>38.299999999999997</v>
      </c>
      <c r="BW22">
        <v>862.98621535850384</v>
      </c>
      <c r="BX22">
        <v>1.236660516989218</v>
      </c>
      <c r="BY22">
        <v>-58.153770448889723</v>
      </c>
      <c r="BZ22">
        <v>0.73716726383811926</v>
      </c>
      <c r="CA22">
        <v>0.99552096180085881</v>
      </c>
      <c r="CB22">
        <v>-7.0087056729699702E-3</v>
      </c>
      <c r="CC22">
        <v>289.99999999999989</v>
      </c>
      <c r="CD22">
        <v>791.13</v>
      </c>
      <c r="CE22">
        <v>845</v>
      </c>
      <c r="CF22">
        <v>7103.71</v>
      </c>
      <c r="CG22">
        <v>781.12</v>
      </c>
      <c r="CH22">
        <v>10.01</v>
      </c>
      <c r="CV22">
        <f t="shared" si="42"/>
        <v>1800</v>
      </c>
      <c r="CW22">
        <f t="shared" si="43"/>
        <v>1513.1844002171399</v>
      </c>
      <c r="CX22">
        <f t="shared" si="44"/>
        <v>0.8406580001206333</v>
      </c>
      <c r="CY22">
        <f t="shared" si="45"/>
        <v>0.16086994023282236</v>
      </c>
      <c r="CZ22">
        <v>5</v>
      </c>
      <c r="DA22">
        <v>0.5</v>
      </c>
      <c r="DB22" t="s">
        <v>418</v>
      </c>
      <c r="DC22">
        <v>2</v>
      </c>
      <c r="DD22">
        <v>1700148790</v>
      </c>
      <c r="DE22">
        <v>555.43100000000004</v>
      </c>
      <c r="DF22">
        <v>599.89800000000002</v>
      </c>
      <c r="DG22">
        <v>26.247399999999999</v>
      </c>
      <c r="DH22">
        <v>23.2209</v>
      </c>
      <c r="DI22">
        <v>555.95000000000005</v>
      </c>
      <c r="DJ22">
        <v>25.8537</v>
      </c>
      <c r="DK22">
        <v>500.07</v>
      </c>
      <c r="DL22">
        <v>99.641000000000005</v>
      </c>
      <c r="DM22">
        <v>0.100118</v>
      </c>
      <c r="DN22">
        <v>29.1568</v>
      </c>
      <c r="DO22">
        <v>30.0214</v>
      </c>
      <c r="DP22">
        <v>999.9</v>
      </c>
      <c r="DQ22">
        <v>0</v>
      </c>
      <c r="DR22">
        <v>0</v>
      </c>
      <c r="DS22">
        <v>10004.4</v>
      </c>
      <c r="DT22">
        <v>0</v>
      </c>
      <c r="DU22">
        <v>469.24799999999999</v>
      </c>
      <c r="DV22">
        <v>-44.467500000000001</v>
      </c>
      <c r="DW22">
        <v>570.40300000000002</v>
      </c>
      <c r="DX22">
        <v>614.16</v>
      </c>
      <c r="DY22">
        <v>3.0265399999999998</v>
      </c>
      <c r="DZ22">
        <v>599.89800000000002</v>
      </c>
      <c r="EA22">
        <v>23.2209</v>
      </c>
      <c r="EB22">
        <v>2.6153200000000001</v>
      </c>
      <c r="EC22">
        <v>2.3137500000000002</v>
      </c>
      <c r="ED22">
        <v>21.762499999999999</v>
      </c>
      <c r="EE22">
        <v>19.772500000000001</v>
      </c>
      <c r="EF22">
        <v>1800</v>
      </c>
      <c r="EG22">
        <v>0.97800600000000004</v>
      </c>
      <c r="EH22">
        <v>2.1994300000000001E-2</v>
      </c>
      <c r="EI22">
        <v>0</v>
      </c>
      <c r="EJ22">
        <v>572.98099999999999</v>
      </c>
      <c r="EK22">
        <v>4.9996700000000001</v>
      </c>
      <c r="EL22">
        <v>16727.400000000001</v>
      </c>
      <c r="EM22">
        <v>15046.8</v>
      </c>
      <c r="EN22">
        <v>50.436999999999998</v>
      </c>
      <c r="EO22">
        <v>51.561999999999998</v>
      </c>
      <c r="EP22">
        <v>51.25</v>
      </c>
      <c r="EQ22">
        <v>51.186999999999998</v>
      </c>
      <c r="ER22">
        <v>51.75</v>
      </c>
      <c r="ES22">
        <v>1755.52</v>
      </c>
      <c r="ET22">
        <v>39.479999999999997</v>
      </c>
      <c r="EU22">
        <v>0</v>
      </c>
      <c r="EV22">
        <v>199.79999995231631</v>
      </c>
      <c r="EW22">
        <v>0</v>
      </c>
      <c r="EX22">
        <v>573.17916000000002</v>
      </c>
      <c r="EY22">
        <v>1.0906153878806859</v>
      </c>
      <c r="EZ22">
        <v>41.707691783387638</v>
      </c>
      <c r="FA22">
        <v>16718.84</v>
      </c>
      <c r="FB22">
        <v>15</v>
      </c>
      <c r="FC22">
        <v>1700148659.5</v>
      </c>
      <c r="FD22" t="s">
        <v>447</v>
      </c>
      <c r="FE22">
        <v>1700148651.5</v>
      </c>
      <c r="FF22">
        <v>1700148659.5</v>
      </c>
      <c r="FG22">
        <v>7</v>
      </c>
      <c r="FH22">
        <v>-4.2000000000000003E-2</v>
      </c>
      <c r="FI22">
        <v>0</v>
      </c>
      <c r="FJ22">
        <v>-0.54300000000000004</v>
      </c>
      <c r="FK22">
        <v>0.315</v>
      </c>
      <c r="FL22">
        <v>600</v>
      </c>
      <c r="FM22">
        <v>24</v>
      </c>
      <c r="FN22">
        <v>0.2</v>
      </c>
      <c r="FO22">
        <v>0.04</v>
      </c>
      <c r="FP22">
        <v>42.80553529109703</v>
      </c>
      <c r="FQ22">
        <v>0.63946139273072145</v>
      </c>
      <c r="FR22">
        <v>6.0741818533003922E-2</v>
      </c>
      <c r="FS22">
        <v>1</v>
      </c>
      <c r="FT22">
        <v>0.1910526391080585</v>
      </c>
      <c r="FU22">
        <v>-1.7573990988780971E-2</v>
      </c>
      <c r="FV22">
        <v>1.3597564462416421E-3</v>
      </c>
      <c r="FW22">
        <v>1</v>
      </c>
      <c r="FX22">
        <v>2</v>
      </c>
      <c r="FY22">
        <v>2</v>
      </c>
      <c r="FZ22" t="s">
        <v>420</v>
      </c>
      <c r="GA22">
        <v>3.0127199999999998</v>
      </c>
      <c r="GB22">
        <v>2.7772399999999999</v>
      </c>
      <c r="GC22">
        <v>0.112729</v>
      </c>
      <c r="GD22">
        <v>0.119668</v>
      </c>
      <c r="GE22">
        <v>0.121533</v>
      </c>
      <c r="GF22">
        <v>0.11301799999999999</v>
      </c>
      <c r="GG22">
        <v>21188.5</v>
      </c>
      <c r="GH22">
        <v>21723.4</v>
      </c>
      <c r="GI22">
        <v>23653.7</v>
      </c>
      <c r="GJ22">
        <v>24341.1</v>
      </c>
      <c r="GK22">
        <v>30734.400000000001</v>
      </c>
      <c r="GL22">
        <v>30952</v>
      </c>
      <c r="GM22">
        <v>38737.599999999999</v>
      </c>
      <c r="GN22">
        <v>38753.300000000003</v>
      </c>
      <c r="GO22">
        <v>1.4064000000000001</v>
      </c>
      <c r="GP22">
        <v>1.8211299999999999</v>
      </c>
      <c r="GQ22">
        <v>4.8577799999999997E-2</v>
      </c>
      <c r="GR22">
        <v>0</v>
      </c>
      <c r="GS22">
        <v>29.230399999999999</v>
      </c>
      <c r="GT22">
        <v>999.9</v>
      </c>
      <c r="GU22">
        <v>60.3</v>
      </c>
      <c r="GV22">
        <v>34.200000000000003</v>
      </c>
      <c r="GW22">
        <v>32.696599999999997</v>
      </c>
      <c r="GX22">
        <v>61.380099999999999</v>
      </c>
      <c r="GY22">
        <v>30.476800000000001</v>
      </c>
      <c r="GZ22">
        <v>1</v>
      </c>
      <c r="HA22">
        <v>0.70211900000000005</v>
      </c>
      <c r="HB22">
        <v>4.6194100000000002</v>
      </c>
      <c r="HC22">
        <v>20.2638</v>
      </c>
      <c r="HD22">
        <v>5.2451400000000001</v>
      </c>
      <c r="HE22">
        <v>11.997999999999999</v>
      </c>
      <c r="HF22">
        <v>4.9637500000000001</v>
      </c>
      <c r="HG22">
        <v>3.3009300000000001</v>
      </c>
      <c r="HH22">
        <v>9999</v>
      </c>
      <c r="HI22">
        <v>9999</v>
      </c>
      <c r="HJ22">
        <v>9999</v>
      </c>
      <c r="HK22">
        <v>999.9</v>
      </c>
      <c r="HL22">
        <v>1.87483</v>
      </c>
      <c r="HM22">
        <v>1.88019</v>
      </c>
      <c r="HN22">
        <v>1.8802000000000001</v>
      </c>
      <c r="HO22">
        <v>1.87897</v>
      </c>
      <c r="HP22">
        <v>1.8813500000000001</v>
      </c>
      <c r="HQ22">
        <v>1.87717</v>
      </c>
      <c r="HR22">
        <v>1.8749</v>
      </c>
      <c r="HS22">
        <v>1.88218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-0.51900000000000002</v>
      </c>
      <c r="IH22">
        <v>0.39369999999999999</v>
      </c>
      <c r="II22">
        <v>-0.54711544072369744</v>
      </c>
      <c r="IJ22">
        <v>7.0786345690369205E-4</v>
      </c>
      <c r="IK22">
        <v>-1.387476646623666E-6</v>
      </c>
      <c r="IL22">
        <v>3.6592443641472651E-10</v>
      </c>
      <c r="IM22">
        <v>-9.5520858208053908E-2</v>
      </c>
      <c r="IN22">
        <v>-1.92785045113246E-3</v>
      </c>
      <c r="IO22">
        <v>9.94469593919068E-4</v>
      </c>
      <c r="IP22">
        <v>-7.2714521965658074E-6</v>
      </c>
      <c r="IQ22">
        <v>2</v>
      </c>
      <c r="IR22">
        <v>2142</v>
      </c>
      <c r="IS22">
        <v>1</v>
      </c>
      <c r="IT22">
        <v>24</v>
      </c>
      <c r="IU22">
        <v>2.2999999999999998</v>
      </c>
      <c r="IV22">
        <v>2.2000000000000002</v>
      </c>
      <c r="IW22">
        <v>1.39893</v>
      </c>
      <c r="IX22">
        <v>2.5988799999999999</v>
      </c>
      <c r="IY22">
        <v>1.5490699999999999</v>
      </c>
      <c r="IZ22">
        <v>2.3706100000000001</v>
      </c>
      <c r="JA22">
        <v>1.5966800000000001</v>
      </c>
      <c r="JB22">
        <v>2.34131</v>
      </c>
      <c r="JC22">
        <v>39.192399999999999</v>
      </c>
      <c r="JD22">
        <v>24.122499999999999</v>
      </c>
      <c r="JE22">
        <v>18</v>
      </c>
      <c r="JF22">
        <v>227.40100000000001</v>
      </c>
      <c r="JG22">
        <v>472.86900000000003</v>
      </c>
      <c r="JH22">
        <v>24.688700000000001</v>
      </c>
      <c r="JI22">
        <v>35.6875</v>
      </c>
      <c r="JJ22">
        <v>30.0001</v>
      </c>
      <c r="JK22">
        <v>35.5655</v>
      </c>
      <c r="JL22">
        <v>35.507599999999996</v>
      </c>
      <c r="JM22">
        <v>27.978100000000001</v>
      </c>
      <c r="JN22">
        <v>33.832799999999999</v>
      </c>
      <c r="JO22">
        <v>55.857999999999997</v>
      </c>
      <c r="JP22">
        <v>24.6829</v>
      </c>
      <c r="JQ22">
        <v>600</v>
      </c>
      <c r="JR22">
        <v>23.315899999999999</v>
      </c>
      <c r="JS22">
        <v>98.105999999999995</v>
      </c>
      <c r="JT22">
        <v>99.000500000000002</v>
      </c>
    </row>
    <row r="23" spans="1:280" x14ac:dyDescent="0.25">
      <c r="A23">
        <v>7</v>
      </c>
      <c r="B23">
        <v>1700149000.5</v>
      </c>
      <c r="C23">
        <v>1144.5</v>
      </c>
      <c r="D23" t="s">
        <v>448</v>
      </c>
      <c r="E23" t="s">
        <v>449</v>
      </c>
      <c r="F23" t="s">
        <v>412</v>
      </c>
      <c r="G23" t="s">
        <v>413</v>
      </c>
      <c r="H23" t="s">
        <v>414</v>
      </c>
      <c r="I23">
        <v>1700149000.5</v>
      </c>
      <c r="J23">
        <f t="shared" si="0"/>
        <v>3.4710556343810115E-3</v>
      </c>
      <c r="K23">
        <f t="shared" si="1"/>
        <v>3.4710556343810115</v>
      </c>
      <c r="L23">
        <f t="shared" si="2"/>
        <v>41.471205743647069</v>
      </c>
      <c r="M23">
        <f t="shared" si="3"/>
        <v>456.95400000000001</v>
      </c>
      <c r="N23">
        <f t="shared" si="4"/>
        <v>127.51837303562306</v>
      </c>
      <c r="O23">
        <f t="shared" si="5"/>
        <v>12.719406575895142</v>
      </c>
      <c r="P23">
        <f t="shared" si="6"/>
        <v>45.579186544812011</v>
      </c>
      <c r="Q23">
        <f t="shared" si="7"/>
        <v>0.21300744530995133</v>
      </c>
      <c r="R23">
        <f t="shared" si="8"/>
        <v>3.1295939414280198</v>
      </c>
      <c r="S23">
        <f t="shared" si="9"/>
        <v>0.20526853815938165</v>
      </c>
      <c r="T23">
        <f t="shared" si="10"/>
        <v>0.12896472126259692</v>
      </c>
      <c r="U23">
        <f t="shared" si="11"/>
        <v>289.5611044190872</v>
      </c>
      <c r="V23">
        <f t="shared" si="12"/>
        <v>30.03264272242069</v>
      </c>
      <c r="W23">
        <f t="shared" si="13"/>
        <v>30.033300000000001</v>
      </c>
      <c r="X23">
        <f t="shared" si="14"/>
        <v>4.2686056351540174</v>
      </c>
      <c r="Y23">
        <f t="shared" si="15"/>
        <v>64.608242099132639</v>
      </c>
      <c r="Z23">
        <f t="shared" si="16"/>
        <v>2.6403379186346005</v>
      </c>
      <c r="AA23">
        <f t="shared" si="17"/>
        <v>4.0866889933073214</v>
      </c>
      <c r="AB23">
        <f t="shared" si="18"/>
        <v>1.6282677165194168</v>
      </c>
      <c r="AC23">
        <f t="shared" si="19"/>
        <v>-153.07355347620262</v>
      </c>
      <c r="AD23">
        <f t="shared" si="20"/>
        <v>-127.60495423969317</v>
      </c>
      <c r="AE23">
        <f t="shared" si="21"/>
        <v>-9.0351555629354365</v>
      </c>
      <c r="AF23">
        <f t="shared" si="22"/>
        <v>-0.15255885974400485</v>
      </c>
      <c r="AG23">
        <v>258</v>
      </c>
      <c r="AH23">
        <v>52</v>
      </c>
      <c r="AI23">
        <f t="shared" si="23"/>
        <v>1</v>
      </c>
      <c r="AJ23">
        <f t="shared" si="24"/>
        <v>0</v>
      </c>
      <c r="AK23">
        <f t="shared" si="25"/>
        <v>52088.862410245638</v>
      </c>
      <c r="AL23" t="s">
        <v>415</v>
      </c>
      <c r="AM23">
        <v>10238.9</v>
      </c>
      <c r="AN23">
        <v>302.21199999999999</v>
      </c>
      <c r="AO23">
        <v>4052.3</v>
      </c>
      <c r="AP23">
        <f t="shared" si="26"/>
        <v>0.92542210596451402</v>
      </c>
      <c r="AQ23">
        <v>-0.32343011824092421</v>
      </c>
      <c r="AR23" t="s">
        <v>450</v>
      </c>
      <c r="AS23">
        <v>7110.05</v>
      </c>
      <c r="AT23">
        <v>573.08540000000005</v>
      </c>
      <c r="AU23">
        <v>848.11093534878944</v>
      </c>
      <c r="AV23">
        <f t="shared" si="27"/>
        <v>0.32428014294578567</v>
      </c>
      <c r="AW23">
        <v>0.5</v>
      </c>
      <c r="AX23">
        <f t="shared" si="28"/>
        <v>1513.1592002171435</v>
      </c>
      <c r="AY23">
        <f t="shared" si="29"/>
        <v>41.471205743647069</v>
      </c>
      <c r="AZ23">
        <f t="shared" si="30"/>
        <v>245.34374087307302</v>
      </c>
      <c r="BA23">
        <f t="shared" si="31"/>
        <v>2.7620779000577279E-2</v>
      </c>
      <c r="BB23">
        <f t="shared" si="32"/>
        <v>3.7780305984776312</v>
      </c>
      <c r="BC23">
        <f t="shared" si="33"/>
        <v>235.77937677319142</v>
      </c>
      <c r="BD23" t="s">
        <v>451</v>
      </c>
      <c r="BE23">
        <v>416.45</v>
      </c>
      <c r="BF23">
        <f t="shared" si="34"/>
        <v>416.45</v>
      </c>
      <c r="BG23">
        <f t="shared" si="35"/>
        <v>0.50896753874688216</v>
      </c>
      <c r="BH23">
        <f t="shared" si="36"/>
        <v>0.6371332516493855</v>
      </c>
      <c r="BI23">
        <f t="shared" si="37"/>
        <v>0.88127647308090551</v>
      </c>
      <c r="BJ23">
        <f t="shared" si="38"/>
        <v>0.5038030256883872</v>
      </c>
      <c r="BK23">
        <f t="shared" si="39"/>
        <v>0.85443036660771976</v>
      </c>
      <c r="BL23">
        <f t="shared" si="40"/>
        <v>0.46299232653525385</v>
      </c>
      <c r="BM23">
        <f t="shared" si="41"/>
        <v>0.5370076734647462</v>
      </c>
      <c r="BN23">
        <v>34425</v>
      </c>
      <c r="BO23">
        <v>290.00000000000011</v>
      </c>
      <c r="BP23">
        <v>770.42</v>
      </c>
      <c r="BQ23">
        <v>295</v>
      </c>
      <c r="BR23">
        <v>7110.05</v>
      </c>
      <c r="BS23">
        <v>772.64</v>
      </c>
      <c r="BT23">
        <v>-2.2200000000000002</v>
      </c>
      <c r="BU23">
        <v>300.00000000000011</v>
      </c>
      <c r="BV23">
        <v>38.299999999999997</v>
      </c>
      <c r="BW23">
        <v>848.11093534878944</v>
      </c>
      <c r="BX23">
        <v>1.6134736816439039</v>
      </c>
      <c r="BY23">
        <v>-53.658839649050663</v>
      </c>
      <c r="BZ23">
        <v>0.96175492520437822</v>
      </c>
      <c r="CA23">
        <v>0.99108512468916177</v>
      </c>
      <c r="CB23">
        <v>-7.0085074527252511E-3</v>
      </c>
      <c r="CC23">
        <v>289.99999999999989</v>
      </c>
      <c r="CD23">
        <v>782.37</v>
      </c>
      <c r="CE23">
        <v>785</v>
      </c>
      <c r="CF23">
        <v>7104.35</v>
      </c>
      <c r="CG23">
        <v>772.58</v>
      </c>
      <c r="CH23">
        <v>9.7899999999999991</v>
      </c>
      <c r="CV23">
        <f t="shared" si="42"/>
        <v>1799.97</v>
      </c>
      <c r="CW23">
        <f t="shared" si="43"/>
        <v>1513.1592002171435</v>
      </c>
      <c r="CX23">
        <f t="shared" si="44"/>
        <v>0.84065801108748672</v>
      </c>
      <c r="CY23">
        <f t="shared" si="45"/>
        <v>0.16086996139884954</v>
      </c>
      <c r="CZ23">
        <v>5</v>
      </c>
      <c r="DA23">
        <v>0.5</v>
      </c>
      <c r="DB23" t="s">
        <v>418</v>
      </c>
      <c r="DC23">
        <v>2</v>
      </c>
      <c r="DD23">
        <v>1700149000.5</v>
      </c>
      <c r="DE23">
        <v>456.95400000000001</v>
      </c>
      <c r="DF23">
        <v>500.00400000000002</v>
      </c>
      <c r="DG23">
        <v>26.470700000000001</v>
      </c>
      <c r="DH23">
        <v>23.092099999999999</v>
      </c>
      <c r="DI23">
        <v>457.51299999999998</v>
      </c>
      <c r="DJ23">
        <v>26.140999999999998</v>
      </c>
      <c r="DK23">
        <v>500.08499999999998</v>
      </c>
      <c r="DL23">
        <v>99.645300000000006</v>
      </c>
      <c r="DM23">
        <v>0.100378</v>
      </c>
      <c r="DN23">
        <v>29.277000000000001</v>
      </c>
      <c r="DO23">
        <v>30.033300000000001</v>
      </c>
      <c r="DP23">
        <v>999.9</v>
      </c>
      <c r="DQ23">
        <v>0</v>
      </c>
      <c r="DR23">
        <v>0</v>
      </c>
      <c r="DS23">
        <v>9959.3799999999992</v>
      </c>
      <c r="DT23">
        <v>0</v>
      </c>
      <c r="DU23">
        <v>471.34300000000002</v>
      </c>
      <c r="DV23">
        <v>-43.049399999999999</v>
      </c>
      <c r="DW23">
        <v>469.37900000000002</v>
      </c>
      <c r="DX23">
        <v>511.82299999999998</v>
      </c>
      <c r="DY23">
        <v>3.3786200000000002</v>
      </c>
      <c r="DZ23">
        <v>500.00400000000002</v>
      </c>
      <c r="EA23">
        <v>23.092099999999999</v>
      </c>
      <c r="EB23">
        <v>2.63768</v>
      </c>
      <c r="EC23">
        <v>2.3010199999999998</v>
      </c>
      <c r="ED23">
        <v>21.901900000000001</v>
      </c>
      <c r="EE23">
        <v>19.683499999999999</v>
      </c>
      <c r="EF23">
        <v>1799.97</v>
      </c>
      <c r="EG23">
        <v>0.97800600000000004</v>
      </c>
      <c r="EH23">
        <v>2.1994300000000001E-2</v>
      </c>
      <c r="EI23">
        <v>0</v>
      </c>
      <c r="EJ23">
        <v>573.00199999999995</v>
      </c>
      <c r="EK23">
        <v>4.9996700000000001</v>
      </c>
      <c r="EL23">
        <v>16795.8</v>
      </c>
      <c r="EM23">
        <v>15046.5</v>
      </c>
      <c r="EN23">
        <v>50.5</v>
      </c>
      <c r="EO23">
        <v>51.625</v>
      </c>
      <c r="EP23">
        <v>51.375</v>
      </c>
      <c r="EQ23">
        <v>51.25</v>
      </c>
      <c r="ER23">
        <v>51.811999999999998</v>
      </c>
      <c r="ES23">
        <v>1755.49</v>
      </c>
      <c r="ET23">
        <v>39.479999999999997</v>
      </c>
      <c r="EU23">
        <v>0</v>
      </c>
      <c r="EV23">
        <v>208.79999995231631</v>
      </c>
      <c r="EW23">
        <v>0</v>
      </c>
      <c r="EX23">
        <v>573.08540000000005</v>
      </c>
      <c r="EY23">
        <v>-1.225230778899717</v>
      </c>
      <c r="EZ23">
        <v>-18.669230472334011</v>
      </c>
      <c r="FA23">
        <v>16798.48</v>
      </c>
      <c r="FB23">
        <v>15</v>
      </c>
      <c r="FC23">
        <v>1700148861</v>
      </c>
      <c r="FD23" t="s">
        <v>452</v>
      </c>
      <c r="FE23">
        <v>1700148859</v>
      </c>
      <c r="FF23">
        <v>1700148861</v>
      </c>
      <c r="FG23">
        <v>8</v>
      </c>
      <c r="FH23">
        <v>-0.08</v>
      </c>
      <c r="FI23">
        <v>2E-3</v>
      </c>
      <c r="FJ23">
        <v>-0.57499999999999996</v>
      </c>
      <c r="FK23">
        <v>0.309</v>
      </c>
      <c r="FL23">
        <v>500</v>
      </c>
      <c r="FM23">
        <v>24</v>
      </c>
      <c r="FN23">
        <v>0.12</v>
      </c>
      <c r="FO23">
        <v>0.06</v>
      </c>
      <c r="FP23">
        <v>41.45561444239226</v>
      </c>
      <c r="FQ23">
        <v>0.62329373427544599</v>
      </c>
      <c r="FR23">
        <v>6.0567648400221517E-2</v>
      </c>
      <c r="FS23">
        <v>1</v>
      </c>
      <c r="FT23">
        <v>0.21239036035960329</v>
      </c>
      <c r="FU23">
        <v>-5.6017468490709337E-3</v>
      </c>
      <c r="FV23">
        <v>2.122033094513589E-3</v>
      </c>
      <c r="FW23">
        <v>1</v>
      </c>
      <c r="FX23">
        <v>2</v>
      </c>
      <c r="FY23">
        <v>2</v>
      </c>
      <c r="FZ23" t="s">
        <v>420</v>
      </c>
      <c r="GA23">
        <v>3.0129199999999998</v>
      </c>
      <c r="GB23">
        <v>2.77711</v>
      </c>
      <c r="GC23">
        <v>9.7709000000000004E-2</v>
      </c>
      <c r="GD23">
        <v>0.104965</v>
      </c>
      <c r="GE23">
        <v>0.12241299999999999</v>
      </c>
      <c r="GF23">
        <v>0.112535</v>
      </c>
      <c r="GG23">
        <v>21538.5</v>
      </c>
      <c r="GH23">
        <v>22078.2</v>
      </c>
      <c r="GI23">
        <v>23645</v>
      </c>
      <c r="GJ23">
        <v>24333</v>
      </c>
      <c r="GK23">
        <v>30694.1</v>
      </c>
      <c r="GL23">
        <v>30960.400000000001</v>
      </c>
      <c r="GM23">
        <v>38724.6</v>
      </c>
      <c r="GN23">
        <v>38742.1</v>
      </c>
      <c r="GO23">
        <v>1.41272</v>
      </c>
      <c r="GP23">
        <v>1.8117000000000001</v>
      </c>
      <c r="GQ23">
        <v>4.3243200000000002E-2</v>
      </c>
      <c r="GR23">
        <v>0</v>
      </c>
      <c r="GS23">
        <v>29.3292</v>
      </c>
      <c r="GT23">
        <v>999.9</v>
      </c>
      <c r="GU23">
        <v>58.3</v>
      </c>
      <c r="GV23">
        <v>34.700000000000003</v>
      </c>
      <c r="GW23">
        <v>32.501199999999997</v>
      </c>
      <c r="GX23">
        <v>61.5002</v>
      </c>
      <c r="GY23">
        <v>30.853400000000001</v>
      </c>
      <c r="GZ23">
        <v>1</v>
      </c>
      <c r="HA23">
        <v>0.71986300000000003</v>
      </c>
      <c r="HB23">
        <v>5.3445900000000002</v>
      </c>
      <c r="HC23">
        <v>20.237300000000001</v>
      </c>
      <c r="HD23">
        <v>5.2452899999999998</v>
      </c>
      <c r="HE23">
        <v>11.997999999999999</v>
      </c>
      <c r="HF23">
        <v>4.9635999999999996</v>
      </c>
      <c r="HG23">
        <v>3.3009499999999998</v>
      </c>
      <c r="HH23">
        <v>9999</v>
      </c>
      <c r="HI23">
        <v>9999</v>
      </c>
      <c r="HJ23">
        <v>9999</v>
      </c>
      <c r="HK23">
        <v>999.9</v>
      </c>
      <c r="HL23">
        <v>1.8748</v>
      </c>
      <c r="HM23">
        <v>1.8801600000000001</v>
      </c>
      <c r="HN23">
        <v>1.88019</v>
      </c>
      <c r="HO23">
        <v>1.87893</v>
      </c>
      <c r="HP23">
        <v>1.8812599999999999</v>
      </c>
      <c r="HQ23">
        <v>1.8771500000000001</v>
      </c>
      <c r="HR23">
        <v>1.87486</v>
      </c>
      <c r="HS23">
        <v>1.8821699999999999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-0.55900000000000005</v>
      </c>
      <c r="IH23">
        <v>0.32969999999999999</v>
      </c>
      <c r="II23">
        <v>-0.62739130519703612</v>
      </c>
      <c r="IJ23">
        <v>7.0786345690369205E-4</v>
      </c>
      <c r="IK23">
        <v>-1.387476646623666E-6</v>
      </c>
      <c r="IL23">
        <v>3.6592443641472651E-10</v>
      </c>
      <c r="IM23">
        <v>0.32964690694543081</v>
      </c>
      <c r="IN23">
        <v>0</v>
      </c>
      <c r="IO23">
        <v>0</v>
      </c>
      <c r="IP23">
        <v>0</v>
      </c>
      <c r="IQ23">
        <v>2</v>
      </c>
      <c r="IR23">
        <v>2142</v>
      </c>
      <c r="IS23">
        <v>1</v>
      </c>
      <c r="IT23">
        <v>24</v>
      </c>
      <c r="IU23">
        <v>2.4</v>
      </c>
      <c r="IV23">
        <v>2.2999999999999998</v>
      </c>
      <c r="IW23">
        <v>1.2072799999999999</v>
      </c>
      <c r="IX23">
        <v>2.6049799999999999</v>
      </c>
      <c r="IY23">
        <v>1.5490699999999999</v>
      </c>
      <c r="IZ23">
        <v>2.36938</v>
      </c>
      <c r="JA23">
        <v>1.5966800000000001</v>
      </c>
      <c r="JB23">
        <v>2.3889200000000002</v>
      </c>
      <c r="JC23">
        <v>39.792499999999997</v>
      </c>
      <c r="JD23">
        <v>24.113800000000001</v>
      </c>
      <c r="JE23">
        <v>18</v>
      </c>
      <c r="JF23">
        <v>230.31</v>
      </c>
      <c r="JG23">
        <v>468.11</v>
      </c>
      <c r="JH23">
        <v>25.086200000000002</v>
      </c>
      <c r="JI23">
        <v>35.914299999999997</v>
      </c>
      <c r="JJ23">
        <v>30.003</v>
      </c>
      <c r="JK23">
        <v>35.781199999999998</v>
      </c>
      <c r="JL23">
        <v>35.7166</v>
      </c>
      <c r="JM23">
        <v>24.1525</v>
      </c>
      <c r="JN23">
        <v>33.6982</v>
      </c>
      <c r="JO23">
        <v>49.4114</v>
      </c>
      <c r="JP23">
        <v>24.852699999999999</v>
      </c>
      <c r="JQ23">
        <v>500</v>
      </c>
      <c r="JR23">
        <v>23.124500000000001</v>
      </c>
      <c r="JS23">
        <v>98.071899999999999</v>
      </c>
      <c r="JT23">
        <v>98.970100000000002</v>
      </c>
    </row>
    <row r="24" spans="1:280" x14ac:dyDescent="0.25">
      <c r="A24">
        <v>8</v>
      </c>
      <c r="B24">
        <v>1700149126</v>
      </c>
      <c r="C24">
        <v>1270</v>
      </c>
      <c r="D24" t="s">
        <v>453</v>
      </c>
      <c r="E24" t="s">
        <v>454</v>
      </c>
      <c r="F24" t="s">
        <v>412</v>
      </c>
      <c r="G24" t="s">
        <v>413</v>
      </c>
      <c r="H24" t="s">
        <v>414</v>
      </c>
      <c r="I24">
        <v>1700149126</v>
      </c>
      <c r="J24">
        <f t="shared" si="0"/>
        <v>3.7450649322867445E-3</v>
      </c>
      <c r="K24">
        <f t="shared" si="1"/>
        <v>3.7450649322867444</v>
      </c>
      <c r="L24">
        <f t="shared" si="2"/>
        <v>36.088639036253959</v>
      </c>
      <c r="M24">
        <f t="shared" si="3"/>
        <v>362.54300000000001</v>
      </c>
      <c r="N24">
        <f t="shared" si="4"/>
        <v>105.2203086386028</v>
      </c>
      <c r="O24">
        <f t="shared" si="5"/>
        <v>10.49509145554797</v>
      </c>
      <c r="P24">
        <f t="shared" si="6"/>
        <v>36.161478623270199</v>
      </c>
      <c r="Q24">
        <f t="shared" si="7"/>
        <v>0.23811107075536847</v>
      </c>
      <c r="R24">
        <f t="shared" si="8"/>
        <v>3.1390444920776495</v>
      </c>
      <c r="S24">
        <f t="shared" si="9"/>
        <v>0.22851262101423672</v>
      </c>
      <c r="T24">
        <f t="shared" si="10"/>
        <v>0.14365053008961223</v>
      </c>
      <c r="U24">
        <f t="shared" si="11"/>
        <v>289.55631641909429</v>
      </c>
      <c r="V24">
        <f t="shared" si="12"/>
        <v>29.873319308452015</v>
      </c>
      <c r="W24">
        <f t="shared" si="13"/>
        <v>29.938199999999998</v>
      </c>
      <c r="X24">
        <f t="shared" si="14"/>
        <v>4.2453496504403914</v>
      </c>
      <c r="Y24">
        <f t="shared" si="15"/>
        <v>65.610184298916849</v>
      </c>
      <c r="Z24">
        <f t="shared" si="16"/>
        <v>2.6673034111930995</v>
      </c>
      <c r="AA24">
        <f t="shared" si="17"/>
        <v>4.0653801535459699</v>
      </c>
      <c r="AB24">
        <f t="shared" si="18"/>
        <v>1.5780462392472918</v>
      </c>
      <c r="AC24">
        <f t="shared" si="19"/>
        <v>-165.15736351384544</v>
      </c>
      <c r="AD24">
        <f t="shared" si="20"/>
        <v>-127.21181967598432</v>
      </c>
      <c r="AE24">
        <f t="shared" si="21"/>
        <v>-8.9719434096811739</v>
      </c>
      <c r="AF24">
        <f t="shared" si="22"/>
        <v>-11.784810180416628</v>
      </c>
      <c r="AG24">
        <v>261</v>
      </c>
      <c r="AH24">
        <v>52</v>
      </c>
      <c r="AI24">
        <f t="shared" si="23"/>
        <v>1</v>
      </c>
      <c r="AJ24">
        <f t="shared" si="24"/>
        <v>0</v>
      </c>
      <c r="AK24">
        <f t="shared" si="25"/>
        <v>52345.421023096089</v>
      </c>
      <c r="AL24" t="s">
        <v>426</v>
      </c>
      <c r="AM24" t="s">
        <v>426</v>
      </c>
      <c r="AN24">
        <v>0</v>
      </c>
      <c r="AO24">
        <v>0</v>
      </c>
      <c r="AP24" t="e">
        <f t="shared" si="26"/>
        <v>#DIV/0!</v>
      </c>
      <c r="AQ24">
        <v>0</v>
      </c>
      <c r="AR24" t="s">
        <v>426</v>
      </c>
      <c r="AS24" t="s">
        <v>426</v>
      </c>
      <c r="AT24">
        <v>0</v>
      </c>
      <c r="AU24">
        <v>0</v>
      </c>
      <c r="AV24" t="e">
        <f t="shared" si="27"/>
        <v>#DIV/0!</v>
      </c>
      <c r="AW24">
        <v>0.5</v>
      </c>
      <c r="AX24">
        <f t="shared" si="28"/>
        <v>1513.1340002171473</v>
      </c>
      <c r="AY24">
        <f t="shared" si="29"/>
        <v>36.088639036253959</v>
      </c>
      <c r="AZ24" t="e">
        <f t="shared" si="30"/>
        <v>#DIV/0!</v>
      </c>
      <c r="BA24">
        <f t="shared" si="31"/>
        <v>2.3850259812465347E-2</v>
      </c>
      <c r="BB24" t="e">
        <f t="shared" si="32"/>
        <v>#DIV/0!</v>
      </c>
      <c r="BC24" t="e">
        <f t="shared" si="33"/>
        <v>#DIV/0!</v>
      </c>
      <c r="BD24" t="s">
        <v>426</v>
      </c>
      <c r="BE24">
        <v>0</v>
      </c>
      <c r="BF24" t="e">
        <f t="shared" si="34"/>
        <v>#DIV/0!</v>
      </c>
      <c r="BG24" t="e">
        <f t="shared" si="35"/>
        <v>#DIV/0!</v>
      </c>
      <c r="BH24" t="e">
        <f t="shared" si="36"/>
        <v>#DIV/0!</v>
      </c>
      <c r="BI24" t="e">
        <f t="shared" si="37"/>
        <v>#DIV/0!</v>
      </c>
      <c r="BJ24" t="e">
        <f t="shared" si="38"/>
        <v>#DIV/0!</v>
      </c>
      <c r="BK24" t="e">
        <f t="shared" si="39"/>
        <v>#DIV/0!</v>
      </c>
      <c r="BL24" t="e">
        <f t="shared" si="40"/>
        <v>#DIV/0!</v>
      </c>
      <c r="BM24" t="e">
        <f t="shared" si="41"/>
        <v>#DIV/0!</v>
      </c>
      <c r="BN24">
        <v>34425</v>
      </c>
      <c r="BO24">
        <v>290.00000000000011</v>
      </c>
      <c r="BP24">
        <v>770.42</v>
      </c>
      <c r="BQ24">
        <v>295</v>
      </c>
      <c r="BR24">
        <v>7110.05</v>
      </c>
      <c r="BS24">
        <v>772.64</v>
      </c>
      <c r="BT24">
        <v>-2.2200000000000002</v>
      </c>
      <c r="BU24">
        <v>300.00000000000011</v>
      </c>
      <c r="BV24">
        <v>38.299999999999997</v>
      </c>
      <c r="BW24">
        <v>848.11093534878944</v>
      </c>
      <c r="BX24">
        <v>1.6134736816439039</v>
      </c>
      <c r="BY24">
        <v>-53.658839649050663</v>
      </c>
      <c r="BZ24">
        <v>0.96175492520437822</v>
      </c>
      <c r="CA24">
        <v>0.99108512468916177</v>
      </c>
      <c r="CB24">
        <v>-7.0085074527252511E-3</v>
      </c>
      <c r="CC24">
        <v>289.99999999999989</v>
      </c>
      <c r="CD24">
        <v>782.37</v>
      </c>
      <c r="CE24">
        <v>785</v>
      </c>
      <c r="CF24">
        <v>7104.35</v>
      </c>
      <c r="CG24">
        <v>772.58</v>
      </c>
      <c r="CH24">
        <v>9.7899999999999991</v>
      </c>
      <c r="CV24">
        <f t="shared" si="42"/>
        <v>1799.94</v>
      </c>
      <c r="CW24">
        <f t="shared" si="43"/>
        <v>1513.1340002171473</v>
      </c>
      <c r="CX24">
        <f t="shared" si="44"/>
        <v>0.84065802205470586</v>
      </c>
      <c r="CY24">
        <f t="shared" si="45"/>
        <v>0.16086998256558233</v>
      </c>
      <c r="CZ24">
        <v>5</v>
      </c>
      <c r="DA24">
        <v>0.5</v>
      </c>
      <c r="DB24" t="s">
        <v>418</v>
      </c>
      <c r="DC24">
        <v>2</v>
      </c>
      <c r="DD24">
        <v>1700149126</v>
      </c>
      <c r="DE24">
        <v>362.54300000000001</v>
      </c>
      <c r="DF24">
        <v>399.98099999999999</v>
      </c>
      <c r="DG24">
        <v>26.741499999999998</v>
      </c>
      <c r="DH24">
        <v>23.0974</v>
      </c>
      <c r="DI24">
        <v>363.03500000000003</v>
      </c>
      <c r="DJ24">
        <v>26.413699999999999</v>
      </c>
      <c r="DK24">
        <v>500.11200000000002</v>
      </c>
      <c r="DL24">
        <v>99.644199999999998</v>
      </c>
      <c r="DM24">
        <v>9.9771399999999996E-2</v>
      </c>
      <c r="DN24">
        <v>29.186499999999999</v>
      </c>
      <c r="DO24">
        <v>29.938199999999998</v>
      </c>
      <c r="DP24">
        <v>999.9</v>
      </c>
      <c r="DQ24">
        <v>0</v>
      </c>
      <c r="DR24">
        <v>0</v>
      </c>
      <c r="DS24">
        <v>10007.5</v>
      </c>
      <c r="DT24">
        <v>0</v>
      </c>
      <c r="DU24">
        <v>472.01299999999998</v>
      </c>
      <c r="DV24">
        <v>-37.438400000000001</v>
      </c>
      <c r="DW24">
        <v>372.50400000000002</v>
      </c>
      <c r="DX24">
        <v>409.43799999999999</v>
      </c>
      <c r="DY24">
        <v>3.6441499999999998</v>
      </c>
      <c r="DZ24">
        <v>399.98099999999999</v>
      </c>
      <c r="EA24">
        <v>23.0974</v>
      </c>
      <c r="EB24">
        <v>2.6646399999999999</v>
      </c>
      <c r="EC24">
        <v>2.30152</v>
      </c>
      <c r="ED24">
        <v>22.0687</v>
      </c>
      <c r="EE24">
        <v>19.687000000000001</v>
      </c>
      <c r="EF24">
        <v>1799.94</v>
      </c>
      <c r="EG24">
        <v>0.97800600000000004</v>
      </c>
      <c r="EH24">
        <v>2.1994300000000001E-2</v>
      </c>
      <c r="EI24">
        <v>0</v>
      </c>
      <c r="EJ24">
        <v>575.68299999999999</v>
      </c>
      <c r="EK24">
        <v>4.9996700000000001</v>
      </c>
      <c r="EL24">
        <v>16835.3</v>
      </c>
      <c r="EM24">
        <v>15046.4</v>
      </c>
      <c r="EN24">
        <v>50.5</v>
      </c>
      <c r="EO24">
        <v>51.686999999999998</v>
      </c>
      <c r="EP24">
        <v>51.375</v>
      </c>
      <c r="EQ24">
        <v>51.311999999999998</v>
      </c>
      <c r="ER24">
        <v>51.811999999999998</v>
      </c>
      <c r="ES24">
        <v>1755.46</v>
      </c>
      <c r="ET24">
        <v>39.479999999999997</v>
      </c>
      <c r="EU24">
        <v>0</v>
      </c>
      <c r="EV24">
        <v>123.5999999046326</v>
      </c>
      <c r="EW24">
        <v>0</v>
      </c>
      <c r="EX24">
        <v>576.22530769230775</v>
      </c>
      <c r="EY24">
        <v>-3.5311452901238729</v>
      </c>
      <c r="EZ24">
        <v>-210.80683694604269</v>
      </c>
      <c r="FA24">
        <v>16903.011538461538</v>
      </c>
      <c r="FB24">
        <v>15</v>
      </c>
      <c r="FC24">
        <v>1700149093</v>
      </c>
      <c r="FD24" t="s">
        <v>455</v>
      </c>
      <c r="FE24">
        <v>1700149092</v>
      </c>
      <c r="FF24">
        <v>1700149093</v>
      </c>
      <c r="FG24">
        <v>9</v>
      </c>
      <c r="FH24">
        <v>4.3999999999999997E-2</v>
      </c>
      <c r="FI24">
        <v>-2E-3</v>
      </c>
      <c r="FJ24">
        <v>-0.499</v>
      </c>
      <c r="FK24">
        <v>0.30199999999999999</v>
      </c>
      <c r="FL24">
        <v>400</v>
      </c>
      <c r="FM24">
        <v>23</v>
      </c>
      <c r="FN24">
        <v>0.04</v>
      </c>
      <c r="FO24">
        <v>0.03</v>
      </c>
      <c r="FP24">
        <v>35.938814679314341</v>
      </c>
      <c r="FQ24">
        <v>0.53772179653991181</v>
      </c>
      <c r="FR24">
        <v>4.7718700161839073E-2</v>
      </c>
      <c r="FS24">
        <v>1</v>
      </c>
      <c r="FT24">
        <v>0.24160029224486429</v>
      </c>
      <c r="FU24">
        <v>2.8016193948523008E-2</v>
      </c>
      <c r="FV24">
        <v>4.2556321354273721E-3</v>
      </c>
      <c r="FW24">
        <v>1</v>
      </c>
      <c r="FX24">
        <v>2</v>
      </c>
      <c r="FY24">
        <v>2</v>
      </c>
      <c r="FZ24" t="s">
        <v>420</v>
      </c>
      <c r="GA24">
        <v>3.01308</v>
      </c>
      <c r="GB24">
        <v>2.7769200000000001</v>
      </c>
      <c r="GC24">
        <v>8.1826099999999999E-2</v>
      </c>
      <c r="GD24">
        <v>8.8784699999999994E-2</v>
      </c>
      <c r="GE24">
        <v>0.123262</v>
      </c>
      <c r="GF24">
        <v>0.112522</v>
      </c>
      <c r="GG24">
        <v>21912.9</v>
      </c>
      <c r="GH24">
        <v>22472.6</v>
      </c>
      <c r="GI24">
        <v>23640.400000000001</v>
      </c>
      <c r="GJ24">
        <v>24328.400000000001</v>
      </c>
      <c r="GK24">
        <v>30659.5</v>
      </c>
      <c r="GL24">
        <v>30956.2</v>
      </c>
      <c r="GM24">
        <v>38717.599999999999</v>
      </c>
      <c r="GN24">
        <v>38735.800000000003</v>
      </c>
      <c r="GO24">
        <v>1.40482</v>
      </c>
      <c r="GP24">
        <v>1.8066500000000001</v>
      </c>
      <c r="GQ24">
        <v>3.5010300000000001E-2</v>
      </c>
      <c r="GR24">
        <v>0</v>
      </c>
      <c r="GS24">
        <v>29.368200000000002</v>
      </c>
      <c r="GT24">
        <v>999.9</v>
      </c>
      <c r="GU24">
        <v>57.2</v>
      </c>
      <c r="GV24">
        <v>35</v>
      </c>
      <c r="GW24">
        <v>32.426200000000001</v>
      </c>
      <c r="GX24">
        <v>61.260199999999998</v>
      </c>
      <c r="GY24">
        <v>30.460699999999999</v>
      </c>
      <c r="GZ24">
        <v>1</v>
      </c>
      <c r="HA24">
        <v>0.72813799999999995</v>
      </c>
      <c r="HB24">
        <v>4.43736</v>
      </c>
      <c r="HC24">
        <v>20.269400000000001</v>
      </c>
      <c r="HD24">
        <v>5.2445399999999998</v>
      </c>
      <c r="HE24">
        <v>11.997999999999999</v>
      </c>
      <c r="HF24">
        <v>4.9635999999999996</v>
      </c>
      <c r="HG24">
        <v>3.3010000000000002</v>
      </c>
      <c r="HH24">
        <v>9999</v>
      </c>
      <c r="HI24">
        <v>9999</v>
      </c>
      <c r="HJ24">
        <v>9999</v>
      </c>
      <c r="HK24">
        <v>999.9</v>
      </c>
      <c r="HL24">
        <v>1.8748</v>
      </c>
      <c r="HM24">
        <v>1.88019</v>
      </c>
      <c r="HN24">
        <v>1.88019</v>
      </c>
      <c r="HO24">
        <v>1.87896</v>
      </c>
      <c r="HP24">
        <v>1.8812800000000001</v>
      </c>
      <c r="HQ24">
        <v>1.8771500000000001</v>
      </c>
      <c r="HR24">
        <v>1.8748499999999999</v>
      </c>
      <c r="HS24">
        <v>1.8821699999999999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-0.49199999999999999</v>
      </c>
      <c r="IH24">
        <v>0.32779999999999998</v>
      </c>
      <c r="II24">
        <v>-0.58371288141502875</v>
      </c>
      <c r="IJ24">
        <v>7.0786345690369205E-4</v>
      </c>
      <c r="IK24">
        <v>-1.387476646623666E-6</v>
      </c>
      <c r="IL24">
        <v>3.6592443641472651E-10</v>
      </c>
      <c r="IM24">
        <v>0.32781911165235389</v>
      </c>
      <c r="IN24">
        <v>0</v>
      </c>
      <c r="IO24">
        <v>0</v>
      </c>
      <c r="IP24">
        <v>0</v>
      </c>
      <c r="IQ24">
        <v>2</v>
      </c>
      <c r="IR24">
        <v>2142</v>
      </c>
      <c r="IS24">
        <v>1</v>
      </c>
      <c r="IT24">
        <v>24</v>
      </c>
      <c r="IU24">
        <v>0.6</v>
      </c>
      <c r="IV24">
        <v>0.6</v>
      </c>
      <c r="IW24">
        <v>1.01074</v>
      </c>
      <c r="IX24">
        <v>2.6184099999999999</v>
      </c>
      <c r="IY24">
        <v>1.5490699999999999</v>
      </c>
      <c r="IZ24">
        <v>2.36816</v>
      </c>
      <c r="JA24">
        <v>1.5966800000000001</v>
      </c>
      <c r="JB24">
        <v>2.34863</v>
      </c>
      <c r="JC24">
        <v>40.07</v>
      </c>
      <c r="JD24">
        <v>24.122499999999999</v>
      </c>
      <c r="JE24">
        <v>18</v>
      </c>
      <c r="JF24">
        <v>227.768</v>
      </c>
      <c r="JG24">
        <v>465.61099999999999</v>
      </c>
      <c r="JH24">
        <v>24.762499999999999</v>
      </c>
      <c r="JI24">
        <v>36.032499999999999</v>
      </c>
      <c r="JJ24">
        <v>30.000499999999999</v>
      </c>
      <c r="JK24">
        <v>35.901200000000003</v>
      </c>
      <c r="JL24">
        <v>35.834699999999998</v>
      </c>
      <c r="JM24">
        <v>20.220500000000001</v>
      </c>
      <c r="JN24">
        <v>33.223199999999999</v>
      </c>
      <c r="JO24">
        <v>46.0884</v>
      </c>
      <c r="JP24">
        <v>24.7776</v>
      </c>
      <c r="JQ24">
        <v>400</v>
      </c>
      <c r="JR24">
        <v>23.0138</v>
      </c>
      <c r="JS24">
        <v>98.053799999999995</v>
      </c>
      <c r="JT24">
        <v>98.953100000000006</v>
      </c>
    </row>
    <row r="25" spans="1:280" x14ac:dyDescent="0.25">
      <c r="A25">
        <v>9</v>
      </c>
      <c r="B25">
        <v>1700149312</v>
      </c>
      <c r="C25">
        <v>1456</v>
      </c>
      <c r="D25" t="s">
        <v>456</v>
      </c>
      <c r="E25" t="s">
        <v>457</v>
      </c>
      <c r="F25" t="s">
        <v>412</v>
      </c>
      <c r="G25" t="s">
        <v>413</v>
      </c>
      <c r="H25" t="s">
        <v>414</v>
      </c>
      <c r="I25">
        <v>1700149312</v>
      </c>
      <c r="J25">
        <f t="shared" si="0"/>
        <v>4.504688853712681E-3</v>
      </c>
      <c r="K25">
        <f t="shared" si="1"/>
        <v>4.5046888537126808</v>
      </c>
      <c r="L25">
        <f t="shared" si="2"/>
        <v>32.519593302366246</v>
      </c>
      <c r="M25">
        <f t="shared" si="3"/>
        <v>266.26499999999999</v>
      </c>
      <c r="N25">
        <f t="shared" si="4"/>
        <v>75.598004988981927</v>
      </c>
      <c r="O25">
        <f t="shared" si="5"/>
        <v>7.540725988269398</v>
      </c>
      <c r="P25">
        <f t="shared" si="6"/>
        <v>26.559317346524999</v>
      </c>
      <c r="Q25">
        <f t="shared" si="7"/>
        <v>0.29166865429519689</v>
      </c>
      <c r="R25">
        <f t="shared" si="8"/>
        <v>3.1362838062512353</v>
      </c>
      <c r="S25">
        <f t="shared" si="9"/>
        <v>0.27739380833458238</v>
      </c>
      <c r="T25">
        <f t="shared" si="10"/>
        <v>0.17459543291421695</v>
      </c>
      <c r="U25">
        <f t="shared" si="11"/>
        <v>289.58983241904536</v>
      </c>
      <c r="V25">
        <f t="shared" si="12"/>
        <v>29.919887796257076</v>
      </c>
      <c r="W25">
        <f t="shared" si="13"/>
        <v>29.956399999999999</v>
      </c>
      <c r="X25">
        <f t="shared" si="14"/>
        <v>4.2497917587696987</v>
      </c>
      <c r="Y25">
        <f t="shared" si="15"/>
        <v>65.201424808209879</v>
      </c>
      <c r="Z25">
        <f t="shared" si="16"/>
        <v>2.6862749804295003</v>
      </c>
      <c r="AA25">
        <f t="shared" si="17"/>
        <v>4.119963617867529</v>
      </c>
      <c r="AB25">
        <f t="shared" si="18"/>
        <v>1.5635167783401984</v>
      </c>
      <c r="AC25">
        <f t="shared" si="19"/>
        <v>-198.65677844872923</v>
      </c>
      <c r="AD25">
        <f t="shared" si="20"/>
        <v>-91.119007917993784</v>
      </c>
      <c r="AE25">
        <f t="shared" si="21"/>
        <v>-6.4400059807260241</v>
      </c>
      <c r="AF25">
        <f t="shared" si="22"/>
        <v>-6.6259599284036739</v>
      </c>
      <c r="AG25">
        <v>260</v>
      </c>
      <c r="AH25">
        <v>52</v>
      </c>
      <c r="AI25">
        <f t="shared" si="23"/>
        <v>1</v>
      </c>
      <c r="AJ25">
        <f t="shared" si="24"/>
        <v>0</v>
      </c>
      <c r="AK25">
        <f t="shared" si="25"/>
        <v>52235.131061223081</v>
      </c>
      <c r="AL25" t="s">
        <v>415</v>
      </c>
      <c r="AM25">
        <v>10238.9</v>
      </c>
      <c r="AN25">
        <v>302.21199999999999</v>
      </c>
      <c r="AO25">
        <v>4052.3</v>
      </c>
      <c r="AP25">
        <f t="shared" si="26"/>
        <v>0.92542210596451402</v>
      </c>
      <c r="AQ25">
        <v>-0.32343011824092421</v>
      </c>
      <c r="AR25" t="s">
        <v>458</v>
      </c>
      <c r="AS25">
        <v>7109.42</v>
      </c>
      <c r="AT25">
        <v>580.31923076923078</v>
      </c>
      <c r="AU25">
        <v>792.61444702247684</v>
      </c>
      <c r="AV25">
        <f t="shared" si="27"/>
        <v>0.26784171932615031</v>
      </c>
      <c r="AW25">
        <v>0.5</v>
      </c>
      <c r="AX25">
        <f t="shared" si="28"/>
        <v>1513.3104002171222</v>
      </c>
      <c r="AY25">
        <f t="shared" si="29"/>
        <v>32.519593302366246</v>
      </c>
      <c r="AZ25">
        <f t="shared" si="30"/>
        <v>202.66382973414932</v>
      </c>
      <c r="BA25">
        <f t="shared" si="31"/>
        <v>2.1702767268298041E-2</v>
      </c>
      <c r="BB25">
        <f t="shared" si="32"/>
        <v>4.1125739824990672</v>
      </c>
      <c r="BC25">
        <f t="shared" si="33"/>
        <v>231.27753607146263</v>
      </c>
      <c r="BD25" t="s">
        <v>459</v>
      </c>
      <c r="BE25">
        <v>411.81</v>
      </c>
      <c r="BF25">
        <f t="shared" si="34"/>
        <v>411.81</v>
      </c>
      <c r="BG25">
        <f t="shared" si="35"/>
        <v>0.48044096149521487</v>
      </c>
      <c r="BH25">
        <f t="shared" si="36"/>
        <v>0.55749143139789914</v>
      </c>
      <c r="BI25">
        <f t="shared" si="37"/>
        <v>0.89539747478430742</v>
      </c>
      <c r="BJ25">
        <f t="shared" si="38"/>
        <v>0.43289999375454957</v>
      </c>
      <c r="BK25">
        <f t="shared" si="39"/>
        <v>0.86922908288486123</v>
      </c>
      <c r="BL25">
        <f t="shared" si="40"/>
        <v>0.39561078487723533</v>
      </c>
      <c r="BM25">
        <f t="shared" si="41"/>
        <v>0.60438921512276467</v>
      </c>
      <c r="BN25">
        <v>34427</v>
      </c>
      <c r="BO25">
        <v>290.00000000000011</v>
      </c>
      <c r="BP25">
        <v>730.97</v>
      </c>
      <c r="BQ25">
        <v>295</v>
      </c>
      <c r="BR25">
        <v>7109.42</v>
      </c>
      <c r="BS25">
        <v>733.44</v>
      </c>
      <c r="BT25">
        <v>-2.4700000000000002</v>
      </c>
      <c r="BU25">
        <v>300.00000000000011</v>
      </c>
      <c r="BV25">
        <v>38.299999999999997</v>
      </c>
      <c r="BW25">
        <v>792.61444702247684</v>
      </c>
      <c r="BX25">
        <v>1.5109414895433679</v>
      </c>
      <c r="BY25">
        <v>-42.066093499881212</v>
      </c>
      <c r="BZ25">
        <v>0.90055611284722203</v>
      </c>
      <c r="CA25">
        <v>0.9873299728923427</v>
      </c>
      <c r="CB25">
        <v>-7.0078146829810938E-3</v>
      </c>
      <c r="CC25">
        <v>289.99999999999989</v>
      </c>
      <c r="CD25">
        <v>741.23</v>
      </c>
      <c r="CE25">
        <v>895</v>
      </c>
      <c r="CF25">
        <v>7102.32</v>
      </c>
      <c r="CG25">
        <v>733.39</v>
      </c>
      <c r="CH25">
        <v>7.84</v>
      </c>
      <c r="CV25">
        <f t="shared" si="42"/>
        <v>1800.15</v>
      </c>
      <c r="CW25">
        <f t="shared" si="43"/>
        <v>1513.3104002171222</v>
      </c>
      <c r="CX25">
        <f t="shared" si="44"/>
        <v>0.84065794529184901</v>
      </c>
      <c r="CY25">
        <f t="shared" si="45"/>
        <v>0.16086983441326855</v>
      </c>
      <c r="CZ25">
        <v>5</v>
      </c>
      <c r="DA25">
        <v>0.5</v>
      </c>
      <c r="DB25" t="s">
        <v>418</v>
      </c>
      <c r="DC25">
        <v>2</v>
      </c>
      <c r="DD25">
        <v>1700149312</v>
      </c>
      <c r="DE25">
        <v>266.26499999999999</v>
      </c>
      <c r="DF25">
        <v>299.97500000000002</v>
      </c>
      <c r="DG25">
        <v>26.930700000000002</v>
      </c>
      <c r="DH25">
        <v>22.548500000000001</v>
      </c>
      <c r="DI25">
        <v>266.572</v>
      </c>
      <c r="DJ25">
        <v>26.597200000000001</v>
      </c>
      <c r="DK25">
        <v>500.13400000000001</v>
      </c>
      <c r="DL25">
        <v>99.647599999999997</v>
      </c>
      <c r="DM25">
        <v>0.10008499999999999</v>
      </c>
      <c r="DN25">
        <v>29.4175</v>
      </c>
      <c r="DO25">
        <v>29.956399999999999</v>
      </c>
      <c r="DP25">
        <v>999.9</v>
      </c>
      <c r="DQ25">
        <v>0</v>
      </c>
      <c r="DR25">
        <v>0</v>
      </c>
      <c r="DS25">
        <v>9993.1200000000008</v>
      </c>
      <c r="DT25">
        <v>0</v>
      </c>
      <c r="DU25">
        <v>473.97500000000002</v>
      </c>
      <c r="DV25">
        <v>-33.709899999999998</v>
      </c>
      <c r="DW25">
        <v>273.63499999999999</v>
      </c>
      <c r="DX25">
        <v>306.89499999999998</v>
      </c>
      <c r="DY25">
        <v>4.38225</v>
      </c>
      <c r="DZ25">
        <v>299.97500000000002</v>
      </c>
      <c r="EA25">
        <v>22.548500000000001</v>
      </c>
      <c r="EB25">
        <v>2.6835800000000001</v>
      </c>
      <c r="EC25">
        <v>2.2469000000000001</v>
      </c>
      <c r="ED25">
        <v>22.184899999999999</v>
      </c>
      <c r="EE25">
        <v>19.300699999999999</v>
      </c>
      <c r="EF25">
        <v>1800.15</v>
      </c>
      <c r="EG25">
        <v>0.97800900000000002</v>
      </c>
      <c r="EH25">
        <v>2.1990800000000001E-2</v>
      </c>
      <c r="EI25">
        <v>0</v>
      </c>
      <c r="EJ25">
        <v>580.22199999999998</v>
      </c>
      <c r="EK25">
        <v>4.9996700000000001</v>
      </c>
      <c r="EL25">
        <v>16818.900000000001</v>
      </c>
      <c r="EM25">
        <v>15048.1</v>
      </c>
      <c r="EN25">
        <v>50.625</v>
      </c>
      <c r="EO25">
        <v>51.75</v>
      </c>
      <c r="EP25">
        <v>51.375</v>
      </c>
      <c r="EQ25">
        <v>51.375</v>
      </c>
      <c r="ER25">
        <v>51.936999999999998</v>
      </c>
      <c r="ES25">
        <v>1755.67</v>
      </c>
      <c r="ET25">
        <v>39.479999999999997</v>
      </c>
      <c r="EU25">
        <v>0</v>
      </c>
      <c r="EV25">
        <v>309.59999990463263</v>
      </c>
      <c r="EW25">
        <v>0</v>
      </c>
      <c r="EX25">
        <v>580.31923076923078</v>
      </c>
      <c r="EY25">
        <v>-1.9370940166084969</v>
      </c>
      <c r="EZ25">
        <v>-205.07350488208991</v>
      </c>
      <c r="FA25">
        <v>16831.584615384611</v>
      </c>
      <c r="FB25">
        <v>15</v>
      </c>
      <c r="FC25">
        <v>1700149238.5</v>
      </c>
      <c r="FD25" t="s">
        <v>460</v>
      </c>
      <c r="FE25">
        <v>1700149235</v>
      </c>
      <c r="FF25">
        <v>1700149238.5</v>
      </c>
      <c r="FG25">
        <v>10</v>
      </c>
      <c r="FH25">
        <v>0.18</v>
      </c>
      <c r="FI25">
        <v>6.0000000000000001E-3</v>
      </c>
      <c r="FJ25">
        <v>-0.30599999999999999</v>
      </c>
      <c r="FK25">
        <v>0.28399999999999997</v>
      </c>
      <c r="FL25">
        <v>300</v>
      </c>
      <c r="FM25">
        <v>23</v>
      </c>
      <c r="FN25">
        <v>0.08</v>
      </c>
      <c r="FO25">
        <v>0.02</v>
      </c>
      <c r="FP25">
        <v>32.454491792455777</v>
      </c>
      <c r="FQ25">
        <v>0.41660336255456998</v>
      </c>
      <c r="FR25">
        <v>4.1574324095634968E-2</v>
      </c>
      <c r="FS25">
        <v>1</v>
      </c>
      <c r="FT25">
        <v>0.28971416924723059</v>
      </c>
      <c r="FU25">
        <v>1.400879311107696E-2</v>
      </c>
      <c r="FV25">
        <v>1.0769884239279299E-3</v>
      </c>
      <c r="FW25">
        <v>1</v>
      </c>
      <c r="FX25">
        <v>2</v>
      </c>
      <c r="FY25">
        <v>2</v>
      </c>
      <c r="FZ25" t="s">
        <v>420</v>
      </c>
      <c r="GA25">
        <v>3.0132400000000001</v>
      </c>
      <c r="GB25">
        <v>2.77711</v>
      </c>
      <c r="GC25">
        <v>6.3684900000000003E-2</v>
      </c>
      <c r="GD25">
        <v>7.0690699999999995E-2</v>
      </c>
      <c r="GE25">
        <v>0.12381399999999999</v>
      </c>
      <c r="GF25">
        <v>0.110621</v>
      </c>
      <c r="GG25">
        <v>22339</v>
      </c>
      <c r="GH25">
        <v>22912.7</v>
      </c>
      <c r="GI25">
        <v>23634.2</v>
      </c>
      <c r="GJ25">
        <v>24322.799999999999</v>
      </c>
      <c r="GK25">
        <v>30633.9</v>
      </c>
      <c r="GL25">
        <v>31016.5</v>
      </c>
      <c r="GM25">
        <v>38708.9</v>
      </c>
      <c r="GN25">
        <v>38727.9</v>
      </c>
      <c r="GO25">
        <v>1.4068000000000001</v>
      </c>
      <c r="GP25">
        <v>1.79935</v>
      </c>
      <c r="GQ25">
        <v>2.7671500000000002E-2</v>
      </c>
      <c r="GR25">
        <v>0</v>
      </c>
      <c r="GS25">
        <v>29.5059</v>
      </c>
      <c r="GT25">
        <v>999.9</v>
      </c>
      <c r="GU25">
        <v>55.4</v>
      </c>
      <c r="GV25">
        <v>35.4</v>
      </c>
      <c r="GW25">
        <v>32.101999999999997</v>
      </c>
      <c r="GX25">
        <v>61.350200000000001</v>
      </c>
      <c r="GY25">
        <v>30.717099999999999</v>
      </c>
      <c r="GZ25">
        <v>1</v>
      </c>
      <c r="HA25">
        <v>0.73793200000000003</v>
      </c>
      <c r="HB25">
        <v>3.9776600000000002</v>
      </c>
      <c r="HC25">
        <v>20.281199999999998</v>
      </c>
      <c r="HD25">
        <v>5.2423000000000002</v>
      </c>
      <c r="HE25">
        <v>11.997999999999999</v>
      </c>
      <c r="HF25">
        <v>4.9636500000000003</v>
      </c>
      <c r="HG25">
        <v>3.3008299999999999</v>
      </c>
      <c r="HH25">
        <v>9999</v>
      </c>
      <c r="HI25">
        <v>9999</v>
      </c>
      <c r="HJ25">
        <v>9999</v>
      </c>
      <c r="HK25">
        <v>999.9</v>
      </c>
      <c r="HL25">
        <v>1.8748199999999999</v>
      </c>
      <c r="HM25">
        <v>1.88018</v>
      </c>
      <c r="HN25">
        <v>1.88019</v>
      </c>
      <c r="HO25">
        <v>1.8789499999999999</v>
      </c>
      <c r="HP25">
        <v>1.8812899999999999</v>
      </c>
      <c r="HQ25">
        <v>1.87714</v>
      </c>
      <c r="HR25">
        <v>1.87486</v>
      </c>
      <c r="HS25">
        <v>1.8821699999999999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-0.307</v>
      </c>
      <c r="IH25">
        <v>0.33350000000000002</v>
      </c>
      <c r="II25">
        <v>-0.40345261281415862</v>
      </c>
      <c r="IJ25">
        <v>7.0786345690369205E-4</v>
      </c>
      <c r="IK25">
        <v>-1.387476646623666E-6</v>
      </c>
      <c r="IL25">
        <v>3.6592443641472651E-10</v>
      </c>
      <c r="IM25">
        <v>0.33347856577587343</v>
      </c>
      <c r="IN25">
        <v>0</v>
      </c>
      <c r="IO25">
        <v>0</v>
      </c>
      <c r="IP25">
        <v>0</v>
      </c>
      <c r="IQ25">
        <v>2</v>
      </c>
      <c r="IR25">
        <v>2142</v>
      </c>
      <c r="IS25">
        <v>1</v>
      </c>
      <c r="IT25">
        <v>24</v>
      </c>
      <c r="IU25">
        <v>1.3</v>
      </c>
      <c r="IV25">
        <v>1.2</v>
      </c>
      <c r="IW25">
        <v>0.80566400000000005</v>
      </c>
      <c r="IX25">
        <v>2.63062</v>
      </c>
      <c r="IY25">
        <v>1.5490699999999999</v>
      </c>
      <c r="IZ25">
        <v>2.36816</v>
      </c>
      <c r="JA25">
        <v>1.5966800000000001</v>
      </c>
      <c r="JB25">
        <v>2.2021500000000001</v>
      </c>
      <c r="JC25">
        <v>40.3491</v>
      </c>
      <c r="JD25">
        <v>24.113800000000001</v>
      </c>
      <c r="JE25">
        <v>18</v>
      </c>
      <c r="JF25">
        <v>228.93199999999999</v>
      </c>
      <c r="JG25">
        <v>461.95400000000001</v>
      </c>
      <c r="JH25">
        <v>25.246200000000002</v>
      </c>
      <c r="JI25">
        <v>36.182000000000002</v>
      </c>
      <c r="JJ25">
        <v>30.0001</v>
      </c>
      <c r="JK25">
        <v>36.059899999999999</v>
      </c>
      <c r="JL25">
        <v>35.997500000000002</v>
      </c>
      <c r="JM25">
        <v>16.1221</v>
      </c>
      <c r="JN25">
        <v>33.816299999999998</v>
      </c>
      <c r="JO25">
        <v>39.956800000000001</v>
      </c>
      <c r="JP25">
        <v>25.2578</v>
      </c>
      <c r="JQ25">
        <v>300</v>
      </c>
      <c r="JR25">
        <v>22.459299999999999</v>
      </c>
      <c r="JS25">
        <v>98.030199999999994</v>
      </c>
      <c r="JT25">
        <v>98.931899999999999</v>
      </c>
    </row>
    <row r="26" spans="1:280" x14ac:dyDescent="0.25">
      <c r="A26">
        <v>10</v>
      </c>
      <c r="B26">
        <v>1700149490.5999999</v>
      </c>
      <c r="C26">
        <v>1634.599999904633</v>
      </c>
      <c r="D26" t="s">
        <v>461</v>
      </c>
      <c r="E26" t="s">
        <v>462</v>
      </c>
      <c r="F26" t="s">
        <v>412</v>
      </c>
      <c r="G26" t="s">
        <v>413</v>
      </c>
      <c r="H26" t="s">
        <v>414</v>
      </c>
      <c r="I26">
        <v>1700149490.5999999</v>
      </c>
      <c r="J26">
        <f t="shared" si="0"/>
        <v>5.3730240150171686E-3</v>
      </c>
      <c r="K26">
        <f t="shared" si="1"/>
        <v>5.3730240150171689</v>
      </c>
      <c r="L26">
        <f t="shared" si="2"/>
        <v>24.894959834280435</v>
      </c>
      <c r="M26">
        <f t="shared" si="3"/>
        <v>174.17099999999999</v>
      </c>
      <c r="N26">
        <f t="shared" si="4"/>
        <v>53.561324797017434</v>
      </c>
      <c r="O26">
        <f t="shared" si="5"/>
        <v>5.342595974290985</v>
      </c>
      <c r="P26">
        <f t="shared" si="6"/>
        <v>17.373081919923901</v>
      </c>
      <c r="Q26">
        <f t="shared" si="7"/>
        <v>0.35657559827379676</v>
      </c>
      <c r="R26">
        <f t="shared" si="8"/>
        <v>3.1397169510601866</v>
      </c>
      <c r="S26">
        <f t="shared" si="9"/>
        <v>0.3355087003108646</v>
      </c>
      <c r="T26">
        <f t="shared" si="10"/>
        <v>0.21148191814975315</v>
      </c>
      <c r="U26">
        <f t="shared" si="11"/>
        <v>289.57866041906163</v>
      </c>
      <c r="V26">
        <f t="shared" si="12"/>
        <v>29.822342625728748</v>
      </c>
      <c r="W26">
        <f t="shared" si="13"/>
        <v>29.909800000000001</v>
      </c>
      <c r="X26">
        <f t="shared" si="14"/>
        <v>4.2384260927652599</v>
      </c>
      <c r="Y26">
        <f t="shared" si="15"/>
        <v>65.020435402955613</v>
      </c>
      <c r="Z26">
        <f t="shared" si="16"/>
        <v>2.6965477720564199</v>
      </c>
      <c r="AA26">
        <f t="shared" si="17"/>
        <v>4.1472311825427175</v>
      </c>
      <c r="AB26">
        <f t="shared" si="18"/>
        <v>1.54187832070884</v>
      </c>
      <c r="AC26">
        <f t="shared" si="19"/>
        <v>-236.95035906225715</v>
      </c>
      <c r="AD26">
        <f t="shared" si="20"/>
        <v>-63.966536018353978</v>
      </c>
      <c r="AE26">
        <f t="shared" si="21"/>
        <v>-4.5175265619133116</v>
      </c>
      <c r="AF26">
        <f t="shared" si="22"/>
        <v>-15.855761223462807</v>
      </c>
      <c r="AG26">
        <v>260</v>
      </c>
      <c r="AH26">
        <v>52</v>
      </c>
      <c r="AI26">
        <f t="shared" si="23"/>
        <v>1</v>
      </c>
      <c r="AJ26">
        <f t="shared" si="24"/>
        <v>0</v>
      </c>
      <c r="AK26">
        <f t="shared" si="25"/>
        <v>52302.868775498726</v>
      </c>
      <c r="AL26" t="s">
        <v>426</v>
      </c>
      <c r="AM26" t="s">
        <v>426</v>
      </c>
      <c r="AN26">
        <v>0</v>
      </c>
      <c r="AO26">
        <v>0</v>
      </c>
      <c r="AP26" t="e">
        <f t="shared" si="26"/>
        <v>#DIV/0!</v>
      </c>
      <c r="AQ26">
        <v>0</v>
      </c>
      <c r="AR26" t="s">
        <v>426</v>
      </c>
      <c r="AS26" t="s">
        <v>426</v>
      </c>
      <c r="AT26">
        <v>0</v>
      </c>
      <c r="AU26">
        <v>0</v>
      </c>
      <c r="AV26" t="e">
        <f t="shared" si="27"/>
        <v>#DIV/0!</v>
      </c>
      <c r="AW26">
        <v>0.5</v>
      </c>
      <c r="AX26">
        <f t="shared" si="28"/>
        <v>1513.2516002171303</v>
      </c>
      <c r="AY26">
        <f t="shared" si="29"/>
        <v>24.894959834280435</v>
      </c>
      <c r="AZ26" t="e">
        <f t="shared" si="30"/>
        <v>#DIV/0!</v>
      </c>
      <c r="BA26">
        <f t="shared" si="31"/>
        <v>1.645130250032999E-2</v>
      </c>
      <c r="BB26" t="e">
        <f t="shared" si="32"/>
        <v>#DIV/0!</v>
      </c>
      <c r="BC26" t="e">
        <f t="shared" si="33"/>
        <v>#DIV/0!</v>
      </c>
      <c r="BD26" t="s">
        <v>426</v>
      </c>
      <c r="BE26">
        <v>0</v>
      </c>
      <c r="BF26" t="e">
        <f t="shared" si="34"/>
        <v>#DIV/0!</v>
      </c>
      <c r="BG26" t="e">
        <f t="shared" si="35"/>
        <v>#DIV/0!</v>
      </c>
      <c r="BH26" t="e">
        <f t="shared" si="36"/>
        <v>#DIV/0!</v>
      </c>
      <c r="BI26" t="e">
        <f t="shared" si="37"/>
        <v>#DIV/0!</v>
      </c>
      <c r="BJ26" t="e">
        <f t="shared" si="38"/>
        <v>#DIV/0!</v>
      </c>
      <c r="BK26" t="e">
        <f t="shared" si="39"/>
        <v>#DIV/0!</v>
      </c>
      <c r="BL26" t="e">
        <f t="shared" si="40"/>
        <v>#DIV/0!</v>
      </c>
      <c r="BM26" t="e">
        <f t="shared" si="41"/>
        <v>#DIV/0!</v>
      </c>
      <c r="BN26">
        <v>34427</v>
      </c>
      <c r="BO26">
        <v>290.00000000000011</v>
      </c>
      <c r="BP26">
        <v>730.97</v>
      </c>
      <c r="BQ26">
        <v>295</v>
      </c>
      <c r="BR26">
        <v>7109.42</v>
      </c>
      <c r="BS26">
        <v>733.44</v>
      </c>
      <c r="BT26">
        <v>-2.4700000000000002</v>
      </c>
      <c r="BU26">
        <v>300.00000000000011</v>
      </c>
      <c r="BV26">
        <v>38.299999999999997</v>
      </c>
      <c r="BW26">
        <v>792.61444702247684</v>
      </c>
      <c r="BX26">
        <v>1.5109414895433679</v>
      </c>
      <c r="BY26">
        <v>-42.066093499881212</v>
      </c>
      <c r="BZ26">
        <v>0.90055611284722203</v>
      </c>
      <c r="CA26">
        <v>0.9873299728923427</v>
      </c>
      <c r="CB26">
        <v>-7.0078146829810938E-3</v>
      </c>
      <c r="CC26">
        <v>289.99999999999989</v>
      </c>
      <c r="CD26">
        <v>741.23</v>
      </c>
      <c r="CE26">
        <v>895</v>
      </c>
      <c r="CF26">
        <v>7102.32</v>
      </c>
      <c r="CG26">
        <v>733.39</v>
      </c>
      <c r="CH26">
        <v>7.84</v>
      </c>
      <c r="CV26">
        <f t="shared" si="42"/>
        <v>1800.08</v>
      </c>
      <c r="CW26">
        <f t="shared" si="43"/>
        <v>1513.2516002171303</v>
      </c>
      <c r="CX26">
        <f t="shared" si="44"/>
        <v>0.84065797087747784</v>
      </c>
      <c r="CY26">
        <f t="shared" si="45"/>
        <v>0.16086988379353231</v>
      </c>
      <c r="CZ26">
        <v>5</v>
      </c>
      <c r="DA26">
        <v>0.5</v>
      </c>
      <c r="DB26" t="s">
        <v>418</v>
      </c>
      <c r="DC26">
        <v>2</v>
      </c>
      <c r="DD26">
        <v>1700149490.5999999</v>
      </c>
      <c r="DE26">
        <v>174.17099999999999</v>
      </c>
      <c r="DF26">
        <v>199.99600000000001</v>
      </c>
      <c r="DG26">
        <v>27.033799999999999</v>
      </c>
      <c r="DH26">
        <v>21.807200000000002</v>
      </c>
      <c r="DI26">
        <v>174.458</v>
      </c>
      <c r="DJ26">
        <v>26.700399999999998</v>
      </c>
      <c r="DK26">
        <v>500.11200000000002</v>
      </c>
      <c r="DL26">
        <v>99.647400000000005</v>
      </c>
      <c r="DM26">
        <v>9.9870899999999999E-2</v>
      </c>
      <c r="DN26">
        <v>29.5319</v>
      </c>
      <c r="DO26">
        <v>29.909800000000001</v>
      </c>
      <c r="DP26">
        <v>999.9</v>
      </c>
      <c r="DQ26">
        <v>0</v>
      </c>
      <c r="DR26">
        <v>0</v>
      </c>
      <c r="DS26">
        <v>10010.6</v>
      </c>
      <c r="DT26">
        <v>0</v>
      </c>
      <c r="DU26">
        <v>475.40699999999998</v>
      </c>
      <c r="DV26">
        <v>-25.824400000000001</v>
      </c>
      <c r="DW26">
        <v>179.011</v>
      </c>
      <c r="DX26">
        <v>204.45400000000001</v>
      </c>
      <c r="DY26">
        <v>5.2266300000000001</v>
      </c>
      <c r="DZ26">
        <v>199.99600000000001</v>
      </c>
      <c r="EA26">
        <v>21.807200000000002</v>
      </c>
      <c r="EB26">
        <v>2.6938499999999999</v>
      </c>
      <c r="EC26">
        <v>2.1730299999999998</v>
      </c>
      <c r="ED26">
        <v>22.247599999999998</v>
      </c>
      <c r="EE26">
        <v>18.764800000000001</v>
      </c>
      <c r="EF26">
        <v>1800.08</v>
      </c>
      <c r="EG26">
        <v>0.97800900000000002</v>
      </c>
      <c r="EH26">
        <v>2.1990800000000001E-2</v>
      </c>
      <c r="EI26">
        <v>0</v>
      </c>
      <c r="EJ26">
        <v>592.66999999999996</v>
      </c>
      <c r="EK26">
        <v>4.9996700000000001</v>
      </c>
      <c r="EL26">
        <v>16018.3</v>
      </c>
      <c r="EM26">
        <v>15047.5</v>
      </c>
      <c r="EN26">
        <v>50.625</v>
      </c>
      <c r="EO26">
        <v>51.75</v>
      </c>
      <c r="EP26">
        <v>51.375</v>
      </c>
      <c r="EQ26">
        <v>51.436999999999998</v>
      </c>
      <c r="ER26">
        <v>51.936999999999998</v>
      </c>
      <c r="ES26">
        <v>1755.6</v>
      </c>
      <c r="ET26">
        <v>39.479999999999997</v>
      </c>
      <c r="EU26">
        <v>0</v>
      </c>
      <c r="EV26">
        <v>176.60000014305109</v>
      </c>
      <c r="EW26">
        <v>0</v>
      </c>
      <c r="EX26">
        <v>592.71211999999991</v>
      </c>
      <c r="EY26">
        <v>-0.96123076625940174</v>
      </c>
      <c r="EZ26">
        <v>-1022.9538444380059</v>
      </c>
      <c r="FA26">
        <v>16118.236000000001</v>
      </c>
      <c r="FB26">
        <v>15</v>
      </c>
      <c r="FC26">
        <v>1700149406</v>
      </c>
      <c r="FD26" t="s">
        <v>463</v>
      </c>
      <c r="FE26">
        <v>1700149388.5</v>
      </c>
      <c r="FF26">
        <v>1700149406</v>
      </c>
      <c r="FG26">
        <v>11</v>
      </c>
      <c r="FH26">
        <v>3.3000000000000002E-2</v>
      </c>
      <c r="FI26">
        <v>0</v>
      </c>
      <c r="FJ26">
        <v>-0.28100000000000003</v>
      </c>
      <c r="FK26">
        <v>0.27700000000000002</v>
      </c>
      <c r="FL26">
        <v>200</v>
      </c>
      <c r="FM26">
        <v>22</v>
      </c>
      <c r="FN26">
        <v>0.06</v>
      </c>
      <c r="FO26">
        <v>0.26</v>
      </c>
      <c r="FP26">
        <v>24.77902492905147</v>
      </c>
      <c r="FQ26">
        <v>0.66983364649326405</v>
      </c>
      <c r="FR26">
        <v>5.2505992904022962E-2</v>
      </c>
      <c r="FS26">
        <v>1</v>
      </c>
      <c r="FT26">
        <v>0.35053103974630501</v>
      </c>
      <c r="FU26">
        <v>1.532396837068496E-2</v>
      </c>
      <c r="FV26">
        <v>1.361058120773521E-3</v>
      </c>
      <c r="FW26">
        <v>1</v>
      </c>
      <c r="FX26">
        <v>2</v>
      </c>
      <c r="FY26">
        <v>2</v>
      </c>
      <c r="FZ26" t="s">
        <v>420</v>
      </c>
      <c r="GA26">
        <v>3.01328</v>
      </c>
      <c r="GB26">
        <v>2.77705</v>
      </c>
      <c r="GC26">
        <v>4.40703E-2</v>
      </c>
      <c r="GD26">
        <v>5.0134499999999999E-2</v>
      </c>
      <c r="GE26">
        <v>0.12410599999999999</v>
      </c>
      <c r="GF26">
        <v>0.108038</v>
      </c>
      <c r="GG26">
        <v>22800.7</v>
      </c>
      <c r="GH26">
        <v>23414.1</v>
      </c>
      <c r="GI26">
        <v>23628.9</v>
      </c>
      <c r="GJ26">
        <v>24318.2</v>
      </c>
      <c r="GK26">
        <v>30617.9</v>
      </c>
      <c r="GL26">
        <v>31101.9</v>
      </c>
      <c r="GM26">
        <v>38700.9</v>
      </c>
      <c r="GN26">
        <v>38721.699999999997</v>
      </c>
      <c r="GO26">
        <v>1.4039299999999999</v>
      </c>
      <c r="GP26">
        <v>1.79172</v>
      </c>
      <c r="GQ26">
        <v>2.43336E-2</v>
      </c>
      <c r="GR26">
        <v>0</v>
      </c>
      <c r="GS26">
        <v>29.5137</v>
      </c>
      <c r="GT26">
        <v>999.9</v>
      </c>
      <c r="GU26">
        <v>53.8</v>
      </c>
      <c r="GV26">
        <v>35.9</v>
      </c>
      <c r="GW26">
        <v>32.051499999999997</v>
      </c>
      <c r="GX26">
        <v>61.233899999999998</v>
      </c>
      <c r="GY26">
        <v>31.161899999999999</v>
      </c>
      <c r="GZ26">
        <v>1</v>
      </c>
      <c r="HA26">
        <v>0.74493699999999996</v>
      </c>
      <c r="HB26">
        <v>3.1935500000000001</v>
      </c>
      <c r="HC26">
        <v>20.298100000000002</v>
      </c>
      <c r="HD26">
        <v>5.2411000000000003</v>
      </c>
      <c r="HE26">
        <v>11.997999999999999</v>
      </c>
      <c r="HF26">
        <v>4.9634499999999999</v>
      </c>
      <c r="HG26">
        <v>3.30098</v>
      </c>
      <c r="HH26">
        <v>9999</v>
      </c>
      <c r="HI26">
        <v>9999</v>
      </c>
      <c r="HJ26">
        <v>9999</v>
      </c>
      <c r="HK26">
        <v>999.9</v>
      </c>
      <c r="HL26">
        <v>1.8747799999999999</v>
      </c>
      <c r="HM26">
        <v>1.8801699999999999</v>
      </c>
      <c r="HN26">
        <v>1.88019</v>
      </c>
      <c r="HO26">
        <v>1.87896</v>
      </c>
      <c r="HP26">
        <v>1.8813</v>
      </c>
      <c r="HQ26">
        <v>1.8771599999999999</v>
      </c>
      <c r="HR26">
        <v>1.8748499999999999</v>
      </c>
      <c r="HS26">
        <v>1.8821699999999999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-0.28699999999999998</v>
      </c>
      <c r="IH26">
        <v>0.33339999999999997</v>
      </c>
      <c r="II26">
        <v>-0.36985268454244702</v>
      </c>
      <c r="IJ26">
        <v>7.0786345690369205E-4</v>
      </c>
      <c r="IK26">
        <v>-1.387476646623666E-6</v>
      </c>
      <c r="IL26">
        <v>3.6592443641472651E-10</v>
      </c>
      <c r="IM26">
        <v>0.3333691189438413</v>
      </c>
      <c r="IN26">
        <v>0</v>
      </c>
      <c r="IO26">
        <v>0</v>
      </c>
      <c r="IP26">
        <v>0</v>
      </c>
      <c r="IQ26">
        <v>2</v>
      </c>
      <c r="IR26">
        <v>2142</v>
      </c>
      <c r="IS26">
        <v>1</v>
      </c>
      <c r="IT26">
        <v>24</v>
      </c>
      <c r="IU26">
        <v>1.7</v>
      </c>
      <c r="IV26">
        <v>1.4</v>
      </c>
      <c r="IW26">
        <v>0.59326199999999996</v>
      </c>
      <c r="IX26">
        <v>2.63428</v>
      </c>
      <c r="IY26">
        <v>1.5490699999999999</v>
      </c>
      <c r="IZ26">
        <v>2.36694</v>
      </c>
      <c r="JA26">
        <v>1.5966800000000001</v>
      </c>
      <c r="JB26">
        <v>2.3815900000000001</v>
      </c>
      <c r="JC26">
        <v>40.604199999999999</v>
      </c>
      <c r="JD26">
        <v>24.1313</v>
      </c>
      <c r="JE26">
        <v>18</v>
      </c>
      <c r="JF26">
        <v>228.28800000000001</v>
      </c>
      <c r="JG26">
        <v>457.96800000000002</v>
      </c>
      <c r="JH26">
        <v>25.944900000000001</v>
      </c>
      <c r="JI26">
        <v>36.3217</v>
      </c>
      <c r="JJ26">
        <v>30.0002</v>
      </c>
      <c r="JK26">
        <v>36.205100000000002</v>
      </c>
      <c r="JL26">
        <v>36.142800000000001</v>
      </c>
      <c r="JM26">
        <v>11.856</v>
      </c>
      <c r="JN26">
        <v>35.478000000000002</v>
      </c>
      <c r="JO26">
        <v>34.208799999999997</v>
      </c>
      <c r="JP26">
        <v>25.9938</v>
      </c>
      <c r="JQ26">
        <v>200</v>
      </c>
      <c r="JR26">
        <v>21.718399999999999</v>
      </c>
      <c r="JS26">
        <v>98.009299999999996</v>
      </c>
      <c r="JT26">
        <v>98.915000000000006</v>
      </c>
    </row>
    <row r="27" spans="1:280" x14ac:dyDescent="0.25">
      <c r="A27">
        <v>11</v>
      </c>
      <c r="B27">
        <v>1700149617.0999999</v>
      </c>
      <c r="C27">
        <v>1761.099999904633</v>
      </c>
      <c r="D27" t="s">
        <v>464</v>
      </c>
      <c r="E27" t="s">
        <v>465</v>
      </c>
      <c r="F27" t="s">
        <v>412</v>
      </c>
      <c r="G27" t="s">
        <v>413</v>
      </c>
      <c r="H27" t="s">
        <v>414</v>
      </c>
      <c r="I27">
        <v>1700149617.0999999</v>
      </c>
      <c r="J27">
        <f t="shared" si="0"/>
        <v>5.7274122081370209E-3</v>
      </c>
      <c r="K27">
        <f t="shared" si="1"/>
        <v>5.7274122081370207</v>
      </c>
      <c r="L27">
        <f t="shared" si="2"/>
        <v>16.075345473693712</v>
      </c>
      <c r="M27">
        <f t="shared" si="3"/>
        <v>103.366</v>
      </c>
      <c r="N27">
        <f t="shared" si="4"/>
        <v>32.459430797409944</v>
      </c>
      <c r="O27">
        <f t="shared" si="5"/>
        <v>3.2376829336293929</v>
      </c>
      <c r="P27">
        <f t="shared" si="6"/>
        <v>10.310295833784</v>
      </c>
      <c r="Q27">
        <f t="shared" si="7"/>
        <v>0.39357623278760556</v>
      </c>
      <c r="R27">
        <f t="shared" si="8"/>
        <v>3.1385787144624997</v>
      </c>
      <c r="S27">
        <f t="shared" si="9"/>
        <v>0.36806952308087271</v>
      </c>
      <c r="T27">
        <f t="shared" si="10"/>
        <v>0.23219723890342428</v>
      </c>
      <c r="U27">
        <f t="shared" si="11"/>
        <v>289.58039741938006</v>
      </c>
      <c r="V27">
        <f t="shared" si="12"/>
        <v>29.845456854685064</v>
      </c>
      <c r="W27">
        <f t="shared" si="13"/>
        <v>29.8994</v>
      </c>
      <c r="X27">
        <f t="shared" si="14"/>
        <v>4.2358931682722938</v>
      </c>
      <c r="Y27">
        <f t="shared" si="15"/>
        <v>65.606577306577691</v>
      </c>
      <c r="Z27">
        <f t="shared" si="16"/>
        <v>2.7380445574571999</v>
      </c>
      <c r="AA27">
        <f t="shared" si="17"/>
        <v>4.1734299667278707</v>
      </c>
      <c r="AB27">
        <f t="shared" si="18"/>
        <v>1.4978486108150939</v>
      </c>
      <c r="AC27">
        <f t="shared" si="19"/>
        <v>-252.57887837884263</v>
      </c>
      <c r="AD27">
        <f t="shared" si="20"/>
        <v>-43.689261769888986</v>
      </c>
      <c r="AE27">
        <f t="shared" si="21"/>
        <v>-3.0881101409995453</v>
      </c>
      <c r="AF27">
        <f t="shared" si="22"/>
        <v>-9.7758528703511161</v>
      </c>
      <c r="AG27">
        <v>258</v>
      </c>
      <c r="AH27">
        <v>52</v>
      </c>
      <c r="AI27">
        <f t="shared" si="23"/>
        <v>1</v>
      </c>
      <c r="AJ27">
        <f t="shared" si="24"/>
        <v>0</v>
      </c>
      <c r="AK27">
        <f t="shared" si="25"/>
        <v>52254.935611798006</v>
      </c>
      <c r="AL27" t="s">
        <v>415</v>
      </c>
      <c r="AM27">
        <v>10238.9</v>
      </c>
      <c r="AN27">
        <v>302.21199999999999</v>
      </c>
      <c r="AO27">
        <v>4052.3</v>
      </c>
      <c r="AP27">
        <f t="shared" si="26"/>
        <v>0.92542210596451402</v>
      </c>
      <c r="AQ27">
        <v>-0.32343011824092421</v>
      </c>
      <c r="AR27" t="s">
        <v>466</v>
      </c>
      <c r="AS27">
        <v>7109.38</v>
      </c>
      <c r="AT27">
        <v>612.2854615384615</v>
      </c>
      <c r="AU27">
        <v>731.85757165793927</v>
      </c>
      <c r="AV27">
        <f t="shared" si="27"/>
        <v>0.16338166707574109</v>
      </c>
      <c r="AW27">
        <v>0.5</v>
      </c>
      <c r="AX27">
        <f t="shared" si="28"/>
        <v>1513.2525002172952</v>
      </c>
      <c r="AY27">
        <f t="shared" si="29"/>
        <v>16.075345473693712</v>
      </c>
      <c r="AZ27">
        <f t="shared" si="30"/>
        <v>123.61885809601746</v>
      </c>
      <c r="BA27">
        <f t="shared" si="31"/>
        <v>1.0836774160016162E-2</v>
      </c>
      <c r="BB27">
        <f t="shared" si="32"/>
        <v>4.5370063205330782</v>
      </c>
      <c r="BC27">
        <f t="shared" si="33"/>
        <v>225.80764141064282</v>
      </c>
      <c r="BD27" t="s">
        <v>467</v>
      </c>
      <c r="BE27">
        <v>421.45</v>
      </c>
      <c r="BF27">
        <f t="shared" si="34"/>
        <v>421.45</v>
      </c>
      <c r="BG27">
        <f t="shared" si="35"/>
        <v>0.42413658569487311</v>
      </c>
      <c r="BH27">
        <f t="shared" si="36"/>
        <v>0.38521003041524704</v>
      </c>
      <c r="BI27">
        <f t="shared" si="37"/>
        <v>0.91450829099028064</v>
      </c>
      <c r="BJ27">
        <f t="shared" si="38"/>
        <v>0.27830406736898633</v>
      </c>
      <c r="BK27">
        <f t="shared" si="39"/>
        <v>0.88543053612130185</v>
      </c>
      <c r="BL27">
        <f t="shared" si="40"/>
        <v>0.26514881949113184</v>
      </c>
      <c r="BM27">
        <f t="shared" si="41"/>
        <v>0.73485118050886822</v>
      </c>
      <c r="BN27">
        <v>34429</v>
      </c>
      <c r="BO27">
        <v>290.00000000000011</v>
      </c>
      <c r="BP27">
        <v>702.22</v>
      </c>
      <c r="BQ27">
        <v>295</v>
      </c>
      <c r="BR27">
        <v>7109.38</v>
      </c>
      <c r="BS27">
        <v>703.26</v>
      </c>
      <c r="BT27">
        <v>-1.04</v>
      </c>
      <c r="BU27">
        <v>300.00000000000011</v>
      </c>
      <c r="BV27">
        <v>38.299999999999997</v>
      </c>
      <c r="BW27">
        <v>731.85757165793927</v>
      </c>
      <c r="BX27">
        <v>1.1531550289270169</v>
      </c>
      <c r="BY27">
        <v>-20.331012657155519</v>
      </c>
      <c r="BZ27">
        <v>0.68729601836101406</v>
      </c>
      <c r="CA27">
        <v>0.96899379169575073</v>
      </c>
      <c r="CB27">
        <v>-7.0081848720800911E-3</v>
      </c>
      <c r="CC27">
        <v>289.99999999999989</v>
      </c>
      <c r="CD27">
        <v>707.48</v>
      </c>
      <c r="CE27">
        <v>735</v>
      </c>
      <c r="CF27">
        <v>7104.52</v>
      </c>
      <c r="CG27">
        <v>703.24</v>
      </c>
      <c r="CH27">
        <v>4.24</v>
      </c>
      <c r="CV27">
        <f t="shared" si="42"/>
        <v>1800.08</v>
      </c>
      <c r="CW27">
        <f t="shared" si="43"/>
        <v>1513.2525002172952</v>
      </c>
      <c r="CX27">
        <f t="shared" si="44"/>
        <v>0.84065847085534817</v>
      </c>
      <c r="CY27">
        <f t="shared" si="45"/>
        <v>0.16087084875082222</v>
      </c>
      <c r="CZ27">
        <v>5</v>
      </c>
      <c r="DA27">
        <v>0.5</v>
      </c>
      <c r="DB27" t="s">
        <v>418</v>
      </c>
      <c r="DC27">
        <v>2</v>
      </c>
      <c r="DD27">
        <v>1700149617.0999999</v>
      </c>
      <c r="DE27">
        <v>103.366</v>
      </c>
      <c r="DF27">
        <v>120.02800000000001</v>
      </c>
      <c r="DG27">
        <v>27.450299999999999</v>
      </c>
      <c r="DH27">
        <v>21.881900000000002</v>
      </c>
      <c r="DI27">
        <v>103.658</v>
      </c>
      <c r="DJ27">
        <v>27.1098</v>
      </c>
      <c r="DK27">
        <v>500.161</v>
      </c>
      <c r="DL27">
        <v>99.645499999999998</v>
      </c>
      <c r="DM27">
        <v>0.100024</v>
      </c>
      <c r="DN27">
        <v>29.641200000000001</v>
      </c>
      <c r="DO27">
        <v>29.8994</v>
      </c>
      <c r="DP27">
        <v>999.9</v>
      </c>
      <c r="DQ27">
        <v>0</v>
      </c>
      <c r="DR27">
        <v>0</v>
      </c>
      <c r="DS27">
        <v>10005</v>
      </c>
      <c r="DT27">
        <v>0</v>
      </c>
      <c r="DU27">
        <v>477.15800000000002</v>
      </c>
      <c r="DV27">
        <v>-16.6614</v>
      </c>
      <c r="DW27">
        <v>106.28400000000001</v>
      </c>
      <c r="DX27">
        <v>122.71299999999999</v>
      </c>
      <c r="DY27">
        <v>5.5683600000000002</v>
      </c>
      <c r="DZ27">
        <v>120.02800000000001</v>
      </c>
      <c r="EA27">
        <v>21.881900000000002</v>
      </c>
      <c r="EB27">
        <v>2.7353000000000001</v>
      </c>
      <c r="EC27">
        <v>2.1804399999999999</v>
      </c>
      <c r="ED27">
        <v>22.498699999999999</v>
      </c>
      <c r="EE27">
        <v>18.819299999999998</v>
      </c>
      <c r="EF27">
        <v>1800.08</v>
      </c>
      <c r="EG27">
        <v>0.97799199999999997</v>
      </c>
      <c r="EH27">
        <v>2.20079E-2</v>
      </c>
      <c r="EI27">
        <v>0</v>
      </c>
      <c r="EJ27">
        <v>612.08600000000001</v>
      </c>
      <c r="EK27">
        <v>4.9996700000000001</v>
      </c>
      <c r="EL27">
        <v>13400.9</v>
      </c>
      <c r="EM27">
        <v>15047.4</v>
      </c>
      <c r="EN27">
        <v>50.561999999999998</v>
      </c>
      <c r="EO27">
        <v>51.686999999999998</v>
      </c>
      <c r="EP27">
        <v>51.311999999999998</v>
      </c>
      <c r="EQ27">
        <v>51.375</v>
      </c>
      <c r="ER27">
        <v>51.875</v>
      </c>
      <c r="ES27">
        <v>1755.57</v>
      </c>
      <c r="ET27">
        <v>39.51</v>
      </c>
      <c r="EU27">
        <v>0</v>
      </c>
      <c r="EV27">
        <v>303.20000004768372</v>
      </c>
      <c r="EW27">
        <v>0</v>
      </c>
      <c r="EX27">
        <v>612.2854615384615</v>
      </c>
      <c r="EY27">
        <v>-0.27623933056602978</v>
      </c>
      <c r="EZ27">
        <v>-1414.738459275304</v>
      </c>
      <c r="FA27">
        <v>13575.873076923081</v>
      </c>
      <c r="FB27">
        <v>15</v>
      </c>
      <c r="FC27">
        <v>1700149584.0999999</v>
      </c>
      <c r="FD27" t="s">
        <v>468</v>
      </c>
      <c r="FE27">
        <v>1700149572.5999999</v>
      </c>
      <c r="FF27">
        <v>1700149584.0999999</v>
      </c>
      <c r="FG27">
        <v>12</v>
      </c>
      <c r="FH27">
        <v>0.02</v>
      </c>
      <c r="FI27">
        <v>7.0000000000000001E-3</v>
      </c>
      <c r="FJ27">
        <v>-0.28499999999999998</v>
      </c>
      <c r="FK27">
        <v>0.27100000000000002</v>
      </c>
      <c r="FL27">
        <v>120</v>
      </c>
      <c r="FM27">
        <v>22</v>
      </c>
      <c r="FN27">
        <v>0.06</v>
      </c>
      <c r="FO27">
        <v>0.01</v>
      </c>
      <c r="FP27">
        <v>15.98312272828254</v>
      </c>
      <c r="FQ27">
        <v>0.1718155310288472</v>
      </c>
      <c r="FR27">
        <v>3.2175963652540253E-2</v>
      </c>
      <c r="FS27">
        <v>1</v>
      </c>
      <c r="FT27">
        <v>0.39533789009927139</v>
      </c>
      <c r="FU27">
        <v>2.66395479827241E-2</v>
      </c>
      <c r="FV27">
        <v>3.4780685153229002E-3</v>
      </c>
      <c r="FW27">
        <v>1</v>
      </c>
      <c r="FX27">
        <v>2</v>
      </c>
      <c r="FY27">
        <v>2</v>
      </c>
      <c r="FZ27" t="s">
        <v>420</v>
      </c>
      <c r="GA27">
        <v>3.0134400000000001</v>
      </c>
      <c r="GB27">
        <v>2.7771499999999998</v>
      </c>
      <c r="GC27">
        <v>2.7220500000000002E-2</v>
      </c>
      <c r="GD27">
        <v>3.1520899999999998E-2</v>
      </c>
      <c r="GE27">
        <v>0.12539500000000001</v>
      </c>
      <c r="GF27">
        <v>0.108276</v>
      </c>
      <c r="GG27">
        <v>23200.5</v>
      </c>
      <c r="GH27">
        <v>23870.6</v>
      </c>
      <c r="GI27">
        <v>23627.9</v>
      </c>
      <c r="GJ27">
        <v>24317</v>
      </c>
      <c r="GK27">
        <v>30572.2</v>
      </c>
      <c r="GL27">
        <v>31092.6</v>
      </c>
      <c r="GM27">
        <v>38699.599999999999</v>
      </c>
      <c r="GN27">
        <v>38720.199999999997</v>
      </c>
      <c r="GO27">
        <v>1.4091800000000001</v>
      </c>
      <c r="GP27">
        <v>1.78837</v>
      </c>
      <c r="GQ27">
        <v>3.1285E-2</v>
      </c>
      <c r="GR27">
        <v>0</v>
      </c>
      <c r="GS27">
        <v>29.39</v>
      </c>
      <c r="GT27">
        <v>999.9</v>
      </c>
      <c r="GU27">
        <v>52.6</v>
      </c>
      <c r="GV27">
        <v>36.200000000000003</v>
      </c>
      <c r="GW27">
        <v>31.855</v>
      </c>
      <c r="GX27">
        <v>61.133899999999997</v>
      </c>
      <c r="GY27">
        <v>30.576899999999998</v>
      </c>
      <c r="GZ27">
        <v>1</v>
      </c>
      <c r="HA27">
        <v>0.74948700000000001</v>
      </c>
      <c r="HB27">
        <v>3.2636699999999998</v>
      </c>
      <c r="HC27">
        <v>20.2959</v>
      </c>
      <c r="HD27">
        <v>5.2424499999999998</v>
      </c>
      <c r="HE27">
        <v>11.997999999999999</v>
      </c>
      <c r="HF27">
        <v>4.9628500000000004</v>
      </c>
      <c r="HG27">
        <v>3.3008799999999998</v>
      </c>
      <c r="HH27">
        <v>9999</v>
      </c>
      <c r="HI27">
        <v>9999</v>
      </c>
      <c r="HJ27">
        <v>9999</v>
      </c>
      <c r="HK27">
        <v>999.9</v>
      </c>
      <c r="HL27">
        <v>1.8748100000000001</v>
      </c>
      <c r="HM27">
        <v>1.88019</v>
      </c>
      <c r="HN27">
        <v>1.88019</v>
      </c>
      <c r="HO27">
        <v>1.8789199999999999</v>
      </c>
      <c r="HP27">
        <v>1.8812800000000001</v>
      </c>
      <c r="HQ27">
        <v>1.8771599999999999</v>
      </c>
      <c r="HR27">
        <v>1.8748499999999999</v>
      </c>
      <c r="HS27">
        <v>1.8821699999999999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-0.29199999999999998</v>
      </c>
      <c r="IH27">
        <v>0.34050000000000002</v>
      </c>
      <c r="II27">
        <v>-0.35035879859555452</v>
      </c>
      <c r="IJ27">
        <v>7.0786345690369205E-4</v>
      </c>
      <c r="IK27">
        <v>-1.387476646623666E-6</v>
      </c>
      <c r="IL27">
        <v>3.6592443641472651E-10</v>
      </c>
      <c r="IM27">
        <v>0.34048197235479799</v>
      </c>
      <c r="IN27">
        <v>0</v>
      </c>
      <c r="IO27">
        <v>0</v>
      </c>
      <c r="IP27">
        <v>0</v>
      </c>
      <c r="IQ27">
        <v>2</v>
      </c>
      <c r="IR27">
        <v>2142</v>
      </c>
      <c r="IS27">
        <v>1</v>
      </c>
      <c r="IT27">
        <v>24</v>
      </c>
      <c r="IU27">
        <v>0.7</v>
      </c>
      <c r="IV27">
        <v>0.6</v>
      </c>
      <c r="IW27">
        <v>0.41748000000000002</v>
      </c>
      <c r="IX27">
        <v>2.6452599999999999</v>
      </c>
      <c r="IY27">
        <v>1.5490699999999999</v>
      </c>
      <c r="IZ27">
        <v>2.36694</v>
      </c>
      <c r="JA27">
        <v>1.5966800000000001</v>
      </c>
      <c r="JB27">
        <v>2.32666</v>
      </c>
      <c r="JC27">
        <v>40.783700000000003</v>
      </c>
      <c r="JD27">
        <v>24.122499999999999</v>
      </c>
      <c r="JE27">
        <v>18</v>
      </c>
      <c r="JF27">
        <v>230.40899999999999</v>
      </c>
      <c r="JG27">
        <v>456.31599999999997</v>
      </c>
      <c r="JH27">
        <v>26.035299999999999</v>
      </c>
      <c r="JI27">
        <v>36.369</v>
      </c>
      <c r="JJ27">
        <v>30</v>
      </c>
      <c r="JK27">
        <v>36.276499999999999</v>
      </c>
      <c r="JL27">
        <v>36.219700000000003</v>
      </c>
      <c r="JM27">
        <v>8.3416899999999998</v>
      </c>
      <c r="JN27">
        <v>34.519199999999998</v>
      </c>
      <c r="JO27">
        <v>30.116499999999998</v>
      </c>
      <c r="JP27">
        <v>26.07</v>
      </c>
      <c r="JQ27">
        <v>120</v>
      </c>
      <c r="JR27">
        <v>21.8154</v>
      </c>
      <c r="JS27">
        <v>98.005700000000004</v>
      </c>
      <c r="JT27">
        <v>98.910799999999995</v>
      </c>
    </row>
    <row r="28" spans="1:280" x14ac:dyDescent="0.25">
      <c r="A28">
        <v>12</v>
      </c>
      <c r="B28">
        <v>1700149725.0999999</v>
      </c>
      <c r="C28">
        <v>1869.099999904633</v>
      </c>
      <c r="D28" t="s">
        <v>469</v>
      </c>
      <c r="E28" t="s">
        <v>470</v>
      </c>
      <c r="F28" t="s">
        <v>412</v>
      </c>
      <c r="G28" t="s">
        <v>413</v>
      </c>
      <c r="H28" t="s">
        <v>414</v>
      </c>
      <c r="I28">
        <v>1700149725.0999999</v>
      </c>
      <c r="J28">
        <f t="shared" si="0"/>
        <v>5.876722944655792E-3</v>
      </c>
      <c r="K28">
        <f t="shared" si="1"/>
        <v>5.8767229446557918</v>
      </c>
      <c r="L28">
        <f t="shared" si="2"/>
        <v>9.6999891649038066</v>
      </c>
      <c r="M28">
        <f t="shared" si="3"/>
        <v>59.954099999999997</v>
      </c>
      <c r="N28">
        <f t="shared" si="4"/>
        <v>18.168652371594671</v>
      </c>
      <c r="O28">
        <f t="shared" si="5"/>
        <v>1.812255868221446</v>
      </c>
      <c r="P28">
        <f t="shared" si="6"/>
        <v>5.9801997047840993</v>
      </c>
      <c r="Q28">
        <f t="shared" si="7"/>
        <v>0.40331944094112432</v>
      </c>
      <c r="R28">
        <f t="shared" si="8"/>
        <v>3.1419152129299492</v>
      </c>
      <c r="S28">
        <f t="shared" si="9"/>
        <v>0.37660661854647137</v>
      </c>
      <c r="T28">
        <f t="shared" si="10"/>
        <v>0.23763158262386808</v>
      </c>
      <c r="U28">
        <f t="shared" si="11"/>
        <v>289.56545441929489</v>
      </c>
      <c r="V28">
        <f t="shared" si="12"/>
        <v>30.086628932328125</v>
      </c>
      <c r="W28">
        <f t="shared" si="13"/>
        <v>30.050899999999999</v>
      </c>
      <c r="X28">
        <f t="shared" si="14"/>
        <v>4.2729217348403283</v>
      </c>
      <c r="Y28">
        <f t="shared" si="15"/>
        <v>65.352939527208264</v>
      </c>
      <c r="Z28">
        <f t="shared" si="16"/>
        <v>2.7714011001345003</v>
      </c>
      <c r="AA28">
        <f t="shared" si="17"/>
        <v>4.2406678569992833</v>
      </c>
      <c r="AB28">
        <f t="shared" si="18"/>
        <v>1.5015206347058281</v>
      </c>
      <c r="AC28">
        <f t="shared" si="19"/>
        <v>-259.16348185932043</v>
      </c>
      <c r="AD28">
        <f t="shared" si="20"/>
        <v>-22.342136457355021</v>
      </c>
      <c r="AE28">
        <f t="shared" si="21"/>
        <v>-1.5809008647628295</v>
      </c>
      <c r="AF28">
        <f t="shared" si="22"/>
        <v>6.4789352378566072</v>
      </c>
      <c r="AG28">
        <v>258</v>
      </c>
      <c r="AH28">
        <v>52</v>
      </c>
      <c r="AI28">
        <f t="shared" si="23"/>
        <v>1</v>
      </c>
      <c r="AJ28">
        <f t="shared" si="24"/>
        <v>0</v>
      </c>
      <c r="AK28">
        <f t="shared" si="25"/>
        <v>52291.983542480244</v>
      </c>
      <c r="AL28" t="s">
        <v>426</v>
      </c>
      <c r="AM28" t="s">
        <v>426</v>
      </c>
      <c r="AN28">
        <v>0</v>
      </c>
      <c r="AO28">
        <v>0</v>
      </c>
      <c r="AP28" t="e">
        <f t="shared" si="26"/>
        <v>#DIV/0!</v>
      </c>
      <c r="AQ28">
        <v>0</v>
      </c>
      <c r="AR28" t="s">
        <v>426</v>
      </c>
      <c r="AS28" t="s">
        <v>426</v>
      </c>
      <c r="AT28">
        <v>0</v>
      </c>
      <c r="AU28">
        <v>0</v>
      </c>
      <c r="AV28" t="e">
        <f t="shared" si="27"/>
        <v>#DIV/0!</v>
      </c>
      <c r="AW28">
        <v>0.5</v>
      </c>
      <c r="AX28">
        <f t="shared" si="28"/>
        <v>1513.176600217251</v>
      </c>
      <c r="AY28">
        <f t="shared" si="29"/>
        <v>9.6999891649038066</v>
      </c>
      <c r="AZ28" t="e">
        <f t="shared" si="30"/>
        <v>#DIV/0!</v>
      </c>
      <c r="BA28">
        <f t="shared" si="31"/>
        <v>6.4103483780486373E-3</v>
      </c>
      <c r="BB28" t="e">
        <f t="shared" si="32"/>
        <v>#DIV/0!</v>
      </c>
      <c r="BC28" t="e">
        <f t="shared" si="33"/>
        <v>#DIV/0!</v>
      </c>
      <c r="BD28" t="s">
        <v>426</v>
      </c>
      <c r="BE28">
        <v>0</v>
      </c>
      <c r="BF28" t="e">
        <f t="shared" si="34"/>
        <v>#DIV/0!</v>
      </c>
      <c r="BG28" t="e">
        <f t="shared" si="35"/>
        <v>#DIV/0!</v>
      </c>
      <c r="BH28" t="e">
        <f t="shared" si="36"/>
        <v>#DIV/0!</v>
      </c>
      <c r="BI28" t="e">
        <f t="shared" si="37"/>
        <v>#DIV/0!</v>
      </c>
      <c r="BJ28" t="e">
        <f t="shared" si="38"/>
        <v>#DIV/0!</v>
      </c>
      <c r="BK28" t="e">
        <f t="shared" si="39"/>
        <v>#DIV/0!</v>
      </c>
      <c r="BL28" t="e">
        <f t="shared" si="40"/>
        <v>#DIV/0!</v>
      </c>
      <c r="BM28" t="e">
        <f t="shared" si="41"/>
        <v>#DIV/0!</v>
      </c>
      <c r="BN28">
        <v>34429</v>
      </c>
      <c r="BO28">
        <v>290.00000000000011</v>
      </c>
      <c r="BP28">
        <v>702.22</v>
      </c>
      <c r="BQ28">
        <v>295</v>
      </c>
      <c r="BR28">
        <v>7109.38</v>
      </c>
      <c r="BS28">
        <v>703.26</v>
      </c>
      <c r="BT28">
        <v>-1.04</v>
      </c>
      <c r="BU28">
        <v>300.00000000000011</v>
      </c>
      <c r="BV28">
        <v>38.299999999999997</v>
      </c>
      <c r="BW28">
        <v>731.85757165793927</v>
      </c>
      <c r="BX28">
        <v>1.1531550289270169</v>
      </c>
      <c r="BY28">
        <v>-20.331012657155519</v>
      </c>
      <c r="BZ28">
        <v>0.68729601836101406</v>
      </c>
      <c r="CA28">
        <v>0.96899379169575073</v>
      </c>
      <c r="CB28">
        <v>-7.0081848720800911E-3</v>
      </c>
      <c r="CC28">
        <v>289.99999999999989</v>
      </c>
      <c r="CD28">
        <v>707.48</v>
      </c>
      <c r="CE28">
        <v>735</v>
      </c>
      <c r="CF28">
        <v>7104.52</v>
      </c>
      <c r="CG28">
        <v>703.24</v>
      </c>
      <c r="CH28">
        <v>4.24</v>
      </c>
      <c r="CV28">
        <f t="shared" si="42"/>
        <v>1799.99</v>
      </c>
      <c r="CW28">
        <f t="shared" si="43"/>
        <v>1513.176600217251</v>
      </c>
      <c r="CX28">
        <f t="shared" si="44"/>
        <v>0.84065833711145677</v>
      </c>
      <c r="CY28">
        <f t="shared" si="45"/>
        <v>0.16087059062511175</v>
      </c>
      <c r="CZ28">
        <v>5</v>
      </c>
      <c r="DA28">
        <v>0.5</v>
      </c>
      <c r="DB28" t="s">
        <v>418</v>
      </c>
      <c r="DC28">
        <v>2</v>
      </c>
      <c r="DD28">
        <v>1700149725.0999999</v>
      </c>
      <c r="DE28">
        <v>59.954099999999997</v>
      </c>
      <c r="DF28">
        <v>70.001599999999996</v>
      </c>
      <c r="DG28">
        <v>27.784500000000001</v>
      </c>
      <c r="DH28">
        <v>22.073799999999999</v>
      </c>
      <c r="DI28">
        <v>60.239600000000003</v>
      </c>
      <c r="DJ28">
        <v>27.441800000000001</v>
      </c>
      <c r="DK28">
        <v>500.24</v>
      </c>
      <c r="DL28">
        <v>99.646299999999997</v>
      </c>
      <c r="DM28">
        <v>0.10000100000000001</v>
      </c>
      <c r="DN28">
        <v>29.919</v>
      </c>
      <c r="DO28">
        <v>30.050899999999999</v>
      </c>
      <c r="DP28">
        <v>999.9</v>
      </c>
      <c r="DQ28">
        <v>0</v>
      </c>
      <c r="DR28">
        <v>0</v>
      </c>
      <c r="DS28">
        <v>10021.9</v>
      </c>
      <c r="DT28">
        <v>0</v>
      </c>
      <c r="DU28">
        <v>478.21100000000001</v>
      </c>
      <c r="DV28">
        <v>-10.047499999999999</v>
      </c>
      <c r="DW28">
        <v>61.667499999999997</v>
      </c>
      <c r="DX28">
        <v>71.581699999999998</v>
      </c>
      <c r="DY28">
        <v>5.7106199999999996</v>
      </c>
      <c r="DZ28">
        <v>70.001599999999996</v>
      </c>
      <c r="EA28">
        <v>22.073799999999999</v>
      </c>
      <c r="EB28">
        <v>2.7686199999999999</v>
      </c>
      <c r="EC28">
        <v>2.1995800000000001</v>
      </c>
      <c r="ED28">
        <v>22.6982</v>
      </c>
      <c r="EE28">
        <v>18.959199999999999</v>
      </c>
      <c r="EF28">
        <v>1799.99</v>
      </c>
      <c r="EG28">
        <v>0.97799199999999997</v>
      </c>
      <c r="EH28">
        <v>2.20079E-2</v>
      </c>
      <c r="EI28">
        <v>0</v>
      </c>
      <c r="EJ28">
        <v>627.21500000000003</v>
      </c>
      <c r="EK28">
        <v>4.9996700000000001</v>
      </c>
      <c r="EL28">
        <v>12886.4</v>
      </c>
      <c r="EM28">
        <v>15046.6</v>
      </c>
      <c r="EN28">
        <v>50.436999999999998</v>
      </c>
      <c r="EO28">
        <v>51.561999999999998</v>
      </c>
      <c r="EP28">
        <v>51.25</v>
      </c>
      <c r="EQ28">
        <v>51.25</v>
      </c>
      <c r="ER28">
        <v>51.811999999999998</v>
      </c>
      <c r="ES28">
        <v>1755.49</v>
      </c>
      <c r="ET28">
        <v>39.5</v>
      </c>
      <c r="EU28">
        <v>0</v>
      </c>
      <c r="EV28">
        <v>106.2000000476837</v>
      </c>
      <c r="EW28">
        <v>0</v>
      </c>
      <c r="EX28">
        <v>627.17876923076926</v>
      </c>
      <c r="EY28">
        <v>1.401709963295812E-2</v>
      </c>
      <c r="EZ28">
        <v>269.32991419810531</v>
      </c>
      <c r="FA28">
        <v>12851.33461538462</v>
      </c>
      <c r="FB28">
        <v>15</v>
      </c>
      <c r="FC28">
        <v>1700149691.5999999</v>
      </c>
      <c r="FD28" t="s">
        <v>471</v>
      </c>
      <c r="FE28">
        <v>1700149685.5999999</v>
      </c>
      <c r="FF28">
        <v>1700149691.5999999</v>
      </c>
      <c r="FG28">
        <v>13</v>
      </c>
      <c r="FH28">
        <v>2.7E-2</v>
      </c>
      <c r="FI28">
        <v>2E-3</v>
      </c>
      <c r="FJ28">
        <v>-0.28000000000000003</v>
      </c>
      <c r="FK28">
        <v>0.26200000000000001</v>
      </c>
      <c r="FL28">
        <v>70</v>
      </c>
      <c r="FM28">
        <v>22</v>
      </c>
      <c r="FN28">
        <v>0.13</v>
      </c>
      <c r="FO28">
        <v>0.01</v>
      </c>
      <c r="FP28">
        <v>9.7377301459356058</v>
      </c>
      <c r="FQ28">
        <v>-0.38657811054974661</v>
      </c>
      <c r="FR28">
        <v>3.9672727482189737E-2</v>
      </c>
      <c r="FS28">
        <v>1</v>
      </c>
      <c r="FT28">
        <v>0.40562156977616159</v>
      </c>
      <c r="FU28">
        <v>3.073950268820369E-2</v>
      </c>
      <c r="FV28">
        <v>3.6379215129695229E-3</v>
      </c>
      <c r="FW28">
        <v>1</v>
      </c>
      <c r="FX28">
        <v>2</v>
      </c>
      <c r="FY28">
        <v>2</v>
      </c>
      <c r="FZ28" t="s">
        <v>420</v>
      </c>
      <c r="GA28">
        <v>3.0136500000000002</v>
      </c>
      <c r="GB28">
        <v>2.7772800000000002</v>
      </c>
      <c r="GC28">
        <v>1.6125E-2</v>
      </c>
      <c r="GD28">
        <v>1.8833200000000001E-2</v>
      </c>
      <c r="GE28">
        <v>0.126445</v>
      </c>
      <c r="GF28">
        <v>0.108929</v>
      </c>
      <c r="GG28">
        <v>23465.1</v>
      </c>
      <c r="GH28">
        <v>24183.1</v>
      </c>
      <c r="GI28">
        <v>23628.5</v>
      </c>
      <c r="GJ28">
        <v>24317.599999999999</v>
      </c>
      <c r="GK28">
        <v>30536.400000000001</v>
      </c>
      <c r="GL28">
        <v>31070.7</v>
      </c>
      <c r="GM28">
        <v>38700.6</v>
      </c>
      <c r="GN28">
        <v>38721.199999999997</v>
      </c>
      <c r="GO28">
        <v>1.4111499999999999</v>
      </c>
      <c r="GP28">
        <v>1.7867</v>
      </c>
      <c r="GQ28">
        <v>4.4103700000000003E-2</v>
      </c>
      <c r="GR28">
        <v>0</v>
      </c>
      <c r="GS28">
        <v>29.332799999999999</v>
      </c>
      <c r="GT28">
        <v>999.9</v>
      </c>
      <c r="GU28">
        <v>51.6</v>
      </c>
      <c r="GV28">
        <v>36.4</v>
      </c>
      <c r="GW28">
        <v>31.5962</v>
      </c>
      <c r="GX28">
        <v>61.0139</v>
      </c>
      <c r="GY28">
        <v>30.468800000000002</v>
      </c>
      <c r="GZ28">
        <v>1</v>
      </c>
      <c r="HA28">
        <v>0.75432200000000005</v>
      </c>
      <c r="HB28">
        <v>4.0313999999999997</v>
      </c>
      <c r="HC28">
        <v>20.276800000000001</v>
      </c>
      <c r="HD28">
        <v>5.2457399999999996</v>
      </c>
      <c r="HE28">
        <v>11.997999999999999</v>
      </c>
      <c r="HF28">
        <v>4.9635499999999997</v>
      </c>
      <c r="HG28">
        <v>3.3009499999999998</v>
      </c>
      <c r="HH28">
        <v>9999</v>
      </c>
      <c r="HI28">
        <v>9999</v>
      </c>
      <c r="HJ28">
        <v>9999</v>
      </c>
      <c r="HK28">
        <v>999.9</v>
      </c>
      <c r="HL28">
        <v>1.8748199999999999</v>
      </c>
      <c r="HM28">
        <v>1.88019</v>
      </c>
      <c r="HN28">
        <v>1.8802000000000001</v>
      </c>
      <c r="HO28">
        <v>1.8789499999999999</v>
      </c>
      <c r="HP28">
        <v>1.8812800000000001</v>
      </c>
      <c r="HQ28">
        <v>1.87717</v>
      </c>
      <c r="HR28">
        <v>1.87493</v>
      </c>
      <c r="HS28">
        <v>1.8821699999999999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-0.28599999999999998</v>
      </c>
      <c r="IH28">
        <v>0.3427</v>
      </c>
      <c r="II28">
        <v>-0.32319142406142448</v>
      </c>
      <c r="IJ28">
        <v>7.0786345690369205E-4</v>
      </c>
      <c r="IK28">
        <v>-1.387476646623666E-6</v>
      </c>
      <c r="IL28">
        <v>3.6592443641472651E-10</v>
      </c>
      <c r="IM28">
        <v>0.34269644405936861</v>
      </c>
      <c r="IN28">
        <v>0</v>
      </c>
      <c r="IO28">
        <v>0</v>
      </c>
      <c r="IP28">
        <v>0</v>
      </c>
      <c r="IQ28">
        <v>2</v>
      </c>
      <c r="IR28">
        <v>2142</v>
      </c>
      <c r="IS28">
        <v>1</v>
      </c>
      <c r="IT28">
        <v>24</v>
      </c>
      <c r="IU28">
        <v>0.7</v>
      </c>
      <c r="IV28">
        <v>0.6</v>
      </c>
      <c r="IW28">
        <v>0.306396</v>
      </c>
      <c r="IX28">
        <v>2.677</v>
      </c>
      <c r="IY28">
        <v>1.5490699999999999</v>
      </c>
      <c r="IZ28">
        <v>2.36572</v>
      </c>
      <c r="JA28">
        <v>1.5966800000000001</v>
      </c>
      <c r="JB28">
        <v>2.21069</v>
      </c>
      <c r="JC28">
        <v>40.963799999999999</v>
      </c>
      <c r="JD28">
        <v>24.105</v>
      </c>
      <c r="JE28">
        <v>18</v>
      </c>
      <c r="JF28">
        <v>231.21700000000001</v>
      </c>
      <c r="JG28">
        <v>455.48099999999999</v>
      </c>
      <c r="JH28">
        <v>26.120699999999999</v>
      </c>
      <c r="JI28">
        <v>36.369</v>
      </c>
      <c r="JJ28">
        <v>30.000599999999999</v>
      </c>
      <c r="JK28">
        <v>36.305799999999998</v>
      </c>
      <c r="JL28">
        <v>36.256799999999998</v>
      </c>
      <c r="JM28">
        <v>6.1278499999999996</v>
      </c>
      <c r="JN28">
        <v>33.263599999999997</v>
      </c>
      <c r="JO28">
        <v>26.842099999999999</v>
      </c>
      <c r="JP28">
        <v>26.064599999999999</v>
      </c>
      <c r="JQ28">
        <v>70</v>
      </c>
      <c r="JR28">
        <v>22.085599999999999</v>
      </c>
      <c r="JS28">
        <v>98.008300000000006</v>
      </c>
      <c r="JT28">
        <v>98.913200000000003</v>
      </c>
    </row>
    <row r="29" spans="1:280" x14ac:dyDescent="0.25">
      <c r="A29">
        <v>13</v>
      </c>
      <c r="B29">
        <v>1700149823.5999999</v>
      </c>
      <c r="C29">
        <v>1967.599999904633</v>
      </c>
      <c r="D29" t="s">
        <v>472</v>
      </c>
      <c r="E29" t="s">
        <v>473</v>
      </c>
      <c r="F29" t="s">
        <v>412</v>
      </c>
      <c r="G29" t="s">
        <v>413</v>
      </c>
      <c r="H29" t="s">
        <v>414</v>
      </c>
      <c r="I29">
        <v>1700149823.5999999</v>
      </c>
      <c r="J29">
        <f t="shared" si="0"/>
        <v>6.2276802782854296E-3</v>
      </c>
      <c r="K29">
        <f t="shared" si="1"/>
        <v>6.2276802782854297</v>
      </c>
      <c r="L29">
        <f t="shared" si="2"/>
        <v>4.2257976324084714</v>
      </c>
      <c r="M29">
        <f t="shared" si="3"/>
        <v>25.612300000000001</v>
      </c>
      <c r="N29">
        <f t="shared" si="4"/>
        <v>8.6203873885064812</v>
      </c>
      <c r="O29">
        <f t="shared" si="5"/>
        <v>0.85985319479526523</v>
      </c>
      <c r="P29">
        <f t="shared" si="6"/>
        <v>2.5547364623564</v>
      </c>
      <c r="Q29">
        <f t="shared" si="7"/>
        <v>0.4347221582941132</v>
      </c>
      <c r="R29">
        <f t="shared" si="8"/>
        <v>3.1351503602804831</v>
      </c>
      <c r="S29">
        <f t="shared" si="9"/>
        <v>0.40379675867795201</v>
      </c>
      <c r="T29">
        <f t="shared" si="10"/>
        <v>0.2549679278328591</v>
      </c>
      <c r="U29">
        <f t="shared" si="11"/>
        <v>289.56922541939633</v>
      </c>
      <c r="V29">
        <f t="shared" si="12"/>
        <v>29.966079951722545</v>
      </c>
      <c r="W29">
        <f t="shared" si="13"/>
        <v>29.9937</v>
      </c>
      <c r="X29">
        <f t="shared" si="14"/>
        <v>4.2589083000218073</v>
      </c>
      <c r="Y29">
        <f t="shared" si="15"/>
        <v>65.565830907787316</v>
      </c>
      <c r="Z29">
        <f t="shared" si="16"/>
        <v>2.7747771707643998</v>
      </c>
      <c r="AA29">
        <f t="shared" si="17"/>
        <v>4.2320475960517978</v>
      </c>
      <c r="AB29">
        <f t="shared" si="18"/>
        <v>1.4841311292574075</v>
      </c>
      <c r="AC29">
        <f t="shared" si="19"/>
        <v>-274.64070027238745</v>
      </c>
      <c r="AD29">
        <f t="shared" si="20"/>
        <v>-18.609347107200765</v>
      </c>
      <c r="AE29">
        <f t="shared" si="21"/>
        <v>-1.3190098587649699</v>
      </c>
      <c r="AF29">
        <f t="shared" si="22"/>
        <v>-4.9998318189568387</v>
      </c>
      <c r="AG29">
        <v>259</v>
      </c>
      <c r="AH29">
        <v>52</v>
      </c>
      <c r="AI29">
        <f t="shared" si="23"/>
        <v>1</v>
      </c>
      <c r="AJ29">
        <f t="shared" si="24"/>
        <v>0</v>
      </c>
      <c r="AK29">
        <f t="shared" si="25"/>
        <v>52125.875896934216</v>
      </c>
      <c r="AL29" t="s">
        <v>415</v>
      </c>
      <c r="AM29">
        <v>10238.9</v>
      </c>
      <c r="AN29">
        <v>302.21199999999999</v>
      </c>
      <c r="AO29">
        <v>4052.3</v>
      </c>
      <c r="AP29">
        <f t="shared" si="26"/>
        <v>0.92542210596451402</v>
      </c>
      <c r="AQ29">
        <v>-0.32343011824092421</v>
      </c>
      <c r="AR29" t="s">
        <v>474</v>
      </c>
      <c r="AS29">
        <v>7113.65</v>
      </c>
      <c r="AT29">
        <v>642.78234615384622</v>
      </c>
      <c r="AU29">
        <v>701.97645328875319</v>
      </c>
      <c r="AV29">
        <f t="shared" si="27"/>
        <v>8.4324918389474646E-2</v>
      </c>
      <c r="AW29">
        <v>0.5</v>
      </c>
      <c r="AX29">
        <f t="shared" si="28"/>
        <v>1513.1937002173036</v>
      </c>
      <c r="AY29">
        <f t="shared" si="29"/>
        <v>4.2257976324084714</v>
      </c>
      <c r="AZ29">
        <f t="shared" si="30"/>
        <v>63.799967639145642</v>
      </c>
      <c r="BA29">
        <f t="shared" si="31"/>
        <v>3.006375026538968E-3</v>
      </c>
      <c r="BB29">
        <f t="shared" si="32"/>
        <v>4.7727007523044573</v>
      </c>
      <c r="BC29">
        <f t="shared" si="33"/>
        <v>222.88040195832284</v>
      </c>
      <c r="BD29" t="s">
        <v>475</v>
      </c>
      <c r="BE29">
        <v>444.75</v>
      </c>
      <c r="BF29">
        <f t="shared" si="34"/>
        <v>444.75</v>
      </c>
      <c r="BG29">
        <f t="shared" si="35"/>
        <v>0.3664317401013234</v>
      </c>
      <c r="BH29">
        <f t="shared" si="36"/>
        <v>0.23012449294419104</v>
      </c>
      <c r="BI29">
        <f t="shared" si="37"/>
        <v>0.92869774409536865</v>
      </c>
      <c r="BJ29">
        <f t="shared" si="38"/>
        <v>0.14807246279135922</v>
      </c>
      <c r="BK29">
        <f t="shared" si="39"/>
        <v>0.89339864736807428</v>
      </c>
      <c r="BL29">
        <f t="shared" si="40"/>
        <v>0.15922632108572657</v>
      </c>
      <c r="BM29">
        <f t="shared" si="41"/>
        <v>0.84077367891427346</v>
      </c>
      <c r="BN29">
        <v>34431</v>
      </c>
      <c r="BO29">
        <v>290.00000000000011</v>
      </c>
      <c r="BP29">
        <v>684.63</v>
      </c>
      <c r="BQ29">
        <v>195</v>
      </c>
      <c r="BR29">
        <v>7113.65</v>
      </c>
      <c r="BS29">
        <v>685.22</v>
      </c>
      <c r="BT29">
        <v>-0.59</v>
      </c>
      <c r="BU29">
        <v>300.00000000000011</v>
      </c>
      <c r="BV29">
        <v>38.299999999999997</v>
      </c>
      <c r="BW29">
        <v>701.97645328875319</v>
      </c>
      <c r="BX29">
        <v>1.0218184503713279</v>
      </c>
      <c r="BY29">
        <v>-11.92070515069627</v>
      </c>
      <c r="BZ29">
        <v>0.60908690979476099</v>
      </c>
      <c r="CA29">
        <v>0.93188028902456599</v>
      </c>
      <c r="CB29">
        <v>-7.0087857619577391E-3</v>
      </c>
      <c r="CC29">
        <v>289.99999999999989</v>
      </c>
      <c r="CD29">
        <v>684.82</v>
      </c>
      <c r="CE29">
        <v>665</v>
      </c>
      <c r="CF29">
        <v>7106.8</v>
      </c>
      <c r="CG29">
        <v>685.2</v>
      </c>
      <c r="CH29">
        <v>-0.38</v>
      </c>
      <c r="CV29">
        <f t="shared" si="42"/>
        <v>1800.01</v>
      </c>
      <c r="CW29">
        <f t="shared" si="43"/>
        <v>1513.1937002173036</v>
      </c>
      <c r="CX29">
        <f t="shared" si="44"/>
        <v>0.84065849646241053</v>
      </c>
      <c r="CY29">
        <f t="shared" si="45"/>
        <v>0.16087089817245256</v>
      </c>
      <c r="CZ29">
        <v>5</v>
      </c>
      <c r="DA29">
        <v>0.5</v>
      </c>
      <c r="DB29" t="s">
        <v>418</v>
      </c>
      <c r="DC29">
        <v>2</v>
      </c>
      <c r="DD29">
        <v>1700149823.5999999</v>
      </c>
      <c r="DE29">
        <v>25.612300000000001</v>
      </c>
      <c r="DF29">
        <v>29.996200000000002</v>
      </c>
      <c r="DG29">
        <v>27.818300000000001</v>
      </c>
      <c r="DH29">
        <v>21.765799999999999</v>
      </c>
      <c r="DI29">
        <v>25.910599999999999</v>
      </c>
      <c r="DJ29">
        <v>27.478300000000001</v>
      </c>
      <c r="DK29">
        <v>500.16</v>
      </c>
      <c r="DL29">
        <v>99.646199999999993</v>
      </c>
      <c r="DM29">
        <v>0.100268</v>
      </c>
      <c r="DN29">
        <v>29.883600000000001</v>
      </c>
      <c r="DO29">
        <v>29.9937</v>
      </c>
      <c r="DP29">
        <v>999.9</v>
      </c>
      <c r="DQ29">
        <v>0</v>
      </c>
      <c r="DR29">
        <v>0</v>
      </c>
      <c r="DS29">
        <v>9987.5</v>
      </c>
      <c r="DT29">
        <v>0</v>
      </c>
      <c r="DU29">
        <v>466.786</v>
      </c>
      <c r="DV29">
        <v>-4.3839199999999998</v>
      </c>
      <c r="DW29">
        <v>26.345099999999999</v>
      </c>
      <c r="DX29">
        <v>30.663599999999999</v>
      </c>
      <c r="DY29">
        <v>6.0524199999999997</v>
      </c>
      <c r="DZ29">
        <v>29.996200000000002</v>
      </c>
      <c r="EA29">
        <v>21.765799999999999</v>
      </c>
      <c r="EB29">
        <v>2.7719800000000001</v>
      </c>
      <c r="EC29">
        <v>2.1688800000000001</v>
      </c>
      <c r="ED29">
        <v>22.7182</v>
      </c>
      <c r="EE29">
        <v>18.734300000000001</v>
      </c>
      <c r="EF29">
        <v>1800.01</v>
      </c>
      <c r="EG29">
        <v>0.977989</v>
      </c>
      <c r="EH29">
        <v>2.20114E-2</v>
      </c>
      <c r="EI29">
        <v>0</v>
      </c>
      <c r="EJ29">
        <v>642.69799999999998</v>
      </c>
      <c r="EK29">
        <v>4.9996700000000001</v>
      </c>
      <c r="EL29">
        <v>14661.7</v>
      </c>
      <c r="EM29">
        <v>15046.8</v>
      </c>
      <c r="EN29">
        <v>50.375</v>
      </c>
      <c r="EO29">
        <v>51.5</v>
      </c>
      <c r="EP29">
        <v>51.186999999999998</v>
      </c>
      <c r="EQ29">
        <v>51.186999999999998</v>
      </c>
      <c r="ER29">
        <v>51.75</v>
      </c>
      <c r="ES29">
        <v>1755.5</v>
      </c>
      <c r="ET29">
        <v>39.51</v>
      </c>
      <c r="EU29">
        <v>0</v>
      </c>
      <c r="EV29">
        <v>204.60000014305109</v>
      </c>
      <c r="EW29">
        <v>0</v>
      </c>
      <c r="EX29">
        <v>642.78234615384622</v>
      </c>
      <c r="EY29">
        <v>-0.83367520980340304</v>
      </c>
      <c r="EZ29">
        <v>1081.299145480589</v>
      </c>
      <c r="FA29">
        <v>14514.40769230769</v>
      </c>
      <c r="FB29">
        <v>15</v>
      </c>
      <c r="FC29">
        <v>1700149792.5999999</v>
      </c>
      <c r="FD29" t="s">
        <v>476</v>
      </c>
      <c r="FE29">
        <v>1700149792.5999999</v>
      </c>
      <c r="FF29">
        <v>1700149785.0999999</v>
      </c>
      <c r="FG29">
        <v>14</v>
      </c>
      <c r="FH29">
        <v>7.0000000000000001E-3</v>
      </c>
      <c r="FI29">
        <v>-3.0000000000000001E-3</v>
      </c>
      <c r="FJ29">
        <v>-0.29599999999999999</v>
      </c>
      <c r="FK29">
        <v>0.26900000000000002</v>
      </c>
      <c r="FL29">
        <v>30</v>
      </c>
      <c r="FM29">
        <v>22</v>
      </c>
      <c r="FN29">
        <v>0.31</v>
      </c>
      <c r="FO29">
        <v>0.01</v>
      </c>
      <c r="FP29">
        <v>4.2365463852082534</v>
      </c>
      <c r="FQ29">
        <v>-3.1296265595860688E-3</v>
      </c>
      <c r="FR29">
        <v>1.089409103508578E-2</v>
      </c>
      <c r="FS29">
        <v>1</v>
      </c>
      <c r="FT29">
        <v>0.43823729017180391</v>
      </c>
      <c r="FU29">
        <v>3.2519743131250008E-2</v>
      </c>
      <c r="FV29">
        <v>3.9372473305334206E-3</v>
      </c>
      <c r="FW29">
        <v>1</v>
      </c>
      <c r="FX29">
        <v>2</v>
      </c>
      <c r="FY29">
        <v>2</v>
      </c>
      <c r="FZ29" t="s">
        <v>420</v>
      </c>
      <c r="GA29">
        <v>3.0134300000000001</v>
      </c>
      <c r="GB29">
        <v>2.77725</v>
      </c>
      <c r="GC29">
        <v>7.0132900000000001E-3</v>
      </c>
      <c r="GD29">
        <v>8.1861999999999994E-3</v>
      </c>
      <c r="GE29">
        <v>0.12656000000000001</v>
      </c>
      <c r="GF29">
        <v>0.107863</v>
      </c>
      <c r="GG29">
        <v>23683.5</v>
      </c>
      <c r="GH29">
        <v>24446.799999999999</v>
      </c>
      <c r="GI29">
        <v>23630.2</v>
      </c>
      <c r="GJ29">
        <v>24319.5</v>
      </c>
      <c r="GK29">
        <v>30534.3</v>
      </c>
      <c r="GL29">
        <v>31110.799999999999</v>
      </c>
      <c r="GM29">
        <v>38703</v>
      </c>
      <c r="GN29">
        <v>38724.800000000003</v>
      </c>
      <c r="GO29">
        <v>1.40737</v>
      </c>
      <c r="GP29">
        <v>1.7844500000000001</v>
      </c>
      <c r="GQ29">
        <v>4.0613099999999999E-2</v>
      </c>
      <c r="GR29">
        <v>0</v>
      </c>
      <c r="GS29">
        <v>29.3324</v>
      </c>
      <c r="GT29">
        <v>999.9</v>
      </c>
      <c r="GU29">
        <v>50.8</v>
      </c>
      <c r="GV29">
        <v>36.6</v>
      </c>
      <c r="GW29">
        <v>31.4467</v>
      </c>
      <c r="GX29">
        <v>61.2639</v>
      </c>
      <c r="GY29">
        <v>30.793299999999999</v>
      </c>
      <c r="GZ29">
        <v>1</v>
      </c>
      <c r="HA29">
        <v>0.74946599999999997</v>
      </c>
      <c r="HB29">
        <v>3.3728199999999999</v>
      </c>
      <c r="HC29">
        <v>20.292899999999999</v>
      </c>
      <c r="HD29">
        <v>5.2436499999999997</v>
      </c>
      <c r="HE29">
        <v>11.997999999999999</v>
      </c>
      <c r="HF29">
        <v>4.9633500000000002</v>
      </c>
      <c r="HG29">
        <v>3.3008799999999998</v>
      </c>
      <c r="HH29">
        <v>9999</v>
      </c>
      <c r="HI29">
        <v>9999</v>
      </c>
      <c r="HJ29">
        <v>9999</v>
      </c>
      <c r="HK29">
        <v>999.9</v>
      </c>
      <c r="HL29">
        <v>1.87483</v>
      </c>
      <c r="HM29">
        <v>1.88019</v>
      </c>
      <c r="HN29">
        <v>1.8802000000000001</v>
      </c>
      <c r="HO29">
        <v>1.8789499999999999</v>
      </c>
      <c r="HP29">
        <v>1.8812800000000001</v>
      </c>
      <c r="HQ29">
        <v>1.8771500000000001</v>
      </c>
      <c r="HR29">
        <v>1.8749</v>
      </c>
      <c r="HS29">
        <v>1.8821699999999999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-0.29799999999999999</v>
      </c>
      <c r="IH29">
        <v>0.34</v>
      </c>
      <c r="II29">
        <v>-0.31577140616171412</v>
      </c>
      <c r="IJ29">
        <v>7.0786345690369205E-4</v>
      </c>
      <c r="IK29">
        <v>-1.387476646623666E-6</v>
      </c>
      <c r="IL29">
        <v>3.6592443641472651E-10</v>
      </c>
      <c r="IM29">
        <v>0.33995577822601841</v>
      </c>
      <c r="IN29">
        <v>0</v>
      </c>
      <c r="IO29">
        <v>0</v>
      </c>
      <c r="IP29">
        <v>0</v>
      </c>
      <c r="IQ29">
        <v>2</v>
      </c>
      <c r="IR29">
        <v>2142</v>
      </c>
      <c r="IS29">
        <v>1</v>
      </c>
      <c r="IT29">
        <v>24</v>
      </c>
      <c r="IU29">
        <v>0.5</v>
      </c>
      <c r="IV29">
        <v>0.6</v>
      </c>
      <c r="IW29">
        <v>0.21850600000000001</v>
      </c>
      <c r="IX29">
        <v>2.6989700000000001</v>
      </c>
      <c r="IY29">
        <v>1.5490699999999999</v>
      </c>
      <c r="IZ29">
        <v>2.3645</v>
      </c>
      <c r="JA29">
        <v>1.5966800000000001</v>
      </c>
      <c r="JB29">
        <v>2.2204600000000001</v>
      </c>
      <c r="JC29">
        <v>41.144599999999997</v>
      </c>
      <c r="JD29">
        <v>24.113800000000001</v>
      </c>
      <c r="JE29">
        <v>18</v>
      </c>
      <c r="JF29">
        <v>229.846</v>
      </c>
      <c r="JG29">
        <v>454.10399999999998</v>
      </c>
      <c r="JH29">
        <v>26.367799999999999</v>
      </c>
      <c r="JI29">
        <v>36.3521</v>
      </c>
      <c r="JJ29">
        <v>30</v>
      </c>
      <c r="JK29">
        <v>36.311</v>
      </c>
      <c r="JL29">
        <v>36.270299999999999</v>
      </c>
      <c r="JM29">
        <v>4.3686999999999996</v>
      </c>
      <c r="JN29">
        <v>33.938000000000002</v>
      </c>
      <c r="JO29">
        <v>24.189900000000002</v>
      </c>
      <c r="JP29">
        <v>26.375900000000001</v>
      </c>
      <c r="JQ29">
        <v>30</v>
      </c>
      <c r="JR29">
        <v>21.688500000000001</v>
      </c>
      <c r="JS29">
        <v>98.014600000000002</v>
      </c>
      <c r="JT29">
        <v>98.921800000000005</v>
      </c>
    </row>
    <row r="30" spans="1:280" x14ac:dyDescent="0.25">
      <c r="A30">
        <v>14</v>
      </c>
      <c r="B30">
        <v>1700149934.0999999</v>
      </c>
      <c r="C30">
        <v>2078.099999904633</v>
      </c>
      <c r="D30" t="s">
        <v>477</v>
      </c>
      <c r="E30" t="s">
        <v>478</v>
      </c>
      <c r="F30" t="s">
        <v>412</v>
      </c>
      <c r="G30" t="s">
        <v>413</v>
      </c>
      <c r="H30" t="s">
        <v>414</v>
      </c>
      <c r="I30">
        <v>1700149934.0999999</v>
      </c>
      <c r="J30">
        <f t="shared" si="0"/>
        <v>6.2444828456367056E-3</v>
      </c>
      <c r="K30">
        <f t="shared" si="1"/>
        <v>6.2444828456367052</v>
      </c>
      <c r="L30">
        <f t="shared" si="2"/>
        <v>1.3354179215620086</v>
      </c>
      <c r="M30">
        <f t="shared" si="3"/>
        <v>8.6396099999999993</v>
      </c>
      <c r="N30">
        <f t="shared" si="4"/>
        <v>3.2718022825860347</v>
      </c>
      <c r="O30">
        <f t="shared" si="5"/>
        <v>0.32633709462578792</v>
      </c>
      <c r="P30">
        <f t="shared" si="6"/>
        <v>0.86173459842182998</v>
      </c>
      <c r="Q30">
        <f t="shared" si="7"/>
        <v>0.43606185529893898</v>
      </c>
      <c r="R30">
        <f t="shared" si="8"/>
        <v>3.1363012031730579</v>
      </c>
      <c r="S30">
        <f t="shared" si="9"/>
        <v>0.40496340678286147</v>
      </c>
      <c r="T30">
        <f t="shared" si="10"/>
        <v>0.25571113919412969</v>
      </c>
      <c r="U30">
        <f t="shared" si="11"/>
        <v>289.5616834191934</v>
      </c>
      <c r="V30">
        <f t="shared" si="12"/>
        <v>29.970217029604679</v>
      </c>
      <c r="W30">
        <f t="shared" si="13"/>
        <v>30.034099999999999</v>
      </c>
      <c r="X30">
        <f t="shared" si="14"/>
        <v>4.2688017390458501</v>
      </c>
      <c r="Y30">
        <f t="shared" si="15"/>
        <v>65.780109530938262</v>
      </c>
      <c r="Z30">
        <f t="shared" si="16"/>
        <v>2.7851741462811002</v>
      </c>
      <c r="AA30">
        <f t="shared" si="17"/>
        <v>4.2340673588741184</v>
      </c>
      <c r="AB30">
        <f t="shared" si="18"/>
        <v>1.48362759276475</v>
      </c>
      <c r="AC30">
        <f t="shared" si="19"/>
        <v>-275.38169349257873</v>
      </c>
      <c r="AD30">
        <f t="shared" si="20"/>
        <v>-24.04378326018908</v>
      </c>
      <c r="AE30">
        <f t="shared" si="21"/>
        <v>-1.7039821824910517</v>
      </c>
      <c r="AF30">
        <f t="shared" si="22"/>
        <v>-11.567775516065488</v>
      </c>
      <c r="AG30">
        <v>259</v>
      </c>
      <c r="AH30">
        <v>52</v>
      </c>
      <c r="AI30">
        <f t="shared" si="23"/>
        <v>1</v>
      </c>
      <c r="AJ30">
        <f t="shared" si="24"/>
        <v>0</v>
      </c>
      <c r="AK30">
        <f t="shared" si="25"/>
        <v>52153.64619359708</v>
      </c>
      <c r="AL30" t="s">
        <v>426</v>
      </c>
      <c r="AM30" t="s">
        <v>426</v>
      </c>
      <c r="AN30">
        <v>0</v>
      </c>
      <c r="AO30">
        <v>0</v>
      </c>
      <c r="AP30" t="e">
        <f t="shared" si="26"/>
        <v>#DIV/0!</v>
      </c>
      <c r="AQ30">
        <v>0</v>
      </c>
      <c r="AR30" t="s">
        <v>426</v>
      </c>
      <c r="AS30" t="s">
        <v>426</v>
      </c>
      <c r="AT30">
        <v>0</v>
      </c>
      <c r="AU30">
        <v>0</v>
      </c>
      <c r="AV30" t="e">
        <f t="shared" si="27"/>
        <v>#DIV/0!</v>
      </c>
      <c r="AW30">
        <v>0.5</v>
      </c>
      <c r="AX30">
        <f t="shared" si="28"/>
        <v>1513.1595002171987</v>
      </c>
      <c r="AY30">
        <f t="shared" si="29"/>
        <v>1.3354179215620086</v>
      </c>
      <c r="AZ30" t="e">
        <f t="shared" si="30"/>
        <v>#DIV/0!</v>
      </c>
      <c r="BA30">
        <f t="shared" si="31"/>
        <v>8.8253612482380272E-4</v>
      </c>
      <c r="BB30" t="e">
        <f t="shared" si="32"/>
        <v>#DIV/0!</v>
      </c>
      <c r="BC30" t="e">
        <f t="shared" si="33"/>
        <v>#DIV/0!</v>
      </c>
      <c r="BD30" t="s">
        <v>426</v>
      </c>
      <c r="BE30">
        <v>0</v>
      </c>
      <c r="BF30" t="e">
        <f t="shared" si="34"/>
        <v>#DIV/0!</v>
      </c>
      <c r="BG30" t="e">
        <f t="shared" si="35"/>
        <v>#DIV/0!</v>
      </c>
      <c r="BH30" t="e">
        <f t="shared" si="36"/>
        <v>#DIV/0!</v>
      </c>
      <c r="BI30" t="e">
        <f t="shared" si="37"/>
        <v>#DIV/0!</v>
      </c>
      <c r="BJ30" t="e">
        <f t="shared" si="38"/>
        <v>#DIV/0!</v>
      </c>
      <c r="BK30" t="e">
        <f t="shared" si="39"/>
        <v>#DIV/0!</v>
      </c>
      <c r="BL30" t="e">
        <f t="shared" si="40"/>
        <v>#DIV/0!</v>
      </c>
      <c r="BM30" t="e">
        <f t="shared" si="41"/>
        <v>#DIV/0!</v>
      </c>
      <c r="BN30">
        <v>34431</v>
      </c>
      <c r="BO30">
        <v>290.00000000000011</v>
      </c>
      <c r="BP30">
        <v>684.63</v>
      </c>
      <c r="BQ30">
        <v>195</v>
      </c>
      <c r="BR30">
        <v>7113.65</v>
      </c>
      <c r="BS30">
        <v>685.22</v>
      </c>
      <c r="BT30">
        <v>-0.59</v>
      </c>
      <c r="BU30">
        <v>300.00000000000011</v>
      </c>
      <c r="BV30">
        <v>38.299999999999997</v>
      </c>
      <c r="BW30">
        <v>701.97645328875319</v>
      </c>
      <c r="BX30">
        <v>1.0218184503713279</v>
      </c>
      <c r="BY30">
        <v>-11.92070515069627</v>
      </c>
      <c r="BZ30">
        <v>0.60908690979476099</v>
      </c>
      <c r="CA30">
        <v>0.93188028902456599</v>
      </c>
      <c r="CB30">
        <v>-7.0087857619577391E-3</v>
      </c>
      <c r="CC30">
        <v>289.99999999999989</v>
      </c>
      <c r="CD30">
        <v>684.82</v>
      </c>
      <c r="CE30">
        <v>665</v>
      </c>
      <c r="CF30">
        <v>7106.8</v>
      </c>
      <c r="CG30">
        <v>685.2</v>
      </c>
      <c r="CH30">
        <v>-0.38</v>
      </c>
      <c r="CV30">
        <f t="shared" si="42"/>
        <v>1799.97</v>
      </c>
      <c r="CW30">
        <f t="shared" si="43"/>
        <v>1513.1595002171987</v>
      </c>
      <c r="CX30">
        <f t="shared" si="44"/>
        <v>0.84065817775696183</v>
      </c>
      <c r="CY30">
        <f t="shared" si="45"/>
        <v>0.1608702830709364</v>
      </c>
      <c r="CZ30">
        <v>5</v>
      </c>
      <c r="DA30">
        <v>0.5</v>
      </c>
      <c r="DB30" t="s">
        <v>418</v>
      </c>
      <c r="DC30">
        <v>2</v>
      </c>
      <c r="DD30">
        <v>1700149934.0999999</v>
      </c>
      <c r="DE30">
        <v>8.6396099999999993</v>
      </c>
      <c r="DF30">
        <v>10.028700000000001</v>
      </c>
      <c r="DG30">
        <v>27.9237</v>
      </c>
      <c r="DH30">
        <v>21.854800000000001</v>
      </c>
      <c r="DI30">
        <v>8.9964300000000001</v>
      </c>
      <c r="DJ30">
        <v>27.576899999999998</v>
      </c>
      <c r="DK30">
        <v>500.1</v>
      </c>
      <c r="DL30">
        <v>99.642200000000003</v>
      </c>
      <c r="DM30">
        <v>0.100103</v>
      </c>
      <c r="DN30">
        <v>29.8919</v>
      </c>
      <c r="DO30">
        <v>30.034099999999999</v>
      </c>
      <c r="DP30">
        <v>999.9</v>
      </c>
      <c r="DQ30">
        <v>0</v>
      </c>
      <c r="DR30">
        <v>0</v>
      </c>
      <c r="DS30">
        <v>9993.75</v>
      </c>
      <c r="DT30">
        <v>0</v>
      </c>
      <c r="DU30">
        <v>468.017</v>
      </c>
      <c r="DV30">
        <v>-1.3890800000000001</v>
      </c>
      <c r="DW30">
        <v>8.8877900000000007</v>
      </c>
      <c r="DX30">
        <v>10.252800000000001</v>
      </c>
      <c r="DY30">
        <v>6.0689099999999998</v>
      </c>
      <c r="DZ30">
        <v>10.028700000000001</v>
      </c>
      <c r="EA30">
        <v>21.854800000000001</v>
      </c>
      <c r="EB30">
        <v>2.7823799999999999</v>
      </c>
      <c r="EC30">
        <v>2.1776599999999999</v>
      </c>
      <c r="ED30">
        <v>22.779900000000001</v>
      </c>
      <c r="EE30">
        <v>18.7989</v>
      </c>
      <c r="EF30">
        <v>1799.97</v>
      </c>
      <c r="EG30">
        <v>0.97800200000000004</v>
      </c>
      <c r="EH30">
        <v>2.1997800000000001E-2</v>
      </c>
      <c r="EI30">
        <v>0</v>
      </c>
      <c r="EJ30">
        <v>650.94100000000003</v>
      </c>
      <c r="EK30">
        <v>4.9996700000000001</v>
      </c>
      <c r="EL30">
        <v>17312.3</v>
      </c>
      <c r="EM30">
        <v>15046.5</v>
      </c>
      <c r="EN30">
        <v>50.25</v>
      </c>
      <c r="EO30">
        <v>51.311999999999998</v>
      </c>
      <c r="EP30">
        <v>51.061999999999998</v>
      </c>
      <c r="EQ30">
        <v>51.061999999999998</v>
      </c>
      <c r="ER30">
        <v>51.625</v>
      </c>
      <c r="ES30">
        <v>1755.48</v>
      </c>
      <c r="ET30">
        <v>39.49</v>
      </c>
      <c r="EU30">
        <v>0</v>
      </c>
      <c r="EV30">
        <v>108.7999999523163</v>
      </c>
      <c r="EW30">
        <v>0</v>
      </c>
      <c r="EX30">
        <v>651.02750000000003</v>
      </c>
      <c r="EY30">
        <v>0.60358974273708599</v>
      </c>
      <c r="EZ30">
        <v>1039.1418809516611</v>
      </c>
      <c r="FA30">
        <v>17193.373076923079</v>
      </c>
      <c r="FB30">
        <v>15</v>
      </c>
      <c r="FC30">
        <v>1700149902.5999999</v>
      </c>
      <c r="FD30" t="s">
        <v>479</v>
      </c>
      <c r="FE30">
        <v>1700149892.5999999</v>
      </c>
      <c r="FF30">
        <v>1700149902.5999999</v>
      </c>
      <c r="FG30">
        <v>15</v>
      </c>
      <c r="FH30">
        <v>-4.7E-2</v>
      </c>
      <c r="FI30">
        <v>7.0000000000000001E-3</v>
      </c>
      <c r="FJ30">
        <v>-0.35599999999999998</v>
      </c>
      <c r="FK30">
        <v>0.26700000000000002</v>
      </c>
      <c r="FL30">
        <v>10</v>
      </c>
      <c r="FM30">
        <v>22</v>
      </c>
      <c r="FN30">
        <v>0.27</v>
      </c>
      <c r="FO30">
        <v>0.02</v>
      </c>
      <c r="FP30">
        <v>1.31978876704128</v>
      </c>
      <c r="FQ30">
        <v>-6.1462918124518873E-2</v>
      </c>
      <c r="FR30">
        <v>1.8409429073238989E-2</v>
      </c>
      <c r="FS30">
        <v>1</v>
      </c>
      <c r="FT30">
        <v>0.43410407649062649</v>
      </c>
      <c r="FU30">
        <v>4.2764659519838898E-2</v>
      </c>
      <c r="FV30">
        <v>5.0863641174006373E-3</v>
      </c>
      <c r="FW30">
        <v>1</v>
      </c>
      <c r="FX30">
        <v>2</v>
      </c>
      <c r="FY30">
        <v>2</v>
      </c>
      <c r="FZ30" t="s">
        <v>420</v>
      </c>
      <c r="GA30">
        <v>3.0132500000000002</v>
      </c>
      <c r="GB30">
        <v>2.7771300000000001</v>
      </c>
      <c r="GC30">
        <v>2.4443099999999999E-3</v>
      </c>
      <c r="GD30">
        <v>2.7501399999999999E-3</v>
      </c>
      <c r="GE30">
        <v>0.12687000000000001</v>
      </c>
      <c r="GF30">
        <v>0.108167</v>
      </c>
      <c r="GG30">
        <v>23794.5</v>
      </c>
      <c r="GH30">
        <v>24582</v>
      </c>
      <c r="GI30">
        <v>23632.400000000001</v>
      </c>
      <c r="GJ30">
        <v>24320.9</v>
      </c>
      <c r="GK30">
        <v>30526.1</v>
      </c>
      <c r="GL30">
        <v>31102.1</v>
      </c>
      <c r="GM30">
        <v>38706.400000000001</v>
      </c>
      <c r="GN30">
        <v>38727.1</v>
      </c>
      <c r="GO30">
        <v>1.4059999999999999</v>
      </c>
      <c r="GP30">
        <v>1.78305</v>
      </c>
      <c r="GQ30">
        <v>3.4008200000000002E-2</v>
      </c>
      <c r="GR30">
        <v>0</v>
      </c>
      <c r="GS30">
        <v>29.480499999999999</v>
      </c>
      <c r="GT30">
        <v>999.9</v>
      </c>
      <c r="GU30">
        <v>49.8</v>
      </c>
      <c r="GV30">
        <v>36.9</v>
      </c>
      <c r="GW30">
        <v>31.3399</v>
      </c>
      <c r="GX30">
        <v>61.173900000000003</v>
      </c>
      <c r="GY30">
        <v>30.613</v>
      </c>
      <c r="GZ30">
        <v>1</v>
      </c>
      <c r="HA30">
        <v>0.75434999999999997</v>
      </c>
      <c r="HB30">
        <v>4.5811200000000003</v>
      </c>
      <c r="HC30">
        <v>20.261600000000001</v>
      </c>
      <c r="HD30">
        <v>5.2435</v>
      </c>
      <c r="HE30">
        <v>11.997999999999999</v>
      </c>
      <c r="HF30">
        <v>4.96305</v>
      </c>
      <c r="HG30">
        <v>3.3005499999999999</v>
      </c>
      <c r="HH30">
        <v>9999</v>
      </c>
      <c r="HI30">
        <v>9999</v>
      </c>
      <c r="HJ30">
        <v>9999</v>
      </c>
      <c r="HK30">
        <v>999.9</v>
      </c>
      <c r="HL30">
        <v>1.87476</v>
      </c>
      <c r="HM30">
        <v>1.88019</v>
      </c>
      <c r="HN30">
        <v>1.8802000000000001</v>
      </c>
      <c r="HO30">
        <v>1.87893</v>
      </c>
      <c r="HP30">
        <v>1.8812599999999999</v>
      </c>
      <c r="HQ30">
        <v>1.87714</v>
      </c>
      <c r="HR30">
        <v>1.8748899999999999</v>
      </c>
      <c r="HS30">
        <v>1.8821600000000001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-0.35699999999999998</v>
      </c>
      <c r="IH30">
        <v>0.3468</v>
      </c>
      <c r="II30">
        <v>-0.36306966195006007</v>
      </c>
      <c r="IJ30">
        <v>7.0786345690369205E-4</v>
      </c>
      <c r="IK30">
        <v>-1.387476646623666E-6</v>
      </c>
      <c r="IL30">
        <v>3.6592443641472651E-10</v>
      </c>
      <c r="IM30">
        <v>0.34676528585025163</v>
      </c>
      <c r="IN30">
        <v>0</v>
      </c>
      <c r="IO30">
        <v>0</v>
      </c>
      <c r="IP30">
        <v>0</v>
      </c>
      <c r="IQ30">
        <v>2</v>
      </c>
      <c r="IR30">
        <v>2142</v>
      </c>
      <c r="IS30">
        <v>1</v>
      </c>
      <c r="IT30">
        <v>24</v>
      </c>
      <c r="IU30">
        <v>0.7</v>
      </c>
      <c r="IV30">
        <v>0.5</v>
      </c>
      <c r="IW30">
        <v>0.17578099999999999</v>
      </c>
      <c r="IX30">
        <v>2.7050800000000002</v>
      </c>
      <c r="IY30">
        <v>1.5490699999999999</v>
      </c>
      <c r="IZ30">
        <v>2.3645</v>
      </c>
      <c r="JA30">
        <v>1.5966800000000001</v>
      </c>
      <c r="JB30">
        <v>2.3803700000000001</v>
      </c>
      <c r="JC30">
        <v>41.378100000000003</v>
      </c>
      <c r="JD30">
        <v>24.105</v>
      </c>
      <c r="JE30">
        <v>18</v>
      </c>
      <c r="JF30">
        <v>229.322</v>
      </c>
      <c r="JG30">
        <v>453.18900000000002</v>
      </c>
      <c r="JH30">
        <v>25.598500000000001</v>
      </c>
      <c r="JI30">
        <v>36.314900000000002</v>
      </c>
      <c r="JJ30">
        <v>30.0002</v>
      </c>
      <c r="JK30">
        <v>36.303800000000003</v>
      </c>
      <c r="JL30">
        <v>36.270299999999999</v>
      </c>
      <c r="JM30">
        <v>3.5017399999999999</v>
      </c>
      <c r="JN30">
        <v>33.018799999999999</v>
      </c>
      <c r="JO30">
        <v>21.068300000000001</v>
      </c>
      <c r="JP30">
        <v>25.566700000000001</v>
      </c>
      <c r="JQ30">
        <v>10</v>
      </c>
      <c r="JR30">
        <v>21.754000000000001</v>
      </c>
      <c r="JS30">
        <v>98.023499999999999</v>
      </c>
      <c r="JT30">
        <v>98.927700000000002</v>
      </c>
    </row>
    <row r="31" spans="1:280" x14ac:dyDescent="0.25">
      <c r="A31">
        <v>15</v>
      </c>
      <c r="B31">
        <v>1700151428.5</v>
      </c>
      <c r="C31">
        <v>3572.5</v>
      </c>
      <c r="D31" t="s">
        <v>480</v>
      </c>
      <c r="E31" t="s">
        <v>481</v>
      </c>
      <c r="F31" t="s">
        <v>412</v>
      </c>
      <c r="G31" t="s">
        <v>482</v>
      </c>
      <c r="H31" t="s">
        <v>31</v>
      </c>
      <c r="I31">
        <v>1700151428.5</v>
      </c>
      <c r="J31">
        <f t="shared" si="0"/>
        <v>4.5061811510267872E-3</v>
      </c>
      <c r="K31">
        <f t="shared" si="1"/>
        <v>4.5061811510267873</v>
      </c>
      <c r="L31">
        <f t="shared" si="2"/>
        <v>44.023095093110634</v>
      </c>
      <c r="M31">
        <f t="shared" si="3"/>
        <v>395.29599999999999</v>
      </c>
      <c r="N31">
        <f t="shared" si="4"/>
        <v>127.62942757655117</v>
      </c>
      <c r="O31">
        <f t="shared" si="5"/>
        <v>12.719444568377359</v>
      </c>
      <c r="P31">
        <f t="shared" si="6"/>
        <v>39.394876679875196</v>
      </c>
      <c r="Q31">
        <f t="shared" si="7"/>
        <v>0.28255976286201678</v>
      </c>
      <c r="R31">
        <f t="shared" si="8"/>
        <v>2.9266740040448953</v>
      </c>
      <c r="S31">
        <f t="shared" si="9"/>
        <v>0.26823183975571913</v>
      </c>
      <c r="T31">
        <f t="shared" si="10"/>
        <v>0.16887164144714784</v>
      </c>
      <c r="U31">
        <f t="shared" si="11"/>
        <v>289.54093541922362</v>
      </c>
      <c r="V31">
        <f t="shared" si="12"/>
        <v>29.624288471715595</v>
      </c>
      <c r="W31">
        <f t="shared" si="13"/>
        <v>29.973800000000001</v>
      </c>
      <c r="X31">
        <f t="shared" si="14"/>
        <v>4.2540423966843264</v>
      </c>
      <c r="Y31">
        <f t="shared" si="15"/>
        <v>65.248706006283214</v>
      </c>
      <c r="Z31">
        <f t="shared" si="16"/>
        <v>2.6376995468246403</v>
      </c>
      <c r="AA31">
        <f t="shared" si="17"/>
        <v>4.0425315815008496</v>
      </c>
      <c r="AB31">
        <f t="shared" si="18"/>
        <v>1.6163428498596861</v>
      </c>
      <c r="AC31">
        <f t="shared" si="19"/>
        <v>-198.72258876028133</v>
      </c>
      <c r="AD31">
        <f t="shared" si="20"/>
        <v>-139.60626471208965</v>
      </c>
      <c r="AE31">
        <f t="shared" si="21"/>
        <v>-10.557329230117176</v>
      </c>
      <c r="AF31">
        <f t="shared" si="22"/>
        <v>-59.345247283264513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52267.614187832871</v>
      </c>
      <c r="AL31" t="s">
        <v>415</v>
      </c>
      <c r="AM31">
        <v>10238.9</v>
      </c>
      <c r="AN31">
        <v>302.21199999999999</v>
      </c>
      <c r="AO31">
        <v>4052.3</v>
      </c>
      <c r="AP31">
        <f t="shared" si="26"/>
        <v>0.92542210596451402</v>
      </c>
      <c r="AQ31">
        <v>-0.32343011824092421</v>
      </c>
      <c r="AR31" t="s">
        <v>483</v>
      </c>
      <c r="AS31">
        <v>7087.3</v>
      </c>
      <c r="AT31">
        <v>762.59234615384605</v>
      </c>
      <c r="AU31">
        <v>1099.6812483751071</v>
      </c>
      <c r="AV31">
        <f t="shared" si="27"/>
        <v>0.30653328200271202</v>
      </c>
      <c r="AW31">
        <v>0.5</v>
      </c>
      <c r="AX31">
        <f t="shared" si="28"/>
        <v>1513.050300217214</v>
      </c>
      <c r="AY31">
        <f t="shared" si="29"/>
        <v>44.023095093110634</v>
      </c>
      <c r="AZ31">
        <f t="shared" si="30"/>
        <v>231.90013718038568</v>
      </c>
      <c r="BA31">
        <f t="shared" si="31"/>
        <v>2.9309352904516889E-2</v>
      </c>
      <c r="BB31">
        <f t="shared" si="32"/>
        <v>2.6849769021593235</v>
      </c>
      <c r="BC31">
        <f t="shared" si="33"/>
        <v>251.79299091348699</v>
      </c>
      <c r="BD31" t="s">
        <v>484</v>
      </c>
      <c r="BE31">
        <v>525.77</v>
      </c>
      <c r="BF31">
        <f t="shared" si="34"/>
        <v>525.77</v>
      </c>
      <c r="BG31">
        <f t="shared" si="35"/>
        <v>0.52188872841391121</v>
      </c>
      <c r="BH31">
        <f t="shared" si="36"/>
        <v>0.5873537122257978</v>
      </c>
      <c r="BI31">
        <f t="shared" si="37"/>
        <v>0.83725893488071634</v>
      </c>
      <c r="BJ31">
        <f t="shared" si="38"/>
        <v>0.42269830831483535</v>
      </c>
      <c r="BK31">
        <f t="shared" si="39"/>
        <v>0.78734652403487404</v>
      </c>
      <c r="BL31">
        <f t="shared" si="40"/>
        <v>0.40495156138723887</v>
      </c>
      <c r="BM31">
        <f t="shared" si="41"/>
        <v>0.59504843861276113</v>
      </c>
      <c r="BN31">
        <v>34433</v>
      </c>
      <c r="BO31">
        <v>290.00000000000011</v>
      </c>
      <c r="BP31">
        <v>1003.4</v>
      </c>
      <c r="BQ31">
        <v>285</v>
      </c>
      <c r="BR31">
        <v>7087.3</v>
      </c>
      <c r="BS31">
        <v>1005.95</v>
      </c>
      <c r="BT31">
        <v>-2.5499999999999998</v>
      </c>
      <c r="BU31">
        <v>300.00000000000011</v>
      </c>
      <c r="BV31">
        <v>38.299999999999997</v>
      </c>
      <c r="BW31">
        <v>1099.6812483751071</v>
      </c>
      <c r="BX31">
        <v>1.5625216120654379</v>
      </c>
      <c r="BY31">
        <v>-66.432314876793711</v>
      </c>
      <c r="BZ31">
        <v>0.92840237071894594</v>
      </c>
      <c r="CA31">
        <v>0.99456119795090214</v>
      </c>
      <c r="CB31">
        <v>-6.9862767519466139E-3</v>
      </c>
      <c r="CC31">
        <v>289.99999999999989</v>
      </c>
      <c r="CD31">
        <v>1016.09</v>
      </c>
      <c r="CE31">
        <v>875</v>
      </c>
      <c r="CF31">
        <v>7080.57</v>
      </c>
      <c r="CG31">
        <v>1005.86</v>
      </c>
      <c r="CH31">
        <v>10.23</v>
      </c>
      <c r="CV31">
        <f t="shared" si="42"/>
        <v>1799.84</v>
      </c>
      <c r="CW31">
        <f t="shared" si="43"/>
        <v>1513.050300217214</v>
      </c>
      <c r="CX31">
        <f t="shared" si="44"/>
        <v>0.84065822529625644</v>
      </c>
      <c r="CY31">
        <f t="shared" si="45"/>
        <v>0.16087037482177508</v>
      </c>
      <c r="CZ31">
        <v>5.97</v>
      </c>
      <c r="DA31">
        <v>0.5</v>
      </c>
      <c r="DB31" t="s">
        <v>418</v>
      </c>
      <c r="DC31">
        <v>2</v>
      </c>
      <c r="DD31">
        <v>1700151428.5</v>
      </c>
      <c r="DE31">
        <v>395.29599999999999</v>
      </c>
      <c r="DF31">
        <v>449.971</v>
      </c>
      <c r="DG31">
        <v>26.467199999999998</v>
      </c>
      <c r="DH31">
        <v>21.230699999999999</v>
      </c>
      <c r="DI31">
        <v>395.55200000000002</v>
      </c>
      <c r="DJ31">
        <v>26.125900000000001</v>
      </c>
      <c r="DK31">
        <v>500.14100000000002</v>
      </c>
      <c r="DL31">
        <v>99.559399999999997</v>
      </c>
      <c r="DM31">
        <v>9.9783700000000003E-2</v>
      </c>
      <c r="DN31">
        <v>29.088999999999999</v>
      </c>
      <c r="DO31">
        <v>29.973800000000001</v>
      </c>
      <c r="DP31">
        <v>999.9</v>
      </c>
      <c r="DQ31">
        <v>0</v>
      </c>
      <c r="DR31">
        <v>0</v>
      </c>
      <c r="DS31">
        <v>9997.5</v>
      </c>
      <c r="DT31">
        <v>0</v>
      </c>
      <c r="DU31">
        <v>197.60599999999999</v>
      </c>
      <c r="DV31">
        <v>-54.675400000000003</v>
      </c>
      <c r="DW31">
        <v>406.04199999999997</v>
      </c>
      <c r="DX31">
        <v>459.73099999999999</v>
      </c>
      <c r="DY31">
        <v>5.23651</v>
      </c>
      <c r="DZ31">
        <v>449.971</v>
      </c>
      <c r="EA31">
        <v>21.230699999999999</v>
      </c>
      <c r="EB31">
        <v>2.6350600000000002</v>
      </c>
      <c r="EC31">
        <v>2.1137100000000002</v>
      </c>
      <c r="ED31">
        <v>21.8856</v>
      </c>
      <c r="EE31">
        <v>18.322900000000001</v>
      </c>
      <c r="EF31">
        <v>1799.84</v>
      </c>
      <c r="EG31">
        <v>0.97799800000000003</v>
      </c>
      <c r="EH31">
        <v>2.2002399999999998E-2</v>
      </c>
      <c r="EI31">
        <v>0</v>
      </c>
      <c r="EJ31">
        <v>762.40300000000002</v>
      </c>
      <c r="EK31">
        <v>4.9996700000000001</v>
      </c>
      <c r="EL31">
        <v>17820.8</v>
      </c>
      <c r="EM31">
        <v>15045.4</v>
      </c>
      <c r="EN31">
        <v>49.875</v>
      </c>
      <c r="EO31">
        <v>51.061999999999998</v>
      </c>
      <c r="EP31">
        <v>50.686999999999998</v>
      </c>
      <c r="EQ31">
        <v>50.75</v>
      </c>
      <c r="ER31">
        <v>51.25</v>
      </c>
      <c r="ES31">
        <v>1755.35</v>
      </c>
      <c r="ET31">
        <v>39.49</v>
      </c>
      <c r="EU31">
        <v>0</v>
      </c>
      <c r="EV31">
        <v>1602.7999999523161</v>
      </c>
      <c r="EW31">
        <v>0</v>
      </c>
      <c r="EX31">
        <v>762.59234615384605</v>
      </c>
      <c r="EY31">
        <v>-1.3273504301131971</v>
      </c>
      <c r="EZ31">
        <v>-1154.0410263651611</v>
      </c>
      <c r="FA31">
        <v>17991.0423076923</v>
      </c>
      <c r="FB31">
        <v>15</v>
      </c>
      <c r="FC31">
        <v>1700151390.5</v>
      </c>
      <c r="FD31" t="s">
        <v>485</v>
      </c>
      <c r="FE31">
        <v>1700151390.5</v>
      </c>
      <c r="FF31">
        <v>1700151390.5</v>
      </c>
      <c r="FG31">
        <v>19</v>
      </c>
      <c r="FH31">
        <v>0</v>
      </c>
      <c r="FI31">
        <v>-3.0000000000000001E-3</v>
      </c>
      <c r="FJ31">
        <v>-0.27100000000000002</v>
      </c>
      <c r="FK31">
        <v>0.247</v>
      </c>
      <c r="FL31">
        <v>450</v>
      </c>
      <c r="FM31">
        <v>21</v>
      </c>
      <c r="FN31">
        <v>0.04</v>
      </c>
      <c r="FO31">
        <v>0.04</v>
      </c>
      <c r="FP31">
        <v>44.026567917863957</v>
      </c>
      <c r="FQ31">
        <v>0.24656634437140501</v>
      </c>
      <c r="FR31">
        <v>4.4560321917873458E-2</v>
      </c>
      <c r="FS31">
        <v>1</v>
      </c>
      <c r="FT31">
        <v>0.28569919683403361</v>
      </c>
      <c r="FU31">
        <v>-1.8536361466489709E-2</v>
      </c>
      <c r="FV31">
        <v>1.3641684772404501E-3</v>
      </c>
      <c r="FW31">
        <v>1</v>
      </c>
      <c r="FX31">
        <v>2</v>
      </c>
      <c r="FY31">
        <v>2</v>
      </c>
      <c r="FZ31" t="s">
        <v>420</v>
      </c>
      <c r="GA31">
        <v>3.0137499999999999</v>
      </c>
      <c r="GB31">
        <v>2.77684</v>
      </c>
      <c r="GC31">
        <v>8.7232100000000007E-2</v>
      </c>
      <c r="GD31">
        <v>9.6781199999999998E-2</v>
      </c>
      <c r="GE31">
        <v>0.122021</v>
      </c>
      <c r="GF31">
        <v>0.105826</v>
      </c>
      <c r="GG31">
        <v>21766.6</v>
      </c>
      <c r="GH31">
        <v>22259.1</v>
      </c>
      <c r="GI31">
        <v>23624.3</v>
      </c>
      <c r="GJ31">
        <v>24313.200000000001</v>
      </c>
      <c r="GK31">
        <v>30689</v>
      </c>
      <c r="GL31">
        <v>31178.9</v>
      </c>
      <c r="GM31">
        <v>38697.1</v>
      </c>
      <c r="GN31">
        <v>38720.9</v>
      </c>
      <c r="GO31">
        <v>2.0047000000000001</v>
      </c>
      <c r="GP31">
        <v>1.7574000000000001</v>
      </c>
      <c r="GQ31">
        <v>-1.9989900000000001E-2</v>
      </c>
      <c r="GR31">
        <v>0</v>
      </c>
      <c r="GS31">
        <v>30.298999999999999</v>
      </c>
      <c r="GT31">
        <v>999.9</v>
      </c>
      <c r="GU31">
        <v>43.6</v>
      </c>
      <c r="GV31">
        <v>39.4</v>
      </c>
      <c r="GW31">
        <v>31.441099999999999</v>
      </c>
      <c r="GX31">
        <v>61.654200000000003</v>
      </c>
      <c r="GY31">
        <v>30.7973</v>
      </c>
      <c r="GZ31">
        <v>1</v>
      </c>
      <c r="HA31">
        <v>0.79168700000000003</v>
      </c>
      <c r="HB31">
        <v>4.9661799999999996</v>
      </c>
      <c r="HC31">
        <v>20.252500000000001</v>
      </c>
      <c r="HD31">
        <v>5.2408000000000001</v>
      </c>
      <c r="HE31">
        <v>11.997999999999999</v>
      </c>
      <c r="HF31">
        <v>4.9633500000000002</v>
      </c>
      <c r="HG31">
        <v>3.3005499999999999</v>
      </c>
      <c r="HH31">
        <v>9999</v>
      </c>
      <c r="HI31">
        <v>9999</v>
      </c>
      <c r="HJ31">
        <v>9999</v>
      </c>
      <c r="HK31">
        <v>999.9</v>
      </c>
      <c r="HL31">
        <v>1.87483</v>
      </c>
      <c r="HM31">
        <v>1.88018</v>
      </c>
      <c r="HN31">
        <v>1.88019</v>
      </c>
      <c r="HO31">
        <v>1.87893</v>
      </c>
      <c r="HP31">
        <v>1.8812599999999999</v>
      </c>
      <c r="HQ31">
        <v>1.8771599999999999</v>
      </c>
      <c r="HR31">
        <v>1.8749800000000001</v>
      </c>
      <c r="HS31">
        <v>1.8820699999999999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423</v>
      </c>
      <c r="IB31" t="s">
        <v>423</v>
      </c>
      <c r="IC31" t="s">
        <v>423</v>
      </c>
      <c r="ID31">
        <v>0</v>
      </c>
      <c r="IE31">
        <v>100</v>
      </c>
      <c r="IF31">
        <v>100</v>
      </c>
      <c r="IG31">
        <v>-0.25600000000000001</v>
      </c>
      <c r="IH31">
        <v>0.34129999999999999</v>
      </c>
      <c r="II31">
        <v>-0.34168427800857221</v>
      </c>
      <c r="IJ31">
        <v>7.0786345690369205E-4</v>
      </c>
      <c r="IK31">
        <v>-1.387476646623666E-6</v>
      </c>
      <c r="IL31">
        <v>3.6592443641472651E-10</v>
      </c>
      <c r="IM31">
        <v>0.34126965162723621</v>
      </c>
      <c r="IN31">
        <v>0</v>
      </c>
      <c r="IO31">
        <v>0</v>
      </c>
      <c r="IP31">
        <v>0</v>
      </c>
      <c r="IQ31">
        <v>2</v>
      </c>
      <c r="IR31">
        <v>2142</v>
      </c>
      <c r="IS31">
        <v>1</v>
      </c>
      <c r="IT31">
        <v>24</v>
      </c>
      <c r="IU31">
        <v>0.6</v>
      </c>
      <c r="IV31">
        <v>0.6</v>
      </c>
      <c r="IW31">
        <v>1.11572</v>
      </c>
      <c r="IX31">
        <v>2.66357</v>
      </c>
      <c r="IY31">
        <v>1.5490699999999999</v>
      </c>
      <c r="IZ31">
        <v>2.36328</v>
      </c>
      <c r="JA31">
        <v>1.5966800000000001</v>
      </c>
      <c r="JB31">
        <v>2.34619</v>
      </c>
      <c r="JC31">
        <v>43.0199</v>
      </c>
      <c r="JD31">
        <v>24.087499999999999</v>
      </c>
      <c r="JE31">
        <v>18</v>
      </c>
      <c r="JF31">
        <v>533.93799999999999</v>
      </c>
      <c r="JG31">
        <v>439.09399999999999</v>
      </c>
      <c r="JH31">
        <v>24.461500000000001</v>
      </c>
      <c r="JI31">
        <v>36.808999999999997</v>
      </c>
      <c r="JJ31">
        <v>30.0002</v>
      </c>
      <c r="JK31">
        <v>36.657400000000003</v>
      </c>
      <c r="JL31">
        <v>36.627699999999997</v>
      </c>
      <c r="JM31">
        <v>22.313400000000001</v>
      </c>
      <c r="JN31">
        <v>34.8932</v>
      </c>
      <c r="JO31">
        <v>0</v>
      </c>
      <c r="JP31">
        <v>24.4695</v>
      </c>
      <c r="JQ31">
        <v>450</v>
      </c>
      <c r="JR31">
        <v>21.138200000000001</v>
      </c>
      <c r="JS31">
        <v>97.995999999999995</v>
      </c>
      <c r="JT31">
        <v>98.905799999999999</v>
      </c>
    </row>
    <row r="32" spans="1:280" x14ac:dyDescent="0.25">
      <c r="A32">
        <v>16</v>
      </c>
      <c r="B32">
        <v>1700151629</v>
      </c>
      <c r="C32">
        <v>3773</v>
      </c>
      <c r="D32" t="s">
        <v>486</v>
      </c>
      <c r="E32" t="s">
        <v>487</v>
      </c>
      <c r="F32" t="s">
        <v>412</v>
      </c>
      <c r="G32" t="s">
        <v>482</v>
      </c>
      <c r="H32" t="s">
        <v>31</v>
      </c>
      <c r="I32">
        <v>1700151629</v>
      </c>
      <c r="J32">
        <f t="shared" si="0"/>
        <v>2.662356289350353E-3</v>
      </c>
      <c r="K32">
        <f t="shared" si="1"/>
        <v>2.662356289350353</v>
      </c>
      <c r="L32">
        <f t="shared" si="2"/>
        <v>46.166595247945494</v>
      </c>
      <c r="M32">
        <f t="shared" si="3"/>
        <v>1440.38</v>
      </c>
      <c r="N32">
        <f t="shared" si="4"/>
        <v>933.51024367551668</v>
      </c>
      <c r="O32">
        <f t="shared" si="5"/>
        <v>93.024749934998781</v>
      </c>
      <c r="P32">
        <f t="shared" si="6"/>
        <v>143.53456774487</v>
      </c>
      <c r="Q32">
        <f t="shared" si="7"/>
        <v>0.15973916242355662</v>
      </c>
      <c r="R32">
        <f t="shared" si="8"/>
        <v>2.9276255668806774</v>
      </c>
      <c r="S32">
        <f t="shared" si="9"/>
        <v>0.15505031011443912</v>
      </c>
      <c r="T32">
        <f t="shared" si="10"/>
        <v>9.7316254210690095E-2</v>
      </c>
      <c r="U32">
        <f t="shared" si="11"/>
        <v>289.58664041905001</v>
      </c>
      <c r="V32">
        <f t="shared" si="12"/>
        <v>29.851690215800271</v>
      </c>
      <c r="W32">
        <f t="shared" si="13"/>
        <v>29.931999999999999</v>
      </c>
      <c r="X32">
        <f t="shared" si="14"/>
        <v>4.2438373290891249</v>
      </c>
      <c r="Y32">
        <f t="shared" si="15"/>
        <v>65.046040449135958</v>
      </c>
      <c r="Z32">
        <f t="shared" si="16"/>
        <v>2.5914308315298</v>
      </c>
      <c r="AA32">
        <f t="shared" si="17"/>
        <v>3.9839947422414141</v>
      </c>
      <c r="AB32">
        <f t="shared" si="18"/>
        <v>1.6524064975593249</v>
      </c>
      <c r="AC32">
        <f t="shared" si="19"/>
        <v>-117.40991236035056</v>
      </c>
      <c r="AD32">
        <f t="shared" si="20"/>
        <v>-172.82839377002966</v>
      </c>
      <c r="AE32">
        <f t="shared" si="21"/>
        <v>-13.046402454518041</v>
      </c>
      <c r="AF32">
        <f t="shared" si="22"/>
        <v>-13.698068165848269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52338.241284503863</v>
      </c>
      <c r="AL32" t="s">
        <v>415</v>
      </c>
      <c r="AM32">
        <v>10238.9</v>
      </c>
      <c r="AN32">
        <v>302.21199999999999</v>
      </c>
      <c r="AO32">
        <v>4052.3</v>
      </c>
      <c r="AP32">
        <f t="shared" si="26"/>
        <v>0.92542210596451402</v>
      </c>
      <c r="AQ32">
        <v>-0.32343011824092421</v>
      </c>
      <c r="AR32" t="s">
        <v>488</v>
      </c>
      <c r="AS32">
        <v>7087.33</v>
      </c>
      <c r="AT32">
        <v>755.57423076923089</v>
      </c>
      <c r="AU32">
        <v>1122.4140036307581</v>
      </c>
      <c r="AV32">
        <f t="shared" si="27"/>
        <v>0.32683107273687129</v>
      </c>
      <c r="AW32">
        <v>0.5</v>
      </c>
      <c r="AX32">
        <f t="shared" si="28"/>
        <v>1513.2936002171245</v>
      </c>
      <c r="AY32">
        <f t="shared" si="29"/>
        <v>46.166595247945494</v>
      </c>
      <c r="AZ32">
        <f t="shared" si="30"/>
        <v>247.29568536240242</v>
      </c>
      <c r="BA32">
        <f t="shared" si="31"/>
        <v>3.0721087672290502E-2</v>
      </c>
      <c r="BB32">
        <f t="shared" si="32"/>
        <v>2.6103434088417612</v>
      </c>
      <c r="BC32">
        <f t="shared" si="33"/>
        <v>252.9660993036253</v>
      </c>
      <c r="BD32" t="s">
        <v>489</v>
      </c>
      <c r="BE32">
        <v>533.04999999999995</v>
      </c>
      <c r="BF32">
        <f t="shared" si="34"/>
        <v>533.04999999999995</v>
      </c>
      <c r="BG32">
        <f t="shared" si="35"/>
        <v>0.52508611058334753</v>
      </c>
      <c r="BH32">
        <f t="shared" si="36"/>
        <v>0.62243328503543227</v>
      </c>
      <c r="BI32">
        <f t="shared" si="37"/>
        <v>0.83253136218490931</v>
      </c>
      <c r="BJ32">
        <f t="shared" si="38"/>
        <v>0.44725539713101292</v>
      </c>
      <c r="BK32">
        <f t="shared" si="39"/>
        <v>0.78128459821989293</v>
      </c>
      <c r="BL32">
        <f t="shared" si="40"/>
        <v>0.43912040548332648</v>
      </c>
      <c r="BM32">
        <f t="shared" si="41"/>
        <v>0.56087959451667357</v>
      </c>
      <c r="BN32">
        <v>34435</v>
      </c>
      <c r="BO32">
        <v>290.00000000000011</v>
      </c>
      <c r="BP32">
        <v>1014.14</v>
      </c>
      <c r="BQ32">
        <v>295</v>
      </c>
      <c r="BR32">
        <v>7087.33</v>
      </c>
      <c r="BS32">
        <v>1016.49</v>
      </c>
      <c r="BT32">
        <v>-2.35</v>
      </c>
      <c r="BU32">
        <v>300.00000000000011</v>
      </c>
      <c r="BV32">
        <v>38.299999999999997</v>
      </c>
      <c r="BW32">
        <v>1122.4140036307581</v>
      </c>
      <c r="BX32">
        <v>1.698356257304962</v>
      </c>
      <c r="BY32">
        <v>-75.073181618608501</v>
      </c>
      <c r="BZ32">
        <v>1.009101754740064</v>
      </c>
      <c r="CA32">
        <v>0.99496653809886226</v>
      </c>
      <c r="CB32">
        <v>-6.9866767519466107E-3</v>
      </c>
      <c r="CC32">
        <v>289.99999999999989</v>
      </c>
      <c r="CD32">
        <v>1023.55</v>
      </c>
      <c r="CE32">
        <v>775</v>
      </c>
      <c r="CF32">
        <v>7081.95</v>
      </c>
      <c r="CG32">
        <v>1016.41</v>
      </c>
      <c r="CH32">
        <v>7.14</v>
      </c>
      <c r="CV32">
        <f t="shared" si="42"/>
        <v>1800.13</v>
      </c>
      <c r="CW32">
        <f t="shared" si="43"/>
        <v>1513.2936002171245</v>
      </c>
      <c r="CX32">
        <f t="shared" si="44"/>
        <v>0.84065795260182563</v>
      </c>
      <c r="CY32">
        <f t="shared" si="45"/>
        <v>0.16086984852152345</v>
      </c>
      <c r="CZ32">
        <v>5.97</v>
      </c>
      <c r="DA32">
        <v>0.5</v>
      </c>
      <c r="DB32" t="s">
        <v>418</v>
      </c>
      <c r="DC32">
        <v>2</v>
      </c>
      <c r="DD32">
        <v>1700151629</v>
      </c>
      <c r="DE32">
        <v>1440.38</v>
      </c>
      <c r="DF32">
        <v>1500.08</v>
      </c>
      <c r="DG32">
        <v>26.005199999999999</v>
      </c>
      <c r="DH32">
        <v>22.909099999999999</v>
      </c>
      <c r="DI32">
        <v>1441.47</v>
      </c>
      <c r="DJ32">
        <v>25.6126</v>
      </c>
      <c r="DK32">
        <v>500.01400000000001</v>
      </c>
      <c r="DL32">
        <v>99.550600000000003</v>
      </c>
      <c r="DM32">
        <v>9.9886500000000003E-2</v>
      </c>
      <c r="DN32">
        <v>28.837</v>
      </c>
      <c r="DO32">
        <v>29.931999999999999</v>
      </c>
      <c r="DP32">
        <v>999.9</v>
      </c>
      <c r="DQ32">
        <v>0</v>
      </c>
      <c r="DR32">
        <v>0</v>
      </c>
      <c r="DS32">
        <v>10003.799999999999</v>
      </c>
      <c r="DT32">
        <v>0</v>
      </c>
      <c r="DU32">
        <v>203.79300000000001</v>
      </c>
      <c r="DV32">
        <v>-59.6937</v>
      </c>
      <c r="DW32">
        <v>1478.84</v>
      </c>
      <c r="DX32">
        <v>1535.25</v>
      </c>
      <c r="DY32">
        <v>3.09613</v>
      </c>
      <c r="DZ32">
        <v>1500.08</v>
      </c>
      <c r="EA32">
        <v>22.909099999999999</v>
      </c>
      <c r="EB32">
        <v>2.5888399999999998</v>
      </c>
      <c r="EC32">
        <v>2.2806199999999999</v>
      </c>
      <c r="ED32">
        <v>21.5961</v>
      </c>
      <c r="EE32">
        <v>19.540099999999999</v>
      </c>
      <c r="EF32">
        <v>1800.13</v>
      </c>
      <c r="EG32">
        <v>0.97800500000000001</v>
      </c>
      <c r="EH32">
        <v>2.1995399999999998E-2</v>
      </c>
      <c r="EI32">
        <v>0</v>
      </c>
      <c r="EJ32">
        <v>755.53899999999999</v>
      </c>
      <c r="EK32">
        <v>4.9996700000000001</v>
      </c>
      <c r="EL32">
        <v>15251.1</v>
      </c>
      <c r="EM32">
        <v>15047.9</v>
      </c>
      <c r="EN32">
        <v>49.811999999999998</v>
      </c>
      <c r="EO32">
        <v>51</v>
      </c>
      <c r="EP32">
        <v>50.625</v>
      </c>
      <c r="EQ32">
        <v>50.686999999999998</v>
      </c>
      <c r="ER32">
        <v>51.125</v>
      </c>
      <c r="ES32">
        <v>1755.65</v>
      </c>
      <c r="ET32">
        <v>39.479999999999997</v>
      </c>
      <c r="EU32">
        <v>0</v>
      </c>
      <c r="EV32">
        <v>198.60000014305109</v>
      </c>
      <c r="EW32">
        <v>0</v>
      </c>
      <c r="EX32">
        <v>755.57423076923089</v>
      </c>
      <c r="EY32">
        <v>-3.1042726269460849E-2</v>
      </c>
      <c r="EZ32">
        <v>54.16752127966565</v>
      </c>
      <c r="FA32">
        <v>15245.384615384621</v>
      </c>
      <c r="FB32">
        <v>15</v>
      </c>
      <c r="FC32">
        <v>1700151600</v>
      </c>
      <c r="FD32" t="s">
        <v>490</v>
      </c>
      <c r="FE32">
        <v>1700151600</v>
      </c>
      <c r="FF32">
        <v>1700151589</v>
      </c>
      <c r="FG32">
        <v>20</v>
      </c>
      <c r="FH32">
        <v>1.4999999999999999E-2</v>
      </c>
      <c r="FI32">
        <v>-6.0000000000000001E-3</v>
      </c>
      <c r="FJ32">
        <v>-1.1519999999999999</v>
      </c>
      <c r="FK32">
        <v>0.29399999999999998</v>
      </c>
      <c r="FL32">
        <v>1500</v>
      </c>
      <c r="FM32">
        <v>23</v>
      </c>
      <c r="FN32">
        <v>0.05</v>
      </c>
      <c r="FO32">
        <v>0.02</v>
      </c>
      <c r="FP32">
        <v>46.099873172452583</v>
      </c>
      <c r="FQ32">
        <v>-0.4925451630738969</v>
      </c>
      <c r="FR32">
        <v>9.064727245482361E-2</v>
      </c>
      <c r="FS32">
        <v>1</v>
      </c>
      <c r="FT32">
        <v>0.16312519367617079</v>
      </c>
      <c r="FU32">
        <v>-6.2152412806478386E-4</v>
      </c>
      <c r="FV32">
        <v>1.2157380557338241E-3</v>
      </c>
      <c r="FW32">
        <v>1</v>
      </c>
      <c r="FX32">
        <v>2</v>
      </c>
      <c r="FY32">
        <v>2</v>
      </c>
      <c r="FZ32" t="s">
        <v>420</v>
      </c>
      <c r="GA32">
        <v>3.0134799999999999</v>
      </c>
      <c r="GB32">
        <v>2.7770000000000001</v>
      </c>
      <c r="GC32">
        <v>0.209624</v>
      </c>
      <c r="GD32">
        <v>0.215618</v>
      </c>
      <c r="GE32">
        <v>0.120323</v>
      </c>
      <c r="GF32">
        <v>0.111566</v>
      </c>
      <c r="GG32">
        <v>18840.8</v>
      </c>
      <c r="GH32">
        <v>19322.400000000001</v>
      </c>
      <c r="GI32">
        <v>23621.1</v>
      </c>
      <c r="GJ32">
        <v>24310</v>
      </c>
      <c r="GK32">
        <v>30744</v>
      </c>
      <c r="GL32">
        <v>30975.3</v>
      </c>
      <c r="GM32">
        <v>38692.400000000001</v>
      </c>
      <c r="GN32">
        <v>38717.199999999997</v>
      </c>
      <c r="GO32">
        <v>2.0009299999999999</v>
      </c>
      <c r="GP32">
        <v>1.7608699999999999</v>
      </c>
      <c r="GQ32">
        <v>2.8524500000000001E-2</v>
      </c>
      <c r="GR32">
        <v>0</v>
      </c>
      <c r="GS32">
        <v>29.467600000000001</v>
      </c>
      <c r="GT32">
        <v>999.9</v>
      </c>
      <c r="GU32">
        <v>43.4</v>
      </c>
      <c r="GV32">
        <v>39.5</v>
      </c>
      <c r="GW32">
        <v>31.469799999999999</v>
      </c>
      <c r="GX32">
        <v>61.204300000000003</v>
      </c>
      <c r="GY32">
        <v>30.8093</v>
      </c>
      <c r="GZ32">
        <v>1</v>
      </c>
      <c r="HA32">
        <v>0.79455799999999999</v>
      </c>
      <c r="HB32">
        <v>4.3453099999999996</v>
      </c>
      <c r="HC32">
        <v>20.2714</v>
      </c>
      <c r="HD32">
        <v>5.2449899999999996</v>
      </c>
      <c r="HE32">
        <v>11.997999999999999</v>
      </c>
      <c r="HF32">
        <v>4.9636500000000003</v>
      </c>
      <c r="HG32">
        <v>3.3007</v>
      </c>
      <c r="HH32">
        <v>9999</v>
      </c>
      <c r="HI32">
        <v>9999</v>
      </c>
      <c r="HJ32">
        <v>9999</v>
      </c>
      <c r="HK32">
        <v>999.9</v>
      </c>
      <c r="HL32">
        <v>1.87479</v>
      </c>
      <c r="HM32">
        <v>1.88018</v>
      </c>
      <c r="HN32">
        <v>1.88019</v>
      </c>
      <c r="HO32">
        <v>1.8789</v>
      </c>
      <c r="HP32">
        <v>1.8812599999999999</v>
      </c>
      <c r="HQ32">
        <v>1.8771599999999999</v>
      </c>
      <c r="HR32">
        <v>1.8749499999999999</v>
      </c>
      <c r="HS32">
        <v>1.8820699999999999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423</v>
      </c>
      <c r="IB32" t="s">
        <v>423</v>
      </c>
      <c r="IC32" t="s">
        <v>423</v>
      </c>
      <c r="ID32">
        <v>0</v>
      </c>
      <c r="IE32">
        <v>100</v>
      </c>
      <c r="IF32">
        <v>100</v>
      </c>
      <c r="IG32">
        <v>-1.0900000000000001</v>
      </c>
      <c r="IH32">
        <v>0.3926</v>
      </c>
      <c r="II32">
        <v>-0.32586431926927312</v>
      </c>
      <c r="IJ32">
        <v>7.0786345690369205E-4</v>
      </c>
      <c r="IK32">
        <v>-1.387476646623666E-6</v>
      </c>
      <c r="IL32">
        <v>3.6592443641472651E-10</v>
      </c>
      <c r="IM32">
        <v>-8.8216790710329465E-2</v>
      </c>
      <c r="IN32">
        <v>-1.92785045113246E-3</v>
      </c>
      <c r="IO32">
        <v>9.94469593919068E-4</v>
      </c>
      <c r="IP32">
        <v>-7.2714521965658074E-6</v>
      </c>
      <c r="IQ32">
        <v>2</v>
      </c>
      <c r="IR32">
        <v>2142</v>
      </c>
      <c r="IS32">
        <v>1</v>
      </c>
      <c r="IT32">
        <v>24</v>
      </c>
      <c r="IU32">
        <v>0.5</v>
      </c>
      <c r="IV32">
        <v>0.7</v>
      </c>
      <c r="IW32">
        <v>2.9797400000000001</v>
      </c>
      <c r="IX32">
        <v>2.63306</v>
      </c>
      <c r="IY32">
        <v>1.5490699999999999</v>
      </c>
      <c r="IZ32">
        <v>2.36328</v>
      </c>
      <c r="JA32">
        <v>1.5966800000000001</v>
      </c>
      <c r="JB32">
        <v>2.2192400000000001</v>
      </c>
      <c r="JC32">
        <v>43.127899999999997</v>
      </c>
      <c r="JD32">
        <v>24.096299999999999</v>
      </c>
      <c r="JE32">
        <v>18</v>
      </c>
      <c r="JF32">
        <v>531.94399999999996</v>
      </c>
      <c r="JG32">
        <v>441.76499999999999</v>
      </c>
      <c r="JH32">
        <v>24.725000000000001</v>
      </c>
      <c r="JI32">
        <v>36.882800000000003</v>
      </c>
      <c r="JJ32">
        <v>30</v>
      </c>
      <c r="JK32">
        <v>36.726300000000002</v>
      </c>
      <c r="JL32">
        <v>36.6937</v>
      </c>
      <c r="JM32">
        <v>59.566299999999998</v>
      </c>
      <c r="JN32">
        <v>29.131799999999998</v>
      </c>
      <c r="JO32">
        <v>0</v>
      </c>
      <c r="JP32">
        <v>24.752500000000001</v>
      </c>
      <c r="JQ32">
        <v>1500</v>
      </c>
      <c r="JR32">
        <v>22.889199999999999</v>
      </c>
      <c r="JS32">
        <v>97.983599999999996</v>
      </c>
      <c r="JT32">
        <v>98.894999999999996</v>
      </c>
    </row>
    <row r="33" spans="1:280" x14ac:dyDescent="0.25">
      <c r="A33">
        <v>17</v>
      </c>
      <c r="B33">
        <v>1700151769.5</v>
      </c>
      <c r="C33">
        <v>3913.5</v>
      </c>
      <c r="D33" t="s">
        <v>491</v>
      </c>
      <c r="E33" t="s">
        <v>492</v>
      </c>
      <c r="F33" t="s">
        <v>412</v>
      </c>
      <c r="G33" t="s">
        <v>482</v>
      </c>
      <c r="H33" t="s">
        <v>31</v>
      </c>
      <c r="I33">
        <v>1700151769.5</v>
      </c>
      <c r="J33">
        <f t="shared" si="0"/>
        <v>2.2819829765876073E-3</v>
      </c>
      <c r="K33">
        <f t="shared" si="1"/>
        <v>2.2819829765876074</v>
      </c>
      <c r="L33">
        <f t="shared" si="2"/>
        <v>45.8976895074601</v>
      </c>
      <c r="M33">
        <f t="shared" si="3"/>
        <v>1192.03</v>
      </c>
      <c r="N33">
        <f t="shared" si="4"/>
        <v>626.97607163458486</v>
      </c>
      <c r="O33">
        <f t="shared" si="5"/>
        <v>62.474730148397072</v>
      </c>
      <c r="P33">
        <f t="shared" si="6"/>
        <v>118.77925801002101</v>
      </c>
      <c r="Q33">
        <f t="shared" si="7"/>
        <v>0.13889788711979817</v>
      </c>
      <c r="R33">
        <f t="shared" si="8"/>
        <v>2.9301725188722774</v>
      </c>
      <c r="S33">
        <f t="shared" si="9"/>
        <v>0.13534106200631962</v>
      </c>
      <c r="T33">
        <f t="shared" si="10"/>
        <v>8.4900144117440957E-2</v>
      </c>
      <c r="U33">
        <f t="shared" si="11"/>
        <v>289.5616834191934</v>
      </c>
      <c r="V33">
        <f t="shared" si="12"/>
        <v>30.137554653692842</v>
      </c>
      <c r="W33">
        <f t="shared" si="13"/>
        <v>29.984500000000001</v>
      </c>
      <c r="X33">
        <f t="shared" si="14"/>
        <v>4.256658134126158</v>
      </c>
      <c r="Y33">
        <f t="shared" si="15"/>
        <v>65.414243459585293</v>
      </c>
      <c r="Z33">
        <f t="shared" si="16"/>
        <v>2.6346509495683499</v>
      </c>
      <c r="AA33">
        <f t="shared" si="17"/>
        <v>4.0276410919528702</v>
      </c>
      <c r="AB33">
        <f t="shared" si="18"/>
        <v>1.6220071845578081</v>
      </c>
      <c r="AC33">
        <f t="shared" si="19"/>
        <v>-100.63544926751348</v>
      </c>
      <c r="AD33">
        <f t="shared" si="20"/>
        <v>-151.54202238135818</v>
      </c>
      <c r="AE33">
        <f t="shared" si="21"/>
        <v>-11.443245453757498</v>
      </c>
      <c r="AF33">
        <f t="shared" si="22"/>
        <v>25.940966316564214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52378.24908614879</v>
      </c>
      <c r="AL33" t="s">
        <v>426</v>
      </c>
      <c r="AM33" t="s">
        <v>426</v>
      </c>
      <c r="AN33">
        <v>0</v>
      </c>
      <c r="AO33">
        <v>0</v>
      </c>
      <c r="AP33" t="e">
        <f t="shared" si="26"/>
        <v>#DIV/0!</v>
      </c>
      <c r="AQ33">
        <v>0</v>
      </c>
      <c r="AR33" t="s">
        <v>426</v>
      </c>
      <c r="AS33" t="s">
        <v>426</v>
      </c>
      <c r="AT33">
        <v>0</v>
      </c>
      <c r="AU33">
        <v>0</v>
      </c>
      <c r="AV33" t="e">
        <f t="shared" si="27"/>
        <v>#DIV/0!</v>
      </c>
      <c r="AW33">
        <v>0.5</v>
      </c>
      <c r="AX33">
        <f t="shared" si="28"/>
        <v>1513.1595002171987</v>
      </c>
      <c r="AY33">
        <f t="shared" si="29"/>
        <v>45.8976895074601</v>
      </c>
      <c r="AZ33" t="e">
        <f t="shared" si="30"/>
        <v>#DIV/0!</v>
      </c>
      <c r="BA33">
        <f t="shared" si="31"/>
        <v>3.0332353926252952E-2</v>
      </c>
      <c r="BB33" t="e">
        <f t="shared" si="32"/>
        <v>#DIV/0!</v>
      </c>
      <c r="BC33" t="e">
        <f t="shared" si="33"/>
        <v>#DIV/0!</v>
      </c>
      <c r="BD33" t="s">
        <v>426</v>
      </c>
      <c r="BE33">
        <v>0</v>
      </c>
      <c r="BF33" t="e">
        <f t="shared" si="34"/>
        <v>#DIV/0!</v>
      </c>
      <c r="BG33" t="e">
        <f t="shared" si="35"/>
        <v>#DIV/0!</v>
      </c>
      <c r="BH33" t="e">
        <f t="shared" si="36"/>
        <v>#DIV/0!</v>
      </c>
      <c r="BI33" t="e">
        <f t="shared" si="37"/>
        <v>#DIV/0!</v>
      </c>
      <c r="BJ33" t="e">
        <f t="shared" si="38"/>
        <v>#DIV/0!</v>
      </c>
      <c r="BK33" t="e">
        <f t="shared" si="39"/>
        <v>#DIV/0!</v>
      </c>
      <c r="BL33" t="e">
        <f t="shared" si="40"/>
        <v>#DIV/0!</v>
      </c>
      <c r="BM33" t="e">
        <f t="shared" si="41"/>
        <v>#DIV/0!</v>
      </c>
      <c r="BN33">
        <v>34435</v>
      </c>
      <c r="BO33">
        <v>290.00000000000011</v>
      </c>
      <c r="BP33">
        <v>1014.14</v>
      </c>
      <c r="BQ33">
        <v>295</v>
      </c>
      <c r="BR33">
        <v>7087.33</v>
      </c>
      <c r="BS33">
        <v>1016.49</v>
      </c>
      <c r="BT33">
        <v>-2.35</v>
      </c>
      <c r="BU33">
        <v>300.00000000000011</v>
      </c>
      <c r="BV33">
        <v>38.299999999999997</v>
      </c>
      <c r="BW33">
        <v>1122.4140036307581</v>
      </c>
      <c r="BX33">
        <v>1.698356257304962</v>
      </c>
      <c r="BY33">
        <v>-75.073181618608501</v>
      </c>
      <c r="BZ33">
        <v>1.009101754740064</v>
      </c>
      <c r="CA33">
        <v>0.99496653809886226</v>
      </c>
      <c r="CB33">
        <v>-6.9866767519466107E-3</v>
      </c>
      <c r="CC33">
        <v>289.99999999999989</v>
      </c>
      <c r="CD33">
        <v>1023.55</v>
      </c>
      <c r="CE33">
        <v>775</v>
      </c>
      <c r="CF33">
        <v>7081.95</v>
      </c>
      <c r="CG33">
        <v>1016.41</v>
      </c>
      <c r="CH33">
        <v>7.14</v>
      </c>
      <c r="CV33">
        <f t="shared" si="42"/>
        <v>1799.97</v>
      </c>
      <c r="CW33">
        <f t="shared" si="43"/>
        <v>1513.1595002171987</v>
      </c>
      <c r="CX33">
        <f t="shared" si="44"/>
        <v>0.84065817775696183</v>
      </c>
      <c r="CY33">
        <f t="shared" si="45"/>
        <v>0.1608702830709364</v>
      </c>
      <c r="CZ33">
        <v>5.97</v>
      </c>
      <c r="DA33">
        <v>0.5</v>
      </c>
      <c r="DB33" t="s">
        <v>418</v>
      </c>
      <c r="DC33">
        <v>2</v>
      </c>
      <c r="DD33">
        <v>1700151769.5</v>
      </c>
      <c r="DE33">
        <v>1192.03</v>
      </c>
      <c r="DF33">
        <v>1250.07</v>
      </c>
      <c r="DG33">
        <v>26.4405</v>
      </c>
      <c r="DH33">
        <v>23.7883</v>
      </c>
      <c r="DI33">
        <v>1192.56</v>
      </c>
      <c r="DJ33">
        <v>26.042999999999999</v>
      </c>
      <c r="DK33">
        <v>500.084</v>
      </c>
      <c r="DL33">
        <v>99.545699999999997</v>
      </c>
      <c r="DM33">
        <v>9.8820699999999997E-2</v>
      </c>
      <c r="DN33">
        <v>29.025200000000002</v>
      </c>
      <c r="DO33">
        <v>29.984500000000001</v>
      </c>
      <c r="DP33">
        <v>999.9</v>
      </c>
      <c r="DQ33">
        <v>0</v>
      </c>
      <c r="DR33">
        <v>0</v>
      </c>
      <c r="DS33">
        <v>10018.799999999999</v>
      </c>
      <c r="DT33">
        <v>0</v>
      </c>
      <c r="DU33">
        <v>204.399</v>
      </c>
      <c r="DV33">
        <v>-58.0428</v>
      </c>
      <c r="DW33">
        <v>1224.4100000000001</v>
      </c>
      <c r="DX33">
        <v>1280.54</v>
      </c>
      <c r="DY33">
        <v>2.65225</v>
      </c>
      <c r="DZ33">
        <v>1250.07</v>
      </c>
      <c r="EA33">
        <v>23.7883</v>
      </c>
      <c r="EB33">
        <v>2.6320399999999999</v>
      </c>
      <c r="EC33">
        <v>2.36802</v>
      </c>
      <c r="ED33">
        <v>21.866900000000001</v>
      </c>
      <c r="EE33">
        <v>20.146699999999999</v>
      </c>
      <c r="EF33">
        <v>1799.97</v>
      </c>
      <c r="EG33">
        <v>0.97800100000000001</v>
      </c>
      <c r="EH33">
        <v>2.1999000000000001E-2</v>
      </c>
      <c r="EI33">
        <v>0</v>
      </c>
      <c r="EJ33">
        <v>753.44</v>
      </c>
      <c r="EK33">
        <v>4.9996700000000001</v>
      </c>
      <c r="EL33">
        <v>16845.900000000001</v>
      </c>
      <c r="EM33">
        <v>15046.5</v>
      </c>
      <c r="EN33">
        <v>49.75</v>
      </c>
      <c r="EO33">
        <v>51</v>
      </c>
      <c r="EP33">
        <v>50.561999999999998</v>
      </c>
      <c r="EQ33">
        <v>50.686999999999998</v>
      </c>
      <c r="ER33">
        <v>51.125</v>
      </c>
      <c r="ES33">
        <v>1755.48</v>
      </c>
      <c r="ET33">
        <v>39.49</v>
      </c>
      <c r="EU33">
        <v>0</v>
      </c>
      <c r="EV33">
        <v>138.79999995231631</v>
      </c>
      <c r="EW33">
        <v>0</v>
      </c>
      <c r="EX33">
        <v>753.89580000000001</v>
      </c>
      <c r="EY33">
        <v>-1.604230762490324</v>
      </c>
      <c r="EZ33">
        <v>825.24615509464604</v>
      </c>
      <c r="FA33">
        <v>16751.12</v>
      </c>
      <c r="FB33">
        <v>15</v>
      </c>
      <c r="FC33">
        <v>1700151740.5</v>
      </c>
      <c r="FD33" t="s">
        <v>493</v>
      </c>
      <c r="FE33">
        <v>1700151737.5</v>
      </c>
      <c r="FF33">
        <v>1700151740.5</v>
      </c>
      <c r="FG33">
        <v>21</v>
      </c>
      <c r="FH33">
        <v>0.308</v>
      </c>
      <c r="FI33">
        <v>-0.01</v>
      </c>
      <c r="FJ33">
        <v>-0.58599999999999997</v>
      </c>
      <c r="FK33">
        <v>0.307</v>
      </c>
      <c r="FL33">
        <v>1250</v>
      </c>
      <c r="FM33">
        <v>24</v>
      </c>
      <c r="FN33">
        <v>7.0000000000000007E-2</v>
      </c>
      <c r="FO33">
        <v>0.03</v>
      </c>
      <c r="FP33">
        <v>45.841039215160912</v>
      </c>
      <c r="FQ33">
        <v>-0.35842322898393508</v>
      </c>
      <c r="FR33">
        <v>5.5952970868916187E-2</v>
      </c>
      <c r="FS33">
        <v>1</v>
      </c>
      <c r="FT33">
        <v>0.13558019186997519</v>
      </c>
      <c r="FU33">
        <v>4.1800830365693743E-2</v>
      </c>
      <c r="FV33">
        <v>3.1972431451415951E-3</v>
      </c>
      <c r="FW33">
        <v>1</v>
      </c>
      <c r="FX33">
        <v>2</v>
      </c>
      <c r="FY33">
        <v>2</v>
      </c>
      <c r="FZ33" t="s">
        <v>420</v>
      </c>
      <c r="GA33">
        <v>3.0136699999999998</v>
      </c>
      <c r="GB33">
        <v>2.7760699999999998</v>
      </c>
      <c r="GC33">
        <v>0.18671699999999999</v>
      </c>
      <c r="GD33">
        <v>0.19312799999999999</v>
      </c>
      <c r="GE33">
        <v>0.121707</v>
      </c>
      <c r="GF33">
        <v>0.1145</v>
      </c>
      <c r="GG33">
        <v>19388.7</v>
      </c>
      <c r="GH33">
        <v>19878.3</v>
      </c>
      <c r="GI33">
        <v>23621.1</v>
      </c>
      <c r="GJ33">
        <v>24309.8</v>
      </c>
      <c r="GK33">
        <v>30696</v>
      </c>
      <c r="GL33">
        <v>30872.5</v>
      </c>
      <c r="GM33">
        <v>38692.5</v>
      </c>
      <c r="GN33">
        <v>38716.199999999997</v>
      </c>
      <c r="GO33">
        <v>2.0008499999999998</v>
      </c>
      <c r="GP33">
        <v>1.7599499999999999</v>
      </c>
      <c r="GQ33">
        <v>5.3592000000000001E-2</v>
      </c>
      <c r="GR33">
        <v>0</v>
      </c>
      <c r="GS33">
        <v>29.111799999999999</v>
      </c>
      <c r="GT33">
        <v>999.9</v>
      </c>
      <c r="GU33">
        <v>43.2</v>
      </c>
      <c r="GV33">
        <v>39.700000000000003</v>
      </c>
      <c r="GW33">
        <v>31.660900000000002</v>
      </c>
      <c r="GX33">
        <v>60.974299999999999</v>
      </c>
      <c r="GY33">
        <v>30.693100000000001</v>
      </c>
      <c r="GZ33">
        <v>1</v>
      </c>
      <c r="HA33">
        <v>0.794045</v>
      </c>
      <c r="HB33">
        <v>4.2131800000000004</v>
      </c>
      <c r="HC33">
        <v>20.275500000000001</v>
      </c>
      <c r="HD33">
        <v>5.2435</v>
      </c>
      <c r="HE33">
        <v>11.997999999999999</v>
      </c>
      <c r="HF33">
        <v>4.9635499999999997</v>
      </c>
      <c r="HG33">
        <v>3.3009499999999998</v>
      </c>
      <c r="HH33">
        <v>9999</v>
      </c>
      <c r="HI33">
        <v>9999</v>
      </c>
      <c r="HJ33">
        <v>9999</v>
      </c>
      <c r="HK33">
        <v>999.9</v>
      </c>
      <c r="HL33">
        <v>1.87483</v>
      </c>
      <c r="HM33">
        <v>1.88019</v>
      </c>
      <c r="HN33">
        <v>1.8802000000000001</v>
      </c>
      <c r="HO33">
        <v>1.87893</v>
      </c>
      <c r="HP33">
        <v>1.8812599999999999</v>
      </c>
      <c r="HQ33">
        <v>1.87717</v>
      </c>
      <c r="HR33">
        <v>1.8749</v>
      </c>
      <c r="HS33">
        <v>1.8821000000000001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423</v>
      </c>
      <c r="IB33" t="s">
        <v>423</v>
      </c>
      <c r="IC33" t="s">
        <v>423</v>
      </c>
      <c r="ID33">
        <v>0</v>
      </c>
      <c r="IE33">
        <v>100</v>
      </c>
      <c r="IF33">
        <v>100</v>
      </c>
      <c r="IG33">
        <v>-0.53</v>
      </c>
      <c r="IH33">
        <v>0.39750000000000002</v>
      </c>
      <c r="II33">
        <v>-1.7019732907677221E-2</v>
      </c>
      <c r="IJ33">
        <v>7.0786345690369205E-4</v>
      </c>
      <c r="IK33">
        <v>-1.387476646623666E-6</v>
      </c>
      <c r="IL33">
        <v>3.6592443641472651E-10</v>
      </c>
      <c r="IM33">
        <v>-9.8303710700166649E-2</v>
      </c>
      <c r="IN33">
        <v>-1.92785045113246E-3</v>
      </c>
      <c r="IO33">
        <v>9.94469593919068E-4</v>
      </c>
      <c r="IP33">
        <v>-7.2714521965658074E-6</v>
      </c>
      <c r="IQ33">
        <v>2</v>
      </c>
      <c r="IR33">
        <v>2142</v>
      </c>
      <c r="IS33">
        <v>1</v>
      </c>
      <c r="IT33">
        <v>24</v>
      </c>
      <c r="IU33">
        <v>0.5</v>
      </c>
      <c r="IV33">
        <v>0.5</v>
      </c>
      <c r="IW33">
        <v>2.5708000000000002</v>
      </c>
      <c r="IX33">
        <v>2.63672</v>
      </c>
      <c r="IY33">
        <v>1.5490699999999999</v>
      </c>
      <c r="IZ33">
        <v>2.36328</v>
      </c>
      <c r="JA33">
        <v>1.5966800000000001</v>
      </c>
      <c r="JB33">
        <v>2.2338900000000002</v>
      </c>
      <c r="JC33">
        <v>43.182000000000002</v>
      </c>
      <c r="JD33">
        <v>24.087499999999999</v>
      </c>
      <c r="JE33">
        <v>18</v>
      </c>
      <c r="JF33">
        <v>532.18899999999996</v>
      </c>
      <c r="JG33">
        <v>441.46199999999999</v>
      </c>
      <c r="JH33">
        <v>24.8507</v>
      </c>
      <c r="JI33">
        <v>36.896599999999999</v>
      </c>
      <c r="JJ33">
        <v>30</v>
      </c>
      <c r="JK33">
        <v>36.764200000000002</v>
      </c>
      <c r="JL33">
        <v>36.736400000000003</v>
      </c>
      <c r="JM33">
        <v>51.405799999999999</v>
      </c>
      <c r="JN33">
        <v>26.675599999999999</v>
      </c>
      <c r="JO33">
        <v>0</v>
      </c>
      <c r="JP33">
        <v>24.810700000000001</v>
      </c>
      <c r="JQ33">
        <v>1250</v>
      </c>
      <c r="JR33">
        <v>23.6934</v>
      </c>
      <c r="JS33">
        <v>97.983900000000006</v>
      </c>
      <c r="JT33">
        <v>98.893100000000004</v>
      </c>
    </row>
    <row r="34" spans="1:280" x14ac:dyDescent="0.25">
      <c r="A34">
        <v>18</v>
      </c>
      <c r="B34">
        <v>1700151860</v>
      </c>
      <c r="C34">
        <v>4004</v>
      </c>
      <c r="D34" t="s">
        <v>494</v>
      </c>
      <c r="E34" t="s">
        <v>495</v>
      </c>
      <c r="F34" t="s">
        <v>412</v>
      </c>
      <c r="G34" t="s">
        <v>482</v>
      </c>
      <c r="H34" t="s">
        <v>31</v>
      </c>
      <c r="I34">
        <v>1700151860</v>
      </c>
      <c r="J34">
        <f t="shared" si="0"/>
        <v>2.2741426497184989E-3</v>
      </c>
      <c r="K34">
        <f t="shared" si="1"/>
        <v>2.2741426497184989</v>
      </c>
      <c r="L34">
        <f t="shared" si="2"/>
        <v>43.967792830362491</v>
      </c>
      <c r="M34">
        <f t="shared" si="3"/>
        <v>945.10599999999999</v>
      </c>
      <c r="N34">
        <f t="shared" si="4"/>
        <v>403.57025295393777</v>
      </c>
      <c r="O34">
        <f t="shared" si="5"/>
        <v>40.211721036528473</v>
      </c>
      <c r="P34">
        <f t="shared" si="6"/>
        <v>94.170317420018009</v>
      </c>
      <c r="Q34">
        <f t="shared" si="7"/>
        <v>0.13743275620754733</v>
      </c>
      <c r="R34">
        <f t="shared" si="8"/>
        <v>2.9280865077585019</v>
      </c>
      <c r="S34">
        <f t="shared" si="9"/>
        <v>0.13394714490465828</v>
      </c>
      <c r="T34">
        <f t="shared" si="10"/>
        <v>8.4022770744707209E-2</v>
      </c>
      <c r="U34">
        <f t="shared" si="11"/>
        <v>289.56806741918405</v>
      </c>
      <c r="V34">
        <f t="shared" si="12"/>
        <v>30.023457012239675</v>
      </c>
      <c r="W34">
        <f t="shared" si="13"/>
        <v>29.9969</v>
      </c>
      <c r="X34">
        <f t="shared" si="14"/>
        <v>4.259691209377328</v>
      </c>
      <c r="Y34">
        <f t="shared" si="15"/>
        <v>65.654209983868412</v>
      </c>
      <c r="Z34">
        <f t="shared" si="16"/>
        <v>2.6264693050988002</v>
      </c>
      <c r="AA34">
        <f t="shared" si="17"/>
        <v>4.0004583190386995</v>
      </c>
      <c r="AB34">
        <f t="shared" si="18"/>
        <v>1.6332219042785279</v>
      </c>
      <c r="AC34">
        <f t="shared" si="19"/>
        <v>-100.28969085258581</v>
      </c>
      <c r="AD34">
        <f t="shared" si="20"/>
        <v>-171.861093089093</v>
      </c>
      <c r="AE34">
        <f t="shared" si="21"/>
        <v>-12.98009981559299</v>
      </c>
      <c r="AF34">
        <f t="shared" si="22"/>
        <v>4.4371836619122291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52338.831481234163</v>
      </c>
      <c r="AL34" t="s">
        <v>415</v>
      </c>
      <c r="AM34">
        <v>10238.9</v>
      </c>
      <c r="AN34">
        <v>302.21199999999999</v>
      </c>
      <c r="AO34">
        <v>4052.3</v>
      </c>
      <c r="AP34">
        <f t="shared" si="26"/>
        <v>0.92542210596451402</v>
      </c>
      <c r="AQ34">
        <v>-0.32343011824092421</v>
      </c>
      <c r="AR34" t="s">
        <v>496</v>
      </c>
      <c r="AS34">
        <v>7087.23</v>
      </c>
      <c r="AT34">
        <v>756.93003999999985</v>
      </c>
      <c r="AU34">
        <v>1099.5310955346711</v>
      </c>
      <c r="AV34">
        <f t="shared" si="27"/>
        <v>0.31158832790269919</v>
      </c>
      <c r="AW34">
        <v>0.5</v>
      </c>
      <c r="AX34">
        <f t="shared" si="28"/>
        <v>1513.1931002171939</v>
      </c>
      <c r="AY34">
        <f t="shared" si="29"/>
        <v>43.967792830362491</v>
      </c>
      <c r="AZ34">
        <f t="shared" si="30"/>
        <v>235.74665394528847</v>
      </c>
      <c r="BA34">
        <f t="shared" si="31"/>
        <v>2.9270040249487088E-2</v>
      </c>
      <c r="BB34">
        <f t="shared" si="32"/>
        <v>2.6854801255343128</v>
      </c>
      <c r="BC34">
        <f t="shared" si="33"/>
        <v>251.78511804656674</v>
      </c>
      <c r="BD34" t="s">
        <v>497</v>
      </c>
      <c r="BE34">
        <v>526.52</v>
      </c>
      <c r="BF34">
        <f t="shared" si="34"/>
        <v>526.52</v>
      </c>
      <c r="BG34">
        <f t="shared" si="35"/>
        <v>0.52114132820957826</v>
      </c>
      <c r="BH34">
        <f t="shared" si="36"/>
        <v>0.59789602366249728</v>
      </c>
      <c r="BI34">
        <f t="shared" si="37"/>
        <v>0.83747962279703458</v>
      </c>
      <c r="BJ34">
        <f t="shared" si="38"/>
        <v>0.42969127097718351</v>
      </c>
      <c r="BK34">
        <f t="shared" si="39"/>
        <v>0.78738656385272254</v>
      </c>
      <c r="BL34">
        <f t="shared" si="40"/>
        <v>0.41589605081438979</v>
      </c>
      <c r="BM34">
        <f t="shared" si="41"/>
        <v>0.58410394918561015</v>
      </c>
      <c r="BN34">
        <v>34437</v>
      </c>
      <c r="BO34">
        <v>290.00000000000011</v>
      </c>
      <c r="BP34">
        <v>1000.13</v>
      </c>
      <c r="BQ34">
        <v>285</v>
      </c>
      <c r="BR34">
        <v>7087.23</v>
      </c>
      <c r="BS34">
        <v>1002.15</v>
      </c>
      <c r="BT34">
        <v>-2.02</v>
      </c>
      <c r="BU34">
        <v>300.00000000000011</v>
      </c>
      <c r="BV34">
        <v>38.299999999999997</v>
      </c>
      <c r="BW34">
        <v>1099.5310955346711</v>
      </c>
      <c r="BX34">
        <v>1.353380103491802</v>
      </c>
      <c r="BY34">
        <v>-69.017002172551074</v>
      </c>
      <c r="BZ34">
        <v>0.80412443411154155</v>
      </c>
      <c r="CA34">
        <v>0.99621344069511131</v>
      </c>
      <c r="CB34">
        <v>-6.9862698553948823E-3</v>
      </c>
      <c r="CC34">
        <v>289.99999999999989</v>
      </c>
      <c r="CD34">
        <v>1011.13</v>
      </c>
      <c r="CE34">
        <v>795</v>
      </c>
      <c r="CF34">
        <v>7081.53</v>
      </c>
      <c r="CG34">
        <v>1002.07</v>
      </c>
      <c r="CH34">
        <v>9.06</v>
      </c>
      <c r="CV34">
        <f t="shared" si="42"/>
        <v>1800.01</v>
      </c>
      <c r="CW34">
        <f t="shared" si="43"/>
        <v>1513.1931002171939</v>
      </c>
      <c r="CX34">
        <f t="shared" si="44"/>
        <v>0.84065816313086805</v>
      </c>
      <c r="CY34">
        <f t="shared" si="45"/>
        <v>0.16087025484257536</v>
      </c>
      <c r="CZ34">
        <v>5.97</v>
      </c>
      <c r="DA34">
        <v>0.5</v>
      </c>
      <c r="DB34" t="s">
        <v>418</v>
      </c>
      <c r="DC34">
        <v>2</v>
      </c>
      <c r="DD34">
        <v>1700151860</v>
      </c>
      <c r="DE34">
        <v>945.10599999999999</v>
      </c>
      <c r="DF34">
        <v>1000.15</v>
      </c>
      <c r="DG34">
        <v>26.3596</v>
      </c>
      <c r="DH34">
        <v>23.716799999999999</v>
      </c>
      <c r="DI34">
        <v>945.42499999999995</v>
      </c>
      <c r="DJ34">
        <v>25.971</v>
      </c>
      <c r="DK34">
        <v>500.18</v>
      </c>
      <c r="DL34">
        <v>99.539900000000003</v>
      </c>
      <c r="DM34">
        <v>0.100053</v>
      </c>
      <c r="DN34">
        <v>28.908200000000001</v>
      </c>
      <c r="DO34">
        <v>29.9969</v>
      </c>
      <c r="DP34">
        <v>999.9</v>
      </c>
      <c r="DQ34">
        <v>0</v>
      </c>
      <c r="DR34">
        <v>0</v>
      </c>
      <c r="DS34">
        <v>10007.5</v>
      </c>
      <c r="DT34">
        <v>0</v>
      </c>
      <c r="DU34">
        <v>201.143</v>
      </c>
      <c r="DV34">
        <v>-55.0458</v>
      </c>
      <c r="DW34">
        <v>970.69299999999998</v>
      </c>
      <c r="DX34">
        <v>1024.45</v>
      </c>
      <c r="DY34">
        <v>2.6427999999999998</v>
      </c>
      <c r="DZ34">
        <v>1000.15</v>
      </c>
      <c r="EA34">
        <v>23.716799999999999</v>
      </c>
      <c r="EB34">
        <v>2.62384</v>
      </c>
      <c r="EC34">
        <v>2.36077</v>
      </c>
      <c r="ED34">
        <v>21.8157</v>
      </c>
      <c r="EE34">
        <v>20.097200000000001</v>
      </c>
      <c r="EF34">
        <v>1800.01</v>
      </c>
      <c r="EG34">
        <v>0.97800100000000001</v>
      </c>
      <c r="EH34">
        <v>2.1999000000000001E-2</v>
      </c>
      <c r="EI34">
        <v>0</v>
      </c>
      <c r="EJ34">
        <v>756.90899999999999</v>
      </c>
      <c r="EK34">
        <v>4.9996700000000001</v>
      </c>
      <c r="EL34">
        <v>17423.5</v>
      </c>
      <c r="EM34">
        <v>15046.9</v>
      </c>
      <c r="EN34">
        <v>49.75</v>
      </c>
      <c r="EO34">
        <v>50.936999999999998</v>
      </c>
      <c r="EP34">
        <v>50.561999999999998</v>
      </c>
      <c r="EQ34">
        <v>50.686999999999998</v>
      </c>
      <c r="ER34">
        <v>51.186999999999998</v>
      </c>
      <c r="ES34">
        <v>1755.52</v>
      </c>
      <c r="ET34">
        <v>39.49</v>
      </c>
      <c r="EU34">
        <v>0</v>
      </c>
      <c r="EV34">
        <v>228.79999995231631</v>
      </c>
      <c r="EW34">
        <v>0</v>
      </c>
      <c r="EX34">
        <v>756.93003999999985</v>
      </c>
      <c r="EY34">
        <v>0.8577692309758036</v>
      </c>
      <c r="EZ34">
        <v>121.5153850510183</v>
      </c>
      <c r="FA34">
        <v>17417.968000000001</v>
      </c>
      <c r="FB34">
        <v>15</v>
      </c>
      <c r="FC34">
        <v>1700151828</v>
      </c>
      <c r="FD34" t="s">
        <v>498</v>
      </c>
      <c r="FE34">
        <v>1700151828</v>
      </c>
      <c r="FF34">
        <v>1700151822</v>
      </c>
      <c r="FG34">
        <v>22</v>
      </c>
      <c r="FH34">
        <v>-0.04</v>
      </c>
      <c r="FI34">
        <v>-6.0000000000000001E-3</v>
      </c>
      <c r="FJ34">
        <v>-0.371</v>
      </c>
      <c r="FK34">
        <v>0.30199999999999999</v>
      </c>
      <c r="FL34">
        <v>1000</v>
      </c>
      <c r="FM34">
        <v>24</v>
      </c>
      <c r="FN34">
        <v>0.03</v>
      </c>
      <c r="FO34">
        <v>0.04</v>
      </c>
      <c r="FP34">
        <v>43.763503427289827</v>
      </c>
      <c r="FQ34">
        <v>0.94135671499717621</v>
      </c>
      <c r="FR34">
        <v>9.073869153055189E-2</v>
      </c>
      <c r="FS34">
        <v>0</v>
      </c>
      <c r="FT34">
        <v>0.1339612165757568</v>
      </c>
      <c r="FU34">
        <v>5.2333375827435134E-3</v>
      </c>
      <c r="FV34">
        <v>7.0008667785330099E-4</v>
      </c>
      <c r="FW34">
        <v>1</v>
      </c>
      <c r="FX34">
        <v>1</v>
      </c>
      <c r="FY34">
        <v>2</v>
      </c>
      <c r="FZ34" t="s">
        <v>499</v>
      </c>
      <c r="GA34">
        <v>3.0139</v>
      </c>
      <c r="GB34">
        <v>2.7772000000000001</v>
      </c>
      <c r="GC34">
        <v>0.161161</v>
      </c>
      <c r="GD34">
        <v>0.16792499999999999</v>
      </c>
      <c r="GE34">
        <v>0.121462</v>
      </c>
      <c r="GF34">
        <v>0.11425100000000001</v>
      </c>
      <c r="GG34">
        <v>19997.8</v>
      </c>
      <c r="GH34">
        <v>20499.099999999999</v>
      </c>
      <c r="GI34">
        <v>23619.200000000001</v>
      </c>
      <c r="GJ34">
        <v>24307.7</v>
      </c>
      <c r="GK34">
        <v>30702.5</v>
      </c>
      <c r="GL34">
        <v>30878.9</v>
      </c>
      <c r="GM34">
        <v>38689.699999999997</v>
      </c>
      <c r="GN34">
        <v>38713.1</v>
      </c>
      <c r="GO34">
        <v>2.0008699999999999</v>
      </c>
      <c r="GP34">
        <v>1.75773</v>
      </c>
      <c r="GQ34">
        <v>4.22634E-2</v>
      </c>
      <c r="GR34">
        <v>0</v>
      </c>
      <c r="GS34">
        <v>29.308700000000002</v>
      </c>
      <c r="GT34">
        <v>999.9</v>
      </c>
      <c r="GU34">
        <v>43.1</v>
      </c>
      <c r="GV34">
        <v>39.799999999999997</v>
      </c>
      <c r="GW34">
        <v>31.7608</v>
      </c>
      <c r="GX34">
        <v>61.774299999999997</v>
      </c>
      <c r="GY34">
        <v>30.985600000000002</v>
      </c>
      <c r="GZ34">
        <v>1</v>
      </c>
      <c r="HA34">
        <v>0.80686500000000005</v>
      </c>
      <c r="HB34">
        <v>5.76126</v>
      </c>
      <c r="HC34">
        <v>20.225300000000001</v>
      </c>
      <c r="HD34">
        <v>5.2451400000000001</v>
      </c>
      <c r="HE34">
        <v>11.997999999999999</v>
      </c>
      <c r="HF34">
        <v>4.9636500000000003</v>
      </c>
      <c r="HG34">
        <v>3.3008500000000001</v>
      </c>
      <c r="HH34">
        <v>9999</v>
      </c>
      <c r="HI34">
        <v>9999</v>
      </c>
      <c r="HJ34">
        <v>9999</v>
      </c>
      <c r="HK34">
        <v>999.9</v>
      </c>
      <c r="HL34">
        <v>1.8748199999999999</v>
      </c>
      <c r="HM34">
        <v>1.88019</v>
      </c>
      <c r="HN34">
        <v>1.88019</v>
      </c>
      <c r="HO34">
        <v>1.87893</v>
      </c>
      <c r="HP34">
        <v>1.8812599999999999</v>
      </c>
      <c r="HQ34">
        <v>1.8771500000000001</v>
      </c>
      <c r="HR34">
        <v>1.8749800000000001</v>
      </c>
      <c r="HS34">
        <v>1.8820399999999999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423</v>
      </c>
      <c r="IB34" t="s">
        <v>423</v>
      </c>
      <c r="IC34" t="s">
        <v>423</v>
      </c>
      <c r="ID34">
        <v>0</v>
      </c>
      <c r="IE34">
        <v>100</v>
      </c>
      <c r="IF34">
        <v>100</v>
      </c>
      <c r="IG34">
        <v>-0.31900000000000001</v>
      </c>
      <c r="IH34">
        <v>0.3886</v>
      </c>
      <c r="II34">
        <v>-5.7130868381821687E-2</v>
      </c>
      <c r="IJ34">
        <v>7.0786345690369205E-4</v>
      </c>
      <c r="IK34">
        <v>-1.387476646623666E-6</v>
      </c>
      <c r="IL34">
        <v>3.6592443641472651E-10</v>
      </c>
      <c r="IM34">
        <v>-0.1046401622503325</v>
      </c>
      <c r="IN34">
        <v>-1.92785045113246E-3</v>
      </c>
      <c r="IO34">
        <v>9.94469593919068E-4</v>
      </c>
      <c r="IP34">
        <v>-7.2714521965658074E-6</v>
      </c>
      <c r="IQ34">
        <v>2</v>
      </c>
      <c r="IR34">
        <v>2142</v>
      </c>
      <c r="IS34">
        <v>1</v>
      </c>
      <c r="IT34">
        <v>24</v>
      </c>
      <c r="IU34">
        <v>0.5</v>
      </c>
      <c r="IV34">
        <v>0.6</v>
      </c>
      <c r="IW34">
        <v>2.1411099999999998</v>
      </c>
      <c r="IX34">
        <v>2.63184</v>
      </c>
      <c r="IY34">
        <v>1.5490699999999999</v>
      </c>
      <c r="IZ34">
        <v>2.36328</v>
      </c>
      <c r="JA34">
        <v>1.5966800000000001</v>
      </c>
      <c r="JB34">
        <v>2.3596200000000001</v>
      </c>
      <c r="JC34">
        <v>43.236199999999997</v>
      </c>
      <c r="JD34">
        <v>24.078700000000001</v>
      </c>
      <c r="JE34">
        <v>18</v>
      </c>
      <c r="JF34">
        <v>532.33900000000006</v>
      </c>
      <c r="JG34">
        <v>440.16199999999998</v>
      </c>
      <c r="JH34">
        <v>23.896799999999999</v>
      </c>
      <c r="JI34">
        <v>36.896599999999999</v>
      </c>
      <c r="JJ34">
        <v>30.0001</v>
      </c>
      <c r="JK34">
        <v>36.781500000000001</v>
      </c>
      <c r="JL34">
        <v>36.754899999999999</v>
      </c>
      <c r="JM34">
        <v>42.815100000000001</v>
      </c>
      <c r="JN34">
        <v>27.3474</v>
      </c>
      <c r="JO34">
        <v>0</v>
      </c>
      <c r="JP34">
        <v>23.8996</v>
      </c>
      <c r="JQ34">
        <v>1000</v>
      </c>
      <c r="JR34">
        <v>23.560400000000001</v>
      </c>
      <c r="JS34">
        <v>97.976299999999995</v>
      </c>
      <c r="JT34">
        <v>98.885000000000005</v>
      </c>
    </row>
    <row r="35" spans="1:280" x14ac:dyDescent="0.25">
      <c r="A35">
        <v>19</v>
      </c>
      <c r="B35">
        <v>1700152036</v>
      </c>
      <c r="C35">
        <v>4180</v>
      </c>
      <c r="D35" t="s">
        <v>500</v>
      </c>
      <c r="E35" t="s">
        <v>501</v>
      </c>
      <c r="F35" t="s">
        <v>412</v>
      </c>
      <c r="G35" t="s">
        <v>482</v>
      </c>
      <c r="H35" t="s">
        <v>31</v>
      </c>
      <c r="I35">
        <v>1700152036</v>
      </c>
      <c r="J35">
        <f t="shared" si="0"/>
        <v>2.9017285158302116E-3</v>
      </c>
      <c r="K35">
        <f t="shared" si="1"/>
        <v>2.9017285158302117</v>
      </c>
      <c r="L35">
        <f t="shared" si="2"/>
        <v>44.287551571242773</v>
      </c>
      <c r="M35">
        <f t="shared" si="3"/>
        <v>694.65300000000002</v>
      </c>
      <c r="N35">
        <f t="shared" si="4"/>
        <v>267.42872096880876</v>
      </c>
      <c r="O35">
        <f t="shared" si="5"/>
        <v>26.644251337734325</v>
      </c>
      <c r="P35">
        <f t="shared" si="6"/>
        <v>69.20913003457801</v>
      </c>
      <c r="Q35">
        <f t="shared" si="7"/>
        <v>0.17597105437300778</v>
      </c>
      <c r="R35">
        <f t="shared" si="8"/>
        <v>2.9270547594316545</v>
      </c>
      <c r="S35">
        <f t="shared" si="9"/>
        <v>0.17029801518335039</v>
      </c>
      <c r="T35">
        <f t="shared" si="10"/>
        <v>0.10693072420178293</v>
      </c>
      <c r="U35">
        <f t="shared" si="11"/>
        <v>289.56008741919578</v>
      </c>
      <c r="V35">
        <f t="shared" si="12"/>
        <v>29.862146790592309</v>
      </c>
      <c r="W35">
        <f t="shared" si="13"/>
        <v>29.962</v>
      </c>
      <c r="X35">
        <f t="shared" si="14"/>
        <v>4.2511593760365587</v>
      </c>
      <c r="Y35">
        <f t="shared" si="15"/>
        <v>65.286897002009141</v>
      </c>
      <c r="Z35">
        <f t="shared" si="16"/>
        <v>2.6120019626742002</v>
      </c>
      <c r="AA35">
        <f t="shared" si="17"/>
        <v>4.000805801191345</v>
      </c>
      <c r="AB35">
        <f t="shared" si="18"/>
        <v>1.6391574133623585</v>
      </c>
      <c r="AC35">
        <f t="shared" si="19"/>
        <v>-127.96622754811233</v>
      </c>
      <c r="AD35">
        <f t="shared" si="20"/>
        <v>-166.05649276524125</v>
      </c>
      <c r="AE35">
        <f t="shared" si="21"/>
        <v>-12.544037574513164</v>
      </c>
      <c r="AF35">
        <f t="shared" si="22"/>
        <v>-17.006670468670933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52308.921156161108</v>
      </c>
      <c r="AL35" t="s">
        <v>426</v>
      </c>
      <c r="AM35" t="s">
        <v>426</v>
      </c>
      <c r="AN35">
        <v>0</v>
      </c>
      <c r="AO35">
        <v>0</v>
      </c>
      <c r="AP35" t="e">
        <f t="shared" si="26"/>
        <v>#DIV/0!</v>
      </c>
      <c r="AQ35">
        <v>0</v>
      </c>
      <c r="AR35" t="s">
        <v>426</v>
      </c>
      <c r="AS35" t="s">
        <v>426</v>
      </c>
      <c r="AT35">
        <v>0</v>
      </c>
      <c r="AU35">
        <v>0</v>
      </c>
      <c r="AV35" t="e">
        <f t="shared" si="27"/>
        <v>#DIV/0!</v>
      </c>
      <c r="AW35">
        <v>0.5</v>
      </c>
      <c r="AX35">
        <f t="shared" si="28"/>
        <v>1513.1511002171999</v>
      </c>
      <c r="AY35">
        <f t="shared" si="29"/>
        <v>44.287551571242773</v>
      </c>
      <c r="AZ35" t="e">
        <f t="shared" si="30"/>
        <v>#DIV/0!</v>
      </c>
      <c r="BA35">
        <f t="shared" si="31"/>
        <v>2.926842637518862E-2</v>
      </c>
      <c r="BB35" t="e">
        <f t="shared" si="32"/>
        <v>#DIV/0!</v>
      </c>
      <c r="BC35" t="e">
        <f t="shared" si="33"/>
        <v>#DIV/0!</v>
      </c>
      <c r="BD35" t="s">
        <v>426</v>
      </c>
      <c r="BE35">
        <v>0</v>
      </c>
      <c r="BF35" t="e">
        <f t="shared" si="34"/>
        <v>#DIV/0!</v>
      </c>
      <c r="BG35" t="e">
        <f t="shared" si="35"/>
        <v>#DIV/0!</v>
      </c>
      <c r="BH35" t="e">
        <f t="shared" si="36"/>
        <v>#DIV/0!</v>
      </c>
      <c r="BI35" t="e">
        <f t="shared" si="37"/>
        <v>#DIV/0!</v>
      </c>
      <c r="BJ35" t="e">
        <f t="shared" si="38"/>
        <v>#DIV/0!</v>
      </c>
      <c r="BK35" t="e">
        <f t="shared" si="39"/>
        <v>#DIV/0!</v>
      </c>
      <c r="BL35" t="e">
        <f t="shared" si="40"/>
        <v>#DIV/0!</v>
      </c>
      <c r="BM35" t="e">
        <f t="shared" si="41"/>
        <v>#DIV/0!</v>
      </c>
      <c r="BN35">
        <v>34437</v>
      </c>
      <c r="BO35">
        <v>290.00000000000011</v>
      </c>
      <c r="BP35">
        <v>1000.13</v>
      </c>
      <c r="BQ35">
        <v>285</v>
      </c>
      <c r="BR35">
        <v>7087.23</v>
      </c>
      <c r="BS35">
        <v>1002.15</v>
      </c>
      <c r="BT35">
        <v>-2.02</v>
      </c>
      <c r="BU35">
        <v>300.00000000000011</v>
      </c>
      <c r="BV35">
        <v>38.299999999999997</v>
      </c>
      <c r="BW35">
        <v>1099.5310955346711</v>
      </c>
      <c r="BX35">
        <v>1.353380103491802</v>
      </c>
      <c r="BY35">
        <v>-69.017002172551074</v>
      </c>
      <c r="BZ35">
        <v>0.80412443411154155</v>
      </c>
      <c r="CA35">
        <v>0.99621344069511131</v>
      </c>
      <c r="CB35">
        <v>-6.9862698553948823E-3</v>
      </c>
      <c r="CC35">
        <v>289.99999999999989</v>
      </c>
      <c r="CD35">
        <v>1011.13</v>
      </c>
      <c r="CE35">
        <v>795</v>
      </c>
      <c r="CF35">
        <v>7081.53</v>
      </c>
      <c r="CG35">
        <v>1002.07</v>
      </c>
      <c r="CH35">
        <v>9.06</v>
      </c>
      <c r="CV35">
        <f t="shared" si="42"/>
        <v>1799.96</v>
      </c>
      <c r="CW35">
        <f t="shared" si="43"/>
        <v>1513.1511002171999</v>
      </c>
      <c r="CX35">
        <f t="shared" si="44"/>
        <v>0.84065818141358684</v>
      </c>
      <c r="CY35">
        <f t="shared" si="45"/>
        <v>0.16087029012822271</v>
      </c>
      <c r="CZ35">
        <v>5.97</v>
      </c>
      <c r="DA35">
        <v>0.5</v>
      </c>
      <c r="DB35" t="s">
        <v>418</v>
      </c>
      <c r="DC35">
        <v>2</v>
      </c>
      <c r="DD35">
        <v>1700152036</v>
      </c>
      <c r="DE35">
        <v>694.65300000000002</v>
      </c>
      <c r="DF35">
        <v>749.93200000000002</v>
      </c>
      <c r="DG35">
        <v>26.216699999999999</v>
      </c>
      <c r="DH35">
        <v>22.843299999999999</v>
      </c>
      <c r="DI35">
        <v>695.05499999999995</v>
      </c>
      <c r="DJ35">
        <v>25.8276</v>
      </c>
      <c r="DK35">
        <v>500.06400000000002</v>
      </c>
      <c r="DL35">
        <v>99.531199999999998</v>
      </c>
      <c r="DM35">
        <v>0.100026</v>
      </c>
      <c r="DN35">
        <v>28.909700000000001</v>
      </c>
      <c r="DO35">
        <v>29.962</v>
      </c>
      <c r="DP35">
        <v>999.9</v>
      </c>
      <c r="DQ35">
        <v>0</v>
      </c>
      <c r="DR35">
        <v>0</v>
      </c>
      <c r="DS35">
        <v>10002.5</v>
      </c>
      <c r="DT35">
        <v>0</v>
      </c>
      <c r="DU35">
        <v>190.38300000000001</v>
      </c>
      <c r="DV35">
        <v>-55.279200000000003</v>
      </c>
      <c r="DW35">
        <v>713.35500000000002</v>
      </c>
      <c r="DX35">
        <v>767.46400000000006</v>
      </c>
      <c r="DY35">
        <v>3.37337</v>
      </c>
      <c r="DZ35">
        <v>749.93200000000002</v>
      </c>
      <c r="EA35">
        <v>22.843299999999999</v>
      </c>
      <c r="EB35">
        <v>2.6093799999999998</v>
      </c>
      <c r="EC35">
        <v>2.2736200000000002</v>
      </c>
      <c r="ED35">
        <v>21.725300000000001</v>
      </c>
      <c r="EE35">
        <v>19.4907</v>
      </c>
      <c r="EF35">
        <v>1799.96</v>
      </c>
      <c r="EG35">
        <v>0.97800100000000001</v>
      </c>
      <c r="EH35">
        <v>2.1999000000000001E-2</v>
      </c>
      <c r="EI35">
        <v>0</v>
      </c>
      <c r="EJ35">
        <v>756.64099999999996</v>
      </c>
      <c r="EK35">
        <v>4.9996700000000001</v>
      </c>
      <c r="EL35">
        <v>16984.599999999999</v>
      </c>
      <c r="EM35">
        <v>15046.4</v>
      </c>
      <c r="EN35">
        <v>49.75</v>
      </c>
      <c r="EO35">
        <v>50.936999999999998</v>
      </c>
      <c r="EP35">
        <v>50.561999999999998</v>
      </c>
      <c r="EQ35">
        <v>50.686999999999998</v>
      </c>
      <c r="ER35">
        <v>51.125</v>
      </c>
      <c r="ES35">
        <v>1755.47</v>
      </c>
      <c r="ET35">
        <v>39.49</v>
      </c>
      <c r="EU35">
        <v>0</v>
      </c>
      <c r="EV35">
        <v>174</v>
      </c>
      <c r="EW35">
        <v>0</v>
      </c>
      <c r="EX35">
        <v>756.63234615384613</v>
      </c>
      <c r="EY35">
        <v>-0.670803427693626</v>
      </c>
      <c r="EZ35">
        <v>-439.07692308362817</v>
      </c>
      <c r="FA35">
        <v>17074.238461538462</v>
      </c>
      <c r="FB35">
        <v>15</v>
      </c>
      <c r="FC35">
        <v>1700151932.5</v>
      </c>
      <c r="FD35" t="s">
        <v>502</v>
      </c>
      <c r="FE35">
        <v>1700151931.5</v>
      </c>
      <c r="FF35">
        <v>1700151932.5</v>
      </c>
      <c r="FG35">
        <v>23</v>
      </c>
      <c r="FH35">
        <v>-0.28999999999999998</v>
      </c>
      <c r="FI35">
        <v>5.0000000000000001E-3</v>
      </c>
      <c r="FJ35">
        <v>-0.442</v>
      </c>
      <c r="FK35">
        <v>0.29499999999999998</v>
      </c>
      <c r="FL35">
        <v>750</v>
      </c>
      <c r="FM35">
        <v>23</v>
      </c>
      <c r="FN35">
        <v>0.04</v>
      </c>
      <c r="FO35">
        <v>0.02</v>
      </c>
      <c r="FP35">
        <v>44.26153853799967</v>
      </c>
      <c r="FQ35">
        <v>0.56491056043305798</v>
      </c>
      <c r="FR35">
        <v>6.3943375188963758E-2</v>
      </c>
      <c r="FS35">
        <v>1</v>
      </c>
      <c r="FT35">
        <v>0.1749978525565607</v>
      </c>
      <c r="FU35">
        <v>1.4668511547540061E-2</v>
      </c>
      <c r="FV35">
        <v>1.2613088734424981E-3</v>
      </c>
      <c r="FW35">
        <v>1</v>
      </c>
      <c r="FX35">
        <v>2</v>
      </c>
      <c r="FY35">
        <v>2</v>
      </c>
      <c r="FZ35" t="s">
        <v>420</v>
      </c>
      <c r="GA35">
        <v>3.01362</v>
      </c>
      <c r="GB35">
        <v>2.7771300000000001</v>
      </c>
      <c r="GC35">
        <v>0.13131000000000001</v>
      </c>
      <c r="GD35">
        <v>0.13899500000000001</v>
      </c>
      <c r="GE35">
        <v>0.12098100000000001</v>
      </c>
      <c r="GF35">
        <v>0.111302</v>
      </c>
      <c r="GG35">
        <v>20711.099999999999</v>
      </c>
      <c r="GH35">
        <v>21213.5</v>
      </c>
      <c r="GI35">
        <v>23619.8</v>
      </c>
      <c r="GJ35">
        <v>24308.1</v>
      </c>
      <c r="GK35">
        <v>30720.2</v>
      </c>
      <c r="GL35">
        <v>30982.7</v>
      </c>
      <c r="GM35">
        <v>38690.699999999997</v>
      </c>
      <c r="GN35">
        <v>38714.300000000003</v>
      </c>
      <c r="GO35">
        <v>2.0017800000000001</v>
      </c>
      <c r="GP35">
        <v>1.7539499999999999</v>
      </c>
      <c r="GQ35">
        <v>1.17719E-2</v>
      </c>
      <c r="GR35">
        <v>0</v>
      </c>
      <c r="GS35">
        <v>29.770399999999999</v>
      </c>
      <c r="GT35">
        <v>999.9</v>
      </c>
      <c r="GU35">
        <v>42.8</v>
      </c>
      <c r="GV35">
        <v>40</v>
      </c>
      <c r="GW35">
        <v>31.878399999999999</v>
      </c>
      <c r="GX35">
        <v>61.514400000000002</v>
      </c>
      <c r="GY35">
        <v>30.921500000000002</v>
      </c>
      <c r="GZ35">
        <v>1</v>
      </c>
      <c r="HA35">
        <v>0.80059199999999997</v>
      </c>
      <c r="HB35">
        <v>4.5489800000000002</v>
      </c>
      <c r="HC35">
        <v>20.2654</v>
      </c>
      <c r="HD35">
        <v>5.2452899999999998</v>
      </c>
      <c r="HE35">
        <v>11.997999999999999</v>
      </c>
      <c r="HF35">
        <v>4.9636500000000003</v>
      </c>
      <c r="HG35">
        <v>3.3008000000000002</v>
      </c>
      <c r="HH35">
        <v>9999</v>
      </c>
      <c r="HI35">
        <v>9999</v>
      </c>
      <c r="HJ35">
        <v>9999</v>
      </c>
      <c r="HK35">
        <v>999.9</v>
      </c>
      <c r="HL35">
        <v>1.8748400000000001</v>
      </c>
      <c r="HM35">
        <v>1.88018</v>
      </c>
      <c r="HN35">
        <v>1.88019</v>
      </c>
      <c r="HO35">
        <v>1.87893</v>
      </c>
      <c r="HP35">
        <v>1.8812599999999999</v>
      </c>
      <c r="HQ35">
        <v>1.8772200000000001</v>
      </c>
      <c r="HR35">
        <v>1.8749199999999999</v>
      </c>
      <c r="HS35">
        <v>1.88208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423</v>
      </c>
      <c r="IB35" t="s">
        <v>423</v>
      </c>
      <c r="IC35" t="s">
        <v>423</v>
      </c>
      <c r="ID35">
        <v>0</v>
      </c>
      <c r="IE35">
        <v>100</v>
      </c>
      <c r="IF35">
        <v>100</v>
      </c>
      <c r="IG35">
        <v>-0.40200000000000002</v>
      </c>
      <c r="IH35">
        <v>0.3891</v>
      </c>
      <c r="II35">
        <v>-0.34683026199184042</v>
      </c>
      <c r="IJ35">
        <v>7.0786345690369205E-4</v>
      </c>
      <c r="IK35">
        <v>-1.387476646623666E-6</v>
      </c>
      <c r="IL35">
        <v>3.6592443641472651E-10</v>
      </c>
      <c r="IM35">
        <v>-9.9190132227734998E-2</v>
      </c>
      <c r="IN35">
        <v>-1.92785045113246E-3</v>
      </c>
      <c r="IO35">
        <v>9.94469593919068E-4</v>
      </c>
      <c r="IP35">
        <v>-7.2714521965658074E-6</v>
      </c>
      <c r="IQ35">
        <v>2</v>
      </c>
      <c r="IR35">
        <v>2142</v>
      </c>
      <c r="IS35">
        <v>1</v>
      </c>
      <c r="IT35">
        <v>24</v>
      </c>
      <c r="IU35">
        <v>1.7</v>
      </c>
      <c r="IV35">
        <v>1.7</v>
      </c>
      <c r="IW35">
        <v>1.6906699999999999</v>
      </c>
      <c r="IX35">
        <v>2.6355</v>
      </c>
      <c r="IY35">
        <v>1.5490699999999999</v>
      </c>
      <c r="IZ35">
        <v>2.36328</v>
      </c>
      <c r="JA35">
        <v>1.5966800000000001</v>
      </c>
      <c r="JB35">
        <v>2.2522000000000002</v>
      </c>
      <c r="JC35">
        <v>43.399099999999997</v>
      </c>
      <c r="JD35">
        <v>24.087499999999999</v>
      </c>
      <c r="JE35">
        <v>18</v>
      </c>
      <c r="JF35">
        <v>533.10299999999995</v>
      </c>
      <c r="JG35">
        <v>437.91300000000001</v>
      </c>
      <c r="JH35">
        <v>24.5642</v>
      </c>
      <c r="JI35">
        <v>36.896599999999999</v>
      </c>
      <c r="JJ35">
        <v>29.9999</v>
      </c>
      <c r="JK35">
        <v>36.802300000000002</v>
      </c>
      <c r="JL35">
        <v>36.779000000000003</v>
      </c>
      <c r="JM35">
        <v>33.816000000000003</v>
      </c>
      <c r="JN35">
        <v>30.293299999999999</v>
      </c>
      <c r="JO35">
        <v>0</v>
      </c>
      <c r="JP35">
        <v>24.5717</v>
      </c>
      <c r="JQ35">
        <v>750</v>
      </c>
      <c r="JR35">
        <v>22.8155</v>
      </c>
      <c r="JS35">
        <v>97.978999999999999</v>
      </c>
      <c r="JT35">
        <v>98.887500000000003</v>
      </c>
    </row>
    <row r="36" spans="1:280" x14ac:dyDescent="0.25">
      <c r="A36">
        <v>20</v>
      </c>
      <c r="B36">
        <v>1700152193.5</v>
      </c>
      <c r="C36">
        <v>4337.5</v>
      </c>
      <c r="D36" t="s">
        <v>503</v>
      </c>
      <c r="E36" t="s">
        <v>504</v>
      </c>
      <c r="F36" t="s">
        <v>412</v>
      </c>
      <c r="G36" t="s">
        <v>482</v>
      </c>
      <c r="H36" t="s">
        <v>31</v>
      </c>
      <c r="I36">
        <v>1700152193.5</v>
      </c>
      <c r="J36">
        <f t="shared" si="0"/>
        <v>3.4827551192849688E-3</v>
      </c>
      <c r="K36">
        <f t="shared" si="1"/>
        <v>3.4827551192849686</v>
      </c>
      <c r="L36">
        <f t="shared" si="2"/>
        <v>43.315507805938232</v>
      </c>
      <c r="M36">
        <f t="shared" si="3"/>
        <v>546.01300000000003</v>
      </c>
      <c r="N36">
        <f t="shared" si="4"/>
        <v>202.73492429473791</v>
      </c>
      <c r="O36">
        <f t="shared" si="5"/>
        <v>20.198675558755404</v>
      </c>
      <c r="P36">
        <f t="shared" si="6"/>
        <v>54.399800509107308</v>
      </c>
      <c r="Q36">
        <f t="shared" si="7"/>
        <v>0.21521908373410373</v>
      </c>
      <c r="R36">
        <f t="shared" si="8"/>
        <v>2.9284736765248569</v>
      </c>
      <c r="S36">
        <f t="shared" si="9"/>
        <v>0.2068022944685432</v>
      </c>
      <c r="T36">
        <f t="shared" si="10"/>
        <v>0.12998022244055013</v>
      </c>
      <c r="U36">
        <f t="shared" si="11"/>
        <v>289.58185241905699</v>
      </c>
      <c r="V36">
        <f t="shared" si="12"/>
        <v>29.852809261485113</v>
      </c>
      <c r="W36">
        <f t="shared" si="13"/>
        <v>29.915400000000002</v>
      </c>
      <c r="X36">
        <f t="shared" si="14"/>
        <v>4.2397905218696668</v>
      </c>
      <c r="Y36">
        <f t="shared" si="15"/>
        <v>64.942573065711287</v>
      </c>
      <c r="Z36">
        <f t="shared" si="16"/>
        <v>2.6196666281687704</v>
      </c>
      <c r="AA36">
        <f t="shared" si="17"/>
        <v>4.0338201960647533</v>
      </c>
      <c r="AB36">
        <f t="shared" si="18"/>
        <v>1.6201238937008964</v>
      </c>
      <c r="AC36">
        <f t="shared" si="19"/>
        <v>-153.58950076046713</v>
      </c>
      <c r="AD36">
        <f t="shared" si="20"/>
        <v>-136.36084617951579</v>
      </c>
      <c r="AE36">
        <f t="shared" si="21"/>
        <v>-10.3006763088701</v>
      </c>
      <c r="AF36">
        <f t="shared" si="22"/>
        <v>-10.66917082979603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52324.826472240624</v>
      </c>
      <c r="AL36" t="s">
        <v>415</v>
      </c>
      <c r="AM36">
        <v>10238.9</v>
      </c>
      <c r="AN36">
        <v>302.21199999999999</v>
      </c>
      <c r="AO36">
        <v>4052.3</v>
      </c>
      <c r="AP36">
        <f t="shared" si="26"/>
        <v>0.92542210596451402</v>
      </c>
      <c r="AQ36">
        <v>-0.32343011824092421</v>
      </c>
      <c r="AR36" t="s">
        <v>505</v>
      </c>
      <c r="AS36">
        <v>7088.33</v>
      </c>
      <c r="AT36">
        <v>757.31791999999996</v>
      </c>
      <c r="AU36">
        <v>1080.375482067001</v>
      </c>
      <c r="AV36">
        <f t="shared" si="27"/>
        <v>0.29902341123932152</v>
      </c>
      <c r="AW36">
        <v>0.5</v>
      </c>
      <c r="AX36">
        <f t="shared" si="28"/>
        <v>1513.2684002171279</v>
      </c>
      <c r="AY36">
        <f t="shared" si="29"/>
        <v>43.315507805938232</v>
      </c>
      <c r="AZ36">
        <f t="shared" si="30"/>
        <v>226.25133957679822</v>
      </c>
      <c r="BA36">
        <f t="shared" si="31"/>
        <v>2.8837539935359594E-2</v>
      </c>
      <c r="BB36">
        <f t="shared" si="32"/>
        <v>2.7508255854224308</v>
      </c>
      <c r="BC36">
        <f t="shared" si="33"/>
        <v>250.76696232633842</v>
      </c>
      <c r="BD36" t="s">
        <v>506</v>
      </c>
      <c r="BE36">
        <v>527.19000000000005</v>
      </c>
      <c r="BF36">
        <f t="shared" si="34"/>
        <v>527.19000000000005</v>
      </c>
      <c r="BG36">
        <f t="shared" si="35"/>
        <v>0.51203076268320424</v>
      </c>
      <c r="BH36">
        <f t="shared" si="36"/>
        <v>0.58399501169098444</v>
      </c>
      <c r="BI36">
        <f t="shared" si="37"/>
        <v>0.84307284536737837</v>
      </c>
      <c r="BJ36">
        <f t="shared" si="38"/>
        <v>0.41515384557609625</v>
      </c>
      <c r="BK36">
        <f t="shared" si="39"/>
        <v>0.79249460757534196</v>
      </c>
      <c r="BL36">
        <f t="shared" si="40"/>
        <v>0.40653511832041445</v>
      </c>
      <c r="BM36">
        <f t="shared" si="41"/>
        <v>0.59346488167958555</v>
      </c>
      <c r="BN36">
        <v>34439</v>
      </c>
      <c r="BO36">
        <v>290.00000000000011</v>
      </c>
      <c r="BP36">
        <v>985.89</v>
      </c>
      <c r="BQ36">
        <v>245</v>
      </c>
      <c r="BR36">
        <v>7088.33</v>
      </c>
      <c r="BS36">
        <v>989.31</v>
      </c>
      <c r="BT36">
        <v>-3.42</v>
      </c>
      <c r="BU36">
        <v>300.00000000000011</v>
      </c>
      <c r="BV36">
        <v>38.299999999999997</v>
      </c>
      <c r="BW36">
        <v>1080.375482067001</v>
      </c>
      <c r="BX36">
        <v>1.3880611942124179</v>
      </c>
      <c r="BY36">
        <v>-64.547403512811385</v>
      </c>
      <c r="BZ36">
        <v>0.8246982616669728</v>
      </c>
      <c r="CA36">
        <v>0.99545001366320152</v>
      </c>
      <c r="CB36">
        <v>-6.9862424916573946E-3</v>
      </c>
      <c r="CC36">
        <v>289.99999999999989</v>
      </c>
      <c r="CD36">
        <v>997.94</v>
      </c>
      <c r="CE36">
        <v>755</v>
      </c>
      <c r="CF36">
        <v>7081.94</v>
      </c>
      <c r="CG36">
        <v>989.23</v>
      </c>
      <c r="CH36">
        <v>8.7100000000000009</v>
      </c>
      <c r="CV36">
        <f t="shared" si="42"/>
        <v>1800.1</v>
      </c>
      <c r="CW36">
        <f t="shared" si="43"/>
        <v>1513.2684002171279</v>
      </c>
      <c r="CX36">
        <f t="shared" si="44"/>
        <v>0.8406579635670951</v>
      </c>
      <c r="CY36">
        <f t="shared" si="45"/>
        <v>0.16086986968449363</v>
      </c>
      <c r="CZ36">
        <v>5.97</v>
      </c>
      <c r="DA36">
        <v>0.5</v>
      </c>
      <c r="DB36" t="s">
        <v>418</v>
      </c>
      <c r="DC36">
        <v>2</v>
      </c>
      <c r="DD36">
        <v>1700152193.5</v>
      </c>
      <c r="DE36">
        <v>546.01300000000003</v>
      </c>
      <c r="DF36">
        <v>599.99599999999998</v>
      </c>
      <c r="DG36">
        <v>26.293700000000001</v>
      </c>
      <c r="DH36">
        <v>22.245100000000001</v>
      </c>
      <c r="DI36">
        <v>546.42999999999995</v>
      </c>
      <c r="DJ36">
        <v>25.8962</v>
      </c>
      <c r="DK36">
        <v>500.05799999999999</v>
      </c>
      <c r="DL36">
        <v>99.531000000000006</v>
      </c>
      <c r="DM36">
        <v>9.9962099999999998E-2</v>
      </c>
      <c r="DN36">
        <v>29.0517</v>
      </c>
      <c r="DO36">
        <v>29.915400000000002</v>
      </c>
      <c r="DP36">
        <v>999.9</v>
      </c>
      <c r="DQ36">
        <v>0</v>
      </c>
      <c r="DR36">
        <v>0</v>
      </c>
      <c r="DS36">
        <v>10010.6</v>
      </c>
      <c r="DT36">
        <v>0</v>
      </c>
      <c r="DU36">
        <v>166.40899999999999</v>
      </c>
      <c r="DV36">
        <v>-53.982700000000001</v>
      </c>
      <c r="DW36">
        <v>560.75699999999995</v>
      </c>
      <c r="DX36">
        <v>613.64599999999996</v>
      </c>
      <c r="DY36">
        <v>4.0485899999999999</v>
      </c>
      <c r="DZ36">
        <v>599.99599999999998</v>
      </c>
      <c r="EA36">
        <v>22.245100000000001</v>
      </c>
      <c r="EB36">
        <v>2.6170399999999998</v>
      </c>
      <c r="EC36">
        <v>2.21408</v>
      </c>
      <c r="ED36">
        <v>21.773299999999999</v>
      </c>
      <c r="EE36">
        <v>19.064599999999999</v>
      </c>
      <c r="EF36">
        <v>1800.1</v>
      </c>
      <c r="EG36">
        <v>0.97800399999999998</v>
      </c>
      <c r="EH36">
        <v>2.1995600000000001E-2</v>
      </c>
      <c r="EI36">
        <v>0</v>
      </c>
      <c r="EJ36">
        <v>757.48</v>
      </c>
      <c r="EK36">
        <v>4.9996700000000001</v>
      </c>
      <c r="EL36">
        <v>15801.8</v>
      </c>
      <c r="EM36">
        <v>15047.6</v>
      </c>
      <c r="EN36">
        <v>49.75</v>
      </c>
      <c r="EO36">
        <v>50.936999999999998</v>
      </c>
      <c r="EP36">
        <v>50.5</v>
      </c>
      <c r="EQ36">
        <v>50.625</v>
      </c>
      <c r="ER36">
        <v>51.061999999999998</v>
      </c>
      <c r="ES36">
        <v>1755.62</v>
      </c>
      <c r="ET36">
        <v>39.479999999999997</v>
      </c>
      <c r="EU36">
        <v>0</v>
      </c>
      <c r="EV36">
        <v>331.79999995231628</v>
      </c>
      <c r="EW36">
        <v>0</v>
      </c>
      <c r="EX36">
        <v>757.31791999999996</v>
      </c>
      <c r="EY36">
        <v>-0.40230769793282939</v>
      </c>
      <c r="EZ36">
        <v>-1456.9615410889451</v>
      </c>
      <c r="FA36">
        <v>15971.444</v>
      </c>
      <c r="FB36">
        <v>15</v>
      </c>
      <c r="FC36">
        <v>1700152098</v>
      </c>
      <c r="FD36" t="s">
        <v>507</v>
      </c>
      <c r="FE36">
        <v>1700152098</v>
      </c>
      <c r="FF36">
        <v>1700152093.5</v>
      </c>
      <c r="FG36">
        <v>24</v>
      </c>
      <c r="FH36">
        <v>-0.10199999999999999</v>
      </c>
      <c r="FI36">
        <v>6.0000000000000001E-3</v>
      </c>
      <c r="FJ36">
        <v>-0.44500000000000001</v>
      </c>
      <c r="FK36">
        <v>0.28699999999999998</v>
      </c>
      <c r="FL36">
        <v>600</v>
      </c>
      <c r="FM36">
        <v>23</v>
      </c>
      <c r="FN36">
        <v>0.06</v>
      </c>
      <c r="FO36">
        <v>7.0000000000000007E-2</v>
      </c>
      <c r="FP36">
        <v>43.234551698569142</v>
      </c>
      <c r="FQ36">
        <v>0.64001632124064811</v>
      </c>
      <c r="FR36">
        <v>5.8089664730884318E-2</v>
      </c>
      <c r="FS36">
        <v>1</v>
      </c>
      <c r="FT36">
        <v>0.2117073964923239</v>
      </c>
      <c r="FU36">
        <v>3.5393491236336172E-2</v>
      </c>
      <c r="FV36">
        <v>2.7205191595491818E-3</v>
      </c>
      <c r="FW36">
        <v>1</v>
      </c>
      <c r="FX36">
        <v>2</v>
      </c>
      <c r="FY36">
        <v>2</v>
      </c>
      <c r="FZ36" t="s">
        <v>420</v>
      </c>
      <c r="GA36">
        <v>3.0135900000000002</v>
      </c>
      <c r="GB36">
        <v>2.7771400000000002</v>
      </c>
      <c r="GC36">
        <v>0.1109</v>
      </c>
      <c r="GD36">
        <v>0.11919100000000001</v>
      </c>
      <c r="GE36">
        <v>0.121202</v>
      </c>
      <c r="GF36">
        <v>0.109263</v>
      </c>
      <c r="GG36">
        <v>21199.9</v>
      </c>
      <c r="GH36">
        <v>21703.3</v>
      </c>
      <c r="GI36">
        <v>23621.9</v>
      </c>
      <c r="GJ36">
        <v>24309.7</v>
      </c>
      <c r="GK36">
        <v>30715.200000000001</v>
      </c>
      <c r="GL36">
        <v>31056</v>
      </c>
      <c r="GM36">
        <v>38694</v>
      </c>
      <c r="GN36">
        <v>38717</v>
      </c>
      <c r="GO36">
        <v>2.0017999999999998</v>
      </c>
      <c r="GP36">
        <v>1.75115</v>
      </c>
      <c r="GQ36">
        <v>6.7017999999999999E-3</v>
      </c>
      <c r="GR36">
        <v>0</v>
      </c>
      <c r="GS36">
        <v>29.8064</v>
      </c>
      <c r="GT36">
        <v>999.9</v>
      </c>
      <c r="GU36">
        <v>42.5</v>
      </c>
      <c r="GV36">
        <v>40.200000000000003</v>
      </c>
      <c r="GW36">
        <v>31.996400000000001</v>
      </c>
      <c r="GX36">
        <v>60.964500000000001</v>
      </c>
      <c r="GY36">
        <v>30.785299999999999</v>
      </c>
      <c r="GZ36">
        <v>1</v>
      </c>
      <c r="HA36">
        <v>0.79473099999999997</v>
      </c>
      <c r="HB36">
        <v>3.7610999999999999</v>
      </c>
      <c r="HC36">
        <v>20.285299999999999</v>
      </c>
      <c r="HD36">
        <v>5.2439499999999999</v>
      </c>
      <c r="HE36">
        <v>11.997999999999999</v>
      </c>
      <c r="HF36">
        <v>4.9634499999999999</v>
      </c>
      <c r="HG36">
        <v>3.3007499999999999</v>
      </c>
      <c r="HH36">
        <v>9999</v>
      </c>
      <c r="HI36">
        <v>9999</v>
      </c>
      <c r="HJ36">
        <v>9999</v>
      </c>
      <c r="HK36">
        <v>999.9</v>
      </c>
      <c r="HL36">
        <v>1.87483</v>
      </c>
      <c r="HM36">
        <v>1.88019</v>
      </c>
      <c r="HN36">
        <v>1.88019</v>
      </c>
      <c r="HO36">
        <v>1.8789499999999999</v>
      </c>
      <c r="HP36">
        <v>1.8812599999999999</v>
      </c>
      <c r="HQ36">
        <v>1.8771599999999999</v>
      </c>
      <c r="HR36">
        <v>1.87497</v>
      </c>
      <c r="HS36">
        <v>1.8820600000000001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423</v>
      </c>
      <c r="IB36" t="s">
        <v>423</v>
      </c>
      <c r="IC36" t="s">
        <v>423</v>
      </c>
      <c r="ID36">
        <v>0</v>
      </c>
      <c r="IE36">
        <v>100</v>
      </c>
      <c r="IF36">
        <v>100</v>
      </c>
      <c r="IG36">
        <v>-0.41699999999999998</v>
      </c>
      <c r="IH36">
        <v>0.39750000000000002</v>
      </c>
      <c r="II36">
        <v>-0.44901862247852781</v>
      </c>
      <c r="IJ36">
        <v>7.0786345690369205E-4</v>
      </c>
      <c r="IK36">
        <v>-1.387476646623666E-6</v>
      </c>
      <c r="IL36">
        <v>3.6592443641472651E-10</v>
      </c>
      <c r="IM36">
        <v>-9.3150383267484219E-2</v>
      </c>
      <c r="IN36">
        <v>-1.92785045113246E-3</v>
      </c>
      <c r="IO36">
        <v>9.94469593919068E-4</v>
      </c>
      <c r="IP36">
        <v>-7.2714521965658074E-6</v>
      </c>
      <c r="IQ36">
        <v>2</v>
      </c>
      <c r="IR36">
        <v>2142</v>
      </c>
      <c r="IS36">
        <v>1</v>
      </c>
      <c r="IT36">
        <v>24</v>
      </c>
      <c r="IU36">
        <v>1.6</v>
      </c>
      <c r="IV36">
        <v>1.7</v>
      </c>
      <c r="IW36">
        <v>1.40991</v>
      </c>
      <c r="IX36">
        <v>2.64893</v>
      </c>
      <c r="IY36">
        <v>1.5490699999999999</v>
      </c>
      <c r="IZ36">
        <v>2.36328</v>
      </c>
      <c r="JA36">
        <v>1.5966800000000001</v>
      </c>
      <c r="JB36">
        <v>2.2277800000000001</v>
      </c>
      <c r="JC36">
        <v>43.5627</v>
      </c>
      <c r="JD36">
        <v>24.096299999999999</v>
      </c>
      <c r="JE36">
        <v>18</v>
      </c>
      <c r="JF36">
        <v>533.14599999999996</v>
      </c>
      <c r="JG36">
        <v>436.17599999999999</v>
      </c>
      <c r="JH36">
        <v>25.157</v>
      </c>
      <c r="JI36">
        <v>36.889699999999998</v>
      </c>
      <c r="JJ36">
        <v>29.999500000000001</v>
      </c>
      <c r="JK36">
        <v>36.805700000000002</v>
      </c>
      <c r="JL36">
        <v>36.786000000000001</v>
      </c>
      <c r="JM36">
        <v>28.1785</v>
      </c>
      <c r="JN36">
        <v>32.495600000000003</v>
      </c>
      <c r="JO36">
        <v>0</v>
      </c>
      <c r="JP36">
        <v>25.206600000000002</v>
      </c>
      <c r="JQ36">
        <v>600</v>
      </c>
      <c r="JR36">
        <v>22.246700000000001</v>
      </c>
      <c r="JS36">
        <v>97.987399999999994</v>
      </c>
      <c r="JT36">
        <v>98.894300000000001</v>
      </c>
    </row>
    <row r="37" spans="1:280" x14ac:dyDescent="0.25">
      <c r="A37">
        <v>21</v>
      </c>
      <c r="B37">
        <v>1700152418</v>
      </c>
      <c r="C37">
        <v>4562</v>
      </c>
      <c r="D37" t="s">
        <v>508</v>
      </c>
      <c r="E37" t="s">
        <v>509</v>
      </c>
      <c r="F37" t="s">
        <v>412</v>
      </c>
      <c r="G37" t="s">
        <v>482</v>
      </c>
      <c r="H37" t="s">
        <v>31</v>
      </c>
      <c r="I37">
        <v>1700152418</v>
      </c>
      <c r="J37">
        <f t="shared" si="0"/>
        <v>4.0284064948809869E-3</v>
      </c>
      <c r="K37">
        <f t="shared" si="1"/>
        <v>4.0284064948809872</v>
      </c>
      <c r="L37">
        <f t="shared" si="2"/>
        <v>43.216615734056859</v>
      </c>
      <c r="M37">
        <f t="shared" si="3"/>
        <v>446.25099999999998</v>
      </c>
      <c r="N37">
        <f t="shared" si="4"/>
        <v>153.32979460728794</v>
      </c>
      <c r="O37">
        <f t="shared" si="5"/>
        <v>15.276333608068667</v>
      </c>
      <c r="P37">
        <f t="shared" si="6"/>
        <v>44.460237923061996</v>
      </c>
      <c r="Q37">
        <f t="shared" si="7"/>
        <v>0.25259371955838811</v>
      </c>
      <c r="R37">
        <f t="shared" si="8"/>
        <v>2.9243991360612265</v>
      </c>
      <c r="S37">
        <f t="shared" si="9"/>
        <v>0.24106859840738087</v>
      </c>
      <c r="T37">
        <f t="shared" si="10"/>
        <v>0.15165953334822344</v>
      </c>
      <c r="U37">
        <f t="shared" si="11"/>
        <v>289.56647141918643</v>
      </c>
      <c r="V37">
        <f t="shared" si="12"/>
        <v>30.101241134541347</v>
      </c>
      <c r="W37">
        <f t="shared" si="13"/>
        <v>30.029699999999998</v>
      </c>
      <c r="X37">
        <f t="shared" si="14"/>
        <v>4.2677232647939567</v>
      </c>
      <c r="Y37">
        <f t="shared" si="15"/>
        <v>64.492647552067069</v>
      </c>
      <c r="Z37">
        <f t="shared" si="16"/>
        <v>2.6607238257158001</v>
      </c>
      <c r="AA37">
        <f t="shared" si="17"/>
        <v>4.1256235039315277</v>
      </c>
      <c r="AB37">
        <f t="shared" si="18"/>
        <v>1.6069994390781566</v>
      </c>
      <c r="AC37">
        <f t="shared" si="19"/>
        <v>-177.65272642425151</v>
      </c>
      <c r="AD37">
        <f t="shared" si="20"/>
        <v>-92.76726534180905</v>
      </c>
      <c r="AE37">
        <f t="shared" si="21"/>
        <v>-7.0349299712550151</v>
      </c>
      <c r="AF37">
        <f t="shared" si="22"/>
        <v>12.111549681870869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52141.284641007398</v>
      </c>
      <c r="AL37" t="s">
        <v>415</v>
      </c>
      <c r="AM37">
        <v>10238.9</v>
      </c>
      <c r="AN37">
        <v>302.21199999999999</v>
      </c>
      <c r="AO37">
        <v>4052.3</v>
      </c>
      <c r="AP37">
        <f t="shared" si="26"/>
        <v>0.92542210596451402</v>
      </c>
      <c r="AQ37">
        <v>-0.32343011824092421</v>
      </c>
      <c r="AR37" t="s">
        <v>510</v>
      </c>
      <c r="AS37">
        <v>7087.57</v>
      </c>
      <c r="AT37">
        <v>755.40349999999989</v>
      </c>
      <c r="AU37">
        <v>1074.151650372728</v>
      </c>
      <c r="AV37">
        <f t="shared" si="27"/>
        <v>0.29674408661209362</v>
      </c>
      <c r="AW37">
        <v>0.5</v>
      </c>
      <c r="AX37">
        <f t="shared" si="28"/>
        <v>1513.1847002171949</v>
      </c>
      <c r="AY37">
        <f t="shared" si="29"/>
        <v>43.216615734056859</v>
      </c>
      <c r="AZ37">
        <f t="shared" si="30"/>
        <v>224.5143058706731</v>
      </c>
      <c r="BA37">
        <f t="shared" si="31"/>
        <v>2.8773781446540043E-2</v>
      </c>
      <c r="BB37">
        <f t="shared" si="32"/>
        <v>2.7725585568796194</v>
      </c>
      <c r="BC37">
        <f t="shared" si="33"/>
        <v>250.43016047428836</v>
      </c>
      <c r="BD37" t="s">
        <v>511</v>
      </c>
      <c r="BE37">
        <v>528.77</v>
      </c>
      <c r="BF37">
        <f t="shared" si="34"/>
        <v>528.77</v>
      </c>
      <c r="BG37">
        <f t="shared" si="35"/>
        <v>0.50773245117063492</v>
      </c>
      <c r="BH37">
        <f t="shared" si="36"/>
        <v>0.58444971545134916</v>
      </c>
      <c r="BI37">
        <f t="shared" si="37"/>
        <v>0.84521725361420852</v>
      </c>
      <c r="BJ37">
        <f t="shared" si="38"/>
        <v>0.41291848426081212</v>
      </c>
      <c r="BK37">
        <f t="shared" si="39"/>
        <v>0.79415425708070642</v>
      </c>
      <c r="BL37">
        <f t="shared" si="40"/>
        <v>0.40910516834937877</v>
      </c>
      <c r="BM37">
        <f t="shared" si="41"/>
        <v>0.59089483165062129</v>
      </c>
      <c r="BN37">
        <v>34441</v>
      </c>
      <c r="BO37">
        <v>290.00000000000011</v>
      </c>
      <c r="BP37">
        <v>982.55</v>
      </c>
      <c r="BQ37">
        <v>285</v>
      </c>
      <c r="BR37">
        <v>7087.57</v>
      </c>
      <c r="BS37">
        <v>984.84</v>
      </c>
      <c r="BT37">
        <v>-2.29</v>
      </c>
      <c r="BU37">
        <v>300.00000000000011</v>
      </c>
      <c r="BV37">
        <v>38.299999999999997</v>
      </c>
      <c r="BW37">
        <v>1074.151650372728</v>
      </c>
      <c r="BX37">
        <v>1.5264278045649351</v>
      </c>
      <c r="BY37">
        <v>-63.303198002201377</v>
      </c>
      <c r="BZ37">
        <v>0.9069866799684092</v>
      </c>
      <c r="CA37">
        <v>0.99428495811667461</v>
      </c>
      <c r="CB37">
        <v>-6.9867806451613017E-3</v>
      </c>
      <c r="CC37">
        <v>289.99999999999989</v>
      </c>
      <c r="CD37">
        <v>993.53</v>
      </c>
      <c r="CE37">
        <v>855</v>
      </c>
      <c r="CF37">
        <v>7081.12</v>
      </c>
      <c r="CG37">
        <v>984.75</v>
      </c>
      <c r="CH37">
        <v>8.7799999999999994</v>
      </c>
      <c r="CV37">
        <f t="shared" si="42"/>
        <v>1800</v>
      </c>
      <c r="CW37">
        <f t="shared" si="43"/>
        <v>1513.1847002171949</v>
      </c>
      <c r="CX37">
        <f t="shared" si="44"/>
        <v>0.84065816678733052</v>
      </c>
      <c r="CY37">
        <f t="shared" si="45"/>
        <v>0.16087026189954801</v>
      </c>
      <c r="CZ37">
        <v>5.97</v>
      </c>
      <c r="DA37">
        <v>0.5</v>
      </c>
      <c r="DB37" t="s">
        <v>418</v>
      </c>
      <c r="DC37">
        <v>2</v>
      </c>
      <c r="DD37">
        <v>1700152418</v>
      </c>
      <c r="DE37">
        <v>446.25099999999998</v>
      </c>
      <c r="DF37">
        <v>499.98700000000002</v>
      </c>
      <c r="DG37">
        <v>26.7059</v>
      </c>
      <c r="DH37">
        <v>22.025400000000001</v>
      </c>
      <c r="DI37">
        <v>446.53399999999999</v>
      </c>
      <c r="DJ37">
        <v>26.376300000000001</v>
      </c>
      <c r="DK37">
        <v>500.10300000000001</v>
      </c>
      <c r="DL37">
        <v>99.530100000000004</v>
      </c>
      <c r="DM37">
        <v>0.100462</v>
      </c>
      <c r="DN37">
        <v>29.441299999999998</v>
      </c>
      <c r="DO37">
        <v>30.029699999999998</v>
      </c>
      <c r="DP37">
        <v>999.9</v>
      </c>
      <c r="DQ37">
        <v>0</v>
      </c>
      <c r="DR37">
        <v>0</v>
      </c>
      <c r="DS37">
        <v>9987.5</v>
      </c>
      <c r="DT37">
        <v>0</v>
      </c>
      <c r="DU37">
        <v>197.12799999999999</v>
      </c>
      <c r="DV37">
        <v>-53.735799999999998</v>
      </c>
      <c r="DW37">
        <v>458.49599999999998</v>
      </c>
      <c r="DX37">
        <v>511.24700000000001</v>
      </c>
      <c r="DY37">
        <v>4.6804899999999998</v>
      </c>
      <c r="DZ37">
        <v>499.98700000000002</v>
      </c>
      <c r="EA37">
        <v>22.025400000000001</v>
      </c>
      <c r="EB37">
        <v>2.6580400000000002</v>
      </c>
      <c r="EC37">
        <v>2.1921900000000001</v>
      </c>
      <c r="ED37">
        <v>22.027999999999999</v>
      </c>
      <c r="EE37">
        <v>18.9054</v>
      </c>
      <c r="EF37">
        <v>1800</v>
      </c>
      <c r="EG37">
        <v>0.97800100000000001</v>
      </c>
      <c r="EH37">
        <v>2.1999000000000001E-2</v>
      </c>
      <c r="EI37">
        <v>0</v>
      </c>
      <c r="EJ37">
        <v>755.13300000000004</v>
      </c>
      <c r="EK37">
        <v>4.9996700000000001</v>
      </c>
      <c r="EL37">
        <v>16205.6</v>
      </c>
      <c r="EM37">
        <v>15046.8</v>
      </c>
      <c r="EN37">
        <v>49.561999999999998</v>
      </c>
      <c r="EO37">
        <v>50.75</v>
      </c>
      <c r="EP37">
        <v>50.375</v>
      </c>
      <c r="EQ37">
        <v>50.5</v>
      </c>
      <c r="ER37">
        <v>51</v>
      </c>
      <c r="ES37">
        <v>1755.51</v>
      </c>
      <c r="ET37">
        <v>39.49</v>
      </c>
      <c r="EU37">
        <v>0</v>
      </c>
      <c r="EV37">
        <v>222.60000014305109</v>
      </c>
      <c r="EW37">
        <v>0</v>
      </c>
      <c r="EX37">
        <v>755.40349999999989</v>
      </c>
      <c r="EY37">
        <v>-1.552854700820776</v>
      </c>
      <c r="EZ37">
        <v>-272.33504280634241</v>
      </c>
      <c r="FA37">
        <v>16225.961538461541</v>
      </c>
      <c r="FB37">
        <v>15</v>
      </c>
      <c r="FC37">
        <v>1700152327</v>
      </c>
      <c r="FD37" t="s">
        <v>512</v>
      </c>
      <c r="FE37">
        <v>1700152321</v>
      </c>
      <c r="FF37">
        <v>1700152327</v>
      </c>
      <c r="FG37">
        <v>25</v>
      </c>
      <c r="FH37">
        <v>9.4E-2</v>
      </c>
      <c r="FI37">
        <v>-1E-3</v>
      </c>
      <c r="FJ37">
        <v>-0.30299999999999999</v>
      </c>
      <c r="FK37">
        <v>0.30199999999999999</v>
      </c>
      <c r="FL37">
        <v>500</v>
      </c>
      <c r="FM37">
        <v>23</v>
      </c>
      <c r="FN37">
        <v>0.06</v>
      </c>
      <c r="FO37">
        <v>0.03</v>
      </c>
      <c r="FP37">
        <v>43.182590980728243</v>
      </c>
      <c r="FQ37">
        <v>0.68160073920297881</v>
      </c>
      <c r="FR37">
        <v>5.3492987802035548E-2</v>
      </c>
      <c r="FS37">
        <v>1</v>
      </c>
      <c r="FT37">
        <v>0.25582306737522759</v>
      </c>
      <c r="FU37">
        <v>-1.3522117406864509E-2</v>
      </c>
      <c r="FV37">
        <v>9.8450686894015118E-4</v>
      </c>
      <c r="FW37">
        <v>1</v>
      </c>
      <c r="FX37">
        <v>2</v>
      </c>
      <c r="FY37">
        <v>2</v>
      </c>
      <c r="FZ37" t="s">
        <v>420</v>
      </c>
      <c r="GA37">
        <v>3.0136500000000002</v>
      </c>
      <c r="GB37">
        <v>2.7774399999999999</v>
      </c>
      <c r="GC37">
        <v>9.5616199999999998E-2</v>
      </c>
      <c r="GD37">
        <v>0.10458000000000001</v>
      </c>
      <c r="GE37">
        <v>0.122768</v>
      </c>
      <c r="GF37">
        <v>0.10852100000000001</v>
      </c>
      <c r="GG37">
        <v>21568.9</v>
      </c>
      <c r="GH37">
        <v>22068</v>
      </c>
      <c r="GI37">
        <v>23626.7</v>
      </c>
      <c r="GJ37">
        <v>24314.400000000001</v>
      </c>
      <c r="GK37">
        <v>30666.400000000001</v>
      </c>
      <c r="GL37">
        <v>31087.9</v>
      </c>
      <c r="GM37">
        <v>38701.4</v>
      </c>
      <c r="GN37">
        <v>38724.6</v>
      </c>
      <c r="GO37">
        <v>2.00238</v>
      </c>
      <c r="GP37">
        <v>1.7503200000000001</v>
      </c>
      <c r="GQ37">
        <v>7.3499999999999998E-3</v>
      </c>
      <c r="GR37">
        <v>0</v>
      </c>
      <c r="GS37">
        <v>29.9101</v>
      </c>
      <c r="GT37">
        <v>999.9</v>
      </c>
      <c r="GU37">
        <v>42.2</v>
      </c>
      <c r="GV37">
        <v>40.4</v>
      </c>
      <c r="GW37">
        <v>32.109900000000003</v>
      </c>
      <c r="GX37">
        <v>61.594499999999996</v>
      </c>
      <c r="GY37">
        <v>31.1739</v>
      </c>
      <c r="GZ37">
        <v>1</v>
      </c>
      <c r="HA37">
        <v>0.796852</v>
      </c>
      <c r="HB37">
        <v>5.0441900000000004</v>
      </c>
      <c r="HC37">
        <v>20.246700000000001</v>
      </c>
      <c r="HD37">
        <v>5.2416999999999998</v>
      </c>
      <c r="HE37">
        <v>11.997999999999999</v>
      </c>
      <c r="HF37">
        <v>4.9633500000000002</v>
      </c>
      <c r="HG37">
        <v>3.3008799999999998</v>
      </c>
      <c r="HH37">
        <v>9999</v>
      </c>
      <c r="HI37">
        <v>9999</v>
      </c>
      <c r="HJ37">
        <v>9999</v>
      </c>
      <c r="HK37">
        <v>999.9</v>
      </c>
      <c r="HL37">
        <v>1.8748499999999999</v>
      </c>
      <c r="HM37">
        <v>1.88019</v>
      </c>
      <c r="HN37">
        <v>1.88019</v>
      </c>
      <c r="HO37">
        <v>1.87897</v>
      </c>
      <c r="HP37">
        <v>1.8812599999999999</v>
      </c>
      <c r="HQ37">
        <v>1.8771899999999999</v>
      </c>
      <c r="HR37">
        <v>1.8749800000000001</v>
      </c>
      <c r="HS37">
        <v>1.88209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423</v>
      </c>
      <c r="IB37" t="s">
        <v>423</v>
      </c>
      <c r="IC37" t="s">
        <v>423</v>
      </c>
      <c r="ID37">
        <v>0</v>
      </c>
      <c r="IE37">
        <v>100</v>
      </c>
      <c r="IF37">
        <v>100</v>
      </c>
      <c r="IG37">
        <v>-0.28299999999999997</v>
      </c>
      <c r="IH37">
        <v>0.3296</v>
      </c>
      <c r="II37">
        <v>-0.35536988435748001</v>
      </c>
      <c r="IJ37">
        <v>7.0786345690369205E-4</v>
      </c>
      <c r="IK37">
        <v>-1.387476646623666E-6</v>
      </c>
      <c r="IL37">
        <v>3.6592443641472651E-10</v>
      </c>
      <c r="IM37">
        <v>0.32959446591498121</v>
      </c>
      <c r="IN37">
        <v>0</v>
      </c>
      <c r="IO37">
        <v>0</v>
      </c>
      <c r="IP37">
        <v>0</v>
      </c>
      <c r="IQ37">
        <v>2</v>
      </c>
      <c r="IR37">
        <v>2142</v>
      </c>
      <c r="IS37">
        <v>1</v>
      </c>
      <c r="IT37">
        <v>24</v>
      </c>
      <c r="IU37">
        <v>1.6</v>
      </c>
      <c r="IV37">
        <v>1.5</v>
      </c>
      <c r="IW37">
        <v>1.2158199999999999</v>
      </c>
      <c r="IX37">
        <v>2.6428199999999999</v>
      </c>
      <c r="IY37">
        <v>1.5490699999999999</v>
      </c>
      <c r="IZ37">
        <v>2.36206</v>
      </c>
      <c r="JA37">
        <v>1.5966800000000001</v>
      </c>
      <c r="JB37">
        <v>2.36206</v>
      </c>
      <c r="JC37">
        <v>43.6995</v>
      </c>
      <c r="JD37">
        <v>24.087499999999999</v>
      </c>
      <c r="JE37">
        <v>18</v>
      </c>
      <c r="JF37">
        <v>533.13699999999994</v>
      </c>
      <c r="JG37">
        <v>435.32900000000001</v>
      </c>
      <c r="JH37">
        <v>25.460999999999999</v>
      </c>
      <c r="JI37">
        <v>36.817100000000003</v>
      </c>
      <c r="JJ37">
        <v>30.005299999999998</v>
      </c>
      <c r="JK37">
        <v>36.754800000000003</v>
      </c>
      <c r="JL37">
        <v>36.737699999999997</v>
      </c>
      <c r="JM37">
        <v>24.308</v>
      </c>
      <c r="JN37">
        <v>34.037500000000001</v>
      </c>
      <c r="JO37">
        <v>0</v>
      </c>
      <c r="JP37">
        <v>25.3718</v>
      </c>
      <c r="JQ37">
        <v>500</v>
      </c>
      <c r="JR37">
        <v>22.079499999999999</v>
      </c>
      <c r="JS37">
        <v>98.006600000000006</v>
      </c>
      <c r="JT37">
        <v>98.913700000000006</v>
      </c>
    </row>
    <row r="38" spans="1:280" x14ac:dyDescent="0.25">
      <c r="A38">
        <v>22</v>
      </c>
      <c r="B38">
        <v>1700152604.5</v>
      </c>
      <c r="C38">
        <v>4748.5</v>
      </c>
      <c r="D38" t="s">
        <v>513</v>
      </c>
      <c r="E38" t="s">
        <v>514</v>
      </c>
      <c r="F38" t="s">
        <v>412</v>
      </c>
      <c r="G38" t="s">
        <v>482</v>
      </c>
      <c r="H38" t="s">
        <v>31</v>
      </c>
      <c r="I38">
        <v>1700152604.5</v>
      </c>
      <c r="J38">
        <f t="shared" si="0"/>
        <v>4.4688460802230689E-3</v>
      </c>
      <c r="K38">
        <f t="shared" si="1"/>
        <v>4.4688460802230692</v>
      </c>
      <c r="L38">
        <f t="shared" si="2"/>
        <v>39.933932365075599</v>
      </c>
      <c r="M38">
        <f t="shared" si="3"/>
        <v>350.43900000000002</v>
      </c>
      <c r="N38">
        <f t="shared" si="4"/>
        <v>111.36076473371294</v>
      </c>
      <c r="O38">
        <f t="shared" si="5"/>
        <v>11.094168744943644</v>
      </c>
      <c r="P38">
        <f t="shared" si="6"/>
        <v>34.912021393764</v>
      </c>
      <c r="Q38">
        <f t="shared" si="7"/>
        <v>0.28692354813041715</v>
      </c>
      <c r="R38">
        <f t="shared" si="8"/>
        <v>2.9207566210407059</v>
      </c>
      <c r="S38">
        <f t="shared" si="9"/>
        <v>0.27213381974375866</v>
      </c>
      <c r="T38">
        <f t="shared" si="10"/>
        <v>0.17134888231748366</v>
      </c>
      <c r="U38">
        <f t="shared" si="11"/>
        <v>289.56966341918172</v>
      </c>
      <c r="V38">
        <f t="shared" si="12"/>
        <v>29.963264238012776</v>
      </c>
      <c r="W38">
        <f t="shared" si="13"/>
        <v>29.9419</v>
      </c>
      <c r="X38">
        <f t="shared" si="14"/>
        <v>4.2462523885643355</v>
      </c>
      <c r="Y38">
        <f t="shared" si="15"/>
        <v>64.735802518102872</v>
      </c>
      <c r="Z38">
        <f t="shared" si="16"/>
        <v>2.6670453549312003</v>
      </c>
      <c r="AA38">
        <f t="shared" si="17"/>
        <v>4.1198923179879969</v>
      </c>
      <c r="AB38">
        <f t="shared" si="18"/>
        <v>1.5792070336331352</v>
      </c>
      <c r="AC38">
        <f t="shared" si="19"/>
        <v>-197.07611213783733</v>
      </c>
      <c r="AD38">
        <f t="shared" si="20"/>
        <v>-82.621272101325758</v>
      </c>
      <c r="AE38">
        <f t="shared" si="21"/>
        <v>-6.2698518713358062</v>
      </c>
      <c r="AF38">
        <f t="shared" si="22"/>
        <v>3.6024273086828487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52041.565347721349</v>
      </c>
      <c r="AL38" t="s">
        <v>415</v>
      </c>
      <c r="AM38">
        <v>10238.9</v>
      </c>
      <c r="AN38">
        <v>302.21199999999999</v>
      </c>
      <c r="AO38">
        <v>4052.3</v>
      </c>
      <c r="AP38">
        <f t="shared" si="26"/>
        <v>0.92542210596451402</v>
      </c>
      <c r="AQ38">
        <v>-0.32343011824092421</v>
      </c>
      <c r="AR38" t="s">
        <v>515</v>
      </c>
      <c r="AS38">
        <v>7087.62</v>
      </c>
      <c r="AT38">
        <v>758.52143999999998</v>
      </c>
      <c r="AU38">
        <v>1056.6529943131441</v>
      </c>
      <c r="AV38">
        <f t="shared" si="27"/>
        <v>0.2821470775341326</v>
      </c>
      <c r="AW38">
        <v>0.5</v>
      </c>
      <c r="AX38">
        <f t="shared" si="28"/>
        <v>1513.2015002171925</v>
      </c>
      <c r="AY38">
        <f t="shared" si="29"/>
        <v>39.933932365075599</v>
      </c>
      <c r="AZ38">
        <f t="shared" si="30"/>
        <v>213.47269050327299</v>
      </c>
      <c r="BA38">
        <f t="shared" si="31"/>
        <v>2.6604098976599159E-2</v>
      </c>
      <c r="BB38">
        <f t="shared" si="32"/>
        <v>2.8350338491532083</v>
      </c>
      <c r="BC38">
        <f t="shared" si="33"/>
        <v>249.46698278720183</v>
      </c>
      <c r="BD38" t="s">
        <v>516</v>
      </c>
      <c r="BE38">
        <v>529.30999999999995</v>
      </c>
      <c r="BF38">
        <f t="shared" si="34"/>
        <v>529.30999999999995</v>
      </c>
      <c r="BG38">
        <f t="shared" si="35"/>
        <v>0.49906922816788379</v>
      </c>
      <c r="BH38">
        <f t="shared" si="36"/>
        <v>0.56534657239820862</v>
      </c>
      <c r="BI38">
        <f t="shared" si="37"/>
        <v>0.85031379756594705</v>
      </c>
      <c r="BJ38">
        <f t="shared" si="38"/>
        <v>0.39516881579926355</v>
      </c>
      <c r="BK38">
        <f t="shared" si="39"/>
        <v>0.79882045586313066</v>
      </c>
      <c r="BL38">
        <f t="shared" si="40"/>
        <v>0.39450907839348054</v>
      </c>
      <c r="BM38">
        <f t="shared" si="41"/>
        <v>0.60549092160651941</v>
      </c>
      <c r="BN38">
        <v>34443</v>
      </c>
      <c r="BO38">
        <v>290.00000000000011</v>
      </c>
      <c r="BP38">
        <v>969.05</v>
      </c>
      <c r="BQ38">
        <v>295</v>
      </c>
      <c r="BR38">
        <v>7087.62</v>
      </c>
      <c r="BS38">
        <v>972.05</v>
      </c>
      <c r="BT38">
        <v>-3</v>
      </c>
      <c r="BU38">
        <v>300.00000000000011</v>
      </c>
      <c r="BV38">
        <v>38.299999999999997</v>
      </c>
      <c r="BW38">
        <v>1056.6529943131441</v>
      </c>
      <c r="BX38">
        <v>1.320417762388014</v>
      </c>
      <c r="BY38">
        <v>-59.964913305161929</v>
      </c>
      <c r="BZ38">
        <v>0.78458519301915675</v>
      </c>
      <c r="CA38">
        <v>0.9952294653785988</v>
      </c>
      <c r="CB38">
        <v>-6.9867201334816477E-3</v>
      </c>
      <c r="CC38">
        <v>289.99999999999989</v>
      </c>
      <c r="CD38">
        <v>979.88</v>
      </c>
      <c r="CE38">
        <v>875</v>
      </c>
      <c r="CF38">
        <v>7080.94</v>
      </c>
      <c r="CG38">
        <v>971.97</v>
      </c>
      <c r="CH38">
        <v>7.91</v>
      </c>
      <c r="CV38">
        <f t="shared" si="42"/>
        <v>1800.02</v>
      </c>
      <c r="CW38">
        <f t="shared" si="43"/>
        <v>1513.2015002171925</v>
      </c>
      <c r="CX38">
        <f t="shared" si="44"/>
        <v>0.84065815947444611</v>
      </c>
      <c r="CY38">
        <f t="shared" si="45"/>
        <v>0.16087024778568113</v>
      </c>
      <c r="CZ38">
        <v>5.97</v>
      </c>
      <c r="DA38">
        <v>0.5</v>
      </c>
      <c r="DB38" t="s">
        <v>418</v>
      </c>
      <c r="DC38">
        <v>2</v>
      </c>
      <c r="DD38">
        <v>1700152604.5</v>
      </c>
      <c r="DE38">
        <v>350.43900000000002</v>
      </c>
      <c r="DF38">
        <v>399.97800000000001</v>
      </c>
      <c r="DG38">
        <v>26.7712</v>
      </c>
      <c r="DH38">
        <v>21.579499999999999</v>
      </c>
      <c r="DI38">
        <v>350.79199999999997</v>
      </c>
      <c r="DJ38">
        <v>26.438700000000001</v>
      </c>
      <c r="DK38">
        <v>500.12099999999998</v>
      </c>
      <c r="DL38">
        <v>99.523099999999999</v>
      </c>
      <c r="DM38">
        <v>0.100576</v>
      </c>
      <c r="DN38">
        <v>29.417200000000001</v>
      </c>
      <c r="DO38">
        <v>29.9419</v>
      </c>
      <c r="DP38">
        <v>999.9</v>
      </c>
      <c r="DQ38">
        <v>0</v>
      </c>
      <c r="DR38">
        <v>0</v>
      </c>
      <c r="DS38">
        <v>9967.5</v>
      </c>
      <c r="DT38">
        <v>0</v>
      </c>
      <c r="DU38">
        <v>203.14099999999999</v>
      </c>
      <c r="DV38">
        <v>-49.539000000000001</v>
      </c>
      <c r="DW38">
        <v>360.07900000000001</v>
      </c>
      <c r="DX38">
        <v>408.8</v>
      </c>
      <c r="DY38">
        <v>5.1916099999999998</v>
      </c>
      <c r="DZ38">
        <v>399.97800000000001</v>
      </c>
      <c r="EA38">
        <v>21.579499999999999</v>
      </c>
      <c r="EB38">
        <v>2.6643500000000002</v>
      </c>
      <c r="EC38">
        <v>2.1476600000000001</v>
      </c>
      <c r="ED38">
        <v>22.0669</v>
      </c>
      <c r="EE38">
        <v>18.577200000000001</v>
      </c>
      <c r="EF38">
        <v>1800.02</v>
      </c>
      <c r="EG38">
        <v>0.97800100000000001</v>
      </c>
      <c r="EH38">
        <v>2.1999000000000001E-2</v>
      </c>
      <c r="EI38">
        <v>0</v>
      </c>
      <c r="EJ38">
        <v>758.00400000000002</v>
      </c>
      <c r="EK38">
        <v>4.9996700000000001</v>
      </c>
      <c r="EL38">
        <v>15917.3</v>
      </c>
      <c r="EM38">
        <v>15047</v>
      </c>
      <c r="EN38">
        <v>49.561999999999998</v>
      </c>
      <c r="EO38">
        <v>50.75</v>
      </c>
      <c r="EP38">
        <v>50.311999999999998</v>
      </c>
      <c r="EQ38">
        <v>50.436999999999998</v>
      </c>
      <c r="ER38">
        <v>51</v>
      </c>
      <c r="ES38">
        <v>1755.53</v>
      </c>
      <c r="ET38">
        <v>39.49</v>
      </c>
      <c r="EU38">
        <v>0</v>
      </c>
      <c r="EV38">
        <v>184.4000000953674</v>
      </c>
      <c r="EW38">
        <v>0</v>
      </c>
      <c r="EX38">
        <v>758.52143999999998</v>
      </c>
      <c r="EY38">
        <v>-2.6116153823710899</v>
      </c>
      <c r="EZ38">
        <v>-71.530769271780514</v>
      </c>
      <c r="FA38">
        <v>15927.516</v>
      </c>
      <c r="FB38">
        <v>15</v>
      </c>
      <c r="FC38">
        <v>1700152521</v>
      </c>
      <c r="FD38" t="s">
        <v>517</v>
      </c>
      <c r="FE38">
        <v>1700152521</v>
      </c>
      <c r="FF38">
        <v>1700152515.5</v>
      </c>
      <c r="FG38">
        <v>26</v>
      </c>
      <c r="FH38">
        <v>-9.0999999999999998E-2</v>
      </c>
      <c r="FI38">
        <v>3.0000000000000001E-3</v>
      </c>
      <c r="FJ38">
        <v>-0.36199999999999999</v>
      </c>
      <c r="FK38">
        <v>0.28499999999999998</v>
      </c>
      <c r="FL38">
        <v>400</v>
      </c>
      <c r="FM38">
        <v>23</v>
      </c>
      <c r="FN38">
        <v>0.04</v>
      </c>
      <c r="FO38">
        <v>0.02</v>
      </c>
      <c r="FP38">
        <v>39.8033038484364</v>
      </c>
      <c r="FQ38">
        <v>0.64200762612952489</v>
      </c>
      <c r="FR38">
        <v>6.2781054386918819E-2</v>
      </c>
      <c r="FS38">
        <v>1</v>
      </c>
      <c r="FT38">
        <v>0.28741415775131962</v>
      </c>
      <c r="FU38">
        <v>-6.2161923093264444E-3</v>
      </c>
      <c r="FV38">
        <v>5.9301954985891293E-4</v>
      </c>
      <c r="FW38">
        <v>1</v>
      </c>
      <c r="FX38">
        <v>2</v>
      </c>
      <c r="FY38">
        <v>2</v>
      </c>
      <c r="FZ38" t="s">
        <v>420</v>
      </c>
      <c r="GA38">
        <v>3.0137100000000001</v>
      </c>
      <c r="GB38">
        <v>2.77738</v>
      </c>
      <c r="GC38">
        <v>7.9378000000000004E-2</v>
      </c>
      <c r="GD38">
        <v>8.8469800000000001E-2</v>
      </c>
      <c r="GE38">
        <v>0.122961</v>
      </c>
      <c r="GF38">
        <v>0.106976</v>
      </c>
      <c r="GG38">
        <v>21957</v>
      </c>
      <c r="GH38">
        <v>22466.1</v>
      </c>
      <c r="GI38">
        <v>23627.8</v>
      </c>
      <c r="GJ38">
        <v>24315.8</v>
      </c>
      <c r="GK38">
        <v>30661.599999999999</v>
      </c>
      <c r="GL38">
        <v>31143.8</v>
      </c>
      <c r="GM38">
        <v>38703.599999999999</v>
      </c>
      <c r="GN38">
        <v>38726.9</v>
      </c>
      <c r="GO38">
        <v>2.0028999999999999</v>
      </c>
      <c r="GP38">
        <v>1.7471300000000001</v>
      </c>
      <c r="GQ38">
        <v>-3.9562599999999996E-3</v>
      </c>
      <c r="GR38">
        <v>0</v>
      </c>
      <c r="GS38">
        <v>30.0063</v>
      </c>
      <c r="GT38">
        <v>999.9</v>
      </c>
      <c r="GU38">
        <v>42.1</v>
      </c>
      <c r="GV38">
        <v>40.6</v>
      </c>
      <c r="GW38">
        <v>32.381</v>
      </c>
      <c r="GX38">
        <v>61.354500000000002</v>
      </c>
      <c r="GY38">
        <v>30.665099999999999</v>
      </c>
      <c r="GZ38">
        <v>1</v>
      </c>
      <c r="HA38">
        <v>0.78617899999999996</v>
      </c>
      <c r="HB38">
        <v>3.23129</v>
      </c>
      <c r="HC38">
        <v>20.296099999999999</v>
      </c>
      <c r="HD38">
        <v>5.2430500000000002</v>
      </c>
      <c r="HE38">
        <v>11.997999999999999</v>
      </c>
      <c r="HF38">
        <v>4.9633000000000003</v>
      </c>
      <c r="HG38">
        <v>3.3008999999999999</v>
      </c>
      <c r="HH38">
        <v>9999</v>
      </c>
      <c r="HI38">
        <v>9999</v>
      </c>
      <c r="HJ38">
        <v>9999</v>
      </c>
      <c r="HK38">
        <v>999.9</v>
      </c>
      <c r="HL38">
        <v>1.87483</v>
      </c>
      <c r="HM38">
        <v>1.88018</v>
      </c>
      <c r="HN38">
        <v>1.8802099999999999</v>
      </c>
      <c r="HO38">
        <v>1.87896</v>
      </c>
      <c r="HP38">
        <v>1.8812599999999999</v>
      </c>
      <c r="HQ38">
        <v>1.8772</v>
      </c>
      <c r="HR38">
        <v>1.8749800000000001</v>
      </c>
      <c r="HS38">
        <v>1.88205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423</v>
      </c>
      <c r="IB38" t="s">
        <v>423</v>
      </c>
      <c r="IC38" t="s">
        <v>423</v>
      </c>
      <c r="ID38">
        <v>0</v>
      </c>
      <c r="IE38">
        <v>100</v>
      </c>
      <c r="IF38">
        <v>100</v>
      </c>
      <c r="IG38">
        <v>-0.35299999999999998</v>
      </c>
      <c r="IH38">
        <v>0.33250000000000002</v>
      </c>
      <c r="II38">
        <v>-0.44640737437551231</v>
      </c>
      <c r="IJ38">
        <v>7.0786345690369205E-4</v>
      </c>
      <c r="IK38">
        <v>-1.387476646623666E-6</v>
      </c>
      <c r="IL38">
        <v>3.6592443641472651E-10</v>
      </c>
      <c r="IM38">
        <v>0.33250126385708528</v>
      </c>
      <c r="IN38">
        <v>0</v>
      </c>
      <c r="IO38">
        <v>0</v>
      </c>
      <c r="IP38">
        <v>0</v>
      </c>
      <c r="IQ38">
        <v>2</v>
      </c>
      <c r="IR38">
        <v>2142</v>
      </c>
      <c r="IS38">
        <v>1</v>
      </c>
      <c r="IT38">
        <v>24</v>
      </c>
      <c r="IU38">
        <v>1.4</v>
      </c>
      <c r="IV38">
        <v>1.5</v>
      </c>
      <c r="IW38">
        <v>1.01562</v>
      </c>
      <c r="IX38">
        <v>2.65869</v>
      </c>
      <c r="IY38">
        <v>1.5490699999999999</v>
      </c>
      <c r="IZ38">
        <v>2.36206</v>
      </c>
      <c r="JA38">
        <v>1.5966800000000001</v>
      </c>
      <c r="JB38">
        <v>2.1765099999999999</v>
      </c>
      <c r="JC38">
        <v>43.864100000000001</v>
      </c>
      <c r="JD38">
        <v>24.096299999999999</v>
      </c>
      <c r="JE38">
        <v>18</v>
      </c>
      <c r="JF38">
        <v>533.47699999999998</v>
      </c>
      <c r="JG38">
        <v>433.255</v>
      </c>
      <c r="JH38">
        <v>25.9849</v>
      </c>
      <c r="JI38">
        <v>36.842300000000002</v>
      </c>
      <c r="JJ38">
        <v>29.9999</v>
      </c>
      <c r="JK38">
        <v>36.753399999999999</v>
      </c>
      <c r="JL38">
        <v>36.730699999999999</v>
      </c>
      <c r="JM38">
        <v>20.330300000000001</v>
      </c>
      <c r="JN38">
        <v>36.230699999999999</v>
      </c>
      <c r="JO38">
        <v>0</v>
      </c>
      <c r="JP38">
        <v>25.986999999999998</v>
      </c>
      <c r="JQ38">
        <v>400</v>
      </c>
      <c r="JR38">
        <v>21.588000000000001</v>
      </c>
      <c r="JS38">
        <v>98.011899999999997</v>
      </c>
      <c r="JT38">
        <v>98.919499999999999</v>
      </c>
    </row>
    <row r="39" spans="1:280" x14ac:dyDescent="0.25">
      <c r="A39">
        <v>23</v>
      </c>
      <c r="B39">
        <v>1700152804</v>
      </c>
      <c r="C39">
        <v>4948</v>
      </c>
      <c r="D39" t="s">
        <v>518</v>
      </c>
      <c r="E39" t="s">
        <v>519</v>
      </c>
      <c r="F39" t="s">
        <v>412</v>
      </c>
      <c r="G39" t="s">
        <v>482</v>
      </c>
      <c r="H39" t="s">
        <v>31</v>
      </c>
      <c r="I39">
        <v>1700152804</v>
      </c>
      <c r="J39">
        <f t="shared" si="0"/>
        <v>5.1753984722267407E-3</v>
      </c>
      <c r="K39">
        <f t="shared" si="1"/>
        <v>5.1753984722267408</v>
      </c>
      <c r="L39">
        <f t="shared" si="2"/>
        <v>34.581873158383758</v>
      </c>
      <c r="M39">
        <f t="shared" si="3"/>
        <v>257.12799999999999</v>
      </c>
      <c r="N39">
        <f t="shared" si="4"/>
        <v>81.982354888741085</v>
      </c>
      <c r="O39">
        <f t="shared" si="5"/>
        <v>8.1666061224815483</v>
      </c>
      <c r="P39">
        <f t="shared" si="6"/>
        <v>25.613598217703998</v>
      </c>
      <c r="Q39">
        <f t="shared" si="7"/>
        <v>0.34184811411330523</v>
      </c>
      <c r="R39">
        <f t="shared" si="8"/>
        <v>2.9273991640159434</v>
      </c>
      <c r="S39">
        <f t="shared" si="9"/>
        <v>0.32111828660257635</v>
      </c>
      <c r="T39">
        <f t="shared" si="10"/>
        <v>0.20245658258966356</v>
      </c>
      <c r="U39">
        <f t="shared" si="11"/>
        <v>289.55849141919805</v>
      </c>
      <c r="V39">
        <f t="shared" si="12"/>
        <v>29.948535088790454</v>
      </c>
      <c r="W39">
        <f t="shared" si="13"/>
        <v>29.936900000000001</v>
      </c>
      <c r="X39">
        <f t="shared" si="14"/>
        <v>4.2450325118912406</v>
      </c>
      <c r="Y39">
        <f t="shared" si="15"/>
        <v>64.788011905747609</v>
      </c>
      <c r="Z39">
        <f t="shared" si="16"/>
        <v>2.6955002940641997</v>
      </c>
      <c r="AA39">
        <f t="shared" si="17"/>
        <v>4.1604923731655221</v>
      </c>
      <c r="AB39">
        <f t="shared" si="18"/>
        <v>1.549532217827041</v>
      </c>
      <c r="AC39">
        <f t="shared" si="19"/>
        <v>-228.23507262519925</v>
      </c>
      <c r="AD39">
        <f t="shared" si="20"/>
        <v>-55.174551528157849</v>
      </c>
      <c r="AE39">
        <f t="shared" si="21"/>
        <v>-4.1809285584015292</v>
      </c>
      <c r="AF39">
        <f t="shared" si="22"/>
        <v>1.9679387074394015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52201.222930726341</v>
      </c>
      <c r="AL39" t="s">
        <v>415</v>
      </c>
      <c r="AM39">
        <v>10238.9</v>
      </c>
      <c r="AN39">
        <v>302.21199999999999</v>
      </c>
      <c r="AO39">
        <v>4052.3</v>
      </c>
      <c r="AP39">
        <f t="shared" si="26"/>
        <v>0.92542210596451402</v>
      </c>
      <c r="AQ39">
        <v>-0.32343011824092421</v>
      </c>
      <c r="AR39" t="s">
        <v>520</v>
      </c>
      <c r="AS39">
        <v>7087.7</v>
      </c>
      <c r="AT39">
        <v>766.50580000000002</v>
      </c>
      <c r="AU39">
        <v>1022.619516139991</v>
      </c>
      <c r="AV39">
        <f t="shared" si="27"/>
        <v>0.25044868799954567</v>
      </c>
      <c r="AW39">
        <v>0.5</v>
      </c>
      <c r="AX39">
        <f t="shared" si="28"/>
        <v>1513.1427002172011</v>
      </c>
      <c r="AY39">
        <f t="shared" si="29"/>
        <v>34.581873158383758</v>
      </c>
      <c r="AZ39">
        <f t="shared" si="30"/>
        <v>189.48230201274393</v>
      </c>
      <c r="BA39">
        <f t="shared" si="31"/>
        <v>2.3068084240577089E-2</v>
      </c>
      <c r="BB39">
        <f t="shared" si="32"/>
        <v>2.9626664033324226</v>
      </c>
      <c r="BC39">
        <f t="shared" si="33"/>
        <v>247.5221289102594</v>
      </c>
      <c r="BD39" t="s">
        <v>521</v>
      </c>
      <c r="BE39">
        <v>530.64</v>
      </c>
      <c r="BF39">
        <f t="shared" si="34"/>
        <v>530.64</v>
      </c>
      <c r="BG39">
        <f t="shared" si="35"/>
        <v>0.48109732737844768</v>
      </c>
      <c r="BH39">
        <f t="shared" si="36"/>
        <v>0.52057800729068304</v>
      </c>
      <c r="BI39">
        <f t="shared" si="37"/>
        <v>0.86029897373965936</v>
      </c>
      <c r="BJ39">
        <f t="shared" si="38"/>
        <v>0.35551227659626811</v>
      </c>
      <c r="BK39">
        <f t="shared" si="39"/>
        <v>0.80789583707369239</v>
      </c>
      <c r="BL39">
        <f t="shared" si="40"/>
        <v>0.36038802809936737</v>
      </c>
      <c r="BM39">
        <f t="shared" si="41"/>
        <v>0.63961197190063257</v>
      </c>
      <c r="BN39">
        <v>34445</v>
      </c>
      <c r="BO39">
        <v>290.00000000000011</v>
      </c>
      <c r="BP39">
        <v>948.95</v>
      </c>
      <c r="BQ39">
        <v>275</v>
      </c>
      <c r="BR39">
        <v>7087.7</v>
      </c>
      <c r="BS39">
        <v>950.87</v>
      </c>
      <c r="BT39">
        <v>-1.92</v>
      </c>
      <c r="BU39">
        <v>300.00000000000011</v>
      </c>
      <c r="BV39">
        <v>38.299999999999997</v>
      </c>
      <c r="BW39">
        <v>1022.619516139991</v>
      </c>
      <c r="BX39">
        <v>1.20351710339895</v>
      </c>
      <c r="BY39">
        <v>-50.856872065059939</v>
      </c>
      <c r="BZ39">
        <v>0.71509733720029411</v>
      </c>
      <c r="CA39">
        <v>0.99449456706073713</v>
      </c>
      <c r="CB39">
        <v>-6.9865123470522856E-3</v>
      </c>
      <c r="CC39">
        <v>289.99999999999989</v>
      </c>
      <c r="CD39">
        <v>957.53</v>
      </c>
      <c r="CE39">
        <v>815</v>
      </c>
      <c r="CF39">
        <v>7081.46</v>
      </c>
      <c r="CG39">
        <v>950.8</v>
      </c>
      <c r="CH39">
        <v>6.73</v>
      </c>
      <c r="CV39">
        <f t="shared" si="42"/>
        <v>1799.95</v>
      </c>
      <c r="CW39">
        <f t="shared" si="43"/>
        <v>1513.1427002172011</v>
      </c>
      <c r="CX39">
        <f t="shared" si="44"/>
        <v>0.84065818507025247</v>
      </c>
      <c r="CY39">
        <f t="shared" si="45"/>
        <v>0.1608702971855874</v>
      </c>
      <c r="CZ39">
        <v>5.97</v>
      </c>
      <c r="DA39">
        <v>0.5</v>
      </c>
      <c r="DB39" t="s">
        <v>418</v>
      </c>
      <c r="DC39">
        <v>2</v>
      </c>
      <c r="DD39">
        <v>1700152804</v>
      </c>
      <c r="DE39">
        <v>257.12799999999999</v>
      </c>
      <c r="DF39">
        <v>299.99900000000002</v>
      </c>
      <c r="DG39">
        <v>27.0594</v>
      </c>
      <c r="DH39">
        <v>21.048400000000001</v>
      </c>
      <c r="DI39">
        <v>257.29899999999998</v>
      </c>
      <c r="DJ39">
        <v>26.7241</v>
      </c>
      <c r="DK39">
        <v>500.101</v>
      </c>
      <c r="DL39">
        <v>99.513900000000007</v>
      </c>
      <c r="DM39">
        <v>0.10029299999999999</v>
      </c>
      <c r="DN39">
        <v>29.587299999999999</v>
      </c>
      <c r="DO39">
        <v>29.936900000000001</v>
      </c>
      <c r="DP39">
        <v>999.9</v>
      </c>
      <c r="DQ39">
        <v>0</v>
      </c>
      <c r="DR39">
        <v>0</v>
      </c>
      <c r="DS39">
        <v>10006.200000000001</v>
      </c>
      <c r="DT39">
        <v>0</v>
      </c>
      <c r="DU39">
        <v>128.23099999999999</v>
      </c>
      <c r="DV39">
        <v>-42.871600000000001</v>
      </c>
      <c r="DW39">
        <v>264.279</v>
      </c>
      <c r="DX39">
        <v>306.44900000000001</v>
      </c>
      <c r="DY39">
        <v>6.0109300000000001</v>
      </c>
      <c r="DZ39">
        <v>299.99900000000002</v>
      </c>
      <c r="EA39">
        <v>21.048400000000001</v>
      </c>
      <c r="EB39">
        <v>2.69278</v>
      </c>
      <c r="EC39">
        <v>2.0946099999999999</v>
      </c>
      <c r="ED39">
        <v>22.241099999999999</v>
      </c>
      <c r="EE39">
        <v>18.1783</v>
      </c>
      <c r="EF39">
        <v>1799.95</v>
      </c>
      <c r="EG39">
        <v>0.97800100000000001</v>
      </c>
      <c r="EH39">
        <v>2.1999000000000001E-2</v>
      </c>
      <c r="EI39">
        <v>0</v>
      </c>
      <c r="EJ39">
        <v>766.40800000000002</v>
      </c>
      <c r="EK39">
        <v>4.9996700000000001</v>
      </c>
      <c r="EL39">
        <v>15907</v>
      </c>
      <c r="EM39">
        <v>15046.4</v>
      </c>
      <c r="EN39">
        <v>49.625</v>
      </c>
      <c r="EO39">
        <v>50.811999999999998</v>
      </c>
      <c r="EP39">
        <v>50.375</v>
      </c>
      <c r="EQ39">
        <v>50.5</v>
      </c>
      <c r="ER39">
        <v>51</v>
      </c>
      <c r="ES39">
        <v>1755.46</v>
      </c>
      <c r="ET39">
        <v>39.49</v>
      </c>
      <c r="EU39">
        <v>0</v>
      </c>
      <c r="EV39">
        <v>197.60000014305109</v>
      </c>
      <c r="EW39">
        <v>0</v>
      </c>
      <c r="EX39">
        <v>766.50580000000002</v>
      </c>
      <c r="EY39">
        <v>-1.254615372465604</v>
      </c>
      <c r="EZ39">
        <v>-84.15384618022027</v>
      </c>
      <c r="FA39">
        <v>15925.424000000001</v>
      </c>
      <c r="FB39">
        <v>15</v>
      </c>
      <c r="FC39">
        <v>1700152710</v>
      </c>
      <c r="FD39" t="s">
        <v>522</v>
      </c>
      <c r="FE39">
        <v>1700152707.5</v>
      </c>
      <c r="FF39">
        <v>1700152710</v>
      </c>
      <c r="FG39">
        <v>27</v>
      </c>
      <c r="FH39">
        <v>0.17799999999999999</v>
      </c>
      <c r="FI39">
        <v>3.0000000000000001E-3</v>
      </c>
      <c r="FJ39">
        <v>-0.17100000000000001</v>
      </c>
      <c r="FK39">
        <v>0.27700000000000002</v>
      </c>
      <c r="FL39">
        <v>300</v>
      </c>
      <c r="FM39">
        <v>22</v>
      </c>
      <c r="FN39">
        <v>0.03</v>
      </c>
      <c r="FO39">
        <v>0.02</v>
      </c>
      <c r="FP39">
        <v>34.53273636625326</v>
      </c>
      <c r="FQ39">
        <v>0.59100931488145825</v>
      </c>
      <c r="FR39">
        <v>4.7215140500914819E-2</v>
      </c>
      <c r="FS39">
        <v>1</v>
      </c>
      <c r="FT39">
        <v>0.34280209730401001</v>
      </c>
      <c r="FU39">
        <v>-6.1654839485249394E-3</v>
      </c>
      <c r="FV39">
        <v>5.0706054908732025E-4</v>
      </c>
      <c r="FW39">
        <v>1</v>
      </c>
      <c r="FX39">
        <v>2</v>
      </c>
      <c r="FY39">
        <v>2</v>
      </c>
      <c r="FZ39" t="s">
        <v>420</v>
      </c>
      <c r="GA39">
        <v>3.0137200000000002</v>
      </c>
      <c r="GB39">
        <v>2.7774299999999998</v>
      </c>
      <c r="GC39">
        <v>6.1618600000000003E-2</v>
      </c>
      <c r="GD39">
        <v>7.04515E-2</v>
      </c>
      <c r="GE39">
        <v>0.12385400000000001</v>
      </c>
      <c r="GF39">
        <v>0.10510700000000001</v>
      </c>
      <c r="GG39">
        <v>22377.5</v>
      </c>
      <c r="GH39">
        <v>22907.599999999999</v>
      </c>
      <c r="GI39">
        <v>23625.4</v>
      </c>
      <c r="GJ39">
        <v>24313.7</v>
      </c>
      <c r="GK39">
        <v>30628.1</v>
      </c>
      <c r="GL39">
        <v>31206.5</v>
      </c>
      <c r="GM39">
        <v>38700.199999999997</v>
      </c>
      <c r="GN39">
        <v>38723.699999999997</v>
      </c>
      <c r="GO39">
        <v>2.0029499999999998</v>
      </c>
      <c r="GP39">
        <v>1.74268</v>
      </c>
      <c r="GQ39">
        <v>-9.5590899999999993E-3</v>
      </c>
      <c r="GR39">
        <v>0</v>
      </c>
      <c r="GS39">
        <v>30.092400000000001</v>
      </c>
      <c r="GT39">
        <v>999.9</v>
      </c>
      <c r="GU39">
        <v>42</v>
      </c>
      <c r="GV39">
        <v>40.9</v>
      </c>
      <c r="GW39">
        <v>32.822800000000001</v>
      </c>
      <c r="GX39">
        <v>61.184600000000003</v>
      </c>
      <c r="GY39">
        <v>31.157900000000001</v>
      </c>
      <c r="GZ39">
        <v>1</v>
      </c>
      <c r="HA39">
        <v>0.79124000000000005</v>
      </c>
      <c r="HB39">
        <v>3.0559599999999998</v>
      </c>
      <c r="HC39">
        <v>20.299499999999998</v>
      </c>
      <c r="HD39">
        <v>5.2423000000000002</v>
      </c>
      <c r="HE39">
        <v>11.997999999999999</v>
      </c>
      <c r="HF39">
        <v>4.9629500000000002</v>
      </c>
      <c r="HG39">
        <v>3.3006799999999998</v>
      </c>
      <c r="HH39">
        <v>9999</v>
      </c>
      <c r="HI39">
        <v>9999</v>
      </c>
      <c r="HJ39">
        <v>9999</v>
      </c>
      <c r="HK39">
        <v>999.9</v>
      </c>
      <c r="HL39">
        <v>1.8747799999999999</v>
      </c>
      <c r="HM39">
        <v>1.8801600000000001</v>
      </c>
      <c r="HN39">
        <v>1.88019</v>
      </c>
      <c r="HO39">
        <v>1.8789199999999999</v>
      </c>
      <c r="HP39">
        <v>1.8812599999999999</v>
      </c>
      <c r="HQ39">
        <v>1.87717</v>
      </c>
      <c r="HR39">
        <v>1.8748899999999999</v>
      </c>
      <c r="HS39">
        <v>1.8820300000000001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423</v>
      </c>
      <c r="IB39" t="s">
        <v>423</v>
      </c>
      <c r="IC39" t="s">
        <v>423</v>
      </c>
      <c r="ID39">
        <v>0</v>
      </c>
      <c r="IE39">
        <v>100</v>
      </c>
      <c r="IF39">
        <v>100</v>
      </c>
      <c r="IG39">
        <v>-0.17100000000000001</v>
      </c>
      <c r="IH39">
        <v>0.33529999999999999</v>
      </c>
      <c r="II39">
        <v>-0.2681253373926738</v>
      </c>
      <c r="IJ39">
        <v>7.0786345690369205E-4</v>
      </c>
      <c r="IK39">
        <v>-1.387476646623666E-6</v>
      </c>
      <c r="IL39">
        <v>3.6592443641472651E-10</v>
      </c>
      <c r="IM39">
        <v>0.33528340412679469</v>
      </c>
      <c r="IN39">
        <v>0</v>
      </c>
      <c r="IO39">
        <v>0</v>
      </c>
      <c r="IP39">
        <v>0</v>
      </c>
      <c r="IQ39">
        <v>2</v>
      </c>
      <c r="IR39">
        <v>2142</v>
      </c>
      <c r="IS39">
        <v>1</v>
      </c>
      <c r="IT39">
        <v>24</v>
      </c>
      <c r="IU39">
        <v>1.6</v>
      </c>
      <c r="IV39">
        <v>1.6</v>
      </c>
      <c r="IW39">
        <v>0.80932599999999999</v>
      </c>
      <c r="IX39">
        <v>2.66235</v>
      </c>
      <c r="IY39">
        <v>1.5490699999999999</v>
      </c>
      <c r="IZ39">
        <v>2.36206</v>
      </c>
      <c r="JA39">
        <v>1.5966800000000001</v>
      </c>
      <c r="JB39">
        <v>2.3071299999999999</v>
      </c>
      <c r="JC39">
        <v>44.084699999999998</v>
      </c>
      <c r="JD39">
        <v>24.105</v>
      </c>
      <c r="JE39">
        <v>18</v>
      </c>
      <c r="JF39">
        <v>533.86099999999999</v>
      </c>
      <c r="JG39">
        <v>430.721</v>
      </c>
      <c r="JH39">
        <v>26.357299999999999</v>
      </c>
      <c r="JI39">
        <v>36.916200000000003</v>
      </c>
      <c r="JJ39">
        <v>30.0001</v>
      </c>
      <c r="JK39">
        <v>36.7986</v>
      </c>
      <c r="JL39">
        <v>36.772100000000002</v>
      </c>
      <c r="JM39">
        <v>16.1891</v>
      </c>
      <c r="JN39">
        <v>38.622900000000001</v>
      </c>
      <c r="JO39">
        <v>0</v>
      </c>
      <c r="JP39">
        <v>26.3889</v>
      </c>
      <c r="JQ39">
        <v>300</v>
      </c>
      <c r="JR39">
        <v>21.028700000000001</v>
      </c>
      <c r="JS39">
        <v>98.002799999999993</v>
      </c>
      <c r="JT39">
        <v>98.910899999999998</v>
      </c>
    </row>
    <row r="40" spans="1:280" x14ac:dyDescent="0.25">
      <c r="A40">
        <v>24</v>
      </c>
      <c r="B40">
        <v>1700152987.5999999</v>
      </c>
      <c r="C40">
        <v>5131.5999999046326</v>
      </c>
      <c r="D40" t="s">
        <v>523</v>
      </c>
      <c r="E40" t="s">
        <v>524</v>
      </c>
      <c r="F40" t="s">
        <v>412</v>
      </c>
      <c r="G40" t="s">
        <v>482</v>
      </c>
      <c r="H40" t="s">
        <v>31</v>
      </c>
      <c r="I40">
        <v>1700152987.5999999</v>
      </c>
      <c r="J40">
        <f t="shared" si="0"/>
        <v>5.8022381905479354E-3</v>
      </c>
      <c r="K40">
        <f t="shared" si="1"/>
        <v>5.8022381905479357</v>
      </c>
      <c r="L40">
        <f t="shared" si="2"/>
        <v>25.649161112994026</v>
      </c>
      <c r="M40">
        <f t="shared" si="3"/>
        <v>168.15700000000001</v>
      </c>
      <c r="N40">
        <f t="shared" si="4"/>
        <v>56.388158489494757</v>
      </c>
      <c r="O40">
        <f t="shared" si="5"/>
        <v>5.6166915151384869</v>
      </c>
      <c r="P40">
        <f t="shared" si="6"/>
        <v>16.749722289425399</v>
      </c>
      <c r="Q40">
        <f t="shared" si="7"/>
        <v>0.40093583964627261</v>
      </c>
      <c r="R40">
        <f t="shared" si="8"/>
        <v>2.9240056339127554</v>
      </c>
      <c r="S40">
        <f t="shared" si="9"/>
        <v>0.3727071894169291</v>
      </c>
      <c r="T40">
        <f t="shared" si="10"/>
        <v>0.23531239122280068</v>
      </c>
      <c r="U40">
        <f t="shared" si="11"/>
        <v>289.55370341920502</v>
      </c>
      <c r="V40">
        <f t="shared" si="12"/>
        <v>29.977455236722303</v>
      </c>
      <c r="W40">
        <f t="shared" si="13"/>
        <v>29.8687</v>
      </c>
      <c r="X40">
        <f t="shared" si="14"/>
        <v>4.2284238635166638</v>
      </c>
      <c r="Y40">
        <f t="shared" si="15"/>
        <v>64.943231051470846</v>
      </c>
      <c r="Z40">
        <f t="shared" si="16"/>
        <v>2.7319288418551801</v>
      </c>
      <c r="AA40">
        <f t="shared" si="17"/>
        <v>4.2066413968377798</v>
      </c>
      <c r="AB40">
        <f t="shared" si="18"/>
        <v>1.4964950216614836</v>
      </c>
      <c r="AC40">
        <f t="shared" si="19"/>
        <v>-255.87870420316395</v>
      </c>
      <c r="AD40">
        <f t="shared" si="20"/>
        <v>-14.155981457848354</v>
      </c>
      <c r="AE40">
        <f t="shared" si="21"/>
        <v>-1.0745905378748581</v>
      </c>
      <c r="AF40">
        <f t="shared" si="22"/>
        <v>18.444427220317834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52071.477469610349</v>
      </c>
      <c r="AL40" t="s">
        <v>415</v>
      </c>
      <c r="AM40">
        <v>10238.9</v>
      </c>
      <c r="AN40">
        <v>302.21199999999999</v>
      </c>
      <c r="AO40">
        <v>4052.3</v>
      </c>
      <c r="AP40">
        <f t="shared" si="26"/>
        <v>0.92542210596451402</v>
      </c>
      <c r="AQ40">
        <v>-0.32343011824092421</v>
      </c>
      <c r="AR40" t="s">
        <v>525</v>
      </c>
      <c r="AS40">
        <v>7087</v>
      </c>
      <c r="AT40">
        <v>785.05340000000012</v>
      </c>
      <c r="AU40">
        <v>979.67759416977708</v>
      </c>
      <c r="AV40">
        <f t="shared" si="27"/>
        <v>0.19866147325203476</v>
      </c>
      <c r="AW40">
        <v>0.5</v>
      </c>
      <c r="AX40">
        <f t="shared" si="28"/>
        <v>1513.1175002172047</v>
      </c>
      <c r="AY40">
        <f t="shared" si="29"/>
        <v>25.649161112994026</v>
      </c>
      <c r="AZ40">
        <f t="shared" si="30"/>
        <v>150.29907589829295</v>
      </c>
      <c r="BA40">
        <f t="shared" si="31"/>
        <v>1.7164953301714272E-2</v>
      </c>
      <c r="BB40">
        <f t="shared" si="32"/>
        <v>3.1363608028966938</v>
      </c>
      <c r="BC40">
        <f t="shared" si="33"/>
        <v>244.92359207185388</v>
      </c>
      <c r="BD40" t="s">
        <v>526</v>
      </c>
      <c r="BE40">
        <v>540.19000000000005</v>
      </c>
      <c r="BF40">
        <f t="shared" si="34"/>
        <v>540.19000000000005</v>
      </c>
      <c r="BG40">
        <f t="shared" si="35"/>
        <v>0.44860431307732274</v>
      </c>
      <c r="BH40">
        <f t="shared" si="36"/>
        <v>0.4428434311949937</v>
      </c>
      <c r="BI40">
        <f t="shared" si="37"/>
        <v>0.87486508276512498</v>
      </c>
      <c r="BJ40">
        <f t="shared" si="38"/>
        <v>0.28728277250490586</v>
      </c>
      <c r="BK40">
        <f t="shared" si="39"/>
        <v>0.8193467475510503</v>
      </c>
      <c r="BL40">
        <f t="shared" si="40"/>
        <v>0.30471760659494457</v>
      </c>
      <c r="BM40">
        <f t="shared" si="41"/>
        <v>0.69528239340505538</v>
      </c>
      <c r="BN40">
        <v>34447</v>
      </c>
      <c r="BO40">
        <v>290.00000000000011</v>
      </c>
      <c r="BP40">
        <v>925.4</v>
      </c>
      <c r="BQ40">
        <v>295</v>
      </c>
      <c r="BR40">
        <v>7087</v>
      </c>
      <c r="BS40">
        <v>926.98</v>
      </c>
      <c r="BT40">
        <v>-1.58</v>
      </c>
      <c r="BU40">
        <v>300.00000000000011</v>
      </c>
      <c r="BV40">
        <v>38.299999999999997</v>
      </c>
      <c r="BW40">
        <v>979.67759416977708</v>
      </c>
      <c r="BX40">
        <v>1.445829819588615</v>
      </c>
      <c r="BY40">
        <v>-37.349237775319423</v>
      </c>
      <c r="BZ40">
        <v>0.85903238049726072</v>
      </c>
      <c r="CA40">
        <v>0.98540419604991614</v>
      </c>
      <c r="CB40">
        <v>-6.9859986651835439E-3</v>
      </c>
      <c r="CC40">
        <v>289.99999999999989</v>
      </c>
      <c r="CD40">
        <v>932.02</v>
      </c>
      <c r="CE40">
        <v>865</v>
      </c>
      <c r="CF40">
        <v>7080.44</v>
      </c>
      <c r="CG40">
        <v>926.93</v>
      </c>
      <c r="CH40">
        <v>5.09</v>
      </c>
      <c r="CV40">
        <f t="shared" si="42"/>
        <v>1799.92</v>
      </c>
      <c r="CW40">
        <f t="shared" si="43"/>
        <v>1513.1175002172047</v>
      </c>
      <c r="CX40">
        <f t="shared" si="44"/>
        <v>0.8406581960404933</v>
      </c>
      <c r="CY40">
        <f t="shared" si="45"/>
        <v>0.16087031835815205</v>
      </c>
      <c r="CZ40">
        <v>5.97</v>
      </c>
      <c r="DA40">
        <v>0.5</v>
      </c>
      <c r="DB40" t="s">
        <v>418</v>
      </c>
      <c r="DC40">
        <v>2</v>
      </c>
      <c r="DD40">
        <v>1700152987.5999999</v>
      </c>
      <c r="DE40">
        <v>168.15700000000001</v>
      </c>
      <c r="DF40">
        <v>199.94300000000001</v>
      </c>
      <c r="DG40">
        <v>27.4269</v>
      </c>
      <c r="DH40">
        <v>20.689900000000002</v>
      </c>
      <c r="DI40">
        <v>168.36199999999999</v>
      </c>
      <c r="DJ40">
        <v>27.086500000000001</v>
      </c>
      <c r="DK40">
        <v>500.06400000000002</v>
      </c>
      <c r="DL40">
        <v>99.507800000000003</v>
      </c>
      <c r="DM40">
        <v>9.9842200000000006E-2</v>
      </c>
      <c r="DN40">
        <v>29.7789</v>
      </c>
      <c r="DO40">
        <v>29.8687</v>
      </c>
      <c r="DP40">
        <v>999.9</v>
      </c>
      <c r="DQ40">
        <v>0</v>
      </c>
      <c r="DR40">
        <v>0</v>
      </c>
      <c r="DS40">
        <v>9987.5</v>
      </c>
      <c r="DT40">
        <v>0</v>
      </c>
      <c r="DU40">
        <v>118.649</v>
      </c>
      <c r="DV40">
        <v>-31.7852</v>
      </c>
      <c r="DW40">
        <v>172.9</v>
      </c>
      <c r="DX40">
        <v>204.167</v>
      </c>
      <c r="DY40">
        <v>6.73698</v>
      </c>
      <c r="DZ40">
        <v>199.94300000000001</v>
      </c>
      <c r="EA40">
        <v>20.689900000000002</v>
      </c>
      <c r="EB40">
        <v>2.72919</v>
      </c>
      <c r="EC40">
        <v>2.0588099999999998</v>
      </c>
      <c r="ED40">
        <v>22.4619</v>
      </c>
      <c r="EE40">
        <v>17.904</v>
      </c>
      <c r="EF40">
        <v>1799.92</v>
      </c>
      <c r="EG40">
        <v>0.97800100000000001</v>
      </c>
      <c r="EH40">
        <v>2.1999000000000001E-2</v>
      </c>
      <c r="EI40">
        <v>0</v>
      </c>
      <c r="EJ40">
        <v>784.68299999999999</v>
      </c>
      <c r="EK40">
        <v>4.9996700000000001</v>
      </c>
      <c r="EL40">
        <v>15985</v>
      </c>
      <c r="EM40">
        <v>15046.2</v>
      </c>
      <c r="EN40">
        <v>49.5</v>
      </c>
      <c r="EO40">
        <v>50.686999999999998</v>
      </c>
      <c r="EP40">
        <v>50.311999999999998</v>
      </c>
      <c r="EQ40">
        <v>50.436999999999998</v>
      </c>
      <c r="ER40">
        <v>51</v>
      </c>
      <c r="ES40">
        <v>1755.43</v>
      </c>
      <c r="ET40">
        <v>39.49</v>
      </c>
      <c r="EU40">
        <v>0</v>
      </c>
      <c r="EV40">
        <v>181.39999985694891</v>
      </c>
      <c r="EW40">
        <v>0</v>
      </c>
      <c r="EX40">
        <v>785.05340000000012</v>
      </c>
      <c r="EY40">
        <v>-2.6305384593439678</v>
      </c>
      <c r="EZ40">
        <v>360.15384671122121</v>
      </c>
      <c r="FA40">
        <v>15971.828</v>
      </c>
      <c r="FB40">
        <v>15</v>
      </c>
      <c r="FC40">
        <v>1700152909.0999999</v>
      </c>
      <c r="FD40" t="s">
        <v>527</v>
      </c>
      <c r="FE40">
        <v>1700152902.5999999</v>
      </c>
      <c r="FF40">
        <v>1700152909.0999999</v>
      </c>
      <c r="FG40">
        <v>28</v>
      </c>
      <c r="FH40">
        <v>-1.9E-2</v>
      </c>
      <c r="FI40">
        <v>5.0000000000000001E-3</v>
      </c>
      <c r="FJ40">
        <v>-0.19800000000000001</v>
      </c>
      <c r="FK40">
        <v>0.26400000000000001</v>
      </c>
      <c r="FL40">
        <v>200</v>
      </c>
      <c r="FM40">
        <v>22</v>
      </c>
      <c r="FN40">
        <v>0.06</v>
      </c>
      <c r="FO40">
        <v>0.02</v>
      </c>
      <c r="FP40">
        <v>25.57762898789391</v>
      </c>
      <c r="FQ40">
        <v>0.63110770643575387</v>
      </c>
      <c r="FR40">
        <v>4.9993595308748327E-2</v>
      </c>
      <c r="FS40">
        <v>1</v>
      </c>
      <c r="FT40">
        <v>0.39999034219690782</v>
      </c>
      <c r="FU40">
        <v>1.2722265068248161E-2</v>
      </c>
      <c r="FV40">
        <v>1.3007744256622129E-3</v>
      </c>
      <c r="FW40">
        <v>1</v>
      </c>
      <c r="FX40">
        <v>2</v>
      </c>
      <c r="FY40">
        <v>2</v>
      </c>
      <c r="FZ40" t="s">
        <v>420</v>
      </c>
      <c r="GA40">
        <v>3.0136400000000001</v>
      </c>
      <c r="GB40">
        <v>2.7768199999999998</v>
      </c>
      <c r="GC40">
        <v>4.2549499999999997E-2</v>
      </c>
      <c r="GD40">
        <v>4.9959299999999998E-2</v>
      </c>
      <c r="GE40">
        <v>0.124999</v>
      </c>
      <c r="GF40">
        <v>0.103835</v>
      </c>
      <c r="GG40">
        <v>22831.599999999999</v>
      </c>
      <c r="GH40">
        <v>23411.9</v>
      </c>
      <c r="GI40">
        <v>23625.599999999999</v>
      </c>
      <c r="GJ40">
        <v>24313.8</v>
      </c>
      <c r="GK40">
        <v>30588.7</v>
      </c>
      <c r="GL40">
        <v>31251.200000000001</v>
      </c>
      <c r="GM40">
        <v>38700.699999999997</v>
      </c>
      <c r="GN40">
        <v>38724</v>
      </c>
      <c r="GO40">
        <v>2.0018699999999998</v>
      </c>
      <c r="GP40">
        <v>1.74058</v>
      </c>
      <c r="GQ40">
        <v>8.8661899999999995E-4</v>
      </c>
      <c r="GR40">
        <v>0</v>
      </c>
      <c r="GS40">
        <v>29.854199999999999</v>
      </c>
      <c r="GT40">
        <v>999.9</v>
      </c>
      <c r="GU40">
        <v>41.6</v>
      </c>
      <c r="GV40">
        <v>41.1</v>
      </c>
      <c r="GW40">
        <v>32.861499999999999</v>
      </c>
      <c r="GX40">
        <v>61.176400000000001</v>
      </c>
      <c r="GY40">
        <v>31.350200000000001</v>
      </c>
      <c r="GZ40">
        <v>1</v>
      </c>
      <c r="HA40">
        <v>0.78974100000000003</v>
      </c>
      <c r="HB40">
        <v>2.29847</v>
      </c>
      <c r="HC40">
        <v>20.311399999999999</v>
      </c>
      <c r="HD40">
        <v>5.2384000000000004</v>
      </c>
      <c r="HE40">
        <v>11.997999999999999</v>
      </c>
      <c r="HF40">
        <v>4.9626000000000001</v>
      </c>
      <c r="HG40">
        <v>3.29983</v>
      </c>
      <c r="HH40">
        <v>9999</v>
      </c>
      <c r="HI40">
        <v>9999</v>
      </c>
      <c r="HJ40">
        <v>9999</v>
      </c>
      <c r="HK40">
        <v>999.9</v>
      </c>
      <c r="HL40">
        <v>1.8748199999999999</v>
      </c>
      <c r="HM40">
        <v>1.88015</v>
      </c>
      <c r="HN40">
        <v>1.88019</v>
      </c>
      <c r="HO40">
        <v>1.8789499999999999</v>
      </c>
      <c r="HP40">
        <v>1.8812599999999999</v>
      </c>
      <c r="HQ40">
        <v>1.8771899999999999</v>
      </c>
      <c r="HR40">
        <v>1.87496</v>
      </c>
      <c r="HS40">
        <v>1.88202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423</v>
      </c>
      <c r="IB40" t="s">
        <v>423</v>
      </c>
      <c r="IC40" t="s">
        <v>423</v>
      </c>
      <c r="ID40">
        <v>0</v>
      </c>
      <c r="IE40">
        <v>100</v>
      </c>
      <c r="IF40">
        <v>100</v>
      </c>
      <c r="IG40">
        <v>-0.20499999999999999</v>
      </c>
      <c r="IH40">
        <v>0.34039999999999998</v>
      </c>
      <c r="II40">
        <v>-0.28660941299305559</v>
      </c>
      <c r="IJ40">
        <v>7.0786345690369205E-4</v>
      </c>
      <c r="IK40">
        <v>-1.387476646623666E-6</v>
      </c>
      <c r="IL40">
        <v>3.6592443641472651E-10</v>
      </c>
      <c r="IM40">
        <v>0.34034970494921701</v>
      </c>
      <c r="IN40">
        <v>0</v>
      </c>
      <c r="IO40">
        <v>0</v>
      </c>
      <c r="IP40">
        <v>0</v>
      </c>
      <c r="IQ40">
        <v>2</v>
      </c>
      <c r="IR40">
        <v>2142</v>
      </c>
      <c r="IS40">
        <v>1</v>
      </c>
      <c r="IT40">
        <v>24</v>
      </c>
      <c r="IU40">
        <v>1.4</v>
      </c>
      <c r="IV40">
        <v>1.3</v>
      </c>
      <c r="IW40">
        <v>0.59448199999999995</v>
      </c>
      <c r="IX40">
        <v>2.6696800000000001</v>
      </c>
      <c r="IY40">
        <v>1.5490699999999999</v>
      </c>
      <c r="IZ40">
        <v>2.36084</v>
      </c>
      <c r="JA40">
        <v>1.5966800000000001</v>
      </c>
      <c r="JB40">
        <v>2.2631800000000002</v>
      </c>
      <c r="JC40">
        <v>44.195399999999999</v>
      </c>
      <c r="JD40">
        <v>24.113800000000001</v>
      </c>
      <c r="JE40">
        <v>18</v>
      </c>
      <c r="JF40">
        <v>533.33100000000002</v>
      </c>
      <c r="JG40">
        <v>429.57</v>
      </c>
      <c r="JH40">
        <v>27.010300000000001</v>
      </c>
      <c r="JI40">
        <v>36.9313</v>
      </c>
      <c r="JJ40">
        <v>29.999700000000001</v>
      </c>
      <c r="JK40">
        <v>36.823</v>
      </c>
      <c r="JL40">
        <v>36.798000000000002</v>
      </c>
      <c r="JM40">
        <v>11.894299999999999</v>
      </c>
      <c r="JN40">
        <v>39.790700000000001</v>
      </c>
      <c r="JO40">
        <v>0</v>
      </c>
      <c r="JP40">
        <v>27.087800000000001</v>
      </c>
      <c r="JQ40">
        <v>200</v>
      </c>
      <c r="JR40">
        <v>20.705300000000001</v>
      </c>
      <c r="JS40">
        <v>98.003799999999998</v>
      </c>
      <c r="JT40">
        <v>98.911600000000007</v>
      </c>
    </row>
    <row r="41" spans="1:280" x14ac:dyDescent="0.25">
      <c r="A41">
        <v>25</v>
      </c>
      <c r="B41">
        <v>1700153131.5999999</v>
      </c>
      <c r="C41">
        <v>5275.5999999046326</v>
      </c>
      <c r="D41" t="s">
        <v>528</v>
      </c>
      <c r="E41" t="s">
        <v>529</v>
      </c>
      <c r="F41" t="s">
        <v>412</v>
      </c>
      <c r="G41" t="s">
        <v>482</v>
      </c>
      <c r="H41" t="s">
        <v>31</v>
      </c>
      <c r="I41">
        <v>1700153131.5999999</v>
      </c>
      <c r="J41">
        <f t="shared" si="0"/>
        <v>6.3010679032646745E-3</v>
      </c>
      <c r="K41">
        <f t="shared" si="1"/>
        <v>6.3010679032646744</v>
      </c>
      <c r="L41">
        <f t="shared" si="2"/>
        <v>16.67597277782977</v>
      </c>
      <c r="M41">
        <f t="shared" si="3"/>
        <v>99.365200000000002</v>
      </c>
      <c r="N41">
        <f t="shared" si="4"/>
        <v>35.101304917395119</v>
      </c>
      <c r="O41">
        <f t="shared" si="5"/>
        <v>3.49612542209052</v>
      </c>
      <c r="P41">
        <f t="shared" si="6"/>
        <v>9.8968742788519997</v>
      </c>
      <c r="Q41">
        <f t="shared" si="7"/>
        <v>0.45720110744894465</v>
      </c>
      <c r="R41">
        <f t="shared" si="8"/>
        <v>2.9260771460049568</v>
      </c>
      <c r="S41">
        <f t="shared" si="9"/>
        <v>0.42090163524146479</v>
      </c>
      <c r="T41">
        <f t="shared" si="10"/>
        <v>0.26608430822547402</v>
      </c>
      <c r="U41">
        <f t="shared" si="11"/>
        <v>289.56966341918172</v>
      </c>
      <c r="V41">
        <f t="shared" si="12"/>
        <v>30.051986772729379</v>
      </c>
      <c r="W41">
        <f t="shared" si="13"/>
        <v>29.909600000000001</v>
      </c>
      <c r="X41">
        <f t="shared" si="14"/>
        <v>4.2383773702330227</v>
      </c>
      <c r="Y41">
        <f t="shared" si="15"/>
        <v>65.78444079924374</v>
      </c>
      <c r="Z41">
        <f t="shared" si="16"/>
        <v>2.7999935532209999</v>
      </c>
      <c r="AA41">
        <f t="shared" si="17"/>
        <v>4.2563158084231807</v>
      </c>
      <c r="AB41">
        <f t="shared" si="18"/>
        <v>1.4383838170120229</v>
      </c>
      <c r="AC41">
        <f t="shared" si="19"/>
        <v>-277.87709453397213</v>
      </c>
      <c r="AD41">
        <f t="shared" si="20"/>
        <v>11.594674325513195</v>
      </c>
      <c r="AE41">
        <f t="shared" si="21"/>
        <v>0.88060504591340127</v>
      </c>
      <c r="AF41">
        <f t="shared" si="22"/>
        <v>24.167848256636191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52095.1389926802</v>
      </c>
      <c r="AL41" t="s">
        <v>426</v>
      </c>
      <c r="AM41" t="s">
        <v>426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426</v>
      </c>
      <c r="AS41" t="s">
        <v>426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1513.2015002171925</v>
      </c>
      <c r="AY41">
        <f t="shared" si="29"/>
        <v>16.67597277782977</v>
      </c>
      <c r="AZ41" t="e">
        <f t="shared" si="30"/>
        <v>#DIV/0!</v>
      </c>
      <c r="BA41">
        <f t="shared" si="31"/>
        <v>1.1020325300653111E-2</v>
      </c>
      <c r="BB41" t="e">
        <f t="shared" si="32"/>
        <v>#DIV/0!</v>
      </c>
      <c r="BC41" t="e">
        <f t="shared" si="33"/>
        <v>#DIV/0!</v>
      </c>
      <c r="BD41" t="s">
        <v>426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BN41">
        <v>34447</v>
      </c>
      <c r="BO41">
        <v>290.00000000000011</v>
      </c>
      <c r="BP41">
        <v>925.4</v>
      </c>
      <c r="BQ41">
        <v>295</v>
      </c>
      <c r="BR41">
        <v>7087</v>
      </c>
      <c r="BS41">
        <v>926.98</v>
      </c>
      <c r="BT41">
        <v>-1.58</v>
      </c>
      <c r="BU41">
        <v>300.00000000000011</v>
      </c>
      <c r="BV41">
        <v>38.299999999999997</v>
      </c>
      <c r="BW41">
        <v>979.67759416977708</v>
      </c>
      <c r="BX41">
        <v>1.445829819588615</v>
      </c>
      <c r="BY41">
        <v>-37.349237775319423</v>
      </c>
      <c r="BZ41">
        <v>0.85903238049726072</v>
      </c>
      <c r="CA41">
        <v>0.98540419604991614</v>
      </c>
      <c r="CB41">
        <v>-6.9859986651835439E-3</v>
      </c>
      <c r="CC41">
        <v>289.99999999999989</v>
      </c>
      <c r="CD41">
        <v>932.02</v>
      </c>
      <c r="CE41">
        <v>865</v>
      </c>
      <c r="CF41">
        <v>7080.44</v>
      </c>
      <c r="CG41">
        <v>926.93</v>
      </c>
      <c r="CH41">
        <v>5.09</v>
      </c>
      <c r="CV41">
        <f t="shared" si="42"/>
        <v>1800.02</v>
      </c>
      <c r="CW41">
        <f t="shared" si="43"/>
        <v>1513.2015002171925</v>
      </c>
      <c r="CX41">
        <f t="shared" si="44"/>
        <v>0.84065815947444611</v>
      </c>
      <c r="CY41">
        <f t="shared" si="45"/>
        <v>0.16087024778568113</v>
      </c>
      <c r="CZ41">
        <v>5.97</v>
      </c>
      <c r="DA41">
        <v>0.5</v>
      </c>
      <c r="DB41" t="s">
        <v>418</v>
      </c>
      <c r="DC41">
        <v>2</v>
      </c>
      <c r="DD41">
        <v>1700153131.5999999</v>
      </c>
      <c r="DE41">
        <v>99.365200000000002</v>
      </c>
      <c r="DF41">
        <v>120.02</v>
      </c>
      <c r="DG41">
        <v>28.112100000000002</v>
      </c>
      <c r="DH41">
        <v>20.801500000000001</v>
      </c>
      <c r="DI41">
        <v>99.558300000000003</v>
      </c>
      <c r="DJ41">
        <v>27.769100000000002</v>
      </c>
      <c r="DK41">
        <v>500.09399999999999</v>
      </c>
      <c r="DL41">
        <v>99.500699999999995</v>
      </c>
      <c r="DM41">
        <v>0.10031</v>
      </c>
      <c r="DN41">
        <v>29.9831</v>
      </c>
      <c r="DO41">
        <v>29.909600000000001</v>
      </c>
      <c r="DP41">
        <v>999.9</v>
      </c>
      <c r="DQ41">
        <v>0</v>
      </c>
      <c r="DR41">
        <v>0</v>
      </c>
      <c r="DS41">
        <v>10000</v>
      </c>
      <c r="DT41">
        <v>0</v>
      </c>
      <c r="DU41">
        <v>120.283</v>
      </c>
      <c r="DV41">
        <v>-20.655200000000001</v>
      </c>
      <c r="DW41">
        <v>102.239</v>
      </c>
      <c r="DX41">
        <v>122.57</v>
      </c>
      <c r="DY41">
        <v>7.3105700000000002</v>
      </c>
      <c r="DZ41">
        <v>120.02</v>
      </c>
      <c r="EA41">
        <v>20.801500000000001</v>
      </c>
      <c r="EB41">
        <v>2.7971699999999999</v>
      </c>
      <c r="EC41">
        <v>2.0697700000000001</v>
      </c>
      <c r="ED41">
        <v>22.8674</v>
      </c>
      <c r="EE41">
        <v>17.988399999999999</v>
      </c>
      <c r="EF41">
        <v>1800.02</v>
      </c>
      <c r="EG41">
        <v>0.97800100000000001</v>
      </c>
      <c r="EH41">
        <v>2.1999000000000001E-2</v>
      </c>
      <c r="EI41">
        <v>0</v>
      </c>
      <c r="EJ41">
        <v>806.44100000000003</v>
      </c>
      <c r="EK41">
        <v>4.9996700000000001</v>
      </c>
      <c r="EL41">
        <v>16289.5</v>
      </c>
      <c r="EM41">
        <v>15047</v>
      </c>
      <c r="EN41">
        <v>49.436999999999998</v>
      </c>
      <c r="EO41">
        <v>50.561999999999998</v>
      </c>
      <c r="EP41">
        <v>50.25</v>
      </c>
      <c r="EQ41">
        <v>50.311999999999998</v>
      </c>
      <c r="ER41">
        <v>50.936999999999998</v>
      </c>
      <c r="ES41">
        <v>1755.53</v>
      </c>
      <c r="ET41">
        <v>39.49</v>
      </c>
      <c r="EU41">
        <v>0</v>
      </c>
      <c r="EV41">
        <v>141.79999995231631</v>
      </c>
      <c r="EW41">
        <v>0</v>
      </c>
      <c r="EX41">
        <v>806.56711538461536</v>
      </c>
      <c r="EY41">
        <v>-1.1486837600060471</v>
      </c>
      <c r="EZ41">
        <v>-202.07179511529841</v>
      </c>
      <c r="FA41">
        <v>16352.28461538462</v>
      </c>
      <c r="FB41">
        <v>15</v>
      </c>
      <c r="FC41">
        <v>1700153090.0999999</v>
      </c>
      <c r="FD41" t="s">
        <v>530</v>
      </c>
      <c r="FE41">
        <v>1700153084.5999999</v>
      </c>
      <c r="FF41">
        <v>1700153090.0999999</v>
      </c>
      <c r="FG41">
        <v>29</v>
      </c>
      <c r="FH41">
        <v>3.5999999999999997E-2</v>
      </c>
      <c r="FI41">
        <v>3.0000000000000001E-3</v>
      </c>
      <c r="FJ41">
        <v>-0.185</v>
      </c>
      <c r="FK41">
        <v>0.253</v>
      </c>
      <c r="FL41">
        <v>120</v>
      </c>
      <c r="FM41">
        <v>21</v>
      </c>
      <c r="FN41">
        <v>0.08</v>
      </c>
      <c r="FO41">
        <v>0.01</v>
      </c>
      <c r="FP41">
        <v>16.543160348963681</v>
      </c>
      <c r="FQ41">
        <v>0.69744697462748484</v>
      </c>
      <c r="FR41">
        <v>5.24777173593979E-2</v>
      </c>
      <c r="FS41">
        <v>1</v>
      </c>
      <c r="FT41">
        <v>0.45566150072789352</v>
      </c>
      <c r="FU41">
        <v>3.7664627619864069E-2</v>
      </c>
      <c r="FV41">
        <v>3.070520565419438E-3</v>
      </c>
      <c r="FW41">
        <v>1</v>
      </c>
      <c r="FX41">
        <v>2</v>
      </c>
      <c r="FY41">
        <v>2</v>
      </c>
      <c r="FZ41" t="s">
        <v>420</v>
      </c>
      <c r="GA41">
        <v>3.0136699999999998</v>
      </c>
      <c r="GB41">
        <v>2.77739</v>
      </c>
      <c r="GC41">
        <v>2.6118499999999999E-2</v>
      </c>
      <c r="GD41">
        <v>3.1421400000000002E-2</v>
      </c>
      <c r="GE41">
        <v>0.127161</v>
      </c>
      <c r="GF41">
        <v>0.104227</v>
      </c>
      <c r="GG41">
        <v>23227.3</v>
      </c>
      <c r="GH41">
        <v>23872.5</v>
      </c>
      <c r="GI41">
        <v>23630.3</v>
      </c>
      <c r="GJ41">
        <v>24318.400000000001</v>
      </c>
      <c r="GK41">
        <v>30519.3</v>
      </c>
      <c r="GL41">
        <v>31243.4</v>
      </c>
      <c r="GM41">
        <v>38708.5</v>
      </c>
      <c r="GN41">
        <v>38731.199999999997</v>
      </c>
      <c r="GO41">
        <v>2.0019800000000001</v>
      </c>
      <c r="GP41">
        <v>1.7406299999999999</v>
      </c>
      <c r="GQ41">
        <v>6.37025E-3</v>
      </c>
      <c r="GR41">
        <v>0</v>
      </c>
      <c r="GS41">
        <v>29.805900000000001</v>
      </c>
      <c r="GT41">
        <v>999.9</v>
      </c>
      <c r="GU41">
        <v>41.3</v>
      </c>
      <c r="GV41">
        <v>41.2</v>
      </c>
      <c r="GW41">
        <v>32.802999999999997</v>
      </c>
      <c r="GX41">
        <v>61.3264</v>
      </c>
      <c r="GY41">
        <v>30.9054</v>
      </c>
      <c r="GZ41">
        <v>1</v>
      </c>
      <c r="HA41">
        <v>0.78630800000000001</v>
      </c>
      <c r="HB41">
        <v>2.8849399999999998</v>
      </c>
      <c r="HC41">
        <v>20.3034</v>
      </c>
      <c r="HD41">
        <v>5.2433500000000004</v>
      </c>
      <c r="HE41">
        <v>11.997999999999999</v>
      </c>
      <c r="HF41">
        <v>4.9637000000000002</v>
      </c>
      <c r="HG41">
        <v>3.3008799999999998</v>
      </c>
      <c r="HH41">
        <v>9999</v>
      </c>
      <c r="HI41">
        <v>9999</v>
      </c>
      <c r="HJ41">
        <v>9999</v>
      </c>
      <c r="HK41">
        <v>999.9</v>
      </c>
      <c r="HL41">
        <v>1.87479</v>
      </c>
      <c r="HM41">
        <v>1.8801399999999999</v>
      </c>
      <c r="HN41">
        <v>1.88019</v>
      </c>
      <c r="HO41">
        <v>1.8788899999999999</v>
      </c>
      <c r="HP41">
        <v>1.88124</v>
      </c>
      <c r="HQ41">
        <v>1.8771599999999999</v>
      </c>
      <c r="HR41">
        <v>1.87487</v>
      </c>
      <c r="HS41">
        <v>1.88202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423</v>
      </c>
      <c r="IB41" t="s">
        <v>423</v>
      </c>
      <c r="IC41" t="s">
        <v>423</v>
      </c>
      <c r="ID41">
        <v>0</v>
      </c>
      <c r="IE41">
        <v>100</v>
      </c>
      <c r="IF41">
        <v>100</v>
      </c>
      <c r="IG41">
        <v>-0.193</v>
      </c>
      <c r="IH41">
        <v>0.34300000000000003</v>
      </c>
      <c r="II41">
        <v>-0.25018132764944118</v>
      </c>
      <c r="IJ41">
        <v>7.0786345690369205E-4</v>
      </c>
      <c r="IK41">
        <v>-1.387476646623666E-6</v>
      </c>
      <c r="IL41">
        <v>3.6592443641472651E-10</v>
      </c>
      <c r="IM41">
        <v>0.34303158313697929</v>
      </c>
      <c r="IN41">
        <v>0</v>
      </c>
      <c r="IO41">
        <v>0</v>
      </c>
      <c r="IP41">
        <v>0</v>
      </c>
      <c r="IQ41">
        <v>2</v>
      </c>
      <c r="IR41">
        <v>2142</v>
      </c>
      <c r="IS41">
        <v>1</v>
      </c>
      <c r="IT41">
        <v>24</v>
      </c>
      <c r="IU41">
        <v>0.8</v>
      </c>
      <c r="IV41">
        <v>0.7</v>
      </c>
      <c r="IW41">
        <v>0.41748000000000002</v>
      </c>
      <c r="IX41">
        <v>2.67822</v>
      </c>
      <c r="IY41">
        <v>1.5490699999999999</v>
      </c>
      <c r="IZ41">
        <v>2.36206</v>
      </c>
      <c r="JA41">
        <v>1.5966800000000001</v>
      </c>
      <c r="JB41">
        <v>2.36084</v>
      </c>
      <c r="JC41">
        <v>44.223199999999999</v>
      </c>
      <c r="JD41">
        <v>24.113800000000001</v>
      </c>
      <c r="JE41">
        <v>18</v>
      </c>
      <c r="JF41">
        <v>533.18799999999999</v>
      </c>
      <c r="JG41">
        <v>429.43099999999998</v>
      </c>
      <c r="JH41">
        <v>26.854099999999999</v>
      </c>
      <c r="JI41">
        <v>36.868899999999996</v>
      </c>
      <c r="JJ41">
        <v>30.000800000000002</v>
      </c>
      <c r="JK41">
        <v>36.7958</v>
      </c>
      <c r="JL41">
        <v>36.772100000000002</v>
      </c>
      <c r="JM41">
        <v>8.3539100000000008</v>
      </c>
      <c r="JN41">
        <v>39.338299999999997</v>
      </c>
      <c r="JO41">
        <v>0</v>
      </c>
      <c r="JP41">
        <v>26.853100000000001</v>
      </c>
      <c r="JQ41">
        <v>120</v>
      </c>
      <c r="JR41">
        <v>20.669499999999999</v>
      </c>
      <c r="JS41">
        <v>98.023499999999999</v>
      </c>
      <c r="JT41">
        <v>98.930099999999996</v>
      </c>
    </row>
    <row r="42" spans="1:280" x14ac:dyDescent="0.25">
      <c r="A42">
        <v>26</v>
      </c>
      <c r="B42">
        <v>1700153243.0999999</v>
      </c>
      <c r="C42">
        <v>5387.0999999046326</v>
      </c>
      <c r="D42" t="s">
        <v>531</v>
      </c>
      <c r="E42" t="s">
        <v>532</v>
      </c>
      <c r="F42" t="s">
        <v>412</v>
      </c>
      <c r="G42" t="s">
        <v>482</v>
      </c>
      <c r="H42" t="s">
        <v>31</v>
      </c>
      <c r="I42">
        <v>1700153243.0999999</v>
      </c>
      <c r="J42">
        <f t="shared" si="0"/>
        <v>6.6694756083038364E-3</v>
      </c>
      <c r="K42">
        <f t="shared" si="1"/>
        <v>6.669475608303836</v>
      </c>
      <c r="L42">
        <f t="shared" si="2"/>
        <v>10.286243395942826</v>
      </c>
      <c r="M42">
        <f t="shared" si="3"/>
        <v>57.270699999999998</v>
      </c>
      <c r="N42">
        <f t="shared" si="4"/>
        <v>19.846087863577317</v>
      </c>
      <c r="O42">
        <f t="shared" si="5"/>
        <v>1.9764828989586027</v>
      </c>
      <c r="P42">
        <f t="shared" si="6"/>
        <v>5.7036207810572899</v>
      </c>
      <c r="Q42">
        <f t="shared" si="7"/>
        <v>0.48613551071746747</v>
      </c>
      <c r="R42">
        <f t="shared" si="8"/>
        <v>2.928983516169879</v>
      </c>
      <c r="S42">
        <f t="shared" si="9"/>
        <v>0.44535261311756325</v>
      </c>
      <c r="T42">
        <f t="shared" si="10"/>
        <v>0.28172389937757358</v>
      </c>
      <c r="U42">
        <f t="shared" si="11"/>
        <v>289.58881541915383</v>
      </c>
      <c r="V42">
        <f t="shared" si="12"/>
        <v>30.25831197459355</v>
      </c>
      <c r="W42">
        <f t="shared" si="13"/>
        <v>30.022099999999998</v>
      </c>
      <c r="X42">
        <f t="shared" si="14"/>
        <v>4.265861004910465</v>
      </c>
      <c r="Y42">
        <f t="shared" si="15"/>
        <v>65.290585948092613</v>
      </c>
      <c r="Z42">
        <f t="shared" si="16"/>
        <v>2.8275351928205201</v>
      </c>
      <c r="AA42">
        <f t="shared" si="17"/>
        <v>4.3306935475636106</v>
      </c>
      <c r="AB42">
        <f t="shared" si="18"/>
        <v>1.4383258120899449</v>
      </c>
      <c r="AC42">
        <f t="shared" si="19"/>
        <v>-294.1238743261992</v>
      </c>
      <c r="AD42">
        <f t="shared" si="20"/>
        <v>41.513844766214312</v>
      </c>
      <c r="AE42">
        <f t="shared" si="21"/>
        <v>3.1562783315074405</v>
      </c>
      <c r="AF42">
        <f t="shared" si="22"/>
        <v>40.135064190676395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52125.687810622141</v>
      </c>
      <c r="AL42" t="s">
        <v>415</v>
      </c>
      <c r="AM42">
        <v>10238.9</v>
      </c>
      <c r="AN42">
        <v>302.21199999999999</v>
      </c>
      <c r="AO42">
        <v>4052.3</v>
      </c>
      <c r="AP42">
        <f t="shared" si="26"/>
        <v>0.92542210596451402</v>
      </c>
      <c r="AQ42">
        <v>-0.32343011824092421</v>
      </c>
      <c r="AR42" t="s">
        <v>533</v>
      </c>
      <c r="AS42">
        <v>7088.53</v>
      </c>
      <c r="AT42">
        <v>824.2068461538463</v>
      </c>
      <c r="AU42">
        <v>918.80138901868372</v>
      </c>
      <c r="AV42">
        <f t="shared" si="27"/>
        <v>0.10295428804898532</v>
      </c>
      <c r="AW42">
        <v>0.5</v>
      </c>
      <c r="AX42">
        <f t="shared" si="28"/>
        <v>1513.3023002171783</v>
      </c>
      <c r="AY42">
        <f t="shared" si="29"/>
        <v>10.286243395942826</v>
      </c>
      <c r="AZ42">
        <f t="shared" si="30"/>
        <v>77.900480460875713</v>
      </c>
      <c r="BA42">
        <f t="shared" si="31"/>
        <v>7.0109412459500829E-3</v>
      </c>
      <c r="BB42">
        <f t="shared" si="32"/>
        <v>3.4104199758862106</v>
      </c>
      <c r="BC42">
        <f t="shared" si="33"/>
        <v>240.93270779229329</v>
      </c>
      <c r="BD42" t="s">
        <v>534</v>
      </c>
      <c r="BE42">
        <v>561.09</v>
      </c>
      <c r="BF42">
        <f t="shared" si="34"/>
        <v>561.09</v>
      </c>
      <c r="BG42">
        <f t="shared" si="35"/>
        <v>0.38932395324383828</v>
      </c>
      <c r="BH42">
        <f t="shared" si="36"/>
        <v>0.26444375485035687</v>
      </c>
      <c r="BI42">
        <f t="shared" si="37"/>
        <v>0.89753942357558447</v>
      </c>
      <c r="BJ42">
        <f t="shared" si="38"/>
        <v>0.15341578131175243</v>
      </c>
      <c r="BK42">
        <f t="shared" si="39"/>
        <v>0.83558002131718401</v>
      </c>
      <c r="BL42">
        <f t="shared" si="40"/>
        <v>0.18002367621839768</v>
      </c>
      <c r="BM42">
        <f t="shared" si="41"/>
        <v>0.81997632378160235</v>
      </c>
      <c r="BN42">
        <v>34449</v>
      </c>
      <c r="BO42">
        <v>290.00000000000011</v>
      </c>
      <c r="BP42">
        <v>894.23</v>
      </c>
      <c r="BQ42">
        <v>255</v>
      </c>
      <c r="BR42">
        <v>7088.53</v>
      </c>
      <c r="BS42">
        <v>894.3</v>
      </c>
      <c r="BT42">
        <v>-7.0000000000000007E-2</v>
      </c>
      <c r="BU42">
        <v>300.00000000000011</v>
      </c>
      <c r="BV42">
        <v>38.299999999999997</v>
      </c>
      <c r="BW42">
        <v>918.80138901868372</v>
      </c>
      <c r="BX42">
        <v>0.94780700913319937</v>
      </c>
      <c r="BY42">
        <v>-17.368117887726971</v>
      </c>
      <c r="BZ42">
        <v>0.56317994459819021</v>
      </c>
      <c r="CA42">
        <v>0.97140134704009529</v>
      </c>
      <c r="CB42">
        <v>-6.9863112347052303E-3</v>
      </c>
      <c r="CC42">
        <v>289.99999999999989</v>
      </c>
      <c r="CD42">
        <v>894.52</v>
      </c>
      <c r="CE42">
        <v>645</v>
      </c>
      <c r="CF42">
        <v>7084.8</v>
      </c>
      <c r="CG42">
        <v>894.29</v>
      </c>
      <c r="CH42">
        <v>0.23</v>
      </c>
      <c r="CV42">
        <f t="shared" si="42"/>
        <v>1800.14</v>
      </c>
      <c r="CW42">
        <f t="shared" si="43"/>
        <v>1513.3023002171783</v>
      </c>
      <c r="CX42">
        <f t="shared" si="44"/>
        <v>0.84065811560055226</v>
      </c>
      <c r="CY42">
        <f t="shared" si="45"/>
        <v>0.16087016310906585</v>
      </c>
      <c r="CZ42">
        <v>5.97</v>
      </c>
      <c r="DA42">
        <v>0.5</v>
      </c>
      <c r="DB42" t="s">
        <v>418</v>
      </c>
      <c r="DC42">
        <v>2</v>
      </c>
      <c r="DD42">
        <v>1700153243.0999999</v>
      </c>
      <c r="DE42">
        <v>57.270699999999998</v>
      </c>
      <c r="DF42">
        <v>70.006299999999996</v>
      </c>
      <c r="DG42">
        <v>28.3916</v>
      </c>
      <c r="DH42">
        <v>20.6557</v>
      </c>
      <c r="DI42">
        <v>57.4848</v>
      </c>
      <c r="DJ42">
        <v>28.037700000000001</v>
      </c>
      <c r="DK42">
        <v>500.08800000000002</v>
      </c>
      <c r="DL42">
        <v>99.491299999999995</v>
      </c>
      <c r="DM42">
        <v>9.9254700000000001E-2</v>
      </c>
      <c r="DN42">
        <v>30.285</v>
      </c>
      <c r="DO42">
        <v>30.022099999999998</v>
      </c>
      <c r="DP42">
        <v>999.9</v>
      </c>
      <c r="DQ42">
        <v>0</v>
      </c>
      <c r="DR42">
        <v>0</v>
      </c>
      <c r="DS42">
        <v>10017.5</v>
      </c>
      <c r="DT42">
        <v>0</v>
      </c>
      <c r="DU42">
        <v>118.831</v>
      </c>
      <c r="DV42">
        <v>-12.7356</v>
      </c>
      <c r="DW42">
        <v>58.944200000000002</v>
      </c>
      <c r="DX42">
        <v>71.482900000000001</v>
      </c>
      <c r="DY42">
        <v>7.7358799999999999</v>
      </c>
      <c r="DZ42">
        <v>70.006299999999996</v>
      </c>
      <c r="EA42">
        <v>20.6557</v>
      </c>
      <c r="EB42">
        <v>2.8247100000000001</v>
      </c>
      <c r="EC42">
        <v>2.0550600000000001</v>
      </c>
      <c r="ED42">
        <v>23.029199999999999</v>
      </c>
      <c r="EE42">
        <v>17.8751</v>
      </c>
      <c r="EF42">
        <v>1800.14</v>
      </c>
      <c r="EG42">
        <v>0.97800100000000001</v>
      </c>
      <c r="EH42">
        <v>2.1999000000000001E-2</v>
      </c>
      <c r="EI42">
        <v>0</v>
      </c>
      <c r="EJ42">
        <v>824.64800000000002</v>
      </c>
      <c r="EK42">
        <v>4.9996700000000001</v>
      </c>
      <c r="EL42">
        <v>16629.2</v>
      </c>
      <c r="EM42">
        <v>15048</v>
      </c>
      <c r="EN42">
        <v>49.375</v>
      </c>
      <c r="EO42">
        <v>50.5</v>
      </c>
      <c r="EP42">
        <v>50.125</v>
      </c>
      <c r="EQ42">
        <v>50.25</v>
      </c>
      <c r="ER42">
        <v>50.875</v>
      </c>
      <c r="ES42">
        <v>1755.65</v>
      </c>
      <c r="ET42">
        <v>39.49</v>
      </c>
      <c r="EU42">
        <v>0</v>
      </c>
      <c r="EV42">
        <v>253.39999985694891</v>
      </c>
      <c r="EW42">
        <v>0</v>
      </c>
      <c r="EX42">
        <v>824.2068461538463</v>
      </c>
      <c r="EY42">
        <v>0.41251281723117322</v>
      </c>
      <c r="EZ42">
        <v>134.0478630328536</v>
      </c>
      <c r="FA42">
        <v>16640.22692307692</v>
      </c>
      <c r="FB42">
        <v>15</v>
      </c>
      <c r="FC42">
        <v>1700153211.0999999</v>
      </c>
      <c r="FD42" t="s">
        <v>535</v>
      </c>
      <c r="FE42">
        <v>1700153200.0999999</v>
      </c>
      <c r="FF42">
        <v>1700153211.0999999</v>
      </c>
      <c r="FG42">
        <v>30</v>
      </c>
      <c r="FH42">
        <v>0</v>
      </c>
      <c r="FI42">
        <v>1.0999999999999999E-2</v>
      </c>
      <c r="FJ42">
        <v>-0.20699999999999999</v>
      </c>
      <c r="FK42">
        <v>0.23499999999999999</v>
      </c>
      <c r="FL42">
        <v>70</v>
      </c>
      <c r="FM42">
        <v>20</v>
      </c>
      <c r="FN42">
        <v>0.21</v>
      </c>
      <c r="FO42">
        <v>0.01</v>
      </c>
      <c r="FP42">
        <v>10.279334337063389</v>
      </c>
      <c r="FQ42">
        <v>-4.7253240716631027E-2</v>
      </c>
      <c r="FR42">
        <v>1.6666726857876169E-2</v>
      </c>
      <c r="FS42">
        <v>1</v>
      </c>
      <c r="FT42">
        <v>0.48344241969356783</v>
      </c>
      <c r="FU42">
        <v>4.888850352632327E-2</v>
      </c>
      <c r="FV42">
        <v>3.9575719873533918E-3</v>
      </c>
      <c r="FW42">
        <v>1</v>
      </c>
      <c r="FX42">
        <v>2</v>
      </c>
      <c r="FY42">
        <v>2</v>
      </c>
      <c r="FZ42" t="s">
        <v>420</v>
      </c>
      <c r="GA42">
        <v>3.0135999999999998</v>
      </c>
      <c r="GB42">
        <v>2.7764899999999999</v>
      </c>
      <c r="GC42">
        <v>1.5358800000000001E-2</v>
      </c>
      <c r="GD42">
        <v>1.8777700000000001E-2</v>
      </c>
      <c r="GE42">
        <v>0.12800700000000001</v>
      </c>
      <c r="GF42">
        <v>0.103712</v>
      </c>
      <c r="GG42">
        <v>23486.5</v>
      </c>
      <c r="GH42">
        <v>24185.8</v>
      </c>
      <c r="GI42">
        <v>23633.4</v>
      </c>
      <c r="GJ42">
        <v>24320.6</v>
      </c>
      <c r="GK42">
        <v>30493</v>
      </c>
      <c r="GL42">
        <v>31264.400000000001</v>
      </c>
      <c r="GM42">
        <v>38712.6</v>
      </c>
      <c r="GN42">
        <v>38735</v>
      </c>
      <c r="GO42">
        <v>2.0025499999999998</v>
      </c>
      <c r="GP42">
        <v>1.7406999999999999</v>
      </c>
      <c r="GQ42">
        <v>8.9853999999999993E-3</v>
      </c>
      <c r="GR42">
        <v>0</v>
      </c>
      <c r="GS42">
        <v>29.875800000000002</v>
      </c>
      <c r="GT42">
        <v>999.9</v>
      </c>
      <c r="GU42">
        <v>41.1</v>
      </c>
      <c r="GV42">
        <v>41.3</v>
      </c>
      <c r="GW42">
        <v>32.814300000000003</v>
      </c>
      <c r="GX42">
        <v>61.106400000000001</v>
      </c>
      <c r="GY42">
        <v>30.9375</v>
      </c>
      <c r="GZ42">
        <v>1</v>
      </c>
      <c r="HA42">
        <v>0.78564999999999996</v>
      </c>
      <c r="HB42">
        <v>3.47804</v>
      </c>
      <c r="HC42">
        <v>20.290199999999999</v>
      </c>
      <c r="HD42">
        <v>5.2431999999999999</v>
      </c>
      <c r="HE42">
        <v>11.997999999999999</v>
      </c>
      <c r="HF42">
        <v>4.9635499999999997</v>
      </c>
      <c r="HG42">
        <v>3.3008799999999998</v>
      </c>
      <c r="HH42">
        <v>9999</v>
      </c>
      <c r="HI42">
        <v>9999</v>
      </c>
      <c r="HJ42">
        <v>9999</v>
      </c>
      <c r="HK42">
        <v>999.9</v>
      </c>
      <c r="HL42">
        <v>1.8748</v>
      </c>
      <c r="HM42">
        <v>1.88019</v>
      </c>
      <c r="HN42">
        <v>1.88019</v>
      </c>
      <c r="HO42">
        <v>1.8789499999999999</v>
      </c>
      <c r="HP42">
        <v>1.8812599999999999</v>
      </c>
      <c r="HQ42">
        <v>1.87714</v>
      </c>
      <c r="HR42">
        <v>1.8749</v>
      </c>
      <c r="HS42">
        <v>1.8820300000000001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423</v>
      </c>
      <c r="IB42" t="s">
        <v>423</v>
      </c>
      <c r="IC42" t="s">
        <v>423</v>
      </c>
      <c r="ID42">
        <v>0</v>
      </c>
      <c r="IE42">
        <v>100</v>
      </c>
      <c r="IF42">
        <v>100</v>
      </c>
      <c r="IG42">
        <v>-0.214</v>
      </c>
      <c r="IH42">
        <v>0.35389999999999999</v>
      </c>
      <c r="II42">
        <v>-0.25022746428737053</v>
      </c>
      <c r="IJ42">
        <v>7.0786345690369205E-4</v>
      </c>
      <c r="IK42">
        <v>-1.387476646623666E-6</v>
      </c>
      <c r="IL42">
        <v>3.6592443641472651E-10</v>
      </c>
      <c r="IM42">
        <v>0.35384953833640509</v>
      </c>
      <c r="IN42">
        <v>0</v>
      </c>
      <c r="IO42">
        <v>0</v>
      </c>
      <c r="IP42">
        <v>0</v>
      </c>
      <c r="IQ42">
        <v>2</v>
      </c>
      <c r="IR42">
        <v>2142</v>
      </c>
      <c r="IS42">
        <v>1</v>
      </c>
      <c r="IT42">
        <v>24</v>
      </c>
      <c r="IU42">
        <v>0.7</v>
      </c>
      <c r="IV42">
        <v>0.5</v>
      </c>
      <c r="IW42">
        <v>0.306396</v>
      </c>
      <c r="IX42">
        <v>2.6953100000000001</v>
      </c>
      <c r="IY42">
        <v>1.5490699999999999</v>
      </c>
      <c r="IZ42">
        <v>2.36206</v>
      </c>
      <c r="JA42">
        <v>1.5966800000000001</v>
      </c>
      <c r="JB42">
        <v>2.3754900000000001</v>
      </c>
      <c r="JC42">
        <v>44.195399999999999</v>
      </c>
      <c r="JD42">
        <v>24.113800000000001</v>
      </c>
      <c r="JE42">
        <v>18</v>
      </c>
      <c r="JF42">
        <v>533.255</v>
      </c>
      <c r="JG42">
        <v>429.22899999999998</v>
      </c>
      <c r="JH42">
        <v>26.8444</v>
      </c>
      <c r="JI42">
        <v>36.806199999999997</v>
      </c>
      <c r="JJ42">
        <v>29.999600000000001</v>
      </c>
      <c r="JK42">
        <v>36.754899999999999</v>
      </c>
      <c r="JL42">
        <v>36.734200000000001</v>
      </c>
      <c r="JM42">
        <v>6.1230799999999999</v>
      </c>
      <c r="JN42">
        <v>39.255699999999997</v>
      </c>
      <c r="JO42">
        <v>0</v>
      </c>
      <c r="JP42">
        <v>26.8354</v>
      </c>
      <c r="JQ42">
        <v>70</v>
      </c>
      <c r="JR42">
        <v>20.602</v>
      </c>
      <c r="JS42">
        <v>98.034800000000004</v>
      </c>
      <c r="JT42">
        <v>98.939599999999999</v>
      </c>
    </row>
    <row r="43" spans="1:280" x14ac:dyDescent="0.25">
      <c r="A43">
        <v>27</v>
      </c>
      <c r="B43">
        <v>1700153352.5999999</v>
      </c>
      <c r="C43">
        <v>5496.5999999046326</v>
      </c>
      <c r="D43" t="s">
        <v>536</v>
      </c>
      <c r="E43" t="s">
        <v>537</v>
      </c>
      <c r="F43" t="s">
        <v>412</v>
      </c>
      <c r="G43" t="s">
        <v>482</v>
      </c>
      <c r="H43" t="s">
        <v>31</v>
      </c>
      <c r="I43">
        <v>1700153352.5999999</v>
      </c>
      <c r="J43">
        <f t="shared" si="0"/>
        <v>6.9367926756926483E-3</v>
      </c>
      <c r="K43">
        <f t="shared" si="1"/>
        <v>6.9367926756926481</v>
      </c>
      <c r="L43">
        <f t="shared" si="2"/>
        <v>4.5691788011325913</v>
      </c>
      <c r="M43">
        <f t="shared" si="3"/>
        <v>24.3475</v>
      </c>
      <c r="N43">
        <f t="shared" si="4"/>
        <v>8.4990311668939444</v>
      </c>
      <c r="O43">
        <f t="shared" si="5"/>
        <v>0.84638136464573754</v>
      </c>
      <c r="P43">
        <f t="shared" si="6"/>
        <v>2.4246611020775002</v>
      </c>
      <c r="Q43">
        <f t="shared" si="7"/>
        <v>0.51193489218743726</v>
      </c>
      <c r="R43">
        <f t="shared" si="8"/>
        <v>2.9227346398873539</v>
      </c>
      <c r="S43">
        <f t="shared" si="9"/>
        <v>0.46683569279500076</v>
      </c>
      <c r="T43">
        <f t="shared" si="10"/>
        <v>0.29549249450269993</v>
      </c>
      <c r="U43">
        <f t="shared" si="11"/>
        <v>289.5616834191934</v>
      </c>
      <c r="V43">
        <f t="shared" si="12"/>
        <v>30.21318850046783</v>
      </c>
      <c r="W43">
        <f t="shared" si="13"/>
        <v>30.0412</v>
      </c>
      <c r="X43">
        <f t="shared" si="14"/>
        <v>4.2705425051642738</v>
      </c>
      <c r="Y43">
        <f t="shared" si="15"/>
        <v>65.569897423657494</v>
      </c>
      <c r="Z43">
        <f t="shared" si="16"/>
        <v>2.8436377604063003</v>
      </c>
      <c r="AA43">
        <f t="shared" si="17"/>
        <v>4.336803734849707</v>
      </c>
      <c r="AB43">
        <f t="shared" si="18"/>
        <v>1.4269047447579735</v>
      </c>
      <c r="AC43">
        <f t="shared" si="19"/>
        <v>-305.91255699804577</v>
      </c>
      <c r="AD43">
        <f t="shared" si="20"/>
        <v>42.291914122664892</v>
      </c>
      <c r="AE43">
        <f t="shared" si="21"/>
        <v>3.2230060851420026</v>
      </c>
      <c r="AF43">
        <f t="shared" si="22"/>
        <v>29.164046628954523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51943.808239664373</v>
      </c>
      <c r="AL43" t="s">
        <v>426</v>
      </c>
      <c r="AM43" t="s">
        <v>426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426</v>
      </c>
      <c r="AS43" t="s">
        <v>426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1513.1595002171987</v>
      </c>
      <c r="AY43">
        <f t="shared" si="29"/>
        <v>4.5691788011325913</v>
      </c>
      <c r="AZ43" t="e">
        <f t="shared" si="30"/>
        <v>#DIV/0!</v>
      </c>
      <c r="BA43">
        <f t="shared" si="31"/>
        <v>3.0196280038401321E-3</v>
      </c>
      <c r="BB43" t="e">
        <f t="shared" si="32"/>
        <v>#DIV/0!</v>
      </c>
      <c r="BC43" t="e">
        <f t="shared" si="33"/>
        <v>#DIV/0!</v>
      </c>
      <c r="BD43" t="s">
        <v>426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BN43">
        <v>34449</v>
      </c>
      <c r="BO43">
        <v>290.00000000000011</v>
      </c>
      <c r="BP43">
        <v>894.23</v>
      </c>
      <c r="BQ43">
        <v>255</v>
      </c>
      <c r="BR43">
        <v>7088.53</v>
      </c>
      <c r="BS43">
        <v>894.3</v>
      </c>
      <c r="BT43">
        <v>-7.0000000000000007E-2</v>
      </c>
      <c r="BU43">
        <v>300.00000000000011</v>
      </c>
      <c r="BV43">
        <v>38.299999999999997</v>
      </c>
      <c r="BW43">
        <v>918.80138901868372</v>
      </c>
      <c r="BX43">
        <v>0.94780700913319937</v>
      </c>
      <c r="BY43">
        <v>-17.368117887726971</v>
      </c>
      <c r="BZ43">
        <v>0.56317994459819021</v>
      </c>
      <c r="CA43">
        <v>0.97140134704009529</v>
      </c>
      <c r="CB43">
        <v>-6.9863112347052303E-3</v>
      </c>
      <c r="CC43">
        <v>289.99999999999989</v>
      </c>
      <c r="CD43">
        <v>894.52</v>
      </c>
      <c r="CE43">
        <v>645</v>
      </c>
      <c r="CF43">
        <v>7084.8</v>
      </c>
      <c r="CG43">
        <v>894.29</v>
      </c>
      <c r="CH43">
        <v>0.23</v>
      </c>
      <c r="CV43">
        <f t="shared" si="42"/>
        <v>1799.97</v>
      </c>
      <c r="CW43">
        <f t="shared" si="43"/>
        <v>1513.1595002171987</v>
      </c>
      <c r="CX43">
        <f t="shared" si="44"/>
        <v>0.84065817775696183</v>
      </c>
      <c r="CY43">
        <f t="shared" si="45"/>
        <v>0.1608702830709364</v>
      </c>
      <c r="CZ43">
        <v>5.97</v>
      </c>
      <c r="DA43">
        <v>0.5</v>
      </c>
      <c r="DB43" t="s">
        <v>418</v>
      </c>
      <c r="DC43">
        <v>2</v>
      </c>
      <c r="DD43">
        <v>1700153352.5999999</v>
      </c>
      <c r="DE43">
        <v>24.3475</v>
      </c>
      <c r="DF43">
        <v>30.0046</v>
      </c>
      <c r="DG43">
        <v>28.5547</v>
      </c>
      <c r="DH43">
        <v>20.508900000000001</v>
      </c>
      <c r="DI43">
        <v>24.6326</v>
      </c>
      <c r="DJ43">
        <v>28.1996</v>
      </c>
      <c r="DK43">
        <v>500.01400000000001</v>
      </c>
      <c r="DL43">
        <v>99.485600000000005</v>
      </c>
      <c r="DM43">
        <v>0.10002900000000001</v>
      </c>
      <c r="DN43">
        <v>30.3096</v>
      </c>
      <c r="DO43">
        <v>30.0412</v>
      </c>
      <c r="DP43">
        <v>999.9</v>
      </c>
      <c r="DQ43">
        <v>0</v>
      </c>
      <c r="DR43">
        <v>0</v>
      </c>
      <c r="DS43">
        <v>9982.5</v>
      </c>
      <c r="DT43">
        <v>0</v>
      </c>
      <c r="DU43">
        <v>116.991</v>
      </c>
      <c r="DV43">
        <v>-5.6570900000000002</v>
      </c>
      <c r="DW43">
        <v>25.063199999999998</v>
      </c>
      <c r="DX43">
        <v>30.6328</v>
      </c>
      <c r="DY43">
        <v>8.0457800000000006</v>
      </c>
      <c r="DZ43">
        <v>30.0046</v>
      </c>
      <c r="EA43">
        <v>20.508900000000001</v>
      </c>
      <c r="EB43">
        <v>2.8407800000000001</v>
      </c>
      <c r="EC43">
        <v>2.04034</v>
      </c>
      <c r="ED43">
        <v>23.123000000000001</v>
      </c>
      <c r="EE43">
        <v>17.760899999999999</v>
      </c>
      <c r="EF43">
        <v>1799.97</v>
      </c>
      <c r="EG43">
        <v>0.97799800000000003</v>
      </c>
      <c r="EH43">
        <v>2.2002500000000001E-2</v>
      </c>
      <c r="EI43">
        <v>0</v>
      </c>
      <c r="EJ43">
        <v>842.07899999999995</v>
      </c>
      <c r="EK43">
        <v>4.9996700000000001</v>
      </c>
      <c r="EL43">
        <v>16928</v>
      </c>
      <c r="EM43">
        <v>15046.6</v>
      </c>
      <c r="EN43">
        <v>49.311999999999998</v>
      </c>
      <c r="EO43">
        <v>50.436999999999998</v>
      </c>
      <c r="EP43">
        <v>50.061999999999998</v>
      </c>
      <c r="EQ43">
        <v>50.125</v>
      </c>
      <c r="ER43">
        <v>50.811999999999998</v>
      </c>
      <c r="ES43">
        <v>1755.48</v>
      </c>
      <c r="ET43">
        <v>39.49</v>
      </c>
      <c r="EU43">
        <v>0</v>
      </c>
      <c r="EV43">
        <v>107.5999999046326</v>
      </c>
      <c r="EW43">
        <v>0</v>
      </c>
      <c r="EX43">
        <v>842.43456000000003</v>
      </c>
      <c r="EY43">
        <v>-1.4854615361395069</v>
      </c>
      <c r="EZ43">
        <v>252.73846105990299</v>
      </c>
      <c r="FA43">
        <v>16911.468000000001</v>
      </c>
      <c r="FB43">
        <v>15</v>
      </c>
      <c r="FC43">
        <v>1700153321.0999999</v>
      </c>
      <c r="FD43" t="s">
        <v>538</v>
      </c>
      <c r="FE43">
        <v>1700153309.0999999</v>
      </c>
      <c r="FF43">
        <v>1700153321.0999999</v>
      </c>
      <c r="FG43">
        <v>31</v>
      </c>
      <c r="FH43">
        <v>-5.0999999999999997E-2</v>
      </c>
      <c r="FI43">
        <v>1E-3</v>
      </c>
      <c r="FJ43">
        <v>-0.28199999999999997</v>
      </c>
      <c r="FK43">
        <v>0.23499999999999999</v>
      </c>
      <c r="FL43">
        <v>30</v>
      </c>
      <c r="FM43">
        <v>20</v>
      </c>
      <c r="FN43">
        <v>0.17</v>
      </c>
      <c r="FO43">
        <v>0.01</v>
      </c>
      <c r="FP43">
        <v>4.5792059989586598</v>
      </c>
      <c r="FQ43">
        <v>-7.4856797094813757E-2</v>
      </c>
      <c r="FR43">
        <v>1.766901841392917E-2</v>
      </c>
      <c r="FS43">
        <v>1</v>
      </c>
      <c r="FT43">
        <v>0.50989862219691451</v>
      </c>
      <c r="FU43">
        <v>4.5008542626389099E-2</v>
      </c>
      <c r="FV43">
        <v>4.6756252099016031E-3</v>
      </c>
      <c r="FW43">
        <v>1</v>
      </c>
      <c r="FX43">
        <v>2</v>
      </c>
      <c r="FY43">
        <v>2</v>
      </c>
      <c r="FZ43" t="s">
        <v>420</v>
      </c>
      <c r="GA43">
        <v>3.0133700000000001</v>
      </c>
      <c r="GB43">
        <v>2.7769599999999999</v>
      </c>
      <c r="GC43">
        <v>6.6509100000000003E-3</v>
      </c>
      <c r="GD43">
        <v>8.1649500000000007E-3</v>
      </c>
      <c r="GE43">
        <v>0.128524</v>
      </c>
      <c r="GF43">
        <v>0.103201</v>
      </c>
      <c r="GG43">
        <v>23698.5</v>
      </c>
      <c r="GH43">
        <v>24451.3</v>
      </c>
      <c r="GI43">
        <v>23638</v>
      </c>
      <c r="GJ43">
        <v>24324.9</v>
      </c>
      <c r="GK43">
        <v>30480.3</v>
      </c>
      <c r="GL43">
        <v>31287.200000000001</v>
      </c>
      <c r="GM43">
        <v>38719.699999999997</v>
      </c>
      <c r="GN43">
        <v>38741.199999999997</v>
      </c>
      <c r="GO43">
        <v>2.00325</v>
      </c>
      <c r="GP43">
        <v>1.74153</v>
      </c>
      <c r="GQ43">
        <v>4.0680200000000003E-3</v>
      </c>
      <c r="GR43">
        <v>0</v>
      </c>
      <c r="GS43">
        <v>29.975000000000001</v>
      </c>
      <c r="GT43">
        <v>999.9</v>
      </c>
      <c r="GU43">
        <v>40.799999999999997</v>
      </c>
      <c r="GV43">
        <v>41.3</v>
      </c>
      <c r="GW43">
        <v>32.578099999999999</v>
      </c>
      <c r="GX43">
        <v>61.246400000000001</v>
      </c>
      <c r="GY43">
        <v>31.462299999999999</v>
      </c>
      <c r="GZ43">
        <v>1</v>
      </c>
      <c r="HA43">
        <v>0.77915400000000001</v>
      </c>
      <c r="HB43">
        <v>3.5412400000000002</v>
      </c>
      <c r="HC43">
        <v>20.288799999999998</v>
      </c>
      <c r="HD43">
        <v>5.24275</v>
      </c>
      <c r="HE43">
        <v>11.997999999999999</v>
      </c>
      <c r="HF43">
        <v>4.9631999999999996</v>
      </c>
      <c r="HG43">
        <v>3.3008500000000001</v>
      </c>
      <c r="HH43">
        <v>9999</v>
      </c>
      <c r="HI43">
        <v>9999</v>
      </c>
      <c r="HJ43">
        <v>9999</v>
      </c>
      <c r="HK43">
        <v>999.9</v>
      </c>
      <c r="HL43">
        <v>1.8748</v>
      </c>
      <c r="HM43">
        <v>1.88019</v>
      </c>
      <c r="HN43">
        <v>1.88019</v>
      </c>
      <c r="HO43">
        <v>1.8789100000000001</v>
      </c>
      <c r="HP43">
        <v>1.8812500000000001</v>
      </c>
      <c r="HQ43">
        <v>1.87714</v>
      </c>
      <c r="HR43">
        <v>1.8749</v>
      </c>
      <c r="HS43">
        <v>1.88202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423</v>
      </c>
      <c r="IB43" t="s">
        <v>423</v>
      </c>
      <c r="IC43" t="s">
        <v>423</v>
      </c>
      <c r="ID43">
        <v>0</v>
      </c>
      <c r="IE43">
        <v>100</v>
      </c>
      <c r="IF43">
        <v>100</v>
      </c>
      <c r="IG43">
        <v>-0.28499999999999998</v>
      </c>
      <c r="IH43">
        <v>0.35510000000000003</v>
      </c>
      <c r="II43">
        <v>-0.30171915502477248</v>
      </c>
      <c r="IJ43">
        <v>7.0786345690369205E-4</v>
      </c>
      <c r="IK43">
        <v>-1.387476646623666E-6</v>
      </c>
      <c r="IL43">
        <v>3.6592443641472651E-10</v>
      </c>
      <c r="IM43">
        <v>0.3550565467972065</v>
      </c>
      <c r="IN43">
        <v>0</v>
      </c>
      <c r="IO43">
        <v>0</v>
      </c>
      <c r="IP43">
        <v>0</v>
      </c>
      <c r="IQ43">
        <v>2</v>
      </c>
      <c r="IR43">
        <v>2142</v>
      </c>
      <c r="IS43">
        <v>1</v>
      </c>
      <c r="IT43">
        <v>24</v>
      </c>
      <c r="IU43">
        <v>0.7</v>
      </c>
      <c r="IV43">
        <v>0.5</v>
      </c>
      <c r="IW43">
        <v>0.21850600000000001</v>
      </c>
      <c r="IX43">
        <v>2.7282700000000002</v>
      </c>
      <c r="IY43">
        <v>1.5490699999999999</v>
      </c>
      <c r="IZ43">
        <v>2.36206</v>
      </c>
      <c r="JA43">
        <v>1.5966800000000001</v>
      </c>
      <c r="JB43">
        <v>2.2375500000000001</v>
      </c>
      <c r="JC43">
        <v>44.223199999999999</v>
      </c>
      <c r="JD43">
        <v>24.105</v>
      </c>
      <c r="JE43">
        <v>18</v>
      </c>
      <c r="JF43">
        <v>533.28800000000001</v>
      </c>
      <c r="JG43">
        <v>429.39600000000002</v>
      </c>
      <c r="JH43">
        <v>26.811499999999999</v>
      </c>
      <c r="JI43">
        <v>36.731699999999996</v>
      </c>
      <c r="JJ43">
        <v>30.000299999999999</v>
      </c>
      <c r="JK43">
        <v>36.698700000000002</v>
      </c>
      <c r="JL43">
        <v>36.680799999999998</v>
      </c>
      <c r="JM43">
        <v>4.3546300000000002</v>
      </c>
      <c r="JN43">
        <v>39.438200000000002</v>
      </c>
      <c r="JO43">
        <v>0</v>
      </c>
      <c r="JP43">
        <v>26.7774</v>
      </c>
      <c r="JQ43">
        <v>30</v>
      </c>
      <c r="JR43">
        <v>20.416499999999999</v>
      </c>
      <c r="JS43">
        <v>98.053200000000004</v>
      </c>
      <c r="JT43">
        <v>98.956100000000006</v>
      </c>
    </row>
    <row r="44" spans="1:280" x14ac:dyDescent="0.25">
      <c r="A44">
        <v>28</v>
      </c>
      <c r="B44">
        <v>1700153445.0999999</v>
      </c>
      <c r="C44">
        <v>5589.0999999046326</v>
      </c>
      <c r="D44" t="s">
        <v>539</v>
      </c>
      <c r="E44" t="s">
        <v>540</v>
      </c>
      <c r="F44" t="s">
        <v>412</v>
      </c>
      <c r="G44" t="s">
        <v>482</v>
      </c>
      <c r="H44" t="s">
        <v>31</v>
      </c>
      <c r="I44">
        <v>1700153445.0999999</v>
      </c>
      <c r="J44">
        <f t="shared" si="0"/>
        <v>7.1597705912994246E-3</v>
      </c>
      <c r="K44">
        <f t="shared" si="1"/>
        <v>7.1597705912994245</v>
      </c>
      <c r="L44">
        <f t="shared" si="2"/>
        <v>1.4494869554430709</v>
      </c>
      <c r="M44">
        <f t="shared" si="3"/>
        <v>8.2160499999999992</v>
      </c>
      <c r="N44">
        <f t="shared" si="4"/>
        <v>3.3445079823550481</v>
      </c>
      <c r="O44">
        <f t="shared" si="5"/>
        <v>0.33305557452281692</v>
      </c>
      <c r="P44">
        <f t="shared" si="6"/>
        <v>0.81817752192396997</v>
      </c>
      <c r="Q44">
        <f t="shared" si="7"/>
        <v>0.53166584519060389</v>
      </c>
      <c r="R44">
        <f t="shared" si="8"/>
        <v>2.929063193784005</v>
      </c>
      <c r="S44">
        <f t="shared" si="9"/>
        <v>0.48329379055797134</v>
      </c>
      <c r="T44">
        <f t="shared" si="10"/>
        <v>0.30603706620482812</v>
      </c>
      <c r="U44">
        <f t="shared" si="11"/>
        <v>289.56008741919578</v>
      </c>
      <c r="V44">
        <f t="shared" si="12"/>
        <v>30.09140082680026</v>
      </c>
      <c r="W44">
        <f t="shared" si="13"/>
        <v>29.996700000000001</v>
      </c>
      <c r="X44">
        <f t="shared" si="14"/>
        <v>4.2596422738682334</v>
      </c>
      <c r="Y44">
        <f t="shared" si="15"/>
        <v>65.656155458407454</v>
      </c>
      <c r="Z44">
        <f t="shared" si="16"/>
        <v>2.83693561748948</v>
      </c>
      <c r="AA44">
        <f t="shared" si="17"/>
        <v>4.3208981666412853</v>
      </c>
      <c r="AB44">
        <f t="shared" si="18"/>
        <v>1.4227066563787534</v>
      </c>
      <c r="AC44">
        <f t="shared" si="19"/>
        <v>-315.74588307630461</v>
      </c>
      <c r="AD44">
        <f t="shared" si="20"/>
        <v>39.288419739936764</v>
      </c>
      <c r="AE44">
        <f t="shared" si="21"/>
        <v>2.9860398907183408</v>
      </c>
      <c r="AF44">
        <f t="shared" si="22"/>
        <v>16.088663973546296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52134.561398435282</v>
      </c>
      <c r="AL44" t="s">
        <v>415</v>
      </c>
      <c r="AM44">
        <v>10238.9</v>
      </c>
      <c r="AN44">
        <v>302.21199999999999</v>
      </c>
      <c r="AO44">
        <v>4052.3</v>
      </c>
      <c r="AP44">
        <f t="shared" si="26"/>
        <v>0.92542210596451402</v>
      </c>
      <c r="AQ44">
        <v>-0.32343011824092421</v>
      </c>
      <c r="AR44" t="s">
        <v>541</v>
      </c>
      <c r="AS44">
        <v>7094.21</v>
      </c>
      <c r="AT44">
        <v>853.89191999999991</v>
      </c>
      <c r="AU44">
        <v>904.33262990918467</v>
      </c>
      <c r="AV44">
        <f t="shared" si="27"/>
        <v>5.5776722237978027E-2</v>
      </c>
      <c r="AW44">
        <v>0.5</v>
      </c>
      <c r="AX44">
        <f t="shared" si="28"/>
        <v>1513.1511002171999</v>
      </c>
      <c r="AY44">
        <f t="shared" si="29"/>
        <v>1.4494869554430709</v>
      </c>
      <c r="AZ44">
        <f t="shared" si="30"/>
        <v>42.199304310452803</v>
      </c>
      <c r="BA44">
        <f t="shared" si="31"/>
        <v>1.1716721968014353E-3</v>
      </c>
      <c r="BB44">
        <f t="shared" si="32"/>
        <v>3.4809839499067312</v>
      </c>
      <c r="BC44">
        <f t="shared" si="33"/>
        <v>239.92611290224485</v>
      </c>
      <c r="BD44" t="s">
        <v>542</v>
      </c>
      <c r="BE44">
        <v>601.29</v>
      </c>
      <c r="BF44">
        <f t="shared" si="34"/>
        <v>601.29</v>
      </c>
      <c r="BG44">
        <f t="shared" si="35"/>
        <v>0.33510084662058137</v>
      </c>
      <c r="BH44">
        <f t="shared" si="36"/>
        <v>0.16644757182941802</v>
      </c>
      <c r="BI44">
        <f t="shared" si="37"/>
        <v>0.91218726404467543</v>
      </c>
      <c r="BJ44">
        <f t="shared" si="38"/>
        <v>8.3771768319568327E-2</v>
      </c>
      <c r="BK44">
        <f t="shared" si="39"/>
        <v>0.83943826653956266</v>
      </c>
      <c r="BL44">
        <f t="shared" si="40"/>
        <v>0.11720834700638784</v>
      </c>
      <c r="BM44">
        <f t="shared" si="41"/>
        <v>0.88279165299361217</v>
      </c>
      <c r="BN44">
        <v>34451</v>
      </c>
      <c r="BO44">
        <v>290.00000000000011</v>
      </c>
      <c r="BP44">
        <v>887.29</v>
      </c>
      <c r="BQ44">
        <v>135</v>
      </c>
      <c r="BR44">
        <v>7094.21</v>
      </c>
      <c r="BS44">
        <v>886.64</v>
      </c>
      <c r="BT44">
        <v>0.65</v>
      </c>
      <c r="BU44">
        <v>300.00000000000011</v>
      </c>
      <c r="BV44">
        <v>38.299999999999997</v>
      </c>
      <c r="BW44">
        <v>904.33262990918467</v>
      </c>
      <c r="BX44">
        <v>1.351150682001744</v>
      </c>
      <c r="BY44">
        <v>-12.549804071120301</v>
      </c>
      <c r="BZ44">
        <v>0.80288455080983268</v>
      </c>
      <c r="CA44">
        <v>0.89718162985097338</v>
      </c>
      <c r="CB44">
        <v>-6.98678175750834E-3</v>
      </c>
      <c r="CC44">
        <v>289.99999999999989</v>
      </c>
      <c r="CD44">
        <v>885.51</v>
      </c>
      <c r="CE44">
        <v>655</v>
      </c>
      <c r="CF44">
        <v>7084.93</v>
      </c>
      <c r="CG44">
        <v>886.62</v>
      </c>
      <c r="CH44">
        <v>-1.1100000000000001</v>
      </c>
      <c r="CV44">
        <f t="shared" si="42"/>
        <v>1799.96</v>
      </c>
      <c r="CW44">
        <f t="shared" si="43"/>
        <v>1513.1511002171999</v>
      </c>
      <c r="CX44">
        <f t="shared" si="44"/>
        <v>0.84065818141358684</v>
      </c>
      <c r="CY44">
        <f t="shared" si="45"/>
        <v>0.16087029012822271</v>
      </c>
      <c r="CZ44">
        <v>5.97</v>
      </c>
      <c r="DA44">
        <v>0.5</v>
      </c>
      <c r="DB44" t="s">
        <v>418</v>
      </c>
      <c r="DC44">
        <v>2</v>
      </c>
      <c r="DD44">
        <v>1700153445.0999999</v>
      </c>
      <c r="DE44">
        <v>8.2160499999999992</v>
      </c>
      <c r="DF44">
        <v>10.0166</v>
      </c>
      <c r="DG44">
        <v>28.488199999999999</v>
      </c>
      <c r="DH44">
        <v>20.184699999999999</v>
      </c>
      <c r="DI44">
        <v>8.4976199999999995</v>
      </c>
      <c r="DJ44">
        <v>28.131599999999999</v>
      </c>
      <c r="DK44">
        <v>500.10399999999998</v>
      </c>
      <c r="DL44">
        <v>99.482900000000001</v>
      </c>
      <c r="DM44">
        <v>9.9931400000000004E-2</v>
      </c>
      <c r="DN44">
        <v>30.2455</v>
      </c>
      <c r="DO44">
        <v>29.996700000000001</v>
      </c>
      <c r="DP44">
        <v>999.9</v>
      </c>
      <c r="DQ44">
        <v>0</v>
      </c>
      <c r="DR44">
        <v>0</v>
      </c>
      <c r="DS44">
        <v>10018.799999999999</v>
      </c>
      <c r="DT44">
        <v>0</v>
      </c>
      <c r="DU44">
        <v>110.968</v>
      </c>
      <c r="DV44">
        <v>-1.8005</v>
      </c>
      <c r="DW44">
        <v>8.4569799999999997</v>
      </c>
      <c r="DX44">
        <v>10.222899999999999</v>
      </c>
      <c r="DY44">
        <v>8.3034499999999998</v>
      </c>
      <c r="DZ44">
        <v>10.0166</v>
      </c>
      <c r="EA44">
        <v>20.184699999999999</v>
      </c>
      <c r="EB44">
        <v>2.8340900000000002</v>
      </c>
      <c r="EC44">
        <v>2.0080300000000002</v>
      </c>
      <c r="ED44">
        <v>23.084</v>
      </c>
      <c r="EE44">
        <v>17.5078</v>
      </c>
      <c r="EF44">
        <v>1799.96</v>
      </c>
      <c r="EG44">
        <v>0.97799800000000003</v>
      </c>
      <c r="EH44">
        <v>2.2002500000000001E-2</v>
      </c>
      <c r="EI44">
        <v>0</v>
      </c>
      <c r="EJ44">
        <v>853.51800000000003</v>
      </c>
      <c r="EK44">
        <v>4.9996700000000001</v>
      </c>
      <c r="EL44">
        <v>16949.599999999999</v>
      </c>
      <c r="EM44">
        <v>15046.4</v>
      </c>
      <c r="EN44">
        <v>49.25</v>
      </c>
      <c r="EO44">
        <v>50.375</v>
      </c>
      <c r="EP44">
        <v>50</v>
      </c>
      <c r="EQ44">
        <v>50.125</v>
      </c>
      <c r="ER44">
        <v>50.75</v>
      </c>
      <c r="ES44">
        <v>1755.47</v>
      </c>
      <c r="ET44">
        <v>39.49</v>
      </c>
      <c r="EU44">
        <v>0</v>
      </c>
      <c r="EV44">
        <v>200</v>
      </c>
      <c r="EW44">
        <v>0</v>
      </c>
      <c r="EX44">
        <v>853.89191999999991</v>
      </c>
      <c r="EY44">
        <v>-1.0994615235850871</v>
      </c>
      <c r="EZ44">
        <v>-234.20769173356391</v>
      </c>
      <c r="FA44">
        <v>16961.036</v>
      </c>
      <c r="FB44">
        <v>15</v>
      </c>
      <c r="FC44">
        <v>1700153415.0999999</v>
      </c>
      <c r="FD44" t="s">
        <v>543</v>
      </c>
      <c r="FE44">
        <v>1700153402.5999999</v>
      </c>
      <c r="FF44">
        <v>1700153415.0999999</v>
      </c>
      <c r="FG44">
        <v>32</v>
      </c>
      <c r="FH44">
        <v>1.4E-2</v>
      </c>
      <c r="FI44">
        <v>2E-3</v>
      </c>
      <c r="FJ44">
        <v>-0.28000000000000003</v>
      </c>
      <c r="FK44">
        <v>0.23799999999999999</v>
      </c>
      <c r="FL44">
        <v>10</v>
      </c>
      <c r="FM44">
        <v>20</v>
      </c>
      <c r="FN44">
        <v>0.27</v>
      </c>
      <c r="FO44">
        <v>0.01</v>
      </c>
      <c r="FP44">
        <v>1.455882228181165</v>
      </c>
      <c r="FQ44">
        <v>9.7131482979826208E-3</v>
      </c>
      <c r="FR44">
        <v>2.5902322222285609E-2</v>
      </c>
      <c r="FS44">
        <v>1</v>
      </c>
      <c r="FT44">
        <v>0.53218988132152345</v>
      </c>
      <c r="FU44">
        <v>3.3292163302882219E-2</v>
      </c>
      <c r="FV44">
        <v>4.1967665692254899E-3</v>
      </c>
      <c r="FW44">
        <v>1</v>
      </c>
      <c r="FX44">
        <v>2</v>
      </c>
      <c r="FY44">
        <v>2</v>
      </c>
      <c r="FZ44" t="s">
        <v>420</v>
      </c>
      <c r="GA44">
        <v>3.0135800000000001</v>
      </c>
      <c r="GB44">
        <v>2.77718</v>
      </c>
      <c r="GC44">
        <v>2.3027500000000001E-3</v>
      </c>
      <c r="GD44">
        <v>2.73924E-3</v>
      </c>
      <c r="GE44">
        <v>0.12831600000000001</v>
      </c>
      <c r="GF44">
        <v>0.10205500000000001</v>
      </c>
      <c r="GG44">
        <v>23804.5</v>
      </c>
      <c r="GH44">
        <v>24586.6</v>
      </c>
      <c r="GI44">
        <v>23640.5</v>
      </c>
      <c r="GJ44">
        <v>24326.7</v>
      </c>
      <c r="GK44">
        <v>30490.400000000001</v>
      </c>
      <c r="GL44">
        <v>31329.9</v>
      </c>
      <c r="GM44">
        <v>38723.5</v>
      </c>
      <c r="GN44">
        <v>38744.699999999997</v>
      </c>
      <c r="GO44">
        <v>2.0037799999999999</v>
      </c>
      <c r="GP44">
        <v>1.74102</v>
      </c>
      <c r="GQ44">
        <v>-4.9099299999999999E-3</v>
      </c>
      <c r="GR44">
        <v>0</v>
      </c>
      <c r="GS44">
        <v>30.076599999999999</v>
      </c>
      <c r="GT44">
        <v>999.9</v>
      </c>
      <c r="GU44">
        <v>40.5</v>
      </c>
      <c r="GV44">
        <v>41.4</v>
      </c>
      <c r="GW44">
        <v>32.515500000000003</v>
      </c>
      <c r="GX44">
        <v>60.886499999999998</v>
      </c>
      <c r="GY44">
        <v>31.0657</v>
      </c>
      <c r="GZ44">
        <v>1</v>
      </c>
      <c r="HA44">
        <v>0.77603100000000003</v>
      </c>
      <c r="HB44">
        <v>3.3481000000000001</v>
      </c>
      <c r="HC44">
        <v>20.293700000000001</v>
      </c>
      <c r="HD44">
        <v>5.2433500000000004</v>
      </c>
      <c r="HE44">
        <v>11.997999999999999</v>
      </c>
      <c r="HF44">
        <v>4.9636500000000003</v>
      </c>
      <c r="HG44">
        <v>3.3008799999999998</v>
      </c>
      <c r="HH44">
        <v>9999</v>
      </c>
      <c r="HI44">
        <v>9999</v>
      </c>
      <c r="HJ44">
        <v>9999</v>
      </c>
      <c r="HK44">
        <v>999.9</v>
      </c>
      <c r="HL44">
        <v>1.87477</v>
      </c>
      <c r="HM44">
        <v>1.88015</v>
      </c>
      <c r="HN44">
        <v>1.88019</v>
      </c>
      <c r="HO44">
        <v>1.8789</v>
      </c>
      <c r="HP44">
        <v>1.88123</v>
      </c>
      <c r="HQ44">
        <v>1.87714</v>
      </c>
      <c r="HR44">
        <v>1.8749</v>
      </c>
      <c r="HS44">
        <v>1.8820399999999999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423</v>
      </c>
      <c r="IB44" t="s">
        <v>423</v>
      </c>
      <c r="IC44" t="s">
        <v>423</v>
      </c>
      <c r="ID44">
        <v>0</v>
      </c>
      <c r="IE44">
        <v>100</v>
      </c>
      <c r="IF44">
        <v>100</v>
      </c>
      <c r="IG44">
        <v>-0.28199999999999997</v>
      </c>
      <c r="IH44">
        <v>0.35659999999999997</v>
      </c>
      <c r="II44">
        <v>-0.28748283504414518</v>
      </c>
      <c r="IJ44">
        <v>7.0786345690369205E-4</v>
      </c>
      <c r="IK44">
        <v>-1.387476646623666E-6</v>
      </c>
      <c r="IL44">
        <v>3.6592443641472651E-10</v>
      </c>
      <c r="IM44">
        <v>0.35661206239476079</v>
      </c>
      <c r="IN44">
        <v>0</v>
      </c>
      <c r="IO44">
        <v>0</v>
      </c>
      <c r="IP44">
        <v>0</v>
      </c>
      <c r="IQ44">
        <v>2</v>
      </c>
      <c r="IR44">
        <v>2142</v>
      </c>
      <c r="IS44">
        <v>1</v>
      </c>
      <c r="IT44">
        <v>24</v>
      </c>
      <c r="IU44">
        <v>0.7</v>
      </c>
      <c r="IV44">
        <v>0.5</v>
      </c>
      <c r="IW44">
        <v>0.17456099999999999</v>
      </c>
      <c r="IX44">
        <v>2.7355999999999998</v>
      </c>
      <c r="IY44">
        <v>1.5490699999999999</v>
      </c>
      <c r="IZ44">
        <v>2.36206</v>
      </c>
      <c r="JA44">
        <v>1.5966800000000001</v>
      </c>
      <c r="JB44">
        <v>2.3315399999999999</v>
      </c>
      <c r="JC44">
        <v>44.223199999999999</v>
      </c>
      <c r="JD44">
        <v>24.113800000000001</v>
      </c>
      <c r="JE44">
        <v>18</v>
      </c>
      <c r="JF44">
        <v>533.37300000000005</v>
      </c>
      <c r="JG44">
        <v>428.85300000000001</v>
      </c>
      <c r="JH44">
        <v>26.833600000000001</v>
      </c>
      <c r="JI44">
        <v>36.703400000000002</v>
      </c>
      <c r="JJ44">
        <v>30.0002</v>
      </c>
      <c r="JK44">
        <v>36.664400000000001</v>
      </c>
      <c r="JL44">
        <v>36.646000000000001</v>
      </c>
      <c r="JM44">
        <v>3.4860600000000002</v>
      </c>
      <c r="JN44">
        <v>40.231299999999997</v>
      </c>
      <c r="JO44">
        <v>0</v>
      </c>
      <c r="JP44">
        <v>26.8278</v>
      </c>
      <c r="JQ44">
        <v>10</v>
      </c>
      <c r="JR44">
        <v>20.0733</v>
      </c>
      <c r="JS44">
        <v>98.063000000000002</v>
      </c>
      <c r="JT44">
        <v>98.964399999999998</v>
      </c>
    </row>
    <row r="45" spans="1:280" x14ac:dyDescent="0.25">
      <c r="A45">
        <v>43</v>
      </c>
      <c r="B45">
        <v>1700158603</v>
      </c>
      <c r="C45">
        <v>10747</v>
      </c>
      <c r="D45" t="s">
        <v>545</v>
      </c>
      <c r="E45" t="s">
        <v>546</v>
      </c>
      <c r="F45" t="s">
        <v>412</v>
      </c>
      <c r="G45" t="s">
        <v>547</v>
      </c>
      <c r="H45" t="s">
        <v>547</v>
      </c>
      <c r="I45">
        <v>1700158603</v>
      </c>
      <c r="J45">
        <f t="shared" ref="J45:J66" si="46">(K45)/1000</f>
        <v>4.7352615798285673E-3</v>
      </c>
      <c r="K45">
        <f t="shared" ref="K45:K66" si="47">1000*DK45*AI45*(DG45-DH45)/(100*CZ45*(1000-AI45*DG45))</f>
        <v>4.7352615798285669</v>
      </c>
      <c r="L45">
        <f t="shared" ref="L45:L66" si="48">DK45*AI45*(DF45-DE45*(1000-AI45*DH45)/(1000-AI45*DG45))/(100*CZ45)</f>
        <v>51.684804773383306</v>
      </c>
      <c r="M45">
        <f t="shared" ref="M45:M66" si="49">DE45 - IF(AI45&gt;1, L45*CZ45*100/(AK45*DS45), 0)</f>
        <v>407.89800000000002</v>
      </c>
      <c r="N45">
        <f t="shared" ref="N45:N66" si="50">((T45-J45/2)*M45-L45)/(T45+J45/2)</f>
        <v>110.46933913648714</v>
      </c>
      <c r="O45">
        <f t="shared" ref="O45:O66" si="51">N45*(DL45+DM45)/1000</f>
        <v>10.976289809682717</v>
      </c>
      <c r="P45">
        <f t="shared" ref="P45:P66" si="52">(DE45 - IF(AI45&gt;1, L45*CZ45*100/(AK45*DS45), 0))*(DL45+DM45)/1000</f>
        <v>40.528953063241197</v>
      </c>
      <c r="Q45">
        <f t="shared" ref="Q45:Q66" si="53">2/((1/S45-1/R45)+SIGN(S45)*SQRT((1/S45-1/R45)*(1/S45-1/R45) + 4*DA45/((DA45+1)*(DA45+1))*(2*1/S45*1/R45-1/R45*1/R45)))</f>
        <v>0.29626422148334552</v>
      </c>
      <c r="R45">
        <f t="shared" ref="R45:R66" si="54">IF(LEFT(DB45,1)&lt;&gt;"0",IF(LEFT(DB45,1)="1",3,DC45),$D$5+$E$5*(DS45*DL45/($K$5*1000))+$F$5*(DS45*DL45/($K$5*1000))*MAX(MIN(CZ45,$J$5),$I$5)*MAX(MIN(CZ45,$J$5),$I$5)+$G$5*MAX(MIN(CZ45,$J$5),$I$5)*(DS45*DL45/($K$5*1000))+$H$5*(DS45*DL45/($K$5*1000))*(DS45*DL45/($K$5*1000)))</f>
        <v>3.4392535760448517</v>
      </c>
      <c r="S45">
        <f t="shared" ref="S45:S66" si="55">J45*(1000-(1000*0.61365*EXP(17.502*W45/(240.97+W45))/(DL45+DM45)+DG45)/2)/(1000*0.61365*EXP(17.502*W45/(240.97+W45))/(DL45+DM45)-DG45)</f>
        <v>0.28278115702923085</v>
      </c>
      <c r="T45">
        <f t="shared" ref="T45:T66" si="56">1/((DA45+1)/(Q45/1.6)+1/(R45/1.37)) + DA45/((DA45+1)/(Q45/1.6) + DA45/(R45/1.37))</f>
        <v>0.1778984819162725</v>
      </c>
      <c r="U45">
        <f t="shared" ref="U45:U66" si="57">(CV45*CY45)</f>
        <v>289.55486141941736</v>
      </c>
      <c r="V45">
        <f t="shared" ref="V45:V66" si="58">(DN45+(U45+2*0.95*0.0000000567*(((DN45+$B$7)+273)^4-(DN45+273)^4)-44100*J45)/(1.84*29.3*R45+8*0.95*0.0000000567*(DN45+273)^3))</f>
        <v>29.723524776506377</v>
      </c>
      <c r="W45">
        <f t="shared" ref="W45:W66" si="59">($C$7*DO45+$D$7*DP45+$E$7*V45)</f>
        <v>30.0702</v>
      </c>
      <c r="X45">
        <f t="shared" ref="X45:X66" si="60">0.61365*EXP(17.502*W45/(240.97+W45))</f>
        <v>4.2776591020637698</v>
      </c>
      <c r="Y45">
        <f t="shared" ref="Y45:Y66" si="61">(Z45/AA45*100)</f>
        <v>65.242519262411207</v>
      </c>
      <c r="Z45">
        <f t="shared" ref="Z45:Z66" si="62">DG45*(DL45+DM45)/1000</f>
        <v>2.67202269088668</v>
      </c>
      <c r="AA45">
        <f t="shared" ref="AA45:AA66" si="63">0.61365*EXP(17.502*DN45/(240.97+DN45))</f>
        <v>4.0955234731809895</v>
      </c>
      <c r="AB45">
        <f t="shared" ref="AB45:AB66" si="64">(X45-DG45*(DL45+DM45)/1000)</f>
        <v>1.6056364111770898</v>
      </c>
      <c r="AC45">
        <f t="shared" ref="AC45:AC66" si="65">(-J45*44100)</f>
        <v>-208.8250356704398</v>
      </c>
      <c r="AD45">
        <f t="shared" ref="AD45:AD66" si="66">2*29.3*R45*0.92*(DN45-W45)</f>
        <v>-140.1381979187897</v>
      </c>
      <c r="AE45">
        <f t="shared" ref="AE45:AE66" si="67">2*0.95*0.0000000567*(((DN45+$B$7)+273)^4-(W45+273)^4)</f>
        <v>-9.0325076014097281</v>
      </c>
      <c r="AF45">
        <f t="shared" ref="AF45:AF66" si="68">U45+AE45+AC45+AD45</f>
        <v>-68.440879771221887</v>
      </c>
      <c r="AG45">
        <v>0</v>
      </c>
      <c r="AH45">
        <v>0</v>
      </c>
      <c r="AI45">
        <f t="shared" ref="AI45:AI66" si="69">IF(AG45*$H$13&gt;=AK45,1,(AK45/(AK45-AG45*$H$13)))</f>
        <v>1</v>
      </c>
      <c r="AJ45">
        <f t="shared" ref="AJ45:AJ66" si="70">(AI45-1)*100</f>
        <v>0</v>
      </c>
      <c r="AK45">
        <f t="shared" ref="AK45:AK66" si="71">MAX(0,($B$13+$C$13*DS45)/(1+$D$13*DS45)*DL45/(DN45+273)*$E$13)</f>
        <v>51996.991770738714</v>
      </c>
      <c r="AL45" t="s">
        <v>415</v>
      </c>
      <c r="AM45">
        <v>10238.9</v>
      </c>
      <c r="AN45">
        <v>302.21199999999999</v>
      </c>
      <c r="AO45">
        <v>4052.3</v>
      </c>
      <c r="AP45">
        <f t="shared" ref="AP45:AP66" si="72">1-AN45/AO45</f>
        <v>0.92542210596451402</v>
      </c>
      <c r="AQ45">
        <v>-0.32343011824092421</v>
      </c>
      <c r="AR45" t="s">
        <v>548</v>
      </c>
      <c r="AS45">
        <v>7105</v>
      </c>
      <c r="AT45">
        <v>507.6988846153846</v>
      </c>
      <c r="AU45">
        <v>758.05365260178053</v>
      </c>
      <c r="AV45">
        <f t="shared" ref="AV45:AV66" si="73">1-AT45/AU45</f>
        <v>0.33025995868119884</v>
      </c>
      <c r="AW45">
        <v>0.5</v>
      </c>
      <c r="AX45">
        <f t="shared" ref="AX45:AX66" si="74">CW45</f>
        <v>1513.1181002173148</v>
      </c>
      <c r="AY45">
        <f t="shared" ref="AY45:AY66" si="75">L45</f>
        <v>51.684804773383306</v>
      </c>
      <c r="AZ45">
        <f t="shared" ref="AZ45:AZ66" si="76">AV45*AW45*AX45</f>
        <v>249.86116062877224</v>
      </c>
      <c r="BA45">
        <f t="shared" ref="BA45:BA66" si="77">(AY45-AQ45)/AX45</f>
        <v>3.4371563517847536E-2</v>
      </c>
      <c r="BB45">
        <f t="shared" ref="BB45:BB66" si="78">(AO45-AU45)/AU45</f>
        <v>4.3456638406684753</v>
      </c>
      <c r="BC45">
        <f t="shared" ref="BC45:BC66" si="79">AN45/(AP45+AN45/AU45)</f>
        <v>228.24120384352602</v>
      </c>
      <c r="BD45" t="s">
        <v>549</v>
      </c>
      <c r="BE45">
        <v>355.93</v>
      </c>
      <c r="BF45">
        <f t="shared" ref="BF45:BF66" si="80">IF(BE45&lt;&gt;0, BE45, BC45)</f>
        <v>355.93</v>
      </c>
      <c r="BG45">
        <f t="shared" ref="BG45:BG66" si="81">1-BF45/AU45</f>
        <v>0.53046859047722772</v>
      </c>
      <c r="BH45">
        <f t="shared" ref="BH45:BH66" si="82">(AU45-AT45)/(AU45-BF45)</f>
        <v>0.62258155263082726</v>
      </c>
      <c r="BI45">
        <f t="shared" ref="BI45:BI66" si="83">(AO45-AU45)/(AO45-BF45)</f>
        <v>0.89121120109681107</v>
      </c>
      <c r="BJ45">
        <f t="shared" ref="BJ45:BJ66" si="84">(AU45-AT45)/(AU45-AN45)</f>
        <v>0.54921433036551348</v>
      </c>
      <c r="BK45">
        <f t="shared" ref="BK45:BK66" si="85">(AO45-AU45)/(AO45-AN45)</f>
        <v>0.87844507846168396</v>
      </c>
      <c r="BL45">
        <f t="shared" ref="BL45:BL66" si="86">(BH45*BF45/AT45)</f>
        <v>0.43647023608445296</v>
      </c>
      <c r="BM45">
        <f t="shared" ref="BM45:BM66" si="87">(1-BL45)</f>
        <v>0.56352976391554699</v>
      </c>
      <c r="BN45">
        <v>34469</v>
      </c>
      <c r="BO45">
        <v>290.00000000000011</v>
      </c>
      <c r="BP45">
        <v>685.53</v>
      </c>
      <c r="BQ45">
        <v>295</v>
      </c>
      <c r="BR45">
        <v>7105</v>
      </c>
      <c r="BS45">
        <v>686.57</v>
      </c>
      <c r="BT45">
        <v>-1.04</v>
      </c>
      <c r="BU45">
        <v>300.00000000000011</v>
      </c>
      <c r="BV45">
        <v>38.299999999999997</v>
      </c>
      <c r="BW45">
        <v>758.05365260178053</v>
      </c>
      <c r="BX45">
        <v>1.1603231812218091</v>
      </c>
      <c r="BY45">
        <v>-50.792378770299848</v>
      </c>
      <c r="BZ45">
        <v>0.69114326401259041</v>
      </c>
      <c r="CA45">
        <v>0.99484235611326177</v>
      </c>
      <c r="CB45">
        <v>-7.0041528364849816E-3</v>
      </c>
      <c r="CC45">
        <v>289.99999999999989</v>
      </c>
      <c r="CD45">
        <v>696.26</v>
      </c>
      <c r="CE45">
        <v>895</v>
      </c>
      <c r="CF45">
        <v>7098.25</v>
      </c>
      <c r="CG45">
        <v>686.5</v>
      </c>
      <c r="CH45">
        <v>9.76</v>
      </c>
      <c r="CV45">
        <f t="shared" ref="CV45:CV66" si="88">$B$11*DT45+$C$11*DU45+$F$11*EF45*(1-EI45)</f>
        <v>1799.92</v>
      </c>
      <c r="CW45">
        <f t="shared" ref="CW45:CW66" si="89">CV45*CX45</f>
        <v>1513.1181002173148</v>
      </c>
      <c r="CX45">
        <f t="shared" ref="CX45:CX66" si="90">($B$11*$D$9+$C$11*$D$9+$F$11*((ES45+EK45)/MAX(ES45+EK45+ET45, 0.1)*$I$9+ET45/MAX(ES45+EK45+ET45, 0.1)*$J$9))/($B$11+$C$11+$F$11)</f>
        <v>0.84065852938870322</v>
      </c>
      <c r="CY45">
        <f t="shared" ref="CY45:CY66" si="91">($B$11*$K$9+$C$11*$K$9+$F$11*((ES45+EK45)/MAX(ES45+EK45+ET45, 0.1)*$P$9+ET45/MAX(ES45+EK45+ET45, 0.1)*$Q$9))/($B$11+$C$11+$F$11)</f>
        <v>0.16087096172019721</v>
      </c>
      <c r="CZ45">
        <v>3.93</v>
      </c>
      <c r="DA45">
        <v>0.5</v>
      </c>
      <c r="DB45" t="s">
        <v>418</v>
      </c>
      <c r="DC45">
        <v>2</v>
      </c>
      <c r="DD45">
        <v>1700158603</v>
      </c>
      <c r="DE45">
        <v>407.89800000000002</v>
      </c>
      <c r="DF45">
        <v>450.02499999999998</v>
      </c>
      <c r="DG45">
        <v>26.892199999999999</v>
      </c>
      <c r="DH45">
        <v>23.271699999999999</v>
      </c>
      <c r="DI45">
        <v>408.161</v>
      </c>
      <c r="DJ45">
        <v>26.5443</v>
      </c>
      <c r="DK45">
        <v>500.18299999999999</v>
      </c>
      <c r="DL45">
        <v>99.2607</v>
      </c>
      <c r="DM45">
        <v>9.9809400000000006E-2</v>
      </c>
      <c r="DN45">
        <v>29.314399999999999</v>
      </c>
      <c r="DO45">
        <v>30.0702</v>
      </c>
      <c r="DP45">
        <v>999.9</v>
      </c>
      <c r="DQ45">
        <v>0</v>
      </c>
      <c r="DR45">
        <v>0</v>
      </c>
      <c r="DS45">
        <v>9982.5</v>
      </c>
      <c r="DT45">
        <v>0</v>
      </c>
      <c r="DU45">
        <v>296.57</v>
      </c>
      <c r="DV45">
        <v>-42.1267</v>
      </c>
      <c r="DW45">
        <v>419.17</v>
      </c>
      <c r="DX45">
        <v>460.74700000000001</v>
      </c>
      <c r="DY45">
        <v>3.6204900000000002</v>
      </c>
      <c r="DZ45">
        <v>450.02499999999998</v>
      </c>
      <c r="EA45">
        <v>23.271699999999999</v>
      </c>
      <c r="EB45">
        <v>2.66934</v>
      </c>
      <c r="EC45">
        <v>2.3099599999999998</v>
      </c>
      <c r="ED45">
        <v>22.0976</v>
      </c>
      <c r="EE45">
        <v>19.745999999999999</v>
      </c>
      <c r="EF45">
        <v>1799.92</v>
      </c>
      <c r="EG45">
        <v>0.977989</v>
      </c>
      <c r="EH45">
        <v>2.2010800000000001E-2</v>
      </c>
      <c r="EI45">
        <v>0</v>
      </c>
      <c r="EJ45">
        <v>507.63600000000002</v>
      </c>
      <c r="EK45">
        <v>4.9996700000000001</v>
      </c>
      <c r="EL45">
        <v>10758.4</v>
      </c>
      <c r="EM45">
        <v>15046.1</v>
      </c>
      <c r="EN45">
        <v>49.375</v>
      </c>
      <c r="EO45">
        <v>50.25</v>
      </c>
      <c r="EP45">
        <v>50</v>
      </c>
      <c r="EQ45">
        <v>49.936999999999998</v>
      </c>
      <c r="ER45">
        <v>50.75</v>
      </c>
      <c r="ES45">
        <v>1755.41</v>
      </c>
      <c r="ET45">
        <v>39.51</v>
      </c>
      <c r="EU45">
        <v>0</v>
      </c>
      <c r="EV45">
        <v>1097.400000095367</v>
      </c>
      <c r="EW45">
        <v>0</v>
      </c>
      <c r="EX45">
        <v>507.6988846153846</v>
      </c>
      <c r="EY45">
        <v>9.1726490272825117E-2</v>
      </c>
      <c r="EZ45">
        <v>1802.0341894460009</v>
      </c>
      <c r="FA45">
        <v>10447.39615384615</v>
      </c>
      <c r="FB45">
        <v>15</v>
      </c>
      <c r="FC45">
        <v>1700158570.5</v>
      </c>
      <c r="FD45" t="s">
        <v>550</v>
      </c>
      <c r="FE45">
        <v>1700158565.5</v>
      </c>
      <c r="FF45">
        <v>1700158570.5</v>
      </c>
      <c r="FG45">
        <v>49</v>
      </c>
      <c r="FH45">
        <v>-0.157</v>
      </c>
      <c r="FI45">
        <v>4.0000000000000001E-3</v>
      </c>
      <c r="FJ45">
        <v>-0.27500000000000002</v>
      </c>
      <c r="FK45">
        <v>0.309</v>
      </c>
      <c r="FL45">
        <v>450</v>
      </c>
      <c r="FM45">
        <v>23</v>
      </c>
      <c r="FN45">
        <v>0.03</v>
      </c>
      <c r="FO45">
        <v>0.02</v>
      </c>
      <c r="FP45">
        <v>51.771525286424591</v>
      </c>
      <c r="FQ45">
        <v>0.3225421992585179</v>
      </c>
      <c r="FR45">
        <v>9.5290660356937451E-2</v>
      </c>
      <c r="FS45">
        <v>1</v>
      </c>
      <c r="FT45">
        <v>0.2925280453698797</v>
      </c>
      <c r="FU45">
        <v>4.8251155813686643E-2</v>
      </c>
      <c r="FV45">
        <v>3.7264864978325579E-3</v>
      </c>
      <c r="FW45">
        <v>1</v>
      </c>
      <c r="FX45">
        <v>2</v>
      </c>
      <c r="FY45">
        <v>2</v>
      </c>
      <c r="FZ45" t="s">
        <v>420</v>
      </c>
      <c r="GA45">
        <v>3.01281</v>
      </c>
      <c r="GB45">
        <v>2.7767400000000002</v>
      </c>
      <c r="GC45">
        <v>8.9369400000000002E-2</v>
      </c>
      <c r="GD45">
        <v>9.6801999999999999E-2</v>
      </c>
      <c r="GE45">
        <v>0.12334000000000001</v>
      </c>
      <c r="GF45">
        <v>0.11278000000000001</v>
      </c>
      <c r="GG45">
        <v>21814.7</v>
      </c>
      <c r="GH45">
        <v>22348.2</v>
      </c>
      <c r="GI45">
        <v>23727.1</v>
      </c>
      <c r="GJ45">
        <v>24406</v>
      </c>
      <c r="GK45">
        <v>30768.1</v>
      </c>
      <c r="GL45">
        <v>31052.5</v>
      </c>
      <c r="GM45">
        <v>38861.1</v>
      </c>
      <c r="GN45">
        <v>38869.199999999997</v>
      </c>
      <c r="GO45">
        <v>2.0293800000000002</v>
      </c>
      <c r="GP45">
        <v>1.7742</v>
      </c>
      <c r="GQ45">
        <v>7.9684000000000005E-2</v>
      </c>
      <c r="GR45">
        <v>0</v>
      </c>
      <c r="GS45">
        <v>28.772300000000001</v>
      </c>
      <c r="GT45">
        <v>999.9</v>
      </c>
      <c r="GU45">
        <v>34.700000000000003</v>
      </c>
      <c r="GV45">
        <v>40.9</v>
      </c>
      <c r="GW45">
        <v>27.188199999999998</v>
      </c>
      <c r="GX45">
        <v>61.1252</v>
      </c>
      <c r="GY45">
        <v>30.877400000000002</v>
      </c>
      <c r="GZ45">
        <v>1</v>
      </c>
      <c r="HA45">
        <v>0.67359800000000003</v>
      </c>
      <c r="HB45">
        <v>3.66981</v>
      </c>
      <c r="HC45">
        <v>20.289100000000001</v>
      </c>
      <c r="HD45">
        <v>5.2452899999999998</v>
      </c>
      <c r="HE45">
        <v>11.999499999999999</v>
      </c>
      <c r="HF45">
        <v>4.9635499999999997</v>
      </c>
      <c r="HG45">
        <v>3.3010000000000002</v>
      </c>
      <c r="HH45">
        <v>9999</v>
      </c>
      <c r="HI45">
        <v>9999</v>
      </c>
      <c r="HJ45">
        <v>9999</v>
      </c>
      <c r="HK45">
        <v>999.9</v>
      </c>
      <c r="HL45">
        <v>1.8748499999999999</v>
      </c>
      <c r="HM45">
        <v>1.88019</v>
      </c>
      <c r="HN45">
        <v>1.88032</v>
      </c>
      <c r="HO45">
        <v>1.87897</v>
      </c>
      <c r="HP45">
        <v>1.88127</v>
      </c>
      <c r="HQ45">
        <v>1.8772800000000001</v>
      </c>
      <c r="HR45">
        <v>1.875</v>
      </c>
      <c r="HS45">
        <v>1.8821699999999999</v>
      </c>
      <c r="HT45">
        <v>5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423</v>
      </c>
      <c r="IB45" t="s">
        <v>423</v>
      </c>
      <c r="IC45" t="s">
        <v>423</v>
      </c>
      <c r="ID45">
        <v>0</v>
      </c>
      <c r="IE45">
        <v>100</v>
      </c>
      <c r="IF45">
        <v>100</v>
      </c>
      <c r="IG45">
        <v>-0.26300000000000001</v>
      </c>
      <c r="IH45">
        <v>0.34789999999999999</v>
      </c>
      <c r="II45">
        <v>-0.34549493306409967</v>
      </c>
      <c r="IJ45">
        <v>7.0786345690369205E-4</v>
      </c>
      <c r="IK45">
        <v>-1.387476646623666E-6</v>
      </c>
      <c r="IL45">
        <v>3.6592443641472651E-10</v>
      </c>
      <c r="IM45">
        <v>0.347914918816633</v>
      </c>
      <c r="IN45">
        <v>0</v>
      </c>
      <c r="IO45">
        <v>0</v>
      </c>
      <c r="IP45">
        <v>0</v>
      </c>
      <c r="IQ45">
        <v>2</v>
      </c>
      <c r="IR45">
        <v>2142</v>
      </c>
      <c r="IS45">
        <v>1</v>
      </c>
      <c r="IT45">
        <v>24</v>
      </c>
      <c r="IU45">
        <v>0.6</v>
      </c>
      <c r="IV45">
        <v>0.5</v>
      </c>
      <c r="IW45">
        <v>1.1254900000000001</v>
      </c>
      <c r="IX45">
        <v>2.6965300000000001</v>
      </c>
      <c r="IY45">
        <v>1.5490699999999999</v>
      </c>
      <c r="IZ45">
        <v>2.3596200000000001</v>
      </c>
      <c r="JA45">
        <v>1.5966800000000001</v>
      </c>
      <c r="JB45">
        <v>2.2314500000000002</v>
      </c>
      <c r="JC45">
        <v>42.885199999999998</v>
      </c>
      <c r="JD45">
        <v>24.113800000000001</v>
      </c>
      <c r="JE45">
        <v>18</v>
      </c>
      <c r="JF45">
        <v>541.00400000000002</v>
      </c>
      <c r="JG45">
        <v>441.78699999999998</v>
      </c>
      <c r="JH45">
        <v>25.736999999999998</v>
      </c>
      <c r="JI45">
        <v>35.384599999999999</v>
      </c>
      <c r="JJ45">
        <v>29.999700000000001</v>
      </c>
      <c r="JK45">
        <v>35.456800000000001</v>
      </c>
      <c r="JL45">
        <v>35.455599999999997</v>
      </c>
      <c r="JM45">
        <v>22.5076</v>
      </c>
      <c r="JN45">
        <v>10.811999999999999</v>
      </c>
      <c r="JO45">
        <v>3.9891000000000001</v>
      </c>
      <c r="JP45">
        <v>25.713200000000001</v>
      </c>
      <c r="JQ45">
        <v>450</v>
      </c>
      <c r="JR45">
        <v>23.176600000000001</v>
      </c>
      <c r="JS45">
        <v>98.415599999999998</v>
      </c>
      <c r="JT45">
        <v>99.284099999999995</v>
      </c>
    </row>
    <row r="46" spans="1:280" x14ac:dyDescent="0.25">
      <c r="A46">
        <v>44</v>
      </c>
      <c r="B46">
        <v>1700158819</v>
      </c>
      <c r="C46">
        <v>10963</v>
      </c>
      <c r="D46" t="s">
        <v>551</v>
      </c>
      <c r="E46" t="s">
        <v>552</v>
      </c>
      <c r="F46" t="s">
        <v>412</v>
      </c>
      <c r="G46" t="s">
        <v>547</v>
      </c>
      <c r="H46" t="s">
        <v>547</v>
      </c>
      <c r="I46">
        <v>1700158819</v>
      </c>
      <c r="J46">
        <f t="shared" si="46"/>
        <v>1.4917999639950167E-3</v>
      </c>
      <c r="K46">
        <f t="shared" si="47"/>
        <v>1.4917999639950166</v>
      </c>
      <c r="L46">
        <f t="shared" si="48"/>
        <v>48.445894543597937</v>
      </c>
      <c r="M46">
        <f t="shared" si="49"/>
        <v>1460.22</v>
      </c>
      <c r="N46">
        <f t="shared" si="50"/>
        <v>527.70058803697577</v>
      </c>
      <c r="O46">
        <f t="shared" si="51"/>
        <v>52.428923803437783</v>
      </c>
      <c r="P46">
        <f t="shared" si="52"/>
        <v>145.07803260376801</v>
      </c>
      <c r="Q46">
        <f t="shared" si="53"/>
        <v>8.6693451768587157E-2</v>
      </c>
      <c r="R46">
        <f t="shared" si="54"/>
        <v>3.4376664415468463</v>
      </c>
      <c r="S46">
        <f t="shared" si="55"/>
        <v>8.5496934539027986E-2</v>
      </c>
      <c r="T46">
        <f t="shared" si="56"/>
        <v>5.3541710589513111E-2</v>
      </c>
      <c r="U46">
        <f t="shared" si="57"/>
        <v>289.56385841929716</v>
      </c>
      <c r="V46">
        <f t="shared" si="58"/>
        <v>30.02533511752199</v>
      </c>
      <c r="W46">
        <f t="shared" si="59"/>
        <v>30.041499999999999</v>
      </c>
      <c r="X46">
        <f t="shared" si="60"/>
        <v>4.2706160722821656</v>
      </c>
      <c r="Y46">
        <f t="shared" si="61"/>
        <v>64.982949720519329</v>
      </c>
      <c r="Z46">
        <f t="shared" si="62"/>
        <v>2.5969526202994002</v>
      </c>
      <c r="AA46">
        <f t="shared" si="63"/>
        <v>3.9963600166943083</v>
      </c>
      <c r="AB46">
        <f t="shared" si="64"/>
        <v>1.6736634519827653</v>
      </c>
      <c r="AC46">
        <f t="shared" si="65"/>
        <v>-65.788378412180236</v>
      </c>
      <c r="AD46">
        <f t="shared" si="66"/>
        <v>-213.3165256493713</v>
      </c>
      <c r="AE46">
        <f t="shared" si="67"/>
        <v>-13.724711874616677</v>
      </c>
      <c r="AF46">
        <f t="shared" si="68"/>
        <v>-3.265757516871048</v>
      </c>
      <c r="AG46">
        <v>0</v>
      </c>
      <c r="AH46">
        <v>0</v>
      </c>
      <c r="AI46">
        <f t="shared" si="69"/>
        <v>1</v>
      </c>
      <c r="AJ46">
        <f t="shared" si="70"/>
        <v>0</v>
      </c>
      <c r="AK46">
        <f t="shared" si="71"/>
        <v>52034.996231141347</v>
      </c>
      <c r="AL46" t="s">
        <v>415</v>
      </c>
      <c r="AM46">
        <v>10238.9</v>
      </c>
      <c r="AN46">
        <v>302.21199999999999</v>
      </c>
      <c r="AO46">
        <v>4052.3</v>
      </c>
      <c r="AP46">
        <f t="shared" si="72"/>
        <v>0.92542210596451402</v>
      </c>
      <c r="AQ46">
        <v>-0.32343011824092421</v>
      </c>
      <c r="AR46" t="s">
        <v>553</v>
      </c>
      <c r="AS46">
        <v>7104.19</v>
      </c>
      <c r="AT46">
        <v>510.86588461538457</v>
      </c>
      <c r="AU46">
        <v>756.88446314290559</v>
      </c>
      <c r="AV46">
        <f t="shared" si="73"/>
        <v>0.3250411264963049</v>
      </c>
      <c r="AW46">
        <v>0.5</v>
      </c>
      <c r="AX46">
        <f t="shared" si="74"/>
        <v>1513.1682002172524</v>
      </c>
      <c r="AY46">
        <f t="shared" si="75"/>
        <v>48.445894543597937</v>
      </c>
      <c r="AZ46">
        <f t="shared" si="76"/>
        <v>245.92094818850097</v>
      </c>
      <c r="BA46">
        <f t="shared" si="77"/>
        <v>3.2229942880663776E-2</v>
      </c>
      <c r="BB46">
        <f t="shared" si="78"/>
        <v>4.3539214996871918</v>
      </c>
      <c r="BC46">
        <f t="shared" si="79"/>
        <v>228.13509746063605</v>
      </c>
      <c r="BD46" t="s">
        <v>554</v>
      </c>
      <c r="BE46">
        <v>356.72</v>
      </c>
      <c r="BF46">
        <f t="shared" si="80"/>
        <v>356.72</v>
      </c>
      <c r="BG46">
        <f t="shared" si="81"/>
        <v>0.52869953424760874</v>
      </c>
      <c r="BH46">
        <f t="shared" si="82"/>
        <v>0.61479366907116784</v>
      </c>
      <c r="BI46">
        <f t="shared" si="83"/>
        <v>0.89171808940872466</v>
      </c>
      <c r="BJ46">
        <f t="shared" si="84"/>
        <v>0.54108968206899366</v>
      </c>
      <c r="BK46">
        <f t="shared" si="85"/>
        <v>0.87875685500102785</v>
      </c>
      <c r="BL46">
        <f t="shared" si="86"/>
        <v>0.42928918182935283</v>
      </c>
      <c r="BM46">
        <f t="shared" si="87"/>
        <v>0.57071081817064717</v>
      </c>
      <c r="BN46">
        <v>34471</v>
      </c>
      <c r="BO46">
        <v>290.00000000000011</v>
      </c>
      <c r="BP46">
        <v>684.54</v>
      </c>
      <c r="BQ46">
        <v>295</v>
      </c>
      <c r="BR46">
        <v>7104.19</v>
      </c>
      <c r="BS46">
        <v>685.69</v>
      </c>
      <c r="BT46">
        <v>-1.1499999999999999</v>
      </c>
      <c r="BU46">
        <v>300.00000000000011</v>
      </c>
      <c r="BV46">
        <v>38.299999999999997</v>
      </c>
      <c r="BW46">
        <v>756.88446314290559</v>
      </c>
      <c r="BX46">
        <v>1.4573946632938879</v>
      </c>
      <c r="BY46">
        <v>-50.580383728472611</v>
      </c>
      <c r="BZ46">
        <v>0.86799195620332781</v>
      </c>
      <c r="CA46">
        <v>0.99182177916729819</v>
      </c>
      <c r="CB46">
        <v>-7.0033490545050054E-3</v>
      </c>
      <c r="CC46">
        <v>289.99999999999989</v>
      </c>
      <c r="CD46">
        <v>693.6</v>
      </c>
      <c r="CE46">
        <v>875</v>
      </c>
      <c r="CF46">
        <v>7097.56</v>
      </c>
      <c r="CG46">
        <v>685.62</v>
      </c>
      <c r="CH46">
        <v>7.98</v>
      </c>
      <c r="CV46">
        <f t="shared" si="88"/>
        <v>1799.98</v>
      </c>
      <c r="CW46">
        <f t="shared" si="89"/>
        <v>1513.1682002172524</v>
      </c>
      <c r="CX46">
        <f t="shared" si="90"/>
        <v>0.84065834076892654</v>
      </c>
      <c r="CY46">
        <f t="shared" si="91"/>
        <v>0.16087059768402825</v>
      </c>
      <c r="CZ46">
        <v>3.93</v>
      </c>
      <c r="DA46">
        <v>0.5</v>
      </c>
      <c r="DB46" t="s">
        <v>418</v>
      </c>
      <c r="DC46">
        <v>2</v>
      </c>
      <c r="DD46">
        <v>1700158819</v>
      </c>
      <c r="DE46">
        <v>1460.22</v>
      </c>
      <c r="DF46">
        <v>1500</v>
      </c>
      <c r="DG46">
        <v>26.138500000000001</v>
      </c>
      <c r="DH46">
        <v>24.9969</v>
      </c>
      <c r="DI46">
        <v>1461.08</v>
      </c>
      <c r="DJ46">
        <v>25.7867</v>
      </c>
      <c r="DK46">
        <v>500.13400000000001</v>
      </c>
      <c r="DL46">
        <v>99.253600000000006</v>
      </c>
      <c r="DM46">
        <v>9.9944400000000003E-2</v>
      </c>
      <c r="DN46">
        <v>28.890499999999999</v>
      </c>
      <c r="DO46">
        <v>30.041499999999999</v>
      </c>
      <c r="DP46">
        <v>999.9</v>
      </c>
      <c r="DQ46">
        <v>0</v>
      </c>
      <c r="DR46">
        <v>0</v>
      </c>
      <c r="DS46">
        <v>9976.25</v>
      </c>
      <c r="DT46">
        <v>0</v>
      </c>
      <c r="DU46">
        <v>270.166</v>
      </c>
      <c r="DV46">
        <v>-39.771099999999997</v>
      </c>
      <c r="DW46">
        <v>1499.42</v>
      </c>
      <c r="DX46">
        <v>1538.45</v>
      </c>
      <c r="DY46">
        <v>1.1415500000000001</v>
      </c>
      <c r="DZ46">
        <v>1500</v>
      </c>
      <c r="EA46">
        <v>24.9969</v>
      </c>
      <c r="EB46">
        <v>2.5943399999999999</v>
      </c>
      <c r="EC46">
        <v>2.4810400000000001</v>
      </c>
      <c r="ED46">
        <v>21.630800000000001</v>
      </c>
      <c r="EE46">
        <v>20.9026</v>
      </c>
      <c r="EF46">
        <v>1799.98</v>
      </c>
      <c r="EG46">
        <v>0.977993</v>
      </c>
      <c r="EH46">
        <v>2.2007200000000001E-2</v>
      </c>
      <c r="EI46">
        <v>0</v>
      </c>
      <c r="EJ46">
        <v>509.38299999999998</v>
      </c>
      <c r="EK46">
        <v>4.9996700000000001</v>
      </c>
      <c r="EL46">
        <v>10259.799999999999</v>
      </c>
      <c r="EM46">
        <v>15046.6</v>
      </c>
      <c r="EN46">
        <v>49.25</v>
      </c>
      <c r="EO46">
        <v>50.125</v>
      </c>
      <c r="EP46">
        <v>49.936999999999998</v>
      </c>
      <c r="EQ46">
        <v>49.875</v>
      </c>
      <c r="ER46">
        <v>50.625</v>
      </c>
      <c r="ES46">
        <v>1755.48</v>
      </c>
      <c r="ET46">
        <v>39.5</v>
      </c>
      <c r="EU46">
        <v>0</v>
      </c>
      <c r="EV46">
        <v>213.79999995231631</v>
      </c>
      <c r="EW46">
        <v>0</v>
      </c>
      <c r="EX46">
        <v>510.86588461538457</v>
      </c>
      <c r="EY46">
        <v>-7.7961367491708584</v>
      </c>
      <c r="EZ46">
        <v>-2480.769233362018</v>
      </c>
      <c r="FA46">
        <v>10413.857692307691</v>
      </c>
      <c r="FB46">
        <v>15</v>
      </c>
      <c r="FC46">
        <v>1700158778.5</v>
      </c>
      <c r="FD46" t="s">
        <v>555</v>
      </c>
      <c r="FE46">
        <v>1700158774</v>
      </c>
      <c r="FF46">
        <v>1700158778.5</v>
      </c>
      <c r="FG46">
        <v>50</v>
      </c>
      <c r="FH46">
        <v>0.28199999999999997</v>
      </c>
      <c r="FI46">
        <v>4.0000000000000001E-3</v>
      </c>
      <c r="FJ46">
        <v>-0.89200000000000002</v>
      </c>
      <c r="FK46">
        <v>0.35199999999999998</v>
      </c>
      <c r="FL46">
        <v>1500</v>
      </c>
      <c r="FM46">
        <v>25</v>
      </c>
      <c r="FN46">
        <v>0.06</v>
      </c>
      <c r="FO46">
        <v>0.06</v>
      </c>
      <c r="FP46">
        <v>48.424322094874697</v>
      </c>
      <c r="FQ46">
        <v>8.1320871001809514E-2</v>
      </c>
      <c r="FR46">
        <v>6.2549019677126561E-2</v>
      </c>
      <c r="FS46">
        <v>1</v>
      </c>
      <c r="FT46">
        <v>8.5243774232881514E-2</v>
      </c>
      <c r="FU46">
        <v>6.8816150006938484E-3</v>
      </c>
      <c r="FV46">
        <v>7.6323316269277883E-4</v>
      </c>
      <c r="FW46">
        <v>1</v>
      </c>
      <c r="FX46">
        <v>2</v>
      </c>
      <c r="FY46">
        <v>2</v>
      </c>
      <c r="FZ46" t="s">
        <v>420</v>
      </c>
      <c r="GA46">
        <v>3.0125999999999999</v>
      </c>
      <c r="GB46">
        <v>2.7768199999999998</v>
      </c>
      <c r="GC46">
        <v>0.21130199999999999</v>
      </c>
      <c r="GD46">
        <v>0.21563599999999999</v>
      </c>
      <c r="GE46">
        <v>0.12092700000000001</v>
      </c>
      <c r="GF46">
        <v>0.118522</v>
      </c>
      <c r="GG46">
        <v>18897.3</v>
      </c>
      <c r="GH46">
        <v>19409.8</v>
      </c>
      <c r="GI46">
        <v>23735.9</v>
      </c>
      <c r="GJ46">
        <v>24413.4</v>
      </c>
      <c r="GK46">
        <v>30862.6</v>
      </c>
      <c r="GL46">
        <v>30859.9</v>
      </c>
      <c r="GM46">
        <v>38874.800000000003</v>
      </c>
      <c r="GN46">
        <v>38881</v>
      </c>
      <c r="GO46">
        <v>2.0296500000000002</v>
      </c>
      <c r="GP46">
        <v>1.78443</v>
      </c>
      <c r="GQ46">
        <v>7.8387600000000002E-2</v>
      </c>
      <c r="GR46">
        <v>0</v>
      </c>
      <c r="GS46">
        <v>28.764600000000002</v>
      </c>
      <c r="GT46">
        <v>999.9</v>
      </c>
      <c r="GU46">
        <v>35.799999999999997</v>
      </c>
      <c r="GV46">
        <v>40.700000000000003</v>
      </c>
      <c r="GW46">
        <v>27.7576</v>
      </c>
      <c r="GX46">
        <v>61.305199999999999</v>
      </c>
      <c r="GY46">
        <v>30.552900000000001</v>
      </c>
      <c r="GZ46">
        <v>1</v>
      </c>
      <c r="HA46">
        <v>0.66222099999999995</v>
      </c>
      <c r="HB46">
        <v>3.6972800000000001</v>
      </c>
      <c r="HC46">
        <v>20.2898</v>
      </c>
      <c r="HD46">
        <v>5.2426000000000004</v>
      </c>
      <c r="HE46">
        <v>12.0001</v>
      </c>
      <c r="HF46">
        <v>4.9637000000000002</v>
      </c>
      <c r="HG46">
        <v>3.30098</v>
      </c>
      <c r="HH46">
        <v>9999</v>
      </c>
      <c r="HI46">
        <v>9999</v>
      </c>
      <c r="HJ46">
        <v>9999</v>
      </c>
      <c r="HK46">
        <v>999.9</v>
      </c>
      <c r="HL46">
        <v>1.8748499999999999</v>
      </c>
      <c r="HM46">
        <v>1.88019</v>
      </c>
      <c r="HN46">
        <v>1.88029</v>
      </c>
      <c r="HO46">
        <v>1.87897</v>
      </c>
      <c r="HP46">
        <v>1.8812800000000001</v>
      </c>
      <c r="HQ46">
        <v>1.8772800000000001</v>
      </c>
      <c r="HR46">
        <v>1.875</v>
      </c>
      <c r="HS46">
        <v>1.8821699999999999</v>
      </c>
      <c r="HT46">
        <v>5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423</v>
      </c>
      <c r="IB46" t="s">
        <v>423</v>
      </c>
      <c r="IC46" t="s">
        <v>423</v>
      </c>
      <c r="ID46">
        <v>0</v>
      </c>
      <c r="IE46">
        <v>100</v>
      </c>
      <c r="IF46">
        <v>100</v>
      </c>
      <c r="IG46">
        <v>-0.86</v>
      </c>
      <c r="IH46">
        <v>0.3518</v>
      </c>
      <c r="II46">
        <v>-6.5800990970391715E-2</v>
      </c>
      <c r="IJ46">
        <v>7.0786345690369205E-4</v>
      </c>
      <c r="IK46">
        <v>-1.387476646623666E-6</v>
      </c>
      <c r="IL46">
        <v>3.6592443641472651E-10</v>
      </c>
      <c r="IM46">
        <v>0.35179999999999723</v>
      </c>
      <c r="IN46">
        <v>0</v>
      </c>
      <c r="IO46">
        <v>0</v>
      </c>
      <c r="IP46">
        <v>0</v>
      </c>
      <c r="IQ46">
        <v>2</v>
      </c>
      <c r="IR46">
        <v>2142</v>
      </c>
      <c r="IS46">
        <v>1</v>
      </c>
      <c r="IT46">
        <v>24</v>
      </c>
      <c r="IU46">
        <v>0.8</v>
      </c>
      <c r="IV46">
        <v>0.7</v>
      </c>
      <c r="IW46">
        <v>3.0053700000000001</v>
      </c>
      <c r="IX46">
        <v>2.6440399999999999</v>
      </c>
      <c r="IY46">
        <v>1.5490699999999999</v>
      </c>
      <c r="IZ46">
        <v>2.3596200000000001</v>
      </c>
      <c r="JA46">
        <v>1.5966800000000001</v>
      </c>
      <c r="JB46">
        <v>2.2595200000000002</v>
      </c>
      <c r="JC46">
        <v>42.697400000000002</v>
      </c>
      <c r="JD46">
        <v>24.113800000000001</v>
      </c>
      <c r="JE46">
        <v>18</v>
      </c>
      <c r="JF46">
        <v>539.83199999999999</v>
      </c>
      <c r="JG46">
        <v>447.17899999999997</v>
      </c>
      <c r="JH46">
        <v>25.122800000000002</v>
      </c>
      <c r="JI46">
        <v>35.240900000000003</v>
      </c>
      <c r="JJ46">
        <v>29.9999</v>
      </c>
      <c r="JK46">
        <v>35.288699999999999</v>
      </c>
      <c r="JL46">
        <v>35.290500000000002</v>
      </c>
      <c r="JM46">
        <v>60.083100000000002</v>
      </c>
      <c r="JN46">
        <v>6.6597200000000001</v>
      </c>
      <c r="JO46">
        <v>16.214400000000001</v>
      </c>
      <c r="JP46">
        <v>25.117899999999999</v>
      </c>
      <c r="JQ46">
        <v>1500</v>
      </c>
      <c r="JR46">
        <v>24.832599999999999</v>
      </c>
      <c r="JS46">
        <v>98.450999999999993</v>
      </c>
      <c r="JT46">
        <v>99.314400000000006</v>
      </c>
    </row>
    <row r="47" spans="1:280" x14ac:dyDescent="0.25">
      <c r="A47">
        <v>45</v>
      </c>
      <c r="B47">
        <v>1700158940.5</v>
      </c>
      <c r="C47">
        <v>11084.5</v>
      </c>
      <c r="D47" t="s">
        <v>556</v>
      </c>
      <c r="E47" t="s">
        <v>557</v>
      </c>
      <c r="F47" t="s">
        <v>412</v>
      </c>
      <c r="G47" t="s">
        <v>547</v>
      </c>
      <c r="H47" t="s">
        <v>547</v>
      </c>
      <c r="I47">
        <v>1700158940.5</v>
      </c>
      <c r="J47">
        <f t="shared" si="46"/>
        <v>3.0815256411704912E-3</v>
      </c>
      <c r="K47">
        <f t="shared" si="47"/>
        <v>3.081525641170491</v>
      </c>
      <c r="L47">
        <f t="shared" si="48"/>
        <v>57.455479410865017</v>
      </c>
      <c r="M47">
        <f t="shared" si="49"/>
        <v>1202</v>
      </c>
      <c r="N47">
        <f t="shared" si="50"/>
        <v>673.5026070257087</v>
      </c>
      <c r="O47">
        <f t="shared" si="51"/>
        <v>66.90806071228225</v>
      </c>
      <c r="P47">
        <f t="shared" si="52"/>
        <v>119.4108057448</v>
      </c>
      <c r="Q47">
        <f t="shared" si="53"/>
        <v>0.18740747325200607</v>
      </c>
      <c r="R47">
        <f t="shared" si="54"/>
        <v>3.4469637012243388</v>
      </c>
      <c r="S47">
        <f t="shared" si="55"/>
        <v>0.18192539611361497</v>
      </c>
      <c r="T47">
        <f t="shared" si="56"/>
        <v>0.11418255775694319</v>
      </c>
      <c r="U47">
        <f t="shared" si="57"/>
        <v>289.52076641936014</v>
      </c>
      <c r="V47">
        <f t="shared" si="58"/>
        <v>29.751168592574654</v>
      </c>
      <c r="W47">
        <f t="shared" si="59"/>
        <v>29.9574</v>
      </c>
      <c r="X47">
        <f t="shared" si="60"/>
        <v>4.2500359480126608</v>
      </c>
      <c r="Y47">
        <f t="shared" si="61"/>
        <v>65.381263522542881</v>
      </c>
      <c r="Z47">
        <f t="shared" si="62"/>
        <v>2.6255475748995996</v>
      </c>
      <c r="AA47">
        <f t="shared" si="63"/>
        <v>4.0157492123019827</v>
      </c>
      <c r="AB47">
        <f t="shared" si="64"/>
        <v>1.6244883731130613</v>
      </c>
      <c r="AC47">
        <f t="shared" si="65"/>
        <v>-135.89528077561866</v>
      </c>
      <c r="AD47">
        <f t="shared" si="66"/>
        <v>-182.72930085249774</v>
      </c>
      <c r="AE47">
        <f t="shared" si="67"/>
        <v>-11.724989159910324</v>
      </c>
      <c r="AF47">
        <f t="shared" si="68"/>
        <v>-40.828804368666567</v>
      </c>
      <c r="AG47">
        <v>0</v>
      </c>
      <c r="AH47">
        <v>0</v>
      </c>
      <c r="AI47">
        <f t="shared" si="69"/>
        <v>1</v>
      </c>
      <c r="AJ47">
        <f t="shared" si="70"/>
        <v>0</v>
      </c>
      <c r="AK47">
        <f t="shared" si="71"/>
        <v>52224.577825353299</v>
      </c>
      <c r="AL47" t="s">
        <v>426</v>
      </c>
      <c r="AM47" t="s">
        <v>426</v>
      </c>
      <c r="AN47">
        <v>0</v>
      </c>
      <c r="AO47">
        <v>0</v>
      </c>
      <c r="AP47" t="e">
        <f t="shared" si="72"/>
        <v>#DIV/0!</v>
      </c>
      <c r="AQ47">
        <v>0</v>
      </c>
      <c r="AR47" t="s">
        <v>426</v>
      </c>
      <c r="AS47" t="s">
        <v>426</v>
      </c>
      <c r="AT47">
        <v>0</v>
      </c>
      <c r="AU47">
        <v>0</v>
      </c>
      <c r="AV47" t="e">
        <f t="shared" si="73"/>
        <v>#DIV/0!</v>
      </c>
      <c r="AW47">
        <v>0.5</v>
      </c>
      <c r="AX47">
        <f t="shared" si="74"/>
        <v>1512.941400217285</v>
      </c>
      <c r="AY47">
        <f t="shared" si="75"/>
        <v>57.455479410865017</v>
      </c>
      <c r="AZ47" t="e">
        <f t="shared" si="76"/>
        <v>#DIV/0!</v>
      </c>
      <c r="BA47">
        <f t="shared" si="77"/>
        <v>3.7976011101694615E-2</v>
      </c>
      <c r="BB47" t="e">
        <f t="shared" si="78"/>
        <v>#DIV/0!</v>
      </c>
      <c r="BC47" t="e">
        <f t="shared" si="79"/>
        <v>#DIV/0!</v>
      </c>
      <c r="BD47" t="s">
        <v>426</v>
      </c>
      <c r="BE47">
        <v>0</v>
      </c>
      <c r="BF47" t="e">
        <f t="shared" si="80"/>
        <v>#DIV/0!</v>
      </c>
      <c r="BG47" t="e">
        <f t="shared" si="81"/>
        <v>#DIV/0!</v>
      </c>
      <c r="BH47" t="e">
        <f t="shared" si="82"/>
        <v>#DIV/0!</v>
      </c>
      <c r="BI47" t="e">
        <f t="shared" si="83"/>
        <v>#DIV/0!</v>
      </c>
      <c r="BJ47" t="e">
        <f t="shared" si="84"/>
        <v>#DIV/0!</v>
      </c>
      <c r="BK47" t="e">
        <f t="shared" si="85"/>
        <v>#DIV/0!</v>
      </c>
      <c r="BL47" t="e">
        <f t="shared" si="86"/>
        <v>#DIV/0!</v>
      </c>
      <c r="BM47" t="e">
        <f t="shared" si="87"/>
        <v>#DIV/0!</v>
      </c>
      <c r="BN47">
        <v>34471</v>
      </c>
      <c r="BO47">
        <v>290.00000000000011</v>
      </c>
      <c r="BP47">
        <v>684.54</v>
      </c>
      <c r="BQ47">
        <v>295</v>
      </c>
      <c r="BR47">
        <v>7104.19</v>
      </c>
      <c r="BS47">
        <v>685.69</v>
      </c>
      <c r="BT47">
        <v>-1.1499999999999999</v>
      </c>
      <c r="BU47">
        <v>300.00000000000011</v>
      </c>
      <c r="BV47">
        <v>38.299999999999997</v>
      </c>
      <c r="BW47">
        <v>756.88446314290559</v>
      </c>
      <c r="BX47">
        <v>1.4573946632938879</v>
      </c>
      <c r="BY47">
        <v>-50.580383728472611</v>
      </c>
      <c r="BZ47">
        <v>0.86799195620332781</v>
      </c>
      <c r="CA47">
        <v>0.99182177916729819</v>
      </c>
      <c r="CB47">
        <v>-7.0033490545050054E-3</v>
      </c>
      <c r="CC47">
        <v>289.99999999999989</v>
      </c>
      <c r="CD47">
        <v>693.6</v>
      </c>
      <c r="CE47">
        <v>875</v>
      </c>
      <c r="CF47">
        <v>7097.56</v>
      </c>
      <c r="CG47">
        <v>685.62</v>
      </c>
      <c r="CH47">
        <v>7.98</v>
      </c>
      <c r="CV47">
        <f t="shared" si="88"/>
        <v>1799.71</v>
      </c>
      <c r="CW47">
        <f t="shared" si="89"/>
        <v>1512.941400217285</v>
      </c>
      <c r="CX47">
        <f t="shared" si="90"/>
        <v>0.84065843953597252</v>
      </c>
      <c r="CY47">
        <f t="shared" si="91"/>
        <v>0.16087078830442689</v>
      </c>
      <c r="CZ47">
        <v>3.93</v>
      </c>
      <c r="DA47">
        <v>0.5</v>
      </c>
      <c r="DB47" t="s">
        <v>418</v>
      </c>
      <c r="DC47">
        <v>2</v>
      </c>
      <c r="DD47">
        <v>1700158940.5</v>
      </c>
      <c r="DE47">
        <v>1202</v>
      </c>
      <c r="DF47">
        <v>1250.07</v>
      </c>
      <c r="DG47">
        <v>26.428999999999998</v>
      </c>
      <c r="DH47">
        <v>24.071000000000002</v>
      </c>
      <c r="DI47">
        <v>1202.7</v>
      </c>
      <c r="DJ47">
        <v>26.0715</v>
      </c>
      <c r="DK47">
        <v>500.01400000000001</v>
      </c>
      <c r="DL47">
        <v>99.243499999999997</v>
      </c>
      <c r="DM47">
        <v>9.9932400000000005E-2</v>
      </c>
      <c r="DN47">
        <v>28.9741</v>
      </c>
      <c r="DO47">
        <v>29.9574</v>
      </c>
      <c r="DP47">
        <v>999.9</v>
      </c>
      <c r="DQ47">
        <v>0</v>
      </c>
      <c r="DR47">
        <v>0</v>
      </c>
      <c r="DS47">
        <v>10018.1</v>
      </c>
      <c r="DT47">
        <v>0</v>
      </c>
      <c r="DU47">
        <v>239.256</v>
      </c>
      <c r="DV47">
        <v>-48.069699999999997</v>
      </c>
      <c r="DW47">
        <v>1234.6300000000001</v>
      </c>
      <c r="DX47">
        <v>1280.9100000000001</v>
      </c>
      <c r="DY47">
        <v>2.3580100000000002</v>
      </c>
      <c r="DZ47">
        <v>1250.07</v>
      </c>
      <c r="EA47">
        <v>24.071000000000002</v>
      </c>
      <c r="EB47">
        <v>2.6229100000000001</v>
      </c>
      <c r="EC47">
        <v>2.38889</v>
      </c>
      <c r="ED47">
        <v>21.81</v>
      </c>
      <c r="EE47">
        <v>20.288699999999999</v>
      </c>
      <c r="EF47">
        <v>1799.71</v>
      </c>
      <c r="EG47">
        <v>0.977989</v>
      </c>
      <c r="EH47">
        <v>2.2010800000000001E-2</v>
      </c>
      <c r="EI47">
        <v>0</v>
      </c>
      <c r="EJ47">
        <v>498.06299999999999</v>
      </c>
      <c r="EK47">
        <v>4.9996700000000001</v>
      </c>
      <c r="EL47">
        <v>9825.98</v>
      </c>
      <c r="EM47">
        <v>15044.3</v>
      </c>
      <c r="EN47">
        <v>49.25</v>
      </c>
      <c r="EO47">
        <v>50.125</v>
      </c>
      <c r="EP47">
        <v>49.875</v>
      </c>
      <c r="EQ47">
        <v>49.875</v>
      </c>
      <c r="ER47">
        <v>50.561999999999998</v>
      </c>
      <c r="ES47">
        <v>1755.21</v>
      </c>
      <c r="ET47">
        <v>39.5</v>
      </c>
      <c r="EU47">
        <v>0</v>
      </c>
      <c r="EV47">
        <v>119.4000000953674</v>
      </c>
      <c r="EW47">
        <v>0</v>
      </c>
      <c r="EX47">
        <v>498.47726923076931</v>
      </c>
      <c r="EY47">
        <v>-3.0580170939332372</v>
      </c>
      <c r="EZ47">
        <v>-769.31008553182289</v>
      </c>
      <c r="FA47">
        <v>10035.08230769231</v>
      </c>
      <c r="FB47">
        <v>15</v>
      </c>
      <c r="FC47">
        <v>1700158884</v>
      </c>
      <c r="FD47" t="s">
        <v>558</v>
      </c>
      <c r="FE47">
        <v>1700158884</v>
      </c>
      <c r="FF47">
        <v>1700158882.5</v>
      </c>
      <c r="FG47">
        <v>51</v>
      </c>
      <c r="FH47">
        <v>-0.105</v>
      </c>
      <c r="FI47">
        <v>6.0000000000000001E-3</v>
      </c>
      <c r="FJ47">
        <v>-0.74199999999999999</v>
      </c>
      <c r="FK47">
        <v>0.35799999999999998</v>
      </c>
      <c r="FL47">
        <v>1250</v>
      </c>
      <c r="FM47">
        <v>25</v>
      </c>
      <c r="FN47">
        <v>7.0000000000000007E-2</v>
      </c>
      <c r="FO47">
        <v>0.06</v>
      </c>
      <c r="FP47">
        <v>57.139647028032861</v>
      </c>
      <c r="FQ47">
        <v>0.58799886431602488</v>
      </c>
      <c r="FR47">
        <v>8.4824293388515354E-2</v>
      </c>
      <c r="FS47">
        <v>1</v>
      </c>
      <c r="FT47">
        <v>0.1830810760247637</v>
      </c>
      <c r="FU47">
        <v>4.0893216591440899E-2</v>
      </c>
      <c r="FV47">
        <v>3.119454039765452E-3</v>
      </c>
      <c r="FW47">
        <v>1</v>
      </c>
      <c r="FX47">
        <v>2</v>
      </c>
      <c r="FY47">
        <v>2</v>
      </c>
      <c r="FZ47" t="s">
        <v>420</v>
      </c>
      <c r="GA47">
        <v>3.01227</v>
      </c>
      <c r="GB47">
        <v>2.7771699999999999</v>
      </c>
      <c r="GC47">
        <v>0.18770600000000001</v>
      </c>
      <c r="GD47">
        <v>0.193129</v>
      </c>
      <c r="GE47">
        <v>0.121846</v>
      </c>
      <c r="GF47">
        <v>0.115477</v>
      </c>
      <c r="GG47">
        <v>19463.599999999999</v>
      </c>
      <c r="GH47">
        <v>19967.900000000001</v>
      </c>
      <c r="GI47">
        <v>23735.1</v>
      </c>
      <c r="GJ47">
        <v>24412.7</v>
      </c>
      <c r="GK47">
        <v>30829.7</v>
      </c>
      <c r="GL47">
        <v>30966</v>
      </c>
      <c r="GM47">
        <v>38873.9</v>
      </c>
      <c r="GN47">
        <v>38880.1</v>
      </c>
      <c r="GO47">
        <v>2.0319500000000001</v>
      </c>
      <c r="GP47">
        <v>1.7825</v>
      </c>
      <c r="GQ47">
        <v>6.7055199999999995E-2</v>
      </c>
      <c r="GR47">
        <v>0</v>
      </c>
      <c r="GS47">
        <v>28.865200000000002</v>
      </c>
      <c r="GT47">
        <v>999.9</v>
      </c>
      <c r="GU47">
        <v>36.6</v>
      </c>
      <c r="GV47">
        <v>40.6</v>
      </c>
      <c r="GW47">
        <v>28.228999999999999</v>
      </c>
      <c r="GX47">
        <v>61.085299999999997</v>
      </c>
      <c r="GY47">
        <v>31.225999999999999</v>
      </c>
      <c r="GZ47">
        <v>1</v>
      </c>
      <c r="HA47">
        <v>0.66057399999999999</v>
      </c>
      <c r="HB47">
        <v>3.22797</v>
      </c>
      <c r="HC47">
        <v>20.299800000000001</v>
      </c>
      <c r="HD47">
        <v>5.2448399999999999</v>
      </c>
      <c r="HE47">
        <v>11.9984</v>
      </c>
      <c r="HF47">
        <v>4.9635499999999997</v>
      </c>
      <c r="HG47">
        <v>3.30098</v>
      </c>
      <c r="HH47">
        <v>9999</v>
      </c>
      <c r="HI47">
        <v>9999</v>
      </c>
      <c r="HJ47">
        <v>9999</v>
      </c>
      <c r="HK47">
        <v>999.9</v>
      </c>
      <c r="HL47">
        <v>1.8748499999999999</v>
      </c>
      <c r="HM47">
        <v>1.88019</v>
      </c>
      <c r="HN47">
        <v>1.88032</v>
      </c>
      <c r="HO47">
        <v>1.87897</v>
      </c>
      <c r="HP47">
        <v>1.8813</v>
      </c>
      <c r="HQ47">
        <v>1.8772899999999999</v>
      </c>
      <c r="HR47">
        <v>1.875</v>
      </c>
      <c r="HS47">
        <v>1.8821699999999999</v>
      </c>
      <c r="HT47">
        <v>5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423</v>
      </c>
      <c r="IB47" t="s">
        <v>423</v>
      </c>
      <c r="IC47" t="s">
        <v>423</v>
      </c>
      <c r="ID47">
        <v>0</v>
      </c>
      <c r="IE47">
        <v>100</v>
      </c>
      <c r="IF47">
        <v>100</v>
      </c>
      <c r="IG47">
        <v>-0.7</v>
      </c>
      <c r="IH47">
        <v>0.35749999999999998</v>
      </c>
      <c r="II47">
        <v>-0.17296674094793421</v>
      </c>
      <c r="IJ47">
        <v>7.0786345690369205E-4</v>
      </c>
      <c r="IK47">
        <v>-1.387476646623666E-6</v>
      </c>
      <c r="IL47">
        <v>3.6592443641472651E-10</v>
      </c>
      <c r="IM47">
        <v>0.35759499999999989</v>
      </c>
      <c r="IN47">
        <v>0</v>
      </c>
      <c r="IO47">
        <v>0</v>
      </c>
      <c r="IP47">
        <v>0</v>
      </c>
      <c r="IQ47">
        <v>2</v>
      </c>
      <c r="IR47">
        <v>2142</v>
      </c>
      <c r="IS47">
        <v>1</v>
      </c>
      <c r="IT47">
        <v>24</v>
      </c>
      <c r="IU47">
        <v>0.9</v>
      </c>
      <c r="IV47">
        <v>1</v>
      </c>
      <c r="IW47">
        <v>2.5891099999999998</v>
      </c>
      <c r="IX47">
        <v>2.6355</v>
      </c>
      <c r="IY47">
        <v>1.5490699999999999</v>
      </c>
      <c r="IZ47">
        <v>2.3584000000000001</v>
      </c>
      <c r="JA47">
        <v>1.5966800000000001</v>
      </c>
      <c r="JB47">
        <v>2.3547400000000001</v>
      </c>
      <c r="JC47">
        <v>42.643900000000002</v>
      </c>
      <c r="JD47">
        <v>24.122499999999999</v>
      </c>
      <c r="JE47">
        <v>18</v>
      </c>
      <c r="JF47">
        <v>541.17899999999997</v>
      </c>
      <c r="JG47">
        <v>445.71600000000001</v>
      </c>
      <c r="JH47">
        <v>25.516100000000002</v>
      </c>
      <c r="JI47">
        <v>35.246499999999997</v>
      </c>
      <c r="JJ47">
        <v>30.0001</v>
      </c>
      <c r="JK47">
        <v>35.264000000000003</v>
      </c>
      <c r="JL47">
        <v>35.258400000000002</v>
      </c>
      <c r="JM47">
        <v>51.785600000000002</v>
      </c>
      <c r="JN47">
        <v>14.827500000000001</v>
      </c>
      <c r="JO47">
        <v>18.743200000000002</v>
      </c>
      <c r="JP47">
        <v>25.5228</v>
      </c>
      <c r="JQ47">
        <v>1250</v>
      </c>
      <c r="JR47">
        <v>23.955100000000002</v>
      </c>
      <c r="JS47">
        <v>98.448400000000007</v>
      </c>
      <c r="JT47">
        <v>99.311899999999994</v>
      </c>
    </row>
    <row r="48" spans="1:280" x14ac:dyDescent="0.25">
      <c r="A48">
        <v>46</v>
      </c>
      <c r="B48">
        <v>1700159035.5</v>
      </c>
      <c r="C48">
        <v>11179.5</v>
      </c>
      <c r="D48" t="s">
        <v>559</v>
      </c>
      <c r="E48" t="s">
        <v>560</v>
      </c>
      <c r="F48" t="s">
        <v>412</v>
      </c>
      <c r="G48" t="s">
        <v>547</v>
      </c>
      <c r="H48" t="s">
        <v>547</v>
      </c>
      <c r="I48">
        <v>1700159035.5</v>
      </c>
      <c r="J48">
        <f t="shared" si="46"/>
        <v>3.0840611489120137E-3</v>
      </c>
      <c r="K48">
        <f t="shared" si="47"/>
        <v>3.0840611489120136</v>
      </c>
      <c r="L48">
        <f t="shared" si="48"/>
        <v>56.901865756721328</v>
      </c>
      <c r="M48">
        <f t="shared" si="49"/>
        <v>952.98800000000006</v>
      </c>
      <c r="N48">
        <f t="shared" si="50"/>
        <v>426.89642739758705</v>
      </c>
      <c r="O48">
        <f t="shared" si="51"/>
        <v>42.406405583488237</v>
      </c>
      <c r="P48">
        <f t="shared" si="52"/>
        <v>94.666511712357604</v>
      </c>
      <c r="Q48">
        <f t="shared" si="53"/>
        <v>0.18408404756105709</v>
      </c>
      <c r="R48">
        <f t="shared" si="54"/>
        <v>3.4426891224091181</v>
      </c>
      <c r="S48">
        <f t="shared" si="55"/>
        <v>0.17878535793770722</v>
      </c>
      <c r="T48">
        <f t="shared" si="56"/>
        <v>0.11220421083915569</v>
      </c>
      <c r="U48">
        <f t="shared" si="57"/>
        <v>289.54049741943834</v>
      </c>
      <c r="V48">
        <f t="shared" si="58"/>
        <v>29.820577093288644</v>
      </c>
      <c r="W48">
        <f t="shared" si="59"/>
        <v>30.0534</v>
      </c>
      <c r="X48">
        <f t="shared" si="60"/>
        <v>4.2735351255611924</v>
      </c>
      <c r="Y48">
        <f t="shared" si="61"/>
        <v>64.968884246761334</v>
      </c>
      <c r="Z48">
        <f t="shared" si="62"/>
        <v>2.6194245684578399</v>
      </c>
      <c r="AA48">
        <f t="shared" si="63"/>
        <v>4.0318139965416089</v>
      </c>
      <c r="AB48">
        <f t="shared" si="64"/>
        <v>1.6541105571033525</v>
      </c>
      <c r="AC48">
        <f t="shared" si="65"/>
        <v>-136.00709666701979</v>
      </c>
      <c r="AD48">
        <f t="shared" si="66"/>
        <v>-187.51395920378394</v>
      </c>
      <c r="AE48">
        <f t="shared" si="67"/>
        <v>-12.056802601732391</v>
      </c>
      <c r="AF48">
        <f t="shared" si="68"/>
        <v>-46.037361053097783</v>
      </c>
      <c r="AG48">
        <v>0</v>
      </c>
      <c r="AH48">
        <v>0</v>
      </c>
      <c r="AI48">
        <f t="shared" si="69"/>
        <v>1</v>
      </c>
      <c r="AJ48">
        <f t="shared" si="70"/>
        <v>0</v>
      </c>
      <c r="AK48">
        <f t="shared" si="71"/>
        <v>52118.614817484966</v>
      </c>
      <c r="AL48" t="s">
        <v>415</v>
      </c>
      <c r="AM48">
        <v>10238.9</v>
      </c>
      <c r="AN48">
        <v>302.21199999999999</v>
      </c>
      <c r="AO48">
        <v>4052.3</v>
      </c>
      <c r="AP48">
        <f t="shared" si="72"/>
        <v>0.92542210596451402</v>
      </c>
      <c r="AQ48">
        <v>-0.32343011824092421</v>
      </c>
      <c r="AR48" t="s">
        <v>561</v>
      </c>
      <c r="AS48">
        <v>7104.78</v>
      </c>
      <c r="AT48">
        <v>496.49160000000012</v>
      </c>
      <c r="AU48">
        <v>773.12595725589017</v>
      </c>
      <c r="AV48">
        <f t="shared" si="73"/>
        <v>0.35781279189974124</v>
      </c>
      <c r="AW48">
        <v>0.5</v>
      </c>
      <c r="AX48">
        <f t="shared" si="74"/>
        <v>1513.0425002173256</v>
      </c>
      <c r="AY48">
        <f t="shared" si="75"/>
        <v>56.901865756721328</v>
      </c>
      <c r="AZ48">
        <f t="shared" si="76"/>
        <v>270.69298063286305</v>
      </c>
      <c r="BA48">
        <f t="shared" si="77"/>
        <v>3.7821340687219762E-2</v>
      </c>
      <c r="BB48">
        <f t="shared" si="78"/>
        <v>4.2414486436118519</v>
      </c>
      <c r="BC48">
        <f t="shared" si="79"/>
        <v>229.58884509774603</v>
      </c>
      <c r="BD48" t="s">
        <v>562</v>
      </c>
      <c r="BE48">
        <v>358.48</v>
      </c>
      <c r="BF48">
        <f t="shared" si="80"/>
        <v>358.48</v>
      </c>
      <c r="BG48">
        <f t="shared" si="81"/>
        <v>0.53632393708215664</v>
      </c>
      <c r="BH48">
        <f t="shared" si="82"/>
        <v>0.66715797517150488</v>
      </c>
      <c r="BI48">
        <f t="shared" si="83"/>
        <v>0.88774603059816393</v>
      </c>
      <c r="BJ48">
        <f t="shared" si="84"/>
        <v>0.58744140621334262</v>
      </c>
      <c r="BK48">
        <f t="shared" si="85"/>
        <v>0.87442589153750783</v>
      </c>
      <c r="BL48">
        <f t="shared" si="86"/>
        <v>0.48170561383008498</v>
      </c>
      <c r="BM48">
        <f t="shared" si="87"/>
        <v>0.51829438616991497</v>
      </c>
      <c r="BN48">
        <v>34473</v>
      </c>
      <c r="BO48">
        <v>290.00000000000011</v>
      </c>
      <c r="BP48">
        <v>692.04</v>
      </c>
      <c r="BQ48">
        <v>285</v>
      </c>
      <c r="BR48">
        <v>7104.78</v>
      </c>
      <c r="BS48">
        <v>693.16</v>
      </c>
      <c r="BT48">
        <v>-1.1200000000000001</v>
      </c>
      <c r="BU48">
        <v>300.00000000000011</v>
      </c>
      <c r="BV48">
        <v>38.299999999999997</v>
      </c>
      <c r="BW48">
        <v>773.12595725589017</v>
      </c>
      <c r="BX48">
        <v>1.2095315352865901</v>
      </c>
      <c r="BY48">
        <v>-56.813292412097091</v>
      </c>
      <c r="BZ48">
        <v>0.72042883786616907</v>
      </c>
      <c r="CA48">
        <v>0.99551781961081887</v>
      </c>
      <c r="CB48">
        <v>-7.0040149054504969E-3</v>
      </c>
      <c r="CC48">
        <v>289.99999999999989</v>
      </c>
      <c r="CD48">
        <v>701.57</v>
      </c>
      <c r="CE48">
        <v>805</v>
      </c>
      <c r="CF48">
        <v>7099.04</v>
      </c>
      <c r="CG48">
        <v>693.1</v>
      </c>
      <c r="CH48">
        <v>8.4700000000000006</v>
      </c>
      <c r="CV48">
        <f t="shared" si="88"/>
        <v>1799.83</v>
      </c>
      <c r="CW48">
        <f t="shared" si="89"/>
        <v>1513.0425002173256</v>
      </c>
      <c r="CX48">
        <f t="shared" si="90"/>
        <v>0.84065856231828873</v>
      </c>
      <c r="CY48">
        <f t="shared" si="91"/>
        <v>0.1608710252742972</v>
      </c>
      <c r="CZ48">
        <v>3.93</v>
      </c>
      <c r="DA48">
        <v>0.5</v>
      </c>
      <c r="DB48" t="s">
        <v>418</v>
      </c>
      <c r="DC48">
        <v>2</v>
      </c>
      <c r="DD48">
        <v>1700159035.5</v>
      </c>
      <c r="DE48">
        <v>952.98800000000006</v>
      </c>
      <c r="DF48">
        <v>1000.01</v>
      </c>
      <c r="DG48">
        <v>26.369199999999999</v>
      </c>
      <c r="DH48">
        <v>24.009699999999999</v>
      </c>
      <c r="DI48">
        <v>953.22500000000002</v>
      </c>
      <c r="DJ48">
        <v>25.956299999999999</v>
      </c>
      <c r="DK48">
        <v>500.13799999999998</v>
      </c>
      <c r="DL48">
        <v>99.236699999999999</v>
      </c>
      <c r="DM48">
        <v>9.9820199999999998E-2</v>
      </c>
      <c r="DN48">
        <v>29.043099999999999</v>
      </c>
      <c r="DO48">
        <v>30.0534</v>
      </c>
      <c r="DP48">
        <v>999.9</v>
      </c>
      <c r="DQ48">
        <v>0</v>
      </c>
      <c r="DR48">
        <v>0</v>
      </c>
      <c r="DS48">
        <v>10000</v>
      </c>
      <c r="DT48">
        <v>0</v>
      </c>
      <c r="DU48">
        <v>305.60000000000002</v>
      </c>
      <c r="DV48">
        <v>-47.0244</v>
      </c>
      <c r="DW48">
        <v>978.798</v>
      </c>
      <c r="DX48">
        <v>1024.6099999999999</v>
      </c>
      <c r="DY48">
        <v>2.3594900000000001</v>
      </c>
      <c r="DZ48">
        <v>1000.01</v>
      </c>
      <c r="EA48">
        <v>24.009699999999999</v>
      </c>
      <c r="EB48">
        <v>2.6167899999999999</v>
      </c>
      <c r="EC48">
        <v>2.3826399999999999</v>
      </c>
      <c r="ED48">
        <v>21.771699999999999</v>
      </c>
      <c r="EE48">
        <v>20.246300000000002</v>
      </c>
      <c r="EF48">
        <v>1799.83</v>
      </c>
      <c r="EG48">
        <v>0.977989</v>
      </c>
      <c r="EH48">
        <v>2.2010700000000001E-2</v>
      </c>
      <c r="EI48">
        <v>0</v>
      </c>
      <c r="EJ48">
        <v>496.31900000000002</v>
      </c>
      <c r="EK48">
        <v>4.9996700000000001</v>
      </c>
      <c r="EL48">
        <v>10803</v>
      </c>
      <c r="EM48">
        <v>15045.3</v>
      </c>
      <c r="EN48">
        <v>49.311999999999998</v>
      </c>
      <c r="EO48">
        <v>50.186999999999998</v>
      </c>
      <c r="EP48">
        <v>49.936999999999998</v>
      </c>
      <c r="EQ48">
        <v>50</v>
      </c>
      <c r="ER48">
        <v>50.625</v>
      </c>
      <c r="ES48">
        <v>1755.32</v>
      </c>
      <c r="ET48">
        <v>39.51</v>
      </c>
      <c r="EU48">
        <v>0</v>
      </c>
      <c r="EV48">
        <v>214.79999995231631</v>
      </c>
      <c r="EW48">
        <v>0</v>
      </c>
      <c r="EX48">
        <v>496.49160000000012</v>
      </c>
      <c r="EY48">
        <v>-1.796692304998905</v>
      </c>
      <c r="EZ48">
        <v>-208.59230807435301</v>
      </c>
      <c r="FA48">
        <v>10827.472</v>
      </c>
      <c r="FB48">
        <v>15</v>
      </c>
      <c r="FC48">
        <v>1700159002.5</v>
      </c>
      <c r="FD48" t="s">
        <v>563</v>
      </c>
      <c r="FE48">
        <v>1700158998.5</v>
      </c>
      <c r="FF48">
        <v>1700159002.5</v>
      </c>
      <c r="FG48">
        <v>52</v>
      </c>
      <c r="FH48">
        <v>0.20499999999999999</v>
      </c>
      <c r="FI48">
        <v>-1.4E-2</v>
      </c>
      <c r="FJ48">
        <v>-0.28199999999999997</v>
      </c>
      <c r="FK48">
        <v>0.33100000000000002</v>
      </c>
      <c r="FL48">
        <v>1000</v>
      </c>
      <c r="FM48">
        <v>24</v>
      </c>
      <c r="FN48">
        <v>0.06</v>
      </c>
      <c r="FO48">
        <v>0.05</v>
      </c>
      <c r="FP48">
        <v>56.849575296929693</v>
      </c>
      <c r="FQ48">
        <v>-0.43197382381613758</v>
      </c>
      <c r="FR48">
        <v>9.1268321297975519E-2</v>
      </c>
      <c r="FS48">
        <v>1</v>
      </c>
      <c r="FT48">
        <v>0.18308715705142581</v>
      </c>
      <c r="FU48">
        <v>-3.00441762431432E-3</v>
      </c>
      <c r="FV48">
        <v>1.5987911726391029E-3</v>
      </c>
      <c r="FW48">
        <v>1</v>
      </c>
      <c r="FX48">
        <v>2</v>
      </c>
      <c r="FY48">
        <v>2</v>
      </c>
      <c r="FZ48" t="s">
        <v>420</v>
      </c>
      <c r="GA48">
        <v>3.0125999999999999</v>
      </c>
      <c r="GB48">
        <v>2.77691</v>
      </c>
      <c r="GC48">
        <v>0.162051</v>
      </c>
      <c r="GD48">
        <v>0.16794000000000001</v>
      </c>
      <c r="GE48">
        <v>0.121466</v>
      </c>
      <c r="GF48">
        <v>0.115268</v>
      </c>
      <c r="GG48">
        <v>20079</v>
      </c>
      <c r="GH48">
        <v>20592.099999999999</v>
      </c>
      <c r="GI48">
        <v>23734.400000000001</v>
      </c>
      <c r="GJ48">
        <v>24412.1</v>
      </c>
      <c r="GK48">
        <v>30842.2</v>
      </c>
      <c r="GL48">
        <v>30972.2</v>
      </c>
      <c r="GM48">
        <v>38872.6</v>
      </c>
      <c r="GN48">
        <v>38878.5</v>
      </c>
      <c r="GO48">
        <v>2.0315699999999999</v>
      </c>
      <c r="GP48">
        <v>1.7821</v>
      </c>
      <c r="GQ48">
        <v>7.4021500000000004E-2</v>
      </c>
      <c r="GR48">
        <v>0</v>
      </c>
      <c r="GS48">
        <v>28.8477</v>
      </c>
      <c r="GT48">
        <v>999.9</v>
      </c>
      <c r="GU48">
        <v>37</v>
      </c>
      <c r="GV48">
        <v>40.6</v>
      </c>
      <c r="GW48">
        <v>28.5383</v>
      </c>
      <c r="GX48">
        <v>61.365299999999998</v>
      </c>
      <c r="GY48">
        <v>30.556899999999999</v>
      </c>
      <c r="GZ48">
        <v>1</v>
      </c>
      <c r="HA48">
        <v>0.66291900000000004</v>
      </c>
      <c r="HB48">
        <v>3.49715</v>
      </c>
      <c r="HC48">
        <v>20.293099999999999</v>
      </c>
      <c r="HD48">
        <v>5.2391500000000004</v>
      </c>
      <c r="HE48">
        <v>11.9983</v>
      </c>
      <c r="HF48">
        <v>4.9629000000000003</v>
      </c>
      <c r="HG48">
        <v>3.3003</v>
      </c>
      <c r="HH48">
        <v>9999</v>
      </c>
      <c r="HI48">
        <v>9999</v>
      </c>
      <c r="HJ48">
        <v>9999</v>
      </c>
      <c r="HK48">
        <v>999.9</v>
      </c>
      <c r="HL48">
        <v>1.8748499999999999</v>
      </c>
      <c r="HM48">
        <v>1.88019</v>
      </c>
      <c r="HN48">
        <v>1.8803000000000001</v>
      </c>
      <c r="HO48">
        <v>1.87897</v>
      </c>
      <c r="HP48">
        <v>1.8813</v>
      </c>
      <c r="HQ48">
        <v>1.8772899999999999</v>
      </c>
      <c r="HR48">
        <v>1.875</v>
      </c>
      <c r="HS48">
        <v>1.88218</v>
      </c>
      <c r="HT48">
        <v>5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423</v>
      </c>
      <c r="IB48" t="s">
        <v>423</v>
      </c>
      <c r="IC48" t="s">
        <v>423</v>
      </c>
      <c r="ID48">
        <v>0</v>
      </c>
      <c r="IE48">
        <v>100</v>
      </c>
      <c r="IF48">
        <v>100</v>
      </c>
      <c r="IG48">
        <v>-0.23699999999999999</v>
      </c>
      <c r="IH48">
        <v>0.41289999999999999</v>
      </c>
      <c r="II48">
        <v>3.1682529389472802E-2</v>
      </c>
      <c r="IJ48">
        <v>7.0786345690369205E-4</v>
      </c>
      <c r="IK48">
        <v>-1.387476646623666E-6</v>
      </c>
      <c r="IL48">
        <v>3.6592443641472651E-10</v>
      </c>
      <c r="IM48">
        <v>-7.9953007152813463E-2</v>
      </c>
      <c r="IN48">
        <v>-1.92785045113246E-3</v>
      </c>
      <c r="IO48">
        <v>9.94469593919068E-4</v>
      </c>
      <c r="IP48">
        <v>-7.2714521965658074E-6</v>
      </c>
      <c r="IQ48">
        <v>2</v>
      </c>
      <c r="IR48">
        <v>2142</v>
      </c>
      <c r="IS48">
        <v>1</v>
      </c>
      <c r="IT48">
        <v>24</v>
      </c>
      <c r="IU48">
        <v>0.6</v>
      </c>
      <c r="IV48">
        <v>0.6</v>
      </c>
      <c r="IW48">
        <v>2.1569799999999999</v>
      </c>
      <c r="IX48">
        <v>2.6464799999999999</v>
      </c>
      <c r="IY48">
        <v>1.5490699999999999</v>
      </c>
      <c r="IZ48">
        <v>2.3584000000000001</v>
      </c>
      <c r="JA48">
        <v>1.5966800000000001</v>
      </c>
      <c r="JB48">
        <v>2.18628</v>
      </c>
      <c r="JC48">
        <v>42.617100000000001</v>
      </c>
      <c r="JD48">
        <v>24.113800000000001</v>
      </c>
      <c r="JE48">
        <v>18</v>
      </c>
      <c r="JF48">
        <v>540.88</v>
      </c>
      <c r="JG48">
        <v>445.392</v>
      </c>
      <c r="JH48">
        <v>25.440999999999999</v>
      </c>
      <c r="JI48">
        <v>35.253799999999998</v>
      </c>
      <c r="JJ48">
        <v>30</v>
      </c>
      <c r="JK48">
        <v>35.258400000000002</v>
      </c>
      <c r="JL48">
        <v>35.248699999999999</v>
      </c>
      <c r="JM48">
        <v>43.128</v>
      </c>
      <c r="JN48">
        <v>15.965</v>
      </c>
      <c r="JO48">
        <v>19.6523</v>
      </c>
      <c r="JP48">
        <v>25.441099999999999</v>
      </c>
      <c r="JQ48">
        <v>1000</v>
      </c>
      <c r="JR48">
        <v>24.004899999999999</v>
      </c>
      <c r="JS48">
        <v>98.445099999999996</v>
      </c>
      <c r="JT48">
        <v>99.308400000000006</v>
      </c>
    </row>
    <row r="49" spans="1:280" x14ac:dyDescent="0.25">
      <c r="A49">
        <v>47</v>
      </c>
      <c r="B49">
        <v>1700159177.5</v>
      </c>
      <c r="C49">
        <v>11321.5</v>
      </c>
      <c r="D49" t="s">
        <v>564</v>
      </c>
      <c r="E49" t="s">
        <v>565</v>
      </c>
      <c r="F49" t="s">
        <v>412</v>
      </c>
      <c r="G49" t="s">
        <v>547</v>
      </c>
      <c r="H49" t="s">
        <v>547</v>
      </c>
      <c r="I49">
        <v>1700159177.5</v>
      </c>
      <c r="J49">
        <f t="shared" si="46"/>
        <v>3.2688076075891173E-3</v>
      </c>
      <c r="K49">
        <f t="shared" si="47"/>
        <v>3.2688076075891175</v>
      </c>
      <c r="L49">
        <f t="shared" si="48"/>
        <v>56.308529268439656</v>
      </c>
      <c r="M49">
        <f t="shared" si="49"/>
        <v>703.98299999999995</v>
      </c>
      <c r="N49">
        <f t="shared" si="50"/>
        <v>225.24204285523516</v>
      </c>
      <c r="O49">
        <f t="shared" si="51"/>
        <v>22.371051634210229</v>
      </c>
      <c r="P49">
        <f t="shared" si="52"/>
        <v>69.919628871098993</v>
      </c>
      <c r="Q49">
        <f t="shared" si="53"/>
        <v>0.19855911730222225</v>
      </c>
      <c r="R49">
        <f t="shared" si="54"/>
        <v>3.4403115344346791</v>
      </c>
      <c r="S49">
        <f t="shared" si="55"/>
        <v>0.19240523865151177</v>
      </c>
      <c r="T49">
        <f t="shared" si="56"/>
        <v>0.12079028825515181</v>
      </c>
      <c r="U49">
        <f t="shared" si="57"/>
        <v>289.53991841933214</v>
      </c>
      <c r="V49">
        <f t="shared" si="58"/>
        <v>29.689734831686934</v>
      </c>
      <c r="W49">
        <f t="shared" si="59"/>
        <v>29.9558</v>
      </c>
      <c r="X49">
        <f t="shared" si="60"/>
        <v>4.2496452510932103</v>
      </c>
      <c r="Y49">
        <f t="shared" si="61"/>
        <v>65.338780772404391</v>
      </c>
      <c r="Z49">
        <f t="shared" si="62"/>
        <v>2.6206390544474001</v>
      </c>
      <c r="AA49">
        <f t="shared" si="63"/>
        <v>4.0108478050362057</v>
      </c>
      <c r="AB49">
        <f t="shared" si="64"/>
        <v>1.6290061966458103</v>
      </c>
      <c r="AC49">
        <f t="shared" si="65"/>
        <v>-144.15441549468008</v>
      </c>
      <c r="AD49">
        <f t="shared" si="66"/>
        <v>-185.99340285568695</v>
      </c>
      <c r="AE49">
        <f t="shared" si="67"/>
        <v>-11.956164743793462</v>
      </c>
      <c r="AF49">
        <f t="shared" si="68"/>
        <v>-52.564064674828359</v>
      </c>
      <c r="AG49">
        <v>0</v>
      </c>
      <c r="AH49">
        <v>0</v>
      </c>
      <c r="AI49">
        <f t="shared" si="69"/>
        <v>1</v>
      </c>
      <c r="AJ49">
        <f t="shared" si="70"/>
        <v>0</v>
      </c>
      <c r="AK49">
        <f t="shared" si="71"/>
        <v>52081.589555764062</v>
      </c>
      <c r="AL49" t="s">
        <v>426</v>
      </c>
      <c r="AM49" t="s">
        <v>426</v>
      </c>
      <c r="AN49">
        <v>0</v>
      </c>
      <c r="AO49">
        <v>0</v>
      </c>
      <c r="AP49" t="e">
        <f t="shared" si="72"/>
        <v>#DIV/0!</v>
      </c>
      <c r="AQ49">
        <v>0</v>
      </c>
      <c r="AR49" t="s">
        <v>426</v>
      </c>
      <c r="AS49" t="s">
        <v>426</v>
      </c>
      <c r="AT49">
        <v>0</v>
      </c>
      <c r="AU49">
        <v>0</v>
      </c>
      <c r="AV49" t="e">
        <f t="shared" si="73"/>
        <v>#DIV/0!</v>
      </c>
      <c r="AW49">
        <v>0.5</v>
      </c>
      <c r="AX49">
        <f t="shared" si="74"/>
        <v>1513.0422002172704</v>
      </c>
      <c r="AY49">
        <f t="shared" si="75"/>
        <v>56.308529268439656</v>
      </c>
      <c r="AZ49" t="e">
        <f t="shared" si="76"/>
        <v>#DIV/0!</v>
      </c>
      <c r="BA49">
        <f t="shared" si="77"/>
        <v>3.7215438710403344E-2</v>
      </c>
      <c r="BB49" t="e">
        <f t="shared" si="78"/>
        <v>#DIV/0!</v>
      </c>
      <c r="BC49" t="e">
        <f t="shared" si="79"/>
        <v>#DIV/0!</v>
      </c>
      <c r="BD49" t="s">
        <v>426</v>
      </c>
      <c r="BE49">
        <v>0</v>
      </c>
      <c r="BF49" t="e">
        <f t="shared" si="80"/>
        <v>#DIV/0!</v>
      </c>
      <c r="BG49" t="e">
        <f t="shared" si="81"/>
        <v>#DIV/0!</v>
      </c>
      <c r="BH49" t="e">
        <f t="shared" si="82"/>
        <v>#DIV/0!</v>
      </c>
      <c r="BI49" t="e">
        <f t="shared" si="83"/>
        <v>#DIV/0!</v>
      </c>
      <c r="BJ49" t="e">
        <f t="shared" si="84"/>
        <v>#DIV/0!</v>
      </c>
      <c r="BK49" t="e">
        <f t="shared" si="85"/>
        <v>#DIV/0!</v>
      </c>
      <c r="BL49" t="e">
        <f t="shared" si="86"/>
        <v>#DIV/0!</v>
      </c>
      <c r="BM49" t="e">
        <f t="shared" si="87"/>
        <v>#DIV/0!</v>
      </c>
      <c r="BN49">
        <v>34473</v>
      </c>
      <c r="BO49">
        <v>290.00000000000011</v>
      </c>
      <c r="BP49">
        <v>692.04</v>
      </c>
      <c r="BQ49">
        <v>285</v>
      </c>
      <c r="BR49">
        <v>7104.78</v>
      </c>
      <c r="BS49">
        <v>693.16</v>
      </c>
      <c r="BT49">
        <v>-1.1200000000000001</v>
      </c>
      <c r="BU49">
        <v>300.00000000000011</v>
      </c>
      <c r="BV49">
        <v>38.299999999999997</v>
      </c>
      <c r="BW49">
        <v>773.12595725589017</v>
      </c>
      <c r="BX49">
        <v>1.2095315352865901</v>
      </c>
      <c r="BY49">
        <v>-56.813292412097091</v>
      </c>
      <c r="BZ49">
        <v>0.72042883786616907</v>
      </c>
      <c r="CA49">
        <v>0.99551781961081887</v>
      </c>
      <c r="CB49">
        <v>-7.0040149054504969E-3</v>
      </c>
      <c r="CC49">
        <v>289.99999999999989</v>
      </c>
      <c r="CD49">
        <v>701.57</v>
      </c>
      <c r="CE49">
        <v>805</v>
      </c>
      <c r="CF49">
        <v>7099.04</v>
      </c>
      <c r="CG49">
        <v>693.1</v>
      </c>
      <c r="CH49">
        <v>8.4700000000000006</v>
      </c>
      <c r="CV49">
        <f t="shared" si="88"/>
        <v>1799.83</v>
      </c>
      <c r="CW49">
        <f t="shared" si="89"/>
        <v>1513.0422002172704</v>
      </c>
      <c r="CX49">
        <f t="shared" si="90"/>
        <v>0.84065839563584921</v>
      </c>
      <c r="CY49">
        <f t="shared" si="91"/>
        <v>0.16087070357718905</v>
      </c>
      <c r="CZ49">
        <v>3.93</v>
      </c>
      <c r="DA49">
        <v>0.5</v>
      </c>
      <c r="DB49" t="s">
        <v>418</v>
      </c>
      <c r="DC49">
        <v>2</v>
      </c>
      <c r="DD49">
        <v>1700159177.5</v>
      </c>
      <c r="DE49">
        <v>703.98299999999995</v>
      </c>
      <c r="DF49">
        <v>750.03200000000004</v>
      </c>
      <c r="DG49">
        <v>26.3858</v>
      </c>
      <c r="DH49">
        <v>23.885300000000001</v>
      </c>
      <c r="DI49">
        <v>704.41600000000005</v>
      </c>
      <c r="DJ49">
        <v>26.048400000000001</v>
      </c>
      <c r="DK49">
        <v>500.19799999999998</v>
      </c>
      <c r="DL49">
        <v>99.219899999999996</v>
      </c>
      <c r="DM49">
        <v>0.10015300000000001</v>
      </c>
      <c r="DN49">
        <v>28.952999999999999</v>
      </c>
      <c r="DO49">
        <v>29.9558</v>
      </c>
      <c r="DP49">
        <v>999.9</v>
      </c>
      <c r="DQ49">
        <v>0</v>
      </c>
      <c r="DR49">
        <v>0</v>
      </c>
      <c r="DS49">
        <v>9991.25</v>
      </c>
      <c r="DT49">
        <v>0</v>
      </c>
      <c r="DU49">
        <v>256.56299999999999</v>
      </c>
      <c r="DV49">
        <v>-46.048699999999997</v>
      </c>
      <c r="DW49">
        <v>723.06100000000004</v>
      </c>
      <c r="DX49">
        <v>768.38499999999999</v>
      </c>
      <c r="DY49">
        <v>2.50047</v>
      </c>
      <c r="DZ49">
        <v>750.03200000000004</v>
      </c>
      <c r="EA49">
        <v>23.885300000000001</v>
      </c>
      <c r="EB49">
        <v>2.6179899999999998</v>
      </c>
      <c r="EC49">
        <v>2.3698999999999999</v>
      </c>
      <c r="ED49">
        <v>21.779299999999999</v>
      </c>
      <c r="EE49">
        <v>20.159500000000001</v>
      </c>
      <c r="EF49">
        <v>1799.83</v>
      </c>
      <c r="EG49">
        <v>0.977993</v>
      </c>
      <c r="EH49">
        <v>2.2007200000000001E-2</v>
      </c>
      <c r="EI49">
        <v>0</v>
      </c>
      <c r="EJ49">
        <v>497.45299999999997</v>
      </c>
      <c r="EK49">
        <v>4.9996700000000001</v>
      </c>
      <c r="EL49">
        <v>10143.6</v>
      </c>
      <c r="EM49">
        <v>15045.3</v>
      </c>
      <c r="EN49">
        <v>49.436999999999998</v>
      </c>
      <c r="EO49">
        <v>50.311999999999998</v>
      </c>
      <c r="EP49">
        <v>50.125</v>
      </c>
      <c r="EQ49">
        <v>50.061999999999998</v>
      </c>
      <c r="ER49">
        <v>50.75</v>
      </c>
      <c r="ES49">
        <v>1755.33</v>
      </c>
      <c r="ET49">
        <v>39.5</v>
      </c>
      <c r="EU49">
        <v>0</v>
      </c>
      <c r="EV49">
        <v>139.79999995231631</v>
      </c>
      <c r="EW49">
        <v>0</v>
      </c>
      <c r="EX49">
        <v>497.30023076923078</v>
      </c>
      <c r="EY49">
        <v>-0.53435897807909805</v>
      </c>
      <c r="EZ49">
        <v>1240.9333367393681</v>
      </c>
      <c r="FA49">
        <v>10389.265384615381</v>
      </c>
      <c r="FB49">
        <v>15</v>
      </c>
      <c r="FC49">
        <v>1700159106</v>
      </c>
      <c r="FD49" t="s">
        <v>566</v>
      </c>
      <c r="FE49">
        <v>1700159106</v>
      </c>
      <c r="FF49">
        <v>1700159101.5</v>
      </c>
      <c r="FG49">
        <v>53</v>
      </c>
      <c r="FH49">
        <v>-0.40200000000000002</v>
      </c>
      <c r="FI49">
        <v>-6.0000000000000001E-3</v>
      </c>
      <c r="FJ49">
        <v>-0.46600000000000003</v>
      </c>
      <c r="FK49">
        <v>0.33200000000000002</v>
      </c>
      <c r="FL49">
        <v>750</v>
      </c>
      <c r="FM49">
        <v>24</v>
      </c>
      <c r="FN49">
        <v>0.09</v>
      </c>
      <c r="FO49">
        <v>0.03</v>
      </c>
      <c r="FP49">
        <v>56.364551054488437</v>
      </c>
      <c r="FQ49">
        <v>0.612146190154365</v>
      </c>
      <c r="FR49">
        <v>6.0367212205296637E-2</v>
      </c>
      <c r="FS49">
        <v>1</v>
      </c>
      <c r="FT49">
        <v>0.19521414162412051</v>
      </c>
      <c r="FU49">
        <v>-2.7001607226986089E-3</v>
      </c>
      <c r="FV49">
        <v>6.3996956625251645E-4</v>
      </c>
      <c r="FW49">
        <v>1</v>
      </c>
      <c r="FX49">
        <v>2</v>
      </c>
      <c r="FY49">
        <v>2</v>
      </c>
      <c r="FZ49" t="s">
        <v>420</v>
      </c>
      <c r="GA49">
        <v>3.0127700000000002</v>
      </c>
      <c r="GB49">
        <v>2.7771599999999999</v>
      </c>
      <c r="GC49">
        <v>0.13256899999999999</v>
      </c>
      <c r="GD49">
        <v>0.13906499999999999</v>
      </c>
      <c r="GE49">
        <v>0.12174599999999999</v>
      </c>
      <c r="GF49">
        <v>0.11483699999999999</v>
      </c>
      <c r="GG49">
        <v>20786.5</v>
      </c>
      <c r="GH49">
        <v>21307.8</v>
      </c>
      <c r="GI49">
        <v>23734.6</v>
      </c>
      <c r="GJ49">
        <v>24412.2</v>
      </c>
      <c r="GK49">
        <v>30832.5</v>
      </c>
      <c r="GL49">
        <v>30987.5</v>
      </c>
      <c r="GM49">
        <v>38872.5</v>
      </c>
      <c r="GN49">
        <v>38878.5</v>
      </c>
      <c r="GO49">
        <v>2.0322499999999999</v>
      </c>
      <c r="GP49">
        <v>1.78122</v>
      </c>
      <c r="GQ49">
        <v>5.9939899999999997E-2</v>
      </c>
      <c r="GR49">
        <v>0</v>
      </c>
      <c r="GS49">
        <v>28.979600000000001</v>
      </c>
      <c r="GT49">
        <v>999.9</v>
      </c>
      <c r="GU49">
        <v>37.4</v>
      </c>
      <c r="GV49">
        <v>40.5</v>
      </c>
      <c r="GW49">
        <v>28.698499999999999</v>
      </c>
      <c r="GX49">
        <v>61.3553</v>
      </c>
      <c r="GY49">
        <v>30.576899999999998</v>
      </c>
      <c r="GZ49">
        <v>1</v>
      </c>
      <c r="HA49">
        <v>0.66404700000000005</v>
      </c>
      <c r="HB49">
        <v>3.4870299999999999</v>
      </c>
      <c r="HC49">
        <v>20.294599999999999</v>
      </c>
      <c r="HD49">
        <v>5.2460399999999998</v>
      </c>
      <c r="HE49">
        <v>11.9984</v>
      </c>
      <c r="HF49">
        <v>4.9636500000000003</v>
      </c>
      <c r="HG49">
        <v>3.3009499999999998</v>
      </c>
      <c r="HH49">
        <v>9999</v>
      </c>
      <c r="HI49">
        <v>9999</v>
      </c>
      <c r="HJ49">
        <v>9999</v>
      </c>
      <c r="HK49">
        <v>999.9</v>
      </c>
      <c r="HL49">
        <v>1.8748499999999999</v>
      </c>
      <c r="HM49">
        <v>1.88019</v>
      </c>
      <c r="HN49">
        <v>1.8803399999999999</v>
      </c>
      <c r="HO49">
        <v>1.87897</v>
      </c>
      <c r="HP49">
        <v>1.8813</v>
      </c>
      <c r="HQ49">
        <v>1.8772899999999999</v>
      </c>
      <c r="HR49">
        <v>1.875</v>
      </c>
      <c r="HS49">
        <v>1.8821699999999999</v>
      </c>
      <c r="HT49">
        <v>5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423</v>
      </c>
      <c r="IB49" t="s">
        <v>423</v>
      </c>
      <c r="IC49" t="s">
        <v>423</v>
      </c>
      <c r="ID49">
        <v>0</v>
      </c>
      <c r="IE49">
        <v>100</v>
      </c>
      <c r="IF49">
        <v>100</v>
      </c>
      <c r="IG49">
        <v>-0.433</v>
      </c>
      <c r="IH49">
        <v>0.33739999999999998</v>
      </c>
      <c r="II49">
        <v>-0.370716412415798</v>
      </c>
      <c r="IJ49">
        <v>7.0786345690369205E-4</v>
      </c>
      <c r="IK49">
        <v>-1.387476646623666E-6</v>
      </c>
      <c r="IL49">
        <v>3.6592443641472651E-10</v>
      </c>
      <c r="IM49">
        <v>0.3374021126613243</v>
      </c>
      <c r="IN49">
        <v>0</v>
      </c>
      <c r="IO49">
        <v>0</v>
      </c>
      <c r="IP49">
        <v>0</v>
      </c>
      <c r="IQ49">
        <v>2</v>
      </c>
      <c r="IR49">
        <v>2142</v>
      </c>
      <c r="IS49">
        <v>1</v>
      </c>
      <c r="IT49">
        <v>24</v>
      </c>
      <c r="IU49">
        <v>1.2</v>
      </c>
      <c r="IV49">
        <v>1.3</v>
      </c>
      <c r="IW49">
        <v>1.7040999999999999</v>
      </c>
      <c r="IX49">
        <v>2.65381</v>
      </c>
      <c r="IY49">
        <v>1.5490699999999999</v>
      </c>
      <c r="IZ49">
        <v>2.3596200000000001</v>
      </c>
      <c r="JA49">
        <v>1.5966800000000001</v>
      </c>
      <c r="JB49">
        <v>2.2216800000000001</v>
      </c>
      <c r="JC49">
        <v>42.617100000000001</v>
      </c>
      <c r="JD49">
        <v>24.113800000000001</v>
      </c>
      <c r="JE49">
        <v>18</v>
      </c>
      <c r="JF49">
        <v>541.30700000000002</v>
      </c>
      <c r="JG49">
        <v>444.80900000000003</v>
      </c>
      <c r="JH49">
        <v>25.267800000000001</v>
      </c>
      <c r="JI49">
        <v>35.2667</v>
      </c>
      <c r="JJ49">
        <v>29.9999</v>
      </c>
      <c r="JK49">
        <v>35.255099999999999</v>
      </c>
      <c r="JL49">
        <v>35.2455</v>
      </c>
      <c r="JM49">
        <v>34.067599999999999</v>
      </c>
      <c r="JN49">
        <v>17.265999999999998</v>
      </c>
      <c r="JO49">
        <v>20.0962</v>
      </c>
      <c r="JP49">
        <v>25.280100000000001</v>
      </c>
      <c r="JQ49">
        <v>750</v>
      </c>
      <c r="JR49">
        <v>23.849299999999999</v>
      </c>
      <c r="JS49">
        <v>98.4452</v>
      </c>
      <c r="JT49">
        <v>99.308499999999995</v>
      </c>
    </row>
    <row r="50" spans="1:280" x14ac:dyDescent="0.25">
      <c r="A50">
        <v>48</v>
      </c>
      <c r="B50">
        <v>1700159367</v>
      </c>
      <c r="C50">
        <v>11511</v>
      </c>
      <c r="D50" t="s">
        <v>567</v>
      </c>
      <c r="E50" t="s">
        <v>568</v>
      </c>
      <c r="F50" t="s">
        <v>412</v>
      </c>
      <c r="G50" t="s">
        <v>547</v>
      </c>
      <c r="H50" t="s">
        <v>547</v>
      </c>
      <c r="I50">
        <v>1700159367</v>
      </c>
      <c r="J50">
        <f t="shared" si="46"/>
        <v>4.1940651602152667E-3</v>
      </c>
      <c r="K50">
        <f t="shared" si="47"/>
        <v>4.194065160215267</v>
      </c>
      <c r="L50">
        <f t="shared" si="48"/>
        <v>55.279158165401896</v>
      </c>
      <c r="M50">
        <f t="shared" si="49"/>
        <v>554.69200000000001</v>
      </c>
      <c r="N50">
        <f t="shared" si="50"/>
        <v>190.88890322357767</v>
      </c>
      <c r="O50">
        <f t="shared" si="51"/>
        <v>18.95747426951138</v>
      </c>
      <c r="P50">
        <f t="shared" si="52"/>
        <v>55.087326397320801</v>
      </c>
      <c r="Q50">
        <f t="shared" si="53"/>
        <v>0.25890345235574103</v>
      </c>
      <c r="R50">
        <f t="shared" si="54"/>
        <v>3.4458014584901751</v>
      </c>
      <c r="S50">
        <f t="shared" si="55"/>
        <v>0.24856148319090932</v>
      </c>
      <c r="T50">
        <f t="shared" si="56"/>
        <v>0.15624568925948659</v>
      </c>
      <c r="U50">
        <f t="shared" si="57"/>
        <v>289.52395841935544</v>
      </c>
      <c r="V50">
        <f t="shared" si="58"/>
        <v>29.536671371513577</v>
      </c>
      <c r="W50">
        <f t="shared" si="59"/>
        <v>29.957799999999999</v>
      </c>
      <c r="X50">
        <f t="shared" si="60"/>
        <v>4.2501336271336907</v>
      </c>
      <c r="Y50">
        <f t="shared" si="61"/>
        <v>65.426964066370402</v>
      </c>
      <c r="Z50">
        <f t="shared" si="62"/>
        <v>2.6324812454690201</v>
      </c>
      <c r="AA50">
        <f t="shared" si="63"/>
        <v>4.0235417966185612</v>
      </c>
      <c r="AB50">
        <f t="shared" si="64"/>
        <v>1.6176523816646706</v>
      </c>
      <c r="AC50">
        <f t="shared" si="65"/>
        <v>-184.95827356549327</v>
      </c>
      <c r="AD50">
        <f t="shared" si="66"/>
        <v>-176.51869982826202</v>
      </c>
      <c r="AE50">
        <f t="shared" si="67"/>
        <v>-11.332203673413076</v>
      </c>
      <c r="AF50">
        <f t="shared" si="68"/>
        <v>-83.285218647812911</v>
      </c>
      <c r="AG50">
        <v>0</v>
      </c>
      <c r="AH50">
        <v>0</v>
      </c>
      <c r="AI50">
        <f t="shared" si="69"/>
        <v>1</v>
      </c>
      <c r="AJ50">
        <f t="shared" si="70"/>
        <v>0</v>
      </c>
      <c r="AK50">
        <f t="shared" si="71"/>
        <v>52192.56093091728</v>
      </c>
      <c r="AL50" t="s">
        <v>415</v>
      </c>
      <c r="AM50">
        <v>10238.9</v>
      </c>
      <c r="AN50">
        <v>302.21199999999999</v>
      </c>
      <c r="AO50">
        <v>4052.3</v>
      </c>
      <c r="AP50">
        <f t="shared" si="72"/>
        <v>0.92542210596451402</v>
      </c>
      <c r="AQ50">
        <v>-0.32343011824092421</v>
      </c>
      <c r="AR50" t="s">
        <v>569</v>
      </c>
      <c r="AS50">
        <v>7103.05</v>
      </c>
      <c r="AT50">
        <v>499.18238461538459</v>
      </c>
      <c r="AU50">
        <v>758.99965641775361</v>
      </c>
      <c r="AV50">
        <f t="shared" si="73"/>
        <v>0.34231540107491898</v>
      </c>
      <c r="AW50">
        <v>0.5</v>
      </c>
      <c r="AX50">
        <f t="shared" si="74"/>
        <v>1512.9582002172826</v>
      </c>
      <c r="AY50">
        <f t="shared" si="75"/>
        <v>55.279158165401896</v>
      </c>
      <c r="AZ50">
        <f t="shared" si="76"/>
        <v>258.95444655848331</v>
      </c>
      <c r="BA50">
        <f t="shared" si="77"/>
        <v>3.6750908435974956E-2</v>
      </c>
      <c r="BB50">
        <f t="shared" si="78"/>
        <v>4.3390010993227817</v>
      </c>
      <c r="BC50">
        <f t="shared" si="79"/>
        <v>228.32688838396191</v>
      </c>
      <c r="BD50" t="s">
        <v>570</v>
      </c>
      <c r="BE50">
        <v>356.4</v>
      </c>
      <c r="BF50">
        <f t="shared" si="80"/>
        <v>356.4</v>
      </c>
      <c r="BG50">
        <f t="shared" si="81"/>
        <v>0.53043457004697592</v>
      </c>
      <c r="BH50">
        <f t="shared" si="82"/>
        <v>0.64534896555592725</v>
      </c>
      <c r="BI50">
        <f t="shared" si="83"/>
        <v>0.891068574253158</v>
      </c>
      <c r="BJ50">
        <f t="shared" si="84"/>
        <v>0.56879223453611449</v>
      </c>
      <c r="BK50">
        <f t="shared" si="85"/>
        <v>0.8781928166971672</v>
      </c>
      <c r="BL50">
        <f t="shared" si="86"/>
        <v>0.46075818861546403</v>
      </c>
      <c r="BM50">
        <f t="shared" si="87"/>
        <v>0.53924181138453597</v>
      </c>
      <c r="BN50">
        <v>34475</v>
      </c>
      <c r="BO50">
        <v>290.00000000000011</v>
      </c>
      <c r="BP50">
        <v>683.06</v>
      </c>
      <c r="BQ50">
        <v>295</v>
      </c>
      <c r="BR50">
        <v>7103.05</v>
      </c>
      <c r="BS50">
        <v>684.62</v>
      </c>
      <c r="BT50">
        <v>-1.56</v>
      </c>
      <c r="BU50">
        <v>300.00000000000011</v>
      </c>
      <c r="BV50">
        <v>38.299999999999997</v>
      </c>
      <c r="BW50">
        <v>758.99965641775361</v>
      </c>
      <c r="BX50">
        <v>1.19764095895181</v>
      </c>
      <c r="BY50">
        <v>-52.834023175680542</v>
      </c>
      <c r="BZ50">
        <v>0.71317165802940685</v>
      </c>
      <c r="CA50">
        <v>0.99492414986992228</v>
      </c>
      <c r="CB50">
        <v>-7.0022400444938911E-3</v>
      </c>
      <c r="CC50">
        <v>289.99999999999989</v>
      </c>
      <c r="CD50">
        <v>693.36</v>
      </c>
      <c r="CE50">
        <v>885</v>
      </c>
      <c r="CF50">
        <v>7096.25</v>
      </c>
      <c r="CG50">
        <v>684.55</v>
      </c>
      <c r="CH50">
        <v>8.81</v>
      </c>
      <c r="CV50">
        <f t="shared" si="88"/>
        <v>1799.73</v>
      </c>
      <c r="CW50">
        <f t="shared" si="89"/>
        <v>1512.9582002172826</v>
      </c>
      <c r="CX50">
        <f t="shared" si="90"/>
        <v>0.8406584322188787</v>
      </c>
      <c r="CY50">
        <f t="shared" si="91"/>
        <v>0.16087077418243595</v>
      </c>
      <c r="CZ50">
        <v>3.93</v>
      </c>
      <c r="DA50">
        <v>0.5</v>
      </c>
      <c r="DB50" t="s">
        <v>418</v>
      </c>
      <c r="DC50">
        <v>2</v>
      </c>
      <c r="DD50">
        <v>1700159367</v>
      </c>
      <c r="DE50">
        <v>554.69200000000001</v>
      </c>
      <c r="DF50">
        <v>599.96500000000003</v>
      </c>
      <c r="DG50">
        <v>26.507300000000001</v>
      </c>
      <c r="DH50">
        <v>23.298500000000001</v>
      </c>
      <c r="DI50">
        <v>555.11900000000003</v>
      </c>
      <c r="DJ50">
        <v>26.092300000000002</v>
      </c>
      <c r="DK50">
        <v>500.05500000000001</v>
      </c>
      <c r="DL50">
        <v>99.211699999999993</v>
      </c>
      <c r="DM50">
        <v>9.9857399999999999E-2</v>
      </c>
      <c r="DN50">
        <v>29.0076</v>
      </c>
      <c r="DO50">
        <v>29.957799999999999</v>
      </c>
      <c r="DP50">
        <v>999.9</v>
      </c>
      <c r="DQ50">
        <v>0</v>
      </c>
      <c r="DR50">
        <v>0</v>
      </c>
      <c r="DS50">
        <v>10016.200000000001</v>
      </c>
      <c r="DT50">
        <v>0</v>
      </c>
      <c r="DU50">
        <v>277.20100000000002</v>
      </c>
      <c r="DV50">
        <v>-45.273000000000003</v>
      </c>
      <c r="DW50">
        <v>569.79600000000005</v>
      </c>
      <c r="DX50">
        <v>614.27700000000004</v>
      </c>
      <c r="DY50">
        <v>3.2088199999999998</v>
      </c>
      <c r="DZ50">
        <v>599.96500000000003</v>
      </c>
      <c r="EA50">
        <v>23.298500000000001</v>
      </c>
      <c r="EB50">
        <v>2.6298300000000001</v>
      </c>
      <c r="EC50">
        <v>2.31148</v>
      </c>
      <c r="ED50">
        <v>21.853100000000001</v>
      </c>
      <c r="EE50">
        <v>19.756599999999999</v>
      </c>
      <c r="EF50">
        <v>1799.73</v>
      </c>
      <c r="EG50">
        <v>0.977993</v>
      </c>
      <c r="EH50">
        <v>2.2007200000000001E-2</v>
      </c>
      <c r="EI50">
        <v>0</v>
      </c>
      <c r="EJ50">
        <v>498.86500000000001</v>
      </c>
      <c r="EK50">
        <v>4.9996700000000001</v>
      </c>
      <c r="EL50">
        <v>10519.4</v>
      </c>
      <c r="EM50">
        <v>15044.5</v>
      </c>
      <c r="EN50">
        <v>49.625</v>
      </c>
      <c r="EO50">
        <v>50.5</v>
      </c>
      <c r="EP50">
        <v>50.25</v>
      </c>
      <c r="EQ50">
        <v>50.186999999999998</v>
      </c>
      <c r="ER50">
        <v>50.936999999999998</v>
      </c>
      <c r="ES50">
        <v>1755.23</v>
      </c>
      <c r="ET50">
        <v>39.5</v>
      </c>
      <c r="EU50">
        <v>0</v>
      </c>
      <c r="EV50">
        <v>329.40000009536737</v>
      </c>
      <c r="EW50">
        <v>0</v>
      </c>
      <c r="EX50">
        <v>499.18238461538459</v>
      </c>
      <c r="EY50">
        <v>-1.1262222323765401</v>
      </c>
      <c r="EZ50">
        <v>-951.08717970373243</v>
      </c>
      <c r="FA50">
        <v>10659.426923076921</v>
      </c>
      <c r="FB50">
        <v>15</v>
      </c>
      <c r="FC50">
        <v>1700159256.5</v>
      </c>
      <c r="FD50" t="s">
        <v>571</v>
      </c>
      <c r="FE50">
        <v>1700159256.5</v>
      </c>
      <c r="FF50">
        <v>1700159249</v>
      </c>
      <c r="FG50">
        <v>54</v>
      </c>
      <c r="FH50">
        <v>-8.4000000000000005E-2</v>
      </c>
      <c r="FI50">
        <v>3.0000000000000001E-3</v>
      </c>
      <c r="FJ50">
        <v>-0.45100000000000001</v>
      </c>
      <c r="FK50">
        <v>0.32600000000000001</v>
      </c>
      <c r="FL50">
        <v>600</v>
      </c>
      <c r="FM50">
        <v>24</v>
      </c>
      <c r="FN50">
        <v>0.03</v>
      </c>
      <c r="FO50">
        <v>0.03</v>
      </c>
      <c r="FP50">
        <v>55.090377129311847</v>
      </c>
      <c r="FQ50">
        <v>0.10279705719871191</v>
      </c>
      <c r="FR50">
        <v>8.878112260357246E-2</v>
      </c>
      <c r="FS50">
        <v>1</v>
      </c>
      <c r="FT50">
        <v>0.25620430808253669</v>
      </c>
      <c r="FU50">
        <v>3.0881161694089498E-2</v>
      </c>
      <c r="FV50">
        <v>2.3878788439139821E-3</v>
      </c>
      <c r="FW50">
        <v>1</v>
      </c>
      <c r="FX50">
        <v>2</v>
      </c>
      <c r="FY50">
        <v>2</v>
      </c>
      <c r="FZ50" t="s">
        <v>420</v>
      </c>
      <c r="GA50">
        <v>3.0124300000000002</v>
      </c>
      <c r="GB50">
        <v>2.7770800000000002</v>
      </c>
      <c r="GC50">
        <v>0.112216</v>
      </c>
      <c r="GD50">
        <v>0.119244</v>
      </c>
      <c r="GE50">
        <v>0.121874</v>
      </c>
      <c r="GF50">
        <v>0.11286499999999999</v>
      </c>
      <c r="GG50">
        <v>21273</v>
      </c>
      <c r="GH50">
        <v>21797.5</v>
      </c>
      <c r="GI50">
        <v>23733.1</v>
      </c>
      <c r="GJ50">
        <v>24411</v>
      </c>
      <c r="GK50">
        <v>30826.5</v>
      </c>
      <c r="GL50">
        <v>31055.599999999999</v>
      </c>
      <c r="GM50">
        <v>38870.300000000003</v>
      </c>
      <c r="GN50">
        <v>38877.1</v>
      </c>
      <c r="GO50">
        <v>2.0323000000000002</v>
      </c>
      <c r="GP50">
        <v>1.7798799999999999</v>
      </c>
      <c r="GQ50">
        <v>5.3122599999999999E-2</v>
      </c>
      <c r="GR50">
        <v>0</v>
      </c>
      <c r="GS50">
        <v>29.092600000000001</v>
      </c>
      <c r="GT50">
        <v>999.9</v>
      </c>
      <c r="GU50">
        <v>37.700000000000003</v>
      </c>
      <c r="GV50">
        <v>40.4</v>
      </c>
      <c r="GW50">
        <v>28.7789</v>
      </c>
      <c r="GX50">
        <v>61.015300000000003</v>
      </c>
      <c r="GY50">
        <v>31.430299999999999</v>
      </c>
      <c r="GZ50">
        <v>1</v>
      </c>
      <c r="HA50">
        <v>0.66577500000000001</v>
      </c>
      <c r="HB50">
        <v>3.2434500000000002</v>
      </c>
      <c r="HC50">
        <v>20.299399999999999</v>
      </c>
      <c r="HD50">
        <v>5.2458900000000002</v>
      </c>
      <c r="HE50">
        <v>11.9984</v>
      </c>
      <c r="HF50">
        <v>4.9638</v>
      </c>
      <c r="HG50">
        <v>3.3009300000000001</v>
      </c>
      <c r="HH50">
        <v>9999</v>
      </c>
      <c r="HI50">
        <v>9999</v>
      </c>
      <c r="HJ50">
        <v>9999</v>
      </c>
      <c r="HK50">
        <v>999.9</v>
      </c>
      <c r="HL50">
        <v>1.8748499999999999</v>
      </c>
      <c r="HM50">
        <v>1.88019</v>
      </c>
      <c r="HN50">
        <v>1.88032</v>
      </c>
      <c r="HO50">
        <v>1.87897</v>
      </c>
      <c r="HP50">
        <v>1.88131</v>
      </c>
      <c r="HQ50">
        <v>1.8772800000000001</v>
      </c>
      <c r="HR50">
        <v>1.875</v>
      </c>
      <c r="HS50">
        <v>1.8821699999999999</v>
      </c>
      <c r="HT50">
        <v>5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423</v>
      </c>
      <c r="IB50" t="s">
        <v>423</v>
      </c>
      <c r="IC50" t="s">
        <v>423</v>
      </c>
      <c r="ID50">
        <v>0</v>
      </c>
      <c r="IE50">
        <v>100</v>
      </c>
      <c r="IF50">
        <v>100</v>
      </c>
      <c r="IG50">
        <v>-0.42699999999999999</v>
      </c>
      <c r="IH50">
        <v>0.41499999999999998</v>
      </c>
      <c r="II50">
        <v>-0.45481804912517809</v>
      </c>
      <c r="IJ50">
        <v>7.0786345690369205E-4</v>
      </c>
      <c r="IK50">
        <v>-1.387476646623666E-6</v>
      </c>
      <c r="IL50">
        <v>3.6592443641472651E-10</v>
      </c>
      <c r="IM50">
        <v>-8.2570385775751834E-2</v>
      </c>
      <c r="IN50">
        <v>-1.92785045113246E-3</v>
      </c>
      <c r="IO50">
        <v>9.94469593919068E-4</v>
      </c>
      <c r="IP50">
        <v>-7.2714521965658074E-6</v>
      </c>
      <c r="IQ50">
        <v>2</v>
      </c>
      <c r="IR50">
        <v>2142</v>
      </c>
      <c r="IS50">
        <v>1</v>
      </c>
      <c r="IT50">
        <v>24</v>
      </c>
      <c r="IU50">
        <v>1.8</v>
      </c>
      <c r="IV50">
        <v>2</v>
      </c>
      <c r="IW50">
        <v>1.4196800000000001</v>
      </c>
      <c r="IX50">
        <v>2.6428199999999999</v>
      </c>
      <c r="IY50">
        <v>1.5490699999999999</v>
      </c>
      <c r="IZ50">
        <v>2.3596200000000001</v>
      </c>
      <c r="JA50">
        <v>1.5966800000000001</v>
      </c>
      <c r="JB50">
        <v>2.34741</v>
      </c>
      <c r="JC50">
        <v>42.590400000000002</v>
      </c>
      <c r="JD50">
        <v>24.122499999999999</v>
      </c>
      <c r="JE50">
        <v>18</v>
      </c>
      <c r="JF50">
        <v>541.47199999999998</v>
      </c>
      <c r="JG50">
        <v>444.036</v>
      </c>
      <c r="JH50">
        <v>25.415099999999999</v>
      </c>
      <c r="JI50">
        <v>35.299100000000003</v>
      </c>
      <c r="JJ50">
        <v>29.9998</v>
      </c>
      <c r="JK50">
        <v>35.271299999999997</v>
      </c>
      <c r="JL50">
        <v>35.258400000000002</v>
      </c>
      <c r="JM50">
        <v>28.3796</v>
      </c>
      <c r="JN50">
        <v>20.487200000000001</v>
      </c>
      <c r="JO50">
        <v>19.734999999999999</v>
      </c>
      <c r="JP50">
        <v>25.434799999999999</v>
      </c>
      <c r="JQ50">
        <v>600</v>
      </c>
      <c r="JR50">
        <v>23.194700000000001</v>
      </c>
      <c r="JS50">
        <v>98.439499999999995</v>
      </c>
      <c r="JT50">
        <v>99.304400000000001</v>
      </c>
    </row>
    <row r="51" spans="1:280" x14ac:dyDescent="0.25">
      <c r="A51">
        <v>49</v>
      </c>
      <c r="B51">
        <v>1700159497</v>
      </c>
      <c r="C51">
        <v>11641</v>
      </c>
      <c r="D51" t="s">
        <v>572</v>
      </c>
      <c r="E51" t="s">
        <v>573</v>
      </c>
      <c r="F51" t="s">
        <v>412</v>
      </c>
      <c r="G51" t="s">
        <v>547</v>
      </c>
      <c r="H51" t="s">
        <v>547</v>
      </c>
      <c r="I51">
        <v>1700159497</v>
      </c>
      <c r="J51">
        <f t="shared" si="46"/>
        <v>4.8382123920008837E-3</v>
      </c>
      <c r="K51">
        <f t="shared" si="47"/>
        <v>4.8382123920008837</v>
      </c>
      <c r="L51">
        <f t="shared" si="48"/>
        <v>54.917921790086169</v>
      </c>
      <c r="M51">
        <f t="shared" si="49"/>
        <v>455.15</v>
      </c>
      <c r="N51">
        <f t="shared" si="50"/>
        <v>144.70826950274167</v>
      </c>
      <c r="O51">
        <f t="shared" si="51"/>
        <v>14.369769496142121</v>
      </c>
      <c r="P51">
        <f t="shared" si="52"/>
        <v>45.197144632049998</v>
      </c>
      <c r="Q51">
        <f t="shared" si="53"/>
        <v>0.30264878074706458</v>
      </c>
      <c r="R51">
        <f t="shared" si="54"/>
        <v>3.4381791235432386</v>
      </c>
      <c r="S51">
        <f t="shared" si="55"/>
        <v>0.28858897037445774</v>
      </c>
      <c r="T51">
        <f t="shared" si="56"/>
        <v>0.18157688580163411</v>
      </c>
      <c r="U51">
        <f t="shared" si="57"/>
        <v>289.59200741914913</v>
      </c>
      <c r="V51">
        <f t="shared" si="58"/>
        <v>29.522159204099747</v>
      </c>
      <c r="W51">
        <f t="shared" si="59"/>
        <v>29.989699999999999</v>
      </c>
      <c r="X51">
        <f t="shared" si="60"/>
        <v>4.2579298396800676</v>
      </c>
      <c r="Y51">
        <f t="shared" si="61"/>
        <v>65.402031608321948</v>
      </c>
      <c r="Z51">
        <f t="shared" si="62"/>
        <v>2.6510461397943001</v>
      </c>
      <c r="AA51">
        <f t="shared" si="63"/>
        <v>4.0534614515812271</v>
      </c>
      <c r="AB51">
        <f t="shared" si="64"/>
        <v>1.6068836998857674</v>
      </c>
      <c r="AC51">
        <f t="shared" si="65"/>
        <v>-213.36516648723898</v>
      </c>
      <c r="AD51">
        <f t="shared" si="66"/>
        <v>-158.29668242382732</v>
      </c>
      <c r="AE51">
        <f t="shared" si="67"/>
        <v>-10.192988824023773</v>
      </c>
      <c r="AF51">
        <f t="shared" si="68"/>
        <v>-92.262830315940931</v>
      </c>
      <c r="AG51">
        <v>0</v>
      </c>
      <c r="AH51">
        <v>0</v>
      </c>
      <c r="AI51">
        <f t="shared" si="69"/>
        <v>1</v>
      </c>
      <c r="AJ51">
        <f t="shared" si="70"/>
        <v>0</v>
      </c>
      <c r="AK51">
        <f t="shared" si="71"/>
        <v>52002.910952192098</v>
      </c>
      <c r="AL51" t="s">
        <v>426</v>
      </c>
      <c r="AM51" t="s">
        <v>426</v>
      </c>
      <c r="AN51">
        <v>0</v>
      </c>
      <c r="AO51">
        <v>0</v>
      </c>
      <c r="AP51" t="e">
        <f t="shared" si="72"/>
        <v>#DIV/0!</v>
      </c>
      <c r="AQ51">
        <v>0</v>
      </c>
      <c r="AR51" t="s">
        <v>426</v>
      </c>
      <c r="AS51" t="s">
        <v>426</v>
      </c>
      <c r="AT51">
        <v>0</v>
      </c>
      <c r="AU51">
        <v>0</v>
      </c>
      <c r="AV51" t="e">
        <f t="shared" si="73"/>
        <v>#DIV/0!</v>
      </c>
      <c r="AW51">
        <v>0.5</v>
      </c>
      <c r="AX51">
        <f t="shared" si="74"/>
        <v>1513.3191002171757</v>
      </c>
      <c r="AY51">
        <f t="shared" si="75"/>
        <v>54.917921790086169</v>
      </c>
      <c r="AZ51" t="e">
        <f t="shared" si="76"/>
        <v>#DIV/0!</v>
      </c>
      <c r="BA51">
        <f t="shared" si="77"/>
        <v>3.6289716942186828E-2</v>
      </c>
      <c r="BB51" t="e">
        <f t="shared" si="78"/>
        <v>#DIV/0!</v>
      </c>
      <c r="BC51" t="e">
        <f t="shared" si="79"/>
        <v>#DIV/0!</v>
      </c>
      <c r="BD51" t="s">
        <v>426</v>
      </c>
      <c r="BE51">
        <v>0</v>
      </c>
      <c r="BF51" t="e">
        <f t="shared" si="80"/>
        <v>#DIV/0!</v>
      </c>
      <c r="BG51" t="e">
        <f t="shared" si="81"/>
        <v>#DIV/0!</v>
      </c>
      <c r="BH51" t="e">
        <f t="shared" si="82"/>
        <v>#DIV/0!</v>
      </c>
      <c r="BI51" t="e">
        <f t="shared" si="83"/>
        <v>#DIV/0!</v>
      </c>
      <c r="BJ51" t="e">
        <f t="shared" si="84"/>
        <v>#DIV/0!</v>
      </c>
      <c r="BK51" t="e">
        <f t="shared" si="85"/>
        <v>#DIV/0!</v>
      </c>
      <c r="BL51" t="e">
        <f t="shared" si="86"/>
        <v>#DIV/0!</v>
      </c>
      <c r="BM51" t="e">
        <f t="shared" si="87"/>
        <v>#DIV/0!</v>
      </c>
      <c r="BN51">
        <v>34475</v>
      </c>
      <c r="BO51">
        <v>290.00000000000011</v>
      </c>
      <c r="BP51">
        <v>683.06</v>
      </c>
      <c r="BQ51">
        <v>295</v>
      </c>
      <c r="BR51">
        <v>7103.05</v>
      </c>
      <c r="BS51">
        <v>684.62</v>
      </c>
      <c r="BT51">
        <v>-1.56</v>
      </c>
      <c r="BU51">
        <v>300.00000000000011</v>
      </c>
      <c r="BV51">
        <v>38.299999999999997</v>
      </c>
      <c r="BW51">
        <v>758.99965641775361</v>
      </c>
      <c r="BX51">
        <v>1.19764095895181</v>
      </c>
      <c r="BY51">
        <v>-52.834023175680542</v>
      </c>
      <c r="BZ51">
        <v>0.71317165802940685</v>
      </c>
      <c r="CA51">
        <v>0.99492414986992228</v>
      </c>
      <c r="CB51">
        <v>-7.0022400444938911E-3</v>
      </c>
      <c r="CC51">
        <v>289.99999999999989</v>
      </c>
      <c r="CD51">
        <v>693.36</v>
      </c>
      <c r="CE51">
        <v>885</v>
      </c>
      <c r="CF51">
        <v>7096.25</v>
      </c>
      <c r="CG51">
        <v>684.55</v>
      </c>
      <c r="CH51">
        <v>8.81</v>
      </c>
      <c r="CV51">
        <f t="shared" si="88"/>
        <v>1800.16</v>
      </c>
      <c r="CW51">
        <f t="shared" si="89"/>
        <v>1513.3191002171757</v>
      </c>
      <c r="CX51">
        <f t="shared" si="90"/>
        <v>0.84065810828880527</v>
      </c>
      <c r="CY51">
        <f t="shared" si="91"/>
        <v>0.16087014899739419</v>
      </c>
      <c r="CZ51">
        <v>3.93</v>
      </c>
      <c r="DA51">
        <v>0.5</v>
      </c>
      <c r="DB51" t="s">
        <v>418</v>
      </c>
      <c r="DC51">
        <v>2</v>
      </c>
      <c r="DD51">
        <v>1700159497</v>
      </c>
      <c r="DE51">
        <v>455.15</v>
      </c>
      <c r="DF51">
        <v>500.04500000000002</v>
      </c>
      <c r="DG51">
        <v>26.696899999999999</v>
      </c>
      <c r="DH51">
        <v>22.995699999999999</v>
      </c>
      <c r="DI51">
        <v>455.49700000000001</v>
      </c>
      <c r="DJ51">
        <v>26.351099999999999</v>
      </c>
      <c r="DK51">
        <v>500.01499999999999</v>
      </c>
      <c r="DL51">
        <v>99.201400000000007</v>
      </c>
      <c r="DM51">
        <v>0.100247</v>
      </c>
      <c r="DN51">
        <v>29.1357</v>
      </c>
      <c r="DO51">
        <v>29.989699999999999</v>
      </c>
      <c r="DP51">
        <v>999.9</v>
      </c>
      <c r="DQ51">
        <v>0</v>
      </c>
      <c r="DR51">
        <v>0</v>
      </c>
      <c r="DS51">
        <v>9983.75</v>
      </c>
      <c r="DT51">
        <v>0</v>
      </c>
      <c r="DU51">
        <v>257.47800000000001</v>
      </c>
      <c r="DV51">
        <v>-44.895099999999999</v>
      </c>
      <c r="DW51">
        <v>467.63400000000001</v>
      </c>
      <c r="DX51">
        <v>511.81400000000002</v>
      </c>
      <c r="DY51">
        <v>3.7012200000000002</v>
      </c>
      <c r="DZ51">
        <v>500.04500000000002</v>
      </c>
      <c r="EA51">
        <v>22.995699999999999</v>
      </c>
      <c r="EB51">
        <v>2.6483699999999999</v>
      </c>
      <c r="EC51">
        <v>2.2812000000000001</v>
      </c>
      <c r="ED51">
        <v>21.9682</v>
      </c>
      <c r="EE51">
        <v>19.5443</v>
      </c>
      <c r="EF51">
        <v>1800.16</v>
      </c>
      <c r="EG51">
        <v>0.97799999999999998</v>
      </c>
      <c r="EH51">
        <v>2.2000200000000001E-2</v>
      </c>
      <c r="EI51">
        <v>0</v>
      </c>
      <c r="EJ51">
        <v>498.09199999999998</v>
      </c>
      <c r="EK51">
        <v>4.9996700000000001</v>
      </c>
      <c r="EL51">
        <v>10588</v>
      </c>
      <c r="EM51">
        <v>15048.1</v>
      </c>
      <c r="EN51">
        <v>49.75</v>
      </c>
      <c r="EO51">
        <v>50.686999999999998</v>
      </c>
      <c r="EP51">
        <v>50.436999999999998</v>
      </c>
      <c r="EQ51">
        <v>50.375</v>
      </c>
      <c r="ER51">
        <v>51.061999999999998</v>
      </c>
      <c r="ES51">
        <v>1755.67</v>
      </c>
      <c r="ET51">
        <v>39.49</v>
      </c>
      <c r="EU51">
        <v>0</v>
      </c>
      <c r="EV51">
        <v>128</v>
      </c>
      <c r="EW51">
        <v>0</v>
      </c>
      <c r="EX51">
        <v>497.70969230769231</v>
      </c>
      <c r="EY51">
        <v>-0.53668377545666146</v>
      </c>
      <c r="EZ51">
        <v>60.263247663155852</v>
      </c>
      <c r="FA51">
        <v>10601.303846153851</v>
      </c>
      <c r="FB51">
        <v>15</v>
      </c>
      <c r="FC51">
        <v>1700159441.5</v>
      </c>
      <c r="FD51" t="s">
        <v>574</v>
      </c>
      <c r="FE51">
        <v>1700159440</v>
      </c>
      <c r="FF51">
        <v>1700159441.5</v>
      </c>
      <c r="FG51">
        <v>55</v>
      </c>
      <c r="FH51">
        <v>3.9E-2</v>
      </c>
      <c r="FI51">
        <v>5.0000000000000001E-3</v>
      </c>
      <c r="FJ51">
        <v>-0.36299999999999999</v>
      </c>
      <c r="FK51">
        <v>0.314</v>
      </c>
      <c r="FL51">
        <v>500</v>
      </c>
      <c r="FM51">
        <v>23</v>
      </c>
      <c r="FN51">
        <v>7.0000000000000007E-2</v>
      </c>
      <c r="FO51">
        <v>0.03</v>
      </c>
      <c r="FP51">
        <v>54.841669220282178</v>
      </c>
      <c r="FQ51">
        <v>-0.1157614657282396</v>
      </c>
      <c r="FR51">
        <v>2.8905160788774871E-2</v>
      </c>
      <c r="FS51">
        <v>1</v>
      </c>
      <c r="FT51">
        <v>0.30199996561534842</v>
      </c>
      <c r="FU51">
        <v>3.7411531240902803E-2</v>
      </c>
      <c r="FV51">
        <v>3.3101107278582669E-3</v>
      </c>
      <c r="FW51">
        <v>1</v>
      </c>
      <c r="FX51">
        <v>2</v>
      </c>
      <c r="FY51">
        <v>2</v>
      </c>
      <c r="FZ51" t="s">
        <v>420</v>
      </c>
      <c r="GA51">
        <v>3.0123600000000001</v>
      </c>
      <c r="GB51">
        <v>2.77719</v>
      </c>
      <c r="GC51">
        <v>9.7079399999999996E-2</v>
      </c>
      <c r="GD51">
        <v>0.10462100000000001</v>
      </c>
      <c r="GE51">
        <v>0.12268800000000001</v>
      </c>
      <c r="GF51">
        <v>0.111827</v>
      </c>
      <c r="GG51">
        <v>21634.2</v>
      </c>
      <c r="GH51">
        <v>22158.1</v>
      </c>
      <c r="GI51">
        <v>23731.5</v>
      </c>
      <c r="GJ51">
        <v>24409.599999999999</v>
      </c>
      <c r="GK51">
        <v>30796.3</v>
      </c>
      <c r="GL51">
        <v>31090.2</v>
      </c>
      <c r="GM51">
        <v>38868</v>
      </c>
      <c r="GN51">
        <v>38874.699999999997</v>
      </c>
      <c r="GO51">
        <v>2.0325799999999998</v>
      </c>
      <c r="GP51">
        <v>1.77885</v>
      </c>
      <c r="GQ51">
        <v>4.3138900000000001E-2</v>
      </c>
      <c r="GR51">
        <v>0</v>
      </c>
      <c r="GS51">
        <v>29.287199999999999</v>
      </c>
      <c r="GT51">
        <v>999.9</v>
      </c>
      <c r="GU51">
        <v>37.799999999999997</v>
      </c>
      <c r="GV51">
        <v>40.4</v>
      </c>
      <c r="GW51">
        <v>28.86</v>
      </c>
      <c r="GX51">
        <v>61.035299999999999</v>
      </c>
      <c r="GY51">
        <v>31.350200000000001</v>
      </c>
      <c r="GZ51">
        <v>1</v>
      </c>
      <c r="HA51">
        <v>0.67058700000000004</v>
      </c>
      <c r="HB51">
        <v>3.7122099999999998</v>
      </c>
      <c r="HC51">
        <v>20.289000000000001</v>
      </c>
      <c r="HD51">
        <v>5.2416999999999998</v>
      </c>
      <c r="HE51">
        <v>11.9992</v>
      </c>
      <c r="HF51">
        <v>4.9634999999999998</v>
      </c>
      <c r="HG51">
        <v>3.30098</v>
      </c>
      <c r="HH51">
        <v>9999</v>
      </c>
      <c r="HI51">
        <v>9999</v>
      </c>
      <c r="HJ51">
        <v>9999</v>
      </c>
      <c r="HK51">
        <v>999.9</v>
      </c>
      <c r="HL51">
        <v>1.87486</v>
      </c>
      <c r="HM51">
        <v>1.88019</v>
      </c>
      <c r="HN51">
        <v>1.8803300000000001</v>
      </c>
      <c r="HO51">
        <v>1.87897</v>
      </c>
      <c r="HP51">
        <v>1.8813500000000001</v>
      </c>
      <c r="HQ51">
        <v>1.8772800000000001</v>
      </c>
      <c r="HR51">
        <v>1.875</v>
      </c>
      <c r="HS51">
        <v>1.8821699999999999</v>
      </c>
      <c r="HT51">
        <v>5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423</v>
      </c>
      <c r="IB51" t="s">
        <v>423</v>
      </c>
      <c r="IC51" t="s">
        <v>423</v>
      </c>
      <c r="ID51">
        <v>0</v>
      </c>
      <c r="IE51">
        <v>100</v>
      </c>
      <c r="IF51">
        <v>100</v>
      </c>
      <c r="IG51">
        <v>-0.34699999999999998</v>
      </c>
      <c r="IH51">
        <v>0.3458</v>
      </c>
      <c r="II51">
        <v>-0.41603538020176511</v>
      </c>
      <c r="IJ51">
        <v>7.0786345690369205E-4</v>
      </c>
      <c r="IK51">
        <v>-1.387476646623666E-6</v>
      </c>
      <c r="IL51">
        <v>3.6592443641472651E-10</v>
      </c>
      <c r="IM51">
        <v>0.34578396346170409</v>
      </c>
      <c r="IN51">
        <v>0</v>
      </c>
      <c r="IO51">
        <v>0</v>
      </c>
      <c r="IP51">
        <v>0</v>
      </c>
      <c r="IQ51">
        <v>2</v>
      </c>
      <c r="IR51">
        <v>2142</v>
      </c>
      <c r="IS51">
        <v>1</v>
      </c>
      <c r="IT51">
        <v>24</v>
      </c>
      <c r="IU51">
        <v>0.9</v>
      </c>
      <c r="IV51">
        <v>0.9</v>
      </c>
      <c r="IW51">
        <v>1.2231399999999999</v>
      </c>
      <c r="IX51">
        <v>2.6464799999999999</v>
      </c>
      <c r="IY51">
        <v>1.5490699999999999</v>
      </c>
      <c r="IZ51">
        <v>2.3596200000000001</v>
      </c>
      <c r="JA51">
        <v>1.5966800000000001</v>
      </c>
      <c r="JB51">
        <v>2.35229</v>
      </c>
      <c r="JC51">
        <v>42.643900000000002</v>
      </c>
      <c r="JD51">
        <v>24.122499999999999</v>
      </c>
      <c r="JE51">
        <v>18</v>
      </c>
      <c r="JF51">
        <v>541.92899999999997</v>
      </c>
      <c r="JG51">
        <v>443.60700000000003</v>
      </c>
      <c r="JH51">
        <v>25.4054</v>
      </c>
      <c r="JI51">
        <v>35.344900000000003</v>
      </c>
      <c r="JJ51">
        <v>30.001300000000001</v>
      </c>
      <c r="JK51">
        <v>35.305</v>
      </c>
      <c r="JL51">
        <v>35.290799999999997</v>
      </c>
      <c r="JM51">
        <v>24.465199999999999</v>
      </c>
      <c r="JN51">
        <v>21.485900000000001</v>
      </c>
      <c r="JO51">
        <v>19.042999999999999</v>
      </c>
      <c r="JP51">
        <v>25.370799999999999</v>
      </c>
      <c r="JQ51">
        <v>500</v>
      </c>
      <c r="JR51">
        <v>22.9224</v>
      </c>
      <c r="JS51">
        <v>98.433400000000006</v>
      </c>
      <c r="JT51">
        <v>99.298400000000001</v>
      </c>
    </row>
    <row r="52" spans="1:280" x14ac:dyDescent="0.25">
      <c r="A52">
        <v>50</v>
      </c>
      <c r="B52">
        <v>1700159603.5</v>
      </c>
      <c r="C52">
        <v>11747.5</v>
      </c>
      <c r="D52" t="s">
        <v>575</v>
      </c>
      <c r="E52" t="s">
        <v>576</v>
      </c>
      <c r="F52" t="s">
        <v>412</v>
      </c>
      <c r="G52" t="s">
        <v>547</v>
      </c>
      <c r="H52" t="s">
        <v>547</v>
      </c>
      <c r="I52">
        <v>1700159603.5</v>
      </c>
      <c r="J52">
        <f t="shared" si="46"/>
        <v>5.1382192595324583E-3</v>
      </c>
      <c r="K52">
        <f t="shared" si="47"/>
        <v>5.1382192595324581</v>
      </c>
      <c r="L52">
        <f t="shared" si="48"/>
        <v>49.801620872236221</v>
      </c>
      <c r="M52">
        <f t="shared" si="49"/>
        <v>359.36399999999998</v>
      </c>
      <c r="N52">
        <f t="shared" si="50"/>
        <v>95.055231394103018</v>
      </c>
      <c r="O52">
        <f t="shared" si="51"/>
        <v>9.4387595482403821</v>
      </c>
      <c r="P52">
        <f t="shared" si="52"/>
        <v>35.683994836966797</v>
      </c>
      <c r="Q52">
        <f t="shared" si="53"/>
        <v>0.32222737084962544</v>
      </c>
      <c r="R52">
        <f t="shared" si="54"/>
        <v>3.4440767064339259</v>
      </c>
      <c r="S52">
        <f t="shared" si="55"/>
        <v>0.3063667052857863</v>
      </c>
      <c r="T52">
        <f t="shared" si="56"/>
        <v>0.19283913267198588</v>
      </c>
      <c r="U52">
        <f t="shared" si="57"/>
        <v>289.56806741918405</v>
      </c>
      <c r="V52">
        <f t="shared" si="58"/>
        <v>29.455448083497231</v>
      </c>
      <c r="W52">
        <f t="shared" si="59"/>
        <v>30.002300000000002</v>
      </c>
      <c r="X52">
        <f t="shared" si="60"/>
        <v>4.2610126533337676</v>
      </c>
      <c r="Y52">
        <f t="shared" si="61"/>
        <v>65.461990951330378</v>
      </c>
      <c r="Z52">
        <f t="shared" si="62"/>
        <v>2.6536299629987998</v>
      </c>
      <c r="AA52">
        <f t="shared" si="63"/>
        <v>4.0536957774042017</v>
      </c>
      <c r="AB52">
        <f t="shared" si="64"/>
        <v>1.6073826903349677</v>
      </c>
      <c r="AC52">
        <f t="shared" si="65"/>
        <v>-226.59546934538142</v>
      </c>
      <c r="AD52">
        <f t="shared" si="66"/>
        <v>-160.72206607667343</v>
      </c>
      <c r="AE52">
        <f t="shared" si="67"/>
        <v>-10.332138764709214</v>
      </c>
      <c r="AF52">
        <f t="shared" si="68"/>
        <v>-108.08160676758001</v>
      </c>
      <c r="AG52">
        <v>0</v>
      </c>
      <c r="AH52">
        <v>0</v>
      </c>
      <c r="AI52">
        <f t="shared" si="69"/>
        <v>1</v>
      </c>
      <c r="AJ52">
        <f t="shared" si="70"/>
        <v>0</v>
      </c>
      <c r="AK52">
        <f t="shared" si="71"/>
        <v>52132.096179550994</v>
      </c>
      <c r="AL52" t="s">
        <v>415</v>
      </c>
      <c r="AM52">
        <v>10238.9</v>
      </c>
      <c r="AN52">
        <v>302.21199999999999</v>
      </c>
      <c r="AO52">
        <v>4052.3</v>
      </c>
      <c r="AP52">
        <f t="shared" si="72"/>
        <v>0.92542210596451402</v>
      </c>
      <c r="AQ52">
        <v>-0.32343011824092421</v>
      </c>
      <c r="AR52" t="s">
        <v>577</v>
      </c>
      <c r="AS52">
        <v>7101.7</v>
      </c>
      <c r="AT52">
        <v>502.20523076923081</v>
      </c>
      <c r="AU52">
        <v>738.25142312502112</v>
      </c>
      <c r="AV52">
        <f t="shared" si="73"/>
        <v>0.31973686058958861</v>
      </c>
      <c r="AW52">
        <v>0.5</v>
      </c>
      <c r="AX52">
        <f t="shared" si="74"/>
        <v>1513.1931002171939</v>
      </c>
      <c r="AY52">
        <f t="shared" si="75"/>
        <v>49.801620872236221</v>
      </c>
      <c r="AZ52">
        <f t="shared" si="76"/>
        <v>241.91180566463615</v>
      </c>
      <c r="BA52">
        <f t="shared" si="77"/>
        <v>3.3125349952549031E-2</v>
      </c>
      <c r="BB52">
        <f t="shared" si="78"/>
        <v>4.4890513896290223</v>
      </c>
      <c r="BC52">
        <f t="shared" si="79"/>
        <v>226.41266321674939</v>
      </c>
      <c r="BD52" t="s">
        <v>578</v>
      </c>
      <c r="BE52">
        <v>355.62</v>
      </c>
      <c r="BF52">
        <f t="shared" si="80"/>
        <v>355.62</v>
      </c>
      <c r="BG52">
        <f t="shared" si="81"/>
        <v>0.51829418967503083</v>
      </c>
      <c r="BH52">
        <f t="shared" si="82"/>
        <v>0.61690226701183526</v>
      </c>
      <c r="BI52">
        <f t="shared" si="83"/>
        <v>0.89649322550909971</v>
      </c>
      <c r="BJ52">
        <f t="shared" si="84"/>
        <v>0.54134140134414221</v>
      </c>
      <c r="BK52">
        <f t="shared" si="85"/>
        <v>0.8837255490737761</v>
      </c>
      <c r="BL52">
        <f t="shared" si="86"/>
        <v>0.43683890719082896</v>
      </c>
      <c r="BM52">
        <f t="shared" si="87"/>
        <v>0.56316109280917104</v>
      </c>
      <c r="BN52">
        <v>34477</v>
      </c>
      <c r="BO52">
        <v>290.00000000000011</v>
      </c>
      <c r="BP52">
        <v>670.78</v>
      </c>
      <c r="BQ52">
        <v>295</v>
      </c>
      <c r="BR52">
        <v>7101.7</v>
      </c>
      <c r="BS52">
        <v>672.01</v>
      </c>
      <c r="BT52">
        <v>-1.23</v>
      </c>
      <c r="BU52">
        <v>300.00000000000011</v>
      </c>
      <c r="BV52">
        <v>38.299999999999997</v>
      </c>
      <c r="BW52">
        <v>738.25142312502112</v>
      </c>
      <c r="BX52">
        <v>1.0662388829486611</v>
      </c>
      <c r="BY52">
        <v>-47.044908485877102</v>
      </c>
      <c r="BZ52">
        <v>0.63480214182418682</v>
      </c>
      <c r="CA52">
        <v>0.99492774494121616</v>
      </c>
      <c r="CB52">
        <v>-7.0009187986651844E-3</v>
      </c>
      <c r="CC52">
        <v>289.99999999999989</v>
      </c>
      <c r="CD52">
        <v>681.45</v>
      </c>
      <c r="CE52">
        <v>845</v>
      </c>
      <c r="CF52">
        <v>7095.31</v>
      </c>
      <c r="CG52">
        <v>671.95</v>
      </c>
      <c r="CH52">
        <v>9.5</v>
      </c>
      <c r="CV52">
        <f t="shared" si="88"/>
        <v>1800.01</v>
      </c>
      <c r="CW52">
        <f t="shared" si="89"/>
        <v>1513.1931002171939</v>
      </c>
      <c r="CX52">
        <f t="shared" si="90"/>
        <v>0.84065816313086805</v>
      </c>
      <c r="CY52">
        <f t="shared" si="91"/>
        <v>0.16087025484257536</v>
      </c>
      <c r="CZ52">
        <v>3.93</v>
      </c>
      <c r="DA52">
        <v>0.5</v>
      </c>
      <c r="DB52" t="s">
        <v>418</v>
      </c>
      <c r="DC52">
        <v>2</v>
      </c>
      <c r="DD52">
        <v>1700159603.5</v>
      </c>
      <c r="DE52">
        <v>359.36399999999998</v>
      </c>
      <c r="DF52">
        <v>399.95</v>
      </c>
      <c r="DG52">
        <v>26.724</v>
      </c>
      <c r="DH52">
        <v>22.7942</v>
      </c>
      <c r="DI52">
        <v>359.72399999999999</v>
      </c>
      <c r="DJ52">
        <v>26.377199999999998</v>
      </c>
      <c r="DK52">
        <v>500.11599999999999</v>
      </c>
      <c r="DL52">
        <v>99.197999999999993</v>
      </c>
      <c r="DM52">
        <v>9.9633700000000006E-2</v>
      </c>
      <c r="DN52">
        <v>29.136700000000001</v>
      </c>
      <c r="DO52">
        <v>30.002300000000002</v>
      </c>
      <c r="DP52">
        <v>999.9</v>
      </c>
      <c r="DQ52">
        <v>0</v>
      </c>
      <c r="DR52">
        <v>0</v>
      </c>
      <c r="DS52">
        <v>10010</v>
      </c>
      <c r="DT52">
        <v>0</v>
      </c>
      <c r="DU52">
        <v>275.82799999999997</v>
      </c>
      <c r="DV52">
        <v>-40.585900000000002</v>
      </c>
      <c r="DW52">
        <v>369.23099999999999</v>
      </c>
      <c r="DX52">
        <v>409.279</v>
      </c>
      <c r="DY52">
        <v>3.9298299999999999</v>
      </c>
      <c r="DZ52">
        <v>399.95</v>
      </c>
      <c r="EA52">
        <v>22.7942</v>
      </c>
      <c r="EB52">
        <v>2.65097</v>
      </c>
      <c r="EC52">
        <v>2.2611400000000001</v>
      </c>
      <c r="ED52">
        <v>21.984300000000001</v>
      </c>
      <c r="EE52">
        <v>19.402200000000001</v>
      </c>
      <c r="EF52">
        <v>1800.01</v>
      </c>
      <c r="EG52">
        <v>0.97799999999999998</v>
      </c>
      <c r="EH52">
        <v>2.2000200000000001E-2</v>
      </c>
      <c r="EI52">
        <v>0</v>
      </c>
      <c r="EJ52">
        <v>502.13799999999998</v>
      </c>
      <c r="EK52">
        <v>4.9996700000000001</v>
      </c>
      <c r="EL52">
        <v>10543.5</v>
      </c>
      <c r="EM52">
        <v>15046.8</v>
      </c>
      <c r="EN52">
        <v>49.936999999999998</v>
      </c>
      <c r="EO52">
        <v>50.811999999999998</v>
      </c>
      <c r="EP52">
        <v>50.625</v>
      </c>
      <c r="EQ52">
        <v>50.561999999999998</v>
      </c>
      <c r="ER52">
        <v>51.25</v>
      </c>
      <c r="ES52">
        <v>1755.52</v>
      </c>
      <c r="ET52">
        <v>39.49</v>
      </c>
      <c r="EU52">
        <v>0</v>
      </c>
      <c r="EV52">
        <v>234.79999995231631</v>
      </c>
      <c r="EW52">
        <v>0</v>
      </c>
      <c r="EX52">
        <v>502.20523076923081</v>
      </c>
      <c r="EY52">
        <v>-0.29223932216879728</v>
      </c>
      <c r="EZ52">
        <v>249.2991454709958</v>
      </c>
      <c r="FA52">
        <v>10546.707692307689</v>
      </c>
      <c r="FB52">
        <v>15</v>
      </c>
      <c r="FC52">
        <v>1700159565.5</v>
      </c>
      <c r="FD52" t="s">
        <v>579</v>
      </c>
      <c r="FE52">
        <v>1700159560.5</v>
      </c>
      <c r="FF52">
        <v>1700159565.5</v>
      </c>
      <c r="FG52">
        <v>56</v>
      </c>
      <c r="FH52">
        <v>-3.5999999999999997E-2</v>
      </c>
      <c r="FI52">
        <v>1E-3</v>
      </c>
      <c r="FJ52">
        <v>-0.36699999999999999</v>
      </c>
      <c r="FK52">
        <v>0.30099999999999999</v>
      </c>
      <c r="FL52">
        <v>400</v>
      </c>
      <c r="FM52">
        <v>23</v>
      </c>
      <c r="FN52">
        <v>0.04</v>
      </c>
      <c r="FO52">
        <v>0.02</v>
      </c>
      <c r="FP52">
        <v>49.806086418000987</v>
      </c>
      <c r="FQ52">
        <v>0.69977504928933154</v>
      </c>
      <c r="FR52">
        <v>0.11539635488082491</v>
      </c>
      <c r="FS52">
        <v>1</v>
      </c>
      <c r="FT52">
        <v>0.3183126445142499</v>
      </c>
      <c r="FU52">
        <v>1.470254355504853E-2</v>
      </c>
      <c r="FV52">
        <v>2.0162190588902638E-3</v>
      </c>
      <c r="FW52">
        <v>1</v>
      </c>
      <c r="FX52">
        <v>2</v>
      </c>
      <c r="FY52">
        <v>2</v>
      </c>
      <c r="FZ52" t="s">
        <v>420</v>
      </c>
      <c r="GA52">
        <v>3.01268</v>
      </c>
      <c r="GB52">
        <v>2.7768099999999998</v>
      </c>
      <c r="GC52">
        <v>8.0996600000000002E-2</v>
      </c>
      <c r="GD52">
        <v>8.8498400000000005E-2</v>
      </c>
      <c r="GE52">
        <v>0.122752</v>
      </c>
      <c r="GF52">
        <v>0.11112900000000001</v>
      </c>
      <c r="GG52">
        <v>22014.7</v>
      </c>
      <c r="GH52">
        <v>22552.3</v>
      </c>
      <c r="GI52">
        <v>23726.799999999999</v>
      </c>
      <c r="GJ52">
        <v>24404.799999999999</v>
      </c>
      <c r="GK52">
        <v>30788.7</v>
      </c>
      <c r="GL52">
        <v>31109.599999999999</v>
      </c>
      <c r="GM52">
        <v>38860.699999999997</v>
      </c>
      <c r="GN52">
        <v>38868.1</v>
      </c>
      <c r="GO52">
        <v>2.0318800000000001</v>
      </c>
      <c r="GP52">
        <v>1.7768999999999999</v>
      </c>
      <c r="GQ52">
        <v>3.8966500000000001E-2</v>
      </c>
      <c r="GR52">
        <v>0</v>
      </c>
      <c r="GS52">
        <v>29.367899999999999</v>
      </c>
      <c r="GT52">
        <v>999.9</v>
      </c>
      <c r="GU52">
        <v>37.700000000000003</v>
      </c>
      <c r="GV52">
        <v>40.4</v>
      </c>
      <c r="GW52">
        <v>28.786799999999999</v>
      </c>
      <c r="GX52">
        <v>60.965299999999999</v>
      </c>
      <c r="GY52">
        <v>30.945499999999999</v>
      </c>
      <c r="GZ52">
        <v>1</v>
      </c>
      <c r="HA52">
        <v>0.67826200000000003</v>
      </c>
      <c r="HB52">
        <v>3.8345199999999999</v>
      </c>
      <c r="HC52">
        <v>20.284600000000001</v>
      </c>
      <c r="HD52">
        <v>5.2416999999999998</v>
      </c>
      <c r="HE52">
        <v>11.9993</v>
      </c>
      <c r="HF52">
        <v>4.9629500000000002</v>
      </c>
      <c r="HG52">
        <v>3.3000500000000001</v>
      </c>
      <c r="HH52">
        <v>9999</v>
      </c>
      <c r="HI52">
        <v>9999</v>
      </c>
      <c r="HJ52">
        <v>9999</v>
      </c>
      <c r="HK52">
        <v>999.9</v>
      </c>
      <c r="HL52">
        <v>1.8748499999999999</v>
      </c>
      <c r="HM52">
        <v>1.88019</v>
      </c>
      <c r="HN52">
        <v>1.88026</v>
      </c>
      <c r="HO52">
        <v>1.87897</v>
      </c>
      <c r="HP52">
        <v>1.8812899999999999</v>
      </c>
      <c r="HQ52">
        <v>1.87724</v>
      </c>
      <c r="HR52">
        <v>1.875</v>
      </c>
      <c r="HS52">
        <v>1.8821699999999999</v>
      </c>
      <c r="HT52">
        <v>5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423</v>
      </c>
      <c r="IB52" t="s">
        <v>423</v>
      </c>
      <c r="IC52" t="s">
        <v>423</v>
      </c>
      <c r="ID52">
        <v>0</v>
      </c>
      <c r="IE52">
        <v>100</v>
      </c>
      <c r="IF52">
        <v>100</v>
      </c>
      <c r="IG52">
        <v>-0.36</v>
      </c>
      <c r="IH52">
        <v>0.3468</v>
      </c>
      <c r="II52">
        <v>-0.4516004032273559</v>
      </c>
      <c r="IJ52">
        <v>7.0786345690369205E-4</v>
      </c>
      <c r="IK52">
        <v>-1.387476646623666E-6</v>
      </c>
      <c r="IL52">
        <v>3.6592443641472651E-10</v>
      </c>
      <c r="IM52">
        <v>0.34680545636116539</v>
      </c>
      <c r="IN52">
        <v>0</v>
      </c>
      <c r="IO52">
        <v>0</v>
      </c>
      <c r="IP52">
        <v>0</v>
      </c>
      <c r="IQ52">
        <v>2</v>
      </c>
      <c r="IR52">
        <v>2142</v>
      </c>
      <c r="IS52">
        <v>1</v>
      </c>
      <c r="IT52">
        <v>24</v>
      </c>
      <c r="IU52">
        <v>0.7</v>
      </c>
      <c r="IV52">
        <v>0.6</v>
      </c>
      <c r="IW52">
        <v>1.02295</v>
      </c>
      <c r="IX52">
        <v>2.65747</v>
      </c>
      <c r="IY52">
        <v>1.5490699999999999</v>
      </c>
      <c r="IZ52">
        <v>2.3596200000000001</v>
      </c>
      <c r="JA52">
        <v>1.5966800000000001</v>
      </c>
      <c r="JB52">
        <v>2.2607400000000002</v>
      </c>
      <c r="JC52">
        <v>42.697400000000002</v>
      </c>
      <c r="JD52">
        <v>24.113800000000001</v>
      </c>
      <c r="JE52">
        <v>18</v>
      </c>
      <c r="JF52">
        <v>541.93499999999995</v>
      </c>
      <c r="JG52">
        <v>442.73399999999998</v>
      </c>
      <c r="JH52">
        <v>25.2547</v>
      </c>
      <c r="JI52">
        <v>35.425800000000002</v>
      </c>
      <c r="JJ52">
        <v>30.0001</v>
      </c>
      <c r="JK52">
        <v>35.363999999999997</v>
      </c>
      <c r="JL52">
        <v>35.344200000000001</v>
      </c>
      <c r="JM52">
        <v>20.456499999999998</v>
      </c>
      <c r="JN52">
        <v>21.822500000000002</v>
      </c>
      <c r="JO52">
        <v>18.266300000000001</v>
      </c>
      <c r="JP52">
        <v>25.252300000000002</v>
      </c>
      <c r="JQ52">
        <v>400</v>
      </c>
      <c r="JR52">
        <v>22.785499999999999</v>
      </c>
      <c r="JS52">
        <v>98.414599999999993</v>
      </c>
      <c r="JT52">
        <v>99.280500000000004</v>
      </c>
    </row>
    <row r="53" spans="1:280" x14ac:dyDescent="0.25">
      <c r="A53">
        <v>51</v>
      </c>
      <c r="B53">
        <v>1700159834.5999999</v>
      </c>
      <c r="C53">
        <v>11978.599999904631</v>
      </c>
      <c r="D53" t="s">
        <v>580</v>
      </c>
      <c r="E53" t="s">
        <v>581</v>
      </c>
      <c r="F53" t="s">
        <v>412</v>
      </c>
      <c r="G53" t="s">
        <v>547</v>
      </c>
      <c r="H53" t="s">
        <v>547</v>
      </c>
      <c r="I53">
        <v>1700159834.5999999</v>
      </c>
      <c r="J53">
        <f t="shared" si="46"/>
        <v>6.4753381647039195E-3</v>
      </c>
      <c r="K53">
        <f t="shared" si="47"/>
        <v>6.4753381647039197</v>
      </c>
      <c r="L53">
        <f t="shared" si="48"/>
        <v>44.9076747603415</v>
      </c>
      <c r="M53">
        <f t="shared" si="49"/>
        <v>263.43299999999999</v>
      </c>
      <c r="N53">
        <f t="shared" si="50"/>
        <v>75.550262583969186</v>
      </c>
      <c r="O53">
        <f t="shared" si="51"/>
        <v>7.5014673928966786</v>
      </c>
      <c r="P53">
        <f t="shared" si="52"/>
        <v>26.156547867939</v>
      </c>
      <c r="Q53">
        <f t="shared" si="53"/>
        <v>0.41410754113895087</v>
      </c>
      <c r="R53">
        <f t="shared" si="54"/>
        <v>3.4410693379533703</v>
      </c>
      <c r="S53">
        <f t="shared" si="55"/>
        <v>0.38828007622967842</v>
      </c>
      <c r="T53">
        <f t="shared" si="56"/>
        <v>0.24486118853577599</v>
      </c>
      <c r="U53">
        <f t="shared" si="57"/>
        <v>289.57923941916778</v>
      </c>
      <c r="V53">
        <f t="shared" si="58"/>
        <v>29.350046300225291</v>
      </c>
      <c r="W53">
        <f t="shared" si="59"/>
        <v>30.003</v>
      </c>
      <c r="X53">
        <f t="shared" si="60"/>
        <v>4.2611839777791918</v>
      </c>
      <c r="Y53">
        <f t="shared" si="61"/>
        <v>64.965941098365292</v>
      </c>
      <c r="Z53">
        <f t="shared" si="62"/>
        <v>2.6630464207097999</v>
      </c>
      <c r="AA53">
        <f t="shared" si="63"/>
        <v>4.0991423747370428</v>
      </c>
      <c r="AB53">
        <f t="shared" si="64"/>
        <v>1.5981375570693919</v>
      </c>
      <c r="AC53">
        <f t="shared" si="65"/>
        <v>-285.56241306344288</v>
      </c>
      <c r="AD53">
        <f t="shared" si="66"/>
        <v>-124.90720246847496</v>
      </c>
      <c r="AE53">
        <f t="shared" si="67"/>
        <v>-8.0444845363873743</v>
      </c>
      <c r="AF53">
        <f t="shared" si="68"/>
        <v>-128.93486064913742</v>
      </c>
      <c r="AG53">
        <v>0</v>
      </c>
      <c r="AH53">
        <v>0</v>
      </c>
      <c r="AI53">
        <f t="shared" si="69"/>
        <v>1</v>
      </c>
      <c r="AJ53">
        <f t="shared" si="70"/>
        <v>0</v>
      </c>
      <c r="AK53">
        <f t="shared" si="71"/>
        <v>52032.696776158547</v>
      </c>
      <c r="AL53" t="s">
        <v>415</v>
      </c>
      <c r="AM53">
        <v>10238.9</v>
      </c>
      <c r="AN53">
        <v>302.21199999999999</v>
      </c>
      <c r="AO53">
        <v>4052.3</v>
      </c>
      <c r="AP53">
        <f t="shared" si="72"/>
        <v>0.92542210596451402</v>
      </c>
      <c r="AQ53">
        <v>-0.32343011824092421</v>
      </c>
      <c r="AR53" t="s">
        <v>582</v>
      </c>
      <c r="AS53">
        <v>7100.95</v>
      </c>
      <c r="AT53">
        <v>509.09447999999998</v>
      </c>
      <c r="AU53">
        <v>717.4541464753479</v>
      </c>
      <c r="AV53">
        <f t="shared" si="73"/>
        <v>0.29041530737394272</v>
      </c>
      <c r="AW53">
        <v>0.5</v>
      </c>
      <c r="AX53">
        <f t="shared" si="74"/>
        <v>1513.2519002171853</v>
      </c>
      <c r="AY53">
        <f t="shared" si="75"/>
        <v>44.9076747603415</v>
      </c>
      <c r="AZ53">
        <f t="shared" si="76"/>
        <v>219.73575786788837</v>
      </c>
      <c r="BA53">
        <f t="shared" si="77"/>
        <v>2.9890003688143891E-2</v>
      </c>
      <c r="BB53">
        <f t="shared" si="78"/>
        <v>4.6481658373678929</v>
      </c>
      <c r="BC53">
        <f t="shared" si="79"/>
        <v>224.41755905879219</v>
      </c>
      <c r="BD53" t="s">
        <v>583</v>
      </c>
      <c r="BE53">
        <v>357.89</v>
      </c>
      <c r="BF53">
        <f t="shared" si="80"/>
        <v>357.89</v>
      </c>
      <c r="BG53">
        <f t="shared" si="81"/>
        <v>0.50116672715850386</v>
      </c>
      <c r="BH53">
        <f t="shared" si="82"/>
        <v>0.5794784283077381</v>
      </c>
      <c r="BI53">
        <f t="shared" si="83"/>
        <v>0.90267345896222995</v>
      </c>
      <c r="BJ53">
        <f t="shared" si="84"/>
        <v>0.50177870489289988</v>
      </c>
      <c r="BK53">
        <f t="shared" si="85"/>
        <v>0.8892713593720073</v>
      </c>
      <c r="BL53">
        <f t="shared" si="86"/>
        <v>0.40736944291176835</v>
      </c>
      <c r="BM53">
        <f t="shared" si="87"/>
        <v>0.59263055708823165</v>
      </c>
      <c r="BN53">
        <v>34479</v>
      </c>
      <c r="BO53">
        <v>290.00000000000011</v>
      </c>
      <c r="BP53">
        <v>657.76</v>
      </c>
      <c r="BQ53">
        <v>295</v>
      </c>
      <c r="BR53">
        <v>7100.95</v>
      </c>
      <c r="BS53">
        <v>658.66</v>
      </c>
      <c r="BT53">
        <v>-0.9</v>
      </c>
      <c r="BU53">
        <v>300.00000000000011</v>
      </c>
      <c r="BV53">
        <v>38.299999999999997</v>
      </c>
      <c r="BW53">
        <v>717.4541464753479</v>
      </c>
      <c r="BX53">
        <v>1.2678006526602641</v>
      </c>
      <c r="BY53">
        <v>-41.751132030421722</v>
      </c>
      <c r="BZ53">
        <v>0.7547233093240816</v>
      </c>
      <c r="CA53">
        <v>0.99093346086336742</v>
      </c>
      <c r="CB53">
        <v>-7.0002843159065638E-3</v>
      </c>
      <c r="CC53">
        <v>289.99999999999989</v>
      </c>
      <c r="CD53">
        <v>666.16</v>
      </c>
      <c r="CE53">
        <v>855</v>
      </c>
      <c r="CF53">
        <v>7094.37</v>
      </c>
      <c r="CG53">
        <v>658.6</v>
      </c>
      <c r="CH53">
        <v>7.56</v>
      </c>
      <c r="CV53">
        <f t="shared" si="88"/>
        <v>1800.08</v>
      </c>
      <c r="CW53">
        <f t="shared" si="89"/>
        <v>1513.2519002171853</v>
      </c>
      <c r="CX53">
        <f t="shared" si="90"/>
        <v>0.84065813753676799</v>
      </c>
      <c r="CY53">
        <f t="shared" si="91"/>
        <v>0.16087020544596228</v>
      </c>
      <c r="CZ53">
        <v>3.93</v>
      </c>
      <c r="DA53">
        <v>0.5</v>
      </c>
      <c r="DB53" t="s">
        <v>418</v>
      </c>
      <c r="DC53">
        <v>2</v>
      </c>
      <c r="DD53">
        <v>1700159834.5999999</v>
      </c>
      <c r="DE53">
        <v>263.43299999999999</v>
      </c>
      <c r="DF53">
        <v>300.06299999999999</v>
      </c>
      <c r="DG53">
        <v>26.820599999999999</v>
      </c>
      <c r="DH53">
        <v>21.868600000000001</v>
      </c>
      <c r="DI53">
        <v>263.67399999999998</v>
      </c>
      <c r="DJ53">
        <v>26.471800000000002</v>
      </c>
      <c r="DK53">
        <v>500.11200000000002</v>
      </c>
      <c r="DL53">
        <v>99.190899999999999</v>
      </c>
      <c r="DM53">
        <v>0.10018299999999999</v>
      </c>
      <c r="DN53">
        <v>29.329699999999999</v>
      </c>
      <c r="DO53">
        <v>30.003</v>
      </c>
      <c r="DP53">
        <v>999.9</v>
      </c>
      <c r="DQ53">
        <v>0</v>
      </c>
      <c r="DR53">
        <v>0</v>
      </c>
      <c r="DS53">
        <v>9997.5</v>
      </c>
      <c r="DT53">
        <v>0</v>
      </c>
      <c r="DU53">
        <v>197.89</v>
      </c>
      <c r="DV53">
        <v>-36.630299999999998</v>
      </c>
      <c r="DW53">
        <v>270.69299999999998</v>
      </c>
      <c r="DX53">
        <v>306.77199999999999</v>
      </c>
      <c r="DY53">
        <v>4.9520299999999997</v>
      </c>
      <c r="DZ53">
        <v>300.06299999999999</v>
      </c>
      <c r="EA53">
        <v>21.868600000000001</v>
      </c>
      <c r="EB53">
        <v>2.6603599999999998</v>
      </c>
      <c r="EC53">
        <v>2.1691600000000002</v>
      </c>
      <c r="ED53">
        <v>22.042300000000001</v>
      </c>
      <c r="EE53">
        <v>18.7364</v>
      </c>
      <c r="EF53">
        <v>1800.08</v>
      </c>
      <c r="EG53">
        <v>0.97800299999999996</v>
      </c>
      <c r="EH53">
        <v>2.1996600000000002E-2</v>
      </c>
      <c r="EI53">
        <v>0</v>
      </c>
      <c r="EJ53">
        <v>508.88900000000001</v>
      </c>
      <c r="EK53">
        <v>4.9996700000000001</v>
      </c>
      <c r="EL53">
        <v>10010.299999999999</v>
      </c>
      <c r="EM53">
        <v>15047.5</v>
      </c>
      <c r="EN53">
        <v>50.061999999999998</v>
      </c>
      <c r="EO53">
        <v>51</v>
      </c>
      <c r="EP53">
        <v>50.75</v>
      </c>
      <c r="EQ53">
        <v>50.686999999999998</v>
      </c>
      <c r="ER53">
        <v>51.375</v>
      </c>
      <c r="ES53">
        <v>1755.59</v>
      </c>
      <c r="ET53">
        <v>39.49</v>
      </c>
      <c r="EU53">
        <v>0</v>
      </c>
      <c r="EV53">
        <v>229.20000004768369</v>
      </c>
      <c r="EW53">
        <v>0</v>
      </c>
      <c r="EX53">
        <v>509.09447999999998</v>
      </c>
      <c r="EY53">
        <v>-2.1943076893295079</v>
      </c>
      <c r="EZ53">
        <v>-4093.061538328885</v>
      </c>
      <c r="FA53">
        <v>10225.191199999999</v>
      </c>
      <c r="FB53">
        <v>15</v>
      </c>
      <c r="FC53">
        <v>1700159680.5999999</v>
      </c>
      <c r="FD53" t="s">
        <v>584</v>
      </c>
      <c r="FE53">
        <v>1700159674.0999999</v>
      </c>
      <c r="FF53">
        <v>1700159680.5999999</v>
      </c>
      <c r="FG53">
        <v>57</v>
      </c>
      <c r="FH53">
        <v>0.114</v>
      </c>
      <c r="FI53">
        <v>2E-3</v>
      </c>
      <c r="FJ53">
        <v>-0.24</v>
      </c>
      <c r="FK53">
        <v>0.29699999999999999</v>
      </c>
      <c r="FL53">
        <v>300</v>
      </c>
      <c r="FM53">
        <v>23</v>
      </c>
      <c r="FN53">
        <v>0.05</v>
      </c>
      <c r="FO53">
        <v>0.03</v>
      </c>
      <c r="FP53">
        <v>44.747489152889493</v>
      </c>
      <c r="FQ53">
        <v>0.47516629552723272</v>
      </c>
      <c r="FR53">
        <v>8.9807938934747825E-2</v>
      </c>
      <c r="FS53">
        <v>1</v>
      </c>
      <c r="FT53">
        <v>0.4122914387321221</v>
      </c>
      <c r="FU53">
        <v>1.6715059231652729E-2</v>
      </c>
      <c r="FV53">
        <v>1.2387158007330079E-3</v>
      </c>
      <c r="FW53">
        <v>1</v>
      </c>
      <c r="FX53">
        <v>2</v>
      </c>
      <c r="FY53">
        <v>2</v>
      </c>
      <c r="FZ53" t="s">
        <v>420</v>
      </c>
      <c r="GA53">
        <v>3.0127299999999999</v>
      </c>
      <c r="GB53">
        <v>2.77725</v>
      </c>
      <c r="GC53">
        <v>6.2927300000000005E-2</v>
      </c>
      <c r="GD53">
        <v>7.0493700000000006E-2</v>
      </c>
      <c r="GE53">
        <v>0.12302200000000001</v>
      </c>
      <c r="GF53">
        <v>0.10793700000000001</v>
      </c>
      <c r="GG53">
        <v>22442.7</v>
      </c>
      <c r="GH53">
        <v>22993.7</v>
      </c>
      <c r="GI53">
        <v>23722.5</v>
      </c>
      <c r="GJ53">
        <v>24401.1</v>
      </c>
      <c r="GK53">
        <v>30774.7</v>
      </c>
      <c r="GL53">
        <v>31217.1</v>
      </c>
      <c r="GM53">
        <v>38854.5</v>
      </c>
      <c r="GN53">
        <v>38862.5</v>
      </c>
      <c r="GO53">
        <v>2.0320499999999999</v>
      </c>
      <c r="GP53">
        <v>1.7726999999999999</v>
      </c>
      <c r="GQ53">
        <v>3.8437499999999999E-2</v>
      </c>
      <c r="GR53">
        <v>0</v>
      </c>
      <c r="GS53">
        <v>29.377199999999998</v>
      </c>
      <c r="GT53">
        <v>999.9</v>
      </c>
      <c r="GU53">
        <v>37.4</v>
      </c>
      <c r="GV53">
        <v>40.4</v>
      </c>
      <c r="GW53">
        <v>28.555499999999999</v>
      </c>
      <c r="GX53">
        <v>61.161700000000003</v>
      </c>
      <c r="GY53">
        <v>31.073699999999999</v>
      </c>
      <c r="GZ53">
        <v>1</v>
      </c>
      <c r="HA53">
        <v>0.68471000000000004</v>
      </c>
      <c r="HB53">
        <v>3.62507</v>
      </c>
      <c r="HC53">
        <v>20.2897</v>
      </c>
      <c r="HD53">
        <v>5.2439499999999999</v>
      </c>
      <c r="HE53">
        <v>11.998699999999999</v>
      </c>
      <c r="HF53">
        <v>4.9635999999999996</v>
      </c>
      <c r="HG53">
        <v>3.3008500000000001</v>
      </c>
      <c r="HH53">
        <v>9999</v>
      </c>
      <c r="HI53">
        <v>9999</v>
      </c>
      <c r="HJ53">
        <v>9999</v>
      </c>
      <c r="HK53">
        <v>999.9</v>
      </c>
      <c r="HL53">
        <v>1.87486</v>
      </c>
      <c r="HM53">
        <v>1.88019</v>
      </c>
      <c r="HN53">
        <v>1.8803300000000001</v>
      </c>
      <c r="HO53">
        <v>1.8789800000000001</v>
      </c>
      <c r="HP53">
        <v>1.8813</v>
      </c>
      <c r="HQ53">
        <v>1.8772800000000001</v>
      </c>
      <c r="HR53">
        <v>1.875</v>
      </c>
      <c r="HS53">
        <v>1.88218</v>
      </c>
      <c r="HT53">
        <v>5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423</v>
      </c>
      <c r="IB53" t="s">
        <v>423</v>
      </c>
      <c r="IC53" t="s">
        <v>423</v>
      </c>
      <c r="ID53">
        <v>0</v>
      </c>
      <c r="IE53">
        <v>100</v>
      </c>
      <c r="IF53">
        <v>100</v>
      </c>
      <c r="IG53">
        <v>-0.24099999999999999</v>
      </c>
      <c r="IH53">
        <v>0.3488</v>
      </c>
      <c r="II53">
        <v>-0.33760041114855671</v>
      </c>
      <c r="IJ53">
        <v>7.0786345690369205E-4</v>
      </c>
      <c r="IK53">
        <v>-1.387476646623666E-6</v>
      </c>
      <c r="IL53">
        <v>3.6592443641472651E-10</v>
      </c>
      <c r="IM53">
        <v>0.34879441448227622</v>
      </c>
      <c r="IN53">
        <v>0</v>
      </c>
      <c r="IO53">
        <v>0</v>
      </c>
      <c r="IP53">
        <v>0</v>
      </c>
      <c r="IQ53">
        <v>2</v>
      </c>
      <c r="IR53">
        <v>2142</v>
      </c>
      <c r="IS53">
        <v>1</v>
      </c>
      <c r="IT53">
        <v>24</v>
      </c>
      <c r="IU53">
        <v>2.7</v>
      </c>
      <c r="IV53">
        <v>2.6</v>
      </c>
      <c r="IW53">
        <v>0.81298800000000004</v>
      </c>
      <c r="IX53">
        <v>2.65747</v>
      </c>
      <c r="IY53">
        <v>1.5490699999999999</v>
      </c>
      <c r="IZ53">
        <v>2.3596200000000001</v>
      </c>
      <c r="JA53">
        <v>1.5966800000000001</v>
      </c>
      <c r="JB53">
        <v>2.3559600000000001</v>
      </c>
      <c r="JC53">
        <v>42.777799999999999</v>
      </c>
      <c r="JD53">
        <v>24.122499999999999</v>
      </c>
      <c r="JE53">
        <v>18</v>
      </c>
      <c r="JF53">
        <v>542.79899999999998</v>
      </c>
      <c r="JG53">
        <v>440.70100000000002</v>
      </c>
      <c r="JH53">
        <v>25.6493</v>
      </c>
      <c r="JI53">
        <v>35.517099999999999</v>
      </c>
      <c r="JJ53">
        <v>30.0001</v>
      </c>
      <c r="JK53">
        <v>35.456099999999999</v>
      </c>
      <c r="JL53">
        <v>35.436900000000001</v>
      </c>
      <c r="JM53">
        <v>16.265699999999999</v>
      </c>
      <c r="JN53">
        <v>24.319600000000001</v>
      </c>
      <c r="JO53">
        <v>15.6348</v>
      </c>
      <c r="JP53">
        <v>25.649000000000001</v>
      </c>
      <c r="JQ53">
        <v>300</v>
      </c>
      <c r="JR53">
        <v>21.8855</v>
      </c>
      <c r="JS53">
        <v>98.397900000000007</v>
      </c>
      <c r="JT53">
        <v>99.266099999999994</v>
      </c>
    </row>
    <row r="54" spans="1:280" x14ac:dyDescent="0.25">
      <c r="A54">
        <v>52</v>
      </c>
      <c r="B54">
        <v>1700159976.5999999</v>
      </c>
      <c r="C54">
        <v>12120.599999904631</v>
      </c>
      <c r="D54" t="s">
        <v>585</v>
      </c>
      <c r="E54" t="s">
        <v>586</v>
      </c>
      <c r="F54" t="s">
        <v>412</v>
      </c>
      <c r="G54" t="s">
        <v>547</v>
      </c>
      <c r="H54" t="s">
        <v>547</v>
      </c>
      <c r="I54">
        <v>1700159976.5999999</v>
      </c>
      <c r="J54">
        <f t="shared" si="46"/>
        <v>7.2340914149038741E-3</v>
      </c>
      <c r="K54">
        <f t="shared" si="47"/>
        <v>7.2340914149038742</v>
      </c>
      <c r="L54">
        <f t="shared" si="48"/>
        <v>33.61161748108978</v>
      </c>
      <c r="M54">
        <f t="shared" si="49"/>
        <v>172.65100000000001</v>
      </c>
      <c r="N54">
        <f t="shared" si="50"/>
        <v>49.430961793140355</v>
      </c>
      <c r="O54">
        <f t="shared" si="51"/>
        <v>4.9079868995121831</v>
      </c>
      <c r="P54">
        <f t="shared" si="52"/>
        <v>17.142471346880999</v>
      </c>
      <c r="Q54">
        <f t="shared" si="53"/>
        <v>0.47618238621833214</v>
      </c>
      <c r="R54">
        <f t="shared" si="54"/>
        <v>3.4364847097738718</v>
      </c>
      <c r="S54">
        <f t="shared" si="55"/>
        <v>0.44232878880977305</v>
      </c>
      <c r="T54">
        <f t="shared" si="56"/>
        <v>0.27929627833681586</v>
      </c>
      <c r="U54">
        <f t="shared" si="57"/>
        <v>289.58083541916545</v>
      </c>
      <c r="V54">
        <f t="shared" si="58"/>
        <v>29.133874267979891</v>
      </c>
      <c r="W54">
        <f t="shared" si="59"/>
        <v>29.9194</v>
      </c>
      <c r="X54">
        <f t="shared" si="60"/>
        <v>4.2407653484465921</v>
      </c>
      <c r="Y54">
        <f t="shared" si="61"/>
        <v>65.39544316236821</v>
      </c>
      <c r="Z54">
        <f t="shared" si="62"/>
        <v>2.6734653679328999</v>
      </c>
      <c r="AA54">
        <f t="shared" si="63"/>
        <v>4.0881523828732833</v>
      </c>
      <c r="AB54">
        <f t="shared" si="64"/>
        <v>1.5672999805136922</v>
      </c>
      <c r="AC54">
        <f t="shared" si="65"/>
        <v>-319.02343139726082</v>
      </c>
      <c r="AD54">
        <f t="shared" si="66"/>
        <v>-117.86735124897166</v>
      </c>
      <c r="AE54">
        <f t="shared" si="67"/>
        <v>-7.5963184754936952</v>
      </c>
      <c r="AF54">
        <f t="shared" si="68"/>
        <v>-154.90626570256075</v>
      </c>
      <c r="AG54">
        <v>0</v>
      </c>
      <c r="AH54">
        <v>0</v>
      </c>
      <c r="AI54">
        <f t="shared" si="69"/>
        <v>1</v>
      </c>
      <c r="AJ54">
        <f t="shared" si="70"/>
        <v>0</v>
      </c>
      <c r="AK54">
        <f t="shared" si="71"/>
        <v>51940.132486557719</v>
      </c>
      <c r="AL54" t="s">
        <v>426</v>
      </c>
      <c r="AM54" t="s">
        <v>426</v>
      </c>
      <c r="AN54">
        <v>0</v>
      </c>
      <c r="AO54">
        <v>0</v>
      </c>
      <c r="AP54" t="e">
        <f t="shared" si="72"/>
        <v>#DIV/0!</v>
      </c>
      <c r="AQ54">
        <v>0</v>
      </c>
      <c r="AR54" t="s">
        <v>426</v>
      </c>
      <c r="AS54" t="s">
        <v>426</v>
      </c>
      <c r="AT54">
        <v>0</v>
      </c>
      <c r="AU54">
        <v>0</v>
      </c>
      <c r="AV54" t="e">
        <f t="shared" si="73"/>
        <v>#DIV/0!</v>
      </c>
      <c r="AW54">
        <v>0.5</v>
      </c>
      <c r="AX54">
        <f t="shared" si="74"/>
        <v>1513.2603002171841</v>
      </c>
      <c r="AY54">
        <f t="shared" si="75"/>
        <v>33.61161748108978</v>
      </c>
      <c r="AZ54" t="e">
        <f t="shared" si="76"/>
        <v>#DIV/0!</v>
      </c>
      <c r="BA54">
        <f t="shared" si="77"/>
        <v>2.221139183805048E-2</v>
      </c>
      <c r="BB54" t="e">
        <f t="shared" si="78"/>
        <v>#DIV/0!</v>
      </c>
      <c r="BC54" t="e">
        <f t="shared" si="79"/>
        <v>#DIV/0!</v>
      </c>
      <c r="BD54" t="s">
        <v>426</v>
      </c>
      <c r="BE54">
        <v>0</v>
      </c>
      <c r="BF54" t="e">
        <f t="shared" si="80"/>
        <v>#DIV/0!</v>
      </c>
      <c r="BG54" t="e">
        <f t="shared" si="81"/>
        <v>#DIV/0!</v>
      </c>
      <c r="BH54" t="e">
        <f t="shared" si="82"/>
        <v>#DIV/0!</v>
      </c>
      <c r="BI54" t="e">
        <f t="shared" si="83"/>
        <v>#DIV/0!</v>
      </c>
      <c r="BJ54" t="e">
        <f t="shared" si="84"/>
        <v>#DIV/0!</v>
      </c>
      <c r="BK54" t="e">
        <f t="shared" si="85"/>
        <v>#DIV/0!</v>
      </c>
      <c r="BL54" t="e">
        <f t="shared" si="86"/>
        <v>#DIV/0!</v>
      </c>
      <c r="BM54" t="e">
        <f t="shared" si="87"/>
        <v>#DIV/0!</v>
      </c>
      <c r="BN54">
        <v>34479</v>
      </c>
      <c r="BO54">
        <v>290.00000000000011</v>
      </c>
      <c r="BP54">
        <v>657.76</v>
      </c>
      <c r="BQ54">
        <v>295</v>
      </c>
      <c r="BR54">
        <v>7100.95</v>
      </c>
      <c r="BS54">
        <v>658.66</v>
      </c>
      <c r="BT54">
        <v>-0.9</v>
      </c>
      <c r="BU54">
        <v>300.00000000000011</v>
      </c>
      <c r="BV54">
        <v>38.299999999999997</v>
      </c>
      <c r="BW54">
        <v>717.4541464753479</v>
      </c>
      <c r="BX54">
        <v>1.2678006526602641</v>
      </c>
      <c r="BY54">
        <v>-41.751132030421722</v>
      </c>
      <c r="BZ54">
        <v>0.7547233093240816</v>
      </c>
      <c r="CA54">
        <v>0.99093346086336742</v>
      </c>
      <c r="CB54">
        <v>-7.0002843159065638E-3</v>
      </c>
      <c r="CC54">
        <v>289.99999999999989</v>
      </c>
      <c r="CD54">
        <v>666.16</v>
      </c>
      <c r="CE54">
        <v>855</v>
      </c>
      <c r="CF54">
        <v>7094.37</v>
      </c>
      <c r="CG54">
        <v>658.6</v>
      </c>
      <c r="CH54">
        <v>7.56</v>
      </c>
      <c r="CV54">
        <f t="shared" si="88"/>
        <v>1800.09</v>
      </c>
      <c r="CW54">
        <f t="shared" si="89"/>
        <v>1513.2603002171841</v>
      </c>
      <c r="CX54">
        <f t="shared" si="90"/>
        <v>0.84065813388063049</v>
      </c>
      <c r="CY54">
        <f t="shared" si="91"/>
        <v>0.16087019838961689</v>
      </c>
      <c r="CZ54">
        <v>3.93</v>
      </c>
      <c r="DA54">
        <v>0.5</v>
      </c>
      <c r="DB54" t="s">
        <v>418</v>
      </c>
      <c r="DC54">
        <v>2</v>
      </c>
      <c r="DD54">
        <v>1700159976.5999999</v>
      </c>
      <c r="DE54">
        <v>172.65100000000001</v>
      </c>
      <c r="DF54">
        <v>200.04599999999999</v>
      </c>
      <c r="DG54">
        <v>26.925899999999999</v>
      </c>
      <c r="DH54">
        <v>21.394100000000002</v>
      </c>
      <c r="DI54">
        <v>172.85300000000001</v>
      </c>
      <c r="DJ54">
        <v>26.573</v>
      </c>
      <c r="DK54">
        <v>500.09899999999999</v>
      </c>
      <c r="DL54">
        <v>99.189599999999999</v>
      </c>
      <c r="DM54">
        <v>0.100131</v>
      </c>
      <c r="DN54">
        <v>29.283200000000001</v>
      </c>
      <c r="DO54">
        <v>29.9194</v>
      </c>
      <c r="DP54">
        <v>999.9</v>
      </c>
      <c r="DQ54">
        <v>0</v>
      </c>
      <c r="DR54">
        <v>0</v>
      </c>
      <c r="DS54">
        <v>9977.5</v>
      </c>
      <c r="DT54">
        <v>0</v>
      </c>
      <c r="DU54">
        <v>294.315</v>
      </c>
      <c r="DV54">
        <v>-27.394600000000001</v>
      </c>
      <c r="DW54">
        <v>177.429</v>
      </c>
      <c r="DX54">
        <v>204.41900000000001</v>
      </c>
      <c r="DY54">
        <v>5.5317800000000004</v>
      </c>
      <c r="DZ54">
        <v>200.04599999999999</v>
      </c>
      <c r="EA54">
        <v>21.394100000000002</v>
      </c>
      <c r="EB54">
        <v>2.6707700000000001</v>
      </c>
      <c r="EC54">
        <v>2.1220699999999999</v>
      </c>
      <c r="ED54">
        <v>22.106400000000001</v>
      </c>
      <c r="EE54">
        <v>18.3858</v>
      </c>
      <c r="EF54">
        <v>1800.09</v>
      </c>
      <c r="EG54">
        <v>0.97800299999999996</v>
      </c>
      <c r="EH54">
        <v>2.1996600000000002E-2</v>
      </c>
      <c r="EI54">
        <v>0</v>
      </c>
      <c r="EJ54">
        <v>526.24699999999996</v>
      </c>
      <c r="EK54">
        <v>4.9996700000000001</v>
      </c>
      <c r="EL54">
        <v>11078.2</v>
      </c>
      <c r="EM54">
        <v>15047.6</v>
      </c>
      <c r="EN54">
        <v>50.25</v>
      </c>
      <c r="EO54">
        <v>51.186999999999998</v>
      </c>
      <c r="EP54">
        <v>50.936999999999998</v>
      </c>
      <c r="EQ54">
        <v>50.875</v>
      </c>
      <c r="ER54">
        <v>51.561999999999998</v>
      </c>
      <c r="ES54">
        <v>1755.6</v>
      </c>
      <c r="ET54">
        <v>39.49</v>
      </c>
      <c r="EU54">
        <v>0</v>
      </c>
      <c r="EV54">
        <v>140</v>
      </c>
      <c r="EW54">
        <v>0</v>
      </c>
      <c r="EX54">
        <v>526.03253846153848</v>
      </c>
      <c r="EY54">
        <v>-0.35391454502167069</v>
      </c>
      <c r="EZ54">
        <v>29.91794861625004</v>
      </c>
      <c r="FA54">
        <v>11061.34230769231</v>
      </c>
      <c r="FB54">
        <v>15</v>
      </c>
      <c r="FC54">
        <v>1700159915.5999999</v>
      </c>
      <c r="FD54" t="s">
        <v>587</v>
      </c>
      <c r="FE54">
        <v>1700159907.5999999</v>
      </c>
      <c r="FF54">
        <v>1700159915.5999999</v>
      </c>
      <c r="FG54">
        <v>58</v>
      </c>
      <c r="FH54">
        <v>5.2999999999999999E-2</v>
      </c>
      <c r="FI54">
        <v>4.0000000000000001E-3</v>
      </c>
      <c r="FJ54">
        <v>-0.19600000000000001</v>
      </c>
      <c r="FK54">
        <v>0.28299999999999997</v>
      </c>
      <c r="FL54">
        <v>200</v>
      </c>
      <c r="FM54">
        <v>22</v>
      </c>
      <c r="FN54">
        <v>0.03</v>
      </c>
      <c r="FO54">
        <v>0.02</v>
      </c>
      <c r="FP54">
        <v>33.444626959806627</v>
      </c>
      <c r="FQ54">
        <v>0.67766422446520957</v>
      </c>
      <c r="FR54">
        <v>6.2865293940631617E-2</v>
      </c>
      <c r="FS54">
        <v>1</v>
      </c>
      <c r="FT54">
        <v>0.47458406369993539</v>
      </c>
      <c r="FU54">
        <v>8.943346600663515E-3</v>
      </c>
      <c r="FV54">
        <v>8.9149556229048811E-4</v>
      </c>
      <c r="FW54">
        <v>1</v>
      </c>
      <c r="FX54">
        <v>2</v>
      </c>
      <c r="FY54">
        <v>2</v>
      </c>
      <c r="FZ54" t="s">
        <v>420</v>
      </c>
      <c r="GA54">
        <v>3.01274</v>
      </c>
      <c r="GB54">
        <v>2.7770199999999998</v>
      </c>
      <c r="GC54">
        <v>4.3598699999999997E-2</v>
      </c>
      <c r="GD54">
        <v>5.0013000000000002E-2</v>
      </c>
      <c r="GE54">
        <v>0.12332899999999999</v>
      </c>
      <c r="GF54">
        <v>0.10628</v>
      </c>
      <c r="GG54">
        <v>22902</v>
      </c>
      <c r="GH54">
        <v>23496.5</v>
      </c>
      <c r="GI54">
        <v>23719.599999999999</v>
      </c>
      <c r="GJ54">
        <v>24398</v>
      </c>
      <c r="GK54">
        <v>30760.7</v>
      </c>
      <c r="GL54">
        <v>31271.4</v>
      </c>
      <c r="GM54">
        <v>38849.9</v>
      </c>
      <c r="GN54">
        <v>38857.699999999997</v>
      </c>
      <c r="GO54">
        <v>2.03207</v>
      </c>
      <c r="GP54">
        <v>1.77033</v>
      </c>
      <c r="GQ54">
        <v>2.64421E-2</v>
      </c>
      <c r="GR54">
        <v>0</v>
      </c>
      <c r="GS54">
        <v>29.488900000000001</v>
      </c>
      <c r="GT54">
        <v>999.9</v>
      </c>
      <c r="GU54">
        <v>37</v>
      </c>
      <c r="GV54">
        <v>40.4</v>
      </c>
      <c r="GW54">
        <v>28.251799999999999</v>
      </c>
      <c r="GX54">
        <v>61.151699999999998</v>
      </c>
      <c r="GY54">
        <v>31.386199999999999</v>
      </c>
      <c r="GZ54">
        <v>1</v>
      </c>
      <c r="HA54">
        <v>0.68918999999999997</v>
      </c>
      <c r="HB54">
        <v>3.4193899999999999</v>
      </c>
      <c r="HC54">
        <v>20.295000000000002</v>
      </c>
      <c r="HD54">
        <v>5.2441000000000004</v>
      </c>
      <c r="HE54">
        <v>11.997999999999999</v>
      </c>
      <c r="HF54">
        <v>4.9630000000000001</v>
      </c>
      <c r="HG54">
        <v>3.3008999999999999</v>
      </c>
      <c r="HH54">
        <v>9999</v>
      </c>
      <c r="HI54">
        <v>9999</v>
      </c>
      <c r="HJ54">
        <v>9999</v>
      </c>
      <c r="HK54">
        <v>999.9</v>
      </c>
      <c r="HL54">
        <v>1.87486</v>
      </c>
      <c r="HM54">
        <v>1.88019</v>
      </c>
      <c r="HN54">
        <v>1.88032</v>
      </c>
      <c r="HO54">
        <v>1.87897</v>
      </c>
      <c r="HP54">
        <v>1.8813</v>
      </c>
      <c r="HQ54">
        <v>1.87727</v>
      </c>
      <c r="HR54">
        <v>1.875</v>
      </c>
      <c r="HS54">
        <v>1.8821699999999999</v>
      </c>
      <c r="HT54">
        <v>5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423</v>
      </c>
      <c r="IB54" t="s">
        <v>423</v>
      </c>
      <c r="IC54" t="s">
        <v>423</v>
      </c>
      <c r="ID54">
        <v>0</v>
      </c>
      <c r="IE54">
        <v>100</v>
      </c>
      <c r="IF54">
        <v>100</v>
      </c>
      <c r="IG54">
        <v>-0.20200000000000001</v>
      </c>
      <c r="IH54">
        <v>0.35289999999999999</v>
      </c>
      <c r="II54">
        <v>-0.28498271219703442</v>
      </c>
      <c r="IJ54">
        <v>7.0786345690369205E-4</v>
      </c>
      <c r="IK54">
        <v>-1.387476646623666E-6</v>
      </c>
      <c r="IL54">
        <v>3.6592443641472651E-10</v>
      </c>
      <c r="IM54">
        <v>0.35290472293196101</v>
      </c>
      <c r="IN54">
        <v>0</v>
      </c>
      <c r="IO54">
        <v>0</v>
      </c>
      <c r="IP54">
        <v>0</v>
      </c>
      <c r="IQ54">
        <v>2</v>
      </c>
      <c r="IR54">
        <v>2142</v>
      </c>
      <c r="IS54">
        <v>1</v>
      </c>
      <c r="IT54">
        <v>24</v>
      </c>
      <c r="IU54">
        <v>1.1000000000000001</v>
      </c>
      <c r="IV54">
        <v>1</v>
      </c>
      <c r="IW54">
        <v>0.59692400000000001</v>
      </c>
      <c r="IX54">
        <v>2.677</v>
      </c>
      <c r="IY54">
        <v>1.5490699999999999</v>
      </c>
      <c r="IZ54">
        <v>2.3596200000000001</v>
      </c>
      <c r="JA54">
        <v>1.5966800000000001</v>
      </c>
      <c r="JB54">
        <v>2.2814899999999998</v>
      </c>
      <c r="JC54">
        <v>42.885199999999998</v>
      </c>
      <c r="JD54">
        <v>24.113800000000001</v>
      </c>
      <c r="JE54">
        <v>18</v>
      </c>
      <c r="JF54">
        <v>543.31200000000001</v>
      </c>
      <c r="JG54">
        <v>439.60199999999998</v>
      </c>
      <c r="JH54">
        <v>25.682200000000002</v>
      </c>
      <c r="JI54">
        <v>35.588200000000001</v>
      </c>
      <c r="JJ54">
        <v>30.000299999999999</v>
      </c>
      <c r="JK54">
        <v>35.517400000000002</v>
      </c>
      <c r="JL54">
        <v>35.496400000000001</v>
      </c>
      <c r="JM54">
        <v>11.9353</v>
      </c>
      <c r="JN54">
        <v>25.667999999999999</v>
      </c>
      <c r="JO54">
        <v>13.8582</v>
      </c>
      <c r="JP54">
        <v>25.683499999999999</v>
      </c>
      <c r="JQ54">
        <v>200</v>
      </c>
      <c r="JR54">
        <v>21.3308</v>
      </c>
      <c r="JS54">
        <v>98.386300000000006</v>
      </c>
      <c r="JT54">
        <v>99.253500000000003</v>
      </c>
    </row>
    <row r="55" spans="1:280" x14ac:dyDescent="0.25">
      <c r="A55">
        <v>53</v>
      </c>
      <c r="B55">
        <v>1700160081.5999999</v>
      </c>
      <c r="C55">
        <v>12225.599999904631</v>
      </c>
      <c r="D55" t="s">
        <v>588</v>
      </c>
      <c r="E55" t="s">
        <v>589</v>
      </c>
      <c r="F55" t="s">
        <v>412</v>
      </c>
      <c r="G55" t="s">
        <v>547</v>
      </c>
      <c r="H55" t="s">
        <v>547</v>
      </c>
      <c r="I55">
        <v>1700160081.5999999</v>
      </c>
      <c r="J55">
        <f t="shared" si="46"/>
        <v>7.5934002481922317E-3</v>
      </c>
      <c r="K55">
        <f t="shared" si="47"/>
        <v>7.593400248192232</v>
      </c>
      <c r="L55">
        <f t="shared" si="48"/>
        <v>21.42425196065377</v>
      </c>
      <c r="M55">
        <f t="shared" si="49"/>
        <v>102.55800000000001</v>
      </c>
      <c r="N55">
        <f t="shared" si="50"/>
        <v>28.066475501129297</v>
      </c>
      <c r="O55">
        <f t="shared" si="51"/>
        <v>2.7864799406912808</v>
      </c>
      <c r="P55">
        <f t="shared" si="52"/>
        <v>10.182105328683601</v>
      </c>
      <c r="Q55">
        <f t="shared" si="53"/>
        <v>0.50341786203613825</v>
      </c>
      <c r="R55">
        <f t="shared" si="54"/>
        <v>3.4408536746646918</v>
      </c>
      <c r="S55">
        <f t="shared" si="55"/>
        <v>0.46578913234732722</v>
      </c>
      <c r="T55">
        <f t="shared" si="56"/>
        <v>0.29426426792126137</v>
      </c>
      <c r="U55">
        <f t="shared" si="57"/>
        <v>289.52439641914077</v>
      </c>
      <c r="V55">
        <f t="shared" si="58"/>
        <v>29.196017373697376</v>
      </c>
      <c r="W55">
        <f t="shared" si="59"/>
        <v>30.003799999999998</v>
      </c>
      <c r="X55">
        <f t="shared" si="60"/>
        <v>4.261379784496393</v>
      </c>
      <c r="Y55">
        <f t="shared" si="61"/>
        <v>65.494133063125474</v>
      </c>
      <c r="Z55">
        <f t="shared" si="62"/>
        <v>2.6996111180493005</v>
      </c>
      <c r="AA55">
        <f t="shared" si="63"/>
        <v>4.1219128978275403</v>
      </c>
      <c r="AB55">
        <f t="shared" si="64"/>
        <v>1.5617686664470924</v>
      </c>
      <c r="AC55">
        <f t="shared" si="65"/>
        <v>-334.86895094527739</v>
      </c>
      <c r="AD55">
        <f t="shared" si="66"/>
        <v>-107.23945964265693</v>
      </c>
      <c r="AE55">
        <f t="shared" si="67"/>
        <v>-6.9103614648139278</v>
      </c>
      <c r="AF55">
        <f t="shared" si="68"/>
        <v>-159.49437563360749</v>
      </c>
      <c r="AG55">
        <v>0</v>
      </c>
      <c r="AH55">
        <v>0</v>
      </c>
      <c r="AI55">
        <f t="shared" si="69"/>
        <v>1</v>
      </c>
      <c r="AJ55">
        <f t="shared" si="70"/>
        <v>0</v>
      </c>
      <c r="AK55">
        <f t="shared" si="71"/>
        <v>52011.250458720016</v>
      </c>
      <c r="AL55" t="s">
        <v>415</v>
      </c>
      <c r="AM55">
        <v>10238.9</v>
      </c>
      <c r="AN55">
        <v>302.21199999999999</v>
      </c>
      <c r="AO55">
        <v>4052.3</v>
      </c>
      <c r="AP55">
        <f t="shared" si="72"/>
        <v>0.92542210596451402</v>
      </c>
      <c r="AQ55">
        <v>-0.32343011824092421</v>
      </c>
      <c r="AR55" t="s">
        <v>590</v>
      </c>
      <c r="AS55">
        <v>7100.35</v>
      </c>
      <c r="AT55">
        <v>549.62339999999995</v>
      </c>
      <c r="AU55">
        <v>671.92572153151889</v>
      </c>
      <c r="AV55">
        <f t="shared" si="73"/>
        <v>0.18201762131200383</v>
      </c>
      <c r="AW55">
        <v>0.5</v>
      </c>
      <c r="AX55">
        <f t="shared" si="74"/>
        <v>1512.9660002171713</v>
      </c>
      <c r="AY55">
        <f t="shared" si="75"/>
        <v>21.42425196065377</v>
      </c>
      <c r="AZ55">
        <f t="shared" si="76"/>
        <v>137.69323624273309</v>
      </c>
      <c r="BA55">
        <f t="shared" si="77"/>
        <v>1.4374204096967829E-2</v>
      </c>
      <c r="BB55">
        <f t="shared" si="78"/>
        <v>5.0308749466586891</v>
      </c>
      <c r="BC55">
        <f t="shared" si="79"/>
        <v>219.75984961009007</v>
      </c>
      <c r="BD55" t="s">
        <v>591</v>
      </c>
      <c r="BE55">
        <v>368.63</v>
      </c>
      <c r="BF55">
        <f t="shared" si="80"/>
        <v>368.63</v>
      </c>
      <c r="BG55">
        <f t="shared" si="81"/>
        <v>0.45138281183851336</v>
      </c>
      <c r="BH55">
        <f t="shared" si="82"/>
        <v>0.40324446686534982</v>
      </c>
      <c r="BI55">
        <f t="shared" si="83"/>
        <v>0.9176647958336337</v>
      </c>
      <c r="BJ55">
        <f t="shared" si="84"/>
        <v>0.33080276551513493</v>
      </c>
      <c r="BK55">
        <f t="shared" si="85"/>
        <v>0.90141198779028153</v>
      </c>
      <c r="BL55">
        <f t="shared" si="86"/>
        <v>0.27045429255845715</v>
      </c>
      <c r="BM55">
        <f t="shared" si="87"/>
        <v>0.72954570744154279</v>
      </c>
      <c r="BN55">
        <v>34481</v>
      </c>
      <c r="BO55">
        <v>290.00000000000011</v>
      </c>
      <c r="BP55">
        <v>637.51</v>
      </c>
      <c r="BQ55">
        <v>275</v>
      </c>
      <c r="BR55">
        <v>7100.35</v>
      </c>
      <c r="BS55">
        <v>639.46</v>
      </c>
      <c r="BT55">
        <v>-1.95</v>
      </c>
      <c r="BU55">
        <v>300.00000000000011</v>
      </c>
      <c r="BV55">
        <v>38.299999999999997</v>
      </c>
      <c r="BW55">
        <v>671.92572153151889</v>
      </c>
      <c r="BX55">
        <v>1.346059895082913</v>
      </c>
      <c r="BY55">
        <v>-23.054712565924209</v>
      </c>
      <c r="BZ55">
        <v>0.80120678062347328</v>
      </c>
      <c r="CA55">
        <v>0.96728970907102707</v>
      </c>
      <c r="CB55">
        <v>-6.9991239154616174E-3</v>
      </c>
      <c r="CC55">
        <v>289.99999999999989</v>
      </c>
      <c r="CD55">
        <v>642.70000000000005</v>
      </c>
      <c r="CE55">
        <v>815</v>
      </c>
      <c r="CF55">
        <v>7093.89</v>
      </c>
      <c r="CG55">
        <v>639.42999999999995</v>
      </c>
      <c r="CH55">
        <v>3.27</v>
      </c>
      <c r="CV55">
        <f t="shared" si="88"/>
        <v>1799.74</v>
      </c>
      <c r="CW55">
        <f t="shared" si="89"/>
        <v>1512.9660002171713</v>
      </c>
      <c r="CX55">
        <f t="shared" si="90"/>
        <v>0.84065809517884327</v>
      </c>
      <c r="CY55">
        <f t="shared" si="91"/>
        <v>0.16087012369516751</v>
      </c>
      <c r="CZ55">
        <v>3.93</v>
      </c>
      <c r="DA55">
        <v>0.5</v>
      </c>
      <c r="DB55" t="s">
        <v>418</v>
      </c>
      <c r="DC55">
        <v>2</v>
      </c>
      <c r="DD55">
        <v>1700160081.5999999</v>
      </c>
      <c r="DE55">
        <v>102.55800000000001</v>
      </c>
      <c r="DF55">
        <v>120.008</v>
      </c>
      <c r="DG55">
        <v>27.191500000000001</v>
      </c>
      <c r="DH55">
        <v>21.385899999999999</v>
      </c>
      <c r="DI55">
        <v>102.752</v>
      </c>
      <c r="DJ55">
        <v>26.833600000000001</v>
      </c>
      <c r="DK55">
        <v>500.04500000000002</v>
      </c>
      <c r="DL55">
        <v>99.1815</v>
      </c>
      <c r="DM55">
        <v>9.9934200000000001E-2</v>
      </c>
      <c r="DN55">
        <v>29.425699999999999</v>
      </c>
      <c r="DO55">
        <v>30.003799999999998</v>
      </c>
      <c r="DP55">
        <v>999.9</v>
      </c>
      <c r="DQ55">
        <v>0</v>
      </c>
      <c r="DR55">
        <v>0</v>
      </c>
      <c r="DS55">
        <v>9997.5</v>
      </c>
      <c r="DT55">
        <v>0</v>
      </c>
      <c r="DU55">
        <v>229.13300000000001</v>
      </c>
      <c r="DV55">
        <v>-17.450199999999999</v>
      </c>
      <c r="DW55">
        <v>105.42400000000001</v>
      </c>
      <c r="DX55">
        <v>122.631</v>
      </c>
      <c r="DY55">
        <v>5.8056799999999997</v>
      </c>
      <c r="DZ55">
        <v>120.008</v>
      </c>
      <c r="EA55">
        <v>21.385899999999999</v>
      </c>
      <c r="EB55">
        <v>2.6968999999999999</v>
      </c>
      <c r="EC55">
        <v>2.1210800000000001</v>
      </c>
      <c r="ED55">
        <v>22.266200000000001</v>
      </c>
      <c r="EE55">
        <v>18.378399999999999</v>
      </c>
      <c r="EF55">
        <v>1799.74</v>
      </c>
      <c r="EG55">
        <v>0.97799999999999998</v>
      </c>
      <c r="EH55">
        <v>2.2000200000000001E-2</v>
      </c>
      <c r="EI55">
        <v>0</v>
      </c>
      <c r="EJ55">
        <v>549.65099999999995</v>
      </c>
      <c r="EK55">
        <v>4.9996700000000001</v>
      </c>
      <c r="EL55">
        <v>11151</v>
      </c>
      <c r="EM55">
        <v>15044.6</v>
      </c>
      <c r="EN55">
        <v>50.25</v>
      </c>
      <c r="EO55">
        <v>51.311999999999998</v>
      </c>
      <c r="EP55">
        <v>51.061999999999998</v>
      </c>
      <c r="EQ55">
        <v>50.936999999999998</v>
      </c>
      <c r="ER55">
        <v>51.625</v>
      </c>
      <c r="ES55">
        <v>1755.26</v>
      </c>
      <c r="ET55">
        <v>39.479999999999997</v>
      </c>
      <c r="EU55">
        <v>0</v>
      </c>
      <c r="EV55">
        <v>245</v>
      </c>
      <c r="EW55">
        <v>0</v>
      </c>
      <c r="EX55">
        <v>549.62339999999995</v>
      </c>
      <c r="EY55">
        <v>-1.470076912427154</v>
      </c>
      <c r="EZ55">
        <v>-311.4384619402112</v>
      </c>
      <c r="FA55">
        <v>11205.871999999999</v>
      </c>
      <c r="FB55">
        <v>15</v>
      </c>
      <c r="FC55">
        <v>1700160050.0999999</v>
      </c>
      <c r="FD55" t="s">
        <v>592</v>
      </c>
      <c r="FE55">
        <v>1700160038.0999999</v>
      </c>
      <c r="FF55">
        <v>1700160050.0999999</v>
      </c>
      <c r="FG55">
        <v>59</v>
      </c>
      <c r="FH55">
        <v>3.2000000000000001E-2</v>
      </c>
      <c r="FI55">
        <v>5.0000000000000001E-3</v>
      </c>
      <c r="FJ55">
        <v>-0.187</v>
      </c>
      <c r="FK55">
        <v>0.26600000000000001</v>
      </c>
      <c r="FL55">
        <v>120</v>
      </c>
      <c r="FM55">
        <v>21</v>
      </c>
      <c r="FN55">
        <v>7.0000000000000007E-2</v>
      </c>
      <c r="FO55">
        <v>0.01</v>
      </c>
      <c r="FP55">
        <v>21.351770840595279</v>
      </c>
      <c r="FQ55">
        <v>0.12317628545869549</v>
      </c>
      <c r="FR55">
        <v>5.1977993662862661E-2</v>
      </c>
      <c r="FS55">
        <v>1</v>
      </c>
      <c r="FT55">
        <v>0.5031989580672005</v>
      </c>
      <c r="FU55">
        <v>3.5305591247484953E-2</v>
      </c>
      <c r="FV55">
        <v>3.7434422897142782E-3</v>
      </c>
      <c r="FW55">
        <v>1</v>
      </c>
      <c r="FX55">
        <v>2</v>
      </c>
      <c r="FY55">
        <v>2</v>
      </c>
      <c r="FZ55" t="s">
        <v>420</v>
      </c>
      <c r="GA55">
        <v>3.0126499999999998</v>
      </c>
      <c r="GB55">
        <v>2.7770000000000001</v>
      </c>
      <c r="GC55">
        <v>2.6931E-2</v>
      </c>
      <c r="GD55">
        <v>3.1437300000000001E-2</v>
      </c>
      <c r="GE55">
        <v>0.124138</v>
      </c>
      <c r="GF55">
        <v>0.10623</v>
      </c>
      <c r="GG55">
        <v>23296.7</v>
      </c>
      <c r="GH55">
        <v>23952.3</v>
      </c>
      <c r="GI55">
        <v>23716.2</v>
      </c>
      <c r="GJ55">
        <v>24395.4</v>
      </c>
      <c r="GK55">
        <v>30728.2</v>
      </c>
      <c r="GL55">
        <v>31270.1</v>
      </c>
      <c r="GM55">
        <v>38844.400000000001</v>
      </c>
      <c r="GN55">
        <v>38853.599999999999</v>
      </c>
      <c r="GO55">
        <v>2.0310999999999999</v>
      </c>
      <c r="GP55">
        <v>1.7685500000000001</v>
      </c>
      <c r="GQ55">
        <v>3.1560699999999997E-2</v>
      </c>
      <c r="GR55">
        <v>0</v>
      </c>
      <c r="GS55">
        <v>29.49</v>
      </c>
      <c r="GT55">
        <v>999.9</v>
      </c>
      <c r="GU55">
        <v>36.799999999999997</v>
      </c>
      <c r="GV55">
        <v>40.5</v>
      </c>
      <c r="GW55">
        <v>28.248699999999999</v>
      </c>
      <c r="GX55">
        <v>61.151699999999998</v>
      </c>
      <c r="GY55">
        <v>31.322099999999999</v>
      </c>
      <c r="GZ55">
        <v>1</v>
      </c>
      <c r="HA55">
        <v>0.69644799999999996</v>
      </c>
      <c r="HB55">
        <v>3.8602400000000001</v>
      </c>
      <c r="HC55">
        <v>20.283799999999999</v>
      </c>
      <c r="HD55">
        <v>5.2445399999999998</v>
      </c>
      <c r="HE55">
        <v>11.9992</v>
      </c>
      <c r="HF55">
        <v>4.9634</v>
      </c>
      <c r="HG55">
        <v>3.3008500000000001</v>
      </c>
      <c r="HH55">
        <v>9999</v>
      </c>
      <c r="HI55">
        <v>9999</v>
      </c>
      <c r="HJ55">
        <v>9999</v>
      </c>
      <c r="HK55">
        <v>999.9</v>
      </c>
      <c r="HL55">
        <v>1.8748499999999999</v>
      </c>
      <c r="HM55">
        <v>1.88019</v>
      </c>
      <c r="HN55">
        <v>1.88029</v>
      </c>
      <c r="HO55">
        <v>1.87897</v>
      </c>
      <c r="HP55">
        <v>1.8812899999999999</v>
      </c>
      <c r="HQ55">
        <v>1.8772599999999999</v>
      </c>
      <c r="HR55">
        <v>1.875</v>
      </c>
      <c r="HS55">
        <v>1.8821699999999999</v>
      </c>
      <c r="HT55">
        <v>5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423</v>
      </c>
      <c r="IB55" t="s">
        <v>423</v>
      </c>
      <c r="IC55" t="s">
        <v>423</v>
      </c>
      <c r="ID55">
        <v>0</v>
      </c>
      <c r="IE55">
        <v>100</v>
      </c>
      <c r="IF55">
        <v>100</v>
      </c>
      <c r="IG55">
        <v>-0.19400000000000001</v>
      </c>
      <c r="IH55">
        <v>0.3579</v>
      </c>
      <c r="II55">
        <v>-0.25296446197925337</v>
      </c>
      <c r="IJ55">
        <v>7.0786345690369205E-4</v>
      </c>
      <c r="IK55">
        <v>-1.387476646623666E-6</v>
      </c>
      <c r="IL55">
        <v>3.6592443641472651E-10</v>
      </c>
      <c r="IM55">
        <v>0.35799156068652288</v>
      </c>
      <c r="IN55">
        <v>0</v>
      </c>
      <c r="IO55">
        <v>0</v>
      </c>
      <c r="IP55">
        <v>0</v>
      </c>
      <c r="IQ55">
        <v>2</v>
      </c>
      <c r="IR55">
        <v>2142</v>
      </c>
      <c r="IS55">
        <v>1</v>
      </c>
      <c r="IT55">
        <v>24</v>
      </c>
      <c r="IU55">
        <v>0.7</v>
      </c>
      <c r="IV55">
        <v>0.5</v>
      </c>
      <c r="IW55">
        <v>0.41870099999999999</v>
      </c>
      <c r="IX55">
        <v>2.6916500000000001</v>
      </c>
      <c r="IY55">
        <v>1.5490699999999999</v>
      </c>
      <c r="IZ55">
        <v>2.36084</v>
      </c>
      <c r="JA55">
        <v>1.5966800000000001</v>
      </c>
      <c r="JB55">
        <v>2.2485400000000002</v>
      </c>
      <c r="JC55">
        <v>42.966000000000001</v>
      </c>
      <c r="JD55">
        <v>24.105</v>
      </c>
      <c r="JE55">
        <v>18</v>
      </c>
      <c r="JF55">
        <v>543.11900000000003</v>
      </c>
      <c r="JG55">
        <v>438.846</v>
      </c>
      <c r="JH55">
        <v>25.659300000000002</v>
      </c>
      <c r="JI55">
        <v>35.645000000000003</v>
      </c>
      <c r="JJ55">
        <v>30.000399999999999</v>
      </c>
      <c r="JK55">
        <v>35.575000000000003</v>
      </c>
      <c r="JL55">
        <v>35.550400000000003</v>
      </c>
      <c r="JM55">
        <v>8.3663100000000004</v>
      </c>
      <c r="JN55">
        <v>25.3079</v>
      </c>
      <c r="JO55">
        <v>12.702500000000001</v>
      </c>
      <c r="JP55">
        <v>25.6555</v>
      </c>
      <c r="JQ55">
        <v>120</v>
      </c>
      <c r="JR55">
        <v>21.2637</v>
      </c>
      <c r="JS55">
        <v>98.372200000000007</v>
      </c>
      <c r="JT55">
        <v>99.242999999999995</v>
      </c>
    </row>
    <row r="56" spans="1:280" x14ac:dyDescent="0.25">
      <c r="A56">
        <v>54</v>
      </c>
      <c r="B56">
        <v>1700160190.5999999</v>
      </c>
      <c r="C56">
        <v>12334.599999904631</v>
      </c>
      <c r="D56" t="s">
        <v>593</v>
      </c>
      <c r="E56" t="s">
        <v>594</v>
      </c>
      <c r="F56" t="s">
        <v>412</v>
      </c>
      <c r="G56" t="s">
        <v>547</v>
      </c>
      <c r="H56" t="s">
        <v>547</v>
      </c>
      <c r="I56">
        <v>1700160190.5999999</v>
      </c>
      <c r="J56">
        <f t="shared" si="46"/>
        <v>7.8236221240081446E-3</v>
      </c>
      <c r="K56">
        <f t="shared" si="47"/>
        <v>7.8236221240081445</v>
      </c>
      <c r="L56">
        <f t="shared" si="48"/>
        <v>12.930336580575469</v>
      </c>
      <c r="M56">
        <f t="shared" si="49"/>
        <v>59.481999999999999</v>
      </c>
      <c r="N56">
        <f t="shared" si="50"/>
        <v>16.101271548608462</v>
      </c>
      <c r="O56">
        <f t="shared" si="51"/>
        <v>1.5985221150883719</v>
      </c>
      <c r="P56">
        <f t="shared" si="52"/>
        <v>5.9053281700540001</v>
      </c>
      <c r="Q56">
        <f t="shared" si="53"/>
        <v>0.52289109780791554</v>
      </c>
      <c r="R56">
        <f t="shared" si="54"/>
        <v>3.4399472802459528</v>
      </c>
      <c r="S56">
        <f t="shared" si="55"/>
        <v>0.48241052389380346</v>
      </c>
      <c r="T56">
        <f t="shared" si="56"/>
        <v>0.3048820185936163</v>
      </c>
      <c r="U56">
        <f t="shared" si="57"/>
        <v>289.55950841908952</v>
      </c>
      <c r="V56">
        <f t="shared" si="58"/>
        <v>29.180705089717989</v>
      </c>
      <c r="W56">
        <f t="shared" si="59"/>
        <v>30.0154</v>
      </c>
      <c r="X56">
        <f t="shared" si="60"/>
        <v>4.2642198631978268</v>
      </c>
      <c r="Y56">
        <f t="shared" si="61"/>
        <v>65.626528303691472</v>
      </c>
      <c r="Z56">
        <f t="shared" si="62"/>
        <v>2.7106907763138999</v>
      </c>
      <c r="AA56">
        <f t="shared" si="63"/>
        <v>4.1304802286203275</v>
      </c>
      <c r="AB56">
        <f t="shared" si="64"/>
        <v>1.5535290868839269</v>
      </c>
      <c r="AC56">
        <f t="shared" si="65"/>
        <v>-345.02173566875916</v>
      </c>
      <c r="AD56">
        <f t="shared" si="66"/>
        <v>-102.68612219469944</v>
      </c>
      <c r="AE56">
        <f t="shared" si="67"/>
        <v>-6.620254990524435</v>
      </c>
      <c r="AF56">
        <f t="shared" si="68"/>
        <v>-164.76860443489349</v>
      </c>
      <c r="AG56">
        <v>0</v>
      </c>
      <c r="AH56">
        <v>0</v>
      </c>
      <c r="AI56">
        <f t="shared" si="69"/>
        <v>1</v>
      </c>
      <c r="AJ56">
        <f t="shared" si="70"/>
        <v>0</v>
      </c>
      <c r="AK56">
        <f t="shared" si="71"/>
        <v>51985.142674965718</v>
      </c>
      <c r="AL56" t="s">
        <v>426</v>
      </c>
      <c r="AM56" t="s">
        <v>426</v>
      </c>
      <c r="AN56">
        <v>0</v>
      </c>
      <c r="AO56">
        <v>0</v>
      </c>
      <c r="AP56" t="e">
        <f t="shared" si="72"/>
        <v>#DIV/0!</v>
      </c>
      <c r="AQ56">
        <v>0</v>
      </c>
      <c r="AR56" t="s">
        <v>426</v>
      </c>
      <c r="AS56" t="s">
        <v>426</v>
      </c>
      <c r="AT56">
        <v>0</v>
      </c>
      <c r="AU56">
        <v>0</v>
      </c>
      <c r="AV56" t="e">
        <f t="shared" si="73"/>
        <v>#DIV/0!</v>
      </c>
      <c r="AW56">
        <v>0.5</v>
      </c>
      <c r="AX56">
        <f t="shared" si="74"/>
        <v>1513.1508002171447</v>
      </c>
      <c r="AY56">
        <f t="shared" si="75"/>
        <v>12.930336580575469</v>
      </c>
      <c r="AZ56" t="e">
        <f t="shared" si="76"/>
        <v>#DIV/0!</v>
      </c>
      <c r="BA56">
        <f t="shared" si="77"/>
        <v>8.5453059792321429E-3</v>
      </c>
      <c r="BB56" t="e">
        <f t="shared" si="78"/>
        <v>#DIV/0!</v>
      </c>
      <c r="BC56" t="e">
        <f t="shared" si="79"/>
        <v>#DIV/0!</v>
      </c>
      <c r="BD56" t="s">
        <v>426</v>
      </c>
      <c r="BE56">
        <v>0</v>
      </c>
      <c r="BF56" t="e">
        <f t="shared" si="80"/>
        <v>#DIV/0!</v>
      </c>
      <c r="BG56" t="e">
        <f t="shared" si="81"/>
        <v>#DIV/0!</v>
      </c>
      <c r="BH56" t="e">
        <f t="shared" si="82"/>
        <v>#DIV/0!</v>
      </c>
      <c r="BI56" t="e">
        <f t="shared" si="83"/>
        <v>#DIV/0!</v>
      </c>
      <c r="BJ56" t="e">
        <f t="shared" si="84"/>
        <v>#DIV/0!</v>
      </c>
      <c r="BK56" t="e">
        <f t="shared" si="85"/>
        <v>#DIV/0!</v>
      </c>
      <c r="BL56" t="e">
        <f t="shared" si="86"/>
        <v>#DIV/0!</v>
      </c>
      <c r="BM56" t="e">
        <f t="shared" si="87"/>
        <v>#DIV/0!</v>
      </c>
      <c r="BN56">
        <v>34481</v>
      </c>
      <c r="BO56">
        <v>290.00000000000011</v>
      </c>
      <c r="BP56">
        <v>637.51</v>
      </c>
      <c r="BQ56">
        <v>275</v>
      </c>
      <c r="BR56">
        <v>7100.35</v>
      </c>
      <c r="BS56">
        <v>639.46</v>
      </c>
      <c r="BT56">
        <v>-1.95</v>
      </c>
      <c r="BU56">
        <v>300.00000000000011</v>
      </c>
      <c r="BV56">
        <v>38.299999999999997</v>
      </c>
      <c r="BW56">
        <v>671.92572153151889</v>
      </c>
      <c r="BX56">
        <v>1.346059895082913</v>
      </c>
      <c r="BY56">
        <v>-23.054712565924209</v>
      </c>
      <c r="BZ56">
        <v>0.80120678062347328</v>
      </c>
      <c r="CA56">
        <v>0.96728970907102707</v>
      </c>
      <c r="CB56">
        <v>-6.9991239154616174E-3</v>
      </c>
      <c r="CC56">
        <v>289.99999999999989</v>
      </c>
      <c r="CD56">
        <v>642.70000000000005</v>
      </c>
      <c r="CE56">
        <v>815</v>
      </c>
      <c r="CF56">
        <v>7093.89</v>
      </c>
      <c r="CG56">
        <v>639.42999999999995</v>
      </c>
      <c r="CH56">
        <v>3.27</v>
      </c>
      <c r="CV56">
        <f t="shared" si="88"/>
        <v>1799.96</v>
      </c>
      <c r="CW56">
        <f t="shared" si="89"/>
        <v>1513.1508002171447</v>
      </c>
      <c r="CX56">
        <f t="shared" si="90"/>
        <v>0.8406580147431858</v>
      </c>
      <c r="CY56">
        <f t="shared" si="91"/>
        <v>0.16086996845434873</v>
      </c>
      <c r="CZ56">
        <v>3.93</v>
      </c>
      <c r="DA56">
        <v>0.5</v>
      </c>
      <c r="DB56" t="s">
        <v>418</v>
      </c>
      <c r="DC56">
        <v>2</v>
      </c>
      <c r="DD56">
        <v>1700160190.5999999</v>
      </c>
      <c r="DE56">
        <v>59.481999999999999</v>
      </c>
      <c r="DF56">
        <v>70.010199999999998</v>
      </c>
      <c r="DG56">
        <v>27.303699999999999</v>
      </c>
      <c r="DH56">
        <v>21.322700000000001</v>
      </c>
      <c r="DI56">
        <v>59.682499999999997</v>
      </c>
      <c r="DJ56">
        <v>26.944500000000001</v>
      </c>
      <c r="DK56">
        <v>500.03899999999999</v>
      </c>
      <c r="DL56">
        <v>99.179199999999994</v>
      </c>
      <c r="DM56">
        <v>0.100047</v>
      </c>
      <c r="DN56">
        <v>29.4617</v>
      </c>
      <c r="DO56">
        <v>30.0154</v>
      </c>
      <c r="DP56">
        <v>999.9</v>
      </c>
      <c r="DQ56">
        <v>0</v>
      </c>
      <c r="DR56">
        <v>0</v>
      </c>
      <c r="DS56">
        <v>9993.75</v>
      </c>
      <c r="DT56">
        <v>0</v>
      </c>
      <c r="DU56">
        <v>195.346</v>
      </c>
      <c r="DV56">
        <v>-10.5282</v>
      </c>
      <c r="DW56">
        <v>61.151600000000002</v>
      </c>
      <c r="DX56">
        <v>71.535499999999999</v>
      </c>
      <c r="DY56">
        <v>5.9810100000000004</v>
      </c>
      <c r="DZ56">
        <v>70.010199999999998</v>
      </c>
      <c r="EA56">
        <v>21.322700000000001</v>
      </c>
      <c r="EB56">
        <v>2.7079599999999999</v>
      </c>
      <c r="EC56">
        <v>2.11476</v>
      </c>
      <c r="ED56">
        <v>22.333500000000001</v>
      </c>
      <c r="EE56">
        <v>18.3308</v>
      </c>
      <c r="EF56">
        <v>1799.96</v>
      </c>
      <c r="EG56">
        <v>0.97800299999999996</v>
      </c>
      <c r="EH56">
        <v>2.1996600000000002E-2</v>
      </c>
      <c r="EI56">
        <v>0</v>
      </c>
      <c r="EJ56">
        <v>568.05200000000002</v>
      </c>
      <c r="EK56">
        <v>4.9996700000000001</v>
      </c>
      <c r="EL56">
        <v>11294.6</v>
      </c>
      <c r="EM56">
        <v>15046.5</v>
      </c>
      <c r="EN56">
        <v>50.311999999999998</v>
      </c>
      <c r="EO56">
        <v>51.311999999999998</v>
      </c>
      <c r="EP56">
        <v>51.061999999999998</v>
      </c>
      <c r="EQ56">
        <v>51</v>
      </c>
      <c r="ER56">
        <v>51.625</v>
      </c>
      <c r="ES56">
        <v>1755.48</v>
      </c>
      <c r="ET56">
        <v>39.479999999999997</v>
      </c>
      <c r="EU56">
        <v>0</v>
      </c>
      <c r="EV56">
        <v>107</v>
      </c>
      <c r="EW56">
        <v>0</v>
      </c>
      <c r="EX56">
        <v>568.27453846153844</v>
      </c>
      <c r="EY56">
        <v>-1.1401709569738621</v>
      </c>
      <c r="EZ56">
        <v>-588.2632484024324</v>
      </c>
      <c r="FA56">
        <v>11317.188461538461</v>
      </c>
      <c r="FB56">
        <v>15</v>
      </c>
      <c r="FC56">
        <v>1700160162.0999999</v>
      </c>
      <c r="FD56" t="s">
        <v>595</v>
      </c>
      <c r="FE56">
        <v>1700160148.0999999</v>
      </c>
      <c r="FF56">
        <v>1700160162.0999999</v>
      </c>
      <c r="FG56">
        <v>60</v>
      </c>
      <c r="FH56">
        <v>1.4999999999999999E-2</v>
      </c>
      <c r="FI56">
        <v>1E-3</v>
      </c>
      <c r="FJ56">
        <v>-0.19500000000000001</v>
      </c>
      <c r="FK56">
        <v>0.26300000000000001</v>
      </c>
      <c r="FL56">
        <v>70</v>
      </c>
      <c r="FM56">
        <v>21</v>
      </c>
      <c r="FN56">
        <v>0.11</v>
      </c>
      <c r="FO56">
        <v>0.02</v>
      </c>
      <c r="FP56">
        <v>12.89306571477869</v>
      </c>
      <c r="FQ56">
        <v>0.22928358316350381</v>
      </c>
      <c r="FR56">
        <v>6.4528509830386271E-2</v>
      </c>
      <c r="FS56">
        <v>1</v>
      </c>
      <c r="FT56">
        <v>0.52473220087378047</v>
      </c>
      <c r="FU56">
        <v>4.1692066583062147E-2</v>
      </c>
      <c r="FV56">
        <v>6.0045921710536257E-3</v>
      </c>
      <c r="FW56">
        <v>1</v>
      </c>
      <c r="FX56">
        <v>2</v>
      </c>
      <c r="FY56">
        <v>2</v>
      </c>
      <c r="FZ56" t="s">
        <v>420</v>
      </c>
      <c r="GA56">
        <v>3.0126599999999999</v>
      </c>
      <c r="GB56">
        <v>2.7770800000000002</v>
      </c>
      <c r="GC56">
        <v>1.59416E-2</v>
      </c>
      <c r="GD56">
        <v>1.87891E-2</v>
      </c>
      <c r="GE56">
        <v>0.12447800000000001</v>
      </c>
      <c r="GF56">
        <v>0.105998</v>
      </c>
      <c r="GG56">
        <v>23557.7</v>
      </c>
      <c r="GH56">
        <v>24262.799999999999</v>
      </c>
      <c r="GI56">
        <v>23714.7</v>
      </c>
      <c r="GJ56">
        <v>24393.8</v>
      </c>
      <c r="GK56">
        <v>30714.9</v>
      </c>
      <c r="GL56">
        <v>31276.5</v>
      </c>
      <c r="GM56">
        <v>38842.5</v>
      </c>
      <c r="GN56">
        <v>38851.300000000003</v>
      </c>
      <c r="GO56">
        <v>2.0310000000000001</v>
      </c>
      <c r="GP56">
        <v>1.7675000000000001</v>
      </c>
      <c r="GQ56">
        <v>3.43025E-2</v>
      </c>
      <c r="GR56">
        <v>0</v>
      </c>
      <c r="GS56">
        <v>29.456900000000001</v>
      </c>
      <c r="GT56">
        <v>999.9</v>
      </c>
      <c r="GU56">
        <v>36.4</v>
      </c>
      <c r="GV56">
        <v>40.5</v>
      </c>
      <c r="GW56">
        <v>27.945399999999999</v>
      </c>
      <c r="GX56">
        <v>61.261800000000001</v>
      </c>
      <c r="GY56">
        <v>31.4864</v>
      </c>
      <c r="GZ56">
        <v>1</v>
      </c>
      <c r="HA56">
        <v>0.69976099999999997</v>
      </c>
      <c r="HB56">
        <v>4.0236000000000001</v>
      </c>
      <c r="HC56">
        <v>20.279800000000002</v>
      </c>
      <c r="HD56">
        <v>5.2446900000000003</v>
      </c>
      <c r="HE56">
        <v>12.0001</v>
      </c>
      <c r="HF56">
        <v>4.9634999999999998</v>
      </c>
      <c r="HG56">
        <v>3.3007300000000002</v>
      </c>
      <c r="HH56">
        <v>9999</v>
      </c>
      <c r="HI56">
        <v>9999</v>
      </c>
      <c r="HJ56">
        <v>9999</v>
      </c>
      <c r="HK56">
        <v>999.9</v>
      </c>
      <c r="HL56">
        <v>1.8748499999999999</v>
      </c>
      <c r="HM56">
        <v>1.88019</v>
      </c>
      <c r="HN56">
        <v>1.88028</v>
      </c>
      <c r="HO56">
        <v>1.87897</v>
      </c>
      <c r="HP56">
        <v>1.88127</v>
      </c>
      <c r="HQ56">
        <v>1.87723</v>
      </c>
      <c r="HR56">
        <v>1.875</v>
      </c>
      <c r="HS56">
        <v>1.8821699999999999</v>
      </c>
      <c r="HT56">
        <v>5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423</v>
      </c>
      <c r="IB56" t="s">
        <v>423</v>
      </c>
      <c r="IC56" t="s">
        <v>423</v>
      </c>
      <c r="ID56">
        <v>0</v>
      </c>
      <c r="IE56">
        <v>100</v>
      </c>
      <c r="IF56">
        <v>100</v>
      </c>
      <c r="IG56">
        <v>-0.2</v>
      </c>
      <c r="IH56">
        <v>0.35920000000000002</v>
      </c>
      <c r="II56">
        <v>-0.2379419655287853</v>
      </c>
      <c r="IJ56">
        <v>7.0786345690369205E-4</v>
      </c>
      <c r="IK56">
        <v>-1.387476646623666E-6</v>
      </c>
      <c r="IL56">
        <v>3.6592443641472651E-10</v>
      </c>
      <c r="IM56">
        <v>0.35922689608634639</v>
      </c>
      <c r="IN56">
        <v>0</v>
      </c>
      <c r="IO56">
        <v>0</v>
      </c>
      <c r="IP56">
        <v>0</v>
      </c>
      <c r="IQ56">
        <v>2</v>
      </c>
      <c r="IR56">
        <v>2142</v>
      </c>
      <c r="IS56">
        <v>1</v>
      </c>
      <c r="IT56">
        <v>24</v>
      </c>
      <c r="IU56">
        <v>0.7</v>
      </c>
      <c r="IV56">
        <v>0.5</v>
      </c>
      <c r="IW56">
        <v>0.306396</v>
      </c>
      <c r="IX56">
        <v>2.7026400000000002</v>
      </c>
      <c r="IY56">
        <v>1.5490699999999999</v>
      </c>
      <c r="IZ56">
        <v>2.3596200000000001</v>
      </c>
      <c r="JA56">
        <v>1.5966800000000001</v>
      </c>
      <c r="JB56">
        <v>2.3290999999999999</v>
      </c>
      <c r="JC56">
        <v>43.073900000000002</v>
      </c>
      <c r="JD56">
        <v>24.113800000000001</v>
      </c>
      <c r="JE56">
        <v>18</v>
      </c>
      <c r="JF56">
        <v>543.37400000000002</v>
      </c>
      <c r="JG56">
        <v>438.46699999999998</v>
      </c>
      <c r="JH56">
        <v>25.515999999999998</v>
      </c>
      <c r="JI56">
        <v>35.674599999999998</v>
      </c>
      <c r="JJ56">
        <v>30.0002</v>
      </c>
      <c r="JK56">
        <v>35.615000000000002</v>
      </c>
      <c r="JL56">
        <v>35.592100000000002</v>
      </c>
      <c r="JM56">
        <v>6.1279199999999996</v>
      </c>
      <c r="JN56">
        <v>24.565200000000001</v>
      </c>
      <c r="JO56">
        <v>11.388</v>
      </c>
      <c r="JP56">
        <v>25.509799999999998</v>
      </c>
      <c r="JQ56">
        <v>70</v>
      </c>
      <c r="JR56">
        <v>21.237200000000001</v>
      </c>
      <c r="JS56">
        <v>98.366900000000001</v>
      </c>
      <c r="JT56">
        <v>99.236900000000006</v>
      </c>
    </row>
    <row r="57" spans="1:280" x14ac:dyDescent="0.25">
      <c r="A57">
        <v>55</v>
      </c>
      <c r="B57">
        <v>1700160281.0999999</v>
      </c>
      <c r="C57">
        <v>12425.099999904631</v>
      </c>
      <c r="D57" t="s">
        <v>596</v>
      </c>
      <c r="E57" t="s">
        <v>597</v>
      </c>
      <c r="F57" t="s">
        <v>412</v>
      </c>
      <c r="G57" t="s">
        <v>547</v>
      </c>
      <c r="H57" t="s">
        <v>547</v>
      </c>
      <c r="I57">
        <v>1700160281.0999999</v>
      </c>
      <c r="J57">
        <f t="shared" si="46"/>
        <v>8.0802880793753046E-3</v>
      </c>
      <c r="K57">
        <f t="shared" si="47"/>
        <v>8.080288079375304</v>
      </c>
      <c r="L57">
        <f t="shared" si="48"/>
        <v>5.5366680694233796</v>
      </c>
      <c r="M57">
        <f t="shared" si="49"/>
        <v>25.473299999999998</v>
      </c>
      <c r="N57">
        <f t="shared" si="50"/>
        <v>7.0431831713289217</v>
      </c>
      <c r="O57">
        <f t="shared" si="51"/>
        <v>0.69925724769918807</v>
      </c>
      <c r="P57">
        <f t="shared" si="52"/>
        <v>2.5290254725058996</v>
      </c>
      <c r="Q57">
        <f t="shared" si="53"/>
        <v>0.52774439491384417</v>
      </c>
      <c r="R57">
        <f t="shared" si="54"/>
        <v>3.4434226627271771</v>
      </c>
      <c r="S57">
        <f t="shared" si="55"/>
        <v>0.48657870281737531</v>
      </c>
      <c r="T57">
        <f t="shared" si="56"/>
        <v>0.30754223631844058</v>
      </c>
      <c r="U57">
        <f t="shared" si="57"/>
        <v>289.54035641911753</v>
      </c>
      <c r="V57">
        <f t="shared" si="58"/>
        <v>29.16489073878201</v>
      </c>
      <c r="W57">
        <f t="shared" si="59"/>
        <v>29.995100000000001</v>
      </c>
      <c r="X57">
        <f t="shared" si="60"/>
        <v>4.2592508074328181</v>
      </c>
      <c r="Y57">
        <f t="shared" si="61"/>
        <v>64.441008544880916</v>
      </c>
      <c r="Z57">
        <f t="shared" si="62"/>
        <v>2.6680691054173993</v>
      </c>
      <c r="AA57">
        <f t="shared" si="63"/>
        <v>4.1403279769576882</v>
      </c>
      <c r="AB57">
        <f t="shared" si="64"/>
        <v>1.5911817020154189</v>
      </c>
      <c r="AC57">
        <f t="shared" si="65"/>
        <v>-356.34070430045091</v>
      </c>
      <c r="AD57">
        <f t="shared" si="66"/>
        <v>-91.354331055989633</v>
      </c>
      <c r="AE57">
        <f t="shared" si="67"/>
        <v>-5.8843523522350694</v>
      </c>
      <c r="AF57">
        <f t="shared" si="68"/>
        <v>-164.03903128955807</v>
      </c>
      <c r="AG57">
        <v>0</v>
      </c>
      <c r="AH57">
        <v>0</v>
      </c>
      <c r="AI57">
        <f t="shared" si="69"/>
        <v>1</v>
      </c>
      <c r="AJ57">
        <f t="shared" si="70"/>
        <v>0</v>
      </c>
      <c r="AK57">
        <f t="shared" si="71"/>
        <v>52054.271739994008</v>
      </c>
      <c r="AL57" t="s">
        <v>415</v>
      </c>
      <c r="AM57">
        <v>10238.9</v>
      </c>
      <c r="AN57">
        <v>302.21199999999999</v>
      </c>
      <c r="AO57">
        <v>4052.3</v>
      </c>
      <c r="AP57">
        <f t="shared" si="72"/>
        <v>0.92542210596451402</v>
      </c>
      <c r="AQ57">
        <v>-0.32343011824092421</v>
      </c>
      <c r="AR57" t="s">
        <v>598</v>
      </c>
      <c r="AS57">
        <v>7099.25</v>
      </c>
      <c r="AT57">
        <v>587.69164000000001</v>
      </c>
      <c r="AU57">
        <v>642.18674502023566</v>
      </c>
      <c r="AV57">
        <f t="shared" si="73"/>
        <v>8.4858657458771525E-2</v>
      </c>
      <c r="AW57">
        <v>0.5</v>
      </c>
      <c r="AX57">
        <f t="shared" si="74"/>
        <v>1513.0500002171593</v>
      </c>
      <c r="AY57">
        <f t="shared" si="75"/>
        <v>5.5366680694233796</v>
      </c>
      <c r="AZ57">
        <f t="shared" si="76"/>
        <v>64.197695843211051</v>
      </c>
      <c r="BA57">
        <f t="shared" si="77"/>
        <v>3.8730367052134678E-3</v>
      </c>
      <c r="BB57">
        <f t="shared" si="78"/>
        <v>5.3101582700407652</v>
      </c>
      <c r="BC57">
        <f t="shared" si="79"/>
        <v>216.48107398907467</v>
      </c>
      <c r="BD57" t="s">
        <v>599</v>
      </c>
      <c r="BE57">
        <v>395.9</v>
      </c>
      <c r="BF57">
        <f t="shared" si="80"/>
        <v>395.9</v>
      </c>
      <c r="BG57">
        <f t="shared" si="81"/>
        <v>0.38351265722944039</v>
      </c>
      <c r="BH57">
        <f t="shared" si="82"/>
        <v>0.22126690178051672</v>
      </c>
      <c r="BI57">
        <f t="shared" si="83"/>
        <v>0.93264228612289801</v>
      </c>
      <c r="BJ57">
        <f t="shared" si="84"/>
        <v>0.16029162700597671</v>
      </c>
      <c r="BK57">
        <f t="shared" si="85"/>
        <v>0.9093421954310843</v>
      </c>
      <c r="BL57">
        <f t="shared" si="86"/>
        <v>0.14905702319486214</v>
      </c>
      <c r="BM57">
        <f t="shared" si="87"/>
        <v>0.85094297680513786</v>
      </c>
      <c r="BN57">
        <v>34483</v>
      </c>
      <c r="BO57">
        <v>290.00000000000011</v>
      </c>
      <c r="BP57">
        <v>627.01</v>
      </c>
      <c r="BQ57">
        <v>285</v>
      </c>
      <c r="BR57">
        <v>7099.25</v>
      </c>
      <c r="BS57">
        <v>626.58000000000004</v>
      </c>
      <c r="BT57">
        <v>0.43</v>
      </c>
      <c r="BU57">
        <v>300.00000000000011</v>
      </c>
      <c r="BV57">
        <v>38.299999999999997</v>
      </c>
      <c r="BW57">
        <v>642.18674502023566</v>
      </c>
      <c r="BX57">
        <v>1.0241623449702839</v>
      </c>
      <c r="BY57">
        <v>-11.07659718591194</v>
      </c>
      <c r="BZ57">
        <v>0.60953998735867332</v>
      </c>
      <c r="CA57">
        <v>0.92183656435993977</v>
      </c>
      <c r="CB57">
        <v>-6.9984542825361554E-3</v>
      </c>
      <c r="CC57">
        <v>289.99999999999989</v>
      </c>
      <c r="CD57">
        <v>626.65</v>
      </c>
      <c r="CE57">
        <v>665</v>
      </c>
      <c r="CF57">
        <v>7095.89</v>
      </c>
      <c r="CG57">
        <v>626.58000000000004</v>
      </c>
      <c r="CH57">
        <v>7.0000000000000007E-2</v>
      </c>
      <c r="CV57">
        <f t="shared" si="88"/>
        <v>1799.84</v>
      </c>
      <c r="CW57">
        <f t="shared" si="89"/>
        <v>1513.0500002171593</v>
      </c>
      <c r="CX57">
        <f t="shared" si="90"/>
        <v>0.84065805861474319</v>
      </c>
      <c r="CY57">
        <f t="shared" si="91"/>
        <v>0.1608700531264543</v>
      </c>
      <c r="CZ57">
        <v>3.93</v>
      </c>
      <c r="DA57">
        <v>0.5</v>
      </c>
      <c r="DB57" t="s">
        <v>418</v>
      </c>
      <c r="DC57">
        <v>2</v>
      </c>
      <c r="DD57">
        <v>1700160281.0999999</v>
      </c>
      <c r="DE57">
        <v>25.473299999999998</v>
      </c>
      <c r="DF57">
        <v>29.9863</v>
      </c>
      <c r="DG57">
        <v>26.873799999999999</v>
      </c>
      <c r="DH57">
        <v>20.694199999999999</v>
      </c>
      <c r="DI57">
        <v>25.682300000000001</v>
      </c>
      <c r="DJ57">
        <v>26.623799999999999</v>
      </c>
      <c r="DK57">
        <v>500.06700000000001</v>
      </c>
      <c r="DL57">
        <v>99.181399999999996</v>
      </c>
      <c r="DM57">
        <v>0.100023</v>
      </c>
      <c r="DN57">
        <v>29.503</v>
      </c>
      <c r="DO57">
        <v>29.995100000000001</v>
      </c>
      <c r="DP57">
        <v>999.9</v>
      </c>
      <c r="DQ57">
        <v>0</v>
      </c>
      <c r="DR57">
        <v>0</v>
      </c>
      <c r="DS57">
        <v>10008.799999999999</v>
      </c>
      <c r="DT57">
        <v>0</v>
      </c>
      <c r="DU57">
        <v>143.90899999999999</v>
      </c>
      <c r="DV57">
        <v>-4.5246700000000004</v>
      </c>
      <c r="DW57">
        <v>26.1677</v>
      </c>
      <c r="DX57">
        <v>30.619900000000001</v>
      </c>
      <c r="DY57">
        <v>6.2887899999999997</v>
      </c>
      <c r="DZ57">
        <v>29.9863</v>
      </c>
      <c r="EA57">
        <v>20.694199999999999</v>
      </c>
      <c r="EB57">
        <v>2.6762100000000002</v>
      </c>
      <c r="EC57">
        <v>2.0524800000000001</v>
      </c>
      <c r="ED57">
        <v>22.139800000000001</v>
      </c>
      <c r="EE57">
        <v>17.8551</v>
      </c>
      <c r="EF57">
        <v>1799.84</v>
      </c>
      <c r="EG57">
        <v>0.97800299999999996</v>
      </c>
      <c r="EH57">
        <v>2.1996499999999999E-2</v>
      </c>
      <c r="EI57">
        <v>0</v>
      </c>
      <c r="EJ57">
        <v>587.36699999999996</v>
      </c>
      <c r="EK57">
        <v>4.9996700000000001</v>
      </c>
      <c r="EL57">
        <v>11051.9</v>
      </c>
      <c r="EM57">
        <v>15045.4</v>
      </c>
      <c r="EN57">
        <v>50.311999999999998</v>
      </c>
      <c r="EO57">
        <v>51.25</v>
      </c>
      <c r="EP57">
        <v>51</v>
      </c>
      <c r="EQ57">
        <v>51</v>
      </c>
      <c r="ER57">
        <v>51.686999999999998</v>
      </c>
      <c r="ES57">
        <v>1755.36</v>
      </c>
      <c r="ET57">
        <v>39.479999999999997</v>
      </c>
      <c r="EU57">
        <v>0</v>
      </c>
      <c r="EV57">
        <v>197.60000014305109</v>
      </c>
      <c r="EW57">
        <v>0</v>
      </c>
      <c r="EX57">
        <v>587.69164000000001</v>
      </c>
      <c r="EY57">
        <v>-0.95376923160817184</v>
      </c>
      <c r="EZ57">
        <v>87.246153819264876</v>
      </c>
      <c r="FA57">
        <v>11039.2</v>
      </c>
      <c r="FB57">
        <v>15</v>
      </c>
      <c r="FC57">
        <v>1700160315.0999999</v>
      </c>
      <c r="FD57" t="s">
        <v>600</v>
      </c>
      <c r="FE57">
        <v>1700160298.0999999</v>
      </c>
      <c r="FF57">
        <v>1700160315.0999999</v>
      </c>
      <c r="FG57">
        <v>61</v>
      </c>
      <c r="FH57">
        <v>8.9999999999999993E-3</v>
      </c>
      <c r="FI57">
        <v>2E-3</v>
      </c>
      <c r="FJ57">
        <v>-0.20899999999999999</v>
      </c>
      <c r="FK57">
        <v>0.25</v>
      </c>
      <c r="FL57">
        <v>30</v>
      </c>
      <c r="FM57">
        <v>21</v>
      </c>
      <c r="FN57">
        <v>0.17</v>
      </c>
      <c r="FO57">
        <v>0.04</v>
      </c>
      <c r="FP57">
        <v>5.5578670154605243</v>
      </c>
      <c r="FQ57">
        <v>-0.42402799981318479</v>
      </c>
      <c r="FR57">
        <v>3.6603338950945807E-2</v>
      </c>
      <c r="FS57">
        <v>1</v>
      </c>
      <c r="FT57">
        <v>0.54260592099242189</v>
      </c>
      <c r="FU57">
        <v>-7.1475654692692266E-3</v>
      </c>
      <c r="FV57">
        <v>1.2733649796889499E-3</v>
      </c>
      <c r="FW57">
        <v>1</v>
      </c>
      <c r="FX57">
        <v>2</v>
      </c>
      <c r="FY57">
        <v>2</v>
      </c>
      <c r="FZ57" t="s">
        <v>420</v>
      </c>
      <c r="GA57">
        <v>3.01274</v>
      </c>
      <c r="GB57">
        <v>2.77719</v>
      </c>
      <c r="GC57">
        <v>6.9354799999999999E-3</v>
      </c>
      <c r="GD57">
        <v>8.16361E-3</v>
      </c>
      <c r="GE57">
        <v>0.123448</v>
      </c>
      <c r="GF57">
        <v>0.103794</v>
      </c>
      <c r="GG57">
        <v>23772.3</v>
      </c>
      <c r="GH57">
        <v>24524.400000000001</v>
      </c>
      <c r="GI57">
        <v>23714.400000000001</v>
      </c>
      <c r="GJ57">
        <v>24393.5</v>
      </c>
      <c r="GK57">
        <v>30750.3</v>
      </c>
      <c r="GL57">
        <v>31352.799999999999</v>
      </c>
      <c r="GM57">
        <v>38841.4</v>
      </c>
      <c r="GN57">
        <v>38850.199999999997</v>
      </c>
      <c r="GO57">
        <v>2.0316000000000001</v>
      </c>
      <c r="GP57">
        <v>1.7659</v>
      </c>
      <c r="GQ57">
        <v>3.7323700000000001E-2</v>
      </c>
      <c r="GR57">
        <v>0</v>
      </c>
      <c r="GS57">
        <v>29.3874</v>
      </c>
      <c r="GT57">
        <v>999.9</v>
      </c>
      <c r="GU57">
        <v>36</v>
      </c>
      <c r="GV57">
        <v>40.6</v>
      </c>
      <c r="GW57">
        <v>27.785399999999999</v>
      </c>
      <c r="GX57">
        <v>61.011800000000001</v>
      </c>
      <c r="GY57">
        <v>31.286100000000001</v>
      </c>
      <c r="GZ57">
        <v>1</v>
      </c>
      <c r="HA57">
        <v>0.69734799999999997</v>
      </c>
      <c r="HB57">
        <v>3.23821</v>
      </c>
      <c r="HC57">
        <v>20.298300000000001</v>
      </c>
      <c r="HD57">
        <v>5.2446900000000003</v>
      </c>
      <c r="HE57">
        <v>11.997999999999999</v>
      </c>
      <c r="HF57">
        <v>4.9634499999999999</v>
      </c>
      <c r="HG57">
        <v>3.3008999999999999</v>
      </c>
      <c r="HH57">
        <v>9999</v>
      </c>
      <c r="HI57">
        <v>9999</v>
      </c>
      <c r="HJ57">
        <v>9999</v>
      </c>
      <c r="HK57">
        <v>999.9</v>
      </c>
      <c r="HL57">
        <v>1.8748499999999999</v>
      </c>
      <c r="HM57">
        <v>1.88019</v>
      </c>
      <c r="HN57">
        <v>1.88028</v>
      </c>
      <c r="HO57">
        <v>1.87897</v>
      </c>
      <c r="HP57">
        <v>1.8812599999999999</v>
      </c>
      <c r="HQ57">
        <v>1.8772200000000001</v>
      </c>
      <c r="HR57">
        <v>1.875</v>
      </c>
      <c r="HS57">
        <v>1.8821699999999999</v>
      </c>
      <c r="HT57">
        <v>5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423</v>
      </c>
      <c r="IB57" t="s">
        <v>423</v>
      </c>
      <c r="IC57" t="s">
        <v>423</v>
      </c>
      <c r="ID57">
        <v>0</v>
      </c>
      <c r="IE57">
        <v>100</v>
      </c>
      <c r="IF57">
        <v>100</v>
      </c>
      <c r="IG57">
        <v>-0.20899999999999999</v>
      </c>
      <c r="IH57">
        <v>0.25</v>
      </c>
      <c r="II57">
        <v>-0.2379419655287853</v>
      </c>
      <c r="IJ57">
        <v>7.0786345690369205E-4</v>
      </c>
      <c r="IK57">
        <v>-1.387476646623666E-6</v>
      </c>
      <c r="IL57">
        <v>3.6592443641472651E-10</v>
      </c>
      <c r="IM57">
        <v>0.35922689608634639</v>
      </c>
      <c r="IN57">
        <v>0</v>
      </c>
      <c r="IO57">
        <v>0</v>
      </c>
      <c r="IP57">
        <v>0</v>
      </c>
      <c r="IQ57">
        <v>2</v>
      </c>
      <c r="IR57">
        <v>2142</v>
      </c>
      <c r="IS57">
        <v>1</v>
      </c>
      <c r="IT57">
        <v>24</v>
      </c>
      <c r="IU57">
        <v>2.2000000000000002</v>
      </c>
      <c r="IV57">
        <v>2</v>
      </c>
      <c r="IW57">
        <v>0.21850600000000001</v>
      </c>
      <c r="IX57">
        <v>2.7258300000000002</v>
      </c>
      <c r="IY57">
        <v>1.5490699999999999</v>
      </c>
      <c r="IZ57">
        <v>2.36084</v>
      </c>
      <c r="JA57">
        <v>1.5966800000000001</v>
      </c>
      <c r="JB57">
        <v>2.2558600000000002</v>
      </c>
      <c r="JC57">
        <v>43.100900000000003</v>
      </c>
      <c r="JD57">
        <v>24.113800000000001</v>
      </c>
      <c r="JE57">
        <v>18</v>
      </c>
      <c r="JF57">
        <v>543.98900000000003</v>
      </c>
      <c r="JG57">
        <v>437.64800000000002</v>
      </c>
      <c r="JH57">
        <v>26.156700000000001</v>
      </c>
      <c r="JI57">
        <v>35.696899999999999</v>
      </c>
      <c r="JJ57">
        <v>30.0002</v>
      </c>
      <c r="JK57">
        <v>35.640799999999999</v>
      </c>
      <c r="JL57">
        <v>35.620600000000003</v>
      </c>
      <c r="JM57">
        <v>4.3479400000000004</v>
      </c>
      <c r="JN57">
        <v>25.214400000000001</v>
      </c>
      <c r="JO57">
        <v>9.5020799999999994</v>
      </c>
      <c r="JP57">
        <v>26.151499999999999</v>
      </c>
      <c r="JQ57">
        <v>30</v>
      </c>
      <c r="JR57">
        <v>20.809799999999999</v>
      </c>
      <c r="JS57">
        <v>98.364599999999996</v>
      </c>
      <c r="JT57">
        <v>99.234700000000004</v>
      </c>
    </row>
    <row r="58" spans="1:280" x14ac:dyDescent="0.25">
      <c r="A58">
        <v>56</v>
      </c>
      <c r="B58">
        <v>1700160430.0999999</v>
      </c>
      <c r="C58">
        <v>12574.099999904631</v>
      </c>
      <c r="D58" t="s">
        <v>601</v>
      </c>
      <c r="E58" t="s">
        <v>602</v>
      </c>
      <c r="F58" t="s">
        <v>412</v>
      </c>
      <c r="G58" t="s">
        <v>547</v>
      </c>
      <c r="H58" t="s">
        <v>547</v>
      </c>
      <c r="I58">
        <v>1700160430.0999999</v>
      </c>
      <c r="J58">
        <f t="shared" si="46"/>
        <v>8.5461549048286498E-3</v>
      </c>
      <c r="K58">
        <f t="shared" si="47"/>
        <v>8.5461549048286489</v>
      </c>
      <c r="L58">
        <f t="shared" si="48"/>
        <v>1.7737213336857709</v>
      </c>
      <c r="M58">
        <f t="shared" si="49"/>
        <v>8.5767000000000007</v>
      </c>
      <c r="N58">
        <f t="shared" si="50"/>
        <v>3.1483223441574935</v>
      </c>
      <c r="O58">
        <f t="shared" si="51"/>
        <v>0.31255984083284127</v>
      </c>
      <c r="P58">
        <f t="shared" si="52"/>
        <v>0.85147951633536001</v>
      </c>
      <c r="Q58">
        <f t="shared" si="53"/>
        <v>0.58039584017956025</v>
      </c>
      <c r="R58">
        <f t="shared" si="54"/>
        <v>3.4444887380689755</v>
      </c>
      <c r="S58">
        <f t="shared" si="55"/>
        <v>0.53103175050013041</v>
      </c>
      <c r="T58">
        <f t="shared" si="56"/>
        <v>0.3359794358321187</v>
      </c>
      <c r="U58">
        <f t="shared" si="57"/>
        <v>289.53614741923064</v>
      </c>
      <c r="V58">
        <f t="shared" si="58"/>
        <v>29.007196859545534</v>
      </c>
      <c r="W58">
        <f t="shared" si="59"/>
        <v>29.9529</v>
      </c>
      <c r="X58">
        <f t="shared" si="60"/>
        <v>4.2489371927084143</v>
      </c>
      <c r="Y58">
        <f t="shared" si="61"/>
        <v>65.588750156166725</v>
      </c>
      <c r="Z58">
        <f t="shared" si="62"/>
        <v>2.7071780917068802</v>
      </c>
      <c r="AA58">
        <f t="shared" si="63"/>
        <v>4.1275037033959219</v>
      </c>
      <c r="AB58">
        <f t="shared" si="64"/>
        <v>1.5417591010015341</v>
      </c>
      <c r="AC58">
        <f t="shared" si="65"/>
        <v>-376.88543130294346</v>
      </c>
      <c r="AD58">
        <f t="shared" si="66"/>
        <v>-93.536725747720084</v>
      </c>
      <c r="AE58">
        <f t="shared" si="67"/>
        <v>-6.0201967499078748</v>
      </c>
      <c r="AF58">
        <f t="shared" si="68"/>
        <v>-186.90620638134078</v>
      </c>
      <c r="AG58">
        <v>0</v>
      </c>
      <c r="AH58">
        <v>0</v>
      </c>
      <c r="AI58">
        <f t="shared" si="69"/>
        <v>1</v>
      </c>
      <c r="AJ58">
        <f t="shared" si="70"/>
        <v>0</v>
      </c>
      <c r="AK58">
        <f t="shared" si="71"/>
        <v>52086.841638360384</v>
      </c>
      <c r="AL58" t="s">
        <v>426</v>
      </c>
      <c r="AM58" t="s">
        <v>426</v>
      </c>
      <c r="AN58">
        <v>0</v>
      </c>
      <c r="AO58">
        <v>0</v>
      </c>
      <c r="AP58" t="e">
        <f t="shared" si="72"/>
        <v>#DIV/0!</v>
      </c>
      <c r="AQ58">
        <v>0</v>
      </c>
      <c r="AR58" t="s">
        <v>426</v>
      </c>
      <c r="AS58" t="s">
        <v>426</v>
      </c>
      <c r="AT58">
        <v>0</v>
      </c>
      <c r="AU58">
        <v>0</v>
      </c>
      <c r="AV58" t="e">
        <f t="shared" si="73"/>
        <v>#DIV/0!</v>
      </c>
      <c r="AW58">
        <v>0.5</v>
      </c>
      <c r="AX58">
        <f t="shared" si="74"/>
        <v>1513.0251002172179</v>
      </c>
      <c r="AY58">
        <f t="shared" si="75"/>
        <v>1.7737213336857709</v>
      </c>
      <c r="AZ58" t="e">
        <f t="shared" si="76"/>
        <v>#DIV/0!</v>
      </c>
      <c r="BA58">
        <f t="shared" si="77"/>
        <v>1.1723013276059506E-3</v>
      </c>
      <c r="BB58" t="e">
        <f t="shared" si="78"/>
        <v>#DIV/0!</v>
      </c>
      <c r="BC58" t="e">
        <f t="shared" si="79"/>
        <v>#DIV/0!</v>
      </c>
      <c r="BD58" t="s">
        <v>426</v>
      </c>
      <c r="BE58">
        <v>0</v>
      </c>
      <c r="BF58" t="e">
        <f t="shared" si="80"/>
        <v>#DIV/0!</v>
      </c>
      <c r="BG58" t="e">
        <f t="shared" si="81"/>
        <v>#DIV/0!</v>
      </c>
      <c r="BH58" t="e">
        <f t="shared" si="82"/>
        <v>#DIV/0!</v>
      </c>
      <c r="BI58" t="e">
        <f t="shared" si="83"/>
        <v>#DIV/0!</v>
      </c>
      <c r="BJ58" t="e">
        <f t="shared" si="84"/>
        <v>#DIV/0!</v>
      </c>
      <c r="BK58" t="e">
        <f t="shared" si="85"/>
        <v>#DIV/0!</v>
      </c>
      <c r="BL58" t="e">
        <f t="shared" si="86"/>
        <v>#DIV/0!</v>
      </c>
      <c r="BM58" t="e">
        <f t="shared" si="87"/>
        <v>#DIV/0!</v>
      </c>
      <c r="BN58">
        <v>34483</v>
      </c>
      <c r="BO58">
        <v>290.00000000000011</v>
      </c>
      <c r="BP58">
        <v>627.01</v>
      </c>
      <c r="BQ58">
        <v>285</v>
      </c>
      <c r="BR58">
        <v>7099.25</v>
      </c>
      <c r="BS58">
        <v>626.58000000000004</v>
      </c>
      <c r="BT58">
        <v>0.43</v>
      </c>
      <c r="BU58">
        <v>300.00000000000011</v>
      </c>
      <c r="BV58">
        <v>38.299999999999997</v>
      </c>
      <c r="BW58">
        <v>642.18674502023566</v>
      </c>
      <c r="BX58">
        <v>1.0241623449702839</v>
      </c>
      <c r="BY58">
        <v>-11.07659718591194</v>
      </c>
      <c r="BZ58">
        <v>0.60953998735867332</v>
      </c>
      <c r="CA58">
        <v>0.92183656435993977</v>
      </c>
      <c r="CB58">
        <v>-6.9984542825361554E-3</v>
      </c>
      <c r="CC58">
        <v>289.99999999999989</v>
      </c>
      <c r="CD58">
        <v>626.65</v>
      </c>
      <c r="CE58">
        <v>665</v>
      </c>
      <c r="CF58">
        <v>7095.89</v>
      </c>
      <c r="CG58">
        <v>626.58000000000004</v>
      </c>
      <c r="CH58">
        <v>7.0000000000000007E-2</v>
      </c>
      <c r="CV58">
        <f t="shared" si="88"/>
        <v>1799.81</v>
      </c>
      <c r="CW58">
        <f t="shared" si="89"/>
        <v>1513.0251002172179</v>
      </c>
      <c r="CX58">
        <f t="shared" si="90"/>
        <v>0.8406582362678382</v>
      </c>
      <c r="CY58">
        <f t="shared" si="91"/>
        <v>0.16087039599692782</v>
      </c>
      <c r="CZ58">
        <v>3.93</v>
      </c>
      <c r="DA58">
        <v>0.5</v>
      </c>
      <c r="DB58" t="s">
        <v>418</v>
      </c>
      <c r="DC58">
        <v>2</v>
      </c>
      <c r="DD58">
        <v>1700160430.0999999</v>
      </c>
      <c r="DE58">
        <v>8.5767000000000007</v>
      </c>
      <c r="DF58">
        <v>10.0281</v>
      </c>
      <c r="DG58">
        <v>27.268599999999999</v>
      </c>
      <c r="DH58">
        <v>20.7361</v>
      </c>
      <c r="DI58">
        <v>8.8062000000000005</v>
      </c>
      <c r="DJ58">
        <v>26.909300000000002</v>
      </c>
      <c r="DK58">
        <v>500.12299999999999</v>
      </c>
      <c r="DL58">
        <v>99.178299999999993</v>
      </c>
      <c r="DM58">
        <v>9.9920800000000004E-2</v>
      </c>
      <c r="DN58">
        <v>29.449200000000001</v>
      </c>
      <c r="DO58">
        <v>29.9529</v>
      </c>
      <c r="DP58">
        <v>999.9</v>
      </c>
      <c r="DQ58">
        <v>0</v>
      </c>
      <c r="DR58">
        <v>0</v>
      </c>
      <c r="DS58">
        <v>10013.799999999999</v>
      </c>
      <c r="DT58">
        <v>0</v>
      </c>
      <c r="DU58">
        <v>383.10399999999998</v>
      </c>
      <c r="DV58">
        <v>-1.45137</v>
      </c>
      <c r="DW58">
        <v>8.8171300000000006</v>
      </c>
      <c r="DX58">
        <v>10.240399999999999</v>
      </c>
      <c r="DY58">
        <v>6.5325199999999999</v>
      </c>
      <c r="DZ58">
        <v>10.0281</v>
      </c>
      <c r="EA58">
        <v>20.7361</v>
      </c>
      <c r="EB58">
        <v>2.70445</v>
      </c>
      <c r="EC58">
        <v>2.0565699999999998</v>
      </c>
      <c r="ED58">
        <v>22.312200000000001</v>
      </c>
      <c r="EE58">
        <v>17.886700000000001</v>
      </c>
      <c r="EF58">
        <v>1799.81</v>
      </c>
      <c r="EG58">
        <v>0.97799999999999998</v>
      </c>
      <c r="EH58">
        <v>2.2000100000000002E-2</v>
      </c>
      <c r="EI58">
        <v>0</v>
      </c>
      <c r="EJ58">
        <v>598.65700000000004</v>
      </c>
      <c r="EK58">
        <v>4.9996700000000001</v>
      </c>
      <c r="EL58">
        <v>12015.5</v>
      </c>
      <c r="EM58">
        <v>15045.2</v>
      </c>
      <c r="EN58">
        <v>50.375</v>
      </c>
      <c r="EO58">
        <v>51.25</v>
      </c>
      <c r="EP58">
        <v>51.061999999999998</v>
      </c>
      <c r="EQ58">
        <v>51</v>
      </c>
      <c r="ER58">
        <v>51.686999999999998</v>
      </c>
      <c r="ES58">
        <v>1755.32</v>
      </c>
      <c r="ET58">
        <v>39.49</v>
      </c>
      <c r="EU58">
        <v>0</v>
      </c>
      <c r="EV58">
        <v>147.20000004768369</v>
      </c>
      <c r="EW58">
        <v>0</v>
      </c>
      <c r="EX58">
        <v>598.55623076923087</v>
      </c>
      <c r="EY58">
        <v>-1.239863253216261</v>
      </c>
      <c r="EZ58">
        <v>-397.70940177546993</v>
      </c>
      <c r="FA58">
        <v>12088.469230769229</v>
      </c>
      <c r="FB58">
        <v>15</v>
      </c>
      <c r="FC58">
        <v>1700160398.5999999</v>
      </c>
      <c r="FD58" t="s">
        <v>603</v>
      </c>
      <c r="FE58">
        <v>1700160389.0999999</v>
      </c>
      <c r="FF58">
        <v>1700160398.5999999</v>
      </c>
      <c r="FG58">
        <v>62</v>
      </c>
      <c r="FH58">
        <v>-7.0000000000000001E-3</v>
      </c>
      <c r="FI58">
        <v>-2E-3</v>
      </c>
      <c r="FJ58">
        <v>-0.22900000000000001</v>
      </c>
      <c r="FK58">
        <v>0.26100000000000001</v>
      </c>
      <c r="FL58">
        <v>10</v>
      </c>
      <c r="FM58">
        <v>21</v>
      </c>
      <c r="FN58">
        <v>0.35</v>
      </c>
      <c r="FO58">
        <v>0.02</v>
      </c>
      <c r="FP58">
        <v>1.7605085750779019</v>
      </c>
      <c r="FQ58">
        <v>-0.28284955203891871</v>
      </c>
      <c r="FR58">
        <v>3.1780118407257307E-2</v>
      </c>
      <c r="FS58">
        <v>1</v>
      </c>
      <c r="FT58">
        <v>0.58098672759633396</v>
      </c>
      <c r="FU58">
        <v>2.997884118824088E-2</v>
      </c>
      <c r="FV58">
        <v>4.022653655921235E-3</v>
      </c>
      <c r="FW58">
        <v>1</v>
      </c>
      <c r="FX58">
        <v>2</v>
      </c>
      <c r="FY58">
        <v>2</v>
      </c>
      <c r="FZ58" t="s">
        <v>420</v>
      </c>
      <c r="GA58">
        <v>3.0129000000000001</v>
      </c>
      <c r="GB58">
        <v>2.77712</v>
      </c>
      <c r="GC58">
        <v>2.3868499999999998E-3</v>
      </c>
      <c r="GD58">
        <v>2.7431199999999999E-3</v>
      </c>
      <c r="GE58">
        <v>0.12435</v>
      </c>
      <c r="GF58">
        <v>0.103932</v>
      </c>
      <c r="GG58">
        <v>23881.3</v>
      </c>
      <c r="GH58">
        <v>24658.1</v>
      </c>
      <c r="GI58">
        <v>23714.9</v>
      </c>
      <c r="GJ58">
        <v>24393.599999999999</v>
      </c>
      <c r="GK58">
        <v>30719.200000000001</v>
      </c>
      <c r="GL58">
        <v>31348.7</v>
      </c>
      <c r="GM58">
        <v>38842</v>
      </c>
      <c r="GN58">
        <v>38851.1</v>
      </c>
      <c r="GO58">
        <v>2.03125</v>
      </c>
      <c r="GP58">
        <v>1.76583</v>
      </c>
      <c r="GQ58">
        <v>3.69921E-2</v>
      </c>
      <c r="GR58">
        <v>0</v>
      </c>
      <c r="GS58">
        <v>29.3506</v>
      </c>
      <c r="GT58">
        <v>999.9</v>
      </c>
      <c r="GU58">
        <v>35.700000000000003</v>
      </c>
      <c r="GV58">
        <v>40.6</v>
      </c>
      <c r="GW58">
        <v>27.551600000000001</v>
      </c>
      <c r="GX58">
        <v>61.0518</v>
      </c>
      <c r="GY58">
        <v>31.009599999999999</v>
      </c>
      <c r="GZ58">
        <v>1</v>
      </c>
      <c r="HA58">
        <v>0.69828800000000002</v>
      </c>
      <c r="HB58">
        <v>3.2091699999999999</v>
      </c>
      <c r="HC58">
        <v>20.298999999999999</v>
      </c>
      <c r="HD58">
        <v>5.2448399999999999</v>
      </c>
      <c r="HE58">
        <v>11.997999999999999</v>
      </c>
      <c r="HF58">
        <v>4.9634499999999999</v>
      </c>
      <c r="HG58">
        <v>3.3008500000000001</v>
      </c>
      <c r="HH58">
        <v>9999</v>
      </c>
      <c r="HI58">
        <v>9999</v>
      </c>
      <c r="HJ58">
        <v>9999</v>
      </c>
      <c r="HK58">
        <v>999.9</v>
      </c>
      <c r="HL58">
        <v>1.87486</v>
      </c>
      <c r="HM58">
        <v>1.88019</v>
      </c>
      <c r="HN58">
        <v>1.88028</v>
      </c>
      <c r="HO58">
        <v>1.8789800000000001</v>
      </c>
      <c r="HP58">
        <v>1.8812800000000001</v>
      </c>
      <c r="HQ58">
        <v>1.87727</v>
      </c>
      <c r="HR58">
        <v>1.875</v>
      </c>
      <c r="HS58">
        <v>1.8821699999999999</v>
      </c>
      <c r="HT58">
        <v>5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423</v>
      </c>
      <c r="IB58" t="s">
        <v>423</v>
      </c>
      <c r="IC58" t="s">
        <v>423</v>
      </c>
      <c r="ID58">
        <v>0</v>
      </c>
      <c r="IE58">
        <v>100</v>
      </c>
      <c r="IF58">
        <v>100</v>
      </c>
      <c r="IG58">
        <v>-0.22900000000000001</v>
      </c>
      <c r="IH58">
        <v>0.35930000000000001</v>
      </c>
      <c r="II58">
        <v>-0.23562676493051629</v>
      </c>
      <c r="IJ58">
        <v>7.0786345690369205E-4</v>
      </c>
      <c r="IK58">
        <v>-1.387476646623666E-6</v>
      </c>
      <c r="IL58">
        <v>3.6592443641472651E-10</v>
      </c>
      <c r="IM58">
        <v>0.35933366990768117</v>
      </c>
      <c r="IN58">
        <v>0</v>
      </c>
      <c r="IO58">
        <v>0</v>
      </c>
      <c r="IP58">
        <v>0</v>
      </c>
      <c r="IQ58">
        <v>2</v>
      </c>
      <c r="IR58">
        <v>2142</v>
      </c>
      <c r="IS58">
        <v>1</v>
      </c>
      <c r="IT58">
        <v>24</v>
      </c>
      <c r="IU58">
        <v>0.7</v>
      </c>
      <c r="IV58">
        <v>0.5</v>
      </c>
      <c r="IW58">
        <v>0.17333999999999999</v>
      </c>
      <c r="IX58">
        <v>2.7307100000000002</v>
      </c>
      <c r="IY58">
        <v>1.5490699999999999</v>
      </c>
      <c r="IZ58">
        <v>2.36084</v>
      </c>
      <c r="JA58">
        <v>1.5966800000000001</v>
      </c>
      <c r="JB58">
        <v>2.3754900000000001</v>
      </c>
      <c r="JC58">
        <v>43.182000000000002</v>
      </c>
      <c r="JD58">
        <v>24.122499999999999</v>
      </c>
      <c r="JE58">
        <v>18</v>
      </c>
      <c r="JF58">
        <v>543.96600000000001</v>
      </c>
      <c r="JG58">
        <v>437.78100000000001</v>
      </c>
      <c r="JH58">
        <v>26.0473</v>
      </c>
      <c r="JI58">
        <v>35.710799999999999</v>
      </c>
      <c r="JJ58">
        <v>30</v>
      </c>
      <c r="JK58">
        <v>35.667200000000001</v>
      </c>
      <c r="JL58">
        <v>35.646900000000002</v>
      </c>
      <c r="JM58">
        <v>3.47627</v>
      </c>
      <c r="JN58">
        <v>25.381900000000002</v>
      </c>
      <c r="JO58">
        <v>7.9742100000000002</v>
      </c>
      <c r="JP58">
        <v>26.082100000000001</v>
      </c>
      <c r="JQ58">
        <v>10</v>
      </c>
      <c r="JR58">
        <v>20.6038</v>
      </c>
      <c r="JS58">
        <v>98.366299999999995</v>
      </c>
      <c r="JT58">
        <v>99.236199999999997</v>
      </c>
    </row>
    <row r="59" spans="1:280" x14ac:dyDescent="0.25">
      <c r="A59">
        <v>57</v>
      </c>
      <c r="B59">
        <v>1700161819.5</v>
      </c>
      <c r="C59">
        <v>13963.5</v>
      </c>
      <c r="D59" t="s">
        <v>604</v>
      </c>
      <c r="E59" t="s">
        <v>605</v>
      </c>
      <c r="F59" t="s">
        <v>412</v>
      </c>
      <c r="G59" t="s">
        <v>544</v>
      </c>
      <c r="H59" t="s">
        <v>606</v>
      </c>
      <c r="I59">
        <v>1700161819.5</v>
      </c>
      <c r="J59">
        <f t="shared" si="46"/>
        <v>4.2174145616356937E-3</v>
      </c>
      <c r="K59">
        <f t="shared" si="47"/>
        <v>4.2174145616356942</v>
      </c>
      <c r="L59">
        <f t="shared" si="48"/>
        <v>43.872315521834274</v>
      </c>
      <c r="M59">
        <f t="shared" si="49"/>
        <v>406.28899999999999</v>
      </c>
      <c r="N59">
        <f t="shared" si="50"/>
        <v>119.53386028956932</v>
      </c>
      <c r="O59">
        <f t="shared" si="51"/>
        <v>11.863022446915721</v>
      </c>
      <c r="P59">
        <f t="shared" si="52"/>
        <v>40.321759167310397</v>
      </c>
      <c r="Q59">
        <f t="shared" si="53"/>
        <v>0.26072670661416125</v>
      </c>
      <c r="R59">
        <f t="shared" si="54"/>
        <v>3.1840421783607651</v>
      </c>
      <c r="S59">
        <f t="shared" si="55"/>
        <v>0.24941995964523278</v>
      </c>
      <c r="T59">
        <f t="shared" si="56"/>
        <v>0.15686247877255111</v>
      </c>
      <c r="U59">
        <f t="shared" si="57"/>
        <v>289.5776434191701</v>
      </c>
      <c r="V59">
        <f t="shared" si="58"/>
        <v>29.744172500606666</v>
      </c>
      <c r="W59">
        <f t="shared" si="59"/>
        <v>30.013300000000001</v>
      </c>
      <c r="X59">
        <f t="shared" si="60"/>
        <v>4.2637055887685724</v>
      </c>
      <c r="Y59">
        <f t="shared" si="61"/>
        <v>65.062153629535246</v>
      </c>
      <c r="Z59">
        <f t="shared" si="62"/>
        <v>2.6439999967510399</v>
      </c>
      <c r="AA59">
        <f t="shared" si="63"/>
        <v>4.0638064516062755</v>
      </c>
      <c r="AB59">
        <f t="shared" si="64"/>
        <v>1.6197055920175325</v>
      </c>
      <c r="AC59">
        <f t="shared" si="65"/>
        <v>-185.9879821681341</v>
      </c>
      <c r="AD59">
        <f t="shared" si="66"/>
        <v>-143.07701128014139</v>
      </c>
      <c r="AE59">
        <f t="shared" si="67"/>
        <v>-9.9516477591345307</v>
      </c>
      <c r="AF59">
        <f t="shared" si="68"/>
        <v>-49.438997788239902</v>
      </c>
      <c r="AG59">
        <v>0</v>
      </c>
      <c r="AH59">
        <v>0</v>
      </c>
      <c r="AI59">
        <f t="shared" si="69"/>
        <v>1</v>
      </c>
      <c r="AJ59">
        <f t="shared" si="70"/>
        <v>0</v>
      </c>
      <c r="AK59">
        <f t="shared" si="71"/>
        <v>52158.812788985255</v>
      </c>
      <c r="AL59" t="s">
        <v>415</v>
      </c>
      <c r="AM59">
        <v>10238.9</v>
      </c>
      <c r="AN59">
        <v>302.21199999999999</v>
      </c>
      <c r="AO59">
        <v>4052.3</v>
      </c>
      <c r="AP59">
        <f t="shared" si="72"/>
        <v>0.92542210596451402</v>
      </c>
      <c r="AQ59">
        <v>-0.32343011824092421</v>
      </c>
      <c r="AR59" t="s">
        <v>607</v>
      </c>
      <c r="AS59">
        <v>7161.82</v>
      </c>
      <c r="AT59">
        <v>590.1599615384614</v>
      </c>
      <c r="AU59">
        <v>837.68643418873751</v>
      </c>
      <c r="AV59">
        <f t="shared" si="73"/>
        <v>0.29548821915684309</v>
      </c>
      <c r="AW59">
        <v>0.5</v>
      </c>
      <c r="AX59">
        <f t="shared" si="74"/>
        <v>1513.2435002171865</v>
      </c>
      <c r="AY59">
        <f t="shared" si="75"/>
        <v>43.872315521834274</v>
      </c>
      <c r="AZ59">
        <f t="shared" si="76"/>
        <v>223.57281351492216</v>
      </c>
      <c r="BA59">
        <f t="shared" si="77"/>
        <v>2.9205970905364573E-2</v>
      </c>
      <c r="BB59">
        <f t="shared" si="78"/>
        <v>3.8374903002034104</v>
      </c>
      <c r="BC59">
        <f t="shared" si="79"/>
        <v>234.96648473169125</v>
      </c>
      <c r="BD59" t="s">
        <v>608</v>
      </c>
      <c r="BE59">
        <v>429</v>
      </c>
      <c r="BF59">
        <f t="shared" si="80"/>
        <v>429</v>
      </c>
      <c r="BG59">
        <f t="shared" si="81"/>
        <v>0.48787519710108751</v>
      </c>
      <c r="BH59">
        <f t="shared" si="82"/>
        <v>0.60566354041486159</v>
      </c>
      <c r="BI59">
        <f t="shared" si="83"/>
        <v>0.88720601821854728</v>
      </c>
      <c r="BJ59">
        <f t="shared" si="84"/>
        <v>0.46225637835592909</v>
      </c>
      <c r="BK59">
        <f t="shared" si="85"/>
        <v>0.85721016835105268</v>
      </c>
      <c r="BL59">
        <f t="shared" si="86"/>
        <v>0.44026988574527726</v>
      </c>
      <c r="BM59">
        <f t="shared" si="87"/>
        <v>0.55973011425472274</v>
      </c>
      <c r="BN59">
        <v>34485</v>
      </c>
      <c r="BO59">
        <v>290.00000000000011</v>
      </c>
      <c r="BP59">
        <v>769.68</v>
      </c>
      <c r="BQ59">
        <v>285</v>
      </c>
      <c r="BR59">
        <v>7161.82</v>
      </c>
      <c r="BS59">
        <v>771.83</v>
      </c>
      <c r="BT59">
        <v>-2.15</v>
      </c>
      <c r="BU59">
        <v>300.00000000000011</v>
      </c>
      <c r="BV59">
        <v>38.200000000000003</v>
      </c>
      <c r="BW59">
        <v>837.68643418873751</v>
      </c>
      <c r="BX59">
        <v>1.191462763996963</v>
      </c>
      <c r="BY59">
        <v>-47.166529790401341</v>
      </c>
      <c r="BZ59">
        <v>0.71533906697010918</v>
      </c>
      <c r="CA59">
        <v>0.99360079534091839</v>
      </c>
      <c r="CB59">
        <v>-7.0609147942157988E-3</v>
      </c>
      <c r="CC59">
        <v>289.99999999999989</v>
      </c>
      <c r="CD59">
        <v>781.28</v>
      </c>
      <c r="CE59">
        <v>835</v>
      </c>
      <c r="CF59">
        <v>7155.2</v>
      </c>
      <c r="CG59">
        <v>771.77</v>
      </c>
      <c r="CH59">
        <v>9.51</v>
      </c>
      <c r="CV59">
        <f t="shared" si="88"/>
        <v>1800.07</v>
      </c>
      <c r="CW59">
        <f t="shared" si="89"/>
        <v>1513.2435002171865</v>
      </c>
      <c r="CX59">
        <f t="shared" si="90"/>
        <v>0.84065814119294613</v>
      </c>
      <c r="CY59">
        <f t="shared" si="91"/>
        <v>0.16087021250238609</v>
      </c>
      <c r="CZ59">
        <v>4.8</v>
      </c>
      <c r="DA59">
        <v>0.5</v>
      </c>
      <c r="DB59" t="s">
        <v>418</v>
      </c>
      <c r="DC59">
        <v>2</v>
      </c>
      <c r="DD59">
        <v>1700161819.5</v>
      </c>
      <c r="DE59">
        <v>406.28899999999999</v>
      </c>
      <c r="DF59">
        <v>450.03300000000002</v>
      </c>
      <c r="DG59">
        <v>26.641400000000001</v>
      </c>
      <c r="DH59">
        <v>22.702200000000001</v>
      </c>
      <c r="DI59">
        <v>406.44799999999998</v>
      </c>
      <c r="DJ59">
        <v>26.297899999999998</v>
      </c>
      <c r="DK59">
        <v>500.21</v>
      </c>
      <c r="DL59">
        <v>99.144300000000001</v>
      </c>
      <c r="DM59">
        <v>9.9733600000000006E-2</v>
      </c>
      <c r="DN59">
        <v>29.1798</v>
      </c>
      <c r="DO59">
        <v>30.013300000000001</v>
      </c>
      <c r="DP59">
        <v>999.9</v>
      </c>
      <c r="DQ59">
        <v>0</v>
      </c>
      <c r="DR59">
        <v>0</v>
      </c>
      <c r="DS59">
        <v>10022.5</v>
      </c>
      <c r="DT59">
        <v>0</v>
      </c>
      <c r="DU59">
        <v>455.49599999999998</v>
      </c>
      <c r="DV59">
        <v>-43.7438</v>
      </c>
      <c r="DW59">
        <v>417.41</v>
      </c>
      <c r="DX59">
        <v>460.48700000000002</v>
      </c>
      <c r="DY59">
        <v>3.9392100000000001</v>
      </c>
      <c r="DZ59">
        <v>450.03300000000002</v>
      </c>
      <c r="EA59">
        <v>22.702200000000001</v>
      </c>
      <c r="EB59">
        <v>2.6413500000000001</v>
      </c>
      <c r="EC59">
        <v>2.2507999999999999</v>
      </c>
      <c r="ED59">
        <v>21.924700000000001</v>
      </c>
      <c r="EE59">
        <v>19.328499999999998</v>
      </c>
      <c r="EF59">
        <v>1800.07</v>
      </c>
      <c r="EG59">
        <v>0.97800100000000001</v>
      </c>
      <c r="EH59">
        <v>2.1998500000000001E-2</v>
      </c>
      <c r="EI59">
        <v>0</v>
      </c>
      <c r="EJ59">
        <v>589.697</v>
      </c>
      <c r="EK59">
        <v>4.9996700000000001</v>
      </c>
      <c r="EL59">
        <v>14172.6</v>
      </c>
      <c r="EM59">
        <v>15047.4</v>
      </c>
      <c r="EN59">
        <v>51.25</v>
      </c>
      <c r="EO59">
        <v>52.5</v>
      </c>
      <c r="EP59">
        <v>52.125</v>
      </c>
      <c r="EQ59">
        <v>52.061999999999998</v>
      </c>
      <c r="ER59">
        <v>52.436999999999998</v>
      </c>
      <c r="ES59">
        <v>1755.58</v>
      </c>
      <c r="ET59">
        <v>39.49</v>
      </c>
      <c r="EU59">
        <v>0</v>
      </c>
      <c r="EV59">
        <v>1536.8000001907351</v>
      </c>
      <c r="EW59">
        <v>0</v>
      </c>
      <c r="EX59">
        <v>590.1599615384614</v>
      </c>
      <c r="EY59">
        <v>-1.078529922543471</v>
      </c>
      <c r="EZ59">
        <v>-758.84786218785712</v>
      </c>
      <c r="FA59">
        <v>14194.465384615391</v>
      </c>
      <c r="FB59">
        <v>15</v>
      </c>
      <c r="FC59">
        <v>1700161785.5</v>
      </c>
      <c r="FD59" t="s">
        <v>609</v>
      </c>
      <c r="FE59">
        <v>1700161785.5</v>
      </c>
      <c r="FF59">
        <v>1700161784.5</v>
      </c>
      <c r="FG59">
        <v>64</v>
      </c>
      <c r="FH59">
        <v>-0.01</v>
      </c>
      <c r="FI59">
        <v>-1.6E-2</v>
      </c>
      <c r="FJ59">
        <v>-0.17100000000000001</v>
      </c>
      <c r="FK59">
        <v>0.29399999999999998</v>
      </c>
      <c r="FL59">
        <v>450</v>
      </c>
      <c r="FM59">
        <v>23</v>
      </c>
      <c r="FN59">
        <v>7.0000000000000007E-2</v>
      </c>
      <c r="FO59">
        <v>0.02</v>
      </c>
      <c r="FP59">
        <v>43.842586061222661</v>
      </c>
      <c r="FQ59">
        <v>0.2260646609715728</v>
      </c>
      <c r="FR59">
        <v>4.2043528982380549E-2</v>
      </c>
      <c r="FS59">
        <v>1</v>
      </c>
      <c r="FT59">
        <v>0.26194192867066352</v>
      </c>
      <c r="FU59">
        <v>1.7730301861326719E-2</v>
      </c>
      <c r="FV59">
        <v>1.632559934313819E-3</v>
      </c>
      <c r="FW59">
        <v>1</v>
      </c>
      <c r="FX59">
        <v>2</v>
      </c>
      <c r="FY59">
        <v>2</v>
      </c>
      <c r="FZ59" t="s">
        <v>420</v>
      </c>
      <c r="GA59">
        <v>3.0135900000000002</v>
      </c>
      <c r="GB59">
        <v>2.7770199999999998</v>
      </c>
      <c r="GC59">
        <v>8.8798299999999997E-2</v>
      </c>
      <c r="GD59">
        <v>9.6500799999999998E-2</v>
      </c>
      <c r="GE59">
        <v>0.122181</v>
      </c>
      <c r="GF59">
        <v>0.11053200000000001</v>
      </c>
      <c r="GG59">
        <v>21781.9</v>
      </c>
      <c r="GH59">
        <v>22311.7</v>
      </c>
      <c r="GI59">
        <v>23679.9</v>
      </c>
      <c r="GJ59">
        <v>24361.4</v>
      </c>
      <c r="GK59">
        <v>30754.9</v>
      </c>
      <c r="GL59">
        <v>31081.7</v>
      </c>
      <c r="GM59">
        <v>38789.1</v>
      </c>
      <c r="GN59">
        <v>38805.300000000003</v>
      </c>
      <c r="GO59">
        <v>2.0321199999999999</v>
      </c>
      <c r="GP59">
        <v>1.75427</v>
      </c>
      <c r="GQ59">
        <v>4.3827999999999999E-2</v>
      </c>
      <c r="GR59">
        <v>0</v>
      </c>
      <c r="GS59">
        <v>29.299700000000001</v>
      </c>
      <c r="GT59">
        <v>999.9</v>
      </c>
      <c r="GU59">
        <v>34.1</v>
      </c>
      <c r="GV59">
        <v>41.3</v>
      </c>
      <c r="GW59">
        <v>27.319400000000002</v>
      </c>
      <c r="GX59">
        <v>61.322000000000003</v>
      </c>
      <c r="GY59">
        <v>30.544899999999998</v>
      </c>
      <c r="GZ59">
        <v>1</v>
      </c>
      <c r="HA59">
        <v>0.75843000000000005</v>
      </c>
      <c r="HB59">
        <v>4.6334099999999996</v>
      </c>
      <c r="HC59">
        <v>20.260000000000002</v>
      </c>
      <c r="HD59">
        <v>5.2452899999999998</v>
      </c>
      <c r="HE59">
        <v>11.998100000000001</v>
      </c>
      <c r="HF59">
        <v>4.9634999999999998</v>
      </c>
      <c r="HG59">
        <v>3.3007300000000002</v>
      </c>
      <c r="HH59">
        <v>9999</v>
      </c>
      <c r="HI59">
        <v>9999</v>
      </c>
      <c r="HJ59">
        <v>9999</v>
      </c>
      <c r="HK59">
        <v>999.9</v>
      </c>
      <c r="HL59">
        <v>1.8748499999999999</v>
      </c>
      <c r="HM59">
        <v>1.88019</v>
      </c>
      <c r="HN59">
        <v>1.88028</v>
      </c>
      <c r="HO59">
        <v>1.87897</v>
      </c>
      <c r="HP59">
        <v>1.8812599999999999</v>
      </c>
      <c r="HQ59">
        <v>1.8772899999999999</v>
      </c>
      <c r="HR59">
        <v>1.875</v>
      </c>
      <c r="HS59">
        <v>1.8821699999999999</v>
      </c>
      <c r="HT59">
        <v>5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423</v>
      </c>
      <c r="IB59" t="s">
        <v>423</v>
      </c>
      <c r="IC59" t="s">
        <v>423</v>
      </c>
      <c r="ID59">
        <v>0</v>
      </c>
      <c r="IE59">
        <v>100</v>
      </c>
      <c r="IF59">
        <v>100</v>
      </c>
      <c r="IG59">
        <v>-0.159</v>
      </c>
      <c r="IH59">
        <v>0.34350000000000003</v>
      </c>
      <c r="II59">
        <v>-0.24152148227499251</v>
      </c>
      <c r="IJ59">
        <v>7.0786345690369205E-4</v>
      </c>
      <c r="IK59">
        <v>-1.387476646623666E-6</v>
      </c>
      <c r="IL59">
        <v>3.6592443641472651E-10</v>
      </c>
      <c r="IM59">
        <v>0.3435821957676003</v>
      </c>
      <c r="IN59">
        <v>0</v>
      </c>
      <c r="IO59">
        <v>0</v>
      </c>
      <c r="IP59">
        <v>0</v>
      </c>
      <c r="IQ59">
        <v>2</v>
      </c>
      <c r="IR59">
        <v>2142</v>
      </c>
      <c r="IS59">
        <v>1</v>
      </c>
      <c r="IT59">
        <v>24</v>
      </c>
      <c r="IU59">
        <v>0.6</v>
      </c>
      <c r="IV59">
        <v>0.6</v>
      </c>
      <c r="IW59">
        <v>1.1230500000000001</v>
      </c>
      <c r="IX59">
        <v>2.6989700000000001</v>
      </c>
      <c r="IY59">
        <v>1.5490699999999999</v>
      </c>
      <c r="IZ59">
        <v>2.36084</v>
      </c>
      <c r="JA59">
        <v>1.5966800000000001</v>
      </c>
      <c r="JB59">
        <v>2.19482</v>
      </c>
      <c r="JC59">
        <v>43.974299999999999</v>
      </c>
      <c r="JD59">
        <v>24.087499999999999</v>
      </c>
      <c r="JE59">
        <v>18</v>
      </c>
      <c r="JF59">
        <v>549.48</v>
      </c>
      <c r="JG59">
        <v>434.58699999999999</v>
      </c>
      <c r="JH59">
        <v>24.921099999999999</v>
      </c>
      <c r="JI59">
        <v>36.341999999999999</v>
      </c>
      <c r="JJ59">
        <v>30.000499999999999</v>
      </c>
      <c r="JK59">
        <v>36.275300000000001</v>
      </c>
      <c r="JL59">
        <v>36.253700000000002</v>
      </c>
      <c r="JM59">
        <v>22.459299999999999</v>
      </c>
      <c r="JN59">
        <v>14.673299999999999</v>
      </c>
      <c r="JO59">
        <v>6.1579300000000003</v>
      </c>
      <c r="JP59">
        <v>24.924900000000001</v>
      </c>
      <c r="JQ59">
        <v>450</v>
      </c>
      <c r="JR59">
        <v>22.6191</v>
      </c>
      <c r="JS59">
        <v>98.228200000000001</v>
      </c>
      <c r="JT59">
        <v>99.114099999999993</v>
      </c>
    </row>
    <row r="60" spans="1:280" x14ac:dyDescent="0.25">
      <c r="A60">
        <v>58</v>
      </c>
      <c r="B60">
        <v>1700162048</v>
      </c>
      <c r="C60">
        <v>14192</v>
      </c>
      <c r="D60" t="s">
        <v>610</v>
      </c>
      <c r="E60" t="s">
        <v>611</v>
      </c>
      <c r="F60" t="s">
        <v>412</v>
      </c>
      <c r="G60" t="s">
        <v>544</v>
      </c>
      <c r="H60" t="s">
        <v>606</v>
      </c>
      <c r="I60">
        <v>1700162048</v>
      </c>
      <c r="J60">
        <f t="shared" si="46"/>
        <v>1.4868279443201657E-3</v>
      </c>
      <c r="K60">
        <f t="shared" si="47"/>
        <v>1.4868279443201657</v>
      </c>
      <c r="L60">
        <f t="shared" si="48"/>
        <v>45.420776483489121</v>
      </c>
      <c r="M60">
        <f t="shared" si="49"/>
        <v>1455.15</v>
      </c>
      <c r="N60">
        <f t="shared" si="50"/>
        <v>574.06733129183453</v>
      </c>
      <c r="O60">
        <f t="shared" si="51"/>
        <v>56.971208566915863</v>
      </c>
      <c r="P60">
        <f t="shared" si="52"/>
        <v>144.41102920731001</v>
      </c>
      <c r="Q60">
        <f t="shared" si="53"/>
        <v>8.6321221910224871E-2</v>
      </c>
      <c r="R60">
        <f t="shared" si="54"/>
        <v>3.1779448287800873</v>
      </c>
      <c r="S60">
        <f t="shared" si="55"/>
        <v>8.503947888147495E-2</v>
      </c>
      <c r="T60">
        <f t="shared" si="56"/>
        <v>5.3263248349815079E-2</v>
      </c>
      <c r="U60">
        <f t="shared" si="57"/>
        <v>289.52280041914315</v>
      </c>
      <c r="V60">
        <f t="shared" si="58"/>
        <v>30.01572764333882</v>
      </c>
      <c r="W60">
        <f t="shared" si="59"/>
        <v>30.011099999999999</v>
      </c>
      <c r="X60">
        <f t="shared" si="60"/>
        <v>4.2631668830561553</v>
      </c>
      <c r="Y60">
        <f t="shared" si="61"/>
        <v>65.123522704227526</v>
      </c>
      <c r="Z60">
        <f t="shared" si="62"/>
        <v>2.5879262273593397</v>
      </c>
      <c r="AA60">
        <f t="shared" si="63"/>
        <v>3.9738732179967635</v>
      </c>
      <c r="AB60">
        <f t="shared" si="64"/>
        <v>1.6752406556968156</v>
      </c>
      <c r="AC60">
        <f t="shared" si="65"/>
        <v>-65.569112344519311</v>
      </c>
      <c r="AD60">
        <f t="shared" si="66"/>
        <v>-208.67916243999593</v>
      </c>
      <c r="AE60">
        <f t="shared" si="67"/>
        <v>-14.514434140151694</v>
      </c>
      <c r="AF60">
        <f t="shared" si="68"/>
        <v>0.76009149447619961</v>
      </c>
      <c r="AG60">
        <v>0</v>
      </c>
      <c r="AH60">
        <v>0</v>
      </c>
      <c r="AI60">
        <f t="shared" si="69"/>
        <v>1</v>
      </c>
      <c r="AJ60">
        <f t="shared" si="70"/>
        <v>0</v>
      </c>
      <c r="AK60">
        <f t="shared" si="71"/>
        <v>52074.258512454049</v>
      </c>
      <c r="AL60" t="s">
        <v>415</v>
      </c>
      <c r="AM60">
        <v>10238.9</v>
      </c>
      <c r="AN60">
        <v>302.21199999999999</v>
      </c>
      <c r="AO60">
        <v>4052.3</v>
      </c>
      <c r="AP60">
        <f t="shared" si="72"/>
        <v>0.92542210596451402</v>
      </c>
      <c r="AQ60">
        <v>-0.32343011824092421</v>
      </c>
      <c r="AR60" t="s">
        <v>612</v>
      </c>
      <c r="AS60">
        <v>7160.84</v>
      </c>
      <c r="AT60">
        <v>588.87300000000005</v>
      </c>
      <c r="AU60">
        <v>850.3978278767006</v>
      </c>
      <c r="AV60">
        <f t="shared" si="73"/>
        <v>0.30753233287258475</v>
      </c>
      <c r="AW60">
        <v>0.5</v>
      </c>
      <c r="AX60">
        <f t="shared" si="74"/>
        <v>1512.9576002171725</v>
      </c>
      <c r="AY60">
        <f t="shared" si="75"/>
        <v>45.420776483489121</v>
      </c>
      <c r="AZ60">
        <f t="shared" si="76"/>
        <v>232.64169016604725</v>
      </c>
      <c r="BA60">
        <f t="shared" si="77"/>
        <v>3.0234956085460583E-2</v>
      </c>
      <c r="BB60">
        <f t="shared" si="78"/>
        <v>3.7651815034827956</v>
      </c>
      <c r="BC60">
        <f t="shared" si="79"/>
        <v>235.95578034998579</v>
      </c>
      <c r="BD60" t="s">
        <v>613</v>
      </c>
      <c r="BE60">
        <v>435.95</v>
      </c>
      <c r="BF60">
        <f t="shared" si="80"/>
        <v>435.95</v>
      </c>
      <c r="BG60">
        <f t="shared" si="81"/>
        <v>0.48735758052381983</v>
      </c>
      <c r="BH60">
        <f t="shared" si="82"/>
        <v>0.63101990235187078</v>
      </c>
      <c r="BI60">
        <f t="shared" si="83"/>
        <v>0.88539609609780556</v>
      </c>
      <c r="BJ60">
        <f t="shared" si="84"/>
        <v>0.47707331086918103</v>
      </c>
      <c r="BK60">
        <f t="shared" si="85"/>
        <v>0.85382054291080611</v>
      </c>
      <c r="BL60">
        <f t="shared" si="86"/>
        <v>0.46715187558318694</v>
      </c>
      <c r="BM60">
        <f t="shared" si="87"/>
        <v>0.53284812441681306</v>
      </c>
      <c r="BN60">
        <v>34487</v>
      </c>
      <c r="BO60">
        <v>290.00000000000011</v>
      </c>
      <c r="BP60">
        <v>779.71</v>
      </c>
      <c r="BQ60">
        <v>295</v>
      </c>
      <c r="BR60">
        <v>7160.84</v>
      </c>
      <c r="BS60">
        <v>781.1</v>
      </c>
      <c r="BT60">
        <v>-1.39</v>
      </c>
      <c r="BU60">
        <v>300.00000000000011</v>
      </c>
      <c r="BV60">
        <v>38.200000000000003</v>
      </c>
      <c r="BW60">
        <v>850.3978278767006</v>
      </c>
      <c r="BX60">
        <v>1.3271250780104771</v>
      </c>
      <c r="BY60">
        <v>-49.620396974659371</v>
      </c>
      <c r="BZ60">
        <v>0.79667572261234687</v>
      </c>
      <c r="CA60">
        <v>0.99283399072867229</v>
      </c>
      <c r="CB60">
        <v>-7.0600618464961209E-3</v>
      </c>
      <c r="CC60">
        <v>289.99999999999989</v>
      </c>
      <c r="CD60">
        <v>790.31</v>
      </c>
      <c r="CE60">
        <v>875</v>
      </c>
      <c r="CF60">
        <v>7153.66</v>
      </c>
      <c r="CG60">
        <v>781.03</v>
      </c>
      <c r="CH60">
        <v>9.2799999999999994</v>
      </c>
      <c r="CV60">
        <f t="shared" si="88"/>
        <v>1799.73</v>
      </c>
      <c r="CW60">
        <f t="shared" si="89"/>
        <v>1512.9576002171725</v>
      </c>
      <c r="CX60">
        <f t="shared" si="90"/>
        <v>0.84065809883547671</v>
      </c>
      <c r="CY60">
        <f t="shared" si="91"/>
        <v>0.16087013075247017</v>
      </c>
      <c r="CZ60">
        <v>4.8</v>
      </c>
      <c r="DA60">
        <v>0.5</v>
      </c>
      <c r="DB60" t="s">
        <v>418</v>
      </c>
      <c r="DC60">
        <v>2</v>
      </c>
      <c r="DD60">
        <v>1700162048</v>
      </c>
      <c r="DE60">
        <v>1455.15</v>
      </c>
      <c r="DF60">
        <v>1500.82</v>
      </c>
      <c r="DG60">
        <v>26.077100000000002</v>
      </c>
      <c r="DH60">
        <v>24.6873</v>
      </c>
      <c r="DI60">
        <v>1456.02</v>
      </c>
      <c r="DJ60">
        <v>25.739100000000001</v>
      </c>
      <c r="DK60">
        <v>500.12</v>
      </c>
      <c r="DL60">
        <v>99.141499999999994</v>
      </c>
      <c r="DM60">
        <v>9.9835400000000005E-2</v>
      </c>
      <c r="DN60">
        <v>28.793099999999999</v>
      </c>
      <c r="DO60">
        <v>30.011099999999999</v>
      </c>
      <c r="DP60">
        <v>999.9</v>
      </c>
      <c r="DQ60">
        <v>0</v>
      </c>
      <c r="DR60">
        <v>0</v>
      </c>
      <c r="DS60">
        <v>9992.5</v>
      </c>
      <c r="DT60">
        <v>0</v>
      </c>
      <c r="DU60">
        <v>428.16699999999997</v>
      </c>
      <c r="DV60">
        <v>-45.6691</v>
      </c>
      <c r="DW60">
        <v>1494.11</v>
      </c>
      <c r="DX60">
        <v>1538.81</v>
      </c>
      <c r="DY60">
        <v>1.3897200000000001</v>
      </c>
      <c r="DZ60">
        <v>1500.82</v>
      </c>
      <c r="EA60">
        <v>24.6873</v>
      </c>
      <c r="EB60">
        <v>2.5853199999999998</v>
      </c>
      <c r="EC60">
        <v>2.44754</v>
      </c>
      <c r="ED60">
        <v>21.573799999999999</v>
      </c>
      <c r="EE60">
        <v>20.681799999999999</v>
      </c>
      <c r="EF60">
        <v>1799.73</v>
      </c>
      <c r="EG60">
        <v>0.97800100000000001</v>
      </c>
      <c r="EH60">
        <v>2.1998500000000001E-2</v>
      </c>
      <c r="EI60">
        <v>0</v>
      </c>
      <c r="EJ60">
        <v>589.32399999999996</v>
      </c>
      <c r="EK60">
        <v>4.9996700000000001</v>
      </c>
      <c r="EL60">
        <v>13233.7</v>
      </c>
      <c r="EM60">
        <v>15044.5</v>
      </c>
      <c r="EN60">
        <v>51.25</v>
      </c>
      <c r="EO60">
        <v>52.436999999999998</v>
      </c>
      <c r="EP60">
        <v>52.125</v>
      </c>
      <c r="EQ60">
        <v>52</v>
      </c>
      <c r="ER60">
        <v>52.436999999999998</v>
      </c>
      <c r="ES60">
        <v>1755.25</v>
      </c>
      <c r="ET60">
        <v>39.479999999999997</v>
      </c>
      <c r="EU60">
        <v>0</v>
      </c>
      <c r="EV60">
        <v>226.80000019073489</v>
      </c>
      <c r="EW60">
        <v>0</v>
      </c>
      <c r="EX60">
        <v>588.87300000000005</v>
      </c>
      <c r="EY60">
        <v>1.381538472539048</v>
      </c>
      <c r="EZ60">
        <v>136.10769212275571</v>
      </c>
      <c r="FA60">
        <v>13224.263999999999</v>
      </c>
      <c r="FB60">
        <v>15</v>
      </c>
      <c r="FC60">
        <v>1700162006</v>
      </c>
      <c r="FD60" t="s">
        <v>614</v>
      </c>
      <c r="FE60">
        <v>1700162006</v>
      </c>
      <c r="FF60">
        <v>1700161993</v>
      </c>
      <c r="FG60">
        <v>65</v>
      </c>
      <c r="FH60">
        <v>0.151</v>
      </c>
      <c r="FI60">
        <v>-6.0000000000000001E-3</v>
      </c>
      <c r="FJ60">
        <v>-0.91700000000000004</v>
      </c>
      <c r="FK60">
        <v>0.33800000000000002</v>
      </c>
      <c r="FL60">
        <v>1500</v>
      </c>
      <c r="FM60">
        <v>25</v>
      </c>
      <c r="FN60">
        <v>0.06</v>
      </c>
      <c r="FO60">
        <v>0.06</v>
      </c>
      <c r="FP60">
        <v>44.850273349085512</v>
      </c>
      <c r="FQ60">
        <v>-0.1251712583901764</v>
      </c>
      <c r="FR60">
        <v>0.19647407684662521</v>
      </c>
      <c r="FS60">
        <v>1</v>
      </c>
      <c r="FT60">
        <v>9.1184475965821868E-2</v>
      </c>
      <c r="FU60">
        <v>-1.7320588748331811E-2</v>
      </c>
      <c r="FV60">
        <v>1.540481277995409E-3</v>
      </c>
      <c r="FW60">
        <v>1</v>
      </c>
      <c r="FX60">
        <v>2</v>
      </c>
      <c r="FY60">
        <v>2</v>
      </c>
      <c r="FZ60" t="s">
        <v>420</v>
      </c>
      <c r="GA60">
        <v>3.0133700000000001</v>
      </c>
      <c r="GB60">
        <v>2.77685</v>
      </c>
      <c r="GC60">
        <v>0.21021100000000001</v>
      </c>
      <c r="GD60">
        <v>0.21503900000000001</v>
      </c>
      <c r="GE60">
        <v>0.12035999999999999</v>
      </c>
      <c r="GF60">
        <v>0.117116</v>
      </c>
      <c r="GG60">
        <v>18874.7</v>
      </c>
      <c r="GH60">
        <v>19379.599999999999</v>
      </c>
      <c r="GI60">
        <v>23679.200000000001</v>
      </c>
      <c r="GJ60">
        <v>24361.599999999999</v>
      </c>
      <c r="GK60">
        <v>30817.7</v>
      </c>
      <c r="GL60">
        <v>30851.9</v>
      </c>
      <c r="GM60">
        <v>38788.800000000003</v>
      </c>
      <c r="GN60">
        <v>38806.400000000001</v>
      </c>
      <c r="GO60">
        <v>2.0296799999999999</v>
      </c>
      <c r="GP60">
        <v>1.7601199999999999</v>
      </c>
      <c r="GQ60">
        <v>7.2184999999999999E-2</v>
      </c>
      <c r="GR60">
        <v>0</v>
      </c>
      <c r="GS60">
        <v>28.8352</v>
      </c>
      <c r="GT60">
        <v>999.9</v>
      </c>
      <c r="GU60">
        <v>35</v>
      </c>
      <c r="GV60">
        <v>41.3</v>
      </c>
      <c r="GW60">
        <v>28.046700000000001</v>
      </c>
      <c r="GX60">
        <v>61.6721</v>
      </c>
      <c r="GY60">
        <v>30.993600000000001</v>
      </c>
      <c r="GZ60">
        <v>1</v>
      </c>
      <c r="HA60">
        <v>0.76105199999999995</v>
      </c>
      <c r="HB60">
        <v>4.9067600000000002</v>
      </c>
      <c r="HC60">
        <v>20.252700000000001</v>
      </c>
      <c r="HD60">
        <v>5.2454400000000003</v>
      </c>
      <c r="HE60">
        <v>12.0008</v>
      </c>
      <c r="HF60">
        <v>4.9635999999999996</v>
      </c>
      <c r="HG60">
        <v>3.3007300000000002</v>
      </c>
      <c r="HH60">
        <v>9999</v>
      </c>
      <c r="HI60">
        <v>9999</v>
      </c>
      <c r="HJ60">
        <v>9999</v>
      </c>
      <c r="HK60">
        <v>999.9</v>
      </c>
      <c r="HL60">
        <v>1.8748499999999999</v>
      </c>
      <c r="HM60">
        <v>1.88019</v>
      </c>
      <c r="HN60">
        <v>1.8803000000000001</v>
      </c>
      <c r="HO60">
        <v>1.87897</v>
      </c>
      <c r="HP60">
        <v>1.88127</v>
      </c>
      <c r="HQ60">
        <v>1.8772500000000001</v>
      </c>
      <c r="HR60">
        <v>1.875</v>
      </c>
      <c r="HS60">
        <v>1.8821699999999999</v>
      </c>
      <c r="HT60">
        <v>5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423</v>
      </c>
      <c r="IB60" t="s">
        <v>423</v>
      </c>
      <c r="IC60" t="s">
        <v>423</v>
      </c>
      <c r="ID60">
        <v>0</v>
      </c>
      <c r="IE60">
        <v>100</v>
      </c>
      <c r="IF60">
        <v>100</v>
      </c>
      <c r="IG60">
        <v>-0.87</v>
      </c>
      <c r="IH60">
        <v>0.33800000000000002</v>
      </c>
      <c r="II60">
        <v>-9.0620667389897824E-2</v>
      </c>
      <c r="IJ60">
        <v>7.0786345690369205E-4</v>
      </c>
      <c r="IK60">
        <v>-1.387476646623666E-6</v>
      </c>
      <c r="IL60">
        <v>3.6592443641472651E-10</v>
      </c>
      <c r="IM60">
        <v>0.33796999999999849</v>
      </c>
      <c r="IN60">
        <v>0</v>
      </c>
      <c r="IO60">
        <v>0</v>
      </c>
      <c r="IP60">
        <v>0</v>
      </c>
      <c r="IQ60">
        <v>2</v>
      </c>
      <c r="IR60">
        <v>2142</v>
      </c>
      <c r="IS60">
        <v>1</v>
      </c>
      <c r="IT60">
        <v>24</v>
      </c>
      <c r="IU60">
        <v>0.7</v>
      </c>
      <c r="IV60">
        <v>0.9</v>
      </c>
      <c r="IW60">
        <v>2.9992700000000001</v>
      </c>
      <c r="IX60">
        <v>2.63794</v>
      </c>
      <c r="IY60">
        <v>1.5490699999999999</v>
      </c>
      <c r="IZ60">
        <v>2.3596200000000001</v>
      </c>
      <c r="JA60">
        <v>1.5966800000000001</v>
      </c>
      <c r="JB60">
        <v>2.2778299999999998</v>
      </c>
      <c r="JC60">
        <v>43.974299999999999</v>
      </c>
      <c r="JD60">
        <v>24.096299999999999</v>
      </c>
      <c r="JE60">
        <v>18</v>
      </c>
      <c r="JF60">
        <v>548.16099999999994</v>
      </c>
      <c r="JG60">
        <v>438.61799999999999</v>
      </c>
      <c r="JH60">
        <v>24.277200000000001</v>
      </c>
      <c r="JI60">
        <v>36.361499999999999</v>
      </c>
      <c r="JJ60">
        <v>30</v>
      </c>
      <c r="JK60">
        <v>36.319299999999998</v>
      </c>
      <c r="JL60">
        <v>36.300699999999999</v>
      </c>
      <c r="JM60">
        <v>59.956000000000003</v>
      </c>
      <c r="JN60">
        <v>9.0850799999999996</v>
      </c>
      <c r="JO60">
        <v>13.585000000000001</v>
      </c>
      <c r="JP60">
        <v>24.282</v>
      </c>
      <c r="JQ60">
        <v>1500</v>
      </c>
      <c r="JR60">
        <v>24.556999999999999</v>
      </c>
      <c r="JS60">
        <v>98.226500000000001</v>
      </c>
      <c r="JT60">
        <v>99.116100000000003</v>
      </c>
    </row>
    <row r="61" spans="1:280" x14ac:dyDescent="0.25">
      <c r="A61">
        <v>59</v>
      </c>
      <c r="B61">
        <v>1700162233.5</v>
      </c>
      <c r="C61">
        <v>14377.5</v>
      </c>
      <c r="D61" t="s">
        <v>615</v>
      </c>
      <c r="E61" t="s">
        <v>616</v>
      </c>
      <c r="F61" t="s">
        <v>412</v>
      </c>
      <c r="G61" t="s">
        <v>544</v>
      </c>
      <c r="H61" t="s">
        <v>606</v>
      </c>
      <c r="I61">
        <v>1700162233.5</v>
      </c>
      <c r="J61">
        <f t="shared" si="46"/>
        <v>1.8782084884733916E-3</v>
      </c>
      <c r="K61">
        <f t="shared" si="47"/>
        <v>1.8782084884733916</v>
      </c>
      <c r="L61">
        <f t="shared" si="48"/>
        <v>47.530996065987281</v>
      </c>
      <c r="M61">
        <f t="shared" si="49"/>
        <v>1202.22</v>
      </c>
      <c r="N61">
        <f t="shared" si="50"/>
        <v>471.3621894548391</v>
      </c>
      <c r="O61">
        <f t="shared" si="51"/>
        <v>46.772866102207324</v>
      </c>
      <c r="P61">
        <f t="shared" si="52"/>
        <v>119.29526029746002</v>
      </c>
      <c r="Q61">
        <f t="shared" si="53"/>
        <v>0.10925346277598531</v>
      </c>
      <c r="R61">
        <f t="shared" si="54"/>
        <v>3.1746648881947048</v>
      </c>
      <c r="S61">
        <f t="shared" si="55"/>
        <v>0.10720686422533933</v>
      </c>
      <c r="T61">
        <f t="shared" si="56"/>
        <v>6.7184975647392536E-2</v>
      </c>
      <c r="U61">
        <f t="shared" si="57"/>
        <v>289.59621641903601</v>
      </c>
      <c r="V61">
        <f t="shared" si="58"/>
        <v>29.931186565565408</v>
      </c>
      <c r="W61">
        <f t="shared" si="59"/>
        <v>29.997800000000002</v>
      </c>
      <c r="X61">
        <f t="shared" si="60"/>
        <v>4.2599114252313237</v>
      </c>
      <c r="Y61">
        <f t="shared" si="61"/>
        <v>64.928345298699469</v>
      </c>
      <c r="Z61">
        <f t="shared" si="62"/>
        <v>2.5813965405735004</v>
      </c>
      <c r="AA61">
        <f t="shared" si="63"/>
        <v>3.9757620938866065</v>
      </c>
      <c r="AB61">
        <f t="shared" si="64"/>
        <v>1.6785148846578233</v>
      </c>
      <c r="AC61">
        <f t="shared" si="65"/>
        <v>-82.828994341676577</v>
      </c>
      <c r="AD61">
        <f t="shared" si="66"/>
        <v>-204.78400627574035</v>
      </c>
      <c r="AE61">
        <f t="shared" si="67"/>
        <v>-14.257864253228552</v>
      </c>
      <c r="AF61">
        <f t="shared" si="68"/>
        <v>-12.274648451609465</v>
      </c>
      <c r="AG61">
        <v>0</v>
      </c>
      <c r="AH61">
        <v>0</v>
      </c>
      <c r="AI61">
        <f t="shared" si="69"/>
        <v>1</v>
      </c>
      <c r="AJ61">
        <f t="shared" si="70"/>
        <v>0</v>
      </c>
      <c r="AK61">
        <f t="shared" si="71"/>
        <v>51991.231681113772</v>
      </c>
      <c r="AL61" t="s">
        <v>415</v>
      </c>
      <c r="AM61">
        <v>10238.9</v>
      </c>
      <c r="AN61">
        <v>302.21199999999999</v>
      </c>
      <c r="AO61">
        <v>4052.3</v>
      </c>
      <c r="AP61">
        <f t="shared" si="72"/>
        <v>0.92542210596451402</v>
      </c>
      <c r="AQ61">
        <v>-0.32343011824092421</v>
      </c>
      <c r="AR61" t="s">
        <v>617</v>
      </c>
      <c r="AS61">
        <v>7161.43</v>
      </c>
      <c r="AT61">
        <v>583.6336</v>
      </c>
      <c r="AU61">
        <v>852.51146335500539</v>
      </c>
      <c r="AV61">
        <f t="shared" si="73"/>
        <v>0.31539501216423937</v>
      </c>
      <c r="AW61">
        <v>0.5</v>
      </c>
      <c r="AX61">
        <f t="shared" si="74"/>
        <v>1513.3440002171171</v>
      </c>
      <c r="AY61">
        <f t="shared" si="75"/>
        <v>47.530996065987281</v>
      </c>
      <c r="AZ61">
        <f t="shared" si="76"/>
        <v>238.65057467857815</v>
      </c>
      <c r="BA61">
        <f t="shared" si="77"/>
        <v>3.1621644634242184E-2</v>
      </c>
      <c r="BB61">
        <f t="shared" si="78"/>
        <v>3.7533671677005112</v>
      </c>
      <c r="BC61">
        <f t="shared" si="79"/>
        <v>236.11821094131724</v>
      </c>
      <c r="BD61" t="s">
        <v>618</v>
      </c>
      <c r="BE61">
        <v>432.08</v>
      </c>
      <c r="BF61">
        <f t="shared" si="80"/>
        <v>432.08</v>
      </c>
      <c r="BG61">
        <f t="shared" si="81"/>
        <v>0.4931681055647319</v>
      </c>
      <c r="BH61">
        <f t="shared" si="82"/>
        <v>0.63952840543708156</v>
      </c>
      <c r="BI61">
        <f t="shared" si="83"/>
        <v>0.88386576966178698</v>
      </c>
      <c r="BJ61">
        <f t="shared" si="84"/>
        <v>0.4886028085794239</v>
      </c>
      <c r="BK61">
        <f t="shared" si="85"/>
        <v>0.85325692000960895</v>
      </c>
      <c r="BL61">
        <f t="shared" si="86"/>
        <v>0.4734604611887564</v>
      </c>
      <c r="BM61">
        <f t="shared" si="87"/>
        <v>0.5265395388112436</v>
      </c>
      <c r="BN61">
        <v>34489</v>
      </c>
      <c r="BO61">
        <v>290.00000000000011</v>
      </c>
      <c r="BP61">
        <v>776.95</v>
      </c>
      <c r="BQ61">
        <v>275</v>
      </c>
      <c r="BR61">
        <v>7161.43</v>
      </c>
      <c r="BS61">
        <v>779.83</v>
      </c>
      <c r="BT61">
        <v>-2.88</v>
      </c>
      <c r="BU61">
        <v>300.00000000000011</v>
      </c>
      <c r="BV61">
        <v>38.200000000000003</v>
      </c>
      <c r="BW61">
        <v>852.51146335500539</v>
      </c>
      <c r="BX61">
        <v>1.5567669884653641</v>
      </c>
      <c r="BY61">
        <v>-52.048163733740047</v>
      </c>
      <c r="BZ61">
        <v>0.93455767516184762</v>
      </c>
      <c r="CA61">
        <v>0.99105343145460023</v>
      </c>
      <c r="CB61">
        <v>-7.0605539488320396E-3</v>
      </c>
      <c r="CC61">
        <v>289.99999999999989</v>
      </c>
      <c r="CD61">
        <v>788.95</v>
      </c>
      <c r="CE61">
        <v>835</v>
      </c>
      <c r="CF61">
        <v>7154.46</v>
      </c>
      <c r="CG61">
        <v>779.76</v>
      </c>
      <c r="CH61">
        <v>9.19</v>
      </c>
      <c r="CV61">
        <f t="shared" si="88"/>
        <v>1800.19</v>
      </c>
      <c r="CW61">
        <f t="shared" si="89"/>
        <v>1513.3440002171171</v>
      </c>
      <c r="CX61">
        <f t="shared" si="90"/>
        <v>0.84065793067238292</v>
      </c>
      <c r="CY61">
        <f t="shared" si="91"/>
        <v>0.16086980619769914</v>
      </c>
      <c r="CZ61">
        <v>4.8</v>
      </c>
      <c r="DA61">
        <v>0.5</v>
      </c>
      <c r="DB61" t="s">
        <v>418</v>
      </c>
      <c r="DC61">
        <v>2</v>
      </c>
      <c r="DD61">
        <v>1700162233.5</v>
      </c>
      <c r="DE61">
        <v>1202.22</v>
      </c>
      <c r="DF61">
        <v>1250.01</v>
      </c>
      <c r="DG61">
        <v>26.014500000000002</v>
      </c>
      <c r="DH61">
        <v>24.258600000000001</v>
      </c>
      <c r="DI61">
        <v>1202.78</v>
      </c>
      <c r="DJ61">
        <v>25.678100000000001</v>
      </c>
      <c r="DK61">
        <v>500.07799999999997</v>
      </c>
      <c r="DL61">
        <v>99.128900000000002</v>
      </c>
      <c r="DM61">
        <v>0.100243</v>
      </c>
      <c r="DN61">
        <v>28.801300000000001</v>
      </c>
      <c r="DO61">
        <v>29.997800000000002</v>
      </c>
      <c r="DP61">
        <v>999.9</v>
      </c>
      <c r="DQ61">
        <v>0</v>
      </c>
      <c r="DR61">
        <v>0</v>
      </c>
      <c r="DS61">
        <v>9977.5</v>
      </c>
      <c r="DT61">
        <v>0</v>
      </c>
      <c r="DU61">
        <v>371.07400000000001</v>
      </c>
      <c r="DV61">
        <v>-47.786900000000003</v>
      </c>
      <c r="DW61">
        <v>1234.33</v>
      </c>
      <c r="DX61">
        <v>1281.08</v>
      </c>
      <c r="DY61">
        <v>1.75593</v>
      </c>
      <c r="DZ61">
        <v>1250.01</v>
      </c>
      <c r="EA61">
        <v>24.258600000000001</v>
      </c>
      <c r="EB61">
        <v>2.5787900000000001</v>
      </c>
      <c r="EC61">
        <v>2.4047299999999998</v>
      </c>
      <c r="ED61">
        <v>21.532499999999999</v>
      </c>
      <c r="EE61">
        <v>20.395600000000002</v>
      </c>
      <c r="EF61">
        <v>1800.19</v>
      </c>
      <c r="EG61">
        <v>0.97800900000000002</v>
      </c>
      <c r="EH61">
        <v>2.1991400000000001E-2</v>
      </c>
      <c r="EI61">
        <v>0</v>
      </c>
      <c r="EJ61">
        <v>583.76499999999999</v>
      </c>
      <c r="EK61">
        <v>4.9996700000000001</v>
      </c>
      <c r="EL61">
        <v>11280.3</v>
      </c>
      <c r="EM61">
        <v>15048.4</v>
      </c>
      <c r="EN61">
        <v>51.125</v>
      </c>
      <c r="EO61">
        <v>52.311999999999998</v>
      </c>
      <c r="EP61">
        <v>52</v>
      </c>
      <c r="EQ61">
        <v>51.875</v>
      </c>
      <c r="ER61">
        <v>52.311999999999998</v>
      </c>
      <c r="ES61">
        <v>1755.71</v>
      </c>
      <c r="ET61">
        <v>39.479999999999997</v>
      </c>
      <c r="EU61">
        <v>0</v>
      </c>
      <c r="EV61">
        <v>183.60000014305109</v>
      </c>
      <c r="EW61">
        <v>0</v>
      </c>
      <c r="EX61">
        <v>583.6336</v>
      </c>
      <c r="EY61">
        <v>-1.3302307574253971</v>
      </c>
      <c r="EZ61">
        <v>-3446.3846156505329</v>
      </c>
      <c r="FA61">
        <v>11833.108</v>
      </c>
      <c r="FB61">
        <v>15</v>
      </c>
      <c r="FC61">
        <v>1700162122.5</v>
      </c>
      <c r="FD61" t="s">
        <v>619</v>
      </c>
      <c r="FE61">
        <v>1700162122.5</v>
      </c>
      <c r="FF61">
        <v>1700162115</v>
      </c>
      <c r="FG61">
        <v>66</v>
      </c>
      <c r="FH61">
        <v>4.3999999999999997E-2</v>
      </c>
      <c r="FI61">
        <v>-2E-3</v>
      </c>
      <c r="FJ61">
        <v>-0.61499999999999999</v>
      </c>
      <c r="FK61">
        <v>0.33600000000000002</v>
      </c>
      <c r="FL61">
        <v>1250</v>
      </c>
      <c r="FM61">
        <v>25</v>
      </c>
      <c r="FN61">
        <v>0.09</v>
      </c>
      <c r="FO61">
        <v>0.06</v>
      </c>
      <c r="FP61">
        <v>47.638164165288657</v>
      </c>
      <c r="FQ61">
        <v>0.67130737451848677</v>
      </c>
      <c r="FR61">
        <v>0.111304080325417</v>
      </c>
      <c r="FS61">
        <v>1</v>
      </c>
      <c r="FT61">
        <v>0.1058017189548123</v>
      </c>
      <c r="FU61">
        <v>3.1799629158516987E-2</v>
      </c>
      <c r="FV61">
        <v>2.4968833732084048E-3</v>
      </c>
      <c r="FW61">
        <v>1</v>
      </c>
      <c r="FX61">
        <v>2</v>
      </c>
      <c r="FY61">
        <v>2</v>
      </c>
      <c r="FZ61" t="s">
        <v>420</v>
      </c>
      <c r="GA61">
        <v>3.0131700000000001</v>
      </c>
      <c r="GB61">
        <v>2.7771300000000001</v>
      </c>
      <c r="GC61">
        <v>0.18712000000000001</v>
      </c>
      <c r="GD61">
        <v>0.19253300000000001</v>
      </c>
      <c r="GE61">
        <v>0.12016400000000001</v>
      </c>
      <c r="GF61">
        <v>0.11571099999999999</v>
      </c>
      <c r="GG61">
        <v>19434.7</v>
      </c>
      <c r="GH61">
        <v>19942.900000000001</v>
      </c>
      <c r="GI61">
        <v>23686.5</v>
      </c>
      <c r="GJ61">
        <v>24368.2</v>
      </c>
      <c r="GK61">
        <v>30833.200000000001</v>
      </c>
      <c r="GL61">
        <v>30908.9</v>
      </c>
      <c r="GM61">
        <v>38800</v>
      </c>
      <c r="GN61">
        <v>38816.400000000001</v>
      </c>
      <c r="GO61">
        <v>2.03132</v>
      </c>
      <c r="GP61">
        <v>1.7605500000000001</v>
      </c>
      <c r="GQ61">
        <v>8.6124999999999993E-2</v>
      </c>
      <c r="GR61">
        <v>0</v>
      </c>
      <c r="GS61">
        <v>28.5946</v>
      </c>
      <c r="GT61">
        <v>999.9</v>
      </c>
      <c r="GU61">
        <v>35.799999999999997</v>
      </c>
      <c r="GV61">
        <v>41.3</v>
      </c>
      <c r="GW61">
        <v>28.6875</v>
      </c>
      <c r="GX61">
        <v>60.992100000000001</v>
      </c>
      <c r="GY61">
        <v>30.881399999999999</v>
      </c>
      <c r="GZ61">
        <v>1</v>
      </c>
      <c r="HA61">
        <v>0.743869</v>
      </c>
      <c r="HB61">
        <v>3.6185900000000002</v>
      </c>
      <c r="HC61">
        <v>20.2879</v>
      </c>
      <c r="HD61">
        <v>5.2460399999999998</v>
      </c>
      <c r="HE61">
        <v>11.997999999999999</v>
      </c>
      <c r="HF61">
        <v>4.9635999999999996</v>
      </c>
      <c r="HG61">
        <v>3.3008000000000002</v>
      </c>
      <c r="HH61">
        <v>9999</v>
      </c>
      <c r="HI61">
        <v>9999</v>
      </c>
      <c r="HJ61">
        <v>9999</v>
      </c>
      <c r="HK61">
        <v>999.9</v>
      </c>
      <c r="HL61">
        <v>1.8748499999999999</v>
      </c>
      <c r="HM61">
        <v>1.88019</v>
      </c>
      <c r="HN61">
        <v>1.8803000000000001</v>
      </c>
      <c r="HO61">
        <v>1.87897</v>
      </c>
      <c r="HP61">
        <v>1.8812599999999999</v>
      </c>
      <c r="HQ61">
        <v>1.8772899999999999</v>
      </c>
      <c r="HR61">
        <v>1.875</v>
      </c>
      <c r="HS61">
        <v>1.8821699999999999</v>
      </c>
      <c r="HT61">
        <v>5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423</v>
      </c>
      <c r="IB61" t="s">
        <v>423</v>
      </c>
      <c r="IC61" t="s">
        <v>423</v>
      </c>
      <c r="ID61">
        <v>0</v>
      </c>
      <c r="IE61">
        <v>100</v>
      </c>
      <c r="IF61">
        <v>100</v>
      </c>
      <c r="IG61">
        <v>-0.56000000000000005</v>
      </c>
      <c r="IH61">
        <v>0.33639999999999998</v>
      </c>
      <c r="II61">
        <v>-4.5946364963216912E-2</v>
      </c>
      <c r="IJ61">
        <v>7.0786345690369205E-4</v>
      </c>
      <c r="IK61">
        <v>-1.387476646623666E-6</v>
      </c>
      <c r="IL61">
        <v>3.6592443641472651E-10</v>
      </c>
      <c r="IM61">
        <v>0.33640000000000109</v>
      </c>
      <c r="IN61">
        <v>0</v>
      </c>
      <c r="IO61">
        <v>0</v>
      </c>
      <c r="IP61">
        <v>0</v>
      </c>
      <c r="IQ61">
        <v>2</v>
      </c>
      <c r="IR61">
        <v>2142</v>
      </c>
      <c r="IS61">
        <v>1</v>
      </c>
      <c r="IT61">
        <v>24</v>
      </c>
      <c r="IU61">
        <v>1.9</v>
      </c>
      <c r="IV61">
        <v>2</v>
      </c>
      <c r="IW61">
        <v>2.5878899999999998</v>
      </c>
      <c r="IX61">
        <v>2.6403799999999999</v>
      </c>
      <c r="IY61">
        <v>1.5490699999999999</v>
      </c>
      <c r="IZ61">
        <v>2.36084</v>
      </c>
      <c r="JA61">
        <v>1.5966800000000001</v>
      </c>
      <c r="JB61">
        <v>2.3706100000000001</v>
      </c>
      <c r="JC61">
        <v>43.8917</v>
      </c>
      <c r="JD61">
        <v>24.113800000000001</v>
      </c>
      <c r="JE61">
        <v>18</v>
      </c>
      <c r="JF61">
        <v>548.76</v>
      </c>
      <c r="JG61">
        <v>438.50400000000002</v>
      </c>
      <c r="JH61">
        <v>25.1281</v>
      </c>
      <c r="JI61">
        <v>36.249699999999997</v>
      </c>
      <c r="JJ61">
        <v>29.9999</v>
      </c>
      <c r="JK61">
        <v>36.253900000000002</v>
      </c>
      <c r="JL61">
        <v>36.244</v>
      </c>
      <c r="JM61">
        <v>51.739199999999997</v>
      </c>
      <c r="JN61">
        <v>14.293100000000001</v>
      </c>
      <c r="JO61">
        <v>16.645399999999999</v>
      </c>
      <c r="JP61">
        <v>25.122599999999998</v>
      </c>
      <c r="JQ61">
        <v>1250</v>
      </c>
      <c r="JR61">
        <v>24.238800000000001</v>
      </c>
      <c r="JS61">
        <v>98.255600000000001</v>
      </c>
      <c r="JT61">
        <v>99.142099999999999</v>
      </c>
    </row>
    <row r="62" spans="1:280" x14ac:dyDescent="0.25">
      <c r="A62">
        <v>60</v>
      </c>
      <c r="B62">
        <v>1700162471</v>
      </c>
      <c r="C62">
        <v>14615</v>
      </c>
      <c r="D62" t="s">
        <v>620</v>
      </c>
      <c r="E62" t="s">
        <v>621</v>
      </c>
      <c r="F62" t="s">
        <v>412</v>
      </c>
      <c r="G62" t="s">
        <v>544</v>
      </c>
      <c r="H62" t="s">
        <v>606</v>
      </c>
      <c r="I62">
        <v>1700162471</v>
      </c>
      <c r="J62">
        <f t="shared" si="46"/>
        <v>2.1786247857508581E-3</v>
      </c>
      <c r="K62">
        <f t="shared" si="47"/>
        <v>2.1786247857508583</v>
      </c>
      <c r="L62">
        <f t="shared" si="48"/>
        <v>46.311803303708011</v>
      </c>
      <c r="M62">
        <f t="shared" si="49"/>
        <v>953.52200000000005</v>
      </c>
      <c r="N62">
        <f t="shared" si="50"/>
        <v>342.64613825631039</v>
      </c>
      <c r="O62">
        <f t="shared" si="51"/>
        <v>33.999105145428175</v>
      </c>
      <c r="P62">
        <f t="shared" si="52"/>
        <v>94.613337542501597</v>
      </c>
      <c r="Q62">
        <f t="shared" si="53"/>
        <v>0.12737412619870592</v>
      </c>
      <c r="R62">
        <f t="shared" si="54"/>
        <v>3.1820280369118494</v>
      </c>
      <c r="S62">
        <f t="shared" si="55"/>
        <v>0.12460788257981341</v>
      </c>
      <c r="T62">
        <f t="shared" si="56"/>
        <v>7.8123458968795773E-2</v>
      </c>
      <c r="U62">
        <f t="shared" si="57"/>
        <v>289.55950841908952</v>
      </c>
      <c r="V62">
        <f t="shared" si="58"/>
        <v>29.94664009220352</v>
      </c>
      <c r="W62">
        <f t="shared" si="59"/>
        <v>29.9998</v>
      </c>
      <c r="X62">
        <f t="shared" si="60"/>
        <v>4.2604008293183089</v>
      </c>
      <c r="Y62">
        <f t="shared" si="61"/>
        <v>64.689620629479663</v>
      </c>
      <c r="Z62">
        <f t="shared" si="62"/>
        <v>2.5854097996768002</v>
      </c>
      <c r="AA62">
        <f t="shared" si="63"/>
        <v>3.9966377519589362</v>
      </c>
      <c r="AB62">
        <f t="shared" si="64"/>
        <v>1.6749910296415087</v>
      </c>
      <c r="AC62">
        <f t="shared" si="65"/>
        <v>-96.077353051612846</v>
      </c>
      <c r="AD62">
        <f t="shared" si="66"/>
        <v>-190.09399599235141</v>
      </c>
      <c r="AE62">
        <f t="shared" si="67"/>
        <v>-13.210508105834192</v>
      </c>
      <c r="AF62">
        <f t="shared" si="68"/>
        <v>-9.8223487307089385</v>
      </c>
      <c r="AG62">
        <v>0</v>
      </c>
      <c r="AH62">
        <v>0</v>
      </c>
      <c r="AI62">
        <f t="shared" si="69"/>
        <v>1</v>
      </c>
      <c r="AJ62">
        <f t="shared" si="70"/>
        <v>0</v>
      </c>
      <c r="AK62">
        <f t="shared" si="71"/>
        <v>52158.192499225108</v>
      </c>
      <c r="AL62" t="s">
        <v>415</v>
      </c>
      <c r="AM62">
        <v>10238.9</v>
      </c>
      <c r="AN62">
        <v>302.21199999999999</v>
      </c>
      <c r="AO62">
        <v>4052.3</v>
      </c>
      <c r="AP62">
        <f t="shared" si="72"/>
        <v>0.92542210596451402</v>
      </c>
      <c r="AQ62">
        <v>-0.32343011824092421</v>
      </c>
      <c r="AR62" t="s">
        <v>622</v>
      </c>
      <c r="AS62">
        <v>7161.45</v>
      </c>
      <c r="AT62">
        <v>584.47820000000002</v>
      </c>
      <c r="AU62">
        <v>839.41168734064422</v>
      </c>
      <c r="AV62">
        <f t="shared" si="73"/>
        <v>0.30370495334453074</v>
      </c>
      <c r="AW62">
        <v>0.5</v>
      </c>
      <c r="AX62">
        <f t="shared" si="74"/>
        <v>1513.1508002171447</v>
      </c>
      <c r="AY62">
        <f t="shared" si="75"/>
        <v>46.311803303708011</v>
      </c>
      <c r="AZ62">
        <f t="shared" si="76"/>
        <v>229.77569659159363</v>
      </c>
      <c r="BA62">
        <f t="shared" si="77"/>
        <v>3.0819950936322105E-2</v>
      </c>
      <c r="BB62">
        <f t="shared" si="78"/>
        <v>3.8275477469680785</v>
      </c>
      <c r="BC62">
        <f t="shared" si="79"/>
        <v>235.10202196593463</v>
      </c>
      <c r="BD62" t="s">
        <v>623</v>
      </c>
      <c r="BE62">
        <v>428.75</v>
      </c>
      <c r="BF62">
        <f t="shared" si="80"/>
        <v>428.75</v>
      </c>
      <c r="BG62">
        <f t="shared" si="81"/>
        <v>0.48922560113699287</v>
      </c>
      <c r="BH62">
        <f t="shared" si="82"/>
        <v>0.62078712282983595</v>
      </c>
      <c r="BI62">
        <f t="shared" si="83"/>
        <v>0.88666868475924321</v>
      </c>
      <c r="BJ62">
        <f t="shared" si="84"/>
        <v>0.47456000691785227</v>
      </c>
      <c r="BK62">
        <f t="shared" si="85"/>
        <v>0.85675011163987502</v>
      </c>
      <c r="BL62">
        <f t="shared" si="86"/>
        <v>0.45538478409167721</v>
      </c>
      <c r="BM62">
        <f t="shared" si="87"/>
        <v>0.54461521590832285</v>
      </c>
      <c r="BN62">
        <v>34491</v>
      </c>
      <c r="BO62">
        <v>290.00000000000011</v>
      </c>
      <c r="BP62">
        <v>768.43</v>
      </c>
      <c r="BQ62">
        <v>295</v>
      </c>
      <c r="BR62">
        <v>7161.45</v>
      </c>
      <c r="BS62">
        <v>771.22</v>
      </c>
      <c r="BT62">
        <v>-2.79</v>
      </c>
      <c r="BU62">
        <v>300.00000000000011</v>
      </c>
      <c r="BV62">
        <v>38.200000000000003</v>
      </c>
      <c r="BW62">
        <v>839.41168734064422</v>
      </c>
      <c r="BX62">
        <v>1.23297242085211</v>
      </c>
      <c r="BY62">
        <v>-48.831561240420022</v>
      </c>
      <c r="BZ62">
        <v>0.74021520666646989</v>
      </c>
      <c r="CA62">
        <v>0.99360725221864654</v>
      </c>
      <c r="CB62">
        <v>-7.0607859844271457E-3</v>
      </c>
      <c r="CC62">
        <v>289.99999999999989</v>
      </c>
      <c r="CD62">
        <v>779.87</v>
      </c>
      <c r="CE62">
        <v>895</v>
      </c>
      <c r="CF62">
        <v>7154.22</v>
      </c>
      <c r="CG62">
        <v>771.16</v>
      </c>
      <c r="CH62">
        <v>8.7100000000000009</v>
      </c>
      <c r="CV62">
        <f t="shared" si="88"/>
        <v>1799.96</v>
      </c>
      <c r="CW62">
        <f t="shared" si="89"/>
        <v>1513.1508002171447</v>
      </c>
      <c r="CX62">
        <f t="shared" si="90"/>
        <v>0.8406580147431858</v>
      </c>
      <c r="CY62">
        <f t="shared" si="91"/>
        <v>0.16086996845434873</v>
      </c>
      <c r="CZ62">
        <v>4.8</v>
      </c>
      <c r="DA62">
        <v>0.5</v>
      </c>
      <c r="DB62" t="s">
        <v>418</v>
      </c>
      <c r="DC62">
        <v>2</v>
      </c>
      <c r="DD62">
        <v>1700162471</v>
      </c>
      <c r="DE62">
        <v>953.52200000000005</v>
      </c>
      <c r="DF62">
        <v>999.96</v>
      </c>
      <c r="DG62">
        <v>26.056000000000001</v>
      </c>
      <c r="DH62">
        <v>24.0197</v>
      </c>
      <c r="DI62">
        <v>953.62</v>
      </c>
      <c r="DJ62">
        <v>25.7074</v>
      </c>
      <c r="DK62">
        <v>500.16800000000001</v>
      </c>
      <c r="DL62">
        <v>99.125399999999999</v>
      </c>
      <c r="DM62">
        <v>9.97228E-2</v>
      </c>
      <c r="DN62">
        <v>28.8917</v>
      </c>
      <c r="DO62">
        <v>29.9998</v>
      </c>
      <c r="DP62">
        <v>999.9</v>
      </c>
      <c r="DQ62">
        <v>0</v>
      </c>
      <c r="DR62">
        <v>0</v>
      </c>
      <c r="DS62">
        <v>10014.4</v>
      </c>
      <c r="DT62">
        <v>0</v>
      </c>
      <c r="DU62">
        <v>370.06599999999997</v>
      </c>
      <c r="DV62">
        <v>-46.437199999999997</v>
      </c>
      <c r="DW62">
        <v>979.03200000000004</v>
      </c>
      <c r="DX62">
        <v>1024.57</v>
      </c>
      <c r="DY62">
        <v>2.0362900000000002</v>
      </c>
      <c r="DZ62">
        <v>999.96</v>
      </c>
      <c r="EA62">
        <v>24.0197</v>
      </c>
      <c r="EB62">
        <v>2.5828099999999998</v>
      </c>
      <c r="EC62">
        <v>2.38096</v>
      </c>
      <c r="ED62">
        <v>21.558</v>
      </c>
      <c r="EE62">
        <v>20.2349</v>
      </c>
      <c r="EF62">
        <v>1799.96</v>
      </c>
      <c r="EG62">
        <v>0.97800500000000001</v>
      </c>
      <c r="EH62">
        <v>2.1995000000000001E-2</v>
      </c>
      <c r="EI62">
        <v>0</v>
      </c>
      <c r="EJ62">
        <v>584.60699999999997</v>
      </c>
      <c r="EK62">
        <v>4.9996700000000001</v>
      </c>
      <c r="EL62">
        <v>11113.3</v>
      </c>
      <c r="EM62">
        <v>15046.5</v>
      </c>
      <c r="EN62">
        <v>50.936999999999998</v>
      </c>
      <c r="EO62">
        <v>52.125</v>
      </c>
      <c r="EP62">
        <v>51.811999999999998</v>
      </c>
      <c r="EQ62">
        <v>51.686999999999998</v>
      </c>
      <c r="ER62">
        <v>52.125</v>
      </c>
      <c r="ES62">
        <v>1755.48</v>
      </c>
      <c r="ET62">
        <v>39.479999999999997</v>
      </c>
      <c r="EU62">
        <v>0</v>
      </c>
      <c r="EV62">
        <v>235.4000000953674</v>
      </c>
      <c r="EW62">
        <v>0</v>
      </c>
      <c r="EX62">
        <v>584.47820000000002</v>
      </c>
      <c r="EY62">
        <v>-1.169384607477725</v>
      </c>
      <c r="EZ62">
        <v>-1653.653845500269</v>
      </c>
      <c r="FA62">
        <v>11212.415999999999</v>
      </c>
      <c r="FB62">
        <v>15</v>
      </c>
      <c r="FC62">
        <v>1700162364</v>
      </c>
      <c r="FD62" t="s">
        <v>624</v>
      </c>
      <c r="FE62">
        <v>1700162364</v>
      </c>
      <c r="FF62">
        <v>1700162353</v>
      </c>
      <c r="FG62">
        <v>67</v>
      </c>
      <c r="FH62">
        <v>0.217</v>
      </c>
      <c r="FI62">
        <v>1.2E-2</v>
      </c>
      <c r="FJ62">
        <v>-0.14199999999999999</v>
      </c>
      <c r="FK62">
        <v>0.34899999999999998</v>
      </c>
      <c r="FL62">
        <v>1000</v>
      </c>
      <c r="FM62">
        <v>25</v>
      </c>
      <c r="FN62">
        <v>0.14000000000000001</v>
      </c>
      <c r="FO62">
        <v>0.06</v>
      </c>
      <c r="FP62">
        <v>46.206903306928353</v>
      </c>
      <c r="FQ62">
        <v>0.43091883760299637</v>
      </c>
      <c r="FR62">
        <v>5.5283652408061143E-2</v>
      </c>
      <c r="FS62">
        <v>1</v>
      </c>
      <c r="FT62">
        <v>0.12896249154332931</v>
      </c>
      <c r="FU62">
        <v>2.830477630495982E-4</v>
      </c>
      <c r="FV62">
        <v>1.6677671843667421E-4</v>
      </c>
      <c r="FW62">
        <v>1</v>
      </c>
      <c r="FX62">
        <v>2</v>
      </c>
      <c r="FY62">
        <v>2</v>
      </c>
      <c r="FZ62" t="s">
        <v>420</v>
      </c>
      <c r="GA62">
        <v>3.01329</v>
      </c>
      <c r="GB62">
        <v>2.7769300000000001</v>
      </c>
      <c r="GC62">
        <v>0.16162199999999999</v>
      </c>
      <c r="GD62">
        <v>0.16745199999999999</v>
      </c>
      <c r="GE62">
        <v>0.120293</v>
      </c>
      <c r="GF62">
        <v>0.114953</v>
      </c>
      <c r="GG62">
        <v>20054.2</v>
      </c>
      <c r="GH62">
        <v>20571.599999999999</v>
      </c>
      <c r="GI62">
        <v>23695.9</v>
      </c>
      <c r="GJ62">
        <v>24376.7</v>
      </c>
      <c r="GK62">
        <v>30840.1</v>
      </c>
      <c r="GL62">
        <v>30944.799999999999</v>
      </c>
      <c r="GM62">
        <v>38814.800000000003</v>
      </c>
      <c r="GN62">
        <v>38828.400000000001</v>
      </c>
      <c r="GO62">
        <v>2.0328499999999998</v>
      </c>
      <c r="GP62">
        <v>1.76278</v>
      </c>
      <c r="GQ62">
        <v>8.4310800000000005E-2</v>
      </c>
      <c r="GR62">
        <v>0</v>
      </c>
      <c r="GS62">
        <v>28.626300000000001</v>
      </c>
      <c r="GT62">
        <v>999.9</v>
      </c>
      <c r="GU62">
        <v>36.4</v>
      </c>
      <c r="GV62">
        <v>41.2</v>
      </c>
      <c r="GW62">
        <v>29.020099999999999</v>
      </c>
      <c r="GX62">
        <v>61.072099999999999</v>
      </c>
      <c r="GY62">
        <v>30.5489</v>
      </c>
      <c r="GZ62">
        <v>1</v>
      </c>
      <c r="HA62">
        <v>0.73614299999999999</v>
      </c>
      <c r="HB62">
        <v>4.4521499999999996</v>
      </c>
      <c r="HC62">
        <v>20.2654</v>
      </c>
      <c r="HD62">
        <v>5.2409499999999998</v>
      </c>
      <c r="HE62">
        <v>12.002000000000001</v>
      </c>
      <c r="HF62">
        <v>4.9626000000000001</v>
      </c>
      <c r="HG62">
        <v>3.3001800000000001</v>
      </c>
      <c r="HH62">
        <v>9999</v>
      </c>
      <c r="HI62">
        <v>9999</v>
      </c>
      <c r="HJ62">
        <v>9999</v>
      </c>
      <c r="HK62">
        <v>999.9</v>
      </c>
      <c r="HL62">
        <v>1.8748499999999999</v>
      </c>
      <c r="HM62">
        <v>1.88019</v>
      </c>
      <c r="HN62">
        <v>1.88028</v>
      </c>
      <c r="HO62">
        <v>1.87897</v>
      </c>
      <c r="HP62">
        <v>1.88127</v>
      </c>
      <c r="HQ62">
        <v>1.8772899999999999</v>
      </c>
      <c r="HR62">
        <v>1.875</v>
      </c>
      <c r="HS62">
        <v>1.8821699999999999</v>
      </c>
      <c r="HT62">
        <v>5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423</v>
      </c>
      <c r="IB62" t="s">
        <v>423</v>
      </c>
      <c r="IC62" t="s">
        <v>423</v>
      </c>
      <c r="ID62">
        <v>0</v>
      </c>
      <c r="IE62">
        <v>100</v>
      </c>
      <c r="IF62">
        <v>100</v>
      </c>
      <c r="IG62">
        <v>-9.8000000000000004E-2</v>
      </c>
      <c r="IH62">
        <v>0.34860000000000002</v>
      </c>
      <c r="II62">
        <v>0.1715841332387589</v>
      </c>
      <c r="IJ62">
        <v>7.0786345690369205E-4</v>
      </c>
      <c r="IK62">
        <v>-1.387476646623666E-6</v>
      </c>
      <c r="IL62">
        <v>3.6592443641472651E-10</v>
      </c>
      <c r="IM62">
        <v>0.34863499999999797</v>
      </c>
      <c r="IN62">
        <v>0</v>
      </c>
      <c r="IO62">
        <v>0</v>
      </c>
      <c r="IP62">
        <v>0</v>
      </c>
      <c r="IQ62">
        <v>2</v>
      </c>
      <c r="IR62">
        <v>2142</v>
      </c>
      <c r="IS62">
        <v>1</v>
      </c>
      <c r="IT62">
        <v>24</v>
      </c>
      <c r="IU62">
        <v>1.8</v>
      </c>
      <c r="IV62">
        <v>2</v>
      </c>
      <c r="IW62">
        <v>2.1557599999999999</v>
      </c>
      <c r="IX62">
        <v>2.65503</v>
      </c>
      <c r="IY62">
        <v>1.5490699999999999</v>
      </c>
      <c r="IZ62">
        <v>2.3596200000000001</v>
      </c>
      <c r="JA62">
        <v>1.5966800000000001</v>
      </c>
      <c r="JB62">
        <v>2.19238</v>
      </c>
      <c r="JC62">
        <v>43.754300000000001</v>
      </c>
      <c r="JD62">
        <v>24.096299999999999</v>
      </c>
      <c r="JE62">
        <v>18</v>
      </c>
      <c r="JF62">
        <v>548.66600000000005</v>
      </c>
      <c r="JG62">
        <v>439.01299999999998</v>
      </c>
      <c r="JH62">
        <v>24.865500000000001</v>
      </c>
      <c r="JI62">
        <v>36.082099999999997</v>
      </c>
      <c r="JJ62">
        <v>30.001000000000001</v>
      </c>
      <c r="JK62">
        <v>36.113599999999998</v>
      </c>
      <c r="JL62">
        <v>36.110700000000001</v>
      </c>
      <c r="JM62">
        <v>43.111800000000002</v>
      </c>
      <c r="JN62">
        <v>16.646100000000001</v>
      </c>
      <c r="JO62">
        <v>19.466000000000001</v>
      </c>
      <c r="JP62">
        <v>24.872900000000001</v>
      </c>
      <c r="JQ62">
        <v>1000</v>
      </c>
      <c r="JR62">
        <v>24.214700000000001</v>
      </c>
      <c r="JS62">
        <v>98.293700000000001</v>
      </c>
      <c r="JT62">
        <v>99.174199999999999</v>
      </c>
    </row>
    <row r="63" spans="1:280" x14ac:dyDescent="0.25">
      <c r="A63">
        <v>61</v>
      </c>
      <c r="B63">
        <v>1700162780.5</v>
      </c>
      <c r="C63">
        <v>14924.5</v>
      </c>
      <c r="D63" t="s">
        <v>625</v>
      </c>
      <c r="E63" t="s">
        <v>626</v>
      </c>
      <c r="F63" t="s">
        <v>412</v>
      </c>
      <c r="G63" t="s">
        <v>544</v>
      </c>
      <c r="H63" t="s">
        <v>606</v>
      </c>
      <c r="I63">
        <v>1700162780.5</v>
      </c>
      <c r="J63">
        <f t="shared" si="46"/>
        <v>2.5303620440653477E-3</v>
      </c>
      <c r="K63">
        <f t="shared" si="47"/>
        <v>2.5303620440653476</v>
      </c>
      <c r="L63">
        <f t="shared" si="48"/>
        <v>45.332838127622118</v>
      </c>
      <c r="M63">
        <f t="shared" si="49"/>
        <v>704.70899999999995</v>
      </c>
      <c r="N63">
        <f t="shared" si="50"/>
        <v>206.84469510487179</v>
      </c>
      <c r="O63">
        <f t="shared" si="51"/>
        <v>20.5242291177432</v>
      </c>
      <c r="P63">
        <f t="shared" si="52"/>
        <v>69.924969407615393</v>
      </c>
      <c r="Q63">
        <f t="shared" si="53"/>
        <v>0.15280412912518274</v>
      </c>
      <c r="R63">
        <f t="shared" si="54"/>
        <v>3.1783754063381124</v>
      </c>
      <c r="S63">
        <f t="shared" si="55"/>
        <v>0.14883715605098125</v>
      </c>
      <c r="T63">
        <f t="shared" si="56"/>
        <v>9.337106136384804E-2</v>
      </c>
      <c r="U63">
        <f t="shared" si="57"/>
        <v>289.56487541918875</v>
      </c>
      <c r="V63">
        <f t="shared" si="58"/>
        <v>30.104585986743704</v>
      </c>
      <c r="W63">
        <f t="shared" si="59"/>
        <v>29.9907</v>
      </c>
      <c r="X63">
        <f t="shared" si="60"/>
        <v>4.2581744363970335</v>
      </c>
      <c r="Y63">
        <f t="shared" si="61"/>
        <v>64.887085035293083</v>
      </c>
      <c r="Z63">
        <f t="shared" si="62"/>
        <v>2.6298080969560402</v>
      </c>
      <c r="AA63">
        <f t="shared" si="63"/>
        <v>4.052899117791541</v>
      </c>
      <c r="AB63">
        <f t="shared" si="64"/>
        <v>1.6283663394409933</v>
      </c>
      <c r="AC63">
        <f t="shared" si="65"/>
        <v>-111.58896614328184</v>
      </c>
      <c r="AD63">
        <f t="shared" si="66"/>
        <v>-146.91769772483369</v>
      </c>
      <c r="AE63">
        <f t="shared" si="67"/>
        <v>-10.233498944607694</v>
      </c>
      <c r="AF63">
        <f t="shared" si="68"/>
        <v>20.824712606465567</v>
      </c>
      <c r="AG63">
        <v>0</v>
      </c>
      <c r="AH63">
        <v>0</v>
      </c>
      <c r="AI63">
        <f t="shared" si="69"/>
        <v>1</v>
      </c>
      <c r="AJ63">
        <f t="shared" si="70"/>
        <v>0</v>
      </c>
      <c r="AK63">
        <f t="shared" si="71"/>
        <v>52025.950814471282</v>
      </c>
      <c r="AL63" t="s">
        <v>415</v>
      </c>
      <c r="AM63">
        <v>10238.9</v>
      </c>
      <c r="AN63">
        <v>302.21199999999999</v>
      </c>
      <c r="AO63">
        <v>4052.3</v>
      </c>
      <c r="AP63">
        <f t="shared" si="72"/>
        <v>0.92542210596451402</v>
      </c>
      <c r="AQ63">
        <v>-0.32343011824092421</v>
      </c>
      <c r="AR63" t="s">
        <v>627</v>
      </c>
      <c r="AS63">
        <v>7162.15</v>
      </c>
      <c r="AT63">
        <v>584.79672000000005</v>
      </c>
      <c r="AU63">
        <v>828.81689248602186</v>
      </c>
      <c r="AV63">
        <f t="shared" si="73"/>
        <v>0.29441988296605237</v>
      </c>
      <c r="AW63">
        <v>0.5</v>
      </c>
      <c r="AX63">
        <f t="shared" si="74"/>
        <v>1513.1763002171963</v>
      </c>
      <c r="AY63">
        <f t="shared" si="75"/>
        <v>45.332838127622118</v>
      </c>
      <c r="AZ63">
        <f t="shared" si="76"/>
        <v>222.75459460847551</v>
      </c>
      <c r="BA63">
        <f t="shared" si="77"/>
        <v>3.0172471138564416E-2</v>
      </c>
      <c r="BB63">
        <f t="shared" si="78"/>
        <v>3.8892584559240784</v>
      </c>
      <c r="BC63">
        <f t="shared" si="79"/>
        <v>234.2632970173174</v>
      </c>
      <c r="BD63" t="s">
        <v>628</v>
      </c>
      <c r="BE63">
        <v>431.47</v>
      </c>
      <c r="BF63">
        <f t="shared" si="80"/>
        <v>431.47</v>
      </c>
      <c r="BG63">
        <f t="shared" si="81"/>
        <v>0.47941456802863502</v>
      </c>
      <c r="BH63">
        <f t="shared" si="82"/>
        <v>0.6141237722014049</v>
      </c>
      <c r="BI63">
        <f t="shared" si="83"/>
        <v>0.89026082625088121</v>
      </c>
      <c r="BJ63">
        <f t="shared" si="84"/>
        <v>0.46338379298764121</v>
      </c>
      <c r="BK63">
        <f t="shared" si="85"/>
        <v>0.85957532396945835</v>
      </c>
      <c r="BL63">
        <f t="shared" si="86"/>
        <v>0.45310784915438679</v>
      </c>
      <c r="BM63">
        <f t="shared" si="87"/>
        <v>0.54689215084561327</v>
      </c>
      <c r="BN63">
        <v>34493</v>
      </c>
      <c r="BO63">
        <v>290.00000000000011</v>
      </c>
      <c r="BP63">
        <v>761.48</v>
      </c>
      <c r="BQ63">
        <v>295</v>
      </c>
      <c r="BR63">
        <v>7162.15</v>
      </c>
      <c r="BS63">
        <v>763.28</v>
      </c>
      <c r="BT63">
        <v>-1.8</v>
      </c>
      <c r="BU63">
        <v>300.00000000000011</v>
      </c>
      <c r="BV63">
        <v>38.200000000000003</v>
      </c>
      <c r="BW63">
        <v>828.81689248602186</v>
      </c>
      <c r="BX63">
        <v>1.3865813288795219</v>
      </c>
      <c r="BY63">
        <v>-46.938758183442083</v>
      </c>
      <c r="BZ63">
        <v>0.8325278064967484</v>
      </c>
      <c r="CA63">
        <v>0.99126860397039895</v>
      </c>
      <c r="CB63">
        <v>-7.0612489432703004E-3</v>
      </c>
      <c r="CC63">
        <v>289.99999999999989</v>
      </c>
      <c r="CD63">
        <v>772.04</v>
      </c>
      <c r="CE63">
        <v>845</v>
      </c>
      <c r="CF63">
        <v>7155.5</v>
      </c>
      <c r="CG63">
        <v>763.22</v>
      </c>
      <c r="CH63">
        <v>8.82</v>
      </c>
      <c r="CV63">
        <f t="shared" si="88"/>
        <v>1799.99</v>
      </c>
      <c r="CW63">
        <f t="shared" si="89"/>
        <v>1513.1763002171963</v>
      </c>
      <c r="CX63">
        <f t="shared" si="90"/>
        <v>0.84065817044383373</v>
      </c>
      <c r="CY63">
        <f t="shared" si="91"/>
        <v>0.16087026895659906</v>
      </c>
      <c r="CZ63">
        <v>4.8</v>
      </c>
      <c r="DA63">
        <v>0.5</v>
      </c>
      <c r="DB63" t="s">
        <v>418</v>
      </c>
      <c r="DC63">
        <v>2</v>
      </c>
      <c r="DD63">
        <v>1700162780.5</v>
      </c>
      <c r="DE63">
        <v>704.70899999999995</v>
      </c>
      <c r="DF63">
        <v>749.94100000000003</v>
      </c>
      <c r="DG63">
        <v>26.503399999999999</v>
      </c>
      <c r="DH63">
        <v>24.1386</v>
      </c>
      <c r="DI63">
        <v>705.04</v>
      </c>
      <c r="DJ63">
        <v>26.164000000000001</v>
      </c>
      <c r="DK63">
        <v>499.99299999999999</v>
      </c>
      <c r="DL63">
        <v>99.125500000000002</v>
      </c>
      <c r="DM63">
        <v>9.9810599999999999E-2</v>
      </c>
      <c r="DN63">
        <v>29.133299999999998</v>
      </c>
      <c r="DO63">
        <v>29.9907</v>
      </c>
      <c r="DP63">
        <v>999.9</v>
      </c>
      <c r="DQ63">
        <v>0</v>
      </c>
      <c r="DR63">
        <v>0</v>
      </c>
      <c r="DS63">
        <v>9996.25</v>
      </c>
      <c r="DT63">
        <v>0</v>
      </c>
      <c r="DU63">
        <v>438.54599999999999</v>
      </c>
      <c r="DV63">
        <v>-45.231900000000003</v>
      </c>
      <c r="DW63">
        <v>723.89499999999998</v>
      </c>
      <c r="DX63">
        <v>768.49099999999999</v>
      </c>
      <c r="DY63">
        <v>2.3648199999999999</v>
      </c>
      <c r="DZ63">
        <v>749.94100000000003</v>
      </c>
      <c r="EA63">
        <v>24.1386</v>
      </c>
      <c r="EB63">
        <v>2.6271599999999999</v>
      </c>
      <c r="EC63">
        <v>2.3927499999999999</v>
      </c>
      <c r="ED63">
        <v>21.836500000000001</v>
      </c>
      <c r="EE63">
        <v>20.314800000000002</v>
      </c>
      <c r="EF63">
        <v>1799.99</v>
      </c>
      <c r="EG63">
        <v>0.97800100000000001</v>
      </c>
      <c r="EH63">
        <v>2.1998500000000001E-2</v>
      </c>
      <c r="EI63">
        <v>0</v>
      </c>
      <c r="EJ63">
        <v>584.33299999999997</v>
      </c>
      <c r="EK63">
        <v>4.9996700000000001</v>
      </c>
      <c r="EL63">
        <v>12665.7</v>
      </c>
      <c r="EM63">
        <v>15046.7</v>
      </c>
      <c r="EN63">
        <v>50.625</v>
      </c>
      <c r="EO63">
        <v>51.686999999999998</v>
      </c>
      <c r="EP63">
        <v>51.436999999999998</v>
      </c>
      <c r="EQ63">
        <v>51.375</v>
      </c>
      <c r="ER63">
        <v>51.875</v>
      </c>
      <c r="ES63">
        <v>1755.5</v>
      </c>
      <c r="ET63">
        <v>39.49</v>
      </c>
      <c r="EU63">
        <v>0</v>
      </c>
      <c r="EV63">
        <v>307.40000009536737</v>
      </c>
      <c r="EW63">
        <v>0</v>
      </c>
      <c r="EX63">
        <v>584.79672000000005</v>
      </c>
      <c r="EY63">
        <v>-2.8990769174690132</v>
      </c>
      <c r="EZ63">
        <v>289.19230727472262</v>
      </c>
      <c r="FA63">
        <v>12647.108</v>
      </c>
      <c r="FB63">
        <v>15</v>
      </c>
      <c r="FC63">
        <v>1700162581.5</v>
      </c>
      <c r="FD63" t="s">
        <v>629</v>
      </c>
      <c r="FE63">
        <v>1700162581.5</v>
      </c>
      <c r="FF63">
        <v>1700162578.5</v>
      </c>
      <c r="FG63">
        <v>68</v>
      </c>
      <c r="FH63">
        <v>-0.44</v>
      </c>
      <c r="FI63">
        <v>-8.9999999999999993E-3</v>
      </c>
      <c r="FJ63">
        <v>-0.36399999999999999</v>
      </c>
      <c r="FK63">
        <v>0.33900000000000002</v>
      </c>
      <c r="FL63">
        <v>750</v>
      </c>
      <c r="FM63">
        <v>25</v>
      </c>
      <c r="FN63">
        <v>0.08</v>
      </c>
      <c r="FO63">
        <v>0.05</v>
      </c>
      <c r="FP63">
        <v>44.955160346944147</v>
      </c>
      <c r="FQ63">
        <v>2.7729657156810048</v>
      </c>
      <c r="FR63">
        <v>0.2154114923205076</v>
      </c>
      <c r="FS63">
        <v>0</v>
      </c>
      <c r="FT63">
        <v>0.14878510215321539</v>
      </c>
      <c r="FU63">
        <v>3.0026290888620549E-2</v>
      </c>
      <c r="FV63">
        <v>2.329896356926858E-3</v>
      </c>
      <c r="FW63">
        <v>1</v>
      </c>
      <c r="FX63">
        <v>1</v>
      </c>
      <c r="FY63">
        <v>2</v>
      </c>
      <c r="FZ63" t="s">
        <v>499</v>
      </c>
      <c r="GA63">
        <v>3.0126300000000001</v>
      </c>
      <c r="GB63">
        <v>2.7768600000000001</v>
      </c>
      <c r="GC63">
        <v>0.13234799999999999</v>
      </c>
      <c r="GD63">
        <v>0.138739</v>
      </c>
      <c r="GE63">
        <v>0.121837</v>
      </c>
      <c r="GF63">
        <v>0.11540599999999999</v>
      </c>
      <c r="GG63">
        <v>20770.3</v>
      </c>
      <c r="GH63">
        <v>21296.1</v>
      </c>
      <c r="GI63">
        <v>23711.9</v>
      </c>
      <c r="GJ63">
        <v>24391.5</v>
      </c>
      <c r="GK63">
        <v>30804.799999999999</v>
      </c>
      <c r="GL63">
        <v>30946.5</v>
      </c>
      <c r="GM63">
        <v>38839.4</v>
      </c>
      <c r="GN63">
        <v>38850.9</v>
      </c>
      <c r="GO63">
        <v>2.0350999999999999</v>
      </c>
      <c r="GP63">
        <v>1.76912</v>
      </c>
      <c r="GQ63">
        <v>9.1828400000000004E-2</v>
      </c>
      <c r="GR63">
        <v>0</v>
      </c>
      <c r="GS63">
        <v>28.494499999999999</v>
      </c>
      <c r="GT63">
        <v>999.9</v>
      </c>
      <c r="GU63">
        <v>36.299999999999997</v>
      </c>
      <c r="GV63">
        <v>41</v>
      </c>
      <c r="GW63">
        <v>28.632400000000001</v>
      </c>
      <c r="GX63">
        <v>61.222200000000001</v>
      </c>
      <c r="GY63">
        <v>31.2941</v>
      </c>
      <c r="GZ63">
        <v>1</v>
      </c>
      <c r="HA63">
        <v>0.70730700000000002</v>
      </c>
      <c r="HB63">
        <v>3.4439700000000002</v>
      </c>
      <c r="HC63">
        <v>20.292400000000001</v>
      </c>
      <c r="HD63">
        <v>5.2408000000000001</v>
      </c>
      <c r="HE63">
        <v>11.9986</v>
      </c>
      <c r="HF63">
        <v>4.9629500000000002</v>
      </c>
      <c r="HG63">
        <v>3.30023</v>
      </c>
      <c r="HH63">
        <v>9999</v>
      </c>
      <c r="HI63">
        <v>9999</v>
      </c>
      <c r="HJ63">
        <v>9999</v>
      </c>
      <c r="HK63">
        <v>999.9</v>
      </c>
      <c r="HL63">
        <v>1.8748499999999999</v>
      </c>
      <c r="HM63">
        <v>1.88019</v>
      </c>
      <c r="HN63">
        <v>1.8803000000000001</v>
      </c>
      <c r="HO63">
        <v>1.87897</v>
      </c>
      <c r="HP63">
        <v>1.88131</v>
      </c>
      <c r="HQ63">
        <v>1.8772899999999999</v>
      </c>
      <c r="HR63">
        <v>1.875</v>
      </c>
      <c r="HS63">
        <v>1.8821699999999999</v>
      </c>
      <c r="HT63">
        <v>5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423</v>
      </c>
      <c r="IB63" t="s">
        <v>423</v>
      </c>
      <c r="IC63" t="s">
        <v>423</v>
      </c>
      <c r="ID63">
        <v>0</v>
      </c>
      <c r="IE63">
        <v>100</v>
      </c>
      <c r="IF63">
        <v>100</v>
      </c>
      <c r="IG63">
        <v>-0.33100000000000002</v>
      </c>
      <c r="IH63">
        <v>0.33939999999999998</v>
      </c>
      <c r="II63">
        <v>-0.26877757864519242</v>
      </c>
      <c r="IJ63">
        <v>7.0786345690369205E-4</v>
      </c>
      <c r="IK63">
        <v>-1.387476646623666E-6</v>
      </c>
      <c r="IL63">
        <v>3.6592443641472651E-10</v>
      </c>
      <c r="IM63">
        <v>0.33937999999999852</v>
      </c>
      <c r="IN63">
        <v>0</v>
      </c>
      <c r="IO63">
        <v>0</v>
      </c>
      <c r="IP63">
        <v>0</v>
      </c>
      <c r="IQ63">
        <v>2</v>
      </c>
      <c r="IR63">
        <v>2142</v>
      </c>
      <c r="IS63">
        <v>1</v>
      </c>
      <c r="IT63">
        <v>24</v>
      </c>
      <c r="IU63">
        <v>3.3</v>
      </c>
      <c r="IV63">
        <v>3.4</v>
      </c>
      <c r="IW63">
        <v>1.7065399999999999</v>
      </c>
      <c r="IX63">
        <v>2.6464799999999999</v>
      </c>
      <c r="IY63">
        <v>1.5490699999999999</v>
      </c>
      <c r="IZ63">
        <v>2.3596200000000001</v>
      </c>
      <c r="JA63">
        <v>1.5966800000000001</v>
      </c>
      <c r="JB63">
        <v>2.36816</v>
      </c>
      <c r="JC63">
        <v>43.426400000000001</v>
      </c>
      <c r="JD63">
        <v>24.113800000000001</v>
      </c>
      <c r="JE63">
        <v>18</v>
      </c>
      <c r="JF63">
        <v>548.25099999999998</v>
      </c>
      <c r="JG63">
        <v>441.45299999999997</v>
      </c>
      <c r="JH63">
        <v>25.507400000000001</v>
      </c>
      <c r="JI63">
        <v>35.802199999999999</v>
      </c>
      <c r="JJ63">
        <v>29.9999</v>
      </c>
      <c r="JK63">
        <v>35.8733</v>
      </c>
      <c r="JL63">
        <v>35.875799999999998</v>
      </c>
      <c r="JM63">
        <v>34.112400000000001</v>
      </c>
      <c r="JN63">
        <v>14.9323</v>
      </c>
      <c r="JO63">
        <v>22.103899999999999</v>
      </c>
      <c r="JP63">
        <v>25.519600000000001</v>
      </c>
      <c r="JQ63">
        <v>750</v>
      </c>
      <c r="JR63">
        <v>24.140999999999998</v>
      </c>
      <c r="JS63">
        <v>98.357699999999994</v>
      </c>
      <c r="JT63">
        <v>99.232699999999994</v>
      </c>
    </row>
    <row r="64" spans="1:280" x14ac:dyDescent="0.25">
      <c r="A64">
        <v>62</v>
      </c>
      <c r="B64">
        <v>1700162915</v>
      </c>
      <c r="C64">
        <v>15059</v>
      </c>
      <c r="D64" t="s">
        <v>630</v>
      </c>
      <c r="E64" t="s">
        <v>631</v>
      </c>
      <c r="F64" t="s">
        <v>412</v>
      </c>
      <c r="G64" t="s">
        <v>544</v>
      </c>
      <c r="H64" t="s">
        <v>606</v>
      </c>
      <c r="I64">
        <v>1700162915</v>
      </c>
      <c r="J64">
        <f t="shared" si="46"/>
        <v>3.4766146102200917E-3</v>
      </c>
      <c r="K64">
        <f t="shared" si="47"/>
        <v>3.4766146102200919</v>
      </c>
      <c r="L64">
        <f t="shared" si="48"/>
        <v>47.459876656703599</v>
      </c>
      <c r="M64">
        <f t="shared" si="49"/>
        <v>552.64599999999996</v>
      </c>
      <c r="N64">
        <f t="shared" si="50"/>
        <v>184.0323612890443</v>
      </c>
      <c r="O64">
        <f t="shared" si="51"/>
        <v>18.258700056865798</v>
      </c>
      <c r="P64">
        <f t="shared" si="52"/>
        <v>54.830560673935999</v>
      </c>
      <c r="Q64">
        <f t="shared" si="53"/>
        <v>0.21845675159886552</v>
      </c>
      <c r="R64">
        <f t="shared" si="54"/>
        <v>3.1806751997120886</v>
      </c>
      <c r="S64">
        <f t="shared" si="55"/>
        <v>0.21045039301876678</v>
      </c>
      <c r="T64">
        <f t="shared" si="56"/>
        <v>0.13222638805252709</v>
      </c>
      <c r="U64">
        <f t="shared" si="57"/>
        <v>289.60158341913518</v>
      </c>
      <c r="V64">
        <f t="shared" si="58"/>
        <v>29.956809049990099</v>
      </c>
      <c r="W64">
        <f t="shared" si="59"/>
        <v>29.9132</v>
      </c>
      <c r="X64">
        <f t="shared" si="60"/>
        <v>4.2392544505027807</v>
      </c>
      <c r="Y64">
        <f t="shared" si="61"/>
        <v>65.259531608122984</v>
      </c>
      <c r="Z64">
        <f t="shared" si="62"/>
        <v>2.6572055315584002</v>
      </c>
      <c r="AA64">
        <f t="shared" si="63"/>
        <v>4.0717508478526261</v>
      </c>
      <c r="AB64">
        <f t="shared" si="64"/>
        <v>1.5820489189443805</v>
      </c>
      <c r="AC64">
        <f t="shared" si="65"/>
        <v>-153.31870431070604</v>
      </c>
      <c r="AD64">
        <f t="shared" si="66"/>
        <v>-119.96500233226797</v>
      </c>
      <c r="AE64">
        <f t="shared" si="67"/>
        <v>-8.3501871244055099</v>
      </c>
      <c r="AF64">
        <f t="shared" si="68"/>
        <v>7.9676896517556486</v>
      </c>
      <c r="AG64">
        <v>0</v>
      </c>
      <c r="AH64">
        <v>0</v>
      </c>
      <c r="AI64">
        <f t="shared" si="69"/>
        <v>1</v>
      </c>
      <c r="AJ64">
        <f t="shared" si="70"/>
        <v>0</v>
      </c>
      <c r="AK64">
        <f t="shared" si="71"/>
        <v>52068.868531028951</v>
      </c>
      <c r="AL64" t="s">
        <v>426</v>
      </c>
      <c r="AM64" t="s">
        <v>426</v>
      </c>
      <c r="AN64">
        <v>0</v>
      </c>
      <c r="AO64">
        <v>0</v>
      </c>
      <c r="AP64" t="e">
        <f t="shared" si="72"/>
        <v>#DIV/0!</v>
      </c>
      <c r="AQ64">
        <v>0</v>
      </c>
      <c r="AR64" t="s">
        <v>426</v>
      </c>
      <c r="AS64" t="s">
        <v>426</v>
      </c>
      <c r="AT64">
        <v>0</v>
      </c>
      <c r="AU64">
        <v>0</v>
      </c>
      <c r="AV64" t="e">
        <f t="shared" si="73"/>
        <v>#DIV/0!</v>
      </c>
      <c r="AW64">
        <v>0.5</v>
      </c>
      <c r="AX64">
        <f t="shared" si="74"/>
        <v>1513.3695002171685</v>
      </c>
      <c r="AY64">
        <f t="shared" si="75"/>
        <v>47.459876656703599</v>
      </c>
      <c r="AZ64" t="e">
        <f t="shared" si="76"/>
        <v>#DIV/0!</v>
      </c>
      <c r="BA64">
        <f t="shared" si="77"/>
        <v>3.136040249912074E-2</v>
      </c>
      <c r="BB64" t="e">
        <f t="shared" si="78"/>
        <v>#DIV/0!</v>
      </c>
      <c r="BC64" t="e">
        <f t="shared" si="79"/>
        <v>#DIV/0!</v>
      </c>
      <c r="BD64" t="s">
        <v>426</v>
      </c>
      <c r="BE64">
        <v>0</v>
      </c>
      <c r="BF64" t="e">
        <f t="shared" si="80"/>
        <v>#DIV/0!</v>
      </c>
      <c r="BG64" t="e">
        <f t="shared" si="81"/>
        <v>#DIV/0!</v>
      </c>
      <c r="BH64" t="e">
        <f t="shared" si="82"/>
        <v>#DIV/0!</v>
      </c>
      <c r="BI64" t="e">
        <f t="shared" si="83"/>
        <v>#DIV/0!</v>
      </c>
      <c r="BJ64" t="e">
        <f t="shared" si="84"/>
        <v>#DIV/0!</v>
      </c>
      <c r="BK64" t="e">
        <f t="shared" si="85"/>
        <v>#DIV/0!</v>
      </c>
      <c r="BL64" t="e">
        <f t="shared" si="86"/>
        <v>#DIV/0!</v>
      </c>
      <c r="BM64" t="e">
        <f t="shared" si="87"/>
        <v>#DIV/0!</v>
      </c>
      <c r="BN64">
        <v>34493</v>
      </c>
      <c r="BO64">
        <v>290.00000000000011</v>
      </c>
      <c r="BP64">
        <v>761.48</v>
      </c>
      <c r="BQ64">
        <v>295</v>
      </c>
      <c r="BR64">
        <v>7162.15</v>
      </c>
      <c r="BS64">
        <v>763.28</v>
      </c>
      <c r="BT64">
        <v>-1.8</v>
      </c>
      <c r="BU64">
        <v>300.00000000000011</v>
      </c>
      <c r="BV64">
        <v>38.200000000000003</v>
      </c>
      <c r="BW64">
        <v>828.81689248602186</v>
      </c>
      <c r="BX64">
        <v>1.3865813288795219</v>
      </c>
      <c r="BY64">
        <v>-46.938758183442083</v>
      </c>
      <c r="BZ64">
        <v>0.8325278064967484</v>
      </c>
      <c r="CA64">
        <v>0.99126860397039895</v>
      </c>
      <c r="CB64">
        <v>-7.0612489432703004E-3</v>
      </c>
      <c r="CC64">
        <v>289.99999999999989</v>
      </c>
      <c r="CD64">
        <v>772.04</v>
      </c>
      <c r="CE64">
        <v>845</v>
      </c>
      <c r="CF64">
        <v>7155.5</v>
      </c>
      <c r="CG64">
        <v>763.22</v>
      </c>
      <c r="CH64">
        <v>8.82</v>
      </c>
      <c r="CV64">
        <f t="shared" si="88"/>
        <v>1800.22</v>
      </c>
      <c r="CW64">
        <f t="shared" si="89"/>
        <v>1513.3695002171685</v>
      </c>
      <c r="CX64">
        <f t="shared" si="90"/>
        <v>0.84065808635453909</v>
      </c>
      <c r="CY64">
        <f t="shared" si="91"/>
        <v>0.16087010666426058</v>
      </c>
      <c r="CZ64">
        <v>4.8</v>
      </c>
      <c r="DA64">
        <v>0.5</v>
      </c>
      <c r="DB64" t="s">
        <v>418</v>
      </c>
      <c r="DC64">
        <v>2</v>
      </c>
      <c r="DD64">
        <v>1700162915</v>
      </c>
      <c r="DE64">
        <v>552.64599999999996</v>
      </c>
      <c r="DF64">
        <v>600.03499999999997</v>
      </c>
      <c r="DG64">
        <v>26.782399999999999</v>
      </c>
      <c r="DH64">
        <v>23.535399999999999</v>
      </c>
      <c r="DI64">
        <v>553.00300000000004</v>
      </c>
      <c r="DJ64">
        <v>26.445900000000002</v>
      </c>
      <c r="DK64">
        <v>500.17899999999997</v>
      </c>
      <c r="DL64">
        <v>99.1143</v>
      </c>
      <c r="DM64">
        <v>0.100316</v>
      </c>
      <c r="DN64">
        <v>29.2136</v>
      </c>
      <c r="DO64">
        <v>29.9132</v>
      </c>
      <c r="DP64">
        <v>999.9</v>
      </c>
      <c r="DQ64">
        <v>0</v>
      </c>
      <c r="DR64">
        <v>0</v>
      </c>
      <c r="DS64">
        <v>10008.799999999999</v>
      </c>
      <c r="DT64">
        <v>0</v>
      </c>
      <c r="DU64">
        <v>446.11799999999999</v>
      </c>
      <c r="DV64">
        <v>-47.389000000000003</v>
      </c>
      <c r="DW64">
        <v>567.85500000000002</v>
      </c>
      <c r="DX64">
        <v>614.49800000000005</v>
      </c>
      <c r="DY64">
        <v>3.24702</v>
      </c>
      <c r="DZ64">
        <v>600.03499999999997</v>
      </c>
      <c r="EA64">
        <v>23.535399999999999</v>
      </c>
      <c r="EB64">
        <v>2.6545200000000002</v>
      </c>
      <c r="EC64">
        <v>2.3326899999999999</v>
      </c>
      <c r="ED64">
        <v>22.0062</v>
      </c>
      <c r="EE64">
        <v>19.9039</v>
      </c>
      <c r="EF64">
        <v>1800.22</v>
      </c>
      <c r="EG64">
        <v>0.97800100000000001</v>
      </c>
      <c r="EH64">
        <v>2.1998500000000001E-2</v>
      </c>
      <c r="EI64">
        <v>0</v>
      </c>
      <c r="EJ64">
        <v>581.87199999999996</v>
      </c>
      <c r="EK64">
        <v>4.9996700000000001</v>
      </c>
      <c r="EL64">
        <v>12801.7</v>
      </c>
      <c r="EM64">
        <v>15048.7</v>
      </c>
      <c r="EN64">
        <v>50.5</v>
      </c>
      <c r="EO64">
        <v>51.686999999999998</v>
      </c>
      <c r="EP64">
        <v>51.375</v>
      </c>
      <c r="EQ64">
        <v>51.25</v>
      </c>
      <c r="ER64">
        <v>51.811999999999998</v>
      </c>
      <c r="ES64">
        <v>1755.73</v>
      </c>
      <c r="ET64">
        <v>39.49</v>
      </c>
      <c r="EU64">
        <v>0</v>
      </c>
      <c r="EV64">
        <v>132.79999995231631</v>
      </c>
      <c r="EW64">
        <v>0</v>
      </c>
      <c r="EX64">
        <v>581.67679999999996</v>
      </c>
      <c r="EY64">
        <v>0.90330769457558424</v>
      </c>
      <c r="EZ64">
        <v>185.4923078197489</v>
      </c>
      <c r="FA64">
        <v>12780.451999999999</v>
      </c>
      <c r="FB64">
        <v>15</v>
      </c>
      <c r="FC64">
        <v>1700162855</v>
      </c>
      <c r="FD64" t="s">
        <v>632</v>
      </c>
      <c r="FE64">
        <v>1700162851</v>
      </c>
      <c r="FF64">
        <v>1700162855</v>
      </c>
      <c r="FG64">
        <v>69</v>
      </c>
      <c r="FH64">
        <v>-0.11700000000000001</v>
      </c>
      <c r="FI64">
        <v>-3.0000000000000001E-3</v>
      </c>
      <c r="FJ64">
        <v>-0.38200000000000001</v>
      </c>
      <c r="FK64">
        <v>0.33300000000000002</v>
      </c>
      <c r="FL64">
        <v>600</v>
      </c>
      <c r="FM64">
        <v>24</v>
      </c>
      <c r="FN64">
        <v>0.06</v>
      </c>
      <c r="FO64">
        <v>0.03</v>
      </c>
      <c r="FP64">
        <v>47.270404209660903</v>
      </c>
      <c r="FQ64">
        <v>0.68286759111893114</v>
      </c>
      <c r="FR64">
        <v>8.9112384791582622E-2</v>
      </c>
      <c r="FS64">
        <v>1</v>
      </c>
      <c r="FT64">
        <v>0.21530392414373359</v>
      </c>
      <c r="FU64">
        <v>2.9099722507674428E-2</v>
      </c>
      <c r="FV64">
        <v>2.166957923632478E-3</v>
      </c>
      <c r="FW64">
        <v>1</v>
      </c>
      <c r="FX64">
        <v>2</v>
      </c>
      <c r="FY64">
        <v>2</v>
      </c>
      <c r="FZ64" t="s">
        <v>420</v>
      </c>
      <c r="GA64">
        <v>3.0130400000000002</v>
      </c>
      <c r="GB64">
        <v>2.7774800000000002</v>
      </c>
      <c r="GC64">
        <v>0.111676</v>
      </c>
      <c r="GD64">
        <v>0.119002</v>
      </c>
      <c r="GE64">
        <v>0.12275899999999999</v>
      </c>
      <c r="GF64">
        <v>0.113417</v>
      </c>
      <c r="GG64">
        <v>21272.400000000001</v>
      </c>
      <c r="GH64">
        <v>21791</v>
      </c>
      <c r="GI64">
        <v>23719.3</v>
      </c>
      <c r="GJ64">
        <v>24398.400000000001</v>
      </c>
      <c r="GK64">
        <v>30781.3</v>
      </c>
      <c r="GL64">
        <v>31024.2</v>
      </c>
      <c r="GM64">
        <v>38850.800000000003</v>
      </c>
      <c r="GN64">
        <v>38861.199999999997</v>
      </c>
      <c r="GO64">
        <v>2.0372699999999999</v>
      </c>
      <c r="GP64">
        <v>1.76963</v>
      </c>
      <c r="GQ64">
        <v>7.9974500000000004E-2</v>
      </c>
      <c r="GR64">
        <v>0</v>
      </c>
      <c r="GS64">
        <v>28.610199999999999</v>
      </c>
      <c r="GT64">
        <v>999.9</v>
      </c>
      <c r="GU64">
        <v>36.6</v>
      </c>
      <c r="GV64">
        <v>41</v>
      </c>
      <c r="GW64">
        <v>28.872</v>
      </c>
      <c r="GX64">
        <v>61.102200000000003</v>
      </c>
      <c r="GY64">
        <v>30.673100000000002</v>
      </c>
      <c r="GZ64">
        <v>1</v>
      </c>
      <c r="HA64">
        <v>0.69522600000000001</v>
      </c>
      <c r="HB64">
        <v>2.8087300000000002</v>
      </c>
      <c r="HC64">
        <v>20.306100000000001</v>
      </c>
      <c r="HD64">
        <v>5.2448399999999999</v>
      </c>
      <c r="HE64">
        <v>11.9983</v>
      </c>
      <c r="HF64">
        <v>4.9637000000000002</v>
      </c>
      <c r="HG64">
        <v>3.3009300000000001</v>
      </c>
      <c r="HH64">
        <v>9999</v>
      </c>
      <c r="HI64">
        <v>9999</v>
      </c>
      <c r="HJ64">
        <v>9999</v>
      </c>
      <c r="HK64">
        <v>999.9</v>
      </c>
      <c r="HL64">
        <v>1.8748499999999999</v>
      </c>
      <c r="HM64">
        <v>1.88019</v>
      </c>
      <c r="HN64">
        <v>1.88026</v>
      </c>
      <c r="HO64">
        <v>1.87897</v>
      </c>
      <c r="HP64">
        <v>1.8812599999999999</v>
      </c>
      <c r="HQ64">
        <v>1.87724</v>
      </c>
      <c r="HR64">
        <v>1.8749899999999999</v>
      </c>
      <c r="HS64">
        <v>1.8821600000000001</v>
      </c>
      <c r="HT64">
        <v>5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423</v>
      </c>
      <c r="IB64" t="s">
        <v>423</v>
      </c>
      <c r="IC64" t="s">
        <v>423</v>
      </c>
      <c r="ID64">
        <v>0</v>
      </c>
      <c r="IE64">
        <v>100</v>
      </c>
      <c r="IF64">
        <v>100</v>
      </c>
      <c r="IG64">
        <v>-0.35699999999999998</v>
      </c>
      <c r="IH64">
        <v>0.33650000000000002</v>
      </c>
      <c r="II64">
        <v>-0.38604593370522072</v>
      </c>
      <c r="IJ64">
        <v>7.0786345690369205E-4</v>
      </c>
      <c r="IK64">
        <v>-1.387476646623666E-6</v>
      </c>
      <c r="IL64">
        <v>3.6592443641472651E-10</v>
      </c>
      <c r="IM64">
        <v>0.3364865951895929</v>
      </c>
      <c r="IN64">
        <v>0</v>
      </c>
      <c r="IO64">
        <v>0</v>
      </c>
      <c r="IP64">
        <v>0</v>
      </c>
      <c r="IQ64">
        <v>2</v>
      </c>
      <c r="IR64">
        <v>2142</v>
      </c>
      <c r="IS64">
        <v>1</v>
      </c>
      <c r="IT64">
        <v>24</v>
      </c>
      <c r="IU64">
        <v>1.1000000000000001</v>
      </c>
      <c r="IV64">
        <v>1</v>
      </c>
      <c r="IW64">
        <v>1.4221200000000001</v>
      </c>
      <c r="IX64">
        <v>2.65381</v>
      </c>
      <c r="IY64">
        <v>1.5490699999999999</v>
      </c>
      <c r="IZ64">
        <v>2.3596200000000001</v>
      </c>
      <c r="JA64">
        <v>1.5966800000000001</v>
      </c>
      <c r="JB64">
        <v>2.34619</v>
      </c>
      <c r="JC64">
        <v>43.317599999999999</v>
      </c>
      <c r="JD64">
        <v>24.122499999999999</v>
      </c>
      <c r="JE64">
        <v>18</v>
      </c>
      <c r="JF64">
        <v>548.9</v>
      </c>
      <c r="JG64">
        <v>441.07900000000001</v>
      </c>
      <c r="JH64">
        <v>25.8645</v>
      </c>
      <c r="JI64">
        <v>35.699599999999997</v>
      </c>
      <c r="JJ64">
        <v>29.999600000000001</v>
      </c>
      <c r="JK64">
        <v>35.770800000000001</v>
      </c>
      <c r="JL64">
        <v>35.775199999999998</v>
      </c>
      <c r="JM64">
        <v>28.421600000000002</v>
      </c>
      <c r="JN64">
        <v>18.874400000000001</v>
      </c>
      <c r="JO64">
        <v>22.341999999999999</v>
      </c>
      <c r="JP64">
        <v>25.9117</v>
      </c>
      <c r="JQ64">
        <v>600</v>
      </c>
      <c r="JR64">
        <v>23.450700000000001</v>
      </c>
      <c r="JS64">
        <v>98.387200000000007</v>
      </c>
      <c r="JT64">
        <v>99.259600000000006</v>
      </c>
    </row>
    <row r="65" spans="1:280" x14ac:dyDescent="0.25">
      <c r="A65">
        <v>63</v>
      </c>
      <c r="B65">
        <v>1700163012.5</v>
      </c>
      <c r="C65">
        <v>15156.5</v>
      </c>
      <c r="D65" t="s">
        <v>633</v>
      </c>
      <c r="E65" t="s">
        <v>634</v>
      </c>
      <c r="F65" t="s">
        <v>412</v>
      </c>
      <c r="G65" t="s">
        <v>544</v>
      </c>
      <c r="H65" t="s">
        <v>606</v>
      </c>
      <c r="I65">
        <v>1700163012.5</v>
      </c>
      <c r="J65">
        <f t="shared" si="46"/>
        <v>3.6453818119803376E-3</v>
      </c>
      <c r="K65">
        <f t="shared" si="47"/>
        <v>3.6453818119803376</v>
      </c>
      <c r="L65">
        <f t="shared" si="48"/>
        <v>45.055754376753072</v>
      </c>
      <c r="M65">
        <f t="shared" si="49"/>
        <v>455.178</v>
      </c>
      <c r="N65">
        <f t="shared" si="50"/>
        <v>122.81003230496891</v>
      </c>
      <c r="O65">
        <f t="shared" si="51"/>
        <v>12.183957085034068</v>
      </c>
      <c r="P65">
        <f t="shared" si="52"/>
        <v>45.158112199496998</v>
      </c>
      <c r="Q65">
        <f t="shared" si="53"/>
        <v>0.22957611241577636</v>
      </c>
      <c r="R65">
        <f t="shared" si="54"/>
        <v>3.1773049553800998</v>
      </c>
      <c r="S65">
        <f t="shared" si="55"/>
        <v>0.22074270472531113</v>
      </c>
      <c r="T65">
        <f t="shared" si="56"/>
        <v>0.13872951784967039</v>
      </c>
      <c r="U65">
        <f t="shared" si="57"/>
        <v>289.59200741914913</v>
      </c>
      <c r="V65">
        <f t="shared" si="58"/>
        <v>30.026815921018489</v>
      </c>
      <c r="W65">
        <f t="shared" si="59"/>
        <v>30.003599999999999</v>
      </c>
      <c r="X65">
        <f t="shared" si="60"/>
        <v>4.2613308320819794</v>
      </c>
      <c r="Y65">
        <f t="shared" si="61"/>
        <v>65.409421658918845</v>
      </c>
      <c r="Z65">
        <f t="shared" si="62"/>
        <v>2.6802813550199498</v>
      </c>
      <c r="AA65">
        <f t="shared" si="63"/>
        <v>4.0976992106678907</v>
      </c>
      <c r="AB65">
        <f t="shared" si="64"/>
        <v>1.5810494770620296</v>
      </c>
      <c r="AC65">
        <f t="shared" si="65"/>
        <v>-160.76133790833288</v>
      </c>
      <c r="AD65">
        <f t="shared" si="66"/>
        <v>-116.48050803302729</v>
      </c>
      <c r="AE65">
        <f t="shared" si="67"/>
        <v>-8.1243138496258993</v>
      </c>
      <c r="AF65">
        <f t="shared" si="68"/>
        <v>4.2258476281630806</v>
      </c>
      <c r="AG65">
        <v>0</v>
      </c>
      <c r="AH65">
        <v>0</v>
      </c>
      <c r="AI65">
        <f t="shared" si="69"/>
        <v>1</v>
      </c>
      <c r="AJ65">
        <f t="shared" si="70"/>
        <v>0</v>
      </c>
      <c r="AK65">
        <f t="shared" si="71"/>
        <v>51966.365208877425</v>
      </c>
      <c r="AL65" t="s">
        <v>415</v>
      </c>
      <c r="AM65">
        <v>10238.9</v>
      </c>
      <c r="AN65">
        <v>302.21199999999999</v>
      </c>
      <c r="AO65">
        <v>4052.3</v>
      </c>
      <c r="AP65">
        <f t="shared" si="72"/>
        <v>0.92542210596451402</v>
      </c>
      <c r="AQ65">
        <v>-0.32343011824092421</v>
      </c>
      <c r="AR65" t="s">
        <v>635</v>
      </c>
      <c r="AS65">
        <v>7163.04</v>
      </c>
      <c r="AT65">
        <v>582.66147999999998</v>
      </c>
      <c r="AU65">
        <v>829.84127027757131</v>
      </c>
      <c r="AV65">
        <f t="shared" si="73"/>
        <v>0.29786393992539417</v>
      </c>
      <c r="AW65">
        <v>0.5</v>
      </c>
      <c r="AX65">
        <f t="shared" si="74"/>
        <v>1513.3191002171757</v>
      </c>
      <c r="AY65">
        <f t="shared" si="75"/>
        <v>45.055754376753072</v>
      </c>
      <c r="AZ65">
        <f t="shared" si="76"/>
        <v>225.38159477752018</v>
      </c>
      <c r="BA65">
        <f t="shared" si="77"/>
        <v>2.9986527288581536E-2</v>
      </c>
      <c r="BB65">
        <f t="shared" si="78"/>
        <v>3.8832230272718995</v>
      </c>
      <c r="BC65">
        <f t="shared" si="79"/>
        <v>234.34506185678134</v>
      </c>
      <c r="BD65" t="s">
        <v>636</v>
      </c>
      <c r="BE65">
        <v>430.09</v>
      </c>
      <c r="BF65">
        <f t="shared" si="80"/>
        <v>430.09</v>
      </c>
      <c r="BG65">
        <f t="shared" si="81"/>
        <v>0.48172016094579106</v>
      </c>
      <c r="BH65">
        <f t="shared" si="82"/>
        <v>0.61833397078623298</v>
      </c>
      <c r="BI65">
        <f t="shared" si="83"/>
        <v>0.88963884747776323</v>
      </c>
      <c r="BJ65">
        <f t="shared" si="84"/>
        <v>0.46847247528086683</v>
      </c>
      <c r="BK65">
        <f t="shared" si="85"/>
        <v>0.85930216296855666</v>
      </c>
      <c r="BL65">
        <f t="shared" si="86"/>
        <v>0.45642155286368158</v>
      </c>
      <c r="BM65">
        <f t="shared" si="87"/>
        <v>0.54357844713631842</v>
      </c>
      <c r="BN65">
        <v>34495</v>
      </c>
      <c r="BO65">
        <v>290.00000000000011</v>
      </c>
      <c r="BP65">
        <v>761.83</v>
      </c>
      <c r="BQ65">
        <v>285</v>
      </c>
      <c r="BR65">
        <v>7163.04</v>
      </c>
      <c r="BS65">
        <v>764.57</v>
      </c>
      <c r="BT65">
        <v>-2.74</v>
      </c>
      <c r="BU65">
        <v>300.00000000000011</v>
      </c>
      <c r="BV65">
        <v>38.200000000000003</v>
      </c>
      <c r="BW65">
        <v>829.84127027757131</v>
      </c>
      <c r="BX65">
        <v>1.602720020985714</v>
      </c>
      <c r="BY65">
        <v>-46.75756395670885</v>
      </c>
      <c r="BZ65">
        <v>0.96242071183142652</v>
      </c>
      <c r="CA65">
        <v>0.98827635646409673</v>
      </c>
      <c r="CB65">
        <v>-7.0621003337041112E-3</v>
      </c>
      <c r="CC65">
        <v>289.99999999999989</v>
      </c>
      <c r="CD65">
        <v>774.06</v>
      </c>
      <c r="CE65">
        <v>845</v>
      </c>
      <c r="CF65">
        <v>7156.42</v>
      </c>
      <c r="CG65">
        <v>764.5</v>
      </c>
      <c r="CH65">
        <v>9.56</v>
      </c>
      <c r="CV65">
        <f t="shared" si="88"/>
        <v>1800.16</v>
      </c>
      <c r="CW65">
        <f t="shared" si="89"/>
        <v>1513.3191002171757</v>
      </c>
      <c r="CX65">
        <f t="shared" si="90"/>
        <v>0.84065810828880527</v>
      </c>
      <c r="CY65">
        <f t="shared" si="91"/>
        <v>0.16087014899739419</v>
      </c>
      <c r="CZ65">
        <v>4.8</v>
      </c>
      <c r="DA65">
        <v>0.5</v>
      </c>
      <c r="DB65" t="s">
        <v>418</v>
      </c>
      <c r="DC65">
        <v>2</v>
      </c>
      <c r="DD65">
        <v>1700163012.5</v>
      </c>
      <c r="DE65">
        <v>455.178</v>
      </c>
      <c r="DF65">
        <v>500.01100000000002</v>
      </c>
      <c r="DG65">
        <v>27.016300000000001</v>
      </c>
      <c r="DH65">
        <v>23.612300000000001</v>
      </c>
      <c r="DI65">
        <v>455.43</v>
      </c>
      <c r="DJ65">
        <v>26.6739</v>
      </c>
      <c r="DK65">
        <v>500.15</v>
      </c>
      <c r="DL65">
        <v>99.11</v>
      </c>
      <c r="DM65">
        <v>9.97865E-2</v>
      </c>
      <c r="DN65">
        <v>29.323599999999999</v>
      </c>
      <c r="DO65">
        <v>30.003599999999999</v>
      </c>
      <c r="DP65">
        <v>999.9</v>
      </c>
      <c r="DQ65">
        <v>0</v>
      </c>
      <c r="DR65">
        <v>0</v>
      </c>
      <c r="DS65">
        <v>9992.5</v>
      </c>
      <c r="DT65">
        <v>0</v>
      </c>
      <c r="DU65">
        <v>464.577</v>
      </c>
      <c r="DV65">
        <v>-44.833100000000002</v>
      </c>
      <c r="DW65">
        <v>467.81700000000001</v>
      </c>
      <c r="DX65">
        <v>512.10299999999995</v>
      </c>
      <c r="DY65">
        <v>3.4040300000000001</v>
      </c>
      <c r="DZ65">
        <v>500.01100000000002</v>
      </c>
      <c r="EA65">
        <v>23.612300000000001</v>
      </c>
      <c r="EB65">
        <v>2.6775899999999999</v>
      </c>
      <c r="EC65">
        <v>2.3402099999999999</v>
      </c>
      <c r="ED65">
        <v>22.148199999999999</v>
      </c>
      <c r="EE65">
        <v>19.9559</v>
      </c>
      <c r="EF65">
        <v>1800.16</v>
      </c>
      <c r="EG65">
        <v>0.97800100000000001</v>
      </c>
      <c r="EH65">
        <v>2.19986E-2</v>
      </c>
      <c r="EI65">
        <v>0</v>
      </c>
      <c r="EJ65">
        <v>582.71100000000001</v>
      </c>
      <c r="EK65">
        <v>4.9996700000000001</v>
      </c>
      <c r="EL65">
        <v>12578.1</v>
      </c>
      <c r="EM65">
        <v>15048.1</v>
      </c>
      <c r="EN65">
        <v>50.5</v>
      </c>
      <c r="EO65">
        <v>51.686999999999998</v>
      </c>
      <c r="EP65">
        <v>51.311999999999998</v>
      </c>
      <c r="EQ65">
        <v>51.25</v>
      </c>
      <c r="ER65">
        <v>51.811999999999998</v>
      </c>
      <c r="ES65">
        <v>1755.67</v>
      </c>
      <c r="ET65">
        <v>39.49</v>
      </c>
      <c r="EU65">
        <v>0</v>
      </c>
      <c r="EV65">
        <v>230</v>
      </c>
      <c r="EW65">
        <v>0</v>
      </c>
      <c r="EX65">
        <v>582.66147999999998</v>
      </c>
      <c r="EY65">
        <v>-0.28246154306188009</v>
      </c>
      <c r="EZ65">
        <v>-275.29999959258629</v>
      </c>
      <c r="FA65">
        <v>12592.732</v>
      </c>
      <c r="FB65">
        <v>15</v>
      </c>
      <c r="FC65">
        <v>1700162980</v>
      </c>
      <c r="FD65" t="s">
        <v>637</v>
      </c>
      <c r="FE65">
        <v>1700162971.5</v>
      </c>
      <c r="FF65">
        <v>1700162980</v>
      </c>
      <c r="FG65">
        <v>70</v>
      </c>
      <c r="FH65">
        <v>6.4000000000000001E-2</v>
      </c>
      <c r="FI65">
        <v>6.0000000000000001E-3</v>
      </c>
      <c r="FJ65">
        <v>-0.26900000000000002</v>
      </c>
      <c r="FK65">
        <v>0.315</v>
      </c>
      <c r="FL65">
        <v>500</v>
      </c>
      <c r="FM65">
        <v>23</v>
      </c>
      <c r="FN65">
        <v>0.03</v>
      </c>
      <c r="FO65">
        <v>0.03</v>
      </c>
      <c r="FP65">
        <v>44.928761172100337</v>
      </c>
      <c r="FQ65">
        <v>0.69871694098940651</v>
      </c>
      <c r="FR65">
        <v>5.9390544295679963E-2</v>
      </c>
      <c r="FS65">
        <v>1</v>
      </c>
      <c r="FT65">
        <v>0.2257024213604451</v>
      </c>
      <c r="FU65">
        <v>4.000807092316102E-2</v>
      </c>
      <c r="FV65">
        <v>3.0771310466642969E-3</v>
      </c>
      <c r="FW65">
        <v>1</v>
      </c>
      <c r="FX65">
        <v>2</v>
      </c>
      <c r="FY65">
        <v>2</v>
      </c>
      <c r="FZ65" t="s">
        <v>420</v>
      </c>
      <c r="GA65">
        <v>3.0129299999999999</v>
      </c>
      <c r="GB65">
        <v>2.7768099999999998</v>
      </c>
      <c r="GC65">
        <v>9.6887799999999996E-2</v>
      </c>
      <c r="GD65">
        <v>0.104423</v>
      </c>
      <c r="GE65">
        <v>0.123499</v>
      </c>
      <c r="GF65">
        <v>0.11368300000000001</v>
      </c>
      <c r="GG65">
        <v>21628.400000000001</v>
      </c>
      <c r="GH65">
        <v>22153.200000000001</v>
      </c>
      <c r="GI65">
        <v>23721.200000000001</v>
      </c>
      <c r="GJ65">
        <v>24399.9</v>
      </c>
      <c r="GK65">
        <v>30757.7</v>
      </c>
      <c r="GL65">
        <v>31017</v>
      </c>
      <c r="GM65">
        <v>38853.800000000003</v>
      </c>
      <c r="GN65">
        <v>38863.699999999997</v>
      </c>
      <c r="GO65">
        <v>2.03748</v>
      </c>
      <c r="GP65">
        <v>1.7704</v>
      </c>
      <c r="GQ65">
        <v>7.3984300000000003E-2</v>
      </c>
      <c r="GR65">
        <v>0</v>
      </c>
      <c r="GS65">
        <v>28.798400000000001</v>
      </c>
      <c r="GT65">
        <v>999.9</v>
      </c>
      <c r="GU65">
        <v>36.700000000000003</v>
      </c>
      <c r="GV65">
        <v>40.9</v>
      </c>
      <c r="GW65">
        <v>28.798999999999999</v>
      </c>
      <c r="GX65">
        <v>61.302199999999999</v>
      </c>
      <c r="GY65">
        <v>30.5168</v>
      </c>
      <c r="GZ65">
        <v>1</v>
      </c>
      <c r="HA65">
        <v>0.69709100000000002</v>
      </c>
      <c r="HB65">
        <v>3.8984299999999998</v>
      </c>
      <c r="HC65">
        <v>20.2821</v>
      </c>
      <c r="HD65">
        <v>5.2446900000000003</v>
      </c>
      <c r="HE65">
        <v>11.9984</v>
      </c>
      <c r="HF65">
        <v>4.9636500000000003</v>
      </c>
      <c r="HG65">
        <v>3.3008299999999999</v>
      </c>
      <c r="HH65">
        <v>9999</v>
      </c>
      <c r="HI65">
        <v>9999</v>
      </c>
      <c r="HJ65">
        <v>9999</v>
      </c>
      <c r="HK65">
        <v>999.9</v>
      </c>
      <c r="HL65">
        <v>1.8748499999999999</v>
      </c>
      <c r="HM65">
        <v>1.88019</v>
      </c>
      <c r="HN65">
        <v>1.88029</v>
      </c>
      <c r="HO65">
        <v>1.87897</v>
      </c>
      <c r="HP65">
        <v>1.8812899999999999</v>
      </c>
      <c r="HQ65">
        <v>1.87727</v>
      </c>
      <c r="HR65">
        <v>1.875</v>
      </c>
      <c r="HS65">
        <v>1.8821699999999999</v>
      </c>
      <c r="HT65">
        <v>5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423</v>
      </c>
      <c r="IB65" t="s">
        <v>423</v>
      </c>
      <c r="IC65" t="s">
        <v>423</v>
      </c>
      <c r="ID65">
        <v>0</v>
      </c>
      <c r="IE65">
        <v>100</v>
      </c>
      <c r="IF65">
        <v>100</v>
      </c>
      <c r="IG65">
        <v>-0.252</v>
      </c>
      <c r="IH65">
        <v>0.34239999999999998</v>
      </c>
      <c r="II65">
        <v>-0.32181343646936539</v>
      </c>
      <c r="IJ65">
        <v>7.0786345690369205E-4</v>
      </c>
      <c r="IK65">
        <v>-1.387476646623666E-6</v>
      </c>
      <c r="IL65">
        <v>3.6592443641472651E-10</v>
      </c>
      <c r="IM65">
        <v>0.34245016713913851</v>
      </c>
      <c r="IN65">
        <v>0</v>
      </c>
      <c r="IO65">
        <v>0</v>
      </c>
      <c r="IP65">
        <v>0</v>
      </c>
      <c r="IQ65">
        <v>2</v>
      </c>
      <c r="IR65">
        <v>2142</v>
      </c>
      <c r="IS65">
        <v>1</v>
      </c>
      <c r="IT65">
        <v>24</v>
      </c>
      <c r="IU65">
        <v>0.7</v>
      </c>
      <c r="IV65">
        <v>0.5</v>
      </c>
      <c r="IW65">
        <v>1.22559</v>
      </c>
      <c r="IX65">
        <v>2.6684600000000001</v>
      </c>
      <c r="IY65">
        <v>1.5490699999999999</v>
      </c>
      <c r="IZ65">
        <v>2.3596200000000001</v>
      </c>
      <c r="JA65">
        <v>1.5966800000000001</v>
      </c>
      <c r="JB65">
        <v>2.1716299999999999</v>
      </c>
      <c r="JC65">
        <v>43.263300000000001</v>
      </c>
      <c r="JD65">
        <v>24.096299999999999</v>
      </c>
      <c r="JE65">
        <v>18</v>
      </c>
      <c r="JF65">
        <v>548.62</v>
      </c>
      <c r="JG65">
        <v>441.21100000000001</v>
      </c>
      <c r="JH65">
        <v>25.408300000000001</v>
      </c>
      <c r="JI65">
        <v>35.658099999999997</v>
      </c>
      <c r="JJ65">
        <v>30.0001</v>
      </c>
      <c r="JK65">
        <v>35.72</v>
      </c>
      <c r="JL65">
        <v>35.7226</v>
      </c>
      <c r="JM65">
        <v>24.519100000000002</v>
      </c>
      <c r="JN65">
        <v>18.864899999999999</v>
      </c>
      <c r="JO65">
        <v>22.236699999999999</v>
      </c>
      <c r="JP65">
        <v>25.407</v>
      </c>
      <c r="JQ65">
        <v>500</v>
      </c>
      <c r="JR65">
        <v>23.506799999999998</v>
      </c>
      <c r="JS65">
        <v>98.394800000000004</v>
      </c>
      <c r="JT65">
        <v>99.266099999999994</v>
      </c>
    </row>
    <row r="66" spans="1:280" x14ac:dyDescent="0.25">
      <c r="A66">
        <v>64</v>
      </c>
      <c r="B66">
        <v>1700163133</v>
      </c>
      <c r="C66">
        <v>15277</v>
      </c>
      <c r="D66" t="s">
        <v>638</v>
      </c>
      <c r="E66" t="s">
        <v>639</v>
      </c>
      <c r="F66" t="s">
        <v>412</v>
      </c>
      <c r="G66" t="s">
        <v>544</v>
      </c>
      <c r="H66" t="s">
        <v>606</v>
      </c>
      <c r="I66">
        <v>1700163133</v>
      </c>
      <c r="J66">
        <f t="shared" si="46"/>
        <v>4.0172816363362668E-3</v>
      </c>
      <c r="K66">
        <f t="shared" si="47"/>
        <v>4.0172816363362669</v>
      </c>
      <c r="L66">
        <f t="shared" si="48"/>
        <v>39.671239546380015</v>
      </c>
      <c r="M66">
        <f t="shared" si="49"/>
        <v>360.58600000000001</v>
      </c>
      <c r="N66">
        <f t="shared" si="50"/>
        <v>96.37924017172665</v>
      </c>
      <c r="O66">
        <f t="shared" si="51"/>
        <v>9.5615567889475628</v>
      </c>
      <c r="P66">
        <f t="shared" si="52"/>
        <v>35.772885427985194</v>
      </c>
      <c r="Q66">
        <f t="shared" si="53"/>
        <v>0.25515734124425132</v>
      </c>
      <c r="R66">
        <f t="shared" si="54"/>
        <v>3.1796572137778747</v>
      </c>
      <c r="S66">
        <f t="shared" si="55"/>
        <v>0.24430342052858844</v>
      </c>
      <c r="T66">
        <f t="shared" si="56"/>
        <v>0.15362634402940592</v>
      </c>
      <c r="U66">
        <f t="shared" si="57"/>
        <v>289.53614741923064</v>
      </c>
      <c r="V66">
        <f t="shared" si="58"/>
        <v>29.917371425684635</v>
      </c>
      <c r="W66">
        <f t="shared" si="59"/>
        <v>29.982299999999999</v>
      </c>
      <c r="X66">
        <f t="shared" si="60"/>
        <v>4.2561202045082718</v>
      </c>
      <c r="Y66">
        <f t="shared" si="61"/>
        <v>65.519326033058775</v>
      </c>
      <c r="Z66">
        <f t="shared" si="62"/>
        <v>2.6818106381138596</v>
      </c>
      <c r="AA66">
        <f t="shared" si="63"/>
        <v>4.093159683542396</v>
      </c>
      <c r="AB66">
        <f t="shared" si="64"/>
        <v>1.5743095663944122</v>
      </c>
      <c r="AC66">
        <f t="shared" si="65"/>
        <v>-177.16212016242937</v>
      </c>
      <c r="AD66">
        <f t="shared" si="66"/>
        <v>-116.20675667486135</v>
      </c>
      <c r="AE66">
        <f t="shared" si="67"/>
        <v>-8.097598444775004</v>
      </c>
      <c r="AF66">
        <f t="shared" si="68"/>
        <v>-11.930327862835114</v>
      </c>
      <c r="AG66">
        <v>0</v>
      </c>
      <c r="AH66">
        <v>0</v>
      </c>
      <c r="AI66">
        <f t="shared" si="69"/>
        <v>1</v>
      </c>
      <c r="AJ66">
        <f t="shared" si="70"/>
        <v>0</v>
      </c>
      <c r="AK66">
        <f t="shared" si="71"/>
        <v>52027.872350988691</v>
      </c>
      <c r="AL66" t="s">
        <v>426</v>
      </c>
      <c r="AM66" t="s">
        <v>426</v>
      </c>
      <c r="AN66">
        <v>0</v>
      </c>
      <c r="AO66">
        <v>0</v>
      </c>
      <c r="AP66" t="e">
        <f t="shared" si="72"/>
        <v>#DIV/0!</v>
      </c>
      <c r="AQ66">
        <v>0</v>
      </c>
      <c r="AR66" t="s">
        <v>426</v>
      </c>
      <c r="AS66" t="s">
        <v>426</v>
      </c>
      <c r="AT66">
        <v>0</v>
      </c>
      <c r="AU66">
        <v>0</v>
      </c>
      <c r="AV66" t="e">
        <f t="shared" si="73"/>
        <v>#DIV/0!</v>
      </c>
      <c r="AW66">
        <v>0.5</v>
      </c>
      <c r="AX66">
        <f t="shared" si="74"/>
        <v>1513.0251002172179</v>
      </c>
      <c r="AY66">
        <f t="shared" si="75"/>
        <v>39.671239546380015</v>
      </c>
      <c r="AZ66" t="e">
        <f t="shared" si="76"/>
        <v>#DIV/0!</v>
      </c>
      <c r="BA66">
        <f t="shared" si="77"/>
        <v>2.6219815877928661E-2</v>
      </c>
      <c r="BB66" t="e">
        <f t="shared" si="78"/>
        <v>#DIV/0!</v>
      </c>
      <c r="BC66" t="e">
        <f t="shared" si="79"/>
        <v>#DIV/0!</v>
      </c>
      <c r="BD66" t="s">
        <v>426</v>
      </c>
      <c r="BE66">
        <v>0</v>
      </c>
      <c r="BF66" t="e">
        <f t="shared" si="80"/>
        <v>#DIV/0!</v>
      </c>
      <c r="BG66" t="e">
        <f t="shared" si="81"/>
        <v>#DIV/0!</v>
      </c>
      <c r="BH66" t="e">
        <f t="shared" si="82"/>
        <v>#DIV/0!</v>
      </c>
      <c r="BI66" t="e">
        <f t="shared" si="83"/>
        <v>#DIV/0!</v>
      </c>
      <c r="BJ66" t="e">
        <f t="shared" si="84"/>
        <v>#DIV/0!</v>
      </c>
      <c r="BK66" t="e">
        <f t="shared" si="85"/>
        <v>#DIV/0!</v>
      </c>
      <c r="BL66" t="e">
        <f t="shared" si="86"/>
        <v>#DIV/0!</v>
      </c>
      <c r="BM66" t="e">
        <f t="shared" si="87"/>
        <v>#DIV/0!</v>
      </c>
      <c r="BN66">
        <v>34495</v>
      </c>
      <c r="BO66">
        <v>290.00000000000011</v>
      </c>
      <c r="BP66">
        <v>761.83</v>
      </c>
      <c r="BQ66">
        <v>285</v>
      </c>
      <c r="BR66">
        <v>7163.04</v>
      </c>
      <c r="BS66">
        <v>764.57</v>
      </c>
      <c r="BT66">
        <v>-2.74</v>
      </c>
      <c r="BU66">
        <v>300.00000000000011</v>
      </c>
      <c r="BV66">
        <v>38.200000000000003</v>
      </c>
      <c r="BW66">
        <v>829.84127027757131</v>
      </c>
      <c r="BX66">
        <v>1.602720020985714</v>
      </c>
      <c r="BY66">
        <v>-46.75756395670885</v>
      </c>
      <c r="BZ66">
        <v>0.96242071183142652</v>
      </c>
      <c r="CA66">
        <v>0.98827635646409673</v>
      </c>
      <c r="CB66">
        <v>-7.0621003337041112E-3</v>
      </c>
      <c r="CC66">
        <v>289.99999999999989</v>
      </c>
      <c r="CD66">
        <v>774.06</v>
      </c>
      <c r="CE66">
        <v>845</v>
      </c>
      <c r="CF66">
        <v>7156.42</v>
      </c>
      <c r="CG66">
        <v>764.5</v>
      </c>
      <c r="CH66">
        <v>9.56</v>
      </c>
      <c r="CV66">
        <f t="shared" si="88"/>
        <v>1799.81</v>
      </c>
      <c r="CW66">
        <f t="shared" si="89"/>
        <v>1513.0251002172179</v>
      </c>
      <c r="CX66">
        <f t="shared" si="90"/>
        <v>0.8406582362678382</v>
      </c>
      <c r="CY66">
        <f t="shared" si="91"/>
        <v>0.16087039599692782</v>
      </c>
      <c r="CZ66">
        <v>4.8</v>
      </c>
      <c r="DA66">
        <v>0.5</v>
      </c>
      <c r="DB66" t="s">
        <v>418</v>
      </c>
      <c r="DC66">
        <v>2</v>
      </c>
      <c r="DD66">
        <v>1700163133</v>
      </c>
      <c r="DE66">
        <v>360.58600000000001</v>
      </c>
      <c r="DF66">
        <v>400.048</v>
      </c>
      <c r="DG66">
        <v>27.032299999999999</v>
      </c>
      <c r="DH66">
        <v>23.281199999999998</v>
      </c>
      <c r="DI66">
        <v>360.86399999999998</v>
      </c>
      <c r="DJ66">
        <v>26.688500000000001</v>
      </c>
      <c r="DK66">
        <v>500.16500000000002</v>
      </c>
      <c r="DL66">
        <v>99.107799999999997</v>
      </c>
      <c r="DM66">
        <v>9.9838200000000002E-2</v>
      </c>
      <c r="DN66">
        <v>29.304400000000001</v>
      </c>
      <c r="DO66">
        <v>29.982299999999999</v>
      </c>
      <c r="DP66">
        <v>999.9</v>
      </c>
      <c r="DQ66">
        <v>0</v>
      </c>
      <c r="DR66">
        <v>0</v>
      </c>
      <c r="DS66">
        <v>10004.4</v>
      </c>
      <c r="DT66">
        <v>0</v>
      </c>
      <c r="DU66">
        <v>450.59399999999999</v>
      </c>
      <c r="DV66">
        <v>-39.4619</v>
      </c>
      <c r="DW66">
        <v>370.60399999999998</v>
      </c>
      <c r="DX66">
        <v>409.58300000000003</v>
      </c>
      <c r="DY66">
        <v>3.7510599999999998</v>
      </c>
      <c r="DZ66">
        <v>400.048</v>
      </c>
      <c r="EA66">
        <v>23.281199999999998</v>
      </c>
      <c r="EB66">
        <v>2.6791100000000001</v>
      </c>
      <c r="EC66">
        <v>2.30735</v>
      </c>
      <c r="ED66">
        <v>22.157599999999999</v>
      </c>
      <c r="EE66">
        <v>19.727799999999998</v>
      </c>
      <c r="EF66">
        <v>1799.81</v>
      </c>
      <c r="EG66">
        <v>0.97799800000000003</v>
      </c>
      <c r="EH66">
        <v>2.20021E-2</v>
      </c>
      <c r="EI66">
        <v>0</v>
      </c>
      <c r="EJ66">
        <v>588.50800000000004</v>
      </c>
      <c r="EK66">
        <v>4.9996700000000001</v>
      </c>
      <c r="EL66">
        <v>12017.3</v>
      </c>
      <c r="EM66">
        <v>15045.2</v>
      </c>
      <c r="EN66">
        <v>50.5</v>
      </c>
      <c r="EO66">
        <v>51.686999999999998</v>
      </c>
      <c r="EP66">
        <v>51.311999999999998</v>
      </c>
      <c r="EQ66">
        <v>51.25</v>
      </c>
      <c r="ER66">
        <v>51.811999999999998</v>
      </c>
      <c r="ES66">
        <v>1755.32</v>
      </c>
      <c r="ET66">
        <v>39.49</v>
      </c>
      <c r="EU66">
        <v>0</v>
      </c>
      <c r="EV66">
        <v>118.4000000953674</v>
      </c>
      <c r="EW66">
        <v>0</v>
      </c>
      <c r="EX66">
        <v>588.48257692307698</v>
      </c>
      <c r="EY66">
        <v>-0.78950427036209381</v>
      </c>
      <c r="EZ66">
        <v>-186.98461511130211</v>
      </c>
      <c r="FA66">
        <v>12040.442307692299</v>
      </c>
      <c r="FB66">
        <v>15</v>
      </c>
      <c r="FC66">
        <v>1700163102</v>
      </c>
      <c r="FD66" t="s">
        <v>640</v>
      </c>
      <c r="FE66">
        <v>1700163097.5</v>
      </c>
      <c r="FF66">
        <v>1700163102</v>
      </c>
      <c r="FG66">
        <v>71</v>
      </c>
      <c r="FH66">
        <v>-4.8000000000000001E-2</v>
      </c>
      <c r="FI66">
        <v>1E-3</v>
      </c>
      <c r="FJ66">
        <v>-0.28499999999999998</v>
      </c>
      <c r="FK66">
        <v>0.313</v>
      </c>
      <c r="FL66">
        <v>400</v>
      </c>
      <c r="FM66">
        <v>23</v>
      </c>
      <c r="FN66">
        <v>0.04</v>
      </c>
      <c r="FO66">
        <v>0.02</v>
      </c>
      <c r="FP66">
        <v>39.591797607424461</v>
      </c>
      <c r="FQ66">
        <v>0.40140631766804491</v>
      </c>
      <c r="FR66">
        <v>3.891735285227952E-2</v>
      </c>
      <c r="FS66">
        <v>1</v>
      </c>
      <c r="FT66">
        <v>0.25167256655419379</v>
      </c>
      <c r="FU66">
        <v>4.7182999581122743E-2</v>
      </c>
      <c r="FV66">
        <v>3.674555533228656E-3</v>
      </c>
      <c r="FW66">
        <v>1</v>
      </c>
      <c r="FX66">
        <v>2</v>
      </c>
      <c r="FY66">
        <v>2</v>
      </c>
      <c r="FZ66" t="s">
        <v>420</v>
      </c>
      <c r="GA66">
        <v>3.0129899999999998</v>
      </c>
      <c r="GB66">
        <v>2.7769599999999999</v>
      </c>
      <c r="GC66">
        <v>8.1059400000000004E-2</v>
      </c>
      <c r="GD66">
        <v>8.8362899999999994E-2</v>
      </c>
      <c r="GE66">
        <v>0.12354900000000001</v>
      </c>
      <c r="GF66">
        <v>0.11258</v>
      </c>
      <c r="GG66">
        <v>22007.7</v>
      </c>
      <c r="GH66">
        <v>22551</v>
      </c>
      <c r="GI66">
        <v>23721.7</v>
      </c>
      <c r="GJ66">
        <v>24400.6</v>
      </c>
      <c r="GK66">
        <v>30756.799999999999</v>
      </c>
      <c r="GL66">
        <v>31056.3</v>
      </c>
      <c r="GM66">
        <v>38854.699999999997</v>
      </c>
      <c r="GN66">
        <v>38864.5</v>
      </c>
      <c r="GO66">
        <v>2.03762</v>
      </c>
      <c r="GP66">
        <v>1.76955</v>
      </c>
      <c r="GQ66">
        <v>6.3851500000000005E-2</v>
      </c>
      <c r="GR66">
        <v>0</v>
      </c>
      <c r="GS66">
        <v>28.942299999999999</v>
      </c>
      <c r="GT66">
        <v>999.9</v>
      </c>
      <c r="GU66">
        <v>36.799999999999997</v>
      </c>
      <c r="GV66">
        <v>40.9</v>
      </c>
      <c r="GW66">
        <v>28.882100000000001</v>
      </c>
      <c r="GX66">
        <v>60.932200000000002</v>
      </c>
      <c r="GY66">
        <v>30.540900000000001</v>
      </c>
      <c r="GZ66">
        <v>1</v>
      </c>
      <c r="HA66">
        <v>0.69581000000000004</v>
      </c>
      <c r="HB66">
        <v>3.5846499999999999</v>
      </c>
      <c r="HC66">
        <v>20.29</v>
      </c>
      <c r="HD66">
        <v>5.2448399999999999</v>
      </c>
      <c r="HE66">
        <v>11.9993</v>
      </c>
      <c r="HF66">
        <v>4.9636500000000003</v>
      </c>
      <c r="HG66">
        <v>3.3010000000000002</v>
      </c>
      <c r="HH66">
        <v>9999</v>
      </c>
      <c r="HI66">
        <v>9999</v>
      </c>
      <c r="HJ66">
        <v>9999</v>
      </c>
      <c r="HK66">
        <v>999.9</v>
      </c>
      <c r="HL66">
        <v>1.8748499999999999</v>
      </c>
      <c r="HM66">
        <v>1.88019</v>
      </c>
      <c r="HN66">
        <v>1.8802700000000001</v>
      </c>
      <c r="HO66">
        <v>1.87897</v>
      </c>
      <c r="HP66">
        <v>1.8812800000000001</v>
      </c>
      <c r="HQ66">
        <v>1.8772599999999999</v>
      </c>
      <c r="HR66">
        <v>1.875</v>
      </c>
      <c r="HS66">
        <v>1.8821699999999999</v>
      </c>
      <c r="HT66">
        <v>5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423</v>
      </c>
      <c r="IB66" t="s">
        <v>423</v>
      </c>
      <c r="IC66" t="s">
        <v>423</v>
      </c>
      <c r="ID66">
        <v>0</v>
      </c>
      <c r="IE66">
        <v>100</v>
      </c>
      <c r="IF66">
        <v>100</v>
      </c>
      <c r="IG66">
        <v>-0.27800000000000002</v>
      </c>
      <c r="IH66">
        <v>0.34379999999999999</v>
      </c>
      <c r="II66">
        <v>-0.36970568013507332</v>
      </c>
      <c r="IJ66">
        <v>7.0786345690369205E-4</v>
      </c>
      <c r="IK66">
        <v>-1.387476646623666E-6</v>
      </c>
      <c r="IL66">
        <v>3.6592443641472651E-10</v>
      </c>
      <c r="IM66">
        <v>0.3438310015812534</v>
      </c>
      <c r="IN66">
        <v>0</v>
      </c>
      <c r="IO66">
        <v>0</v>
      </c>
      <c r="IP66">
        <v>0</v>
      </c>
      <c r="IQ66">
        <v>2</v>
      </c>
      <c r="IR66">
        <v>2142</v>
      </c>
      <c r="IS66">
        <v>1</v>
      </c>
      <c r="IT66">
        <v>24</v>
      </c>
      <c r="IU66">
        <v>0.6</v>
      </c>
      <c r="IV66">
        <v>0.5</v>
      </c>
      <c r="IW66">
        <v>1.02417</v>
      </c>
      <c r="IX66">
        <v>2.6684600000000001</v>
      </c>
      <c r="IY66">
        <v>1.5490699999999999</v>
      </c>
      <c r="IZ66">
        <v>2.3596200000000001</v>
      </c>
      <c r="JA66">
        <v>1.5966800000000001</v>
      </c>
      <c r="JB66">
        <v>2.16919</v>
      </c>
      <c r="JC66">
        <v>43.236199999999997</v>
      </c>
      <c r="JD66">
        <v>24.105</v>
      </c>
      <c r="JE66">
        <v>18</v>
      </c>
      <c r="JF66">
        <v>548.56100000000004</v>
      </c>
      <c r="JG66">
        <v>440.51</v>
      </c>
      <c r="JH66">
        <v>25.582000000000001</v>
      </c>
      <c r="JI66">
        <v>35.6708</v>
      </c>
      <c r="JJ66">
        <v>30.000599999999999</v>
      </c>
      <c r="JK66">
        <v>35.700200000000002</v>
      </c>
      <c r="JL66">
        <v>35.699599999999997</v>
      </c>
      <c r="JM66">
        <v>20.4968</v>
      </c>
      <c r="JN66">
        <v>20.101800000000001</v>
      </c>
      <c r="JO66">
        <v>21.873699999999999</v>
      </c>
      <c r="JP66">
        <v>25.5776</v>
      </c>
      <c r="JQ66">
        <v>400</v>
      </c>
      <c r="JR66">
        <v>23.1798</v>
      </c>
      <c r="JS66">
        <v>98.397099999999995</v>
      </c>
      <c r="JT66">
        <v>99.2684</v>
      </c>
    </row>
    <row r="67" spans="1:280" x14ac:dyDescent="0.25">
      <c r="A67">
        <v>65</v>
      </c>
      <c r="B67">
        <v>1700163228.0999999</v>
      </c>
      <c r="C67">
        <v>15372.099999904631</v>
      </c>
      <c r="D67" t="s">
        <v>641</v>
      </c>
      <c r="E67" t="s">
        <v>642</v>
      </c>
      <c r="F67" t="s">
        <v>412</v>
      </c>
      <c r="G67" t="s">
        <v>544</v>
      </c>
      <c r="H67" t="s">
        <v>606</v>
      </c>
      <c r="I67">
        <v>1700163228.0999999</v>
      </c>
      <c r="J67">
        <f t="shared" ref="J67:J86" si="92">(K67)/1000</f>
        <v>4.4576485584764671E-3</v>
      </c>
      <c r="K67">
        <f t="shared" ref="K67:K86" si="93">1000*DK67*AI67*(DG67-DH67)/(100*CZ67*(1000-AI67*DG67))</f>
        <v>4.4576485584764676</v>
      </c>
      <c r="L67">
        <f t="shared" ref="L67:L86" si="94">DK67*AI67*(DF67-DE67*(1000-AI67*DH67)/(1000-AI67*DG67))/(100*CZ67)</f>
        <v>32.296298759093808</v>
      </c>
      <c r="M67">
        <f t="shared" ref="M67:M86" si="95">DE67 - IF(AI67&gt;1, L67*CZ67*100/(AK67*DS67), 0)</f>
        <v>267.87200000000001</v>
      </c>
      <c r="N67">
        <f t="shared" ref="N67:N86" si="96">((T67-J67/2)*M67-L67)/(T67+J67/2)</f>
        <v>75.2498425769964</v>
      </c>
      <c r="O67">
        <f t="shared" ref="O67:O86" si="97">N67*(DL67+DM67)/1000</f>
        <v>7.4659237716044391</v>
      </c>
      <c r="P67">
        <f t="shared" ref="P67:P86" si="98">(DE67 - IF(AI67&gt;1, L67*CZ67*100/(AK67*DS67), 0))*(DL67+DM67)/1000</f>
        <v>26.576958357100803</v>
      </c>
      <c r="Q67">
        <f t="shared" ref="Q67:Q86" si="99">2/((1/S67-1/R67)+SIGN(S67)*SQRT((1/S67-1/R67)*(1/S67-1/R67) + 4*DA67/((DA67+1)*(DA67+1))*(2*1/S67*1/R67-1/R67*1/R67)))</f>
        <v>0.28634804653208101</v>
      </c>
      <c r="R67">
        <f t="shared" ref="R67:R86" si="100">IF(LEFT(DB67,1)&lt;&gt;"0",IF(LEFT(DB67,1)="1",3,DC67),$D$5+$E$5*(DS67*DL67/($K$5*1000))+$F$5*(DS67*DL67/($K$5*1000))*MAX(MIN(CZ67,$J$5),$I$5)*MAX(MIN(CZ67,$J$5),$I$5)+$G$5*MAX(MIN(CZ67,$J$5),$I$5)*(DS67*DL67/($K$5*1000))+$H$5*(DS67*DL67/($K$5*1000))*(DS67*DL67/($K$5*1000)))</f>
        <v>3.178671775452719</v>
      </c>
      <c r="S67">
        <f t="shared" ref="S67:S86" si="101">J67*(1000-(1000*0.61365*EXP(17.502*W67/(240.97+W67))/(DL67+DM67)+DG67)/2)/(1000*0.61365*EXP(17.502*W67/(240.97+W67))/(DL67+DM67)-DG67)</f>
        <v>0.27275032274138661</v>
      </c>
      <c r="T67">
        <f t="shared" ref="T67:T86" si="102">1/((DA67+1)/(Q67/1.6)+1/(R67/1.37)) + DA67/((DA67+1)/(Q67/1.6) + DA67/(R67/1.37))</f>
        <v>0.17163683293175547</v>
      </c>
      <c r="U67">
        <f t="shared" ref="U67:U86" si="103">(CV67*CY67)</f>
        <v>289.53295541923529</v>
      </c>
      <c r="V67">
        <f t="shared" ref="V67:V86" si="104">(DN67+(U67+2*0.95*0.0000000567*(((DN67+$B$7)+273)^4-(DN67+273)^4)-44100*J67)/(1.84*29.3*R67+8*0.95*0.0000000567*(DN67+273)^3))</f>
        <v>29.920333312292133</v>
      </c>
      <c r="W67">
        <f t="shared" ref="W67:W86" si="105">($C$7*DO67+$D$7*DP67+$E$7*V67)</f>
        <v>29.976199999999999</v>
      </c>
      <c r="X67">
        <f t="shared" ref="X67:X86" si="106">0.61365*EXP(17.502*W67/(240.97+W67))</f>
        <v>4.2546289822490992</v>
      </c>
      <c r="Y67">
        <f t="shared" ref="Y67:Y86" si="107">(Z67/AA67*100)</f>
        <v>65.304912416797194</v>
      </c>
      <c r="Z67">
        <f t="shared" ref="Z67:Z86" si="108">DG67*(DL67+DM67)/1000</f>
        <v>2.6898713060661001</v>
      </c>
      <c r="AA67">
        <f t="shared" ref="AA67:AA86" si="109">0.61365*EXP(17.502*DN67/(240.97+DN67))</f>
        <v>4.1189417557112193</v>
      </c>
      <c r="AB67">
        <f t="shared" ref="AB67:AB86" si="110">(X67-DG67*(DL67+DM67)/1000)</f>
        <v>1.5647576761829991</v>
      </c>
      <c r="AC67">
        <f t="shared" ref="AC67:AC86" si="111">(-J67*44100)</f>
        <v>-196.5823014288122</v>
      </c>
      <c r="AD67">
        <f t="shared" ref="AD67:AD86" si="112">2*29.3*R67*0.92*(DN67-W67)</f>
        <v>-96.48049520287033</v>
      </c>
      <c r="AE67">
        <f t="shared" ref="AE67:AE86" si="113">2*0.95*0.0000000567*(((DN67+$B$7)+273)^4-(W67+273)^4)</f>
        <v>-6.7285250251441875</v>
      </c>
      <c r="AF67">
        <f t="shared" ref="AF67:AF86" si="114">U67+AE67+AC67+AD67</f>
        <v>-10.258366237591403</v>
      </c>
      <c r="AG67">
        <v>0</v>
      </c>
      <c r="AH67">
        <v>0</v>
      </c>
      <c r="AI67">
        <f t="shared" ref="AI67:AI86" si="115">IF(AG67*$H$13&gt;=AK67,1,(AK67/(AK67-AG67*$H$13)))</f>
        <v>1</v>
      </c>
      <c r="AJ67">
        <f t="shared" ref="AJ67:AJ86" si="116">(AI67-1)*100</f>
        <v>0</v>
      </c>
      <c r="AK67">
        <f t="shared" ref="AK67:AK86" si="117">MAX(0,($B$13+$C$13*DS67)/(1+$D$13*DS67)*DL67/(DN67+273)*$E$13)</f>
        <v>51984.916878446013</v>
      </c>
      <c r="AL67" t="s">
        <v>415</v>
      </c>
      <c r="AM67">
        <v>10238.9</v>
      </c>
      <c r="AN67">
        <v>302.21199999999999</v>
      </c>
      <c r="AO67">
        <v>4052.3</v>
      </c>
      <c r="AP67">
        <f t="shared" ref="AP67:AP86" si="118">1-AN67/AO67</f>
        <v>0.92542210596451402</v>
      </c>
      <c r="AQ67">
        <v>-0.32343011824092421</v>
      </c>
      <c r="AR67" t="s">
        <v>643</v>
      </c>
      <c r="AS67">
        <v>7163.04</v>
      </c>
      <c r="AT67">
        <v>600.80471999999997</v>
      </c>
      <c r="AU67">
        <v>782.12706453773933</v>
      </c>
      <c r="AV67">
        <f t="shared" ref="AV67:AV86" si="119">1-AT67/AU67</f>
        <v>0.2318323361497614</v>
      </c>
      <c r="AW67">
        <v>0.5</v>
      </c>
      <c r="AX67">
        <f t="shared" ref="AX67:AX86" si="120">CW67</f>
        <v>1513.0083002172203</v>
      </c>
      <c r="AY67">
        <f t="shared" ref="AY67:AY86" si="121">L67</f>
        <v>32.296298759093808</v>
      </c>
      <c r="AZ67">
        <f t="shared" ref="AZ67:AZ86" si="122">AV67*AW67*AX67</f>
        <v>175.38212442666887</v>
      </c>
      <c r="BA67">
        <f t="shared" ref="BA67:BA86" si="123">(AY67-AQ67)/AX67</f>
        <v>2.1559517467717504E-2</v>
      </c>
      <c r="BB67">
        <f t="shared" ref="BB67:BB86" si="124">(AO67-AU67)/AU67</f>
        <v>4.1811274455705369</v>
      </c>
      <c r="BC67">
        <f t="shared" ref="BC67:BC86" si="125">AN67/(AP67+AN67/AU67)</f>
        <v>230.37617494478604</v>
      </c>
      <c r="BD67" t="s">
        <v>644</v>
      </c>
      <c r="BE67">
        <v>431.33</v>
      </c>
      <c r="BF67">
        <f t="shared" ref="BF67:BF86" si="126">IF(BE67&lt;&gt;0, BE67, BC67)</f>
        <v>431.33</v>
      </c>
      <c r="BG67">
        <f t="shared" ref="BG67:BG86" si="127">1-BF67/AU67</f>
        <v>0.44851671862943521</v>
      </c>
      <c r="BH67">
        <f t="shared" ref="BH67:BH86" si="128">(AU67-AT67)/(AU67-BF67)</f>
        <v>0.51688672132041857</v>
      </c>
      <c r="BI67">
        <f t="shared" ref="BI67:BI86" si="129">(AO67-AU67)/(AO67-BF67)</f>
        <v>0.90312069292544828</v>
      </c>
      <c r="BJ67">
        <f t="shared" ref="BJ67:BJ86" si="130">(AU67-AT67)/(AU67-AN67)</f>
        <v>0.37782173958717358</v>
      </c>
      <c r="BK67">
        <f t="shared" ref="BK67:BK86" si="131">(AO67-AU67)/(AO67-AN67)</f>
        <v>0.87202565258795539</v>
      </c>
      <c r="BL67">
        <f t="shared" ref="BL67:BL86" si="132">(BH67*BF67/AT67)</f>
        <v>0.37108355191872688</v>
      </c>
      <c r="BM67">
        <f t="shared" ref="BM67:BM86" si="133">(1-BL67)</f>
        <v>0.62891644808127312</v>
      </c>
      <c r="BN67">
        <v>34497</v>
      </c>
      <c r="BO67">
        <v>290.00000000000011</v>
      </c>
      <c r="BP67">
        <v>731.84</v>
      </c>
      <c r="BQ67">
        <v>275</v>
      </c>
      <c r="BR67">
        <v>7163.04</v>
      </c>
      <c r="BS67">
        <v>733.54</v>
      </c>
      <c r="BT67">
        <v>-1.7</v>
      </c>
      <c r="BU67">
        <v>300.00000000000011</v>
      </c>
      <c r="BV67">
        <v>38.200000000000003</v>
      </c>
      <c r="BW67">
        <v>782.12706453773933</v>
      </c>
      <c r="BX67">
        <v>1.197189105819408</v>
      </c>
      <c r="BY67">
        <v>-34.804151786533339</v>
      </c>
      <c r="BZ67">
        <v>0.71886782826470763</v>
      </c>
      <c r="CA67">
        <v>0.98819578754577853</v>
      </c>
      <c r="CB67">
        <v>-7.0618075639599532E-3</v>
      </c>
      <c r="CC67">
        <v>289.99999999999989</v>
      </c>
      <c r="CD67">
        <v>738.99</v>
      </c>
      <c r="CE67">
        <v>805</v>
      </c>
      <c r="CF67">
        <v>7156.65</v>
      </c>
      <c r="CG67">
        <v>733.5</v>
      </c>
      <c r="CH67">
        <v>5.49</v>
      </c>
      <c r="CV67">
        <f t="shared" ref="CV67:CV86" si="134">$B$11*DT67+$C$11*DU67+$F$11*EF67*(1-EI67)</f>
        <v>1799.79</v>
      </c>
      <c r="CW67">
        <f t="shared" ref="CW67:CW86" si="135">CV67*CX67</f>
        <v>1513.0083002172203</v>
      </c>
      <c r="CX67">
        <f t="shared" ref="CX67:CX86" si="136">($B$11*$D$9+$C$11*$D$9+$F$11*((ES67+EK67)/MAX(ES67+EK67+ET67, 0.1)*$I$9+ET67/MAX(ES67+EK67+ET67, 0.1)*$J$9))/($B$11+$C$11+$F$11)</f>
        <v>0.84065824358242924</v>
      </c>
      <c r="CY67">
        <f t="shared" ref="CY67:CY86" si="137">($B$11*$K$9+$C$11*$K$9+$F$11*((ES67+EK67)/MAX(ES67+EK67+ET67, 0.1)*$P$9+ET67/MAX(ES67+EK67+ET67, 0.1)*$Q$9))/($B$11+$C$11+$F$11)</f>
        <v>0.16087041011408848</v>
      </c>
      <c r="CZ67">
        <v>4.8</v>
      </c>
      <c r="DA67">
        <v>0.5</v>
      </c>
      <c r="DB67" t="s">
        <v>418</v>
      </c>
      <c r="DC67">
        <v>2</v>
      </c>
      <c r="DD67">
        <v>1700163228.0999999</v>
      </c>
      <c r="DE67">
        <v>267.87200000000001</v>
      </c>
      <c r="DF67">
        <v>300.01100000000002</v>
      </c>
      <c r="DG67">
        <v>27.111499999999999</v>
      </c>
      <c r="DH67">
        <v>22.9497</v>
      </c>
      <c r="DI67">
        <v>268.06799999999998</v>
      </c>
      <c r="DJ67">
        <v>26.768599999999999</v>
      </c>
      <c r="DK67">
        <v>500.18299999999999</v>
      </c>
      <c r="DL67">
        <v>99.115300000000005</v>
      </c>
      <c r="DM67">
        <v>9.9841399999999997E-2</v>
      </c>
      <c r="DN67">
        <v>29.4132</v>
      </c>
      <c r="DO67">
        <v>29.976199999999999</v>
      </c>
      <c r="DP67">
        <v>999.9</v>
      </c>
      <c r="DQ67">
        <v>0</v>
      </c>
      <c r="DR67">
        <v>0</v>
      </c>
      <c r="DS67">
        <v>9998.75</v>
      </c>
      <c r="DT67">
        <v>0</v>
      </c>
      <c r="DU67">
        <v>437.55500000000001</v>
      </c>
      <c r="DV67">
        <v>-32.139099999999999</v>
      </c>
      <c r="DW67">
        <v>275.33699999999999</v>
      </c>
      <c r="DX67">
        <v>307.05799999999999</v>
      </c>
      <c r="DY67">
        <v>4.1617499999999996</v>
      </c>
      <c r="DZ67">
        <v>300.01100000000002</v>
      </c>
      <c r="EA67">
        <v>22.9497</v>
      </c>
      <c r="EB67">
        <v>2.6871700000000001</v>
      </c>
      <c r="EC67">
        <v>2.27467</v>
      </c>
      <c r="ED67">
        <v>22.206800000000001</v>
      </c>
      <c r="EE67">
        <v>19.498100000000001</v>
      </c>
      <c r="EF67">
        <v>1799.79</v>
      </c>
      <c r="EG67">
        <v>0.97799800000000003</v>
      </c>
      <c r="EH67">
        <v>2.20021E-2</v>
      </c>
      <c r="EI67">
        <v>0</v>
      </c>
      <c r="EJ67">
        <v>600.37199999999996</v>
      </c>
      <c r="EK67">
        <v>4.9996700000000001</v>
      </c>
      <c r="EL67">
        <v>12105.2</v>
      </c>
      <c r="EM67">
        <v>15045</v>
      </c>
      <c r="EN67">
        <v>50.5</v>
      </c>
      <c r="EO67">
        <v>51.686999999999998</v>
      </c>
      <c r="EP67">
        <v>51.311999999999998</v>
      </c>
      <c r="EQ67">
        <v>51.25</v>
      </c>
      <c r="ER67">
        <v>51.75</v>
      </c>
      <c r="ES67">
        <v>1755.3</v>
      </c>
      <c r="ET67">
        <v>39.49</v>
      </c>
      <c r="EU67">
        <v>0</v>
      </c>
      <c r="EV67">
        <v>213.80000019073489</v>
      </c>
      <c r="EW67">
        <v>0</v>
      </c>
      <c r="EX67">
        <v>600.80471999999997</v>
      </c>
      <c r="EY67">
        <v>-2.1815384598945111</v>
      </c>
      <c r="EZ67">
        <v>-215.43076884916849</v>
      </c>
      <c r="FA67">
        <v>12117.46</v>
      </c>
      <c r="FB67">
        <v>15</v>
      </c>
      <c r="FC67">
        <v>1700163198</v>
      </c>
      <c r="FD67" t="s">
        <v>645</v>
      </c>
      <c r="FE67">
        <v>1700163194</v>
      </c>
      <c r="FF67">
        <v>1700163198</v>
      </c>
      <c r="FG67">
        <v>72</v>
      </c>
      <c r="FH67">
        <v>7.5999999999999998E-2</v>
      </c>
      <c r="FI67">
        <v>-1E-3</v>
      </c>
      <c r="FJ67">
        <v>-0.19600000000000001</v>
      </c>
      <c r="FK67">
        <v>0.307</v>
      </c>
      <c r="FL67">
        <v>300</v>
      </c>
      <c r="FM67">
        <v>23</v>
      </c>
      <c r="FN67">
        <v>0.06</v>
      </c>
      <c r="FO67">
        <v>0.03</v>
      </c>
      <c r="FP67">
        <v>32.256735749133142</v>
      </c>
      <c r="FQ67">
        <v>0.49798748361816392</v>
      </c>
      <c r="FR67">
        <v>6.086671932205711E-2</v>
      </c>
      <c r="FS67">
        <v>1</v>
      </c>
      <c r="FT67">
        <v>0.28163089551154957</v>
      </c>
      <c r="FU67">
        <v>4.3884861155145997E-2</v>
      </c>
      <c r="FV67">
        <v>3.449734184248938E-3</v>
      </c>
      <c r="FW67">
        <v>1</v>
      </c>
      <c r="FX67">
        <v>2</v>
      </c>
      <c r="FY67">
        <v>2</v>
      </c>
      <c r="FZ67" t="s">
        <v>420</v>
      </c>
      <c r="GA67">
        <v>3.0130499999999998</v>
      </c>
      <c r="GB67">
        <v>2.7769200000000001</v>
      </c>
      <c r="GC67">
        <v>6.3713199999999998E-2</v>
      </c>
      <c r="GD67">
        <v>7.0388000000000006E-2</v>
      </c>
      <c r="GE67">
        <v>0.12381200000000001</v>
      </c>
      <c r="GF67">
        <v>0.111473</v>
      </c>
      <c r="GG67">
        <v>22421.3</v>
      </c>
      <c r="GH67">
        <v>22993.7</v>
      </c>
      <c r="GI67">
        <v>23720.3</v>
      </c>
      <c r="GJ67">
        <v>24399</v>
      </c>
      <c r="GK67">
        <v>30745.8</v>
      </c>
      <c r="GL67">
        <v>31093.3</v>
      </c>
      <c r="GM67">
        <v>38852.300000000003</v>
      </c>
      <c r="GN67">
        <v>38862.1</v>
      </c>
      <c r="GO67">
        <v>2.0378500000000002</v>
      </c>
      <c r="GP67">
        <v>1.7684</v>
      </c>
      <c r="GQ67">
        <v>6.0442799999999998E-2</v>
      </c>
      <c r="GR67">
        <v>0</v>
      </c>
      <c r="GS67">
        <v>28.991700000000002</v>
      </c>
      <c r="GT67">
        <v>999.9</v>
      </c>
      <c r="GU67">
        <v>36.6</v>
      </c>
      <c r="GV67">
        <v>40.9</v>
      </c>
      <c r="GW67">
        <v>28.720400000000001</v>
      </c>
      <c r="GX67">
        <v>60.991300000000003</v>
      </c>
      <c r="GY67">
        <v>30.4848</v>
      </c>
      <c r="GZ67">
        <v>1</v>
      </c>
      <c r="HA67">
        <v>0.69572199999999995</v>
      </c>
      <c r="HB67">
        <v>3.0613299999999999</v>
      </c>
      <c r="HC67">
        <v>20.300999999999998</v>
      </c>
      <c r="HD67">
        <v>5.2448399999999999</v>
      </c>
      <c r="HE67">
        <v>11.998100000000001</v>
      </c>
      <c r="HF67">
        <v>4.9634</v>
      </c>
      <c r="HG67">
        <v>3.3010000000000002</v>
      </c>
      <c r="HH67">
        <v>9999</v>
      </c>
      <c r="HI67">
        <v>9999</v>
      </c>
      <c r="HJ67">
        <v>9999</v>
      </c>
      <c r="HK67">
        <v>999.9</v>
      </c>
      <c r="HL67">
        <v>1.8748499999999999</v>
      </c>
      <c r="HM67">
        <v>1.88019</v>
      </c>
      <c r="HN67">
        <v>1.88028</v>
      </c>
      <c r="HO67">
        <v>1.87897</v>
      </c>
      <c r="HP67">
        <v>1.8812899999999999</v>
      </c>
      <c r="HQ67">
        <v>1.8772899999999999</v>
      </c>
      <c r="HR67">
        <v>1.875</v>
      </c>
      <c r="HS67">
        <v>1.8821699999999999</v>
      </c>
      <c r="HT67">
        <v>5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423</v>
      </c>
      <c r="IB67" t="s">
        <v>423</v>
      </c>
      <c r="IC67" t="s">
        <v>423</v>
      </c>
      <c r="ID67">
        <v>0</v>
      </c>
      <c r="IE67">
        <v>100</v>
      </c>
      <c r="IF67">
        <v>100</v>
      </c>
      <c r="IG67">
        <v>-0.19600000000000001</v>
      </c>
      <c r="IH67">
        <v>0.34289999999999998</v>
      </c>
      <c r="II67">
        <v>-0.29326350968886739</v>
      </c>
      <c r="IJ67">
        <v>7.0786345690369205E-4</v>
      </c>
      <c r="IK67">
        <v>-1.387476646623666E-6</v>
      </c>
      <c r="IL67">
        <v>3.6592443641472651E-10</v>
      </c>
      <c r="IM67">
        <v>0.34289009200981552</v>
      </c>
      <c r="IN67">
        <v>0</v>
      </c>
      <c r="IO67">
        <v>0</v>
      </c>
      <c r="IP67">
        <v>0</v>
      </c>
      <c r="IQ67">
        <v>2</v>
      </c>
      <c r="IR67">
        <v>2142</v>
      </c>
      <c r="IS67">
        <v>1</v>
      </c>
      <c r="IT67">
        <v>24</v>
      </c>
      <c r="IU67">
        <v>0.6</v>
      </c>
      <c r="IV67">
        <v>0.5</v>
      </c>
      <c r="IW67">
        <v>0.81542999999999999</v>
      </c>
      <c r="IX67">
        <v>2.6660200000000001</v>
      </c>
      <c r="IY67">
        <v>1.5490699999999999</v>
      </c>
      <c r="IZ67">
        <v>2.3596200000000001</v>
      </c>
      <c r="JA67">
        <v>1.5966800000000001</v>
      </c>
      <c r="JB67">
        <v>2.32056</v>
      </c>
      <c r="JC67">
        <v>43.236199999999997</v>
      </c>
      <c r="JD67">
        <v>24.122499999999999</v>
      </c>
      <c r="JE67">
        <v>18</v>
      </c>
      <c r="JF67">
        <v>548.779</v>
      </c>
      <c r="JG67">
        <v>439.8</v>
      </c>
      <c r="JH67">
        <v>26.078199999999999</v>
      </c>
      <c r="JI67">
        <v>35.696399999999997</v>
      </c>
      <c r="JJ67">
        <v>30.0001</v>
      </c>
      <c r="JK67">
        <v>35.707999999999998</v>
      </c>
      <c r="JL67">
        <v>35.702800000000003</v>
      </c>
      <c r="JM67">
        <v>16.317599999999999</v>
      </c>
      <c r="JN67">
        <v>20.652999999999999</v>
      </c>
      <c r="JO67">
        <v>21.184200000000001</v>
      </c>
      <c r="JP67">
        <v>26.085000000000001</v>
      </c>
      <c r="JQ67">
        <v>300</v>
      </c>
      <c r="JR67">
        <v>22.852799999999998</v>
      </c>
      <c r="JS67">
        <v>98.391000000000005</v>
      </c>
      <c r="JT67">
        <v>99.262100000000004</v>
      </c>
    </row>
    <row r="68" spans="1:280" x14ac:dyDescent="0.25">
      <c r="A68">
        <v>66</v>
      </c>
      <c r="B68">
        <v>1700163435.0999999</v>
      </c>
      <c r="C68">
        <v>15579.099999904631</v>
      </c>
      <c r="D68" t="s">
        <v>646</v>
      </c>
      <c r="E68" t="s">
        <v>647</v>
      </c>
      <c r="F68" t="s">
        <v>412</v>
      </c>
      <c r="G68" t="s">
        <v>544</v>
      </c>
      <c r="H68" t="s">
        <v>606</v>
      </c>
      <c r="I68">
        <v>1700163435.0999999</v>
      </c>
      <c r="J68">
        <f t="shared" si="92"/>
        <v>5.5890192959394472E-3</v>
      </c>
      <c r="K68">
        <f t="shared" si="93"/>
        <v>5.5890192959394476</v>
      </c>
      <c r="L68">
        <f t="shared" si="94"/>
        <v>26.07030901854343</v>
      </c>
      <c r="M68">
        <f t="shared" si="95"/>
        <v>174.024</v>
      </c>
      <c r="N68">
        <f t="shared" si="96"/>
        <v>51.890151348926103</v>
      </c>
      <c r="O68">
        <f t="shared" si="97"/>
        <v>5.148486124620927</v>
      </c>
      <c r="P68">
        <f t="shared" si="98"/>
        <v>17.266477858704</v>
      </c>
      <c r="Q68">
        <f t="shared" si="99"/>
        <v>0.36904595270273105</v>
      </c>
      <c r="R68">
        <f t="shared" si="100"/>
        <v>3.1774796627209652</v>
      </c>
      <c r="S68">
        <f t="shared" si="101"/>
        <v>0.34677995659400435</v>
      </c>
      <c r="T68">
        <f t="shared" si="102"/>
        <v>0.21862594677078584</v>
      </c>
      <c r="U68">
        <f t="shared" si="103"/>
        <v>289.52657141924459</v>
      </c>
      <c r="V68">
        <f t="shared" si="104"/>
        <v>29.985313969034131</v>
      </c>
      <c r="W68">
        <f t="shared" si="105"/>
        <v>30.003699999999998</v>
      </c>
      <c r="X68">
        <f t="shared" si="106"/>
        <v>4.2613553082279241</v>
      </c>
      <c r="Y68">
        <f t="shared" si="107"/>
        <v>64.730060681396893</v>
      </c>
      <c r="Z68">
        <f t="shared" si="108"/>
        <v>2.7184999014540003</v>
      </c>
      <c r="AA68">
        <f t="shared" si="109"/>
        <v>4.199748730090846</v>
      </c>
      <c r="AB68">
        <f t="shared" si="110"/>
        <v>1.5428554067739237</v>
      </c>
      <c r="AC68">
        <f t="shared" si="111"/>
        <v>-246.47575095092961</v>
      </c>
      <c r="AD68">
        <f t="shared" si="112"/>
        <v>-43.391375029955896</v>
      </c>
      <c r="AE68">
        <f t="shared" si="113"/>
        <v>-3.0327109324835471</v>
      </c>
      <c r="AF68">
        <f t="shared" si="114"/>
        <v>-3.3732654941244675</v>
      </c>
      <c r="AG68">
        <v>0</v>
      </c>
      <c r="AH68">
        <v>0</v>
      </c>
      <c r="AI68">
        <f t="shared" si="115"/>
        <v>1</v>
      </c>
      <c r="AJ68">
        <f t="shared" si="116"/>
        <v>0</v>
      </c>
      <c r="AK68">
        <f t="shared" si="117"/>
        <v>51897.608916203033</v>
      </c>
      <c r="AL68" t="s">
        <v>415</v>
      </c>
      <c r="AM68">
        <v>10238.9</v>
      </c>
      <c r="AN68">
        <v>302.21199999999999</v>
      </c>
      <c r="AO68">
        <v>4052.3</v>
      </c>
      <c r="AP68">
        <f t="shared" si="118"/>
        <v>0.92542210596451402</v>
      </c>
      <c r="AQ68">
        <v>-0.32343011824092421</v>
      </c>
      <c r="AR68" t="s">
        <v>648</v>
      </c>
      <c r="AS68">
        <v>7162.23</v>
      </c>
      <c r="AT68">
        <v>614.34503846153848</v>
      </c>
      <c r="AU68">
        <v>756.34883884194278</v>
      </c>
      <c r="AV68">
        <f t="shared" si="119"/>
        <v>0.18774908228566656</v>
      </c>
      <c r="AW68">
        <v>0.5</v>
      </c>
      <c r="AX68">
        <f t="shared" si="120"/>
        <v>1512.9747002172251</v>
      </c>
      <c r="AY68">
        <f t="shared" si="121"/>
        <v>26.07030901854343</v>
      </c>
      <c r="AZ68">
        <f t="shared" si="122"/>
        <v>142.02980574360774</v>
      </c>
      <c r="BA68">
        <f t="shared" si="123"/>
        <v>1.7444930925146915E-2</v>
      </c>
      <c r="BB68">
        <f t="shared" si="124"/>
        <v>4.3577129915404358</v>
      </c>
      <c r="BC68">
        <f t="shared" si="125"/>
        <v>228.08641191346877</v>
      </c>
      <c r="BD68" t="s">
        <v>649</v>
      </c>
      <c r="BE68">
        <v>440.13</v>
      </c>
      <c r="BF68">
        <f t="shared" si="126"/>
        <v>440.13</v>
      </c>
      <c r="BG68">
        <f t="shared" si="127"/>
        <v>0.41808597118508206</v>
      </c>
      <c r="BH68">
        <f t="shared" si="128"/>
        <v>0.44906812288746262</v>
      </c>
      <c r="BI68">
        <f t="shared" si="129"/>
        <v>0.91245737635771773</v>
      </c>
      <c r="BJ68">
        <f t="shared" si="130"/>
        <v>0.31268945444398782</v>
      </c>
      <c r="BK68">
        <f t="shared" si="131"/>
        <v>0.87889968479621206</v>
      </c>
      <c r="BL68">
        <f t="shared" si="132"/>
        <v>0.32172206260738417</v>
      </c>
      <c r="BM68">
        <f t="shared" si="133"/>
        <v>0.67827793739261577</v>
      </c>
      <c r="BN68">
        <v>34499</v>
      </c>
      <c r="BO68">
        <v>290.00000000000011</v>
      </c>
      <c r="BP68">
        <v>717.51</v>
      </c>
      <c r="BQ68">
        <v>285</v>
      </c>
      <c r="BR68">
        <v>7162.23</v>
      </c>
      <c r="BS68">
        <v>718.56</v>
      </c>
      <c r="BT68">
        <v>-1.05</v>
      </c>
      <c r="BU68">
        <v>300.00000000000011</v>
      </c>
      <c r="BV68">
        <v>38.200000000000003</v>
      </c>
      <c r="BW68">
        <v>756.34883884194278</v>
      </c>
      <c r="BX68">
        <v>1.336066110927945</v>
      </c>
      <c r="BY68">
        <v>-27.06808739899375</v>
      </c>
      <c r="BZ68">
        <v>0.80220685229788902</v>
      </c>
      <c r="CA68">
        <v>0.97599707641317202</v>
      </c>
      <c r="CB68">
        <v>-7.0613232480533951E-3</v>
      </c>
      <c r="CC68">
        <v>289.99999999999989</v>
      </c>
      <c r="CD68">
        <v>723.03</v>
      </c>
      <c r="CE68">
        <v>875</v>
      </c>
      <c r="CF68">
        <v>7155.2</v>
      </c>
      <c r="CG68">
        <v>718.52</v>
      </c>
      <c r="CH68">
        <v>4.51</v>
      </c>
      <c r="CV68">
        <f t="shared" si="134"/>
        <v>1799.75</v>
      </c>
      <c r="CW68">
        <f t="shared" si="135"/>
        <v>1512.9747002172251</v>
      </c>
      <c r="CX68">
        <f t="shared" si="136"/>
        <v>0.84065825821209894</v>
      </c>
      <c r="CY68">
        <f t="shared" si="137"/>
        <v>0.16087043834935108</v>
      </c>
      <c r="CZ68">
        <v>4.8</v>
      </c>
      <c r="DA68">
        <v>0.5</v>
      </c>
      <c r="DB68" t="s">
        <v>418</v>
      </c>
      <c r="DC68">
        <v>2</v>
      </c>
      <c r="DD68">
        <v>1700163435.0999999</v>
      </c>
      <c r="DE68">
        <v>174.024</v>
      </c>
      <c r="DF68">
        <v>199.97800000000001</v>
      </c>
      <c r="DG68">
        <v>27.399000000000001</v>
      </c>
      <c r="DH68">
        <v>22.181999999999999</v>
      </c>
      <c r="DI68">
        <v>174.197</v>
      </c>
      <c r="DJ68">
        <v>27.053999999999998</v>
      </c>
      <c r="DK68">
        <v>500.13900000000001</v>
      </c>
      <c r="DL68">
        <v>99.118600000000001</v>
      </c>
      <c r="DM68">
        <v>0.100346</v>
      </c>
      <c r="DN68">
        <v>29.750399999999999</v>
      </c>
      <c r="DO68">
        <v>30.003699999999998</v>
      </c>
      <c r="DP68">
        <v>999.9</v>
      </c>
      <c r="DQ68">
        <v>0</v>
      </c>
      <c r="DR68">
        <v>0</v>
      </c>
      <c r="DS68">
        <v>9992.5</v>
      </c>
      <c r="DT68">
        <v>0</v>
      </c>
      <c r="DU68">
        <v>458.24099999999999</v>
      </c>
      <c r="DV68">
        <v>-25.9544</v>
      </c>
      <c r="DW68">
        <v>178.92599999999999</v>
      </c>
      <c r="DX68">
        <v>204.51499999999999</v>
      </c>
      <c r="DY68">
        <v>5.2170399999999999</v>
      </c>
      <c r="DZ68">
        <v>199.97800000000001</v>
      </c>
      <c r="EA68">
        <v>22.181999999999999</v>
      </c>
      <c r="EB68">
        <v>2.7157499999999999</v>
      </c>
      <c r="EC68">
        <v>2.1986500000000002</v>
      </c>
      <c r="ED68">
        <v>22.380700000000001</v>
      </c>
      <c r="EE68">
        <v>18.952400000000001</v>
      </c>
      <c r="EF68">
        <v>1799.75</v>
      </c>
      <c r="EG68">
        <v>0.97799800000000003</v>
      </c>
      <c r="EH68">
        <v>2.20021E-2</v>
      </c>
      <c r="EI68">
        <v>0</v>
      </c>
      <c r="EJ68">
        <v>613.803</v>
      </c>
      <c r="EK68">
        <v>4.9996700000000001</v>
      </c>
      <c r="EL68">
        <v>12981.8</v>
      </c>
      <c r="EM68">
        <v>15044.7</v>
      </c>
      <c r="EN68">
        <v>50.561999999999998</v>
      </c>
      <c r="EO68">
        <v>51.686999999999998</v>
      </c>
      <c r="EP68">
        <v>51.311999999999998</v>
      </c>
      <c r="EQ68">
        <v>51.311999999999998</v>
      </c>
      <c r="ER68">
        <v>51.875</v>
      </c>
      <c r="ES68">
        <v>1755.26</v>
      </c>
      <c r="ET68">
        <v>39.49</v>
      </c>
      <c r="EU68">
        <v>0</v>
      </c>
      <c r="EV68">
        <v>205.20000004768369</v>
      </c>
      <c r="EW68">
        <v>0</v>
      </c>
      <c r="EX68">
        <v>614.34503846153848</v>
      </c>
      <c r="EY68">
        <v>-2.3579145337286311</v>
      </c>
      <c r="EZ68">
        <v>-115.6376068471379</v>
      </c>
      <c r="FA68">
        <v>13003.969230769229</v>
      </c>
      <c r="FB68">
        <v>15</v>
      </c>
      <c r="FC68">
        <v>1700163312.5999999</v>
      </c>
      <c r="FD68" t="s">
        <v>650</v>
      </c>
      <c r="FE68">
        <v>1700163303.0999999</v>
      </c>
      <c r="FF68">
        <v>1700163312.5999999</v>
      </c>
      <c r="FG68">
        <v>73</v>
      </c>
      <c r="FH68">
        <v>3.5999999999999997E-2</v>
      </c>
      <c r="FI68">
        <v>2E-3</v>
      </c>
      <c r="FJ68">
        <v>-0.16800000000000001</v>
      </c>
      <c r="FK68">
        <v>0.30199999999999999</v>
      </c>
      <c r="FL68">
        <v>200</v>
      </c>
      <c r="FM68">
        <v>23</v>
      </c>
      <c r="FN68">
        <v>0.06</v>
      </c>
      <c r="FO68">
        <v>0.03</v>
      </c>
      <c r="FP68">
        <v>25.986250355310592</v>
      </c>
      <c r="FQ68">
        <v>0.68821274805504951</v>
      </c>
      <c r="FR68">
        <v>7.0477694283285153E-2</v>
      </c>
      <c r="FS68">
        <v>1</v>
      </c>
      <c r="FT68">
        <v>0.37036973413213908</v>
      </c>
      <c r="FU68">
        <v>1.141786612296685E-3</v>
      </c>
      <c r="FV68">
        <v>8.1828561659542172E-4</v>
      </c>
      <c r="FW68">
        <v>1</v>
      </c>
      <c r="FX68">
        <v>2</v>
      </c>
      <c r="FY68">
        <v>2</v>
      </c>
      <c r="FZ68" t="s">
        <v>420</v>
      </c>
      <c r="GA68">
        <v>3.0129600000000001</v>
      </c>
      <c r="GB68">
        <v>2.7773699999999999</v>
      </c>
      <c r="GC68">
        <v>4.3846999999999997E-2</v>
      </c>
      <c r="GD68">
        <v>4.9934600000000003E-2</v>
      </c>
      <c r="GE68">
        <v>0.124722</v>
      </c>
      <c r="GF68">
        <v>0.10886700000000001</v>
      </c>
      <c r="GG68">
        <v>22894.6</v>
      </c>
      <c r="GH68">
        <v>23497.8</v>
      </c>
      <c r="GI68">
        <v>23718.6</v>
      </c>
      <c r="GJ68">
        <v>24397.9</v>
      </c>
      <c r="GK68">
        <v>30712.5</v>
      </c>
      <c r="GL68">
        <v>31183.1</v>
      </c>
      <c r="GM68">
        <v>38850.199999999997</v>
      </c>
      <c r="GN68">
        <v>38860.1</v>
      </c>
      <c r="GO68">
        <v>2.0390000000000001</v>
      </c>
      <c r="GP68">
        <v>1.76675</v>
      </c>
      <c r="GQ68">
        <v>4.6350099999999998E-2</v>
      </c>
      <c r="GR68">
        <v>0</v>
      </c>
      <c r="GS68">
        <v>29.248999999999999</v>
      </c>
      <c r="GT68">
        <v>999.9</v>
      </c>
      <c r="GU68">
        <v>36.1</v>
      </c>
      <c r="GV68">
        <v>40.799999999999997</v>
      </c>
      <c r="GW68">
        <v>28.176500000000001</v>
      </c>
      <c r="GX68">
        <v>61.261400000000002</v>
      </c>
      <c r="GY68">
        <v>30.929500000000001</v>
      </c>
      <c r="GZ68">
        <v>1</v>
      </c>
      <c r="HA68">
        <v>0.698125</v>
      </c>
      <c r="HB68">
        <v>2.97296</v>
      </c>
      <c r="HC68">
        <v>20.302600000000002</v>
      </c>
      <c r="HD68">
        <v>5.2454400000000003</v>
      </c>
      <c r="HE68">
        <v>11.998100000000001</v>
      </c>
      <c r="HF68">
        <v>4.9634</v>
      </c>
      <c r="HG68">
        <v>3.30098</v>
      </c>
      <c r="HH68">
        <v>9999</v>
      </c>
      <c r="HI68">
        <v>9999</v>
      </c>
      <c r="HJ68">
        <v>9999</v>
      </c>
      <c r="HK68">
        <v>999.9</v>
      </c>
      <c r="HL68">
        <v>1.8748499999999999</v>
      </c>
      <c r="HM68">
        <v>1.88019</v>
      </c>
      <c r="HN68">
        <v>1.8803000000000001</v>
      </c>
      <c r="HO68">
        <v>1.8789800000000001</v>
      </c>
      <c r="HP68">
        <v>1.88127</v>
      </c>
      <c r="HQ68">
        <v>1.8772800000000001</v>
      </c>
      <c r="HR68">
        <v>1.875</v>
      </c>
      <c r="HS68">
        <v>1.8821699999999999</v>
      </c>
      <c r="HT68">
        <v>5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423</v>
      </c>
      <c r="IB68" t="s">
        <v>423</v>
      </c>
      <c r="IC68" t="s">
        <v>423</v>
      </c>
      <c r="ID68">
        <v>0</v>
      </c>
      <c r="IE68">
        <v>100</v>
      </c>
      <c r="IF68">
        <v>100</v>
      </c>
      <c r="IG68">
        <v>-0.17299999999999999</v>
      </c>
      <c r="IH68">
        <v>0.34499999999999997</v>
      </c>
      <c r="II68">
        <v>-0.2567228299592807</v>
      </c>
      <c r="IJ68">
        <v>7.0786345690369205E-4</v>
      </c>
      <c r="IK68">
        <v>-1.387476646623666E-6</v>
      </c>
      <c r="IL68">
        <v>3.6592443641472651E-10</v>
      </c>
      <c r="IM68">
        <v>0.34503429753047371</v>
      </c>
      <c r="IN68">
        <v>0</v>
      </c>
      <c r="IO68">
        <v>0</v>
      </c>
      <c r="IP68">
        <v>0</v>
      </c>
      <c r="IQ68">
        <v>2</v>
      </c>
      <c r="IR68">
        <v>2142</v>
      </c>
      <c r="IS68">
        <v>1</v>
      </c>
      <c r="IT68">
        <v>24</v>
      </c>
      <c r="IU68">
        <v>2.2000000000000002</v>
      </c>
      <c r="IV68">
        <v>2</v>
      </c>
      <c r="IW68">
        <v>0.59814500000000004</v>
      </c>
      <c r="IX68">
        <v>2.67456</v>
      </c>
      <c r="IY68">
        <v>1.5490699999999999</v>
      </c>
      <c r="IZ68">
        <v>2.3596200000000001</v>
      </c>
      <c r="JA68">
        <v>1.5966800000000001</v>
      </c>
      <c r="JB68">
        <v>2.34131</v>
      </c>
      <c r="JC68">
        <v>43.182000000000002</v>
      </c>
      <c r="JD68">
        <v>24.122499999999999</v>
      </c>
      <c r="JE68">
        <v>18</v>
      </c>
      <c r="JF68">
        <v>549.68700000000001</v>
      </c>
      <c r="JG68">
        <v>438.83100000000002</v>
      </c>
      <c r="JH68">
        <v>26.513000000000002</v>
      </c>
      <c r="JI68">
        <v>35.731699999999996</v>
      </c>
      <c r="JJ68">
        <v>30.000399999999999</v>
      </c>
      <c r="JK68">
        <v>35.723300000000002</v>
      </c>
      <c r="JL68">
        <v>35.714599999999997</v>
      </c>
      <c r="JM68">
        <v>11.9702</v>
      </c>
      <c r="JN68">
        <v>21.323399999999999</v>
      </c>
      <c r="JO68">
        <v>19.977599999999999</v>
      </c>
      <c r="JP68">
        <v>26.262499999999999</v>
      </c>
      <c r="JQ68">
        <v>200</v>
      </c>
      <c r="JR68">
        <v>22.261900000000001</v>
      </c>
      <c r="JS68">
        <v>98.385199999999998</v>
      </c>
      <c r="JT68">
        <v>99.257199999999997</v>
      </c>
    </row>
    <row r="69" spans="1:280" x14ac:dyDescent="0.25">
      <c r="A69">
        <v>67</v>
      </c>
      <c r="B69">
        <v>1700163559.5999999</v>
      </c>
      <c r="C69">
        <v>15703.599999904631</v>
      </c>
      <c r="D69" t="s">
        <v>651</v>
      </c>
      <c r="E69" t="s">
        <v>652</v>
      </c>
      <c r="F69" t="s">
        <v>412</v>
      </c>
      <c r="G69" t="s">
        <v>544</v>
      </c>
      <c r="H69" t="s">
        <v>606</v>
      </c>
      <c r="I69">
        <v>1700163559.5999999</v>
      </c>
      <c r="J69">
        <f t="shared" si="92"/>
        <v>5.877476529569766E-3</v>
      </c>
      <c r="K69">
        <f t="shared" si="93"/>
        <v>5.8774765295697664</v>
      </c>
      <c r="L69">
        <f t="shared" si="94"/>
        <v>16.47608960166578</v>
      </c>
      <c r="M69">
        <f t="shared" si="95"/>
        <v>103.57</v>
      </c>
      <c r="N69">
        <f t="shared" si="96"/>
        <v>32.636436352874199</v>
      </c>
      <c r="O69">
        <f t="shared" si="97"/>
        <v>3.2381094031406255</v>
      </c>
      <c r="P69">
        <f t="shared" si="98"/>
        <v>10.275968468405999</v>
      </c>
      <c r="Q69">
        <f t="shared" si="99"/>
        <v>0.40354698515437898</v>
      </c>
      <c r="R69">
        <f t="shared" si="100"/>
        <v>3.1793549876337881</v>
      </c>
      <c r="S69">
        <f t="shared" si="101"/>
        <v>0.37709785993043121</v>
      </c>
      <c r="T69">
        <f t="shared" si="102"/>
        <v>0.23791790233521959</v>
      </c>
      <c r="U69">
        <f t="shared" si="103"/>
        <v>289.5616834191934</v>
      </c>
      <c r="V69">
        <f t="shared" si="104"/>
        <v>29.828509508333799</v>
      </c>
      <c r="W69">
        <f t="shared" si="105"/>
        <v>29.915400000000002</v>
      </c>
      <c r="X69">
        <f t="shared" si="106"/>
        <v>4.2397905218696668</v>
      </c>
      <c r="Y69">
        <f t="shared" si="107"/>
        <v>65.758866027465928</v>
      </c>
      <c r="Z69">
        <f t="shared" si="108"/>
        <v>2.7478318695810002</v>
      </c>
      <c r="AA69">
        <f t="shared" si="109"/>
        <v>4.1786485010755738</v>
      </c>
      <c r="AB69">
        <f t="shared" si="110"/>
        <v>1.4919586522886665</v>
      </c>
      <c r="AC69">
        <f t="shared" si="111"/>
        <v>-259.19671495402667</v>
      </c>
      <c r="AD69">
        <f t="shared" si="112"/>
        <v>-43.279859988561697</v>
      </c>
      <c r="AE69">
        <f t="shared" si="113"/>
        <v>-3.0205013596349253</v>
      </c>
      <c r="AF69">
        <f t="shared" si="114"/>
        <v>-15.935392883029891</v>
      </c>
      <c r="AG69">
        <v>0</v>
      </c>
      <c r="AH69">
        <v>0</v>
      </c>
      <c r="AI69">
        <f t="shared" si="115"/>
        <v>1</v>
      </c>
      <c r="AJ69">
        <f t="shared" si="116"/>
        <v>0</v>
      </c>
      <c r="AK69">
        <f t="shared" si="117"/>
        <v>51958.981627326153</v>
      </c>
      <c r="AL69" t="s">
        <v>426</v>
      </c>
      <c r="AM69" t="s">
        <v>426</v>
      </c>
      <c r="AN69">
        <v>0</v>
      </c>
      <c r="AO69">
        <v>0</v>
      </c>
      <c r="AP69" t="e">
        <f t="shared" si="118"/>
        <v>#DIV/0!</v>
      </c>
      <c r="AQ69">
        <v>0</v>
      </c>
      <c r="AR69" t="s">
        <v>426</v>
      </c>
      <c r="AS69" t="s">
        <v>426</v>
      </c>
      <c r="AT69">
        <v>0</v>
      </c>
      <c r="AU69">
        <v>0</v>
      </c>
      <c r="AV69" t="e">
        <f t="shared" si="119"/>
        <v>#DIV/0!</v>
      </c>
      <c r="AW69">
        <v>0.5</v>
      </c>
      <c r="AX69">
        <f t="shared" si="120"/>
        <v>1513.1595002171987</v>
      </c>
      <c r="AY69">
        <f t="shared" si="121"/>
        <v>16.47608960166578</v>
      </c>
      <c r="AZ69" t="e">
        <f t="shared" si="122"/>
        <v>#DIV/0!</v>
      </c>
      <c r="BA69">
        <f t="shared" si="123"/>
        <v>1.0888534618657719E-2</v>
      </c>
      <c r="BB69" t="e">
        <f t="shared" si="124"/>
        <v>#DIV/0!</v>
      </c>
      <c r="BC69" t="e">
        <f t="shared" si="125"/>
        <v>#DIV/0!</v>
      </c>
      <c r="BD69" t="s">
        <v>426</v>
      </c>
      <c r="BE69">
        <v>0</v>
      </c>
      <c r="BF69" t="e">
        <f t="shared" si="126"/>
        <v>#DIV/0!</v>
      </c>
      <c r="BG69" t="e">
        <f t="shared" si="127"/>
        <v>#DIV/0!</v>
      </c>
      <c r="BH69" t="e">
        <f t="shared" si="128"/>
        <v>#DIV/0!</v>
      </c>
      <c r="BI69" t="e">
        <f t="shared" si="129"/>
        <v>#DIV/0!</v>
      </c>
      <c r="BJ69" t="e">
        <f t="shared" si="130"/>
        <v>#DIV/0!</v>
      </c>
      <c r="BK69" t="e">
        <f t="shared" si="131"/>
        <v>#DIV/0!</v>
      </c>
      <c r="BL69" t="e">
        <f t="shared" si="132"/>
        <v>#DIV/0!</v>
      </c>
      <c r="BM69" t="e">
        <f t="shared" si="133"/>
        <v>#DIV/0!</v>
      </c>
      <c r="BN69">
        <v>34499</v>
      </c>
      <c r="BO69">
        <v>290.00000000000011</v>
      </c>
      <c r="BP69">
        <v>717.51</v>
      </c>
      <c r="BQ69">
        <v>285</v>
      </c>
      <c r="BR69">
        <v>7162.23</v>
      </c>
      <c r="BS69">
        <v>718.56</v>
      </c>
      <c r="BT69">
        <v>-1.05</v>
      </c>
      <c r="BU69">
        <v>300.00000000000011</v>
      </c>
      <c r="BV69">
        <v>38.200000000000003</v>
      </c>
      <c r="BW69">
        <v>756.34883884194278</v>
      </c>
      <c r="BX69">
        <v>1.336066110927945</v>
      </c>
      <c r="BY69">
        <v>-27.06808739899375</v>
      </c>
      <c r="BZ69">
        <v>0.80220685229788902</v>
      </c>
      <c r="CA69">
        <v>0.97599707641317202</v>
      </c>
      <c r="CB69">
        <v>-7.0613232480533951E-3</v>
      </c>
      <c r="CC69">
        <v>289.99999999999989</v>
      </c>
      <c r="CD69">
        <v>723.03</v>
      </c>
      <c r="CE69">
        <v>875</v>
      </c>
      <c r="CF69">
        <v>7155.2</v>
      </c>
      <c r="CG69">
        <v>718.52</v>
      </c>
      <c r="CH69">
        <v>4.51</v>
      </c>
      <c r="CV69">
        <f t="shared" si="134"/>
        <v>1799.97</v>
      </c>
      <c r="CW69">
        <f t="shared" si="135"/>
        <v>1513.1595002171987</v>
      </c>
      <c r="CX69">
        <f t="shared" si="136"/>
        <v>0.84065817775696183</v>
      </c>
      <c r="CY69">
        <f t="shared" si="137"/>
        <v>0.1608702830709364</v>
      </c>
      <c r="CZ69">
        <v>4.8</v>
      </c>
      <c r="DA69">
        <v>0.5</v>
      </c>
      <c r="DB69" t="s">
        <v>418</v>
      </c>
      <c r="DC69">
        <v>2</v>
      </c>
      <c r="DD69">
        <v>1700163559.5999999</v>
      </c>
      <c r="DE69">
        <v>103.57</v>
      </c>
      <c r="DF69">
        <v>119.96899999999999</v>
      </c>
      <c r="DG69">
        <v>27.695</v>
      </c>
      <c r="DH69">
        <v>22.209700000000002</v>
      </c>
      <c r="DI69">
        <v>103.776</v>
      </c>
      <c r="DJ69">
        <v>27.344999999999999</v>
      </c>
      <c r="DK69">
        <v>500.07400000000001</v>
      </c>
      <c r="DL69">
        <v>99.117699999999999</v>
      </c>
      <c r="DM69">
        <v>9.9915799999999999E-2</v>
      </c>
      <c r="DN69">
        <v>29.6629</v>
      </c>
      <c r="DO69">
        <v>29.915400000000002</v>
      </c>
      <c r="DP69">
        <v>999.9</v>
      </c>
      <c r="DQ69">
        <v>0</v>
      </c>
      <c r="DR69">
        <v>0</v>
      </c>
      <c r="DS69">
        <v>10001.9</v>
      </c>
      <c r="DT69">
        <v>0</v>
      </c>
      <c r="DU69">
        <v>433.339</v>
      </c>
      <c r="DV69">
        <v>-16.3993</v>
      </c>
      <c r="DW69">
        <v>106.52</v>
      </c>
      <c r="DX69">
        <v>122.694</v>
      </c>
      <c r="DY69">
        <v>5.4853300000000003</v>
      </c>
      <c r="DZ69">
        <v>119.96899999999999</v>
      </c>
      <c r="EA69">
        <v>22.209700000000002</v>
      </c>
      <c r="EB69">
        <v>2.7450600000000001</v>
      </c>
      <c r="EC69">
        <v>2.2013699999999998</v>
      </c>
      <c r="ED69">
        <v>22.557400000000001</v>
      </c>
      <c r="EE69">
        <v>18.972300000000001</v>
      </c>
      <c r="EF69">
        <v>1799.97</v>
      </c>
      <c r="EG69">
        <v>0.97800100000000001</v>
      </c>
      <c r="EH69">
        <v>2.1998500000000001E-2</v>
      </c>
      <c r="EI69">
        <v>0</v>
      </c>
      <c r="EJ69">
        <v>634.245</v>
      </c>
      <c r="EK69">
        <v>4.9996700000000001</v>
      </c>
      <c r="EL69">
        <v>12962</v>
      </c>
      <c r="EM69">
        <v>15046.6</v>
      </c>
      <c r="EN69">
        <v>50.625</v>
      </c>
      <c r="EO69">
        <v>51.75</v>
      </c>
      <c r="EP69">
        <v>51.375</v>
      </c>
      <c r="EQ69">
        <v>51.375</v>
      </c>
      <c r="ER69">
        <v>51.936999999999998</v>
      </c>
      <c r="ES69">
        <v>1755.48</v>
      </c>
      <c r="ET69">
        <v>39.49</v>
      </c>
      <c r="EU69">
        <v>0</v>
      </c>
      <c r="EV69">
        <v>122.4000000953674</v>
      </c>
      <c r="EW69">
        <v>0</v>
      </c>
      <c r="EX69">
        <v>634.50034615384607</v>
      </c>
      <c r="EY69">
        <v>-9.1316248707997191E-2</v>
      </c>
      <c r="EZ69">
        <v>3196.37264406753</v>
      </c>
      <c r="FA69">
        <v>12810.15769230769</v>
      </c>
      <c r="FB69">
        <v>15</v>
      </c>
      <c r="FC69">
        <v>1700163527.0999999</v>
      </c>
      <c r="FD69" t="s">
        <v>653</v>
      </c>
      <c r="FE69">
        <v>1700163512.5999999</v>
      </c>
      <c r="FF69">
        <v>1700163527.0999999</v>
      </c>
      <c r="FG69">
        <v>74</v>
      </c>
      <c r="FH69">
        <v>-8.0000000000000002E-3</v>
      </c>
      <c r="FI69">
        <v>5.0000000000000001E-3</v>
      </c>
      <c r="FJ69">
        <v>-0.19900000000000001</v>
      </c>
      <c r="FK69">
        <v>0.28999999999999998</v>
      </c>
      <c r="FL69">
        <v>120</v>
      </c>
      <c r="FM69">
        <v>22</v>
      </c>
      <c r="FN69">
        <v>0.15</v>
      </c>
      <c r="FO69">
        <v>0.01</v>
      </c>
      <c r="FP69">
        <v>16.504119350611148</v>
      </c>
      <c r="FQ69">
        <v>-0.15167128186654591</v>
      </c>
      <c r="FR69">
        <v>3.3492537610626129E-2</v>
      </c>
      <c r="FS69">
        <v>1</v>
      </c>
      <c r="FT69">
        <v>0.39967269842139802</v>
      </c>
      <c r="FU69">
        <v>4.4660068764835498E-2</v>
      </c>
      <c r="FV69">
        <v>3.3880067673654072E-3</v>
      </c>
      <c r="FW69">
        <v>1</v>
      </c>
      <c r="FX69">
        <v>2</v>
      </c>
      <c r="FY69">
        <v>2</v>
      </c>
      <c r="FZ69" t="s">
        <v>420</v>
      </c>
      <c r="GA69">
        <v>3.0128200000000001</v>
      </c>
      <c r="GB69">
        <v>2.7770199999999998</v>
      </c>
      <c r="GC69">
        <v>2.7154000000000001E-2</v>
      </c>
      <c r="GD69">
        <v>3.1391000000000002E-2</v>
      </c>
      <c r="GE69">
        <v>0.125637</v>
      </c>
      <c r="GF69">
        <v>0.108955</v>
      </c>
      <c r="GG69">
        <v>23292.2</v>
      </c>
      <c r="GH69">
        <v>23954.2</v>
      </c>
      <c r="GI69">
        <v>23717.4</v>
      </c>
      <c r="GJ69">
        <v>24396.6</v>
      </c>
      <c r="GK69">
        <v>30679</v>
      </c>
      <c r="GL69">
        <v>31178.799999999999</v>
      </c>
      <c r="GM69">
        <v>38848.1</v>
      </c>
      <c r="GN69">
        <v>38858.400000000001</v>
      </c>
      <c r="GO69">
        <v>2.0383200000000001</v>
      </c>
      <c r="GP69">
        <v>1.7664</v>
      </c>
      <c r="GQ69">
        <v>4.0661500000000003E-2</v>
      </c>
      <c r="GR69">
        <v>0</v>
      </c>
      <c r="GS69">
        <v>29.2532</v>
      </c>
      <c r="GT69">
        <v>999.9</v>
      </c>
      <c r="GU69">
        <v>35.799999999999997</v>
      </c>
      <c r="GV69">
        <v>40.799999999999997</v>
      </c>
      <c r="GW69">
        <v>27.941099999999999</v>
      </c>
      <c r="GX69">
        <v>61.011299999999999</v>
      </c>
      <c r="GY69">
        <v>31.234000000000002</v>
      </c>
      <c r="GZ69">
        <v>1</v>
      </c>
      <c r="HA69">
        <v>0.70172999999999996</v>
      </c>
      <c r="HB69">
        <v>3.0483799999999999</v>
      </c>
      <c r="HC69">
        <v>20.301400000000001</v>
      </c>
      <c r="HD69">
        <v>5.2413999999999996</v>
      </c>
      <c r="HE69">
        <v>11.9986</v>
      </c>
      <c r="HF69">
        <v>4.9633500000000002</v>
      </c>
      <c r="HG69">
        <v>3.3010000000000002</v>
      </c>
      <c r="HH69">
        <v>9999</v>
      </c>
      <c r="HI69">
        <v>9999</v>
      </c>
      <c r="HJ69">
        <v>9999</v>
      </c>
      <c r="HK69">
        <v>999.9</v>
      </c>
      <c r="HL69">
        <v>1.8748499999999999</v>
      </c>
      <c r="HM69">
        <v>1.8802000000000001</v>
      </c>
      <c r="HN69">
        <v>1.8803099999999999</v>
      </c>
      <c r="HO69">
        <v>1.87897</v>
      </c>
      <c r="HP69">
        <v>1.88131</v>
      </c>
      <c r="HQ69">
        <v>1.8772899999999999</v>
      </c>
      <c r="HR69">
        <v>1.875</v>
      </c>
      <c r="HS69">
        <v>1.8821699999999999</v>
      </c>
      <c r="HT69">
        <v>5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423</v>
      </c>
      <c r="IB69" t="s">
        <v>423</v>
      </c>
      <c r="IC69" t="s">
        <v>423</v>
      </c>
      <c r="ID69">
        <v>0</v>
      </c>
      <c r="IE69">
        <v>100</v>
      </c>
      <c r="IF69">
        <v>100</v>
      </c>
      <c r="IG69">
        <v>-0.20599999999999999</v>
      </c>
      <c r="IH69">
        <v>0.35</v>
      </c>
      <c r="II69">
        <v>-0.26488929416572649</v>
      </c>
      <c r="IJ69">
        <v>7.0786345690369205E-4</v>
      </c>
      <c r="IK69">
        <v>-1.387476646623666E-6</v>
      </c>
      <c r="IL69">
        <v>3.6592443641472651E-10</v>
      </c>
      <c r="IM69">
        <v>0.35003789692298698</v>
      </c>
      <c r="IN69">
        <v>0</v>
      </c>
      <c r="IO69">
        <v>0</v>
      </c>
      <c r="IP69">
        <v>0</v>
      </c>
      <c r="IQ69">
        <v>2</v>
      </c>
      <c r="IR69">
        <v>2142</v>
      </c>
      <c r="IS69">
        <v>1</v>
      </c>
      <c r="IT69">
        <v>24</v>
      </c>
      <c r="IU69">
        <v>0.8</v>
      </c>
      <c r="IV69">
        <v>0.5</v>
      </c>
      <c r="IW69">
        <v>0.41992200000000002</v>
      </c>
      <c r="IX69">
        <v>2.6904300000000001</v>
      </c>
      <c r="IY69">
        <v>1.5490699999999999</v>
      </c>
      <c r="IZ69">
        <v>2.3596200000000001</v>
      </c>
      <c r="JA69">
        <v>1.5966800000000001</v>
      </c>
      <c r="JB69">
        <v>2.2692899999999998</v>
      </c>
      <c r="JC69">
        <v>43.155000000000001</v>
      </c>
      <c r="JD69">
        <v>24.122499999999999</v>
      </c>
      <c r="JE69">
        <v>18</v>
      </c>
      <c r="JF69">
        <v>549.47</v>
      </c>
      <c r="JG69">
        <v>438.77800000000002</v>
      </c>
      <c r="JH69">
        <v>26.271000000000001</v>
      </c>
      <c r="JI69">
        <v>35.770099999999999</v>
      </c>
      <c r="JJ69">
        <v>30.000399999999999</v>
      </c>
      <c r="JK69">
        <v>35.753100000000003</v>
      </c>
      <c r="JL69">
        <v>35.739199999999997</v>
      </c>
      <c r="JM69">
        <v>8.3951499999999992</v>
      </c>
      <c r="JN69">
        <v>19.8125</v>
      </c>
      <c r="JO69">
        <v>19.341200000000001</v>
      </c>
      <c r="JP69">
        <v>26.296399999999998</v>
      </c>
      <c r="JQ69">
        <v>120</v>
      </c>
      <c r="JR69">
        <v>22.203199999999999</v>
      </c>
      <c r="JS69">
        <v>98.38</v>
      </c>
      <c r="JT69">
        <v>99.252499999999998</v>
      </c>
    </row>
    <row r="70" spans="1:280" x14ac:dyDescent="0.25">
      <c r="A70">
        <v>68</v>
      </c>
      <c r="B70">
        <v>1700163706.0999999</v>
      </c>
      <c r="C70">
        <v>15850.099999904631</v>
      </c>
      <c r="D70" t="s">
        <v>654</v>
      </c>
      <c r="E70" t="s">
        <v>655</v>
      </c>
      <c r="F70" t="s">
        <v>412</v>
      </c>
      <c r="G70" t="s">
        <v>544</v>
      </c>
      <c r="H70" t="s">
        <v>606</v>
      </c>
      <c r="I70">
        <v>1700163706.0999999</v>
      </c>
      <c r="J70">
        <f t="shared" si="92"/>
        <v>6.2538961345616501E-3</v>
      </c>
      <c r="K70">
        <f t="shared" si="93"/>
        <v>6.2538961345616499</v>
      </c>
      <c r="L70">
        <f t="shared" si="94"/>
        <v>10.313609101631423</v>
      </c>
      <c r="M70">
        <f t="shared" si="95"/>
        <v>59.734000000000002</v>
      </c>
      <c r="N70">
        <f t="shared" si="96"/>
        <v>18.21586440666217</v>
      </c>
      <c r="O70">
        <f t="shared" si="97"/>
        <v>1.8070430712178229</v>
      </c>
      <c r="P70">
        <f t="shared" si="98"/>
        <v>5.9257089538198002</v>
      </c>
      <c r="Q70">
        <f t="shared" si="99"/>
        <v>0.43307682072451076</v>
      </c>
      <c r="R70">
        <f t="shared" si="100"/>
        <v>3.180423115524674</v>
      </c>
      <c r="S70">
        <f t="shared" si="101"/>
        <v>0.40278045914759109</v>
      </c>
      <c r="T70">
        <f t="shared" si="102"/>
        <v>0.25428295679964763</v>
      </c>
      <c r="U70">
        <f t="shared" si="103"/>
        <v>289.54731941921438</v>
      </c>
      <c r="V70">
        <f t="shared" si="104"/>
        <v>30.051256030825563</v>
      </c>
      <c r="W70">
        <f t="shared" si="105"/>
        <v>30.033799999999999</v>
      </c>
      <c r="X70">
        <f t="shared" si="106"/>
        <v>4.2687281991663477</v>
      </c>
      <c r="Y70">
        <f t="shared" si="107"/>
        <v>65.415209270172085</v>
      </c>
      <c r="Z70">
        <f t="shared" si="108"/>
        <v>2.7831904415822306</v>
      </c>
      <c r="AA70">
        <f t="shared" si="109"/>
        <v>4.2546534248439762</v>
      </c>
      <c r="AB70">
        <f t="shared" si="110"/>
        <v>1.4855377575841171</v>
      </c>
      <c r="AC70">
        <f t="shared" si="111"/>
        <v>-275.79681953416878</v>
      </c>
      <c r="AD70">
        <f t="shared" si="112"/>
        <v>-9.8591208327397286</v>
      </c>
      <c r="AE70">
        <f t="shared" si="113"/>
        <v>-0.68930923951215139</v>
      </c>
      <c r="AF70">
        <f t="shared" si="114"/>
        <v>3.2020698127937006</v>
      </c>
      <c r="AG70">
        <v>0</v>
      </c>
      <c r="AH70">
        <v>0</v>
      </c>
      <c r="AI70">
        <f t="shared" si="115"/>
        <v>1</v>
      </c>
      <c r="AJ70">
        <f t="shared" si="116"/>
        <v>0</v>
      </c>
      <c r="AK70">
        <f t="shared" si="117"/>
        <v>51931.294678458093</v>
      </c>
      <c r="AL70" t="s">
        <v>415</v>
      </c>
      <c r="AM70">
        <v>10238.9</v>
      </c>
      <c r="AN70">
        <v>302.21199999999999</v>
      </c>
      <c r="AO70">
        <v>4052.3</v>
      </c>
      <c r="AP70">
        <f t="shared" si="118"/>
        <v>0.92542210596451402</v>
      </c>
      <c r="AQ70">
        <v>-0.32343011824092421</v>
      </c>
      <c r="AR70" t="s">
        <v>656</v>
      </c>
      <c r="AS70">
        <v>7164.89</v>
      </c>
      <c r="AT70">
        <v>650.40949999999998</v>
      </c>
      <c r="AU70">
        <v>725.96188896037859</v>
      </c>
      <c r="AV70">
        <f t="shared" si="119"/>
        <v>0.10407211467887689</v>
      </c>
      <c r="AW70">
        <v>0.5</v>
      </c>
      <c r="AX70">
        <f t="shared" si="120"/>
        <v>1513.0839002172095</v>
      </c>
      <c r="AY70">
        <f t="shared" si="121"/>
        <v>10.313609101631423</v>
      </c>
      <c r="AZ70">
        <f t="shared" si="122"/>
        <v>78.734920591083878</v>
      </c>
      <c r="BA70">
        <f t="shared" si="123"/>
        <v>7.0300392584610521E-3</v>
      </c>
      <c r="BB70">
        <f t="shared" si="124"/>
        <v>4.5819734639281675</v>
      </c>
      <c r="BC70">
        <f t="shared" si="125"/>
        <v>225.24324516012032</v>
      </c>
      <c r="BD70" t="s">
        <v>657</v>
      </c>
      <c r="BE70">
        <v>465.67</v>
      </c>
      <c r="BF70">
        <f t="shared" si="126"/>
        <v>465.67</v>
      </c>
      <c r="BG70">
        <f t="shared" si="127"/>
        <v>0.3585475944655061</v>
      </c>
      <c r="BH70">
        <f t="shared" si="128"/>
        <v>0.2902602507597889</v>
      </c>
      <c r="BI70">
        <f t="shared" si="129"/>
        <v>0.92742717008434705</v>
      </c>
      <c r="BJ70">
        <f t="shared" si="130"/>
        <v>0.17829476993076662</v>
      </c>
      <c r="BK70">
        <f t="shared" si="131"/>
        <v>0.88700268128097837</v>
      </c>
      <c r="BL70">
        <f t="shared" si="132"/>
        <v>0.20781598511600907</v>
      </c>
      <c r="BM70">
        <f t="shared" si="133"/>
        <v>0.79218401488399093</v>
      </c>
      <c r="BN70">
        <v>34501</v>
      </c>
      <c r="BO70">
        <v>290.00000000000011</v>
      </c>
      <c r="BP70">
        <v>704.52</v>
      </c>
      <c r="BQ70">
        <v>215</v>
      </c>
      <c r="BR70">
        <v>7164.89</v>
      </c>
      <c r="BS70">
        <v>706.96</v>
      </c>
      <c r="BT70">
        <v>-2.44</v>
      </c>
      <c r="BU70">
        <v>300.00000000000011</v>
      </c>
      <c r="BV70">
        <v>38.200000000000003</v>
      </c>
      <c r="BW70">
        <v>725.96188896037859</v>
      </c>
      <c r="BX70">
        <v>1.042926398075158</v>
      </c>
      <c r="BY70">
        <v>-13.616804165619151</v>
      </c>
      <c r="BZ70">
        <v>0.6262072165782776</v>
      </c>
      <c r="CA70">
        <v>0.94409392683136739</v>
      </c>
      <c r="CB70">
        <v>-7.0610642936596276E-3</v>
      </c>
      <c r="CC70">
        <v>289.99999999999989</v>
      </c>
      <c r="CD70">
        <v>709.18</v>
      </c>
      <c r="CE70">
        <v>725</v>
      </c>
      <c r="CF70">
        <v>7157.57</v>
      </c>
      <c r="CG70">
        <v>706.94</v>
      </c>
      <c r="CH70">
        <v>2.2400000000000002</v>
      </c>
      <c r="CV70">
        <f t="shared" si="134"/>
        <v>1799.88</v>
      </c>
      <c r="CW70">
        <f t="shared" si="135"/>
        <v>1513.0839002172095</v>
      </c>
      <c r="CX70">
        <f t="shared" si="136"/>
        <v>0.8406582106680498</v>
      </c>
      <c r="CY70">
        <f t="shared" si="137"/>
        <v>0.16087034658933616</v>
      </c>
      <c r="CZ70">
        <v>4.8</v>
      </c>
      <c r="DA70">
        <v>0.5</v>
      </c>
      <c r="DB70" t="s">
        <v>418</v>
      </c>
      <c r="DC70">
        <v>2</v>
      </c>
      <c r="DD70">
        <v>1700163706.0999999</v>
      </c>
      <c r="DE70">
        <v>59.734000000000002</v>
      </c>
      <c r="DF70">
        <v>69.989999999999995</v>
      </c>
      <c r="DG70">
        <v>28.055900000000001</v>
      </c>
      <c r="DH70">
        <v>22.2227</v>
      </c>
      <c r="DI70">
        <v>59.9587</v>
      </c>
      <c r="DJ70">
        <v>27.704599999999999</v>
      </c>
      <c r="DK70">
        <v>500.18</v>
      </c>
      <c r="DL70">
        <v>99.101900000000001</v>
      </c>
      <c r="DM70">
        <v>9.9709699999999998E-2</v>
      </c>
      <c r="DN70">
        <v>29.976299999999998</v>
      </c>
      <c r="DO70">
        <v>30.033799999999999</v>
      </c>
      <c r="DP70">
        <v>999.9</v>
      </c>
      <c r="DQ70">
        <v>0</v>
      </c>
      <c r="DR70">
        <v>0</v>
      </c>
      <c r="DS70">
        <v>10008.799999999999</v>
      </c>
      <c r="DT70">
        <v>0</v>
      </c>
      <c r="DU70">
        <v>481.17</v>
      </c>
      <c r="DV70">
        <v>-10.256</v>
      </c>
      <c r="DW70">
        <v>61.458199999999998</v>
      </c>
      <c r="DX70">
        <v>71.580699999999993</v>
      </c>
      <c r="DY70">
        <v>5.8332100000000002</v>
      </c>
      <c r="DZ70">
        <v>69.989999999999995</v>
      </c>
      <c r="EA70">
        <v>22.2227</v>
      </c>
      <c r="EB70">
        <v>2.7803900000000001</v>
      </c>
      <c r="EC70">
        <v>2.2023100000000002</v>
      </c>
      <c r="ED70">
        <v>22.7681</v>
      </c>
      <c r="EE70">
        <v>18.979099999999999</v>
      </c>
      <c r="EF70">
        <v>1799.88</v>
      </c>
      <c r="EG70">
        <v>0.97799800000000003</v>
      </c>
      <c r="EH70">
        <v>2.20021E-2</v>
      </c>
      <c r="EI70">
        <v>0</v>
      </c>
      <c r="EJ70">
        <v>650.64700000000005</v>
      </c>
      <c r="EK70">
        <v>4.9996700000000001</v>
      </c>
      <c r="EL70">
        <v>13647.2</v>
      </c>
      <c r="EM70">
        <v>15045.7</v>
      </c>
      <c r="EN70">
        <v>50.5</v>
      </c>
      <c r="EO70">
        <v>51.625</v>
      </c>
      <c r="EP70">
        <v>51.311999999999998</v>
      </c>
      <c r="EQ70">
        <v>51.25</v>
      </c>
      <c r="ER70">
        <v>51.811999999999998</v>
      </c>
      <c r="ES70">
        <v>1755.39</v>
      </c>
      <c r="ET70">
        <v>39.49</v>
      </c>
      <c r="EU70">
        <v>0</v>
      </c>
      <c r="EV70">
        <v>268.80000019073492</v>
      </c>
      <c r="EW70">
        <v>0</v>
      </c>
      <c r="EX70">
        <v>650.40949999999998</v>
      </c>
      <c r="EY70">
        <v>0.21582906541016239</v>
      </c>
      <c r="EZ70">
        <v>22.266666925442092</v>
      </c>
      <c r="FA70">
        <v>13621.38846153846</v>
      </c>
      <c r="FB70">
        <v>15</v>
      </c>
      <c r="FC70">
        <v>1700163674.0999999</v>
      </c>
      <c r="FD70" t="s">
        <v>658</v>
      </c>
      <c r="FE70">
        <v>1700163668.0999999</v>
      </c>
      <c r="FF70">
        <v>1700163674.0999999</v>
      </c>
      <c r="FG70">
        <v>75</v>
      </c>
      <c r="FH70">
        <v>3.0000000000000001E-3</v>
      </c>
      <c r="FI70">
        <v>1E-3</v>
      </c>
      <c r="FJ70">
        <v>-0.219</v>
      </c>
      <c r="FK70">
        <v>0.27600000000000002</v>
      </c>
      <c r="FL70">
        <v>70</v>
      </c>
      <c r="FM70">
        <v>22</v>
      </c>
      <c r="FN70">
        <v>0.09</v>
      </c>
      <c r="FO70">
        <v>0.01</v>
      </c>
      <c r="FP70">
        <v>10.334532641494841</v>
      </c>
      <c r="FQ70">
        <v>-0.22660936695644601</v>
      </c>
      <c r="FR70">
        <v>2.085945205602989E-2</v>
      </c>
      <c r="FS70">
        <v>1</v>
      </c>
      <c r="FT70">
        <v>0.42972654687892792</v>
      </c>
      <c r="FU70">
        <v>4.4955848951770343E-2</v>
      </c>
      <c r="FV70">
        <v>3.586967745711025E-3</v>
      </c>
      <c r="FW70">
        <v>1</v>
      </c>
      <c r="FX70">
        <v>2</v>
      </c>
      <c r="FY70">
        <v>2</v>
      </c>
      <c r="FZ70" t="s">
        <v>420</v>
      </c>
      <c r="GA70">
        <v>3.0130499999999998</v>
      </c>
      <c r="GB70">
        <v>2.7768700000000002</v>
      </c>
      <c r="GC70">
        <v>1.5996300000000001E-2</v>
      </c>
      <c r="GD70">
        <v>1.87628E-2</v>
      </c>
      <c r="GE70">
        <v>0.12676200000000001</v>
      </c>
      <c r="GF70">
        <v>0.108989</v>
      </c>
      <c r="GG70">
        <v>23562.400000000001</v>
      </c>
      <c r="GH70">
        <v>24269.3</v>
      </c>
      <c r="GI70">
        <v>23721</v>
      </c>
      <c r="GJ70">
        <v>24399.9</v>
      </c>
      <c r="GK70">
        <v>30643.599999999999</v>
      </c>
      <c r="GL70">
        <v>31181.5</v>
      </c>
      <c r="GM70">
        <v>38853.5</v>
      </c>
      <c r="GN70">
        <v>38863.199999999997</v>
      </c>
      <c r="GO70">
        <v>2.0391499999999998</v>
      </c>
      <c r="GP70">
        <v>1.7683</v>
      </c>
      <c r="GQ70">
        <v>5.57005E-2</v>
      </c>
      <c r="GR70">
        <v>0</v>
      </c>
      <c r="GS70">
        <v>29.126799999999999</v>
      </c>
      <c r="GT70">
        <v>999.9</v>
      </c>
      <c r="GU70">
        <v>35.200000000000003</v>
      </c>
      <c r="GV70">
        <v>40.700000000000003</v>
      </c>
      <c r="GW70">
        <v>27.3352</v>
      </c>
      <c r="GX70">
        <v>61.011299999999999</v>
      </c>
      <c r="GY70">
        <v>30.456700000000001</v>
      </c>
      <c r="GZ70">
        <v>1</v>
      </c>
      <c r="HA70">
        <v>0.69829300000000005</v>
      </c>
      <c r="HB70">
        <v>3.3902399999999999</v>
      </c>
      <c r="HC70">
        <v>20.293299999999999</v>
      </c>
      <c r="HD70">
        <v>5.2460399999999998</v>
      </c>
      <c r="HE70">
        <v>11.9983</v>
      </c>
      <c r="HF70">
        <v>4.9637000000000002</v>
      </c>
      <c r="HG70">
        <v>3.3009499999999998</v>
      </c>
      <c r="HH70">
        <v>9999</v>
      </c>
      <c r="HI70">
        <v>9999</v>
      </c>
      <c r="HJ70">
        <v>9999</v>
      </c>
      <c r="HK70">
        <v>999.9</v>
      </c>
      <c r="HL70">
        <v>1.8748499999999999</v>
      </c>
      <c r="HM70">
        <v>1.88019</v>
      </c>
      <c r="HN70">
        <v>1.8803000000000001</v>
      </c>
      <c r="HO70">
        <v>1.87897</v>
      </c>
      <c r="HP70">
        <v>1.8812899999999999</v>
      </c>
      <c r="HQ70">
        <v>1.8772899999999999</v>
      </c>
      <c r="HR70">
        <v>1.875</v>
      </c>
      <c r="HS70">
        <v>1.8821699999999999</v>
      </c>
      <c r="HT70">
        <v>5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423</v>
      </c>
      <c r="IB70" t="s">
        <v>423</v>
      </c>
      <c r="IC70" t="s">
        <v>423</v>
      </c>
      <c r="ID70">
        <v>0</v>
      </c>
      <c r="IE70">
        <v>100</v>
      </c>
      <c r="IF70">
        <v>100</v>
      </c>
      <c r="IG70">
        <v>-0.22500000000000001</v>
      </c>
      <c r="IH70">
        <v>0.3513</v>
      </c>
      <c r="II70">
        <v>-0.26229562250143279</v>
      </c>
      <c r="IJ70">
        <v>7.0786345690369205E-4</v>
      </c>
      <c r="IK70">
        <v>-1.387476646623666E-6</v>
      </c>
      <c r="IL70">
        <v>3.6592443641472651E-10</v>
      </c>
      <c r="IM70">
        <v>0.35124549848030279</v>
      </c>
      <c r="IN70">
        <v>0</v>
      </c>
      <c r="IO70">
        <v>0</v>
      </c>
      <c r="IP70">
        <v>0</v>
      </c>
      <c r="IQ70">
        <v>2</v>
      </c>
      <c r="IR70">
        <v>2142</v>
      </c>
      <c r="IS70">
        <v>1</v>
      </c>
      <c r="IT70">
        <v>24</v>
      </c>
      <c r="IU70">
        <v>0.6</v>
      </c>
      <c r="IV70">
        <v>0.5</v>
      </c>
      <c r="IW70">
        <v>0.30761699999999997</v>
      </c>
      <c r="IX70">
        <v>2.7002000000000002</v>
      </c>
      <c r="IY70">
        <v>1.5490699999999999</v>
      </c>
      <c r="IZ70">
        <v>2.3596200000000001</v>
      </c>
      <c r="JA70">
        <v>1.5966800000000001</v>
      </c>
      <c r="JB70">
        <v>2.36938</v>
      </c>
      <c r="JC70">
        <v>43.046900000000001</v>
      </c>
      <c r="JD70">
        <v>24.122499999999999</v>
      </c>
      <c r="JE70">
        <v>18</v>
      </c>
      <c r="JF70">
        <v>549.79</v>
      </c>
      <c r="JG70">
        <v>439.80500000000001</v>
      </c>
      <c r="JH70">
        <v>26.472100000000001</v>
      </c>
      <c r="JI70">
        <v>35.710500000000003</v>
      </c>
      <c r="JJ70">
        <v>30.0001</v>
      </c>
      <c r="JK70">
        <v>35.723300000000002</v>
      </c>
      <c r="JL70">
        <v>35.712699999999998</v>
      </c>
      <c r="JM70">
        <v>6.1486099999999997</v>
      </c>
      <c r="JN70">
        <v>17.582999999999998</v>
      </c>
      <c r="JO70">
        <v>18.633500000000002</v>
      </c>
      <c r="JP70">
        <v>26.455100000000002</v>
      </c>
      <c r="JQ70">
        <v>70</v>
      </c>
      <c r="JR70">
        <v>22.1417</v>
      </c>
      <c r="JS70">
        <v>98.394099999999995</v>
      </c>
      <c r="JT70">
        <v>99.265299999999996</v>
      </c>
    </row>
    <row r="71" spans="1:280" x14ac:dyDescent="0.25">
      <c r="A71">
        <v>69</v>
      </c>
      <c r="B71">
        <v>1700163858.0999999</v>
      </c>
      <c r="C71">
        <v>16002.099999904631</v>
      </c>
      <c r="D71" t="s">
        <v>659</v>
      </c>
      <c r="E71" t="s">
        <v>660</v>
      </c>
      <c r="F71" t="s">
        <v>412</v>
      </c>
      <c r="G71" t="s">
        <v>544</v>
      </c>
      <c r="H71" t="s">
        <v>606</v>
      </c>
      <c r="I71">
        <v>1700163858.0999999</v>
      </c>
      <c r="J71">
        <f t="shared" si="92"/>
        <v>6.8038195942974299E-3</v>
      </c>
      <c r="K71">
        <f t="shared" si="93"/>
        <v>6.8038195942974298</v>
      </c>
      <c r="L71">
        <f t="shared" si="94"/>
        <v>4.6601427923653622</v>
      </c>
      <c r="M71">
        <f t="shared" si="95"/>
        <v>25.459599999999998</v>
      </c>
      <c r="N71">
        <f t="shared" si="96"/>
        <v>8.2634424241700053</v>
      </c>
      <c r="O71">
        <f t="shared" si="97"/>
        <v>0.81963682933894055</v>
      </c>
      <c r="P71">
        <f t="shared" si="98"/>
        <v>2.5252945139668799</v>
      </c>
      <c r="Q71">
        <f t="shared" si="99"/>
        <v>0.47573379577813396</v>
      </c>
      <c r="R71">
        <f t="shared" si="100"/>
        <v>3.1785017677514702</v>
      </c>
      <c r="S71">
        <f t="shared" si="101"/>
        <v>0.43942309298907561</v>
      </c>
      <c r="T71">
        <f t="shared" si="102"/>
        <v>0.27767049235982261</v>
      </c>
      <c r="U71">
        <f t="shared" si="103"/>
        <v>289.58083541916545</v>
      </c>
      <c r="V71">
        <f t="shared" si="104"/>
        <v>29.832504059420184</v>
      </c>
      <c r="W71">
        <f t="shared" si="105"/>
        <v>29.985399999999998</v>
      </c>
      <c r="X71">
        <f t="shared" si="106"/>
        <v>4.2568782133199878</v>
      </c>
      <c r="Y71">
        <f t="shared" si="107"/>
        <v>65.561160095088027</v>
      </c>
      <c r="Z71">
        <f t="shared" si="108"/>
        <v>2.775536683101</v>
      </c>
      <c r="AA71">
        <f t="shared" si="109"/>
        <v>4.2335075814330336</v>
      </c>
      <c r="AB71">
        <f t="shared" si="110"/>
        <v>1.4813415302189878</v>
      </c>
      <c r="AC71">
        <f t="shared" si="111"/>
        <v>-300.04844410851666</v>
      </c>
      <c r="AD71">
        <f t="shared" si="112"/>
        <v>-16.41622930362854</v>
      </c>
      <c r="AE71">
        <f t="shared" si="113"/>
        <v>-1.1476812389177395</v>
      </c>
      <c r="AF71">
        <f t="shared" si="114"/>
        <v>-28.031519231897505</v>
      </c>
      <c r="AG71">
        <v>0</v>
      </c>
      <c r="AH71">
        <v>0</v>
      </c>
      <c r="AI71">
        <f t="shared" si="115"/>
        <v>1</v>
      </c>
      <c r="AJ71">
        <f t="shared" si="116"/>
        <v>0</v>
      </c>
      <c r="AK71">
        <f t="shared" si="117"/>
        <v>51898.378877414289</v>
      </c>
      <c r="AL71" t="s">
        <v>426</v>
      </c>
      <c r="AM71" t="s">
        <v>426</v>
      </c>
      <c r="AN71">
        <v>0</v>
      </c>
      <c r="AO71">
        <v>0</v>
      </c>
      <c r="AP71" t="e">
        <f t="shared" si="118"/>
        <v>#DIV/0!</v>
      </c>
      <c r="AQ71">
        <v>0</v>
      </c>
      <c r="AR71" t="s">
        <v>426</v>
      </c>
      <c r="AS71" t="s">
        <v>426</v>
      </c>
      <c r="AT71">
        <v>0</v>
      </c>
      <c r="AU71">
        <v>0</v>
      </c>
      <c r="AV71" t="e">
        <f t="shared" si="119"/>
        <v>#DIV/0!</v>
      </c>
      <c r="AW71">
        <v>0.5</v>
      </c>
      <c r="AX71">
        <f t="shared" si="120"/>
        <v>1513.2603002171841</v>
      </c>
      <c r="AY71">
        <f t="shared" si="121"/>
        <v>4.6601427923653622</v>
      </c>
      <c r="AZ71" t="e">
        <f t="shared" si="122"/>
        <v>#DIV/0!</v>
      </c>
      <c r="BA71">
        <f t="shared" si="123"/>
        <v>3.079538128170372E-3</v>
      </c>
      <c r="BB71" t="e">
        <f t="shared" si="124"/>
        <v>#DIV/0!</v>
      </c>
      <c r="BC71" t="e">
        <f t="shared" si="125"/>
        <v>#DIV/0!</v>
      </c>
      <c r="BD71" t="s">
        <v>426</v>
      </c>
      <c r="BE71">
        <v>0</v>
      </c>
      <c r="BF71" t="e">
        <f t="shared" si="126"/>
        <v>#DIV/0!</v>
      </c>
      <c r="BG71" t="e">
        <f t="shared" si="127"/>
        <v>#DIV/0!</v>
      </c>
      <c r="BH71" t="e">
        <f t="shared" si="128"/>
        <v>#DIV/0!</v>
      </c>
      <c r="BI71" t="e">
        <f t="shared" si="129"/>
        <v>#DIV/0!</v>
      </c>
      <c r="BJ71" t="e">
        <f t="shared" si="130"/>
        <v>#DIV/0!</v>
      </c>
      <c r="BK71" t="e">
        <f t="shared" si="131"/>
        <v>#DIV/0!</v>
      </c>
      <c r="BL71" t="e">
        <f t="shared" si="132"/>
        <v>#DIV/0!</v>
      </c>
      <c r="BM71" t="e">
        <f t="shared" si="133"/>
        <v>#DIV/0!</v>
      </c>
      <c r="BN71">
        <v>34501</v>
      </c>
      <c r="BO71">
        <v>290.00000000000011</v>
      </c>
      <c r="BP71">
        <v>704.52</v>
      </c>
      <c r="BQ71">
        <v>215</v>
      </c>
      <c r="BR71">
        <v>7164.89</v>
      </c>
      <c r="BS71">
        <v>706.96</v>
      </c>
      <c r="BT71">
        <v>-2.44</v>
      </c>
      <c r="BU71">
        <v>300.00000000000011</v>
      </c>
      <c r="BV71">
        <v>38.200000000000003</v>
      </c>
      <c r="BW71">
        <v>725.96188896037859</v>
      </c>
      <c r="BX71">
        <v>1.042926398075158</v>
      </c>
      <c r="BY71">
        <v>-13.616804165619151</v>
      </c>
      <c r="BZ71">
        <v>0.6262072165782776</v>
      </c>
      <c r="CA71">
        <v>0.94409392683136739</v>
      </c>
      <c r="CB71">
        <v>-7.0610642936596276E-3</v>
      </c>
      <c r="CC71">
        <v>289.99999999999989</v>
      </c>
      <c r="CD71">
        <v>709.18</v>
      </c>
      <c r="CE71">
        <v>725</v>
      </c>
      <c r="CF71">
        <v>7157.57</v>
      </c>
      <c r="CG71">
        <v>706.94</v>
      </c>
      <c r="CH71">
        <v>2.2400000000000002</v>
      </c>
      <c r="CV71">
        <f t="shared" si="134"/>
        <v>1800.09</v>
      </c>
      <c r="CW71">
        <f t="shared" si="135"/>
        <v>1513.2603002171841</v>
      </c>
      <c r="CX71">
        <f t="shared" si="136"/>
        <v>0.84065813388063049</v>
      </c>
      <c r="CY71">
        <f t="shared" si="137"/>
        <v>0.16087019838961689</v>
      </c>
      <c r="CZ71">
        <v>4.8</v>
      </c>
      <c r="DA71">
        <v>0.5</v>
      </c>
      <c r="DB71" t="s">
        <v>418</v>
      </c>
      <c r="DC71">
        <v>2</v>
      </c>
      <c r="DD71">
        <v>1700163858.0999999</v>
      </c>
      <c r="DE71">
        <v>25.459599999999998</v>
      </c>
      <c r="DF71">
        <v>30.098099999999999</v>
      </c>
      <c r="DG71">
        <v>27.982500000000002</v>
      </c>
      <c r="DH71">
        <v>21.6357</v>
      </c>
      <c r="DI71">
        <v>25.680399999999999</v>
      </c>
      <c r="DJ71">
        <v>27.628900000000002</v>
      </c>
      <c r="DK71">
        <v>500.16500000000002</v>
      </c>
      <c r="DL71">
        <v>99.0886</v>
      </c>
      <c r="DM71">
        <v>9.9702799999999994E-2</v>
      </c>
      <c r="DN71">
        <v>29.889600000000002</v>
      </c>
      <c r="DO71">
        <v>29.985399999999998</v>
      </c>
      <c r="DP71">
        <v>999.9</v>
      </c>
      <c r="DQ71">
        <v>0</v>
      </c>
      <c r="DR71">
        <v>0</v>
      </c>
      <c r="DS71">
        <v>10000.6</v>
      </c>
      <c r="DT71">
        <v>0</v>
      </c>
      <c r="DU71">
        <v>467.53800000000001</v>
      </c>
      <c r="DV71">
        <v>-4.6384400000000001</v>
      </c>
      <c r="DW71">
        <v>26.192599999999999</v>
      </c>
      <c r="DX71">
        <v>30.7637</v>
      </c>
      <c r="DY71">
        <v>6.3467700000000002</v>
      </c>
      <c r="DZ71">
        <v>30.098099999999999</v>
      </c>
      <c r="EA71">
        <v>21.6357</v>
      </c>
      <c r="EB71">
        <v>2.7727499999999998</v>
      </c>
      <c r="EC71">
        <v>2.1438600000000001</v>
      </c>
      <c r="ED71">
        <v>22.7227</v>
      </c>
      <c r="EE71">
        <v>18.5488</v>
      </c>
      <c r="EF71">
        <v>1800.09</v>
      </c>
      <c r="EG71">
        <v>0.97800100000000001</v>
      </c>
      <c r="EH71">
        <v>2.1998500000000001E-2</v>
      </c>
      <c r="EI71">
        <v>0</v>
      </c>
      <c r="EJ71">
        <v>665.09199999999998</v>
      </c>
      <c r="EK71">
        <v>4.9996700000000001</v>
      </c>
      <c r="EL71">
        <v>13387.4</v>
      </c>
      <c r="EM71">
        <v>15047.5</v>
      </c>
      <c r="EN71">
        <v>50.561999999999998</v>
      </c>
      <c r="EO71">
        <v>51.561999999999998</v>
      </c>
      <c r="EP71">
        <v>51.311999999999998</v>
      </c>
      <c r="EQ71">
        <v>51.25</v>
      </c>
      <c r="ER71">
        <v>51.811999999999998</v>
      </c>
      <c r="ES71">
        <v>1755.6</v>
      </c>
      <c r="ET71">
        <v>39.49</v>
      </c>
      <c r="EU71">
        <v>0</v>
      </c>
      <c r="EV71">
        <v>150</v>
      </c>
      <c r="EW71">
        <v>0</v>
      </c>
      <c r="EX71">
        <v>665.30380769230771</v>
      </c>
      <c r="EY71">
        <v>-0.88051281902030121</v>
      </c>
      <c r="EZ71">
        <v>-178.2256402008</v>
      </c>
      <c r="FA71">
        <v>13431.196153846149</v>
      </c>
      <c r="FB71">
        <v>15</v>
      </c>
      <c r="FC71">
        <v>1700163825.5999999</v>
      </c>
      <c r="FD71" t="s">
        <v>661</v>
      </c>
      <c r="FE71">
        <v>1700163811.5999999</v>
      </c>
      <c r="FF71">
        <v>1700163825.5999999</v>
      </c>
      <c r="FG71">
        <v>76</v>
      </c>
      <c r="FH71">
        <v>2.4E-2</v>
      </c>
      <c r="FI71">
        <v>2E-3</v>
      </c>
      <c r="FJ71">
        <v>-0.218</v>
      </c>
      <c r="FK71">
        <v>0.27900000000000003</v>
      </c>
      <c r="FL71">
        <v>30</v>
      </c>
      <c r="FM71">
        <v>22</v>
      </c>
      <c r="FN71">
        <v>0.27</v>
      </c>
      <c r="FO71">
        <v>0.01</v>
      </c>
      <c r="FP71">
        <v>4.5866169871707312</v>
      </c>
      <c r="FQ71">
        <v>0.63138240441081095</v>
      </c>
      <c r="FR71">
        <v>5.2865534063176421E-2</v>
      </c>
      <c r="FS71">
        <v>1</v>
      </c>
      <c r="FT71">
        <v>0.47771393869257628</v>
      </c>
      <c r="FU71">
        <v>3.2930376546601733E-2</v>
      </c>
      <c r="FV71">
        <v>3.0654438340737499E-3</v>
      </c>
      <c r="FW71">
        <v>1</v>
      </c>
      <c r="FX71">
        <v>2</v>
      </c>
      <c r="FY71">
        <v>2</v>
      </c>
      <c r="FZ71" t="s">
        <v>420</v>
      </c>
      <c r="GA71">
        <v>3.0129800000000002</v>
      </c>
      <c r="GB71">
        <v>2.7767900000000001</v>
      </c>
      <c r="GC71">
        <v>6.92803E-3</v>
      </c>
      <c r="GD71">
        <v>8.1852899999999996E-3</v>
      </c>
      <c r="GE71">
        <v>0.12652099999999999</v>
      </c>
      <c r="GF71">
        <v>0.106971</v>
      </c>
      <c r="GG71">
        <v>23783.200000000001</v>
      </c>
      <c r="GH71">
        <v>24534.799999999999</v>
      </c>
      <c r="GI71">
        <v>23724.9</v>
      </c>
      <c r="GJ71">
        <v>24404.2</v>
      </c>
      <c r="GK71">
        <v>30656.799999999999</v>
      </c>
      <c r="GL71">
        <v>31257</v>
      </c>
      <c r="GM71">
        <v>38859.699999999997</v>
      </c>
      <c r="GN71">
        <v>38869.4</v>
      </c>
      <c r="GO71">
        <v>2.0400700000000001</v>
      </c>
      <c r="GP71">
        <v>1.76908</v>
      </c>
      <c r="GQ71">
        <v>4.0531200000000003E-2</v>
      </c>
      <c r="GR71">
        <v>0</v>
      </c>
      <c r="GS71">
        <v>29.325399999999998</v>
      </c>
      <c r="GT71">
        <v>999.9</v>
      </c>
      <c r="GU71">
        <v>34.799999999999997</v>
      </c>
      <c r="GV71">
        <v>40.700000000000003</v>
      </c>
      <c r="GW71">
        <v>27.028099999999998</v>
      </c>
      <c r="GX71">
        <v>61.081299999999999</v>
      </c>
      <c r="GY71">
        <v>30.472799999999999</v>
      </c>
      <c r="GZ71">
        <v>1</v>
      </c>
      <c r="HA71">
        <v>0.69272400000000001</v>
      </c>
      <c r="HB71">
        <v>3.31046</v>
      </c>
      <c r="HC71">
        <v>20.295999999999999</v>
      </c>
      <c r="HD71">
        <v>5.2460399999999998</v>
      </c>
      <c r="HE71">
        <v>12.0007</v>
      </c>
      <c r="HF71">
        <v>4.9636500000000003</v>
      </c>
      <c r="HG71">
        <v>3.3009499999999998</v>
      </c>
      <c r="HH71">
        <v>9999</v>
      </c>
      <c r="HI71">
        <v>9999</v>
      </c>
      <c r="HJ71">
        <v>9999</v>
      </c>
      <c r="HK71">
        <v>999.9</v>
      </c>
      <c r="HL71">
        <v>1.8748499999999999</v>
      </c>
      <c r="HM71">
        <v>1.88019</v>
      </c>
      <c r="HN71">
        <v>1.8803099999999999</v>
      </c>
      <c r="HO71">
        <v>1.8789899999999999</v>
      </c>
      <c r="HP71">
        <v>1.8813800000000001</v>
      </c>
      <c r="HQ71">
        <v>1.8772899999999999</v>
      </c>
      <c r="HR71">
        <v>1.875</v>
      </c>
      <c r="HS71">
        <v>1.88219</v>
      </c>
      <c r="HT71">
        <v>5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423</v>
      </c>
      <c r="IB71" t="s">
        <v>423</v>
      </c>
      <c r="IC71" t="s">
        <v>423</v>
      </c>
      <c r="ID71">
        <v>0</v>
      </c>
      <c r="IE71">
        <v>100</v>
      </c>
      <c r="IF71">
        <v>100</v>
      </c>
      <c r="IG71">
        <v>-0.221</v>
      </c>
      <c r="IH71">
        <v>0.35360000000000003</v>
      </c>
      <c r="II71">
        <v>-0.23800658419125911</v>
      </c>
      <c r="IJ71">
        <v>7.0786345690369205E-4</v>
      </c>
      <c r="IK71">
        <v>-1.387476646623666E-6</v>
      </c>
      <c r="IL71">
        <v>3.6592443641472651E-10</v>
      </c>
      <c r="IM71">
        <v>0.35362326207605937</v>
      </c>
      <c r="IN71">
        <v>0</v>
      </c>
      <c r="IO71">
        <v>0</v>
      </c>
      <c r="IP71">
        <v>0</v>
      </c>
      <c r="IQ71">
        <v>2</v>
      </c>
      <c r="IR71">
        <v>2142</v>
      </c>
      <c r="IS71">
        <v>1</v>
      </c>
      <c r="IT71">
        <v>24</v>
      </c>
      <c r="IU71">
        <v>0.8</v>
      </c>
      <c r="IV71">
        <v>0.5</v>
      </c>
      <c r="IW71">
        <v>0.21850600000000001</v>
      </c>
      <c r="IX71">
        <v>2.7148400000000001</v>
      </c>
      <c r="IY71">
        <v>1.5490699999999999</v>
      </c>
      <c r="IZ71">
        <v>2.3596200000000001</v>
      </c>
      <c r="JA71">
        <v>1.5966800000000001</v>
      </c>
      <c r="JB71">
        <v>2.3547400000000001</v>
      </c>
      <c r="JC71">
        <v>42.939</v>
      </c>
      <c r="JD71">
        <v>24.122499999999999</v>
      </c>
      <c r="JE71">
        <v>18</v>
      </c>
      <c r="JF71">
        <v>550</v>
      </c>
      <c r="JG71">
        <v>439.95800000000003</v>
      </c>
      <c r="JH71">
        <v>26.402699999999999</v>
      </c>
      <c r="JI71">
        <v>35.654800000000002</v>
      </c>
      <c r="JJ71">
        <v>30.000399999999999</v>
      </c>
      <c r="JK71">
        <v>35.671799999999998</v>
      </c>
      <c r="JL71">
        <v>35.6633</v>
      </c>
      <c r="JM71">
        <v>4.3569199999999997</v>
      </c>
      <c r="JN71">
        <v>18.381499999999999</v>
      </c>
      <c r="JO71">
        <v>18.2544</v>
      </c>
      <c r="JP71">
        <v>26.4207</v>
      </c>
      <c r="JQ71">
        <v>30</v>
      </c>
      <c r="JR71">
        <v>21.624300000000002</v>
      </c>
      <c r="JS71">
        <v>98.409899999999993</v>
      </c>
      <c r="JT71">
        <v>99.281700000000001</v>
      </c>
    </row>
    <row r="72" spans="1:280" x14ac:dyDescent="0.25">
      <c r="A72">
        <v>70</v>
      </c>
      <c r="B72">
        <v>1700163952.0999999</v>
      </c>
      <c r="C72">
        <v>16096.099999904631</v>
      </c>
      <c r="D72" t="s">
        <v>662</v>
      </c>
      <c r="E72" t="s">
        <v>663</v>
      </c>
      <c r="F72" t="s">
        <v>412</v>
      </c>
      <c r="G72" t="s">
        <v>544</v>
      </c>
      <c r="H72" t="s">
        <v>606</v>
      </c>
      <c r="I72">
        <v>1700163952.0999999</v>
      </c>
      <c r="J72">
        <f t="shared" si="92"/>
        <v>6.8705817571871131E-3</v>
      </c>
      <c r="K72">
        <f t="shared" si="93"/>
        <v>6.8705817571871135</v>
      </c>
      <c r="L72">
        <f t="shared" si="94"/>
        <v>1.3465933028430077</v>
      </c>
      <c r="M72">
        <f t="shared" si="95"/>
        <v>8.5850799999999996</v>
      </c>
      <c r="N72">
        <f t="shared" si="96"/>
        <v>3.645603122631571</v>
      </c>
      <c r="O72">
        <f t="shared" si="97"/>
        <v>0.36158476953622398</v>
      </c>
      <c r="P72">
        <f t="shared" si="98"/>
        <v>0.85150085426996791</v>
      </c>
      <c r="Q72">
        <f t="shared" si="99"/>
        <v>0.48210390533722502</v>
      </c>
      <c r="R72">
        <f t="shared" si="100"/>
        <v>3.175771230790474</v>
      </c>
      <c r="S72">
        <f t="shared" si="101"/>
        <v>0.4448256899419305</v>
      </c>
      <c r="T72">
        <f t="shared" si="102"/>
        <v>0.28112476108056045</v>
      </c>
      <c r="U72">
        <f t="shared" si="103"/>
        <v>289.58881541915383</v>
      </c>
      <c r="V72">
        <f t="shared" si="104"/>
        <v>29.879032495265136</v>
      </c>
      <c r="W72">
        <f t="shared" si="105"/>
        <v>29.9741</v>
      </c>
      <c r="X72">
        <f t="shared" si="106"/>
        <v>4.254115716025253</v>
      </c>
      <c r="Y72">
        <f t="shared" si="107"/>
        <v>65.347487392677493</v>
      </c>
      <c r="Z72">
        <f t="shared" si="108"/>
        <v>2.7764620205827599</v>
      </c>
      <c r="AA72">
        <f t="shared" si="109"/>
        <v>4.2487662974688085</v>
      </c>
      <c r="AB72">
        <f t="shared" si="110"/>
        <v>1.477653695442493</v>
      </c>
      <c r="AC72">
        <f t="shared" si="111"/>
        <v>-302.99265549195167</v>
      </c>
      <c r="AD72">
        <f t="shared" si="112"/>
        <v>-3.7495467112166123</v>
      </c>
      <c r="AE72">
        <f t="shared" si="113"/>
        <v>-0.26242801138153082</v>
      </c>
      <c r="AF72">
        <f t="shared" si="114"/>
        <v>-17.415814795395978</v>
      </c>
      <c r="AG72">
        <v>0</v>
      </c>
      <c r="AH72">
        <v>0</v>
      </c>
      <c r="AI72">
        <f t="shared" si="115"/>
        <v>1</v>
      </c>
      <c r="AJ72">
        <f t="shared" si="116"/>
        <v>0</v>
      </c>
      <c r="AK72">
        <f t="shared" si="117"/>
        <v>51820.099319424844</v>
      </c>
      <c r="AL72" t="s">
        <v>415</v>
      </c>
      <c r="AM72">
        <v>10238.9</v>
      </c>
      <c r="AN72">
        <v>302.21199999999999</v>
      </c>
      <c r="AO72">
        <v>4052.3</v>
      </c>
      <c r="AP72">
        <f t="shared" si="118"/>
        <v>0.92542210596451402</v>
      </c>
      <c r="AQ72">
        <v>-0.32343011824092421</v>
      </c>
      <c r="AR72" t="s">
        <v>664</v>
      </c>
      <c r="AS72">
        <v>7166.15</v>
      </c>
      <c r="AT72">
        <v>674.58167999999989</v>
      </c>
      <c r="AU72">
        <v>714.20537958396324</v>
      </c>
      <c r="AV72">
        <f t="shared" si="119"/>
        <v>5.5479419109171091E-2</v>
      </c>
      <c r="AW72">
        <v>0.5</v>
      </c>
      <c r="AX72">
        <f t="shared" si="120"/>
        <v>1513.3023002171783</v>
      </c>
      <c r="AY72">
        <f t="shared" si="121"/>
        <v>1.3465933028430077</v>
      </c>
      <c r="AZ72">
        <f t="shared" si="122"/>
        <v>41.978566276310744</v>
      </c>
      <c r="BA72">
        <f t="shared" si="123"/>
        <v>1.1035623357238419E-3</v>
      </c>
      <c r="BB72">
        <f t="shared" si="124"/>
        <v>4.6738581307809994</v>
      </c>
      <c r="BC72">
        <f t="shared" si="125"/>
        <v>224.0987009565751</v>
      </c>
      <c r="BD72" t="s">
        <v>665</v>
      </c>
      <c r="BE72">
        <v>495.39</v>
      </c>
      <c r="BF72">
        <f t="shared" si="126"/>
        <v>495.39</v>
      </c>
      <c r="BG72">
        <f t="shared" si="127"/>
        <v>0.30637598909073871</v>
      </c>
      <c r="BH72">
        <f t="shared" si="128"/>
        <v>0.18108279070374506</v>
      </c>
      <c r="BI72">
        <f t="shared" si="129"/>
        <v>0.93848160915402312</v>
      </c>
      <c r="BJ72">
        <f t="shared" si="130"/>
        <v>9.6175573558914748E-2</v>
      </c>
      <c r="BK72">
        <f t="shared" si="131"/>
        <v>0.89013767688012568</v>
      </c>
      <c r="BL72">
        <f t="shared" si="132"/>
        <v>0.13298108493952618</v>
      </c>
      <c r="BM72">
        <f t="shared" si="133"/>
        <v>0.86701891506047379</v>
      </c>
      <c r="BN72">
        <v>34503</v>
      </c>
      <c r="BO72">
        <v>290.00000000000011</v>
      </c>
      <c r="BP72">
        <v>701.74</v>
      </c>
      <c r="BQ72">
        <v>185</v>
      </c>
      <c r="BR72">
        <v>7166.15</v>
      </c>
      <c r="BS72">
        <v>701.44</v>
      </c>
      <c r="BT72">
        <v>0.3</v>
      </c>
      <c r="BU72">
        <v>300.00000000000011</v>
      </c>
      <c r="BV72">
        <v>38.200000000000003</v>
      </c>
      <c r="BW72">
        <v>714.20537958396324</v>
      </c>
      <c r="BX72">
        <v>0.75497279548161478</v>
      </c>
      <c r="BY72">
        <v>-9.1489201748460669</v>
      </c>
      <c r="BZ72">
        <v>0.4532996941653355</v>
      </c>
      <c r="CA72">
        <v>0.93568408543749293</v>
      </c>
      <c r="CB72">
        <v>-7.0610258064516158E-3</v>
      </c>
      <c r="CC72">
        <v>289.99999999999989</v>
      </c>
      <c r="CD72">
        <v>701.19</v>
      </c>
      <c r="CE72">
        <v>665</v>
      </c>
      <c r="CF72">
        <v>7158.72</v>
      </c>
      <c r="CG72">
        <v>701.43</v>
      </c>
      <c r="CH72">
        <v>-0.24</v>
      </c>
      <c r="CV72">
        <f t="shared" si="134"/>
        <v>1800.14</v>
      </c>
      <c r="CW72">
        <f t="shared" si="135"/>
        <v>1513.3023002171783</v>
      </c>
      <c r="CX72">
        <f t="shared" si="136"/>
        <v>0.84065811560055226</v>
      </c>
      <c r="CY72">
        <f t="shared" si="137"/>
        <v>0.16087016310906585</v>
      </c>
      <c r="CZ72">
        <v>4.8</v>
      </c>
      <c r="DA72">
        <v>0.5</v>
      </c>
      <c r="DB72" t="s">
        <v>418</v>
      </c>
      <c r="DC72">
        <v>2</v>
      </c>
      <c r="DD72">
        <v>1700163952.0999999</v>
      </c>
      <c r="DE72">
        <v>8.5850799999999996</v>
      </c>
      <c r="DF72">
        <v>9.9340299999999999</v>
      </c>
      <c r="DG72">
        <v>27.993099999999998</v>
      </c>
      <c r="DH72">
        <v>21.5839</v>
      </c>
      <c r="DI72">
        <v>8.80776</v>
      </c>
      <c r="DJ72">
        <v>27.636500000000002</v>
      </c>
      <c r="DK72">
        <v>500.15</v>
      </c>
      <c r="DL72">
        <v>99.084100000000007</v>
      </c>
      <c r="DM72">
        <v>9.9699599999999999E-2</v>
      </c>
      <c r="DN72">
        <v>29.952200000000001</v>
      </c>
      <c r="DO72">
        <v>29.9741</v>
      </c>
      <c r="DP72">
        <v>999.9</v>
      </c>
      <c r="DQ72">
        <v>0</v>
      </c>
      <c r="DR72">
        <v>0</v>
      </c>
      <c r="DS72">
        <v>9987.5</v>
      </c>
      <c r="DT72">
        <v>0</v>
      </c>
      <c r="DU72">
        <v>510.95100000000002</v>
      </c>
      <c r="DV72">
        <v>-1.3489599999999999</v>
      </c>
      <c r="DW72">
        <v>8.8323199999999993</v>
      </c>
      <c r="DX72">
        <v>10.1532</v>
      </c>
      <c r="DY72">
        <v>6.4091500000000003</v>
      </c>
      <c r="DZ72">
        <v>9.9340299999999999</v>
      </c>
      <c r="EA72">
        <v>21.5839</v>
      </c>
      <c r="EB72">
        <v>2.7736700000000001</v>
      </c>
      <c r="EC72">
        <v>2.13862</v>
      </c>
      <c r="ED72">
        <v>22.728200000000001</v>
      </c>
      <c r="EE72">
        <v>18.509799999999998</v>
      </c>
      <c r="EF72">
        <v>1800.14</v>
      </c>
      <c r="EG72">
        <v>0.97800100000000001</v>
      </c>
      <c r="EH72">
        <v>2.1998500000000001E-2</v>
      </c>
      <c r="EI72">
        <v>0</v>
      </c>
      <c r="EJ72">
        <v>674.47</v>
      </c>
      <c r="EK72">
        <v>4.9996700000000001</v>
      </c>
      <c r="EL72">
        <v>13853.3</v>
      </c>
      <c r="EM72">
        <v>15047.9</v>
      </c>
      <c r="EN72">
        <v>50.561999999999998</v>
      </c>
      <c r="EO72">
        <v>51.625</v>
      </c>
      <c r="EP72">
        <v>51.311999999999998</v>
      </c>
      <c r="EQ72">
        <v>51.25</v>
      </c>
      <c r="ER72">
        <v>51.875</v>
      </c>
      <c r="ES72">
        <v>1755.65</v>
      </c>
      <c r="ET72">
        <v>39.49</v>
      </c>
      <c r="EU72">
        <v>0</v>
      </c>
      <c r="EV72">
        <v>244.20000004768369</v>
      </c>
      <c r="EW72">
        <v>0</v>
      </c>
      <c r="EX72">
        <v>674.58167999999989</v>
      </c>
      <c r="EY72">
        <v>-0.22838462317893449</v>
      </c>
      <c r="EZ72">
        <v>1293.0153866114499</v>
      </c>
      <c r="FA72">
        <v>13775.832</v>
      </c>
      <c r="FB72">
        <v>15</v>
      </c>
      <c r="FC72">
        <v>1700163922.5999999</v>
      </c>
      <c r="FD72" t="s">
        <v>666</v>
      </c>
      <c r="FE72">
        <v>1700163908.0999999</v>
      </c>
      <c r="FF72">
        <v>1700163922.5999999</v>
      </c>
      <c r="FG72">
        <v>77</v>
      </c>
      <c r="FH72">
        <v>8.9999999999999993E-3</v>
      </c>
      <c r="FI72">
        <v>3.0000000000000001E-3</v>
      </c>
      <c r="FJ72">
        <v>-0.222</v>
      </c>
      <c r="FK72">
        <v>0.27200000000000002</v>
      </c>
      <c r="FL72">
        <v>10</v>
      </c>
      <c r="FM72">
        <v>22</v>
      </c>
      <c r="FN72">
        <v>0.3</v>
      </c>
      <c r="FO72">
        <v>0.02</v>
      </c>
      <c r="FP72">
        <v>1.4423766654936401</v>
      </c>
      <c r="FQ72">
        <v>-0.2026238520992367</v>
      </c>
      <c r="FR72">
        <v>2.6114898525921471E-2</v>
      </c>
      <c r="FS72">
        <v>1</v>
      </c>
      <c r="FT72">
        <v>0.47941107994809051</v>
      </c>
      <c r="FU72">
        <v>3.9985631452514693E-2</v>
      </c>
      <c r="FV72">
        <v>3.7173869469000901E-3</v>
      </c>
      <c r="FW72">
        <v>1</v>
      </c>
      <c r="FX72">
        <v>2</v>
      </c>
      <c r="FY72">
        <v>2</v>
      </c>
      <c r="FZ72" t="s">
        <v>420</v>
      </c>
      <c r="GA72">
        <v>3.0129299999999999</v>
      </c>
      <c r="GB72">
        <v>2.7766799999999998</v>
      </c>
      <c r="GC72">
        <v>2.3851200000000001E-3</v>
      </c>
      <c r="GD72">
        <v>2.7148900000000002E-3</v>
      </c>
      <c r="GE72">
        <v>0.12654199999999999</v>
      </c>
      <c r="GF72">
        <v>0.106789</v>
      </c>
      <c r="GG72">
        <v>23892</v>
      </c>
      <c r="GH72">
        <v>24669.4</v>
      </c>
      <c r="GI72">
        <v>23725.3</v>
      </c>
      <c r="GJ72">
        <v>24403.8</v>
      </c>
      <c r="GK72">
        <v>30656.1</v>
      </c>
      <c r="GL72">
        <v>31263.1</v>
      </c>
      <c r="GM72">
        <v>38859.699999999997</v>
      </c>
      <c r="GN72">
        <v>38869</v>
      </c>
      <c r="GO72">
        <v>2.0394999999999999</v>
      </c>
      <c r="GP72">
        <v>1.76935</v>
      </c>
      <c r="GQ72">
        <v>4.1160700000000001E-2</v>
      </c>
      <c r="GR72">
        <v>0</v>
      </c>
      <c r="GS72">
        <v>29.303799999999999</v>
      </c>
      <c r="GT72">
        <v>999.9</v>
      </c>
      <c r="GU72">
        <v>34.700000000000003</v>
      </c>
      <c r="GV72">
        <v>40.6</v>
      </c>
      <c r="GW72">
        <v>26.809000000000001</v>
      </c>
      <c r="GX72">
        <v>61.221299999999999</v>
      </c>
      <c r="GY72">
        <v>30.508800000000001</v>
      </c>
      <c r="GZ72">
        <v>1</v>
      </c>
      <c r="HA72">
        <v>0.68993899999999997</v>
      </c>
      <c r="HB72">
        <v>2.6637900000000001</v>
      </c>
      <c r="HC72">
        <v>20.308199999999999</v>
      </c>
      <c r="HD72">
        <v>5.2451400000000001</v>
      </c>
      <c r="HE72">
        <v>11.997999999999999</v>
      </c>
      <c r="HF72">
        <v>4.9635499999999997</v>
      </c>
      <c r="HG72">
        <v>3.3009300000000001</v>
      </c>
      <c r="HH72">
        <v>9999</v>
      </c>
      <c r="HI72">
        <v>9999</v>
      </c>
      <c r="HJ72">
        <v>9999</v>
      </c>
      <c r="HK72">
        <v>999.9</v>
      </c>
      <c r="HL72">
        <v>1.87486</v>
      </c>
      <c r="HM72">
        <v>1.88019</v>
      </c>
      <c r="HN72">
        <v>1.8803399999999999</v>
      </c>
      <c r="HO72">
        <v>1.8789899999999999</v>
      </c>
      <c r="HP72">
        <v>1.8813800000000001</v>
      </c>
      <c r="HQ72">
        <v>1.8772899999999999</v>
      </c>
      <c r="HR72">
        <v>1.875</v>
      </c>
      <c r="HS72">
        <v>1.8821699999999999</v>
      </c>
      <c r="HT72">
        <v>5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423</v>
      </c>
      <c r="IB72" t="s">
        <v>423</v>
      </c>
      <c r="IC72" t="s">
        <v>423</v>
      </c>
      <c r="ID72">
        <v>0</v>
      </c>
      <c r="IE72">
        <v>100</v>
      </c>
      <c r="IF72">
        <v>100</v>
      </c>
      <c r="IG72">
        <v>-0.223</v>
      </c>
      <c r="IH72">
        <v>0.35659999999999997</v>
      </c>
      <c r="II72">
        <v>-0.2288113683886466</v>
      </c>
      <c r="IJ72">
        <v>7.0786345690369205E-4</v>
      </c>
      <c r="IK72">
        <v>-1.387476646623666E-6</v>
      </c>
      <c r="IL72">
        <v>3.6592443641472651E-10</v>
      </c>
      <c r="IM72">
        <v>0.35656379307707092</v>
      </c>
      <c r="IN72">
        <v>0</v>
      </c>
      <c r="IO72">
        <v>0</v>
      </c>
      <c r="IP72">
        <v>0</v>
      </c>
      <c r="IQ72">
        <v>2</v>
      </c>
      <c r="IR72">
        <v>2142</v>
      </c>
      <c r="IS72">
        <v>1</v>
      </c>
      <c r="IT72">
        <v>24</v>
      </c>
      <c r="IU72">
        <v>0.7</v>
      </c>
      <c r="IV72">
        <v>0.5</v>
      </c>
      <c r="IW72">
        <v>0.17456099999999999</v>
      </c>
      <c r="IX72">
        <v>2.7331500000000002</v>
      </c>
      <c r="IY72">
        <v>1.5490699999999999</v>
      </c>
      <c r="IZ72">
        <v>2.3596200000000001</v>
      </c>
      <c r="JA72">
        <v>1.5966800000000001</v>
      </c>
      <c r="JB72">
        <v>2.36328</v>
      </c>
      <c r="JC72">
        <v>42.912100000000002</v>
      </c>
      <c r="JD72">
        <v>24.1313</v>
      </c>
      <c r="JE72">
        <v>18</v>
      </c>
      <c r="JF72">
        <v>549.53399999999999</v>
      </c>
      <c r="JG72">
        <v>440.065</v>
      </c>
      <c r="JH72">
        <v>26.907599999999999</v>
      </c>
      <c r="JI72">
        <v>35.651499999999999</v>
      </c>
      <c r="JJ72">
        <v>30.0001</v>
      </c>
      <c r="JK72">
        <v>35.662799999999997</v>
      </c>
      <c r="JL72">
        <v>35.653500000000001</v>
      </c>
      <c r="JM72">
        <v>3.4821900000000001</v>
      </c>
      <c r="JN72">
        <v>18.369399999999999</v>
      </c>
      <c r="JO72">
        <v>18.060099999999998</v>
      </c>
      <c r="JP72">
        <v>26.9054</v>
      </c>
      <c r="JQ72">
        <v>10</v>
      </c>
      <c r="JR72">
        <v>21.4682</v>
      </c>
      <c r="JS72">
        <v>98.410600000000002</v>
      </c>
      <c r="JT72">
        <v>99.2804</v>
      </c>
    </row>
    <row r="73" spans="1:280" x14ac:dyDescent="0.25">
      <c r="A73">
        <v>71</v>
      </c>
      <c r="B73">
        <v>1700165230.5</v>
      </c>
      <c r="C73">
        <v>17374.5</v>
      </c>
      <c r="D73" t="s">
        <v>667</v>
      </c>
      <c r="E73" t="s">
        <v>668</v>
      </c>
      <c r="F73" t="s">
        <v>412</v>
      </c>
      <c r="G73" t="s">
        <v>547</v>
      </c>
      <c r="H73" t="s">
        <v>669</v>
      </c>
      <c r="I73">
        <v>1700165230.5</v>
      </c>
      <c r="J73">
        <f t="shared" si="92"/>
        <v>4.150452684114128E-3</v>
      </c>
      <c r="K73">
        <f t="shared" si="93"/>
        <v>4.1504526841141276</v>
      </c>
      <c r="L73">
        <f t="shared" si="94"/>
        <v>45.675092302134125</v>
      </c>
      <c r="M73">
        <f t="shared" si="95"/>
        <v>408.57799999999997</v>
      </c>
      <c r="N73">
        <f t="shared" si="96"/>
        <v>112.62618037246482</v>
      </c>
      <c r="O73">
        <f t="shared" si="97"/>
        <v>11.165454372753059</v>
      </c>
      <c r="P73">
        <f t="shared" si="98"/>
        <v>40.505315918766797</v>
      </c>
      <c r="Q73">
        <f t="shared" si="99"/>
        <v>0.26231815166196792</v>
      </c>
      <c r="R73">
        <f t="shared" si="100"/>
        <v>3.2973281050543477</v>
      </c>
      <c r="S73">
        <f t="shared" si="101"/>
        <v>0.25125148939276032</v>
      </c>
      <c r="T73">
        <f t="shared" si="102"/>
        <v>0.15798757042845063</v>
      </c>
      <c r="U73">
        <f t="shared" si="103"/>
        <v>289.57024241928792</v>
      </c>
      <c r="V73">
        <f t="shared" si="104"/>
        <v>29.932562597090481</v>
      </c>
      <c r="W73">
        <f t="shared" si="105"/>
        <v>29.991</v>
      </c>
      <c r="X73">
        <f t="shared" si="106"/>
        <v>4.2582478177999326</v>
      </c>
      <c r="Y73">
        <f t="shared" si="107"/>
        <v>65.17257290294414</v>
      </c>
      <c r="Z73">
        <f t="shared" si="108"/>
        <v>2.6778766662290798</v>
      </c>
      <c r="AA73">
        <f t="shared" si="109"/>
        <v>4.1089012554667885</v>
      </c>
      <c r="AB73">
        <f t="shared" si="110"/>
        <v>1.5803711515708527</v>
      </c>
      <c r="AC73">
        <f t="shared" si="111"/>
        <v>-183.03496336943306</v>
      </c>
      <c r="AD73">
        <f t="shared" si="112"/>
        <v>-110.23241929108791</v>
      </c>
      <c r="AE73">
        <f t="shared" si="113"/>
        <v>-7.4099299667776215</v>
      </c>
      <c r="AF73">
        <f t="shared" si="114"/>
        <v>-11.107070208010654</v>
      </c>
      <c r="AG73">
        <v>11</v>
      </c>
      <c r="AH73">
        <v>2</v>
      </c>
      <c r="AI73">
        <f t="shared" si="115"/>
        <v>1</v>
      </c>
      <c r="AJ73">
        <f t="shared" si="116"/>
        <v>0</v>
      </c>
      <c r="AK73">
        <f t="shared" si="117"/>
        <v>51988.449423604026</v>
      </c>
      <c r="AL73" t="s">
        <v>415</v>
      </c>
      <c r="AM73">
        <v>10238.9</v>
      </c>
      <c r="AN73">
        <v>302.21199999999999</v>
      </c>
      <c r="AO73">
        <v>4052.3</v>
      </c>
      <c r="AP73">
        <f t="shared" si="118"/>
        <v>0.92542210596451402</v>
      </c>
      <c r="AQ73">
        <v>-0.32343011824092421</v>
      </c>
      <c r="AR73" t="s">
        <v>670</v>
      </c>
      <c r="AS73">
        <v>7129.8</v>
      </c>
      <c r="AT73">
        <v>545.93007692307685</v>
      </c>
      <c r="AU73">
        <v>792.90262910197112</v>
      </c>
      <c r="AV73">
        <f t="shared" si="119"/>
        <v>0.31147904309336372</v>
      </c>
      <c r="AW73">
        <v>0.5</v>
      </c>
      <c r="AX73">
        <f t="shared" si="120"/>
        <v>1513.2018002172476</v>
      </c>
      <c r="AY73">
        <f t="shared" si="121"/>
        <v>45.675092302134125</v>
      </c>
      <c r="AZ73">
        <f t="shared" si="122"/>
        <v>235.66532436941182</v>
      </c>
      <c r="BA73">
        <f t="shared" si="123"/>
        <v>3.039814148633125E-2</v>
      </c>
      <c r="BB73">
        <f t="shared" si="124"/>
        <v>4.1107158070462839</v>
      </c>
      <c r="BC73">
        <f t="shared" si="125"/>
        <v>231.30206610223519</v>
      </c>
      <c r="BD73" t="s">
        <v>671</v>
      </c>
      <c r="BE73">
        <v>381.09</v>
      </c>
      <c r="BF73">
        <f t="shared" si="126"/>
        <v>381.09</v>
      </c>
      <c r="BG73">
        <f t="shared" si="127"/>
        <v>0.5193735195056467</v>
      </c>
      <c r="BH73">
        <f t="shared" si="128"/>
        <v>0.59972068539389078</v>
      </c>
      <c r="BI73">
        <f t="shared" si="129"/>
        <v>0.88782645800649629</v>
      </c>
      <c r="BJ73">
        <f t="shared" si="130"/>
        <v>0.50331621908265656</v>
      </c>
      <c r="BK73">
        <f t="shared" si="131"/>
        <v>0.86915223613366654</v>
      </c>
      <c r="BL73">
        <f t="shared" si="132"/>
        <v>0.41863888006478323</v>
      </c>
      <c r="BM73">
        <f t="shared" si="133"/>
        <v>0.58136111993521677</v>
      </c>
      <c r="BN73">
        <v>34505</v>
      </c>
      <c r="BO73">
        <v>290.00000000000011</v>
      </c>
      <c r="BP73">
        <v>722.25</v>
      </c>
      <c r="BQ73">
        <v>295</v>
      </c>
      <c r="BR73">
        <v>7129.8</v>
      </c>
      <c r="BS73">
        <v>723.47</v>
      </c>
      <c r="BT73">
        <v>-1.22</v>
      </c>
      <c r="BU73">
        <v>300.00000000000011</v>
      </c>
      <c r="BV73">
        <v>38.200000000000003</v>
      </c>
      <c r="BW73">
        <v>792.90262910197112</v>
      </c>
      <c r="BX73">
        <v>1.1558751161539791</v>
      </c>
      <c r="BY73">
        <v>-49.504221062671398</v>
      </c>
      <c r="BZ73">
        <v>0.69088315521344357</v>
      </c>
      <c r="CA73">
        <v>0.99457598669735769</v>
      </c>
      <c r="CB73">
        <v>-7.0290776418242664E-3</v>
      </c>
      <c r="CC73">
        <v>289.99999999999989</v>
      </c>
      <c r="CD73">
        <v>733.12</v>
      </c>
      <c r="CE73">
        <v>855</v>
      </c>
      <c r="CF73">
        <v>7123.14</v>
      </c>
      <c r="CG73">
        <v>723.4</v>
      </c>
      <c r="CH73">
        <v>9.7200000000000006</v>
      </c>
      <c r="CV73">
        <f t="shared" si="134"/>
        <v>1800.02</v>
      </c>
      <c r="CW73">
        <f t="shared" si="135"/>
        <v>1513.2018002172476</v>
      </c>
      <c r="CX73">
        <f t="shared" si="136"/>
        <v>0.84065832613929159</v>
      </c>
      <c r="CY73">
        <f t="shared" si="137"/>
        <v>0.16087056944883274</v>
      </c>
      <c r="CZ73">
        <v>4.38</v>
      </c>
      <c r="DA73">
        <v>0.5</v>
      </c>
      <c r="DB73" t="s">
        <v>418</v>
      </c>
      <c r="DC73">
        <v>2</v>
      </c>
      <c r="DD73">
        <v>1700165230.5</v>
      </c>
      <c r="DE73">
        <v>408.57799999999997</v>
      </c>
      <c r="DF73">
        <v>450.06799999999998</v>
      </c>
      <c r="DG73">
        <v>27.011800000000001</v>
      </c>
      <c r="DH73">
        <v>23.474799999999998</v>
      </c>
      <c r="DI73">
        <v>408.81</v>
      </c>
      <c r="DJ73">
        <v>26.662299999999998</v>
      </c>
      <c r="DK73">
        <v>500.08300000000003</v>
      </c>
      <c r="DL73">
        <v>99.037400000000005</v>
      </c>
      <c r="DM73">
        <v>9.9890599999999996E-2</v>
      </c>
      <c r="DN73">
        <v>29.370899999999999</v>
      </c>
      <c r="DO73">
        <v>29.991</v>
      </c>
      <c r="DP73">
        <v>999.9</v>
      </c>
      <c r="DQ73">
        <v>0</v>
      </c>
      <c r="DR73">
        <v>0</v>
      </c>
      <c r="DS73">
        <v>10006.200000000001</v>
      </c>
      <c r="DT73">
        <v>0</v>
      </c>
      <c r="DU73">
        <v>378.67399999999998</v>
      </c>
      <c r="DV73">
        <v>-41.49</v>
      </c>
      <c r="DW73">
        <v>419.92099999999999</v>
      </c>
      <c r="DX73">
        <v>460.887</v>
      </c>
      <c r="DY73">
        <v>3.5369899999999999</v>
      </c>
      <c r="DZ73">
        <v>450.06799999999998</v>
      </c>
      <c r="EA73">
        <v>23.474799999999998</v>
      </c>
      <c r="EB73">
        <v>2.6751800000000001</v>
      </c>
      <c r="EC73">
        <v>2.3248799999999998</v>
      </c>
      <c r="ED73">
        <v>22.133400000000002</v>
      </c>
      <c r="EE73">
        <v>19.849900000000002</v>
      </c>
      <c r="EF73">
        <v>1800.02</v>
      </c>
      <c r="EG73">
        <v>0.97799700000000001</v>
      </c>
      <c r="EH73">
        <v>2.2002600000000001E-2</v>
      </c>
      <c r="EI73">
        <v>0</v>
      </c>
      <c r="EJ73">
        <v>546.06600000000003</v>
      </c>
      <c r="EK73">
        <v>4.9996700000000001</v>
      </c>
      <c r="EL73">
        <v>10877.4</v>
      </c>
      <c r="EM73">
        <v>15047</v>
      </c>
      <c r="EN73">
        <v>50.311999999999998</v>
      </c>
      <c r="EO73">
        <v>51.125</v>
      </c>
      <c r="EP73">
        <v>51</v>
      </c>
      <c r="EQ73">
        <v>50.875</v>
      </c>
      <c r="ER73">
        <v>51.625</v>
      </c>
      <c r="ES73">
        <v>1755.52</v>
      </c>
      <c r="ET73">
        <v>39.5</v>
      </c>
      <c r="EU73">
        <v>0</v>
      </c>
      <c r="EV73">
        <v>1276.8000001907351</v>
      </c>
      <c r="EW73">
        <v>0</v>
      </c>
      <c r="EX73">
        <v>545.93007692307685</v>
      </c>
      <c r="EY73">
        <v>0.63658121086898378</v>
      </c>
      <c r="EZ73">
        <v>106.7623931001519</v>
      </c>
      <c r="FA73">
        <v>10868.97692307692</v>
      </c>
      <c r="FB73">
        <v>15</v>
      </c>
      <c r="FC73">
        <v>1700165183</v>
      </c>
      <c r="FD73" t="s">
        <v>672</v>
      </c>
      <c r="FE73">
        <v>1700165183</v>
      </c>
      <c r="FF73">
        <v>1700165182</v>
      </c>
      <c r="FG73">
        <v>79</v>
      </c>
      <c r="FH73">
        <v>-3.7999999999999999E-2</v>
      </c>
      <c r="FI73">
        <v>-1.4E-2</v>
      </c>
      <c r="FJ73">
        <v>-0.24399999999999999</v>
      </c>
      <c r="FK73">
        <v>0.309</v>
      </c>
      <c r="FL73">
        <v>450</v>
      </c>
      <c r="FM73">
        <v>23</v>
      </c>
      <c r="FN73">
        <v>0.03</v>
      </c>
      <c r="FO73">
        <v>0.02</v>
      </c>
      <c r="FP73">
        <v>45.673660131047043</v>
      </c>
      <c r="FQ73">
        <v>-0.66773928529466176</v>
      </c>
      <c r="FR73">
        <v>5.9032846478740818E-2</v>
      </c>
      <c r="FS73">
        <v>1</v>
      </c>
      <c r="FT73">
        <v>0.26434215327893879</v>
      </c>
      <c r="FU73">
        <v>-1.6376186296410689E-2</v>
      </c>
      <c r="FV73">
        <v>1.1923208990602481E-3</v>
      </c>
      <c r="FW73">
        <v>1</v>
      </c>
      <c r="FX73">
        <v>2</v>
      </c>
      <c r="FY73">
        <v>2</v>
      </c>
      <c r="FZ73" t="s">
        <v>420</v>
      </c>
      <c r="GA73">
        <v>3.0125000000000002</v>
      </c>
      <c r="GB73">
        <v>2.7770299999999999</v>
      </c>
      <c r="GC73">
        <v>8.9310200000000006E-2</v>
      </c>
      <c r="GD73">
        <v>9.6627000000000005E-2</v>
      </c>
      <c r="GE73">
        <v>0.12347900000000001</v>
      </c>
      <c r="GF73">
        <v>0.11324099999999999</v>
      </c>
      <c r="GG73">
        <v>21834.2</v>
      </c>
      <c r="GH73">
        <v>22367.7</v>
      </c>
      <c r="GI73">
        <v>23746.5</v>
      </c>
      <c r="GJ73">
        <v>24422.2</v>
      </c>
      <c r="GK73">
        <v>30788.799999999999</v>
      </c>
      <c r="GL73">
        <v>31059.1</v>
      </c>
      <c r="GM73">
        <v>38893.800000000003</v>
      </c>
      <c r="GN73">
        <v>38897.9</v>
      </c>
      <c r="GO73">
        <v>1.9843500000000001</v>
      </c>
      <c r="GP73">
        <v>1.7882800000000001</v>
      </c>
      <c r="GQ73">
        <v>7.3872499999999994E-2</v>
      </c>
      <c r="GR73">
        <v>0</v>
      </c>
      <c r="GS73">
        <v>28.787600000000001</v>
      </c>
      <c r="GT73">
        <v>999.9</v>
      </c>
      <c r="GU73">
        <v>38.700000000000003</v>
      </c>
      <c r="GV73">
        <v>39.9</v>
      </c>
      <c r="GW73">
        <v>28.814499999999999</v>
      </c>
      <c r="GX73">
        <v>61.131599999999999</v>
      </c>
      <c r="GY73">
        <v>31.145800000000001</v>
      </c>
      <c r="GZ73">
        <v>1</v>
      </c>
      <c r="HA73">
        <v>0.66252</v>
      </c>
      <c r="HB73">
        <v>3.0487000000000002</v>
      </c>
      <c r="HC73">
        <v>20.303000000000001</v>
      </c>
      <c r="HD73">
        <v>5.2413999999999996</v>
      </c>
      <c r="HE73">
        <v>12.000500000000001</v>
      </c>
      <c r="HF73">
        <v>4.9637000000000002</v>
      </c>
      <c r="HG73">
        <v>3.3010000000000002</v>
      </c>
      <c r="HH73">
        <v>9999</v>
      </c>
      <c r="HI73">
        <v>9999</v>
      </c>
      <c r="HJ73">
        <v>9999</v>
      </c>
      <c r="HK73">
        <v>999.9</v>
      </c>
      <c r="HL73">
        <v>1.87487</v>
      </c>
      <c r="HM73">
        <v>1.88019</v>
      </c>
      <c r="HN73">
        <v>1.8803399999999999</v>
      </c>
      <c r="HO73">
        <v>1.879</v>
      </c>
      <c r="HP73">
        <v>1.8813800000000001</v>
      </c>
      <c r="HQ73">
        <v>1.8772899999999999</v>
      </c>
      <c r="HR73">
        <v>1.875</v>
      </c>
      <c r="HS73">
        <v>1.8822300000000001</v>
      </c>
      <c r="HT73">
        <v>5</v>
      </c>
      <c r="HU73">
        <v>0</v>
      </c>
      <c r="HV73">
        <v>0</v>
      </c>
      <c r="HW73">
        <v>0</v>
      </c>
      <c r="HX73" t="s">
        <v>421</v>
      </c>
      <c r="HY73" t="s">
        <v>422</v>
      </c>
      <c r="HZ73" t="s">
        <v>423</v>
      </c>
      <c r="IA73" t="s">
        <v>423</v>
      </c>
      <c r="IB73" t="s">
        <v>423</v>
      </c>
      <c r="IC73" t="s">
        <v>423</v>
      </c>
      <c r="ID73">
        <v>0</v>
      </c>
      <c r="IE73">
        <v>100</v>
      </c>
      <c r="IF73">
        <v>100</v>
      </c>
      <c r="IG73">
        <v>-0.23200000000000001</v>
      </c>
      <c r="IH73">
        <v>0.34949999999999998</v>
      </c>
      <c r="II73">
        <v>-0.3148414143615082</v>
      </c>
      <c r="IJ73">
        <v>7.0786345690369205E-4</v>
      </c>
      <c r="IK73">
        <v>-1.387476646623666E-6</v>
      </c>
      <c r="IL73">
        <v>3.6592443641472651E-10</v>
      </c>
      <c r="IM73">
        <v>0.34951765490191689</v>
      </c>
      <c r="IN73">
        <v>0</v>
      </c>
      <c r="IO73">
        <v>0</v>
      </c>
      <c r="IP73">
        <v>0</v>
      </c>
      <c r="IQ73">
        <v>2</v>
      </c>
      <c r="IR73">
        <v>2142</v>
      </c>
      <c r="IS73">
        <v>1</v>
      </c>
      <c r="IT73">
        <v>24</v>
      </c>
      <c r="IU73">
        <v>0.8</v>
      </c>
      <c r="IV73">
        <v>0.8</v>
      </c>
      <c r="IW73">
        <v>1.1267100000000001</v>
      </c>
      <c r="IX73">
        <v>2.6672400000000001</v>
      </c>
      <c r="IY73">
        <v>1.5490699999999999</v>
      </c>
      <c r="IZ73">
        <v>2.36206</v>
      </c>
      <c r="JA73">
        <v>1.5966800000000001</v>
      </c>
      <c r="JB73">
        <v>2.2790499999999998</v>
      </c>
      <c r="JC73">
        <v>42.138599999999997</v>
      </c>
      <c r="JD73">
        <v>24.122499999999999</v>
      </c>
      <c r="JE73">
        <v>18</v>
      </c>
      <c r="JF73">
        <v>510.43299999999999</v>
      </c>
      <c r="JG73">
        <v>449.99400000000003</v>
      </c>
      <c r="JH73">
        <v>25.9498</v>
      </c>
      <c r="JI73">
        <v>35.283299999999997</v>
      </c>
      <c r="JJ73">
        <v>29.999600000000001</v>
      </c>
      <c r="JK73">
        <v>35.337499999999999</v>
      </c>
      <c r="JL73">
        <v>35.337699999999998</v>
      </c>
      <c r="JM73">
        <v>22.5413</v>
      </c>
      <c r="JN73">
        <v>19.224</v>
      </c>
      <c r="JO73">
        <v>30.342700000000001</v>
      </c>
      <c r="JP73">
        <v>25.959800000000001</v>
      </c>
      <c r="JQ73">
        <v>450</v>
      </c>
      <c r="JR73">
        <v>23.469000000000001</v>
      </c>
      <c r="JS73">
        <v>98.497500000000002</v>
      </c>
      <c r="JT73">
        <v>99.354600000000005</v>
      </c>
    </row>
    <row r="74" spans="1:280" x14ac:dyDescent="0.25">
      <c r="A74">
        <v>72</v>
      </c>
      <c r="B74">
        <v>1700165436.5</v>
      </c>
      <c r="C74">
        <v>17580.5</v>
      </c>
      <c r="D74" t="s">
        <v>673</v>
      </c>
      <c r="E74" t="s">
        <v>674</v>
      </c>
      <c r="F74" t="s">
        <v>412</v>
      </c>
      <c r="G74" t="s">
        <v>547</v>
      </c>
      <c r="H74" t="s">
        <v>669</v>
      </c>
      <c r="I74">
        <v>1700165436.5</v>
      </c>
      <c r="J74">
        <f t="shared" si="92"/>
        <v>2.0229463933487874E-3</v>
      </c>
      <c r="K74">
        <f t="shared" si="93"/>
        <v>2.0229463933487875</v>
      </c>
      <c r="L74">
        <f t="shared" si="94"/>
        <v>47.876081000757729</v>
      </c>
      <c r="M74">
        <f t="shared" si="95"/>
        <v>1455.29</v>
      </c>
      <c r="N74">
        <f t="shared" si="96"/>
        <v>763.25188003895528</v>
      </c>
      <c r="O74">
        <f t="shared" si="97"/>
        <v>75.658433601098764</v>
      </c>
      <c r="P74">
        <f t="shared" si="98"/>
        <v>144.25770144152597</v>
      </c>
      <c r="Q74">
        <f t="shared" si="99"/>
        <v>0.11784541700307098</v>
      </c>
      <c r="R74">
        <f t="shared" si="100"/>
        <v>3.2976474696696538</v>
      </c>
      <c r="S74">
        <f t="shared" si="101"/>
        <v>0.11555484163345096</v>
      </c>
      <c r="T74">
        <f t="shared" si="102"/>
        <v>7.24238668397892E-2</v>
      </c>
      <c r="U74">
        <f t="shared" si="103"/>
        <v>289.59519941914454</v>
      </c>
      <c r="V74">
        <f t="shared" si="104"/>
        <v>29.933565575059252</v>
      </c>
      <c r="W74">
        <f t="shared" si="105"/>
        <v>30.014299999999999</v>
      </c>
      <c r="X74">
        <f t="shared" si="106"/>
        <v>4.2639504746123054</v>
      </c>
      <c r="Y74">
        <f t="shared" si="107"/>
        <v>64.824672164859578</v>
      </c>
      <c r="Z74">
        <f t="shared" si="108"/>
        <v>2.5885875773515998</v>
      </c>
      <c r="AA74">
        <f t="shared" si="109"/>
        <v>3.9932135264308086</v>
      </c>
      <c r="AB74">
        <f t="shared" si="110"/>
        <v>1.6753628972607055</v>
      </c>
      <c r="AC74">
        <f t="shared" si="111"/>
        <v>-89.211935946681521</v>
      </c>
      <c r="AD74">
        <f t="shared" si="112"/>
        <v>-202.210123035706</v>
      </c>
      <c r="AE74">
        <f t="shared" si="113"/>
        <v>-13.559798091571878</v>
      </c>
      <c r="AF74">
        <f t="shared" si="114"/>
        <v>-15.386657654814854</v>
      </c>
      <c r="AG74">
        <v>12</v>
      </c>
      <c r="AH74">
        <v>2</v>
      </c>
      <c r="AI74">
        <f t="shared" si="115"/>
        <v>1</v>
      </c>
      <c r="AJ74">
        <f t="shared" si="116"/>
        <v>0</v>
      </c>
      <c r="AK74">
        <f t="shared" si="117"/>
        <v>52080.767378032397</v>
      </c>
      <c r="AL74" t="s">
        <v>415</v>
      </c>
      <c r="AM74">
        <v>10238.9</v>
      </c>
      <c r="AN74">
        <v>302.21199999999999</v>
      </c>
      <c r="AO74">
        <v>4052.3</v>
      </c>
      <c r="AP74">
        <f t="shared" si="118"/>
        <v>0.92542210596451402</v>
      </c>
      <c r="AQ74">
        <v>-0.32343011824092421</v>
      </c>
      <c r="AR74" t="s">
        <v>675</v>
      </c>
      <c r="AS74">
        <v>7129.54</v>
      </c>
      <c r="AT74">
        <v>540.32646153846156</v>
      </c>
      <c r="AU74">
        <v>810.10533617210353</v>
      </c>
      <c r="AV74">
        <f t="shared" si="119"/>
        <v>0.33301703196820887</v>
      </c>
      <c r="AW74">
        <v>0.5</v>
      </c>
      <c r="AX74">
        <f t="shared" si="120"/>
        <v>1513.3359002171735</v>
      </c>
      <c r="AY74">
        <f t="shared" si="121"/>
        <v>47.876081000757729</v>
      </c>
      <c r="AZ74">
        <f t="shared" si="122"/>
        <v>251.98331493063031</v>
      </c>
      <c r="BA74">
        <f t="shared" si="123"/>
        <v>3.1849843192170164E-2</v>
      </c>
      <c r="BB74">
        <f t="shared" si="124"/>
        <v>4.0021889982207277</v>
      </c>
      <c r="BC74">
        <f t="shared" si="125"/>
        <v>232.74382661213468</v>
      </c>
      <c r="BD74" t="s">
        <v>676</v>
      </c>
      <c r="BE74">
        <v>385.92</v>
      </c>
      <c r="BF74">
        <f t="shared" si="126"/>
        <v>385.92</v>
      </c>
      <c r="BG74">
        <f t="shared" si="127"/>
        <v>0.5236175065534775</v>
      </c>
      <c r="BH74">
        <f t="shared" si="128"/>
        <v>0.63599292957214659</v>
      </c>
      <c r="BI74">
        <f t="shared" si="129"/>
        <v>0.88430404481474822</v>
      </c>
      <c r="BJ74">
        <f t="shared" si="130"/>
        <v>0.5311723061123711</v>
      </c>
      <c r="BK74">
        <f t="shared" si="131"/>
        <v>0.86456495522982302</v>
      </c>
      <c r="BL74">
        <f t="shared" si="132"/>
        <v>0.45424832735683396</v>
      </c>
      <c r="BM74">
        <f t="shared" si="133"/>
        <v>0.54575167264316604</v>
      </c>
      <c r="BN74">
        <v>34507</v>
      </c>
      <c r="BO74">
        <v>290.00000000000011</v>
      </c>
      <c r="BP74">
        <v>731.41</v>
      </c>
      <c r="BQ74">
        <v>295</v>
      </c>
      <c r="BR74">
        <v>7129.54</v>
      </c>
      <c r="BS74">
        <v>733.01</v>
      </c>
      <c r="BT74">
        <v>-1.6</v>
      </c>
      <c r="BU74">
        <v>300.00000000000011</v>
      </c>
      <c r="BV74">
        <v>38.200000000000003</v>
      </c>
      <c r="BW74">
        <v>810.10533617210353</v>
      </c>
      <c r="BX74">
        <v>1.439802382330321</v>
      </c>
      <c r="BY74">
        <v>-54.964297685914019</v>
      </c>
      <c r="BZ74">
        <v>0.86055462066691524</v>
      </c>
      <c r="CA74">
        <v>0.99318316322023881</v>
      </c>
      <c r="CB74">
        <v>-7.0289225806451604E-3</v>
      </c>
      <c r="CC74">
        <v>289.99999999999989</v>
      </c>
      <c r="CD74">
        <v>741.33</v>
      </c>
      <c r="CE74">
        <v>875</v>
      </c>
      <c r="CF74">
        <v>7122.67</v>
      </c>
      <c r="CG74">
        <v>732.94</v>
      </c>
      <c r="CH74">
        <v>8.39</v>
      </c>
      <c r="CV74">
        <f t="shared" si="134"/>
        <v>1800.18</v>
      </c>
      <c r="CW74">
        <f t="shared" si="135"/>
        <v>1513.3359002171735</v>
      </c>
      <c r="CX74">
        <f t="shared" si="136"/>
        <v>0.84065810097722082</v>
      </c>
      <c r="CY74">
        <f t="shared" si="137"/>
        <v>0.16087013488603613</v>
      </c>
      <c r="CZ74">
        <v>4.38</v>
      </c>
      <c r="DA74">
        <v>0.5</v>
      </c>
      <c r="DB74" t="s">
        <v>418</v>
      </c>
      <c r="DC74">
        <v>2</v>
      </c>
      <c r="DD74">
        <v>1700165436.5</v>
      </c>
      <c r="DE74">
        <v>1455.29</v>
      </c>
      <c r="DF74">
        <v>1499.8</v>
      </c>
      <c r="DG74">
        <v>26.114000000000001</v>
      </c>
      <c r="DH74">
        <v>24.388500000000001</v>
      </c>
      <c r="DI74">
        <v>1456.14</v>
      </c>
      <c r="DJ74">
        <v>25.766300000000001</v>
      </c>
      <c r="DK74">
        <v>500.09399999999999</v>
      </c>
      <c r="DL74">
        <v>99.026499999999999</v>
      </c>
      <c r="DM74">
        <v>9.9929400000000002E-2</v>
      </c>
      <c r="DN74">
        <v>28.876899999999999</v>
      </c>
      <c r="DO74">
        <v>30.014299999999999</v>
      </c>
      <c r="DP74">
        <v>999.9</v>
      </c>
      <c r="DQ74">
        <v>0</v>
      </c>
      <c r="DR74">
        <v>0</v>
      </c>
      <c r="DS74">
        <v>10008.799999999999</v>
      </c>
      <c r="DT74">
        <v>0</v>
      </c>
      <c r="DU74">
        <v>367.089</v>
      </c>
      <c r="DV74">
        <v>-44.508899999999997</v>
      </c>
      <c r="DW74">
        <v>1494.32</v>
      </c>
      <c r="DX74">
        <v>1537.3</v>
      </c>
      <c r="DY74">
        <v>1.72546</v>
      </c>
      <c r="DZ74">
        <v>1499.8</v>
      </c>
      <c r="EA74">
        <v>24.388500000000001</v>
      </c>
      <c r="EB74">
        <v>2.5859800000000002</v>
      </c>
      <c r="EC74">
        <v>2.4151099999999999</v>
      </c>
      <c r="ED74">
        <v>21.577999999999999</v>
      </c>
      <c r="EE74">
        <v>20.465399999999999</v>
      </c>
      <c r="EF74">
        <v>1800.18</v>
      </c>
      <c r="EG74">
        <v>0.97800100000000001</v>
      </c>
      <c r="EH74">
        <v>2.1999100000000001E-2</v>
      </c>
      <c r="EI74">
        <v>0</v>
      </c>
      <c r="EJ74">
        <v>540.12699999999995</v>
      </c>
      <c r="EK74">
        <v>4.9996700000000001</v>
      </c>
      <c r="EL74">
        <v>10616</v>
      </c>
      <c r="EM74">
        <v>15048.3</v>
      </c>
      <c r="EN74">
        <v>50.25</v>
      </c>
      <c r="EO74">
        <v>51</v>
      </c>
      <c r="EP74">
        <v>50.875</v>
      </c>
      <c r="EQ74">
        <v>50.811999999999998</v>
      </c>
      <c r="ER74">
        <v>51.5</v>
      </c>
      <c r="ES74">
        <v>1755.69</v>
      </c>
      <c r="ET74">
        <v>39.49</v>
      </c>
      <c r="EU74">
        <v>0</v>
      </c>
      <c r="EV74">
        <v>204</v>
      </c>
      <c r="EW74">
        <v>0</v>
      </c>
      <c r="EX74">
        <v>540.32646153846156</v>
      </c>
      <c r="EY74">
        <v>-0.12663249332810961</v>
      </c>
      <c r="EZ74">
        <v>-18.923076941329139</v>
      </c>
      <c r="FA74">
        <v>10617.926923076921</v>
      </c>
      <c r="FB74">
        <v>15</v>
      </c>
      <c r="FC74">
        <v>1700165401</v>
      </c>
      <c r="FD74" t="s">
        <v>677</v>
      </c>
      <c r="FE74">
        <v>1700165401</v>
      </c>
      <c r="FF74">
        <v>1700165396.5</v>
      </c>
      <c r="FG74">
        <v>80</v>
      </c>
      <c r="FH74">
        <v>0.255</v>
      </c>
      <c r="FI74">
        <v>-2E-3</v>
      </c>
      <c r="FJ74">
        <v>-0.88700000000000001</v>
      </c>
      <c r="FK74">
        <v>0.34799999999999998</v>
      </c>
      <c r="FL74">
        <v>1500</v>
      </c>
      <c r="FM74">
        <v>25</v>
      </c>
      <c r="FN74">
        <v>0.06</v>
      </c>
      <c r="FO74">
        <v>0.03</v>
      </c>
      <c r="FP74">
        <v>47.896857605167433</v>
      </c>
      <c r="FQ74">
        <v>-0.10916025238393449</v>
      </c>
      <c r="FR74">
        <v>0.11910861440756849</v>
      </c>
      <c r="FS74">
        <v>1</v>
      </c>
      <c r="FT74">
        <v>0.12697839369481931</v>
      </c>
      <c r="FU74">
        <v>-2.9504512665964221E-2</v>
      </c>
      <c r="FV74">
        <v>2.7058630276315049E-3</v>
      </c>
      <c r="FW74">
        <v>1</v>
      </c>
      <c r="FX74">
        <v>2</v>
      </c>
      <c r="FY74">
        <v>2</v>
      </c>
      <c r="FZ74" t="s">
        <v>420</v>
      </c>
      <c r="GA74">
        <v>3.0124399999999998</v>
      </c>
      <c r="GB74">
        <v>2.7770899999999998</v>
      </c>
      <c r="GC74">
        <v>0.210423</v>
      </c>
      <c r="GD74">
        <v>0.21513699999999999</v>
      </c>
      <c r="GE74">
        <v>0.120604</v>
      </c>
      <c r="GF74">
        <v>0.116282</v>
      </c>
      <c r="GG74">
        <v>18931</v>
      </c>
      <c r="GH74">
        <v>19433.099999999999</v>
      </c>
      <c r="GI74">
        <v>23751.5</v>
      </c>
      <c r="GJ74">
        <v>24427</v>
      </c>
      <c r="GK74">
        <v>30895</v>
      </c>
      <c r="GL74">
        <v>30958.1</v>
      </c>
      <c r="GM74">
        <v>38901.5</v>
      </c>
      <c r="GN74">
        <v>38905.9</v>
      </c>
      <c r="GO74">
        <v>1.98342</v>
      </c>
      <c r="GP74">
        <v>1.79555</v>
      </c>
      <c r="GQ74">
        <v>9.0934299999999996E-2</v>
      </c>
      <c r="GR74">
        <v>0</v>
      </c>
      <c r="GS74">
        <v>28.532800000000002</v>
      </c>
      <c r="GT74">
        <v>999.9</v>
      </c>
      <c r="GU74">
        <v>39.1</v>
      </c>
      <c r="GV74">
        <v>39.799999999999997</v>
      </c>
      <c r="GW74">
        <v>28.960599999999999</v>
      </c>
      <c r="GX74">
        <v>61.141599999999997</v>
      </c>
      <c r="GY74">
        <v>30.941500000000001</v>
      </c>
      <c r="GZ74">
        <v>1</v>
      </c>
      <c r="HA74">
        <v>0.65925299999999998</v>
      </c>
      <c r="HB74">
        <v>3.9325600000000001</v>
      </c>
      <c r="HC74">
        <v>20.283799999999999</v>
      </c>
      <c r="HD74">
        <v>5.2396000000000003</v>
      </c>
      <c r="HE74">
        <v>12.0023</v>
      </c>
      <c r="HF74">
        <v>4.9631499999999997</v>
      </c>
      <c r="HG74">
        <v>3.30037</v>
      </c>
      <c r="HH74">
        <v>9999</v>
      </c>
      <c r="HI74">
        <v>9999</v>
      </c>
      <c r="HJ74">
        <v>9999</v>
      </c>
      <c r="HK74">
        <v>999.9</v>
      </c>
      <c r="HL74">
        <v>1.8748499999999999</v>
      </c>
      <c r="HM74">
        <v>1.88019</v>
      </c>
      <c r="HN74">
        <v>1.8803000000000001</v>
      </c>
      <c r="HO74">
        <v>1.8789800000000001</v>
      </c>
      <c r="HP74">
        <v>1.8813899999999999</v>
      </c>
      <c r="HQ74">
        <v>1.8772899999999999</v>
      </c>
      <c r="HR74">
        <v>1.875</v>
      </c>
      <c r="HS74">
        <v>1.88218</v>
      </c>
      <c r="HT74">
        <v>5</v>
      </c>
      <c r="HU74">
        <v>0</v>
      </c>
      <c r="HV74">
        <v>0</v>
      </c>
      <c r="HW74">
        <v>0</v>
      </c>
      <c r="HX74" t="s">
        <v>421</v>
      </c>
      <c r="HY74" t="s">
        <v>422</v>
      </c>
      <c r="HZ74" t="s">
        <v>423</v>
      </c>
      <c r="IA74" t="s">
        <v>423</v>
      </c>
      <c r="IB74" t="s">
        <v>423</v>
      </c>
      <c r="IC74" t="s">
        <v>423</v>
      </c>
      <c r="ID74">
        <v>0</v>
      </c>
      <c r="IE74">
        <v>100</v>
      </c>
      <c r="IF74">
        <v>100</v>
      </c>
      <c r="IG74">
        <v>-0.85</v>
      </c>
      <c r="IH74">
        <v>0.34770000000000001</v>
      </c>
      <c r="II74">
        <v>-6.0619594370585062E-2</v>
      </c>
      <c r="IJ74">
        <v>7.0786345690369205E-4</v>
      </c>
      <c r="IK74">
        <v>-1.387476646623666E-6</v>
      </c>
      <c r="IL74">
        <v>3.6592443641472651E-10</v>
      </c>
      <c r="IM74">
        <v>0.34766499999999922</v>
      </c>
      <c r="IN74">
        <v>0</v>
      </c>
      <c r="IO74">
        <v>0</v>
      </c>
      <c r="IP74">
        <v>0</v>
      </c>
      <c r="IQ74">
        <v>2</v>
      </c>
      <c r="IR74">
        <v>2142</v>
      </c>
      <c r="IS74">
        <v>1</v>
      </c>
      <c r="IT74">
        <v>24</v>
      </c>
      <c r="IU74">
        <v>0.6</v>
      </c>
      <c r="IV74">
        <v>0.7</v>
      </c>
      <c r="IW74">
        <v>3.0078100000000001</v>
      </c>
      <c r="IX74">
        <v>2.6428199999999999</v>
      </c>
      <c r="IY74">
        <v>1.5490699999999999</v>
      </c>
      <c r="IZ74">
        <v>2.36206</v>
      </c>
      <c r="JA74">
        <v>1.5966800000000001</v>
      </c>
      <c r="JB74">
        <v>2.3315399999999999</v>
      </c>
      <c r="JC74">
        <v>42.032899999999998</v>
      </c>
      <c r="JD74">
        <v>24.122499999999999</v>
      </c>
      <c r="JE74">
        <v>18</v>
      </c>
      <c r="JF74">
        <v>509.07100000000003</v>
      </c>
      <c r="JG74">
        <v>453.98200000000003</v>
      </c>
      <c r="JH74">
        <v>25.071400000000001</v>
      </c>
      <c r="JI74">
        <v>35.198900000000002</v>
      </c>
      <c r="JJ74">
        <v>30</v>
      </c>
      <c r="JK74">
        <v>35.2361</v>
      </c>
      <c r="JL74">
        <v>35.235799999999998</v>
      </c>
      <c r="JM74">
        <v>60.124000000000002</v>
      </c>
      <c r="JN74">
        <v>16.319700000000001</v>
      </c>
      <c r="JO74">
        <v>31.854800000000001</v>
      </c>
      <c r="JP74">
        <v>25.058900000000001</v>
      </c>
      <c r="JQ74">
        <v>1500</v>
      </c>
      <c r="JR74">
        <v>24.533899999999999</v>
      </c>
      <c r="JS74">
        <v>98.517399999999995</v>
      </c>
      <c r="JT74">
        <v>99.374600000000001</v>
      </c>
    </row>
    <row r="75" spans="1:280" x14ac:dyDescent="0.25">
      <c r="A75">
        <v>73</v>
      </c>
      <c r="B75">
        <v>1700165537</v>
      </c>
      <c r="C75">
        <v>17681</v>
      </c>
      <c r="D75" t="s">
        <v>678</v>
      </c>
      <c r="E75" t="s">
        <v>679</v>
      </c>
      <c r="F75" t="s">
        <v>412</v>
      </c>
      <c r="G75" t="s">
        <v>547</v>
      </c>
      <c r="H75" t="s">
        <v>669</v>
      </c>
      <c r="I75">
        <v>1700165537</v>
      </c>
      <c r="J75">
        <f t="shared" si="92"/>
        <v>1.5760639973509789E-3</v>
      </c>
      <c r="K75">
        <f t="shared" si="93"/>
        <v>1.5760639973509789</v>
      </c>
      <c r="L75">
        <f t="shared" si="94"/>
        <v>43.870850276544864</v>
      </c>
      <c r="M75">
        <f t="shared" si="95"/>
        <v>1209.9100000000001</v>
      </c>
      <c r="N75">
        <f t="shared" si="96"/>
        <v>414.17513032073788</v>
      </c>
      <c r="O75">
        <f t="shared" si="97"/>
        <v>41.055222158756003</v>
      </c>
      <c r="P75">
        <f t="shared" si="98"/>
        <v>119.93265699858301</v>
      </c>
      <c r="Q75">
        <f t="shared" si="99"/>
        <v>9.1989896322880196E-2</v>
      </c>
      <c r="R75">
        <f t="shared" si="100"/>
        <v>3.2946819025375929</v>
      </c>
      <c r="S75">
        <f t="shared" si="101"/>
        <v>9.0586485254560797E-2</v>
      </c>
      <c r="T75">
        <f t="shared" si="102"/>
        <v>5.6740860616061234E-2</v>
      </c>
      <c r="U75">
        <f t="shared" si="103"/>
        <v>289.5776434191701</v>
      </c>
      <c r="V75">
        <f t="shared" si="104"/>
        <v>29.909367521546411</v>
      </c>
      <c r="W75">
        <f t="shared" si="105"/>
        <v>29.972000000000001</v>
      </c>
      <c r="X75">
        <f t="shared" si="106"/>
        <v>4.2536025037654248</v>
      </c>
      <c r="Y75">
        <f t="shared" si="107"/>
        <v>65.309169388120665</v>
      </c>
      <c r="Z75">
        <f t="shared" si="108"/>
        <v>2.58849785956542</v>
      </c>
      <c r="AA75">
        <f t="shared" si="109"/>
        <v>3.9634524276100382</v>
      </c>
      <c r="AB75">
        <f t="shared" si="110"/>
        <v>1.6651046442000048</v>
      </c>
      <c r="AC75">
        <f t="shared" si="111"/>
        <v>-69.504422283178172</v>
      </c>
      <c r="AD75">
        <f t="shared" si="112"/>
        <v>-217.44594283118451</v>
      </c>
      <c r="AE75">
        <f t="shared" si="113"/>
        <v>-14.582211242640964</v>
      </c>
      <c r="AF75">
        <f t="shared" si="114"/>
        <v>-11.954932937833519</v>
      </c>
      <c r="AG75">
        <v>12</v>
      </c>
      <c r="AH75">
        <v>2</v>
      </c>
      <c r="AI75">
        <f t="shared" si="115"/>
        <v>1</v>
      </c>
      <c r="AJ75">
        <f t="shared" si="116"/>
        <v>0</v>
      </c>
      <c r="AK75">
        <f t="shared" si="117"/>
        <v>52033.570251059624</v>
      </c>
      <c r="AL75" t="s">
        <v>426</v>
      </c>
      <c r="AM75" t="s">
        <v>426</v>
      </c>
      <c r="AN75">
        <v>0</v>
      </c>
      <c r="AO75">
        <v>0</v>
      </c>
      <c r="AP75" t="e">
        <f t="shared" si="118"/>
        <v>#DIV/0!</v>
      </c>
      <c r="AQ75">
        <v>0</v>
      </c>
      <c r="AR75" t="s">
        <v>426</v>
      </c>
      <c r="AS75" t="s">
        <v>426</v>
      </c>
      <c r="AT75">
        <v>0</v>
      </c>
      <c r="AU75">
        <v>0</v>
      </c>
      <c r="AV75" t="e">
        <f t="shared" si="119"/>
        <v>#DIV/0!</v>
      </c>
      <c r="AW75">
        <v>0.5</v>
      </c>
      <c r="AX75">
        <f t="shared" si="120"/>
        <v>1513.2435002171865</v>
      </c>
      <c r="AY75">
        <f t="shared" si="121"/>
        <v>43.870850276544864</v>
      </c>
      <c r="AZ75" t="e">
        <f t="shared" si="122"/>
        <v>#DIV/0!</v>
      </c>
      <c r="BA75">
        <f t="shared" si="123"/>
        <v>2.8991269594251256E-2</v>
      </c>
      <c r="BB75" t="e">
        <f t="shared" si="124"/>
        <v>#DIV/0!</v>
      </c>
      <c r="BC75" t="e">
        <f t="shared" si="125"/>
        <v>#DIV/0!</v>
      </c>
      <c r="BD75" t="s">
        <v>426</v>
      </c>
      <c r="BE75">
        <v>0</v>
      </c>
      <c r="BF75" t="e">
        <f t="shared" si="126"/>
        <v>#DIV/0!</v>
      </c>
      <c r="BG75" t="e">
        <f t="shared" si="127"/>
        <v>#DIV/0!</v>
      </c>
      <c r="BH75" t="e">
        <f t="shared" si="128"/>
        <v>#DIV/0!</v>
      </c>
      <c r="BI75" t="e">
        <f t="shared" si="129"/>
        <v>#DIV/0!</v>
      </c>
      <c r="BJ75" t="e">
        <f t="shared" si="130"/>
        <v>#DIV/0!</v>
      </c>
      <c r="BK75" t="e">
        <f t="shared" si="131"/>
        <v>#DIV/0!</v>
      </c>
      <c r="BL75" t="e">
        <f t="shared" si="132"/>
        <v>#DIV/0!</v>
      </c>
      <c r="BM75" t="e">
        <f t="shared" si="133"/>
        <v>#DIV/0!</v>
      </c>
      <c r="BN75">
        <v>34507</v>
      </c>
      <c r="BO75">
        <v>290.00000000000011</v>
      </c>
      <c r="BP75">
        <v>731.41</v>
      </c>
      <c r="BQ75">
        <v>295</v>
      </c>
      <c r="BR75">
        <v>7129.54</v>
      </c>
      <c r="BS75">
        <v>733.01</v>
      </c>
      <c r="BT75">
        <v>-1.6</v>
      </c>
      <c r="BU75">
        <v>300.00000000000011</v>
      </c>
      <c r="BV75">
        <v>38.200000000000003</v>
      </c>
      <c r="BW75">
        <v>810.10533617210353</v>
      </c>
      <c r="BX75">
        <v>1.439802382330321</v>
      </c>
      <c r="BY75">
        <v>-54.964297685914019</v>
      </c>
      <c r="BZ75">
        <v>0.86055462066691524</v>
      </c>
      <c r="CA75">
        <v>0.99318316322023881</v>
      </c>
      <c r="CB75">
        <v>-7.0289225806451604E-3</v>
      </c>
      <c r="CC75">
        <v>289.99999999999989</v>
      </c>
      <c r="CD75">
        <v>741.33</v>
      </c>
      <c r="CE75">
        <v>875</v>
      </c>
      <c r="CF75">
        <v>7122.67</v>
      </c>
      <c r="CG75">
        <v>732.94</v>
      </c>
      <c r="CH75">
        <v>8.39</v>
      </c>
      <c r="CV75">
        <f t="shared" si="134"/>
        <v>1800.07</v>
      </c>
      <c r="CW75">
        <f t="shared" si="135"/>
        <v>1513.2435002171865</v>
      </c>
      <c r="CX75">
        <f t="shared" si="136"/>
        <v>0.84065814119294613</v>
      </c>
      <c r="CY75">
        <f t="shared" si="137"/>
        <v>0.16087021250238609</v>
      </c>
      <c r="CZ75">
        <v>4.38</v>
      </c>
      <c r="DA75">
        <v>0.5</v>
      </c>
      <c r="DB75" t="s">
        <v>418</v>
      </c>
      <c r="DC75">
        <v>2</v>
      </c>
      <c r="DD75">
        <v>1700165537</v>
      </c>
      <c r="DE75">
        <v>1209.9100000000001</v>
      </c>
      <c r="DF75">
        <v>1250</v>
      </c>
      <c r="DG75">
        <v>26.113399999999999</v>
      </c>
      <c r="DH75">
        <v>24.769200000000001</v>
      </c>
      <c r="DI75">
        <v>1210.6500000000001</v>
      </c>
      <c r="DJ75">
        <v>25.766999999999999</v>
      </c>
      <c r="DK75">
        <v>500.14100000000002</v>
      </c>
      <c r="DL75">
        <v>99.025400000000005</v>
      </c>
      <c r="DM75">
        <v>9.9871299999999996E-2</v>
      </c>
      <c r="DN75">
        <v>28.747800000000002</v>
      </c>
      <c r="DO75">
        <v>29.972000000000001</v>
      </c>
      <c r="DP75">
        <v>999.9</v>
      </c>
      <c r="DQ75">
        <v>0</v>
      </c>
      <c r="DR75">
        <v>0</v>
      </c>
      <c r="DS75">
        <v>9995</v>
      </c>
      <c r="DT75">
        <v>0</v>
      </c>
      <c r="DU75">
        <v>262.47000000000003</v>
      </c>
      <c r="DV75">
        <v>-40.088999999999999</v>
      </c>
      <c r="DW75">
        <v>1242.3499999999999</v>
      </c>
      <c r="DX75">
        <v>1281.74</v>
      </c>
      <c r="DY75">
        <v>1.34416</v>
      </c>
      <c r="DZ75">
        <v>1250</v>
      </c>
      <c r="EA75">
        <v>24.769200000000001</v>
      </c>
      <c r="EB75">
        <v>2.58589</v>
      </c>
      <c r="EC75">
        <v>2.4527800000000002</v>
      </c>
      <c r="ED75">
        <v>21.577400000000001</v>
      </c>
      <c r="EE75">
        <v>20.7165</v>
      </c>
      <c r="EF75">
        <v>1800.07</v>
      </c>
      <c r="EG75">
        <v>0.97800100000000001</v>
      </c>
      <c r="EH75">
        <v>2.1999100000000001E-2</v>
      </c>
      <c r="EI75">
        <v>0</v>
      </c>
      <c r="EJ75">
        <v>546.13900000000001</v>
      </c>
      <c r="EK75">
        <v>4.9996700000000001</v>
      </c>
      <c r="EL75">
        <v>10412.799999999999</v>
      </c>
      <c r="EM75">
        <v>15047.4</v>
      </c>
      <c r="EN75">
        <v>50.25</v>
      </c>
      <c r="EO75">
        <v>50.936999999999998</v>
      </c>
      <c r="EP75">
        <v>50.875</v>
      </c>
      <c r="EQ75">
        <v>50.75</v>
      </c>
      <c r="ER75">
        <v>51.5</v>
      </c>
      <c r="ES75">
        <v>1755.58</v>
      </c>
      <c r="ET75">
        <v>39.49</v>
      </c>
      <c r="EU75">
        <v>0</v>
      </c>
      <c r="EV75">
        <v>98.600000143051147</v>
      </c>
      <c r="EW75">
        <v>0</v>
      </c>
      <c r="EX75">
        <v>545.9709230769231</v>
      </c>
      <c r="EY75">
        <v>-1.1520683805892939</v>
      </c>
      <c r="EZ75">
        <v>-10.09914530023773</v>
      </c>
      <c r="FA75">
        <v>10414.776923076921</v>
      </c>
      <c r="FB75">
        <v>15</v>
      </c>
      <c r="FC75">
        <v>1700165508.5</v>
      </c>
      <c r="FD75" t="s">
        <v>680</v>
      </c>
      <c r="FE75">
        <v>1700165508.5</v>
      </c>
      <c r="FF75">
        <v>1700165499</v>
      </c>
      <c r="FG75">
        <v>81</v>
      </c>
      <c r="FH75">
        <v>-0.152</v>
      </c>
      <c r="FI75">
        <v>-1E-3</v>
      </c>
      <c r="FJ75">
        <v>-0.78200000000000003</v>
      </c>
      <c r="FK75">
        <v>0.34599999999999997</v>
      </c>
      <c r="FL75">
        <v>1250</v>
      </c>
      <c r="FM75">
        <v>25</v>
      </c>
      <c r="FN75">
        <v>0.06</v>
      </c>
      <c r="FO75">
        <v>0.05</v>
      </c>
      <c r="FP75">
        <v>43.923435466238487</v>
      </c>
      <c r="FQ75">
        <v>-0.48492958292455413</v>
      </c>
      <c r="FR75">
        <v>8.7161217234280802E-2</v>
      </c>
      <c r="FS75">
        <v>1</v>
      </c>
      <c r="FT75">
        <v>9.0380050006869828E-2</v>
      </c>
      <c r="FU75">
        <v>3.3667254887753018E-2</v>
      </c>
      <c r="FV75">
        <v>2.996278379249945E-3</v>
      </c>
      <c r="FW75">
        <v>1</v>
      </c>
      <c r="FX75">
        <v>2</v>
      </c>
      <c r="FY75">
        <v>2</v>
      </c>
      <c r="FZ75" t="s">
        <v>420</v>
      </c>
      <c r="GA75">
        <v>3.0125600000000001</v>
      </c>
      <c r="GB75">
        <v>2.7769200000000001</v>
      </c>
      <c r="GC75">
        <v>0.18808</v>
      </c>
      <c r="GD75">
        <v>0.192748</v>
      </c>
      <c r="GE75">
        <v>0.120612</v>
      </c>
      <c r="GF75">
        <v>0.117536</v>
      </c>
      <c r="GG75">
        <v>19469.099999999999</v>
      </c>
      <c r="GH75">
        <v>19989.5</v>
      </c>
      <c r="GI75">
        <v>23752.400000000001</v>
      </c>
      <c r="GJ75">
        <v>24427.4</v>
      </c>
      <c r="GK75">
        <v>30895.8</v>
      </c>
      <c r="GL75">
        <v>30914.7</v>
      </c>
      <c r="GM75">
        <v>38902.699999999997</v>
      </c>
      <c r="GN75">
        <v>38906.400000000001</v>
      </c>
      <c r="GO75">
        <v>1.9824999999999999</v>
      </c>
      <c r="GP75">
        <v>1.796</v>
      </c>
      <c r="GQ75">
        <v>9.2122700000000002E-2</v>
      </c>
      <c r="GR75">
        <v>0</v>
      </c>
      <c r="GS75">
        <v>28.4709</v>
      </c>
      <c r="GT75">
        <v>999.9</v>
      </c>
      <c r="GU75">
        <v>39.5</v>
      </c>
      <c r="GV75">
        <v>39.700000000000003</v>
      </c>
      <c r="GW75">
        <v>29.103899999999999</v>
      </c>
      <c r="GX75">
        <v>61.151600000000002</v>
      </c>
      <c r="GY75">
        <v>30.188300000000002</v>
      </c>
      <c r="GZ75">
        <v>1</v>
      </c>
      <c r="HA75">
        <v>0.65834599999999999</v>
      </c>
      <c r="HB75">
        <v>3.0829200000000001</v>
      </c>
      <c r="HC75">
        <v>20.3019</v>
      </c>
      <c r="HD75">
        <v>5.2461900000000004</v>
      </c>
      <c r="HE75">
        <v>12.000500000000001</v>
      </c>
      <c r="HF75">
        <v>4.9636500000000003</v>
      </c>
      <c r="HG75">
        <v>3.3010000000000002</v>
      </c>
      <c r="HH75">
        <v>9999</v>
      </c>
      <c r="HI75">
        <v>9999</v>
      </c>
      <c r="HJ75">
        <v>9999</v>
      </c>
      <c r="HK75">
        <v>999.9</v>
      </c>
      <c r="HL75">
        <v>1.87486</v>
      </c>
      <c r="HM75">
        <v>1.88019</v>
      </c>
      <c r="HN75">
        <v>1.8803300000000001</v>
      </c>
      <c r="HO75">
        <v>1.8790100000000001</v>
      </c>
      <c r="HP75">
        <v>1.88141</v>
      </c>
      <c r="HQ75">
        <v>1.8772899999999999</v>
      </c>
      <c r="HR75">
        <v>1.875</v>
      </c>
      <c r="HS75">
        <v>1.88225</v>
      </c>
      <c r="HT75">
        <v>5</v>
      </c>
      <c r="HU75">
        <v>0</v>
      </c>
      <c r="HV75">
        <v>0</v>
      </c>
      <c r="HW75">
        <v>0</v>
      </c>
      <c r="HX75" t="s">
        <v>421</v>
      </c>
      <c r="HY75" t="s">
        <v>422</v>
      </c>
      <c r="HZ75" t="s">
        <v>423</v>
      </c>
      <c r="IA75" t="s">
        <v>423</v>
      </c>
      <c r="IB75" t="s">
        <v>423</v>
      </c>
      <c r="IC75" t="s">
        <v>423</v>
      </c>
      <c r="ID75">
        <v>0</v>
      </c>
      <c r="IE75">
        <v>100</v>
      </c>
      <c r="IF75">
        <v>100</v>
      </c>
      <c r="IG75">
        <v>-0.74</v>
      </c>
      <c r="IH75">
        <v>0.34639999999999999</v>
      </c>
      <c r="II75">
        <v>-0.21268991213443669</v>
      </c>
      <c r="IJ75">
        <v>7.0786345690369205E-4</v>
      </c>
      <c r="IK75">
        <v>-1.387476646623666E-6</v>
      </c>
      <c r="IL75">
        <v>3.6592443641472651E-10</v>
      </c>
      <c r="IM75">
        <v>0.34638500000000499</v>
      </c>
      <c r="IN75">
        <v>0</v>
      </c>
      <c r="IO75">
        <v>0</v>
      </c>
      <c r="IP75">
        <v>0</v>
      </c>
      <c r="IQ75">
        <v>2</v>
      </c>
      <c r="IR75">
        <v>2142</v>
      </c>
      <c r="IS75">
        <v>1</v>
      </c>
      <c r="IT75">
        <v>24</v>
      </c>
      <c r="IU75">
        <v>0.5</v>
      </c>
      <c r="IV75">
        <v>0.6</v>
      </c>
      <c r="IW75">
        <v>2.5939899999999998</v>
      </c>
      <c r="IX75">
        <v>2.6355</v>
      </c>
      <c r="IY75">
        <v>1.5490699999999999</v>
      </c>
      <c r="IZ75">
        <v>2.36206</v>
      </c>
      <c r="JA75">
        <v>1.5966800000000001</v>
      </c>
      <c r="JB75">
        <v>2.2973599999999998</v>
      </c>
      <c r="JC75">
        <v>41.980200000000004</v>
      </c>
      <c r="JD75">
        <v>24.122499999999999</v>
      </c>
      <c r="JE75">
        <v>18</v>
      </c>
      <c r="JF75">
        <v>508.27800000000002</v>
      </c>
      <c r="JG75">
        <v>454.06099999999998</v>
      </c>
      <c r="JH75">
        <v>24.6675</v>
      </c>
      <c r="JI75">
        <v>35.1828</v>
      </c>
      <c r="JJ75">
        <v>29.9983</v>
      </c>
      <c r="JK75">
        <v>35.209800000000001</v>
      </c>
      <c r="JL75">
        <v>35.206000000000003</v>
      </c>
      <c r="JM75">
        <v>51.876300000000001</v>
      </c>
      <c r="JN75">
        <v>16.1553</v>
      </c>
      <c r="JO75">
        <v>33.288800000000002</v>
      </c>
      <c r="JP75">
        <v>24.938400000000001</v>
      </c>
      <c r="JQ75">
        <v>1250</v>
      </c>
      <c r="JR75">
        <v>24.7285</v>
      </c>
      <c r="JS75">
        <v>98.521000000000001</v>
      </c>
      <c r="JT75">
        <v>99.376099999999994</v>
      </c>
    </row>
    <row r="76" spans="1:280" x14ac:dyDescent="0.25">
      <c r="A76">
        <v>74</v>
      </c>
      <c r="B76">
        <v>1700165801.5</v>
      </c>
      <c r="C76">
        <v>17945.5</v>
      </c>
      <c r="D76" t="s">
        <v>681</v>
      </c>
      <c r="E76" t="s">
        <v>682</v>
      </c>
      <c r="F76" t="s">
        <v>412</v>
      </c>
      <c r="G76" t="s">
        <v>547</v>
      </c>
      <c r="H76" t="s">
        <v>669</v>
      </c>
      <c r="I76">
        <v>1700165801.5</v>
      </c>
      <c r="J76">
        <f t="shared" si="92"/>
        <v>2.6867056470196654E-3</v>
      </c>
      <c r="K76">
        <f t="shared" si="93"/>
        <v>2.6867056470196653</v>
      </c>
      <c r="L76">
        <f t="shared" si="94"/>
        <v>48.884779293830846</v>
      </c>
      <c r="M76">
        <f t="shared" si="95"/>
        <v>955.01700000000005</v>
      </c>
      <c r="N76">
        <f t="shared" si="96"/>
        <v>444.61292087364797</v>
      </c>
      <c r="O76">
        <f t="shared" si="97"/>
        <v>44.070214563680622</v>
      </c>
      <c r="P76">
        <f t="shared" si="98"/>
        <v>94.661675641952996</v>
      </c>
      <c r="Q76">
        <f t="shared" si="99"/>
        <v>0.16287326723490053</v>
      </c>
      <c r="R76">
        <f t="shared" si="100"/>
        <v>3.2935078523858055</v>
      </c>
      <c r="S76">
        <f t="shared" si="101"/>
        <v>0.15852728830508347</v>
      </c>
      <c r="T76">
        <f t="shared" si="102"/>
        <v>9.9460365181247484E-2</v>
      </c>
      <c r="U76">
        <f t="shared" si="103"/>
        <v>289.55529941920275</v>
      </c>
      <c r="V76">
        <f t="shared" si="104"/>
        <v>29.993141598960904</v>
      </c>
      <c r="W76">
        <f t="shared" si="105"/>
        <v>29.947399999999998</v>
      </c>
      <c r="X76">
        <f t="shared" si="106"/>
        <v>4.2475946057638545</v>
      </c>
      <c r="Y76">
        <f t="shared" si="107"/>
        <v>64.954107670811212</v>
      </c>
      <c r="Z76">
        <f t="shared" si="108"/>
        <v>2.6259573474733999</v>
      </c>
      <c r="AA76">
        <f t="shared" si="109"/>
        <v>4.0427887344427962</v>
      </c>
      <c r="AB76">
        <f t="shared" si="110"/>
        <v>1.6216372582904546</v>
      </c>
      <c r="AC76">
        <f t="shared" si="111"/>
        <v>-118.48371903356724</v>
      </c>
      <c r="AD76">
        <f t="shared" si="112"/>
        <v>-152.22184108311589</v>
      </c>
      <c r="AE76">
        <f t="shared" si="113"/>
        <v>-10.227918024185071</v>
      </c>
      <c r="AF76">
        <f t="shared" si="114"/>
        <v>8.6218212783345791</v>
      </c>
      <c r="AG76">
        <v>11</v>
      </c>
      <c r="AH76">
        <v>2</v>
      </c>
      <c r="AI76">
        <f t="shared" si="115"/>
        <v>1</v>
      </c>
      <c r="AJ76">
        <f t="shared" si="116"/>
        <v>0</v>
      </c>
      <c r="AK76">
        <f t="shared" si="117"/>
        <v>51947.045116988338</v>
      </c>
      <c r="AL76" t="s">
        <v>415</v>
      </c>
      <c r="AM76">
        <v>10238.9</v>
      </c>
      <c r="AN76">
        <v>302.21199999999999</v>
      </c>
      <c r="AO76">
        <v>4052.3</v>
      </c>
      <c r="AP76">
        <f t="shared" si="118"/>
        <v>0.92542210596451402</v>
      </c>
      <c r="AQ76">
        <v>-0.32343011824092421</v>
      </c>
      <c r="AR76" t="s">
        <v>683</v>
      </c>
      <c r="AS76">
        <v>7129.85</v>
      </c>
      <c r="AT76">
        <v>537.7611599999999</v>
      </c>
      <c r="AU76">
        <v>800.1522880897478</v>
      </c>
      <c r="AV76">
        <f t="shared" si="119"/>
        <v>0.32792648598952356</v>
      </c>
      <c r="AW76">
        <v>0.5</v>
      </c>
      <c r="AX76">
        <f t="shared" si="120"/>
        <v>1513.1259002172035</v>
      </c>
      <c r="AY76">
        <f t="shared" si="121"/>
        <v>48.884779293830846</v>
      </c>
      <c r="AZ76">
        <f t="shared" si="122"/>
        <v>248.097029658981</v>
      </c>
      <c r="BA76">
        <f t="shared" si="123"/>
        <v>3.2520895587741981E-2</v>
      </c>
      <c r="BB76">
        <f t="shared" si="124"/>
        <v>4.0644109381656612</v>
      </c>
      <c r="BC76">
        <f t="shared" si="125"/>
        <v>231.91502799111106</v>
      </c>
      <c r="BD76" t="s">
        <v>684</v>
      </c>
      <c r="BE76">
        <v>384.71</v>
      </c>
      <c r="BF76">
        <f t="shared" si="126"/>
        <v>384.71</v>
      </c>
      <c r="BG76">
        <f t="shared" si="127"/>
        <v>0.51920402437585778</v>
      </c>
      <c r="BH76">
        <f t="shared" si="128"/>
        <v>0.63159465372736356</v>
      </c>
      <c r="BI76">
        <f t="shared" si="129"/>
        <v>0.88672608222572646</v>
      </c>
      <c r="BJ76">
        <f t="shared" si="130"/>
        <v>0.52695299891551461</v>
      </c>
      <c r="BK76">
        <f t="shared" si="131"/>
        <v>0.86721903910261633</v>
      </c>
      <c r="BL76">
        <f t="shared" si="132"/>
        <v>0.45183772520026194</v>
      </c>
      <c r="BM76">
        <f t="shared" si="133"/>
        <v>0.54816227479973811</v>
      </c>
      <c r="BN76">
        <v>34509</v>
      </c>
      <c r="BO76">
        <v>290.00000000000011</v>
      </c>
      <c r="BP76">
        <v>721.66</v>
      </c>
      <c r="BQ76">
        <v>295</v>
      </c>
      <c r="BR76">
        <v>7129.85</v>
      </c>
      <c r="BS76">
        <v>723.55</v>
      </c>
      <c r="BT76">
        <v>-1.89</v>
      </c>
      <c r="BU76">
        <v>300.00000000000011</v>
      </c>
      <c r="BV76">
        <v>38.200000000000003</v>
      </c>
      <c r="BW76">
        <v>800.1522880897478</v>
      </c>
      <c r="BX76">
        <v>0.97042860620138038</v>
      </c>
      <c r="BY76">
        <v>-54.614396251816963</v>
      </c>
      <c r="BZ76">
        <v>0.58004060565666649</v>
      </c>
      <c r="CA76">
        <v>0.99685159162734005</v>
      </c>
      <c r="CB76">
        <v>-7.0292705228031157E-3</v>
      </c>
      <c r="CC76">
        <v>289.99999999999989</v>
      </c>
      <c r="CD76">
        <v>730.41</v>
      </c>
      <c r="CE76">
        <v>865</v>
      </c>
      <c r="CF76">
        <v>7123.12</v>
      </c>
      <c r="CG76">
        <v>723.48</v>
      </c>
      <c r="CH76">
        <v>6.93</v>
      </c>
      <c r="CV76">
        <f t="shared" si="134"/>
        <v>1799.93</v>
      </c>
      <c r="CW76">
        <f t="shared" si="135"/>
        <v>1513.1259002172035</v>
      </c>
      <c r="CX76">
        <f t="shared" si="136"/>
        <v>0.84065819238370576</v>
      </c>
      <c r="CY76">
        <f t="shared" si="137"/>
        <v>0.1608703113005521</v>
      </c>
      <c r="CZ76">
        <v>4.38</v>
      </c>
      <c r="DA76">
        <v>0.5</v>
      </c>
      <c r="DB76" t="s">
        <v>418</v>
      </c>
      <c r="DC76">
        <v>2</v>
      </c>
      <c r="DD76">
        <v>1700165801.5</v>
      </c>
      <c r="DE76">
        <v>955.01700000000005</v>
      </c>
      <c r="DF76">
        <v>1000.07</v>
      </c>
      <c r="DG76">
        <v>26.492599999999999</v>
      </c>
      <c r="DH76">
        <v>24.202300000000001</v>
      </c>
      <c r="DI76">
        <v>955.245</v>
      </c>
      <c r="DJ76">
        <v>26.147400000000001</v>
      </c>
      <c r="DK76">
        <v>500.197</v>
      </c>
      <c r="DL76">
        <v>99.020399999999995</v>
      </c>
      <c r="DM76">
        <v>0.100009</v>
      </c>
      <c r="DN76">
        <v>29.0901</v>
      </c>
      <c r="DO76">
        <v>29.947399999999998</v>
      </c>
      <c r="DP76">
        <v>999.9</v>
      </c>
      <c r="DQ76">
        <v>0</v>
      </c>
      <c r="DR76">
        <v>0</v>
      </c>
      <c r="DS76">
        <v>9990</v>
      </c>
      <c r="DT76">
        <v>0</v>
      </c>
      <c r="DU76">
        <v>254.7</v>
      </c>
      <c r="DV76">
        <v>-45.049700000000001</v>
      </c>
      <c r="DW76">
        <v>981.00599999999997</v>
      </c>
      <c r="DX76">
        <v>1024.8699999999999</v>
      </c>
      <c r="DY76">
        <v>2.2903600000000002</v>
      </c>
      <c r="DZ76">
        <v>1000.07</v>
      </c>
      <c r="EA76">
        <v>24.202300000000001</v>
      </c>
      <c r="EB76">
        <v>2.62331</v>
      </c>
      <c r="EC76">
        <v>2.3965200000000002</v>
      </c>
      <c r="ED76">
        <v>21.8125</v>
      </c>
      <c r="EE76">
        <v>20.340299999999999</v>
      </c>
      <c r="EF76">
        <v>1799.93</v>
      </c>
      <c r="EG76">
        <v>0.97799700000000001</v>
      </c>
      <c r="EH76">
        <v>2.2002600000000001E-2</v>
      </c>
      <c r="EI76">
        <v>0</v>
      </c>
      <c r="EJ76">
        <v>537.53200000000004</v>
      </c>
      <c r="EK76">
        <v>4.9996700000000001</v>
      </c>
      <c r="EL76">
        <v>10221.9</v>
      </c>
      <c r="EM76">
        <v>15046.2</v>
      </c>
      <c r="EN76">
        <v>50.061999999999998</v>
      </c>
      <c r="EO76">
        <v>50.811999999999998</v>
      </c>
      <c r="EP76">
        <v>50.686999999999998</v>
      </c>
      <c r="EQ76">
        <v>50.625</v>
      </c>
      <c r="ER76">
        <v>51.311999999999998</v>
      </c>
      <c r="ES76">
        <v>1755.44</v>
      </c>
      <c r="ET76">
        <v>39.49</v>
      </c>
      <c r="EU76">
        <v>0</v>
      </c>
      <c r="EV76">
        <v>363.20000004768372</v>
      </c>
      <c r="EW76">
        <v>0</v>
      </c>
      <c r="EX76">
        <v>537.7611599999999</v>
      </c>
      <c r="EY76">
        <v>-2.9139230858045271</v>
      </c>
      <c r="EZ76">
        <v>-68.207692428152527</v>
      </c>
      <c r="FA76">
        <v>10230.040000000001</v>
      </c>
      <c r="FB76">
        <v>15</v>
      </c>
      <c r="FC76">
        <v>1700165598.5</v>
      </c>
      <c r="FD76" t="s">
        <v>685</v>
      </c>
      <c r="FE76">
        <v>1700165598.5</v>
      </c>
      <c r="FF76">
        <v>1700165591.5</v>
      </c>
      <c r="FG76">
        <v>82</v>
      </c>
      <c r="FH76">
        <v>0.255</v>
      </c>
      <c r="FI76">
        <v>-1E-3</v>
      </c>
      <c r="FJ76">
        <v>-0.27200000000000002</v>
      </c>
      <c r="FK76">
        <v>0.34499999999999997</v>
      </c>
      <c r="FL76">
        <v>1000</v>
      </c>
      <c r="FM76">
        <v>25</v>
      </c>
      <c r="FN76">
        <v>0.05</v>
      </c>
      <c r="FO76">
        <v>0.08</v>
      </c>
      <c r="FP76">
        <v>48.791392491332019</v>
      </c>
      <c r="FQ76">
        <v>0.50962064571989385</v>
      </c>
      <c r="FR76">
        <v>0.1043875888636089</v>
      </c>
      <c r="FS76">
        <v>1</v>
      </c>
      <c r="FT76">
        <v>0.16271812863460469</v>
      </c>
      <c r="FU76">
        <v>-6.2774718540790364E-3</v>
      </c>
      <c r="FV76">
        <v>7.0071860803018081E-4</v>
      </c>
      <c r="FW76">
        <v>1</v>
      </c>
      <c r="FX76">
        <v>2</v>
      </c>
      <c r="FY76">
        <v>2</v>
      </c>
      <c r="FZ76" t="s">
        <v>420</v>
      </c>
      <c r="GA76">
        <v>3.01261</v>
      </c>
      <c r="GB76">
        <v>2.7770100000000002</v>
      </c>
      <c r="GC76">
        <v>0.16199</v>
      </c>
      <c r="GD76">
        <v>0.16764899999999999</v>
      </c>
      <c r="GE76">
        <v>0.12187199999999999</v>
      </c>
      <c r="GF76">
        <v>0.1157</v>
      </c>
      <c r="GG76">
        <v>20103.099999999999</v>
      </c>
      <c r="GH76">
        <v>20619.400000000001</v>
      </c>
      <c r="GI76">
        <v>23760.3</v>
      </c>
      <c r="GJ76">
        <v>24435.1</v>
      </c>
      <c r="GK76">
        <v>30860.9</v>
      </c>
      <c r="GL76">
        <v>30987.1</v>
      </c>
      <c r="GM76">
        <v>38915</v>
      </c>
      <c r="GN76">
        <v>38916.800000000003</v>
      </c>
      <c r="GO76">
        <v>1.98645</v>
      </c>
      <c r="GP76">
        <v>1.7984500000000001</v>
      </c>
      <c r="GQ76">
        <v>9.3638899999999997E-2</v>
      </c>
      <c r="GR76">
        <v>0</v>
      </c>
      <c r="GS76">
        <v>28.421500000000002</v>
      </c>
      <c r="GT76">
        <v>999.9</v>
      </c>
      <c r="GU76">
        <v>39.9</v>
      </c>
      <c r="GV76">
        <v>39.5</v>
      </c>
      <c r="GW76">
        <v>29.0822</v>
      </c>
      <c r="GX76">
        <v>61.241700000000002</v>
      </c>
      <c r="GY76">
        <v>30.3325</v>
      </c>
      <c r="GZ76">
        <v>1</v>
      </c>
      <c r="HA76">
        <v>0.64295500000000005</v>
      </c>
      <c r="HB76">
        <v>3.08447</v>
      </c>
      <c r="HC76">
        <v>20.303100000000001</v>
      </c>
      <c r="HD76">
        <v>5.2451400000000001</v>
      </c>
      <c r="HE76">
        <v>12.0037</v>
      </c>
      <c r="HF76">
        <v>4.9634999999999998</v>
      </c>
      <c r="HG76">
        <v>3.3009499999999998</v>
      </c>
      <c r="HH76">
        <v>9999</v>
      </c>
      <c r="HI76">
        <v>9999</v>
      </c>
      <c r="HJ76">
        <v>9999</v>
      </c>
      <c r="HK76">
        <v>999.9</v>
      </c>
      <c r="HL76">
        <v>1.8748899999999999</v>
      </c>
      <c r="HM76">
        <v>1.8802099999999999</v>
      </c>
      <c r="HN76">
        <v>1.8803399999999999</v>
      </c>
      <c r="HO76">
        <v>1.8789899999999999</v>
      </c>
      <c r="HP76">
        <v>1.88141</v>
      </c>
      <c r="HQ76">
        <v>1.8772899999999999</v>
      </c>
      <c r="HR76">
        <v>1.875</v>
      </c>
      <c r="HS76">
        <v>1.8822300000000001</v>
      </c>
      <c r="HT76">
        <v>5</v>
      </c>
      <c r="HU76">
        <v>0</v>
      </c>
      <c r="HV76">
        <v>0</v>
      </c>
      <c r="HW76">
        <v>0</v>
      </c>
      <c r="HX76" t="s">
        <v>421</v>
      </c>
      <c r="HY76" t="s">
        <v>422</v>
      </c>
      <c r="HZ76" t="s">
        <v>423</v>
      </c>
      <c r="IA76" t="s">
        <v>423</v>
      </c>
      <c r="IB76" t="s">
        <v>423</v>
      </c>
      <c r="IC76" t="s">
        <v>423</v>
      </c>
      <c r="ID76">
        <v>0</v>
      </c>
      <c r="IE76">
        <v>100</v>
      </c>
      <c r="IF76">
        <v>100</v>
      </c>
      <c r="IG76">
        <v>-0.22800000000000001</v>
      </c>
      <c r="IH76">
        <v>0.34520000000000001</v>
      </c>
      <c r="II76">
        <v>4.2544531472284652E-2</v>
      </c>
      <c r="IJ76">
        <v>7.0786345690369205E-4</v>
      </c>
      <c r="IK76">
        <v>-1.387476646623666E-6</v>
      </c>
      <c r="IL76">
        <v>3.6592443641472651E-10</v>
      </c>
      <c r="IM76">
        <v>0.34525500000000159</v>
      </c>
      <c r="IN76">
        <v>0</v>
      </c>
      <c r="IO76">
        <v>0</v>
      </c>
      <c r="IP76">
        <v>0</v>
      </c>
      <c r="IQ76">
        <v>2</v>
      </c>
      <c r="IR76">
        <v>2142</v>
      </c>
      <c r="IS76">
        <v>1</v>
      </c>
      <c r="IT76">
        <v>24</v>
      </c>
      <c r="IU76">
        <v>3.4</v>
      </c>
      <c r="IV76">
        <v>3.5</v>
      </c>
      <c r="IW76">
        <v>2.1594199999999999</v>
      </c>
      <c r="IX76">
        <v>2.63672</v>
      </c>
      <c r="IY76">
        <v>1.5490699999999999</v>
      </c>
      <c r="IZ76">
        <v>2.36206</v>
      </c>
      <c r="JA76">
        <v>1.5966800000000001</v>
      </c>
      <c r="JB76">
        <v>2.36816</v>
      </c>
      <c r="JC76">
        <v>41.796100000000003</v>
      </c>
      <c r="JD76">
        <v>24.1313</v>
      </c>
      <c r="JE76">
        <v>18</v>
      </c>
      <c r="JF76">
        <v>509.88400000000001</v>
      </c>
      <c r="JG76">
        <v>454.79899999999998</v>
      </c>
      <c r="JH76">
        <v>25.5456</v>
      </c>
      <c r="JI76">
        <v>35.034500000000001</v>
      </c>
      <c r="JJ76">
        <v>29.999600000000001</v>
      </c>
      <c r="JK76">
        <v>35.0871</v>
      </c>
      <c r="JL76">
        <v>35.087200000000003</v>
      </c>
      <c r="JM76">
        <v>43.188299999999998</v>
      </c>
      <c r="JN76">
        <v>18.0932</v>
      </c>
      <c r="JO76">
        <v>34.514099999999999</v>
      </c>
      <c r="JP76">
        <v>25.5684</v>
      </c>
      <c r="JQ76">
        <v>1000</v>
      </c>
      <c r="JR76">
        <v>24.301100000000002</v>
      </c>
      <c r="JS76">
        <v>98.552599999999998</v>
      </c>
      <c r="JT76">
        <v>99.404499999999999</v>
      </c>
    </row>
    <row r="77" spans="1:280" x14ac:dyDescent="0.25">
      <c r="A77">
        <v>75</v>
      </c>
      <c r="B77">
        <v>1700165932.5</v>
      </c>
      <c r="C77">
        <v>18076.5</v>
      </c>
      <c r="D77" t="s">
        <v>686</v>
      </c>
      <c r="E77" t="s">
        <v>687</v>
      </c>
      <c r="F77" t="s">
        <v>412</v>
      </c>
      <c r="G77" t="s">
        <v>547</v>
      </c>
      <c r="H77" t="s">
        <v>669</v>
      </c>
      <c r="I77">
        <v>1700165932.5</v>
      </c>
      <c r="J77">
        <f t="shared" si="92"/>
        <v>2.5520222751361215E-3</v>
      </c>
      <c r="K77">
        <f t="shared" si="93"/>
        <v>2.5520222751361215</v>
      </c>
      <c r="L77">
        <f t="shared" si="94"/>
        <v>46.125731640646329</v>
      </c>
      <c r="M77">
        <f t="shared" si="95"/>
        <v>708.05700000000002</v>
      </c>
      <c r="N77">
        <f t="shared" si="96"/>
        <v>208.42385674412702</v>
      </c>
      <c r="O77">
        <f t="shared" si="97"/>
        <v>20.658557708579092</v>
      </c>
      <c r="P77">
        <f t="shared" si="98"/>
        <v>70.181200098513003</v>
      </c>
      <c r="Q77">
        <f t="shared" si="99"/>
        <v>0.15483268933357722</v>
      </c>
      <c r="R77">
        <f t="shared" si="100"/>
        <v>3.2974643890662474</v>
      </c>
      <c r="S77">
        <f t="shared" si="101"/>
        <v>0.15090422574305795</v>
      </c>
      <c r="T77">
        <f t="shared" si="102"/>
        <v>9.465979601156857E-2</v>
      </c>
      <c r="U77">
        <f t="shared" si="103"/>
        <v>289.52394571168196</v>
      </c>
      <c r="V77">
        <f t="shared" si="104"/>
        <v>29.985900301556232</v>
      </c>
      <c r="W77">
        <f t="shared" si="105"/>
        <v>29.982800000000001</v>
      </c>
      <c r="X77">
        <f t="shared" si="106"/>
        <v>4.2562424560369996</v>
      </c>
      <c r="Y77">
        <f t="shared" si="107"/>
        <v>65.400801435059165</v>
      </c>
      <c r="Z77">
        <f t="shared" si="108"/>
        <v>2.6383033399602001</v>
      </c>
      <c r="AA77">
        <f t="shared" si="109"/>
        <v>4.034053531560998</v>
      </c>
      <c r="AB77">
        <f t="shared" si="110"/>
        <v>1.6179391160767995</v>
      </c>
      <c r="AC77">
        <f t="shared" si="111"/>
        <v>-112.54418233350296</v>
      </c>
      <c r="AD77">
        <f t="shared" si="112"/>
        <v>-165.34657442332002</v>
      </c>
      <c r="AE77">
        <f t="shared" si="113"/>
        <v>-11.096343868380398</v>
      </c>
      <c r="AF77">
        <f t="shared" si="114"/>
        <v>0.53684508647856433</v>
      </c>
      <c r="AG77">
        <v>11</v>
      </c>
      <c r="AH77">
        <v>2</v>
      </c>
      <c r="AI77">
        <f t="shared" si="115"/>
        <v>1</v>
      </c>
      <c r="AJ77">
        <f t="shared" si="116"/>
        <v>0</v>
      </c>
      <c r="AK77">
        <f t="shared" si="117"/>
        <v>52045.987670069473</v>
      </c>
      <c r="AL77" t="s">
        <v>426</v>
      </c>
      <c r="AM77" t="s">
        <v>426</v>
      </c>
      <c r="AN77">
        <v>0</v>
      </c>
      <c r="AO77">
        <v>0</v>
      </c>
      <c r="AP77" t="e">
        <f t="shared" si="118"/>
        <v>#DIV/0!</v>
      </c>
      <c r="AQ77">
        <v>0</v>
      </c>
      <c r="AR77" t="s">
        <v>426</v>
      </c>
      <c r="AS77" t="s">
        <v>426</v>
      </c>
      <c r="AT77">
        <v>0</v>
      </c>
      <c r="AU77">
        <v>0</v>
      </c>
      <c r="AV77" t="e">
        <f t="shared" si="119"/>
        <v>#DIV/0!</v>
      </c>
      <c r="AW77">
        <v>0.5</v>
      </c>
      <c r="AX77">
        <f t="shared" si="120"/>
        <v>1512.9581936329957</v>
      </c>
      <c r="AY77">
        <f t="shared" si="121"/>
        <v>46.125731640646329</v>
      </c>
      <c r="AZ77" t="e">
        <f t="shared" si="122"/>
        <v>#DIV/0!</v>
      </c>
      <c r="BA77">
        <f t="shared" si="123"/>
        <v>3.0487115793918117E-2</v>
      </c>
      <c r="BB77" t="e">
        <f t="shared" si="124"/>
        <v>#DIV/0!</v>
      </c>
      <c r="BC77" t="e">
        <f t="shared" si="125"/>
        <v>#DIV/0!</v>
      </c>
      <c r="BD77" t="s">
        <v>426</v>
      </c>
      <c r="BE77">
        <v>0</v>
      </c>
      <c r="BF77" t="e">
        <f t="shared" si="126"/>
        <v>#DIV/0!</v>
      </c>
      <c r="BG77" t="e">
        <f t="shared" si="127"/>
        <v>#DIV/0!</v>
      </c>
      <c r="BH77" t="e">
        <f t="shared" si="128"/>
        <v>#DIV/0!</v>
      </c>
      <c r="BI77" t="e">
        <f t="shared" si="129"/>
        <v>#DIV/0!</v>
      </c>
      <c r="BJ77" t="e">
        <f t="shared" si="130"/>
        <v>#DIV/0!</v>
      </c>
      <c r="BK77" t="e">
        <f t="shared" si="131"/>
        <v>#DIV/0!</v>
      </c>
      <c r="BL77" t="e">
        <f t="shared" si="132"/>
        <v>#DIV/0!</v>
      </c>
      <c r="BM77" t="e">
        <f t="shared" si="133"/>
        <v>#DIV/0!</v>
      </c>
      <c r="BN77">
        <v>34509</v>
      </c>
      <c r="BO77">
        <v>290.00000000000011</v>
      </c>
      <c r="BP77">
        <v>721.66</v>
      </c>
      <c r="BQ77">
        <v>295</v>
      </c>
      <c r="BR77">
        <v>7129.85</v>
      </c>
      <c r="BS77">
        <v>723.55</v>
      </c>
      <c r="BT77">
        <v>-1.89</v>
      </c>
      <c r="BU77">
        <v>300.00000000000011</v>
      </c>
      <c r="BV77">
        <v>38.200000000000003</v>
      </c>
      <c r="BW77">
        <v>800.1522880897478</v>
      </c>
      <c r="BX77">
        <v>0.97042860620138038</v>
      </c>
      <c r="BY77">
        <v>-54.614396251816963</v>
      </c>
      <c r="BZ77">
        <v>0.58004060565666649</v>
      </c>
      <c r="CA77">
        <v>0.99685159162734005</v>
      </c>
      <c r="CB77">
        <v>-7.0292705228031157E-3</v>
      </c>
      <c r="CC77">
        <v>289.99999999999989</v>
      </c>
      <c r="CD77">
        <v>730.41</v>
      </c>
      <c r="CE77">
        <v>865</v>
      </c>
      <c r="CF77">
        <v>7123.12</v>
      </c>
      <c r="CG77">
        <v>723.48</v>
      </c>
      <c r="CH77">
        <v>6.93</v>
      </c>
      <c r="CV77">
        <f t="shared" si="134"/>
        <v>1799.73</v>
      </c>
      <c r="CW77">
        <f t="shared" si="135"/>
        <v>1512.9581936329957</v>
      </c>
      <c r="CX77">
        <f t="shared" si="136"/>
        <v>0.84065842856039286</v>
      </c>
      <c r="CY77">
        <f t="shared" si="137"/>
        <v>0.16087076712155821</v>
      </c>
      <c r="CZ77">
        <v>4.38</v>
      </c>
      <c r="DA77">
        <v>0.5</v>
      </c>
      <c r="DB77" t="s">
        <v>418</v>
      </c>
      <c r="DC77">
        <v>2</v>
      </c>
      <c r="DD77">
        <v>1700165932.5</v>
      </c>
      <c r="DE77">
        <v>708.05700000000002</v>
      </c>
      <c r="DF77">
        <v>750.03899999999999</v>
      </c>
      <c r="DG77">
        <v>26.617799999999999</v>
      </c>
      <c r="DH77">
        <v>24.4421</v>
      </c>
      <c r="DI77">
        <v>708.43</v>
      </c>
      <c r="DJ77">
        <v>26.270900000000001</v>
      </c>
      <c r="DK77">
        <v>500.084</v>
      </c>
      <c r="DL77">
        <v>99.018000000000001</v>
      </c>
      <c r="DM77">
        <v>0.100009</v>
      </c>
      <c r="DN77">
        <v>29.052700000000002</v>
      </c>
      <c r="DO77">
        <v>29.982800000000001</v>
      </c>
      <c r="DP77">
        <v>999.9</v>
      </c>
      <c r="DQ77">
        <v>0</v>
      </c>
      <c r="DR77">
        <v>0</v>
      </c>
      <c r="DS77">
        <v>10008.799999999999</v>
      </c>
      <c r="DT77">
        <v>0</v>
      </c>
      <c r="DU77">
        <v>279.04300000000001</v>
      </c>
      <c r="DV77">
        <v>-41.981900000000003</v>
      </c>
      <c r="DW77">
        <v>727.41899999999998</v>
      </c>
      <c r="DX77">
        <v>768.83</v>
      </c>
      <c r="DY77">
        <v>2.1757300000000002</v>
      </c>
      <c r="DZ77">
        <v>750.03899999999999</v>
      </c>
      <c r="EA77">
        <v>24.4421</v>
      </c>
      <c r="EB77">
        <v>2.63564</v>
      </c>
      <c r="EC77">
        <v>2.42021</v>
      </c>
      <c r="ED77">
        <v>21.889299999999999</v>
      </c>
      <c r="EE77">
        <v>20.499600000000001</v>
      </c>
      <c r="EF77">
        <v>1799.73</v>
      </c>
      <c r="EG77">
        <v>0.97799400000000003</v>
      </c>
      <c r="EH77">
        <v>2.2006100000000001E-2</v>
      </c>
      <c r="EI77">
        <v>0</v>
      </c>
      <c r="EJ77">
        <v>538.73500000000001</v>
      </c>
      <c r="EK77">
        <v>4.9996700000000001</v>
      </c>
      <c r="EL77">
        <v>10350.200000000001</v>
      </c>
      <c r="EM77">
        <v>15044.5</v>
      </c>
      <c r="EN77">
        <v>49.936999999999998</v>
      </c>
      <c r="EO77">
        <v>50.686999999999998</v>
      </c>
      <c r="EP77">
        <v>50.561999999999998</v>
      </c>
      <c r="EQ77">
        <v>50.436999999999998</v>
      </c>
      <c r="ER77">
        <v>51.25</v>
      </c>
      <c r="ES77">
        <v>1755.24</v>
      </c>
      <c r="ET77">
        <v>39.5</v>
      </c>
      <c r="EU77">
        <v>0</v>
      </c>
      <c r="EV77">
        <v>129</v>
      </c>
      <c r="EW77">
        <v>0</v>
      </c>
      <c r="EX77">
        <v>538.70644000000004</v>
      </c>
      <c r="EY77">
        <v>-0.88446155404524174</v>
      </c>
      <c r="EZ77">
        <v>6.4615384904526358</v>
      </c>
      <c r="FA77">
        <v>10361.32</v>
      </c>
      <c r="FB77">
        <v>15</v>
      </c>
      <c r="FC77">
        <v>1700165907</v>
      </c>
      <c r="FD77" t="s">
        <v>688</v>
      </c>
      <c r="FE77">
        <v>1700165907</v>
      </c>
      <c r="FF77">
        <v>1700165899.5</v>
      </c>
      <c r="FG77">
        <v>83</v>
      </c>
      <c r="FH77">
        <v>-0.35099999999999998</v>
      </c>
      <c r="FI77">
        <v>2E-3</v>
      </c>
      <c r="FJ77">
        <v>-0.40400000000000003</v>
      </c>
      <c r="FK77">
        <v>0.34699999999999998</v>
      </c>
      <c r="FL77">
        <v>750</v>
      </c>
      <c r="FM77">
        <v>25</v>
      </c>
      <c r="FN77">
        <v>0.05</v>
      </c>
      <c r="FO77">
        <v>0.08</v>
      </c>
      <c r="FP77">
        <v>46.12986557348156</v>
      </c>
      <c r="FQ77">
        <v>-0.60662103425617231</v>
      </c>
      <c r="FR77">
        <v>8.0672683618467078E-2</v>
      </c>
      <c r="FS77">
        <v>1</v>
      </c>
      <c r="FT77">
        <v>0.15305175854193401</v>
      </c>
      <c r="FU77">
        <v>4.8274172509672433E-2</v>
      </c>
      <c r="FV77">
        <v>5.1964274348927971E-3</v>
      </c>
      <c r="FW77">
        <v>1</v>
      </c>
      <c r="FX77">
        <v>2</v>
      </c>
      <c r="FY77">
        <v>2</v>
      </c>
      <c r="FZ77" t="s">
        <v>420</v>
      </c>
      <c r="GA77">
        <v>3.01227</v>
      </c>
      <c r="GB77">
        <v>2.7771699999999999</v>
      </c>
      <c r="GC77">
        <v>0.13289400000000001</v>
      </c>
      <c r="GD77">
        <v>0.13886999999999999</v>
      </c>
      <c r="GE77">
        <v>0.12228700000000001</v>
      </c>
      <c r="GF77">
        <v>0.116505</v>
      </c>
      <c r="GG77">
        <v>20805.7</v>
      </c>
      <c r="GH77">
        <v>21336.6</v>
      </c>
      <c r="GI77">
        <v>23764.400000000001</v>
      </c>
      <c r="GJ77">
        <v>24438.6</v>
      </c>
      <c r="GK77">
        <v>30851.3</v>
      </c>
      <c r="GL77">
        <v>30963</v>
      </c>
      <c r="GM77">
        <v>38921.4</v>
      </c>
      <c r="GN77">
        <v>38921.9</v>
      </c>
      <c r="GO77">
        <v>1.9863500000000001</v>
      </c>
      <c r="GP77">
        <v>1.79982</v>
      </c>
      <c r="GQ77">
        <v>9.5084299999999997E-2</v>
      </c>
      <c r="GR77">
        <v>0</v>
      </c>
      <c r="GS77">
        <v>28.433399999999999</v>
      </c>
      <c r="GT77">
        <v>999.9</v>
      </c>
      <c r="GU77">
        <v>40</v>
      </c>
      <c r="GV77">
        <v>39.4</v>
      </c>
      <c r="GW77">
        <v>29.0016</v>
      </c>
      <c r="GX77">
        <v>61.101700000000001</v>
      </c>
      <c r="GY77">
        <v>30.600999999999999</v>
      </c>
      <c r="GZ77">
        <v>1</v>
      </c>
      <c r="HA77">
        <v>0.63740300000000005</v>
      </c>
      <c r="HB77">
        <v>3.12</v>
      </c>
      <c r="HC77">
        <v>20.302600000000002</v>
      </c>
      <c r="HD77">
        <v>5.2461900000000004</v>
      </c>
      <c r="HE77">
        <v>12.0031</v>
      </c>
      <c r="HF77">
        <v>4.9635999999999996</v>
      </c>
      <c r="HG77">
        <v>3.30098</v>
      </c>
      <c r="HH77">
        <v>9999</v>
      </c>
      <c r="HI77">
        <v>9999</v>
      </c>
      <c r="HJ77">
        <v>9999</v>
      </c>
      <c r="HK77">
        <v>999.9</v>
      </c>
      <c r="HL77">
        <v>1.8749400000000001</v>
      </c>
      <c r="HM77">
        <v>1.8802300000000001</v>
      </c>
      <c r="HN77">
        <v>1.8803399999999999</v>
      </c>
      <c r="HO77">
        <v>1.8790199999999999</v>
      </c>
      <c r="HP77">
        <v>1.88141</v>
      </c>
      <c r="HQ77">
        <v>1.8773200000000001</v>
      </c>
      <c r="HR77">
        <v>1.8750500000000001</v>
      </c>
      <c r="HS77">
        <v>1.88228</v>
      </c>
      <c r="HT77">
        <v>5</v>
      </c>
      <c r="HU77">
        <v>0</v>
      </c>
      <c r="HV77">
        <v>0</v>
      </c>
      <c r="HW77">
        <v>0</v>
      </c>
      <c r="HX77" t="s">
        <v>421</v>
      </c>
      <c r="HY77" t="s">
        <v>422</v>
      </c>
      <c r="HZ77" t="s">
        <v>423</v>
      </c>
      <c r="IA77" t="s">
        <v>423</v>
      </c>
      <c r="IB77" t="s">
        <v>423</v>
      </c>
      <c r="IC77" t="s">
        <v>423</v>
      </c>
      <c r="ID77">
        <v>0</v>
      </c>
      <c r="IE77">
        <v>100</v>
      </c>
      <c r="IF77">
        <v>100</v>
      </c>
      <c r="IG77">
        <v>-0.373</v>
      </c>
      <c r="IH77">
        <v>0.34689999999999999</v>
      </c>
      <c r="II77">
        <v>-0.30876959599073561</v>
      </c>
      <c r="IJ77">
        <v>7.0786345690369205E-4</v>
      </c>
      <c r="IK77">
        <v>-1.387476646623666E-6</v>
      </c>
      <c r="IL77">
        <v>3.6592443641472651E-10</v>
      </c>
      <c r="IM77">
        <v>0.34693500000000549</v>
      </c>
      <c r="IN77">
        <v>0</v>
      </c>
      <c r="IO77">
        <v>0</v>
      </c>
      <c r="IP77">
        <v>0</v>
      </c>
      <c r="IQ77">
        <v>2</v>
      </c>
      <c r="IR77">
        <v>2142</v>
      </c>
      <c r="IS77">
        <v>1</v>
      </c>
      <c r="IT77">
        <v>24</v>
      </c>
      <c r="IU77">
        <v>0.4</v>
      </c>
      <c r="IV77">
        <v>0.6</v>
      </c>
      <c r="IW77">
        <v>1.7077599999999999</v>
      </c>
      <c r="IX77">
        <v>2.65259</v>
      </c>
      <c r="IY77">
        <v>1.5490699999999999</v>
      </c>
      <c r="IZ77">
        <v>2.36206</v>
      </c>
      <c r="JA77">
        <v>1.5966800000000001</v>
      </c>
      <c r="JB77">
        <v>2.2253400000000001</v>
      </c>
      <c r="JC77">
        <v>41.717399999999998</v>
      </c>
      <c r="JD77">
        <v>24.122499999999999</v>
      </c>
      <c r="JE77">
        <v>18</v>
      </c>
      <c r="JF77">
        <v>509.29199999999997</v>
      </c>
      <c r="JG77">
        <v>455.17899999999997</v>
      </c>
      <c r="JH77">
        <v>25.635400000000001</v>
      </c>
      <c r="JI77">
        <v>34.967799999999997</v>
      </c>
      <c r="JJ77">
        <v>30.0002</v>
      </c>
      <c r="JK77">
        <v>35.017499999999998</v>
      </c>
      <c r="JL77">
        <v>35.015700000000002</v>
      </c>
      <c r="JM77">
        <v>34.136200000000002</v>
      </c>
      <c r="JN77">
        <v>17.9209</v>
      </c>
      <c r="JO77">
        <v>35.205800000000004</v>
      </c>
      <c r="JP77">
        <v>25.636700000000001</v>
      </c>
      <c r="JQ77">
        <v>750</v>
      </c>
      <c r="JR77">
        <v>24.343900000000001</v>
      </c>
      <c r="JS77">
        <v>98.569100000000006</v>
      </c>
      <c r="JT77">
        <v>99.417900000000003</v>
      </c>
    </row>
    <row r="78" spans="1:280" x14ac:dyDescent="0.25">
      <c r="A78">
        <v>76</v>
      </c>
      <c r="B78">
        <v>1700166035</v>
      </c>
      <c r="C78">
        <v>18179</v>
      </c>
      <c r="D78" t="s">
        <v>689</v>
      </c>
      <c r="E78" t="s">
        <v>690</v>
      </c>
      <c r="F78" t="s">
        <v>412</v>
      </c>
      <c r="G78" t="s">
        <v>547</v>
      </c>
      <c r="H78" t="s">
        <v>669</v>
      </c>
      <c r="I78">
        <v>1700166035</v>
      </c>
      <c r="J78">
        <f t="shared" si="92"/>
        <v>2.6752895938081281E-3</v>
      </c>
      <c r="K78">
        <f t="shared" si="93"/>
        <v>2.6752895938081283</v>
      </c>
      <c r="L78">
        <f t="shared" si="94"/>
        <v>42.506549451605984</v>
      </c>
      <c r="M78">
        <f t="shared" si="95"/>
        <v>561.46699999999998</v>
      </c>
      <c r="N78">
        <f t="shared" si="96"/>
        <v>125.30941706963874</v>
      </c>
      <c r="O78">
        <f t="shared" si="97"/>
        <v>12.420026582633026</v>
      </c>
      <c r="P78">
        <f t="shared" si="98"/>
        <v>55.649728714289999</v>
      </c>
      <c r="Q78">
        <f t="shared" si="99"/>
        <v>0.1630420725881416</v>
      </c>
      <c r="R78">
        <f t="shared" si="100"/>
        <v>3.2964556071655657</v>
      </c>
      <c r="S78">
        <f t="shared" si="101"/>
        <v>0.1586909924408057</v>
      </c>
      <c r="T78">
        <f t="shared" si="102"/>
        <v>9.9563125925221069E-2</v>
      </c>
      <c r="U78">
        <f t="shared" si="103"/>
        <v>289.58301041926927</v>
      </c>
      <c r="V78">
        <f t="shared" si="104"/>
        <v>29.98499192008218</v>
      </c>
      <c r="W78">
        <f t="shared" si="105"/>
        <v>29.973700000000001</v>
      </c>
      <c r="X78">
        <f t="shared" si="106"/>
        <v>4.2540179571487498</v>
      </c>
      <c r="Y78">
        <f t="shared" si="107"/>
        <v>65.370011288379175</v>
      </c>
      <c r="Z78">
        <f t="shared" si="108"/>
        <v>2.6412130557600002</v>
      </c>
      <c r="AA78">
        <f t="shared" si="109"/>
        <v>4.0404047723172551</v>
      </c>
      <c r="AB78">
        <f t="shared" si="110"/>
        <v>1.6128049013887495</v>
      </c>
      <c r="AC78">
        <f t="shared" si="111"/>
        <v>-117.98027108693844</v>
      </c>
      <c r="AD78">
        <f t="shared" si="112"/>
        <v>-158.84480843305965</v>
      </c>
      <c r="AE78">
        <f t="shared" si="113"/>
        <v>-10.664230170782846</v>
      </c>
      <c r="AF78">
        <f t="shared" si="114"/>
        <v>2.0937007284883293</v>
      </c>
      <c r="AG78">
        <v>12</v>
      </c>
      <c r="AH78">
        <v>2</v>
      </c>
      <c r="AI78">
        <f t="shared" si="115"/>
        <v>1</v>
      </c>
      <c r="AJ78">
        <f t="shared" si="116"/>
        <v>0</v>
      </c>
      <c r="AK78">
        <f t="shared" si="117"/>
        <v>52017.628144691473</v>
      </c>
      <c r="AL78" t="s">
        <v>415</v>
      </c>
      <c r="AM78">
        <v>10238.9</v>
      </c>
      <c r="AN78">
        <v>302.21199999999999</v>
      </c>
      <c r="AO78">
        <v>4052.3</v>
      </c>
      <c r="AP78">
        <f t="shared" si="118"/>
        <v>0.92542210596451402</v>
      </c>
      <c r="AQ78">
        <v>-0.32343011824092421</v>
      </c>
      <c r="AR78" t="s">
        <v>691</v>
      </c>
      <c r="AS78">
        <v>7130.45</v>
      </c>
      <c r="AT78">
        <v>544.38553846153854</v>
      </c>
      <c r="AU78">
        <v>771.57669252307448</v>
      </c>
      <c r="AV78">
        <f t="shared" si="119"/>
        <v>0.29445051446359194</v>
      </c>
      <c r="AW78">
        <v>0.5</v>
      </c>
      <c r="AX78">
        <f t="shared" si="120"/>
        <v>1513.2690002172378</v>
      </c>
      <c r="AY78">
        <f t="shared" si="121"/>
        <v>42.506549451605984</v>
      </c>
      <c r="AZ78">
        <f t="shared" si="122"/>
        <v>222.79141781788556</v>
      </c>
      <c r="BA78">
        <f t="shared" si="123"/>
        <v>2.8302951797531326E-2</v>
      </c>
      <c r="BB78">
        <f t="shared" si="124"/>
        <v>4.2519730562996676</v>
      </c>
      <c r="BC78">
        <f t="shared" si="125"/>
        <v>229.45202844386193</v>
      </c>
      <c r="BD78" t="s">
        <v>692</v>
      </c>
      <c r="BE78">
        <v>379</v>
      </c>
      <c r="BF78">
        <f t="shared" si="126"/>
        <v>379</v>
      </c>
      <c r="BG78">
        <f t="shared" si="127"/>
        <v>0.50879801881954112</v>
      </c>
      <c r="BH78">
        <f t="shared" si="128"/>
        <v>0.5787178872015748</v>
      </c>
      <c r="BI78">
        <f t="shared" si="129"/>
        <v>0.89312697233466509</v>
      </c>
      <c r="BJ78">
        <f t="shared" si="130"/>
        <v>0.48403971939232937</v>
      </c>
      <c r="BK78">
        <f t="shared" si="131"/>
        <v>0.87483901910486517</v>
      </c>
      <c r="BL78">
        <f t="shared" si="132"/>
        <v>0.40290210476429295</v>
      </c>
      <c r="BM78">
        <f t="shared" si="133"/>
        <v>0.59709789523570711</v>
      </c>
      <c r="BN78">
        <v>34511</v>
      </c>
      <c r="BO78">
        <v>290.00000000000011</v>
      </c>
      <c r="BP78">
        <v>705.33</v>
      </c>
      <c r="BQ78">
        <v>285</v>
      </c>
      <c r="BR78">
        <v>7130.45</v>
      </c>
      <c r="BS78">
        <v>707.12</v>
      </c>
      <c r="BT78">
        <v>-1.79</v>
      </c>
      <c r="BU78">
        <v>300.00000000000011</v>
      </c>
      <c r="BV78">
        <v>38.200000000000003</v>
      </c>
      <c r="BW78">
        <v>771.57669252307448</v>
      </c>
      <c r="BX78">
        <v>1.026833748172983</v>
      </c>
      <c r="BY78">
        <v>-45.96328386428204</v>
      </c>
      <c r="BZ78">
        <v>0.61380977680050819</v>
      </c>
      <c r="CA78">
        <v>0.9950313284348653</v>
      </c>
      <c r="CB78">
        <v>-7.0296211345940024E-3</v>
      </c>
      <c r="CC78">
        <v>289.99999999999989</v>
      </c>
      <c r="CD78">
        <v>716.08</v>
      </c>
      <c r="CE78">
        <v>895</v>
      </c>
      <c r="CF78">
        <v>7123.56</v>
      </c>
      <c r="CG78">
        <v>707.05</v>
      </c>
      <c r="CH78">
        <v>9.0299999999999994</v>
      </c>
      <c r="CV78">
        <f t="shared" si="134"/>
        <v>1800.1</v>
      </c>
      <c r="CW78">
        <f t="shared" si="135"/>
        <v>1513.2690002172378</v>
      </c>
      <c r="CX78">
        <f t="shared" si="136"/>
        <v>0.84065829688197202</v>
      </c>
      <c r="CY78">
        <f t="shared" si="137"/>
        <v>0.16087051298220614</v>
      </c>
      <c r="CZ78">
        <v>4.38</v>
      </c>
      <c r="DA78">
        <v>0.5</v>
      </c>
      <c r="DB78" t="s">
        <v>418</v>
      </c>
      <c r="DC78">
        <v>2</v>
      </c>
      <c r="DD78">
        <v>1700166035</v>
      </c>
      <c r="DE78">
        <v>561.46699999999998</v>
      </c>
      <c r="DF78">
        <v>600.005</v>
      </c>
      <c r="DG78">
        <v>26.648</v>
      </c>
      <c r="DH78">
        <v>24.367699999999999</v>
      </c>
      <c r="DI78">
        <v>561.85799999999995</v>
      </c>
      <c r="DJ78">
        <v>26.3079</v>
      </c>
      <c r="DK78">
        <v>500.17599999999999</v>
      </c>
      <c r="DL78">
        <v>99.014700000000005</v>
      </c>
      <c r="DM78">
        <v>0.10017</v>
      </c>
      <c r="DN78">
        <v>29.079899999999999</v>
      </c>
      <c r="DO78">
        <v>29.973700000000001</v>
      </c>
      <c r="DP78">
        <v>999.9</v>
      </c>
      <c r="DQ78">
        <v>0</v>
      </c>
      <c r="DR78">
        <v>0</v>
      </c>
      <c r="DS78">
        <v>10004.4</v>
      </c>
      <c r="DT78">
        <v>0</v>
      </c>
      <c r="DU78">
        <v>256.255</v>
      </c>
      <c r="DV78">
        <v>-38.538699999999999</v>
      </c>
      <c r="DW78">
        <v>576.83799999999997</v>
      </c>
      <c r="DX78">
        <v>614.99099999999999</v>
      </c>
      <c r="DY78">
        <v>2.2803200000000001</v>
      </c>
      <c r="DZ78">
        <v>600.005</v>
      </c>
      <c r="EA78">
        <v>24.367699999999999</v>
      </c>
      <c r="EB78">
        <v>2.6385399999999999</v>
      </c>
      <c r="EC78">
        <v>2.41276</v>
      </c>
      <c r="ED78">
        <v>21.907299999999999</v>
      </c>
      <c r="EE78">
        <v>20.4497</v>
      </c>
      <c r="EF78">
        <v>1800.1</v>
      </c>
      <c r="EG78">
        <v>0.97799700000000001</v>
      </c>
      <c r="EH78">
        <v>2.2002600000000001E-2</v>
      </c>
      <c r="EI78">
        <v>0</v>
      </c>
      <c r="EJ78">
        <v>544.09199999999998</v>
      </c>
      <c r="EK78">
        <v>4.9996700000000001</v>
      </c>
      <c r="EL78">
        <v>10342.799999999999</v>
      </c>
      <c r="EM78">
        <v>15047.6</v>
      </c>
      <c r="EN78">
        <v>49.75</v>
      </c>
      <c r="EO78">
        <v>50.561999999999998</v>
      </c>
      <c r="EP78">
        <v>50.436999999999998</v>
      </c>
      <c r="EQ78">
        <v>50.311999999999998</v>
      </c>
      <c r="ER78">
        <v>51.061999999999998</v>
      </c>
      <c r="ES78">
        <v>1755.6</v>
      </c>
      <c r="ET78">
        <v>39.5</v>
      </c>
      <c r="EU78">
        <v>0</v>
      </c>
      <c r="EV78">
        <v>231.60000014305109</v>
      </c>
      <c r="EW78">
        <v>0</v>
      </c>
      <c r="EX78">
        <v>544.38553846153854</v>
      </c>
      <c r="EY78">
        <v>-0.46570940204129352</v>
      </c>
      <c r="EZ78">
        <v>167.92820522007801</v>
      </c>
      <c r="FA78">
        <v>10313.073076923079</v>
      </c>
      <c r="FB78">
        <v>15</v>
      </c>
      <c r="FC78">
        <v>1700166008</v>
      </c>
      <c r="FD78" t="s">
        <v>693</v>
      </c>
      <c r="FE78">
        <v>1700166008</v>
      </c>
      <c r="FF78">
        <v>1700165996</v>
      </c>
      <c r="FG78">
        <v>84</v>
      </c>
      <c r="FH78">
        <v>-0.107</v>
      </c>
      <c r="FI78">
        <v>-7.0000000000000001E-3</v>
      </c>
      <c r="FJ78">
        <v>-0.41199999999999998</v>
      </c>
      <c r="FK78">
        <v>0.34</v>
      </c>
      <c r="FL78">
        <v>600</v>
      </c>
      <c r="FM78">
        <v>24</v>
      </c>
      <c r="FN78">
        <v>0.05</v>
      </c>
      <c r="FO78">
        <v>0.03</v>
      </c>
      <c r="FP78">
        <v>42.457906070721471</v>
      </c>
      <c r="FQ78">
        <v>5.7565889575272297E-2</v>
      </c>
      <c r="FR78">
        <v>7.4248776689524454E-2</v>
      </c>
      <c r="FS78">
        <v>1</v>
      </c>
      <c r="FT78">
        <v>0.1582869727641944</v>
      </c>
      <c r="FU78">
        <v>4.2316931824370928E-2</v>
      </c>
      <c r="FV78">
        <v>3.799308046631561E-3</v>
      </c>
      <c r="FW78">
        <v>1</v>
      </c>
      <c r="FX78">
        <v>2</v>
      </c>
      <c r="FY78">
        <v>2</v>
      </c>
      <c r="FZ78" t="s">
        <v>420</v>
      </c>
      <c r="GA78">
        <v>3.01248</v>
      </c>
      <c r="GB78">
        <v>2.7772899999999998</v>
      </c>
      <c r="GC78">
        <v>0.113051</v>
      </c>
      <c r="GD78">
        <v>0.119113</v>
      </c>
      <c r="GE78">
        <v>0.122414</v>
      </c>
      <c r="GF78">
        <v>0.116269</v>
      </c>
      <c r="GG78">
        <v>21284.1</v>
      </c>
      <c r="GH78">
        <v>21828.5</v>
      </c>
      <c r="GI78">
        <v>23766.5</v>
      </c>
      <c r="GJ78">
        <v>24440.7</v>
      </c>
      <c r="GK78">
        <v>30849.5</v>
      </c>
      <c r="GL78">
        <v>30974.3</v>
      </c>
      <c r="GM78">
        <v>38924.699999999997</v>
      </c>
      <c r="GN78">
        <v>38925.599999999999</v>
      </c>
      <c r="GO78">
        <v>1.98638</v>
      </c>
      <c r="GP78">
        <v>1.8005800000000001</v>
      </c>
      <c r="GQ78">
        <v>9.3169500000000002E-2</v>
      </c>
      <c r="GR78">
        <v>0</v>
      </c>
      <c r="GS78">
        <v>28.455500000000001</v>
      </c>
      <c r="GT78">
        <v>999.9</v>
      </c>
      <c r="GU78">
        <v>40.1</v>
      </c>
      <c r="GV78">
        <v>39.299999999999997</v>
      </c>
      <c r="GW78">
        <v>28.9194</v>
      </c>
      <c r="GX78">
        <v>61.031700000000001</v>
      </c>
      <c r="GY78">
        <v>30.256399999999999</v>
      </c>
      <c r="GZ78">
        <v>1</v>
      </c>
      <c r="HA78">
        <v>0.63409800000000005</v>
      </c>
      <c r="HB78">
        <v>3.00108</v>
      </c>
      <c r="HC78">
        <v>20.305</v>
      </c>
      <c r="HD78">
        <v>5.2460399999999998</v>
      </c>
      <c r="HE78">
        <v>11.999599999999999</v>
      </c>
      <c r="HF78">
        <v>4.9635999999999996</v>
      </c>
      <c r="HG78">
        <v>3.3010000000000002</v>
      </c>
      <c r="HH78">
        <v>9999</v>
      </c>
      <c r="HI78">
        <v>9999</v>
      </c>
      <c r="HJ78">
        <v>9999</v>
      </c>
      <c r="HK78">
        <v>999.9</v>
      </c>
      <c r="HL78">
        <v>1.8749499999999999</v>
      </c>
      <c r="HM78">
        <v>1.88025</v>
      </c>
      <c r="HN78">
        <v>1.8803399999999999</v>
      </c>
      <c r="HO78">
        <v>1.87904</v>
      </c>
      <c r="HP78">
        <v>1.88141</v>
      </c>
      <c r="HQ78">
        <v>1.87731</v>
      </c>
      <c r="HR78">
        <v>1.87504</v>
      </c>
      <c r="HS78">
        <v>1.88229</v>
      </c>
      <c r="HT78">
        <v>5</v>
      </c>
      <c r="HU78">
        <v>0</v>
      </c>
      <c r="HV78">
        <v>0</v>
      </c>
      <c r="HW78">
        <v>0</v>
      </c>
      <c r="HX78" t="s">
        <v>421</v>
      </c>
      <c r="HY78" t="s">
        <v>422</v>
      </c>
      <c r="HZ78" t="s">
        <v>423</v>
      </c>
      <c r="IA78" t="s">
        <v>423</v>
      </c>
      <c r="IB78" t="s">
        <v>423</v>
      </c>
      <c r="IC78" t="s">
        <v>423</v>
      </c>
      <c r="ID78">
        <v>0</v>
      </c>
      <c r="IE78">
        <v>100</v>
      </c>
      <c r="IF78">
        <v>100</v>
      </c>
      <c r="IG78">
        <v>-0.39100000000000001</v>
      </c>
      <c r="IH78">
        <v>0.34010000000000001</v>
      </c>
      <c r="II78">
        <v>-0.41599482266263482</v>
      </c>
      <c r="IJ78">
        <v>7.0786345690369205E-4</v>
      </c>
      <c r="IK78">
        <v>-1.387476646623666E-6</v>
      </c>
      <c r="IL78">
        <v>3.6592443641472651E-10</v>
      </c>
      <c r="IM78">
        <v>0.34007499999999879</v>
      </c>
      <c r="IN78">
        <v>0</v>
      </c>
      <c r="IO78">
        <v>0</v>
      </c>
      <c r="IP78">
        <v>0</v>
      </c>
      <c r="IQ78">
        <v>2</v>
      </c>
      <c r="IR78">
        <v>2142</v>
      </c>
      <c r="IS78">
        <v>1</v>
      </c>
      <c r="IT78">
        <v>24</v>
      </c>
      <c r="IU78">
        <v>0.5</v>
      </c>
      <c r="IV78">
        <v>0.7</v>
      </c>
      <c r="IW78">
        <v>1.42334</v>
      </c>
      <c r="IX78">
        <v>2.6415999999999999</v>
      </c>
      <c r="IY78">
        <v>1.5490699999999999</v>
      </c>
      <c r="IZ78">
        <v>2.36206</v>
      </c>
      <c r="JA78">
        <v>1.5966800000000001</v>
      </c>
      <c r="JB78">
        <v>2.323</v>
      </c>
      <c r="JC78">
        <v>41.664999999999999</v>
      </c>
      <c r="JD78">
        <v>24.1313</v>
      </c>
      <c r="JE78">
        <v>18</v>
      </c>
      <c r="JF78">
        <v>508.983</v>
      </c>
      <c r="JG78">
        <v>455.33499999999998</v>
      </c>
      <c r="JH78">
        <v>25.7379</v>
      </c>
      <c r="JI78">
        <v>34.932600000000001</v>
      </c>
      <c r="JJ78">
        <v>29.9999</v>
      </c>
      <c r="JK78">
        <v>34.974699999999999</v>
      </c>
      <c r="JL78">
        <v>34.969799999999999</v>
      </c>
      <c r="JM78">
        <v>28.462499999999999</v>
      </c>
      <c r="JN78">
        <v>17.717099999999999</v>
      </c>
      <c r="JO78">
        <v>35.525300000000001</v>
      </c>
      <c r="JP78">
        <v>25.757100000000001</v>
      </c>
      <c r="JQ78">
        <v>600</v>
      </c>
      <c r="JR78">
        <v>24.278500000000001</v>
      </c>
      <c r="JS78">
        <v>98.577699999999993</v>
      </c>
      <c r="JT78">
        <v>99.427099999999996</v>
      </c>
    </row>
    <row r="79" spans="1:280" x14ac:dyDescent="0.25">
      <c r="A79">
        <v>77</v>
      </c>
      <c r="B79">
        <v>1700166314</v>
      </c>
      <c r="C79">
        <v>18458</v>
      </c>
      <c r="D79" t="s">
        <v>694</v>
      </c>
      <c r="E79" t="s">
        <v>695</v>
      </c>
      <c r="F79" t="s">
        <v>412</v>
      </c>
      <c r="G79" t="s">
        <v>547</v>
      </c>
      <c r="H79" t="s">
        <v>669</v>
      </c>
      <c r="I79">
        <v>1700166314</v>
      </c>
      <c r="J79">
        <f t="shared" si="92"/>
        <v>3.7042858090985181E-3</v>
      </c>
      <c r="K79">
        <f t="shared" si="93"/>
        <v>3.704285809098518</v>
      </c>
      <c r="L79">
        <f t="shared" si="94"/>
        <v>45.053657958140995</v>
      </c>
      <c r="M79">
        <f t="shared" si="95"/>
        <v>459.03500000000003</v>
      </c>
      <c r="N79">
        <f t="shared" si="96"/>
        <v>131.16390881347618</v>
      </c>
      <c r="O79">
        <f t="shared" si="97"/>
        <v>12.999561220308824</v>
      </c>
      <c r="P79">
        <f t="shared" si="98"/>
        <v>45.494630639975007</v>
      </c>
      <c r="Q79">
        <f t="shared" si="99"/>
        <v>0.23274387447863676</v>
      </c>
      <c r="R79">
        <f t="shared" si="100"/>
        <v>3.2940666149596809</v>
      </c>
      <c r="S79">
        <f t="shared" si="101"/>
        <v>0.22397879233280263</v>
      </c>
      <c r="T79">
        <f t="shared" si="102"/>
        <v>0.14074675053653929</v>
      </c>
      <c r="U79">
        <f t="shared" si="103"/>
        <v>289.56864641929019</v>
      </c>
      <c r="V79">
        <f t="shared" si="104"/>
        <v>30.013714457568067</v>
      </c>
      <c r="W79">
        <f t="shared" si="105"/>
        <v>29.968699999999998</v>
      </c>
      <c r="X79">
        <f t="shared" si="106"/>
        <v>4.252796136374986</v>
      </c>
      <c r="Y79">
        <f t="shared" si="107"/>
        <v>65.090500375196626</v>
      </c>
      <c r="Z79">
        <f t="shared" si="108"/>
        <v>2.6709258542505006</v>
      </c>
      <c r="AA79">
        <f t="shared" si="109"/>
        <v>4.1034034749382311</v>
      </c>
      <c r="AB79">
        <f t="shared" si="110"/>
        <v>1.5818702821244854</v>
      </c>
      <c r="AC79">
        <f t="shared" si="111"/>
        <v>-163.35900418124464</v>
      </c>
      <c r="AD79">
        <f t="shared" si="112"/>
        <v>-110.28321571368339</v>
      </c>
      <c r="AE79">
        <f t="shared" si="113"/>
        <v>-7.419011478943859</v>
      </c>
      <c r="AF79">
        <f t="shared" si="114"/>
        <v>8.5074150454183126</v>
      </c>
      <c r="AG79">
        <v>11</v>
      </c>
      <c r="AH79">
        <v>2</v>
      </c>
      <c r="AI79">
        <f t="shared" si="115"/>
        <v>1</v>
      </c>
      <c r="AJ79">
        <f t="shared" si="116"/>
        <v>0</v>
      </c>
      <c r="AK79">
        <f t="shared" si="117"/>
        <v>51915.603915542437</v>
      </c>
      <c r="AL79" t="s">
        <v>415</v>
      </c>
      <c r="AM79">
        <v>10238.9</v>
      </c>
      <c r="AN79">
        <v>302.21199999999999</v>
      </c>
      <c r="AO79">
        <v>4052.3</v>
      </c>
      <c r="AP79">
        <f t="shared" si="118"/>
        <v>0.92542210596451402</v>
      </c>
      <c r="AQ79">
        <v>-0.32343011824092421</v>
      </c>
      <c r="AR79" t="s">
        <v>696</v>
      </c>
      <c r="AS79">
        <v>7132.1</v>
      </c>
      <c r="AT79">
        <v>542.06665384615394</v>
      </c>
      <c r="AU79">
        <v>775.39033801885171</v>
      </c>
      <c r="AV79">
        <f t="shared" si="119"/>
        <v>0.30091126073204322</v>
      </c>
      <c r="AW79">
        <v>0.5</v>
      </c>
      <c r="AX79">
        <f t="shared" si="120"/>
        <v>1513.1934002172488</v>
      </c>
      <c r="AY79">
        <f t="shared" si="121"/>
        <v>45.053657958140995</v>
      </c>
      <c r="AZ79">
        <f t="shared" si="122"/>
        <v>227.6684668953898</v>
      </c>
      <c r="BA79">
        <f t="shared" si="123"/>
        <v>2.9987632823317321E-2</v>
      </c>
      <c r="BB79">
        <f t="shared" si="124"/>
        <v>4.2261419846341681</v>
      </c>
      <c r="BC79">
        <f t="shared" si="125"/>
        <v>229.78812209764709</v>
      </c>
      <c r="BD79" t="s">
        <v>697</v>
      </c>
      <c r="BE79">
        <v>382.67</v>
      </c>
      <c r="BF79">
        <f t="shared" si="126"/>
        <v>382.67</v>
      </c>
      <c r="BG79">
        <f t="shared" si="127"/>
        <v>0.50648082489945034</v>
      </c>
      <c r="BH79">
        <f t="shared" si="128"/>
        <v>0.59412172374301009</v>
      </c>
      <c r="BI79">
        <f t="shared" si="129"/>
        <v>0.89298094412274487</v>
      </c>
      <c r="BJ79">
        <f t="shared" si="130"/>
        <v>0.49309882855077364</v>
      </c>
      <c r="BK79">
        <f t="shared" si="131"/>
        <v>0.87382207083704388</v>
      </c>
      <c r="BL79">
        <f t="shared" si="132"/>
        <v>0.41941808892244364</v>
      </c>
      <c r="BM79">
        <f t="shared" si="133"/>
        <v>0.5805819110775563</v>
      </c>
      <c r="BN79">
        <v>34513</v>
      </c>
      <c r="BO79">
        <v>290.00000000000011</v>
      </c>
      <c r="BP79">
        <v>707.96</v>
      </c>
      <c r="BQ79">
        <v>265</v>
      </c>
      <c r="BR79">
        <v>7132.1</v>
      </c>
      <c r="BS79">
        <v>710.21</v>
      </c>
      <c r="BT79">
        <v>-2.25</v>
      </c>
      <c r="BU79">
        <v>300.00000000000011</v>
      </c>
      <c r="BV79">
        <v>38.200000000000003</v>
      </c>
      <c r="BW79">
        <v>775.39033801885171</v>
      </c>
      <c r="BX79">
        <v>1.1778727997152001</v>
      </c>
      <c r="BY79">
        <v>-46.48646811311891</v>
      </c>
      <c r="BZ79">
        <v>0.70419852263437088</v>
      </c>
      <c r="CA79">
        <v>0.99361569551772444</v>
      </c>
      <c r="CB79">
        <v>-7.030618464961079E-3</v>
      </c>
      <c r="CC79">
        <v>289.99999999999989</v>
      </c>
      <c r="CD79">
        <v>717.73</v>
      </c>
      <c r="CE79">
        <v>785</v>
      </c>
      <c r="CF79">
        <v>7125.96</v>
      </c>
      <c r="CG79">
        <v>710.15</v>
      </c>
      <c r="CH79">
        <v>7.58</v>
      </c>
      <c r="CV79">
        <f t="shared" si="134"/>
        <v>1800.01</v>
      </c>
      <c r="CW79">
        <f t="shared" si="135"/>
        <v>1513.1934002172488</v>
      </c>
      <c r="CX79">
        <f t="shared" si="136"/>
        <v>0.84065832979663935</v>
      </c>
      <c r="CY79">
        <f t="shared" si="137"/>
        <v>0.16087057650751396</v>
      </c>
      <c r="CZ79">
        <v>4.38</v>
      </c>
      <c r="DA79">
        <v>0.5</v>
      </c>
      <c r="DB79" t="s">
        <v>418</v>
      </c>
      <c r="DC79">
        <v>2</v>
      </c>
      <c r="DD79">
        <v>1700166314</v>
      </c>
      <c r="DE79">
        <v>459.03500000000003</v>
      </c>
      <c r="DF79">
        <v>499.98500000000001</v>
      </c>
      <c r="DG79">
        <v>26.949300000000001</v>
      </c>
      <c r="DH79">
        <v>23.792300000000001</v>
      </c>
      <c r="DI79">
        <v>459.351</v>
      </c>
      <c r="DJ79">
        <v>26.6082</v>
      </c>
      <c r="DK79">
        <v>500.08</v>
      </c>
      <c r="DL79">
        <v>99.009200000000007</v>
      </c>
      <c r="DM79">
        <v>0.10008499999999999</v>
      </c>
      <c r="DN79">
        <v>29.3477</v>
      </c>
      <c r="DO79">
        <v>29.968699999999998</v>
      </c>
      <c r="DP79">
        <v>999.9</v>
      </c>
      <c r="DQ79">
        <v>0</v>
      </c>
      <c r="DR79">
        <v>0</v>
      </c>
      <c r="DS79">
        <v>9993.75</v>
      </c>
      <c r="DT79">
        <v>0</v>
      </c>
      <c r="DU79">
        <v>298.245</v>
      </c>
      <c r="DV79">
        <v>-40.950099999999999</v>
      </c>
      <c r="DW79">
        <v>471.74799999999999</v>
      </c>
      <c r="DX79">
        <v>512.17100000000005</v>
      </c>
      <c r="DY79">
        <v>3.15699</v>
      </c>
      <c r="DZ79">
        <v>499.98500000000001</v>
      </c>
      <c r="EA79">
        <v>23.792300000000001</v>
      </c>
      <c r="EB79">
        <v>2.6682299999999999</v>
      </c>
      <c r="EC79">
        <v>2.3556599999999999</v>
      </c>
      <c r="ED79">
        <v>22.090699999999998</v>
      </c>
      <c r="EE79">
        <v>20.062100000000001</v>
      </c>
      <c r="EF79">
        <v>1800.01</v>
      </c>
      <c r="EG79">
        <v>0.97799400000000003</v>
      </c>
      <c r="EH79">
        <v>2.2006100000000001E-2</v>
      </c>
      <c r="EI79">
        <v>0</v>
      </c>
      <c r="EJ79">
        <v>541.62699999999995</v>
      </c>
      <c r="EK79">
        <v>4.9996700000000001</v>
      </c>
      <c r="EL79">
        <v>10471.200000000001</v>
      </c>
      <c r="EM79">
        <v>15046.8</v>
      </c>
      <c r="EN79">
        <v>49.375</v>
      </c>
      <c r="EO79">
        <v>50.311999999999998</v>
      </c>
      <c r="EP79">
        <v>50.125</v>
      </c>
      <c r="EQ79">
        <v>50.061999999999998</v>
      </c>
      <c r="ER79">
        <v>50.75</v>
      </c>
      <c r="ES79">
        <v>1755.51</v>
      </c>
      <c r="ET79">
        <v>39.5</v>
      </c>
      <c r="EU79">
        <v>0</v>
      </c>
      <c r="EV79">
        <v>276.79999995231628</v>
      </c>
      <c r="EW79">
        <v>0</v>
      </c>
      <c r="EX79">
        <v>542.06665384615394</v>
      </c>
      <c r="EY79">
        <v>-2.7914871755084611</v>
      </c>
      <c r="EZ79">
        <v>128.51965829651471</v>
      </c>
      <c r="FA79">
        <v>10442.153846153849</v>
      </c>
      <c r="FB79">
        <v>15</v>
      </c>
      <c r="FC79">
        <v>1700166108</v>
      </c>
      <c r="FD79" t="s">
        <v>698</v>
      </c>
      <c r="FE79">
        <v>1700166106</v>
      </c>
      <c r="FF79">
        <v>1700166108</v>
      </c>
      <c r="FG79">
        <v>85</v>
      </c>
      <c r="FH79">
        <v>3.2000000000000001E-2</v>
      </c>
      <c r="FI79">
        <v>1E-3</v>
      </c>
      <c r="FJ79">
        <v>-0.33100000000000002</v>
      </c>
      <c r="FK79">
        <v>0.34100000000000003</v>
      </c>
      <c r="FL79">
        <v>500</v>
      </c>
      <c r="FM79">
        <v>24</v>
      </c>
      <c r="FN79">
        <v>0.04</v>
      </c>
      <c r="FO79">
        <v>0.04</v>
      </c>
      <c r="FP79">
        <v>44.880559337307133</v>
      </c>
      <c r="FQ79">
        <v>0.59970002752334295</v>
      </c>
      <c r="FR79">
        <v>5.7887496075886363E-2</v>
      </c>
      <c r="FS79">
        <v>1</v>
      </c>
      <c r="FT79">
        <v>0.23004558590331919</v>
      </c>
      <c r="FU79">
        <v>9.2331291746805305E-4</v>
      </c>
      <c r="FV79">
        <v>1.444187289520667E-3</v>
      </c>
      <c r="FW79">
        <v>1</v>
      </c>
      <c r="FX79">
        <v>2</v>
      </c>
      <c r="FY79">
        <v>2</v>
      </c>
      <c r="FZ79" t="s">
        <v>420</v>
      </c>
      <c r="GA79">
        <v>3.0121799999999999</v>
      </c>
      <c r="GB79">
        <v>2.77712</v>
      </c>
      <c r="GC79">
        <v>9.7609100000000004E-2</v>
      </c>
      <c r="GD79">
        <v>0.10452500000000001</v>
      </c>
      <c r="GE79">
        <v>0.12339600000000001</v>
      </c>
      <c r="GF79">
        <v>0.114383</v>
      </c>
      <c r="GG79">
        <v>21658.9</v>
      </c>
      <c r="GH79">
        <v>22193.9</v>
      </c>
      <c r="GI79">
        <v>23771</v>
      </c>
      <c r="GJ79">
        <v>24444.6</v>
      </c>
      <c r="GK79">
        <v>30820.1</v>
      </c>
      <c r="GL79">
        <v>31045</v>
      </c>
      <c r="GM79">
        <v>38931.5</v>
      </c>
      <c r="GN79">
        <v>38931.4</v>
      </c>
      <c r="GO79">
        <v>1.9882500000000001</v>
      </c>
      <c r="GP79">
        <v>1.8021499999999999</v>
      </c>
      <c r="GQ79">
        <v>8.31485E-2</v>
      </c>
      <c r="GR79">
        <v>0</v>
      </c>
      <c r="GS79">
        <v>28.614000000000001</v>
      </c>
      <c r="GT79">
        <v>999.9</v>
      </c>
      <c r="GU79">
        <v>40.4</v>
      </c>
      <c r="GV79">
        <v>39.1</v>
      </c>
      <c r="GW79">
        <v>28.8278</v>
      </c>
      <c r="GX79">
        <v>61.301699999999997</v>
      </c>
      <c r="GY79">
        <v>31.025600000000001</v>
      </c>
      <c r="GZ79">
        <v>1</v>
      </c>
      <c r="HA79">
        <v>0.62742399999999998</v>
      </c>
      <c r="HB79">
        <v>2.7708200000000001</v>
      </c>
      <c r="HC79">
        <v>20.3095</v>
      </c>
      <c r="HD79">
        <v>5.2441000000000004</v>
      </c>
      <c r="HE79">
        <v>12.0022</v>
      </c>
      <c r="HF79">
        <v>4.9638</v>
      </c>
      <c r="HG79">
        <v>3.3010000000000002</v>
      </c>
      <c r="HH79">
        <v>9999</v>
      </c>
      <c r="HI79">
        <v>9999</v>
      </c>
      <c r="HJ79">
        <v>9999</v>
      </c>
      <c r="HK79">
        <v>999.9</v>
      </c>
      <c r="HL79">
        <v>1.8749</v>
      </c>
      <c r="HM79">
        <v>1.88022</v>
      </c>
      <c r="HN79">
        <v>1.8803399999999999</v>
      </c>
      <c r="HO79">
        <v>1.87903</v>
      </c>
      <c r="HP79">
        <v>1.88141</v>
      </c>
      <c r="HQ79">
        <v>1.8772899999999999</v>
      </c>
      <c r="HR79">
        <v>1.8750100000000001</v>
      </c>
      <c r="HS79">
        <v>1.88225</v>
      </c>
      <c r="HT79">
        <v>5</v>
      </c>
      <c r="HU79">
        <v>0</v>
      </c>
      <c r="HV79">
        <v>0</v>
      </c>
      <c r="HW79">
        <v>0</v>
      </c>
      <c r="HX79" t="s">
        <v>421</v>
      </c>
      <c r="HY79" t="s">
        <v>422</v>
      </c>
      <c r="HZ79" t="s">
        <v>423</v>
      </c>
      <c r="IA79" t="s">
        <v>423</v>
      </c>
      <c r="IB79" t="s">
        <v>423</v>
      </c>
      <c r="IC79" t="s">
        <v>423</v>
      </c>
      <c r="ID79">
        <v>0</v>
      </c>
      <c r="IE79">
        <v>100</v>
      </c>
      <c r="IF79">
        <v>100</v>
      </c>
      <c r="IG79">
        <v>-0.316</v>
      </c>
      <c r="IH79">
        <v>0.34110000000000001</v>
      </c>
      <c r="II79">
        <v>-0.38354516515124498</v>
      </c>
      <c r="IJ79">
        <v>7.0786345690369205E-4</v>
      </c>
      <c r="IK79">
        <v>-1.387476646623666E-6</v>
      </c>
      <c r="IL79">
        <v>3.6592443641472651E-10</v>
      </c>
      <c r="IM79">
        <v>0.34111999999999298</v>
      </c>
      <c r="IN79">
        <v>0</v>
      </c>
      <c r="IO79">
        <v>0</v>
      </c>
      <c r="IP79">
        <v>0</v>
      </c>
      <c r="IQ79">
        <v>2</v>
      </c>
      <c r="IR79">
        <v>2142</v>
      </c>
      <c r="IS79">
        <v>1</v>
      </c>
      <c r="IT79">
        <v>24</v>
      </c>
      <c r="IU79">
        <v>3.5</v>
      </c>
      <c r="IV79">
        <v>3.4</v>
      </c>
      <c r="IW79">
        <v>1.22681</v>
      </c>
      <c r="IX79">
        <v>2.65015</v>
      </c>
      <c r="IY79">
        <v>1.5490699999999999</v>
      </c>
      <c r="IZ79">
        <v>2.36206</v>
      </c>
      <c r="JA79">
        <v>1.5966800000000001</v>
      </c>
      <c r="JB79">
        <v>2.3547400000000001</v>
      </c>
      <c r="JC79">
        <v>41.508299999999998</v>
      </c>
      <c r="JD79">
        <v>24.1313</v>
      </c>
      <c r="JE79">
        <v>18</v>
      </c>
      <c r="JF79">
        <v>509.529</v>
      </c>
      <c r="JG79">
        <v>455.72800000000001</v>
      </c>
      <c r="JH79">
        <v>26.168800000000001</v>
      </c>
      <c r="JI79">
        <v>34.864400000000003</v>
      </c>
      <c r="JJ79">
        <v>29.9999</v>
      </c>
      <c r="JK79">
        <v>34.888300000000001</v>
      </c>
      <c r="JL79">
        <v>34.8827</v>
      </c>
      <c r="JM79">
        <v>24.540099999999999</v>
      </c>
      <c r="JN79">
        <v>19.471499999999999</v>
      </c>
      <c r="JO79">
        <v>35.967599999999997</v>
      </c>
      <c r="JP79">
        <v>26.180399999999999</v>
      </c>
      <c r="JQ79">
        <v>500</v>
      </c>
      <c r="JR79">
        <v>23.72</v>
      </c>
      <c r="JS79">
        <v>98.595299999999995</v>
      </c>
      <c r="JT79">
        <v>99.442499999999995</v>
      </c>
    </row>
    <row r="80" spans="1:280" x14ac:dyDescent="0.25">
      <c r="A80">
        <v>78</v>
      </c>
      <c r="B80">
        <v>1700166517.5</v>
      </c>
      <c r="C80">
        <v>18661.5</v>
      </c>
      <c r="D80" t="s">
        <v>699</v>
      </c>
      <c r="E80" t="s">
        <v>700</v>
      </c>
      <c r="F80" t="s">
        <v>412</v>
      </c>
      <c r="G80" t="s">
        <v>547</v>
      </c>
      <c r="H80" t="s">
        <v>669</v>
      </c>
      <c r="I80">
        <v>1700166517.5</v>
      </c>
      <c r="J80">
        <f t="shared" si="92"/>
        <v>4.6193008115681901E-3</v>
      </c>
      <c r="K80">
        <f t="shared" si="93"/>
        <v>4.6193008115681904</v>
      </c>
      <c r="L80">
        <f t="shared" si="94"/>
        <v>43.700711779313558</v>
      </c>
      <c r="M80">
        <f t="shared" si="95"/>
        <v>360.25099999999998</v>
      </c>
      <c r="N80">
        <f t="shared" si="96"/>
        <v>106.08626037575408</v>
      </c>
      <c r="O80">
        <f t="shared" si="97"/>
        <v>10.513020760248747</v>
      </c>
      <c r="P80">
        <f t="shared" si="98"/>
        <v>35.7004406459968</v>
      </c>
      <c r="Q80">
        <f t="shared" si="99"/>
        <v>0.29378217321261002</v>
      </c>
      <c r="R80">
        <f t="shared" si="100"/>
        <v>3.2994472671678885</v>
      </c>
      <c r="S80">
        <f t="shared" si="101"/>
        <v>0.27998499954774719</v>
      </c>
      <c r="T80">
        <f t="shared" si="102"/>
        <v>0.17617623864022841</v>
      </c>
      <c r="U80">
        <f t="shared" si="103"/>
        <v>289.5877984192623</v>
      </c>
      <c r="V80">
        <f t="shared" si="104"/>
        <v>29.946241363751426</v>
      </c>
      <c r="W80">
        <f t="shared" si="105"/>
        <v>29.9815</v>
      </c>
      <c r="X80">
        <f t="shared" si="106"/>
        <v>4.2559246084275832</v>
      </c>
      <c r="Y80">
        <f t="shared" si="107"/>
        <v>64.718925280436906</v>
      </c>
      <c r="Z80">
        <f t="shared" si="108"/>
        <v>2.6781548933996802</v>
      </c>
      <c r="AA80">
        <f t="shared" si="109"/>
        <v>4.1381325196529914</v>
      </c>
      <c r="AB80">
        <f t="shared" si="110"/>
        <v>1.5777697150279031</v>
      </c>
      <c r="AC80">
        <f t="shared" si="111"/>
        <v>-203.71116579015717</v>
      </c>
      <c r="AD80">
        <f t="shared" si="112"/>
        <v>-86.751978980646726</v>
      </c>
      <c r="AE80">
        <f t="shared" si="113"/>
        <v>-5.8310799317762276</v>
      </c>
      <c r="AF80">
        <f t="shared" si="114"/>
        <v>-6.7064262833178248</v>
      </c>
      <c r="AG80">
        <v>10</v>
      </c>
      <c r="AH80">
        <v>2</v>
      </c>
      <c r="AI80">
        <f t="shared" si="115"/>
        <v>1</v>
      </c>
      <c r="AJ80">
        <f t="shared" si="116"/>
        <v>0</v>
      </c>
      <c r="AK80">
        <f t="shared" si="117"/>
        <v>52016.025215597976</v>
      </c>
      <c r="AL80" t="s">
        <v>415</v>
      </c>
      <c r="AM80">
        <v>10238.9</v>
      </c>
      <c r="AN80">
        <v>302.21199999999999</v>
      </c>
      <c r="AO80">
        <v>4052.3</v>
      </c>
      <c r="AP80">
        <f t="shared" si="118"/>
        <v>0.92542210596451402</v>
      </c>
      <c r="AQ80">
        <v>-0.32343011824092421</v>
      </c>
      <c r="AR80" t="s">
        <v>701</v>
      </c>
      <c r="AS80">
        <v>7132.28</v>
      </c>
      <c r="AT80">
        <v>542.18708000000004</v>
      </c>
      <c r="AU80">
        <v>770.51113633773912</v>
      </c>
      <c r="AV80">
        <f t="shared" si="119"/>
        <v>0.29632804195792639</v>
      </c>
      <c r="AW80">
        <v>0.5</v>
      </c>
      <c r="AX80">
        <f t="shared" si="120"/>
        <v>1513.2942002172342</v>
      </c>
      <c r="AY80">
        <f t="shared" si="121"/>
        <v>43.700711779313558</v>
      </c>
      <c r="AZ80">
        <f t="shared" si="122"/>
        <v>224.21575362832962</v>
      </c>
      <c r="BA80">
        <f t="shared" si="123"/>
        <v>2.9091594939856896E-2</v>
      </c>
      <c r="BB80">
        <f t="shared" si="124"/>
        <v>4.2592361211814467</v>
      </c>
      <c r="BC80">
        <f t="shared" si="125"/>
        <v>229.35770414877274</v>
      </c>
      <c r="BD80" t="s">
        <v>702</v>
      </c>
      <c r="BE80">
        <v>379.54</v>
      </c>
      <c r="BF80">
        <f t="shared" si="126"/>
        <v>379.54</v>
      </c>
      <c r="BG80">
        <f t="shared" si="127"/>
        <v>0.5074178917076213</v>
      </c>
      <c r="BH80">
        <f t="shared" si="128"/>
        <v>0.583992103551353</v>
      </c>
      <c r="BI80">
        <f t="shared" si="129"/>
        <v>0.89354841145685016</v>
      </c>
      <c r="BJ80">
        <f t="shared" si="130"/>
        <v>0.48756027637230342</v>
      </c>
      <c r="BK80">
        <f t="shared" si="131"/>
        <v>0.87512316075309726</v>
      </c>
      <c r="BL80">
        <f t="shared" si="132"/>
        <v>0.40880421381837523</v>
      </c>
      <c r="BM80">
        <f t="shared" si="133"/>
        <v>0.59119578618162483</v>
      </c>
      <c r="BN80">
        <v>34515</v>
      </c>
      <c r="BO80">
        <v>290.00000000000011</v>
      </c>
      <c r="BP80">
        <v>705.08</v>
      </c>
      <c r="BQ80">
        <v>275</v>
      </c>
      <c r="BR80">
        <v>7132.28</v>
      </c>
      <c r="BS80">
        <v>707.17</v>
      </c>
      <c r="BT80">
        <v>-2.09</v>
      </c>
      <c r="BU80">
        <v>300.00000000000011</v>
      </c>
      <c r="BV80">
        <v>38.200000000000003</v>
      </c>
      <c r="BW80">
        <v>770.51113633773912</v>
      </c>
      <c r="BX80">
        <v>1.315470061473907</v>
      </c>
      <c r="BY80">
        <v>-45.176022905149473</v>
      </c>
      <c r="BZ80">
        <v>0.78652097691130263</v>
      </c>
      <c r="CA80">
        <v>0.99158426046004167</v>
      </c>
      <c r="CB80">
        <v>-7.031072525027807E-3</v>
      </c>
      <c r="CC80">
        <v>289.99999999999989</v>
      </c>
      <c r="CD80">
        <v>715.61</v>
      </c>
      <c r="CE80">
        <v>885</v>
      </c>
      <c r="CF80">
        <v>7125.19</v>
      </c>
      <c r="CG80">
        <v>707.11</v>
      </c>
      <c r="CH80">
        <v>8.5</v>
      </c>
      <c r="CV80">
        <f t="shared" si="134"/>
        <v>1800.13</v>
      </c>
      <c r="CW80">
        <f t="shared" si="135"/>
        <v>1513.2942002172342</v>
      </c>
      <c r="CX80">
        <f t="shared" si="136"/>
        <v>0.84065828591114766</v>
      </c>
      <c r="CY80">
        <f t="shared" si="137"/>
        <v>0.16087049180851509</v>
      </c>
      <c r="CZ80">
        <v>4.38</v>
      </c>
      <c r="DA80">
        <v>0.5</v>
      </c>
      <c r="DB80" t="s">
        <v>418</v>
      </c>
      <c r="DC80">
        <v>2</v>
      </c>
      <c r="DD80">
        <v>1700166517.5</v>
      </c>
      <c r="DE80">
        <v>360.25099999999998</v>
      </c>
      <c r="DF80">
        <v>399.98200000000003</v>
      </c>
      <c r="DG80">
        <v>27.025099999999998</v>
      </c>
      <c r="DH80">
        <v>23.088799999999999</v>
      </c>
      <c r="DI80">
        <v>360.59899999999999</v>
      </c>
      <c r="DJ80">
        <v>26.677700000000002</v>
      </c>
      <c r="DK80">
        <v>500.108</v>
      </c>
      <c r="DL80">
        <v>98.999300000000005</v>
      </c>
      <c r="DM80">
        <v>9.9496799999999996E-2</v>
      </c>
      <c r="DN80">
        <v>29.4938</v>
      </c>
      <c r="DO80">
        <v>29.9815</v>
      </c>
      <c r="DP80">
        <v>999.9</v>
      </c>
      <c r="DQ80">
        <v>0</v>
      </c>
      <c r="DR80">
        <v>0</v>
      </c>
      <c r="DS80">
        <v>10020</v>
      </c>
      <c r="DT80">
        <v>0</v>
      </c>
      <c r="DU80">
        <v>294.048</v>
      </c>
      <c r="DV80">
        <v>-39.730400000000003</v>
      </c>
      <c r="DW80">
        <v>370.25799999999998</v>
      </c>
      <c r="DX80">
        <v>409.435</v>
      </c>
      <c r="DY80">
        <v>3.9363299999999999</v>
      </c>
      <c r="DZ80">
        <v>399.98200000000003</v>
      </c>
      <c r="EA80">
        <v>23.088799999999999</v>
      </c>
      <c r="EB80">
        <v>2.6754699999999998</v>
      </c>
      <c r="EC80">
        <v>2.2857799999999999</v>
      </c>
      <c r="ED80">
        <v>22.135200000000001</v>
      </c>
      <c r="EE80">
        <v>19.576499999999999</v>
      </c>
      <c r="EF80">
        <v>1800.13</v>
      </c>
      <c r="EG80">
        <v>0.97799400000000003</v>
      </c>
      <c r="EH80">
        <v>2.2006100000000001E-2</v>
      </c>
      <c r="EI80">
        <v>0</v>
      </c>
      <c r="EJ80">
        <v>542.18700000000001</v>
      </c>
      <c r="EK80">
        <v>4.9996700000000001</v>
      </c>
      <c r="EL80">
        <v>10598.6</v>
      </c>
      <c r="EM80">
        <v>15047.9</v>
      </c>
      <c r="EN80">
        <v>49.25</v>
      </c>
      <c r="EO80">
        <v>50.311999999999998</v>
      </c>
      <c r="EP80">
        <v>50</v>
      </c>
      <c r="EQ80">
        <v>50</v>
      </c>
      <c r="ER80">
        <v>50.686999999999998</v>
      </c>
      <c r="ES80">
        <v>1755.63</v>
      </c>
      <c r="ET80">
        <v>39.5</v>
      </c>
      <c r="EU80">
        <v>0</v>
      </c>
      <c r="EV80">
        <v>201.5999999046326</v>
      </c>
      <c r="EW80">
        <v>0</v>
      </c>
      <c r="EX80">
        <v>542.18708000000004</v>
      </c>
      <c r="EY80">
        <v>-0.59738462174532658</v>
      </c>
      <c r="EZ80">
        <v>-201.52307721199429</v>
      </c>
      <c r="FA80">
        <v>10621.752</v>
      </c>
      <c r="FB80">
        <v>15</v>
      </c>
      <c r="FC80">
        <v>1700166389.5</v>
      </c>
      <c r="FD80" t="s">
        <v>703</v>
      </c>
      <c r="FE80">
        <v>1700166387.5</v>
      </c>
      <c r="FF80">
        <v>1700166389.5</v>
      </c>
      <c r="FG80">
        <v>86</v>
      </c>
      <c r="FH80">
        <v>-5.6000000000000001E-2</v>
      </c>
      <c r="FI80">
        <v>6.0000000000000001E-3</v>
      </c>
      <c r="FJ80">
        <v>-0.35499999999999998</v>
      </c>
      <c r="FK80">
        <v>0.32700000000000001</v>
      </c>
      <c r="FL80">
        <v>400</v>
      </c>
      <c r="FM80">
        <v>24</v>
      </c>
      <c r="FN80">
        <v>0.08</v>
      </c>
      <c r="FO80">
        <v>0.03</v>
      </c>
      <c r="FP80">
        <v>43.670310149537137</v>
      </c>
      <c r="FQ80">
        <v>0.64954935610305076</v>
      </c>
      <c r="FR80">
        <v>5.9429280861595823E-2</v>
      </c>
      <c r="FS80">
        <v>1</v>
      </c>
      <c r="FT80">
        <v>0.29650187440743869</v>
      </c>
      <c r="FU80">
        <v>-3.130574806635607E-3</v>
      </c>
      <c r="FV80">
        <v>2.8977598302656671E-4</v>
      </c>
      <c r="FW80">
        <v>1</v>
      </c>
      <c r="FX80">
        <v>2</v>
      </c>
      <c r="FY80">
        <v>2</v>
      </c>
      <c r="FZ80" t="s">
        <v>420</v>
      </c>
      <c r="GA80">
        <v>3.0122399999999998</v>
      </c>
      <c r="GB80">
        <v>2.7767499999999998</v>
      </c>
      <c r="GC80">
        <v>8.1101999999999994E-2</v>
      </c>
      <c r="GD80">
        <v>8.8444700000000001E-2</v>
      </c>
      <c r="GE80">
        <v>0.123617</v>
      </c>
      <c r="GF80">
        <v>0.11203</v>
      </c>
      <c r="GG80">
        <v>22056.7</v>
      </c>
      <c r="GH80">
        <v>22594.2</v>
      </c>
      <c r="GI80">
        <v>23772.799999999999</v>
      </c>
      <c r="GJ80">
        <v>24446.5</v>
      </c>
      <c r="GK80">
        <v>30814.5</v>
      </c>
      <c r="GL80">
        <v>31130.2</v>
      </c>
      <c r="GM80">
        <v>38934.300000000003</v>
      </c>
      <c r="GN80">
        <v>38934.699999999997</v>
      </c>
      <c r="GO80">
        <v>1.9909300000000001</v>
      </c>
      <c r="GP80">
        <v>1.80203</v>
      </c>
      <c r="GQ80">
        <v>7.1503200000000003E-2</v>
      </c>
      <c r="GR80">
        <v>0</v>
      </c>
      <c r="GS80">
        <v>28.816800000000001</v>
      </c>
      <c r="GT80">
        <v>999.9</v>
      </c>
      <c r="GU80">
        <v>40.299999999999997</v>
      </c>
      <c r="GV80">
        <v>39</v>
      </c>
      <c r="GW80">
        <v>28.605899999999998</v>
      </c>
      <c r="GX80">
        <v>60.771700000000003</v>
      </c>
      <c r="GY80">
        <v>30.781199999999998</v>
      </c>
      <c r="GZ80">
        <v>1</v>
      </c>
      <c r="HA80">
        <v>0.62336899999999995</v>
      </c>
      <c r="HB80">
        <v>2.4057200000000001</v>
      </c>
      <c r="HC80">
        <v>20.314900000000002</v>
      </c>
      <c r="HD80">
        <v>5.2406499999999996</v>
      </c>
      <c r="HE80">
        <v>12.0008</v>
      </c>
      <c r="HF80">
        <v>4.9630000000000001</v>
      </c>
      <c r="HG80">
        <v>3.30023</v>
      </c>
      <c r="HH80">
        <v>9999</v>
      </c>
      <c r="HI80">
        <v>9999</v>
      </c>
      <c r="HJ80">
        <v>9999</v>
      </c>
      <c r="HK80">
        <v>999.9</v>
      </c>
      <c r="HL80">
        <v>1.8749</v>
      </c>
      <c r="HM80">
        <v>1.88022</v>
      </c>
      <c r="HN80">
        <v>1.8803300000000001</v>
      </c>
      <c r="HO80">
        <v>1.8790100000000001</v>
      </c>
      <c r="HP80">
        <v>1.88141</v>
      </c>
      <c r="HQ80">
        <v>1.8772899999999999</v>
      </c>
      <c r="HR80">
        <v>1.8750199999999999</v>
      </c>
      <c r="HS80">
        <v>1.8823000000000001</v>
      </c>
      <c r="HT80">
        <v>5</v>
      </c>
      <c r="HU80">
        <v>0</v>
      </c>
      <c r="HV80">
        <v>0</v>
      </c>
      <c r="HW80">
        <v>0</v>
      </c>
      <c r="HX80" t="s">
        <v>421</v>
      </c>
      <c r="HY80" t="s">
        <v>422</v>
      </c>
      <c r="HZ80" t="s">
        <v>423</v>
      </c>
      <c r="IA80" t="s">
        <v>423</v>
      </c>
      <c r="IB80" t="s">
        <v>423</v>
      </c>
      <c r="IC80" t="s">
        <v>423</v>
      </c>
      <c r="ID80">
        <v>0</v>
      </c>
      <c r="IE80">
        <v>100</v>
      </c>
      <c r="IF80">
        <v>100</v>
      </c>
      <c r="IG80">
        <v>-0.34799999999999998</v>
      </c>
      <c r="IH80">
        <v>0.34739999999999999</v>
      </c>
      <c r="II80">
        <v>-0.43995428536517278</v>
      </c>
      <c r="IJ80">
        <v>7.0786345690369205E-4</v>
      </c>
      <c r="IK80">
        <v>-1.387476646623666E-6</v>
      </c>
      <c r="IL80">
        <v>3.6592443641472651E-10</v>
      </c>
      <c r="IM80">
        <v>0.34740972152782301</v>
      </c>
      <c r="IN80">
        <v>0</v>
      </c>
      <c r="IO80">
        <v>0</v>
      </c>
      <c r="IP80">
        <v>0</v>
      </c>
      <c r="IQ80">
        <v>2</v>
      </c>
      <c r="IR80">
        <v>2142</v>
      </c>
      <c r="IS80">
        <v>1</v>
      </c>
      <c r="IT80">
        <v>24</v>
      </c>
      <c r="IU80">
        <v>2.2000000000000002</v>
      </c>
      <c r="IV80">
        <v>2.1</v>
      </c>
      <c r="IW80">
        <v>1.02539</v>
      </c>
      <c r="IX80">
        <v>2.65015</v>
      </c>
      <c r="IY80">
        <v>1.5490699999999999</v>
      </c>
      <c r="IZ80">
        <v>2.36206</v>
      </c>
      <c r="JA80">
        <v>1.5966800000000001</v>
      </c>
      <c r="JB80">
        <v>2.3718300000000001</v>
      </c>
      <c r="JC80">
        <v>41.430100000000003</v>
      </c>
      <c r="JD80">
        <v>24.14</v>
      </c>
      <c r="JE80">
        <v>18</v>
      </c>
      <c r="JF80">
        <v>510.95400000000001</v>
      </c>
      <c r="JG80">
        <v>455.34800000000001</v>
      </c>
      <c r="JH80">
        <v>26.614000000000001</v>
      </c>
      <c r="JI80">
        <v>34.840400000000002</v>
      </c>
      <c r="JJ80">
        <v>30.0001</v>
      </c>
      <c r="JK80">
        <v>34.850099999999998</v>
      </c>
      <c r="JL80">
        <v>34.8414</v>
      </c>
      <c r="JM80">
        <v>20.508199999999999</v>
      </c>
      <c r="JN80">
        <v>21.045000000000002</v>
      </c>
      <c r="JO80">
        <v>35.6126</v>
      </c>
      <c r="JP80">
        <v>26.624600000000001</v>
      </c>
      <c r="JQ80">
        <v>400</v>
      </c>
      <c r="JR80">
        <v>23.196899999999999</v>
      </c>
      <c r="JS80">
        <v>98.602599999999995</v>
      </c>
      <c r="JT80">
        <v>99.450500000000005</v>
      </c>
    </row>
    <row r="81" spans="1:280" x14ac:dyDescent="0.25">
      <c r="A81">
        <v>79</v>
      </c>
      <c r="B81">
        <v>1700166626</v>
      </c>
      <c r="C81">
        <v>18770</v>
      </c>
      <c r="D81" t="s">
        <v>704</v>
      </c>
      <c r="E81" t="s">
        <v>705</v>
      </c>
      <c r="F81" t="s">
        <v>412</v>
      </c>
      <c r="G81" t="s">
        <v>547</v>
      </c>
      <c r="H81" t="s">
        <v>669</v>
      </c>
      <c r="I81">
        <v>1700166626</v>
      </c>
      <c r="J81">
        <f t="shared" si="92"/>
        <v>4.5036594387723563E-3</v>
      </c>
      <c r="K81">
        <f t="shared" si="93"/>
        <v>4.5036594387723561</v>
      </c>
      <c r="L81">
        <f t="shared" si="94"/>
        <v>35.082912758444365</v>
      </c>
      <c r="M81">
        <f t="shared" si="95"/>
        <v>268.226</v>
      </c>
      <c r="N81">
        <f t="shared" si="96"/>
        <v>64.101582883679967</v>
      </c>
      <c r="O81">
        <f t="shared" si="97"/>
        <v>6.3525188629767202</v>
      </c>
      <c r="P81">
        <f t="shared" si="98"/>
        <v>26.581414184931202</v>
      </c>
      <c r="Q81">
        <f t="shared" si="99"/>
        <v>0.29267519121279373</v>
      </c>
      <c r="R81">
        <f t="shared" si="100"/>
        <v>3.2981655845883413</v>
      </c>
      <c r="S81">
        <f t="shared" si="101"/>
        <v>0.27897413910270424</v>
      </c>
      <c r="T81">
        <f t="shared" si="102"/>
        <v>0.17553636351958429</v>
      </c>
      <c r="U81">
        <f t="shared" si="103"/>
        <v>289.58620241926462</v>
      </c>
      <c r="V81">
        <f t="shared" si="104"/>
        <v>29.895299050665589</v>
      </c>
      <c r="W81">
        <f t="shared" si="105"/>
        <v>29.969200000000001</v>
      </c>
      <c r="X81">
        <f t="shared" si="106"/>
        <v>4.2529183046880989</v>
      </c>
      <c r="Y81">
        <f t="shared" si="107"/>
        <v>65.765950500137023</v>
      </c>
      <c r="Z81">
        <f t="shared" si="108"/>
        <v>2.7092675269911997</v>
      </c>
      <c r="AA81">
        <f t="shared" si="109"/>
        <v>4.119559599439766</v>
      </c>
      <c r="AB81">
        <f t="shared" si="110"/>
        <v>1.5436507776968993</v>
      </c>
      <c r="AC81">
        <f t="shared" si="111"/>
        <v>-198.6113812498609</v>
      </c>
      <c r="AD81">
        <f t="shared" si="112"/>
        <v>-98.400443038167154</v>
      </c>
      <c r="AE81">
        <f t="shared" si="113"/>
        <v>-6.613649114540558</v>
      </c>
      <c r="AF81">
        <f t="shared" si="114"/>
        <v>-14.039270983304007</v>
      </c>
      <c r="AG81">
        <v>11</v>
      </c>
      <c r="AH81">
        <v>2</v>
      </c>
      <c r="AI81">
        <f t="shared" si="115"/>
        <v>1</v>
      </c>
      <c r="AJ81">
        <f t="shared" si="116"/>
        <v>0</v>
      </c>
      <c r="AK81">
        <f t="shared" si="117"/>
        <v>51999.521458878342</v>
      </c>
      <c r="AL81" t="s">
        <v>426</v>
      </c>
      <c r="AM81" t="s">
        <v>426</v>
      </c>
      <c r="AN81">
        <v>0</v>
      </c>
      <c r="AO81">
        <v>0</v>
      </c>
      <c r="AP81" t="e">
        <f t="shared" si="118"/>
        <v>#DIV/0!</v>
      </c>
      <c r="AQ81">
        <v>0</v>
      </c>
      <c r="AR81" t="s">
        <v>426</v>
      </c>
      <c r="AS81" t="s">
        <v>426</v>
      </c>
      <c r="AT81">
        <v>0</v>
      </c>
      <c r="AU81">
        <v>0</v>
      </c>
      <c r="AV81" t="e">
        <f t="shared" si="119"/>
        <v>#DIV/0!</v>
      </c>
      <c r="AW81">
        <v>0.5</v>
      </c>
      <c r="AX81">
        <f t="shared" si="120"/>
        <v>1513.2858002172354</v>
      </c>
      <c r="AY81">
        <f t="shared" si="121"/>
        <v>35.082912758444365</v>
      </c>
      <c r="AZ81" t="e">
        <f t="shared" si="122"/>
        <v>#DIV/0!</v>
      </c>
      <c r="BA81">
        <f t="shared" si="123"/>
        <v>2.318326964636035E-2</v>
      </c>
      <c r="BB81" t="e">
        <f t="shared" si="124"/>
        <v>#DIV/0!</v>
      </c>
      <c r="BC81" t="e">
        <f t="shared" si="125"/>
        <v>#DIV/0!</v>
      </c>
      <c r="BD81" t="s">
        <v>426</v>
      </c>
      <c r="BE81">
        <v>0</v>
      </c>
      <c r="BF81" t="e">
        <f t="shared" si="126"/>
        <v>#DIV/0!</v>
      </c>
      <c r="BG81" t="e">
        <f t="shared" si="127"/>
        <v>#DIV/0!</v>
      </c>
      <c r="BH81" t="e">
        <f t="shared" si="128"/>
        <v>#DIV/0!</v>
      </c>
      <c r="BI81" t="e">
        <f t="shared" si="129"/>
        <v>#DIV/0!</v>
      </c>
      <c r="BJ81" t="e">
        <f t="shared" si="130"/>
        <v>#DIV/0!</v>
      </c>
      <c r="BK81" t="e">
        <f t="shared" si="131"/>
        <v>#DIV/0!</v>
      </c>
      <c r="BL81" t="e">
        <f t="shared" si="132"/>
        <v>#DIV/0!</v>
      </c>
      <c r="BM81" t="e">
        <f t="shared" si="133"/>
        <v>#DIV/0!</v>
      </c>
      <c r="BN81">
        <v>34515</v>
      </c>
      <c r="BO81">
        <v>290.00000000000011</v>
      </c>
      <c r="BP81">
        <v>705.08</v>
      </c>
      <c r="BQ81">
        <v>275</v>
      </c>
      <c r="BR81">
        <v>7132.28</v>
      </c>
      <c r="BS81">
        <v>707.17</v>
      </c>
      <c r="BT81">
        <v>-2.09</v>
      </c>
      <c r="BU81">
        <v>300.00000000000011</v>
      </c>
      <c r="BV81">
        <v>38.200000000000003</v>
      </c>
      <c r="BW81">
        <v>770.51113633773912</v>
      </c>
      <c r="BX81">
        <v>1.315470061473907</v>
      </c>
      <c r="BY81">
        <v>-45.176022905149473</v>
      </c>
      <c r="BZ81">
        <v>0.78652097691130263</v>
      </c>
      <c r="CA81">
        <v>0.99158426046004167</v>
      </c>
      <c r="CB81">
        <v>-7.031072525027807E-3</v>
      </c>
      <c r="CC81">
        <v>289.99999999999989</v>
      </c>
      <c r="CD81">
        <v>715.61</v>
      </c>
      <c r="CE81">
        <v>885</v>
      </c>
      <c r="CF81">
        <v>7125.19</v>
      </c>
      <c r="CG81">
        <v>707.11</v>
      </c>
      <c r="CH81">
        <v>8.5</v>
      </c>
      <c r="CV81">
        <f t="shared" si="134"/>
        <v>1800.12</v>
      </c>
      <c r="CW81">
        <f t="shared" si="135"/>
        <v>1513.2858002172354</v>
      </c>
      <c r="CX81">
        <f t="shared" si="136"/>
        <v>0.84065828956804856</v>
      </c>
      <c r="CY81">
        <f t="shared" si="137"/>
        <v>0.1608704988663337</v>
      </c>
      <c r="CZ81">
        <v>4.38</v>
      </c>
      <c r="DA81">
        <v>0.5</v>
      </c>
      <c r="DB81" t="s">
        <v>418</v>
      </c>
      <c r="DC81">
        <v>2</v>
      </c>
      <c r="DD81">
        <v>1700166626</v>
      </c>
      <c r="DE81">
        <v>268.226</v>
      </c>
      <c r="DF81">
        <v>300.00400000000002</v>
      </c>
      <c r="DG81">
        <v>27.3385</v>
      </c>
      <c r="DH81">
        <v>23.502700000000001</v>
      </c>
      <c r="DI81">
        <v>268.43</v>
      </c>
      <c r="DJ81">
        <v>26.9893</v>
      </c>
      <c r="DK81">
        <v>500.202</v>
      </c>
      <c r="DL81">
        <v>99.001099999999994</v>
      </c>
      <c r="DM81">
        <v>9.97112E-2</v>
      </c>
      <c r="DN81">
        <v>29.415800000000001</v>
      </c>
      <c r="DO81">
        <v>29.969200000000001</v>
      </c>
      <c r="DP81">
        <v>999.9</v>
      </c>
      <c r="DQ81">
        <v>0</v>
      </c>
      <c r="DR81">
        <v>0</v>
      </c>
      <c r="DS81">
        <v>10013.799999999999</v>
      </c>
      <c r="DT81">
        <v>0</v>
      </c>
      <c r="DU81">
        <v>283.76299999999998</v>
      </c>
      <c r="DV81">
        <v>-31.778500000000001</v>
      </c>
      <c r="DW81">
        <v>275.76499999999999</v>
      </c>
      <c r="DX81">
        <v>307.22500000000002</v>
      </c>
      <c r="DY81">
        <v>3.8358099999999999</v>
      </c>
      <c r="DZ81">
        <v>300.00400000000002</v>
      </c>
      <c r="EA81">
        <v>23.502700000000001</v>
      </c>
      <c r="EB81">
        <v>2.7065399999999999</v>
      </c>
      <c r="EC81">
        <v>2.3268</v>
      </c>
      <c r="ED81">
        <v>22.3249</v>
      </c>
      <c r="EE81">
        <v>19.863099999999999</v>
      </c>
      <c r="EF81">
        <v>1800.12</v>
      </c>
      <c r="EG81">
        <v>0.97799400000000003</v>
      </c>
      <c r="EH81">
        <v>2.2006100000000001E-2</v>
      </c>
      <c r="EI81">
        <v>0</v>
      </c>
      <c r="EJ81">
        <v>556.12099999999998</v>
      </c>
      <c r="EK81">
        <v>4.9996700000000001</v>
      </c>
      <c r="EL81">
        <v>10768.9</v>
      </c>
      <c r="EM81">
        <v>15047.8</v>
      </c>
      <c r="EN81">
        <v>49.25</v>
      </c>
      <c r="EO81">
        <v>50.311999999999998</v>
      </c>
      <c r="EP81">
        <v>49.936999999999998</v>
      </c>
      <c r="EQ81">
        <v>50.061999999999998</v>
      </c>
      <c r="ER81">
        <v>50.625</v>
      </c>
      <c r="ES81">
        <v>1755.62</v>
      </c>
      <c r="ET81">
        <v>39.5</v>
      </c>
      <c r="EU81">
        <v>0</v>
      </c>
      <c r="EV81">
        <v>106.4000000953674</v>
      </c>
      <c r="EW81">
        <v>0</v>
      </c>
      <c r="EX81">
        <v>555.69208000000003</v>
      </c>
      <c r="EY81">
        <v>0.42438460662098509</v>
      </c>
      <c r="EZ81">
        <v>68.384615288614114</v>
      </c>
      <c r="FA81">
        <v>10753.12</v>
      </c>
      <c r="FB81">
        <v>15</v>
      </c>
      <c r="FC81">
        <v>1700166590.5</v>
      </c>
      <c r="FD81" t="s">
        <v>706</v>
      </c>
      <c r="FE81">
        <v>1700166588</v>
      </c>
      <c r="FF81">
        <v>1700166590.5</v>
      </c>
      <c r="FG81">
        <v>87</v>
      </c>
      <c r="FH81">
        <v>0.13900000000000001</v>
      </c>
      <c r="FI81">
        <v>2E-3</v>
      </c>
      <c r="FJ81">
        <v>-0.20399999999999999</v>
      </c>
      <c r="FK81">
        <v>0.32100000000000001</v>
      </c>
      <c r="FL81">
        <v>300</v>
      </c>
      <c r="FM81">
        <v>23</v>
      </c>
      <c r="FN81">
        <v>0.04</v>
      </c>
      <c r="FO81">
        <v>0.02</v>
      </c>
      <c r="FP81">
        <v>35.065736254849611</v>
      </c>
      <c r="FQ81">
        <v>-8.0911571148032907E-2</v>
      </c>
      <c r="FR81">
        <v>2.8356103059402019E-2</v>
      </c>
      <c r="FS81">
        <v>1</v>
      </c>
      <c r="FT81">
        <v>0.28845377992196569</v>
      </c>
      <c r="FU81">
        <v>4.3199523953662992E-2</v>
      </c>
      <c r="FV81">
        <v>3.404458606543669E-3</v>
      </c>
      <c r="FW81">
        <v>1</v>
      </c>
      <c r="FX81">
        <v>2</v>
      </c>
      <c r="FY81">
        <v>2</v>
      </c>
      <c r="FZ81" t="s">
        <v>420</v>
      </c>
      <c r="GA81">
        <v>3.0124900000000001</v>
      </c>
      <c r="GB81">
        <v>2.7769200000000001</v>
      </c>
      <c r="GC81">
        <v>6.38629E-2</v>
      </c>
      <c r="GD81">
        <v>7.0472000000000007E-2</v>
      </c>
      <c r="GE81">
        <v>0.124616</v>
      </c>
      <c r="GF81">
        <v>0.11342099999999999</v>
      </c>
      <c r="GG81">
        <v>22470.2</v>
      </c>
      <c r="GH81">
        <v>23039</v>
      </c>
      <c r="GI81">
        <v>23772.9</v>
      </c>
      <c r="GJ81">
        <v>24446.1</v>
      </c>
      <c r="GK81">
        <v>30779.7</v>
      </c>
      <c r="GL81">
        <v>31080.799999999999</v>
      </c>
      <c r="GM81">
        <v>38934.5</v>
      </c>
      <c r="GN81">
        <v>38933.699999999997</v>
      </c>
      <c r="GO81">
        <v>1.9901800000000001</v>
      </c>
      <c r="GP81">
        <v>1.80243</v>
      </c>
      <c r="GQ81">
        <v>6.4238900000000002E-2</v>
      </c>
      <c r="GR81">
        <v>0</v>
      </c>
      <c r="GS81">
        <v>28.922899999999998</v>
      </c>
      <c r="GT81">
        <v>999.9</v>
      </c>
      <c r="GU81">
        <v>40.299999999999997</v>
      </c>
      <c r="GV81">
        <v>38.9</v>
      </c>
      <c r="GW81">
        <v>28.449400000000001</v>
      </c>
      <c r="GX81">
        <v>60.851700000000001</v>
      </c>
      <c r="GY81">
        <v>30.192299999999999</v>
      </c>
      <c r="GZ81">
        <v>1</v>
      </c>
      <c r="HA81">
        <v>0.63248000000000004</v>
      </c>
      <c r="HB81">
        <v>3.0971700000000002</v>
      </c>
      <c r="HC81">
        <v>20.291</v>
      </c>
      <c r="HD81">
        <v>5.2404999999999999</v>
      </c>
      <c r="HE81">
        <v>12.0014</v>
      </c>
      <c r="HF81">
        <v>4.9627499999999998</v>
      </c>
      <c r="HG81">
        <v>3.30023</v>
      </c>
      <c r="HH81">
        <v>9999</v>
      </c>
      <c r="HI81">
        <v>9999</v>
      </c>
      <c r="HJ81">
        <v>9999</v>
      </c>
      <c r="HK81">
        <v>999.9</v>
      </c>
      <c r="HL81">
        <v>1.8749100000000001</v>
      </c>
      <c r="HM81">
        <v>1.88026</v>
      </c>
      <c r="HN81">
        <v>1.8803399999999999</v>
      </c>
      <c r="HO81">
        <v>1.8790199999999999</v>
      </c>
      <c r="HP81">
        <v>1.88141</v>
      </c>
      <c r="HQ81">
        <v>1.8773200000000001</v>
      </c>
      <c r="HR81">
        <v>1.8750199999999999</v>
      </c>
      <c r="HS81">
        <v>1.88232</v>
      </c>
      <c r="HT81">
        <v>5</v>
      </c>
      <c r="HU81">
        <v>0</v>
      </c>
      <c r="HV81">
        <v>0</v>
      </c>
      <c r="HW81">
        <v>0</v>
      </c>
      <c r="HX81" t="s">
        <v>421</v>
      </c>
      <c r="HY81" t="s">
        <v>422</v>
      </c>
      <c r="HZ81" t="s">
        <v>423</v>
      </c>
      <c r="IA81" t="s">
        <v>423</v>
      </c>
      <c r="IB81" t="s">
        <v>423</v>
      </c>
      <c r="IC81" t="s">
        <v>423</v>
      </c>
      <c r="ID81">
        <v>0</v>
      </c>
      <c r="IE81">
        <v>100</v>
      </c>
      <c r="IF81">
        <v>100</v>
      </c>
      <c r="IG81">
        <v>-0.20399999999999999</v>
      </c>
      <c r="IH81">
        <v>0.34920000000000001</v>
      </c>
      <c r="II81">
        <v>-0.30121238695438102</v>
      </c>
      <c r="IJ81">
        <v>7.0786345690369205E-4</v>
      </c>
      <c r="IK81">
        <v>-1.387476646623666E-6</v>
      </c>
      <c r="IL81">
        <v>3.6592443641472651E-10</v>
      </c>
      <c r="IM81">
        <v>0.34925417031945039</v>
      </c>
      <c r="IN81">
        <v>0</v>
      </c>
      <c r="IO81">
        <v>0</v>
      </c>
      <c r="IP81">
        <v>0</v>
      </c>
      <c r="IQ81">
        <v>2</v>
      </c>
      <c r="IR81">
        <v>2142</v>
      </c>
      <c r="IS81">
        <v>1</v>
      </c>
      <c r="IT81">
        <v>24</v>
      </c>
      <c r="IU81">
        <v>0.6</v>
      </c>
      <c r="IV81">
        <v>0.6</v>
      </c>
      <c r="IW81">
        <v>0.81664999999999999</v>
      </c>
      <c r="IX81">
        <v>2.66113</v>
      </c>
      <c r="IY81">
        <v>1.5490699999999999</v>
      </c>
      <c r="IZ81">
        <v>2.36206</v>
      </c>
      <c r="JA81">
        <v>1.5966800000000001</v>
      </c>
      <c r="JB81">
        <v>2.2448700000000001</v>
      </c>
      <c r="JC81">
        <v>41.378100000000003</v>
      </c>
      <c r="JD81">
        <v>24.1313</v>
      </c>
      <c r="JE81">
        <v>18</v>
      </c>
      <c r="JF81">
        <v>510.47199999999998</v>
      </c>
      <c r="JG81">
        <v>455.584</v>
      </c>
      <c r="JH81">
        <v>25.291399999999999</v>
      </c>
      <c r="JI81">
        <v>34.848799999999997</v>
      </c>
      <c r="JJ81">
        <v>29.999500000000001</v>
      </c>
      <c r="JK81">
        <v>34.850099999999998</v>
      </c>
      <c r="JL81">
        <v>34.838099999999997</v>
      </c>
      <c r="JM81">
        <v>16.3385</v>
      </c>
      <c r="JN81">
        <v>19.5975</v>
      </c>
      <c r="JO81">
        <v>35.622300000000003</v>
      </c>
      <c r="JP81">
        <v>26.1281</v>
      </c>
      <c r="JQ81">
        <v>300</v>
      </c>
      <c r="JR81">
        <v>23.3184</v>
      </c>
      <c r="JS81">
        <v>98.602900000000005</v>
      </c>
      <c r="JT81">
        <v>99.448300000000003</v>
      </c>
    </row>
    <row r="82" spans="1:280" x14ac:dyDescent="0.25">
      <c r="A82">
        <v>80</v>
      </c>
      <c r="B82">
        <v>1700166777.0999999</v>
      </c>
      <c r="C82">
        <v>18921.099999904629</v>
      </c>
      <c r="D82" t="s">
        <v>707</v>
      </c>
      <c r="E82" t="s">
        <v>708</v>
      </c>
      <c r="F82" t="s">
        <v>412</v>
      </c>
      <c r="G82" t="s">
        <v>547</v>
      </c>
      <c r="H82" t="s">
        <v>669</v>
      </c>
      <c r="I82">
        <v>1700166777.0999999</v>
      </c>
      <c r="J82">
        <f t="shared" si="92"/>
        <v>5.3035036292863715E-3</v>
      </c>
      <c r="K82">
        <f t="shared" si="93"/>
        <v>5.3035036292863715</v>
      </c>
      <c r="L82">
        <f t="shared" si="94"/>
        <v>26.167444586050575</v>
      </c>
      <c r="M82">
        <f t="shared" si="95"/>
        <v>176.267</v>
      </c>
      <c r="N82">
        <f t="shared" si="96"/>
        <v>46.456996716206568</v>
      </c>
      <c r="O82">
        <f t="shared" si="97"/>
        <v>4.604203343722407</v>
      </c>
      <c r="P82">
        <f t="shared" si="98"/>
        <v>17.469254755006602</v>
      </c>
      <c r="Q82">
        <f t="shared" si="99"/>
        <v>0.34624012278195071</v>
      </c>
      <c r="R82">
        <f t="shared" si="100"/>
        <v>3.2938805984928199</v>
      </c>
      <c r="S82">
        <f t="shared" si="101"/>
        <v>0.32721665421368867</v>
      </c>
      <c r="T82">
        <f t="shared" si="102"/>
        <v>0.20613244489339028</v>
      </c>
      <c r="U82">
        <f t="shared" si="103"/>
        <v>289.58939441925992</v>
      </c>
      <c r="V82">
        <f t="shared" si="104"/>
        <v>29.917022429174057</v>
      </c>
      <c r="W82">
        <f t="shared" si="105"/>
        <v>29.970500000000001</v>
      </c>
      <c r="X82">
        <f t="shared" si="106"/>
        <v>4.2532359566163844</v>
      </c>
      <c r="Y82">
        <f t="shared" si="107"/>
        <v>64.841523794720629</v>
      </c>
      <c r="Z82">
        <f t="shared" si="108"/>
        <v>2.7032959898926796</v>
      </c>
      <c r="AA82">
        <f t="shared" si="109"/>
        <v>4.1690815262931578</v>
      </c>
      <c r="AB82">
        <f t="shared" si="110"/>
        <v>1.5499399667237048</v>
      </c>
      <c r="AC82">
        <f t="shared" si="111"/>
        <v>-233.88451005152899</v>
      </c>
      <c r="AD82">
        <f t="shared" si="112"/>
        <v>-61.69118459293334</v>
      </c>
      <c r="AE82">
        <f t="shared" si="113"/>
        <v>-4.1560470136498147</v>
      </c>
      <c r="AF82">
        <f t="shared" si="114"/>
        <v>-10.142347238852224</v>
      </c>
      <c r="AG82">
        <v>10</v>
      </c>
      <c r="AH82">
        <v>2</v>
      </c>
      <c r="AI82">
        <f t="shared" si="115"/>
        <v>1</v>
      </c>
      <c r="AJ82">
        <f t="shared" si="116"/>
        <v>0</v>
      </c>
      <c r="AK82">
        <f t="shared" si="117"/>
        <v>51863.964639840713</v>
      </c>
      <c r="AL82" t="s">
        <v>415</v>
      </c>
      <c r="AM82">
        <v>10238.9</v>
      </c>
      <c r="AN82">
        <v>302.21199999999999</v>
      </c>
      <c r="AO82">
        <v>4052.3</v>
      </c>
      <c r="AP82">
        <f t="shared" si="118"/>
        <v>0.92542210596451402</v>
      </c>
      <c r="AQ82">
        <v>-0.32343011824092421</v>
      </c>
      <c r="AR82" t="s">
        <v>709</v>
      </c>
      <c r="AS82">
        <v>7131.74</v>
      </c>
      <c r="AT82">
        <v>576.58972000000006</v>
      </c>
      <c r="AU82">
        <v>721.66132553699867</v>
      </c>
      <c r="AV82">
        <f t="shared" si="119"/>
        <v>0.20102449778509157</v>
      </c>
      <c r="AW82">
        <v>0.5</v>
      </c>
      <c r="AX82">
        <f t="shared" si="120"/>
        <v>1513.3026002172332</v>
      </c>
      <c r="AY82">
        <f t="shared" si="121"/>
        <v>26.167444586050575</v>
      </c>
      <c r="AZ82">
        <f t="shared" si="122"/>
        <v>152.10544760277125</v>
      </c>
      <c r="BA82">
        <f t="shared" si="123"/>
        <v>1.7505338787159128E-2</v>
      </c>
      <c r="BB82">
        <f t="shared" si="124"/>
        <v>4.6152378638063016</v>
      </c>
      <c r="BC82">
        <f t="shared" si="125"/>
        <v>224.82754575919756</v>
      </c>
      <c r="BD82" t="s">
        <v>710</v>
      </c>
      <c r="BE82">
        <v>389.14</v>
      </c>
      <c r="BF82">
        <f t="shared" si="126"/>
        <v>389.14</v>
      </c>
      <c r="BG82">
        <f t="shared" si="127"/>
        <v>0.46077199064196039</v>
      </c>
      <c r="BH82">
        <f t="shared" si="128"/>
        <v>0.43627759904637131</v>
      </c>
      <c r="BI82">
        <f t="shared" si="129"/>
        <v>0.90922555238182379</v>
      </c>
      <c r="BJ82">
        <f t="shared" si="130"/>
        <v>0.34586205461475267</v>
      </c>
      <c r="BK82">
        <f t="shared" si="131"/>
        <v>0.88814947128254096</v>
      </c>
      <c r="BL82">
        <f t="shared" si="132"/>
        <v>0.2944434474012213</v>
      </c>
      <c r="BM82">
        <f t="shared" si="133"/>
        <v>0.7055565525987787</v>
      </c>
      <c r="BN82">
        <v>34517</v>
      </c>
      <c r="BO82">
        <v>290.00000000000011</v>
      </c>
      <c r="BP82">
        <v>682.5</v>
      </c>
      <c r="BQ82">
        <v>285</v>
      </c>
      <c r="BR82">
        <v>7131.74</v>
      </c>
      <c r="BS82">
        <v>683.21</v>
      </c>
      <c r="BT82">
        <v>-0.71</v>
      </c>
      <c r="BU82">
        <v>300.00000000000011</v>
      </c>
      <c r="BV82">
        <v>38.200000000000003</v>
      </c>
      <c r="BW82">
        <v>721.66132553699867</v>
      </c>
      <c r="BX82">
        <v>1.203502709525921</v>
      </c>
      <c r="BY82">
        <v>-27.4224985833349</v>
      </c>
      <c r="BZ82">
        <v>0.71955615682092344</v>
      </c>
      <c r="CA82">
        <v>0.98108612533171491</v>
      </c>
      <c r="CB82">
        <v>-7.0306885428253621E-3</v>
      </c>
      <c r="CC82">
        <v>289.99999999999989</v>
      </c>
      <c r="CD82">
        <v>689.11</v>
      </c>
      <c r="CE82">
        <v>845</v>
      </c>
      <c r="CF82">
        <v>7125.43</v>
      </c>
      <c r="CG82">
        <v>683.18</v>
      </c>
      <c r="CH82">
        <v>5.93</v>
      </c>
      <c r="CV82">
        <f t="shared" si="134"/>
        <v>1800.14</v>
      </c>
      <c r="CW82">
        <f t="shared" si="135"/>
        <v>1513.3026002172332</v>
      </c>
      <c r="CX82">
        <f t="shared" si="136"/>
        <v>0.84065828225428751</v>
      </c>
      <c r="CY82">
        <f t="shared" si="137"/>
        <v>0.16087048475077489</v>
      </c>
      <c r="CZ82">
        <v>4.38</v>
      </c>
      <c r="DA82">
        <v>0.5</v>
      </c>
      <c r="DB82" t="s">
        <v>418</v>
      </c>
      <c r="DC82">
        <v>2</v>
      </c>
      <c r="DD82">
        <v>1700166777.0999999</v>
      </c>
      <c r="DE82">
        <v>176.267</v>
      </c>
      <c r="DF82">
        <v>200.001</v>
      </c>
      <c r="DG82">
        <v>27.276599999999998</v>
      </c>
      <c r="DH82">
        <v>22.758900000000001</v>
      </c>
      <c r="DI82">
        <v>176.46199999999999</v>
      </c>
      <c r="DJ82">
        <v>26.927399999999999</v>
      </c>
      <c r="DK82">
        <v>500.16</v>
      </c>
      <c r="DL82">
        <v>99.006799999999998</v>
      </c>
      <c r="DM82">
        <v>9.9979799999999994E-2</v>
      </c>
      <c r="DN82">
        <v>29.623100000000001</v>
      </c>
      <c r="DO82">
        <v>29.970500000000001</v>
      </c>
      <c r="DP82">
        <v>999.9</v>
      </c>
      <c r="DQ82">
        <v>0</v>
      </c>
      <c r="DR82">
        <v>0</v>
      </c>
      <c r="DS82">
        <v>9993.1200000000008</v>
      </c>
      <c r="DT82">
        <v>0</v>
      </c>
      <c r="DU82">
        <v>269.42500000000001</v>
      </c>
      <c r="DV82">
        <v>-23.734200000000001</v>
      </c>
      <c r="DW82">
        <v>181.21</v>
      </c>
      <c r="DX82">
        <v>204.65899999999999</v>
      </c>
      <c r="DY82">
        <v>4.5176600000000002</v>
      </c>
      <c r="DZ82">
        <v>200.001</v>
      </c>
      <c r="EA82">
        <v>22.758900000000001</v>
      </c>
      <c r="EB82">
        <v>2.7005699999999999</v>
      </c>
      <c r="EC82">
        <v>2.2532899999999998</v>
      </c>
      <c r="ED82">
        <v>22.288599999999999</v>
      </c>
      <c r="EE82">
        <v>19.346299999999999</v>
      </c>
      <c r="EF82">
        <v>1800.14</v>
      </c>
      <c r="EG82">
        <v>0.97799400000000003</v>
      </c>
      <c r="EH82">
        <v>2.2006100000000001E-2</v>
      </c>
      <c r="EI82">
        <v>0</v>
      </c>
      <c r="EJ82">
        <v>576.33799999999997</v>
      </c>
      <c r="EK82">
        <v>4.9996700000000001</v>
      </c>
      <c r="EL82">
        <v>10895.2</v>
      </c>
      <c r="EM82">
        <v>15047.9</v>
      </c>
      <c r="EN82">
        <v>49.186999999999998</v>
      </c>
      <c r="EO82">
        <v>50.25</v>
      </c>
      <c r="EP82">
        <v>49.936999999999998</v>
      </c>
      <c r="EQ82">
        <v>50.061999999999998</v>
      </c>
      <c r="ER82">
        <v>50.625</v>
      </c>
      <c r="ES82">
        <v>1755.64</v>
      </c>
      <c r="ET82">
        <v>39.5</v>
      </c>
      <c r="EU82">
        <v>0</v>
      </c>
      <c r="EV82">
        <v>257.60000014305109</v>
      </c>
      <c r="EW82">
        <v>0</v>
      </c>
      <c r="EX82">
        <v>576.58972000000006</v>
      </c>
      <c r="EY82">
        <v>-1.4865384562505191</v>
      </c>
      <c r="EZ82">
        <v>-26.215384987670451</v>
      </c>
      <c r="FA82">
        <v>10895.736000000001</v>
      </c>
      <c r="FB82">
        <v>15</v>
      </c>
      <c r="FC82">
        <v>1700166689.5</v>
      </c>
      <c r="FD82" t="s">
        <v>711</v>
      </c>
      <c r="FE82">
        <v>1700166682.5</v>
      </c>
      <c r="FF82">
        <v>1700166689.5</v>
      </c>
      <c r="FG82">
        <v>88</v>
      </c>
      <c r="FH82">
        <v>2.1999999999999999E-2</v>
      </c>
      <c r="FI82">
        <v>0</v>
      </c>
      <c r="FJ82">
        <v>-0.19</v>
      </c>
      <c r="FK82">
        <v>0.314</v>
      </c>
      <c r="FL82">
        <v>200</v>
      </c>
      <c r="FM82">
        <v>23</v>
      </c>
      <c r="FN82">
        <v>0.03</v>
      </c>
      <c r="FO82">
        <v>0.03</v>
      </c>
      <c r="FP82">
        <v>26.017825030110739</v>
      </c>
      <c r="FQ82">
        <v>0.60617225008167208</v>
      </c>
      <c r="FR82">
        <v>5.4679841844605732E-2</v>
      </c>
      <c r="FS82">
        <v>1</v>
      </c>
      <c r="FT82">
        <v>0.34272610461140418</v>
      </c>
      <c r="FU82">
        <v>1.6657323095880801E-2</v>
      </c>
      <c r="FV82">
        <v>1.2351690030545451E-3</v>
      </c>
      <c r="FW82">
        <v>1</v>
      </c>
      <c r="FX82">
        <v>2</v>
      </c>
      <c r="FY82">
        <v>2</v>
      </c>
      <c r="FZ82" t="s">
        <v>420</v>
      </c>
      <c r="GA82">
        <v>3.0124</v>
      </c>
      <c r="GB82">
        <v>2.7770100000000002</v>
      </c>
      <c r="GC82">
        <v>4.4419300000000002E-2</v>
      </c>
      <c r="GD82">
        <v>5.00086E-2</v>
      </c>
      <c r="GE82">
        <v>0.12442</v>
      </c>
      <c r="GF82">
        <v>0.11092200000000001</v>
      </c>
      <c r="GG82">
        <v>22934.5</v>
      </c>
      <c r="GH82">
        <v>23544.1</v>
      </c>
      <c r="GI82">
        <v>23771.200000000001</v>
      </c>
      <c r="GJ82">
        <v>24444.7</v>
      </c>
      <c r="GK82">
        <v>30784.799999999999</v>
      </c>
      <c r="GL82">
        <v>31166.5</v>
      </c>
      <c r="GM82">
        <v>38931.9</v>
      </c>
      <c r="GN82">
        <v>38931</v>
      </c>
      <c r="GO82">
        <v>1.9904200000000001</v>
      </c>
      <c r="GP82">
        <v>1.8012999999999999</v>
      </c>
      <c r="GQ82">
        <v>6.3974400000000001E-2</v>
      </c>
      <c r="GR82">
        <v>0</v>
      </c>
      <c r="GS82">
        <v>28.9284</v>
      </c>
      <c r="GT82">
        <v>999.9</v>
      </c>
      <c r="GU82">
        <v>40.200000000000003</v>
      </c>
      <c r="GV82">
        <v>38.799999999999997</v>
      </c>
      <c r="GW82">
        <v>28.226900000000001</v>
      </c>
      <c r="GX82">
        <v>61.125399999999999</v>
      </c>
      <c r="GY82">
        <v>30.212299999999999</v>
      </c>
      <c r="GZ82">
        <v>1</v>
      </c>
      <c r="HA82">
        <v>0.627386</v>
      </c>
      <c r="HB82">
        <v>2.4390299999999998</v>
      </c>
      <c r="HC82">
        <v>20.314599999999999</v>
      </c>
      <c r="HD82">
        <v>5.2421499999999996</v>
      </c>
      <c r="HE82">
        <v>12.002800000000001</v>
      </c>
      <c r="HF82">
        <v>4.9637000000000002</v>
      </c>
      <c r="HG82">
        <v>3.3010000000000002</v>
      </c>
      <c r="HH82">
        <v>9999</v>
      </c>
      <c r="HI82">
        <v>9999</v>
      </c>
      <c r="HJ82">
        <v>9999</v>
      </c>
      <c r="HK82">
        <v>999.9</v>
      </c>
      <c r="HL82">
        <v>1.8749499999999999</v>
      </c>
      <c r="HM82">
        <v>1.8802399999999999</v>
      </c>
      <c r="HN82">
        <v>1.8803399999999999</v>
      </c>
      <c r="HO82">
        <v>1.87903</v>
      </c>
      <c r="HP82">
        <v>1.88141</v>
      </c>
      <c r="HQ82">
        <v>1.8773200000000001</v>
      </c>
      <c r="HR82">
        <v>1.87504</v>
      </c>
      <c r="HS82">
        <v>1.8823000000000001</v>
      </c>
      <c r="HT82">
        <v>5</v>
      </c>
      <c r="HU82">
        <v>0</v>
      </c>
      <c r="HV82">
        <v>0</v>
      </c>
      <c r="HW82">
        <v>0</v>
      </c>
      <c r="HX82" t="s">
        <v>421</v>
      </c>
      <c r="HY82" t="s">
        <v>422</v>
      </c>
      <c r="HZ82" t="s">
        <v>423</v>
      </c>
      <c r="IA82" t="s">
        <v>423</v>
      </c>
      <c r="IB82" t="s">
        <v>423</v>
      </c>
      <c r="IC82" t="s">
        <v>423</v>
      </c>
      <c r="ID82">
        <v>0</v>
      </c>
      <c r="IE82">
        <v>100</v>
      </c>
      <c r="IF82">
        <v>100</v>
      </c>
      <c r="IG82">
        <v>-0.19500000000000001</v>
      </c>
      <c r="IH82">
        <v>0.34920000000000001</v>
      </c>
      <c r="II82">
        <v>-0.27898056139797539</v>
      </c>
      <c r="IJ82">
        <v>7.0786345690369205E-4</v>
      </c>
      <c r="IK82">
        <v>-1.387476646623666E-6</v>
      </c>
      <c r="IL82">
        <v>3.6592443641472651E-10</v>
      </c>
      <c r="IM82">
        <v>0.34920662214727399</v>
      </c>
      <c r="IN82">
        <v>0</v>
      </c>
      <c r="IO82">
        <v>0</v>
      </c>
      <c r="IP82">
        <v>0</v>
      </c>
      <c r="IQ82">
        <v>2</v>
      </c>
      <c r="IR82">
        <v>2142</v>
      </c>
      <c r="IS82">
        <v>1</v>
      </c>
      <c r="IT82">
        <v>24</v>
      </c>
      <c r="IU82">
        <v>1.6</v>
      </c>
      <c r="IV82">
        <v>1.5</v>
      </c>
      <c r="IW82">
        <v>0.59936500000000004</v>
      </c>
      <c r="IX82">
        <v>2.66479</v>
      </c>
      <c r="IY82">
        <v>1.5490699999999999</v>
      </c>
      <c r="IZ82">
        <v>2.36206</v>
      </c>
      <c r="JA82">
        <v>1.5966800000000001</v>
      </c>
      <c r="JB82">
        <v>2.3706100000000001</v>
      </c>
      <c r="JC82">
        <v>41.3521</v>
      </c>
      <c r="JD82">
        <v>24.1313</v>
      </c>
      <c r="JE82">
        <v>18</v>
      </c>
      <c r="JF82">
        <v>510.75400000000002</v>
      </c>
      <c r="JG82">
        <v>454.97</v>
      </c>
      <c r="JH82">
        <v>26.7758</v>
      </c>
      <c r="JI82">
        <v>34.884900000000002</v>
      </c>
      <c r="JJ82">
        <v>30.0002</v>
      </c>
      <c r="JK82">
        <v>34.866</v>
      </c>
      <c r="JL82">
        <v>34.854399999999998</v>
      </c>
      <c r="JM82">
        <v>11.988</v>
      </c>
      <c r="JN82">
        <v>21.546900000000001</v>
      </c>
      <c r="JO82">
        <v>35.218000000000004</v>
      </c>
      <c r="JP82">
        <v>26.776199999999999</v>
      </c>
      <c r="JQ82">
        <v>200</v>
      </c>
      <c r="JR82">
        <v>22.817900000000002</v>
      </c>
      <c r="JS82">
        <v>98.596299999999999</v>
      </c>
      <c r="JT82">
        <v>99.441999999999993</v>
      </c>
    </row>
    <row r="83" spans="1:280" x14ac:dyDescent="0.25">
      <c r="A83">
        <v>81</v>
      </c>
      <c r="B83">
        <v>1700166915.0999999</v>
      </c>
      <c r="C83">
        <v>19059.099999904629</v>
      </c>
      <c r="D83" t="s">
        <v>712</v>
      </c>
      <c r="E83" t="s">
        <v>713</v>
      </c>
      <c r="F83" t="s">
        <v>412</v>
      </c>
      <c r="G83" t="s">
        <v>547</v>
      </c>
      <c r="H83" t="s">
        <v>669</v>
      </c>
      <c r="I83">
        <v>1700166915.0999999</v>
      </c>
      <c r="J83">
        <f t="shared" si="92"/>
        <v>5.8638144965713797E-3</v>
      </c>
      <c r="K83">
        <f t="shared" si="93"/>
        <v>5.8638144965713801</v>
      </c>
      <c r="L83">
        <f t="shared" si="94"/>
        <v>16.747403534633555</v>
      </c>
      <c r="M83">
        <f t="shared" si="95"/>
        <v>104.64400000000001</v>
      </c>
      <c r="N83">
        <f t="shared" si="96"/>
        <v>30.991740575194601</v>
      </c>
      <c r="O83">
        <f t="shared" si="97"/>
        <v>3.0713668732470696</v>
      </c>
      <c r="P83">
        <f t="shared" si="98"/>
        <v>10.370508694220002</v>
      </c>
      <c r="Q83">
        <f t="shared" si="99"/>
        <v>0.39350821786037415</v>
      </c>
      <c r="R83">
        <f t="shared" si="100"/>
        <v>3.2971348221910679</v>
      </c>
      <c r="S83">
        <f t="shared" si="101"/>
        <v>0.36915479772505522</v>
      </c>
      <c r="T83">
        <f t="shared" si="102"/>
        <v>0.23278410030389729</v>
      </c>
      <c r="U83">
        <f t="shared" si="103"/>
        <v>289.5814144192716</v>
      </c>
      <c r="V83">
        <f t="shared" si="104"/>
        <v>29.747054293508082</v>
      </c>
      <c r="W83">
        <f t="shared" si="105"/>
        <v>29.9024</v>
      </c>
      <c r="X83">
        <f t="shared" si="106"/>
        <v>4.2366236841420912</v>
      </c>
      <c r="Y83">
        <f t="shared" si="107"/>
        <v>65.334307073496532</v>
      </c>
      <c r="Z83">
        <f t="shared" si="108"/>
        <v>2.7176651195384998</v>
      </c>
      <c r="AA83">
        <f t="shared" si="109"/>
        <v>4.1596295136050285</v>
      </c>
      <c r="AB83">
        <f t="shared" si="110"/>
        <v>1.5189585646035915</v>
      </c>
      <c r="AC83">
        <f t="shared" si="111"/>
        <v>-258.59421929879784</v>
      </c>
      <c r="AD83">
        <f t="shared" si="112"/>
        <v>-56.650560738574569</v>
      </c>
      <c r="AE83">
        <f t="shared" si="113"/>
        <v>-3.8106703493545862</v>
      </c>
      <c r="AF83">
        <f t="shared" si="114"/>
        <v>-29.474035967455421</v>
      </c>
      <c r="AG83">
        <v>11</v>
      </c>
      <c r="AH83">
        <v>2</v>
      </c>
      <c r="AI83">
        <f t="shared" si="115"/>
        <v>1</v>
      </c>
      <c r="AJ83">
        <f t="shared" si="116"/>
        <v>0</v>
      </c>
      <c r="AK83">
        <f t="shared" si="117"/>
        <v>51946.624981744084</v>
      </c>
      <c r="AL83" t="s">
        <v>426</v>
      </c>
      <c r="AM83" t="s">
        <v>426</v>
      </c>
      <c r="AN83">
        <v>0</v>
      </c>
      <c r="AO83">
        <v>0</v>
      </c>
      <c r="AP83" t="e">
        <f t="shared" si="118"/>
        <v>#DIV/0!</v>
      </c>
      <c r="AQ83">
        <v>0</v>
      </c>
      <c r="AR83" t="s">
        <v>426</v>
      </c>
      <c r="AS83" t="s">
        <v>426</v>
      </c>
      <c r="AT83">
        <v>0</v>
      </c>
      <c r="AU83">
        <v>0</v>
      </c>
      <c r="AV83" t="e">
        <f t="shared" si="119"/>
        <v>#DIV/0!</v>
      </c>
      <c r="AW83">
        <v>0.5</v>
      </c>
      <c r="AX83">
        <f t="shared" si="120"/>
        <v>1513.260600217239</v>
      </c>
      <c r="AY83">
        <f t="shared" si="121"/>
        <v>16.747403534633555</v>
      </c>
      <c r="AZ83" t="e">
        <f t="shared" si="122"/>
        <v>#DIV/0!</v>
      </c>
      <c r="BA83">
        <f t="shared" si="123"/>
        <v>1.1067098113986018E-2</v>
      </c>
      <c r="BB83" t="e">
        <f t="shared" si="124"/>
        <v>#DIV/0!</v>
      </c>
      <c r="BC83" t="e">
        <f t="shared" si="125"/>
        <v>#DIV/0!</v>
      </c>
      <c r="BD83" t="s">
        <v>426</v>
      </c>
      <c r="BE83">
        <v>0</v>
      </c>
      <c r="BF83" t="e">
        <f t="shared" si="126"/>
        <v>#DIV/0!</v>
      </c>
      <c r="BG83" t="e">
        <f t="shared" si="127"/>
        <v>#DIV/0!</v>
      </c>
      <c r="BH83" t="e">
        <f t="shared" si="128"/>
        <v>#DIV/0!</v>
      </c>
      <c r="BI83" t="e">
        <f t="shared" si="129"/>
        <v>#DIV/0!</v>
      </c>
      <c r="BJ83" t="e">
        <f t="shared" si="130"/>
        <v>#DIV/0!</v>
      </c>
      <c r="BK83" t="e">
        <f t="shared" si="131"/>
        <v>#DIV/0!</v>
      </c>
      <c r="BL83" t="e">
        <f t="shared" si="132"/>
        <v>#DIV/0!</v>
      </c>
      <c r="BM83" t="e">
        <f t="shared" si="133"/>
        <v>#DIV/0!</v>
      </c>
      <c r="BN83">
        <v>34517</v>
      </c>
      <c r="BO83">
        <v>290.00000000000011</v>
      </c>
      <c r="BP83">
        <v>682.5</v>
      </c>
      <c r="BQ83">
        <v>285</v>
      </c>
      <c r="BR83">
        <v>7131.74</v>
      </c>
      <c r="BS83">
        <v>683.21</v>
      </c>
      <c r="BT83">
        <v>-0.71</v>
      </c>
      <c r="BU83">
        <v>300.00000000000011</v>
      </c>
      <c r="BV83">
        <v>38.200000000000003</v>
      </c>
      <c r="BW83">
        <v>721.66132553699867</v>
      </c>
      <c r="BX83">
        <v>1.203502709525921</v>
      </c>
      <c r="BY83">
        <v>-27.4224985833349</v>
      </c>
      <c r="BZ83">
        <v>0.71955615682092344</v>
      </c>
      <c r="CA83">
        <v>0.98108612533171491</v>
      </c>
      <c r="CB83">
        <v>-7.0306885428253621E-3</v>
      </c>
      <c r="CC83">
        <v>289.99999999999989</v>
      </c>
      <c r="CD83">
        <v>689.11</v>
      </c>
      <c r="CE83">
        <v>845</v>
      </c>
      <c r="CF83">
        <v>7125.43</v>
      </c>
      <c r="CG83">
        <v>683.18</v>
      </c>
      <c r="CH83">
        <v>5.93</v>
      </c>
      <c r="CV83">
        <f t="shared" si="134"/>
        <v>1800.09</v>
      </c>
      <c r="CW83">
        <f t="shared" si="135"/>
        <v>1513.260600217239</v>
      </c>
      <c r="CX83">
        <f t="shared" si="136"/>
        <v>0.84065830053899482</v>
      </c>
      <c r="CY83">
        <f t="shared" si="137"/>
        <v>0.16087052004025998</v>
      </c>
      <c r="CZ83">
        <v>4.38</v>
      </c>
      <c r="DA83">
        <v>0.5</v>
      </c>
      <c r="DB83" t="s">
        <v>418</v>
      </c>
      <c r="DC83">
        <v>2</v>
      </c>
      <c r="DD83">
        <v>1700166915.0999999</v>
      </c>
      <c r="DE83">
        <v>104.64400000000001</v>
      </c>
      <c r="DF83">
        <v>119.85</v>
      </c>
      <c r="DG83">
        <v>27.422699999999999</v>
      </c>
      <c r="DH83">
        <v>22.427600000000002</v>
      </c>
      <c r="DI83">
        <v>104.88500000000001</v>
      </c>
      <c r="DJ83">
        <v>27.070900000000002</v>
      </c>
      <c r="DK83">
        <v>500.07400000000001</v>
      </c>
      <c r="DL83">
        <v>99.002700000000004</v>
      </c>
      <c r="DM83">
        <v>0.10005500000000001</v>
      </c>
      <c r="DN83">
        <v>29.5837</v>
      </c>
      <c r="DO83">
        <v>29.9024</v>
      </c>
      <c r="DP83">
        <v>999.9</v>
      </c>
      <c r="DQ83">
        <v>0</v>
      </c>
      <c r="DR83">
        <v>0</v>
      </c>
      <c r="DS83">
        <v>10008.799999999999</v>
      </c>
      <c r="DT83">
        <v>0</v>
      </c>
      <c r="DU83">
        <v>270.25599999999997</v>
      </c>
      <c r="DV83">
        <v>-15.2065</v>
      </c>
      <c r="DW83">
        <v>107.59399999999999</v>
      </c>
      <c r="DX83">
        <v>122.6</v>
      </c>
      <c r="DY83">
        <v>4.9951499999999998</v>
      </c>
      <c r="DZ83">
        <v>119.85</v>
      </c>
      <c r="EA83">
        <v>22.427600000000002</v>
      </c>
      <c r="EB83">
        <v>2.7149200000000002</v>
      </c>
      <c r="EC83">
        <v>2.2203900000000001</v>
      </c>
      <c r="ED83">
        <v>22.375699999999998</v>
      </c>
      <c r="EE83">
        <v>19.110199999999999</v>
      </c>
      <c r="EF83">
        <v>1800.09</v>
      </c>
      <c r="EG83">
        <v>0.97799400000000003</v>
      </c>
      <c r="EH83">
        <v>2.2006100000000001E-2</v>
      </c>
      <c r="EI83">
        <v>0</v>
      </c>
      <c r="EJ83">
        <v>598.27099999999996</v>
      </c>
      <c r="EK83">
        <v>4.9996700000000001</v>
      </c>
      <c r="EL83">
        <v>11312</v>
      </c>
      <c r="EM83">
        <v>15047.5</v>
      </c>
      <c r="EN83">
        <v>49.25</v>
      </c>
      <c r="EO83">
        <v>50.25</v>
      </c>
      <c r="EP83">
        <v>49.936999999999998</v>
      </c>
      <c r="EQ83">
        <v>50</v>
      </c>
      <c r="ER83">
        <v>50.686999999999998</v>
      </c>
      <c r="ES83">
        <v>1755.59</v>
      </c>
      <c r="ET83">
        <v>39.5</v>
      </c>
      <c r="EU83">
        <v>0</v>
      </c>
      <c r="EV83">
        <v>135.79999995231631</v>
      </c>
      <c r="EW83">
        <v>0</v>
      </c>
      <c r="EX83">
        <v>598.486576923077</v>
      </c>
      <c r="EY83">
        <v>-1.543555541420448</v>
      </c>
      <c r="EZ83">
        <v>11.852991452359699</v>
      </c>
      <c r="FA83">
        <v>11309.94230769231</v>
      </c>
      <c r="FB83">
        <v>15</v>
      </c>
      <c r="FC83">
        <v>1700166852.0999999</v>
      </c>
      <c r="FD83" t="s">
        <v>714</v>
      </c>
      <c r="FE83">
        <v>1700166852.0999999</v>
      </c>
      <c r="FF83">
        <v>1700166849.5999999</v>
      </c>
      <c r="FG83">
        <v>89</v>
      </c>
      <c r="FH83">
        <v>-2.1999999999999999E-2</v>
      </c>
      <c r="FI83">
        <v>3.0000000000000001E-3</v>
      </c>
      <c r="FJ83">
        <v>-0.23499999999999999</v>
      </c>
      <c r="FK83">
        <v>0.307</v>
      </c>
      <c r="FL83">
        <v>120</v>
      </c>
      <c r="FM83">
        <v>23</v>
      </c>
      <c r="FN83">
        <v>0.09</v>
      </c>
      <c r="FO83">
        <v>0.02</v>
      </c>
      <c r="FP83">
        <v>16.788513891176319</v>
      </c>
      <c r="FQ83">
        <v>-0.12064957000007299</v>
      </c>
      <c r="FR83">
        <v>6.705655542557952E-2</v>
      </c>
      <c r="FS83">
        <v>1</v>
      </c>
      <c r="FT83">
        <v>0.39245468795756938</v>
      </c>
      <c r="FU83">
        <v>4.1160929322469897E-2</v>
      </c>
      <c r="FV83">
        <v>3.5352601557674022E-3</v>
      </c>
      <c r="FW83">
        <v>1</v>
      </c>
      <c r="FX83">
        <v>2</v>
      </c>
      <c r="FY83">
        <v>2</v>
      </c>
      <c r="FZ83" t="s">
        <v>420</v>
      </c>
      <c r="GA83">
        <v>3.0121899999999999</v>
      </c>
      <c r="GB83">
        <v>2.7772199999999998</v>
      </c>
      <c r="GC83">
        <v>2.7472199999999999E-2</v>
      </c>
      <c r="GD83">
        <v>3.1410100000000003E-2</v>
      </c>
      <c r="GE83">
        <v>0.124871</v>
      </c>
      <c r="GF83">
        <v>0.109791</v>
      </c>
      <c r="GG83">
        <v>23340.9</v>
      </c>
      <c r="GH83">
        <v>24004.799999999999</v>
      </c>
      <c r="GI83">
        <v>23771.5</v>
      </c>
      <c r="GJ83">
        <v>24445.3</v>
      </c>
      <c r="GK83">
        <v>30769.4</v>
      </c>
      <c r="GL83">
        <v>31206.3</v>
      </c>
      <c r="GM83">
        <v>38932.300000000003</v>
      </c>
      <c r="GN83">
        <v>38931.1</v>
      </c>
      <c r="GO83">
        <v>1.9896499999999999</v>
      </c>
      <c r="GP83">
        <v>1.8008200000000001</v>
      </c>
      <c r="GQ83">
        <v>6.1765300000000002E-2</v>
      </c>
      <c r="GR83">
        <v>0</v>
      </c>
      <c r="GS83">
        <v>28.8963</v>
      </c>
      <c r="GT83">
        <v>999.9</v>
      </c>
      <c r="GU83">
        <v>40.1</v>
      </c>
      <c r="GV83">
        <v>38.700000000000003</v>
      </c>
      <c r="GW83">
        <v>28.005800000000001</v>
      </c>
      <c r="GX83">
        <v>61.013599999999997</v>
      </c>
      <c r="GY83">
        <v>30.801300000000001</v>
      </c>
      <c r="GZ83">
        <v>1</v>
      </c>
      <c r="HA83">
        <v>0.62693900000000002</v>
      </c>
      <c r="HB83">
        <v>2.2374800000000001</v>
      </c>
      <c r="HC83">
        <v>20.317799999999998</v>
      </c>
      <c r="HD83">
        <v>5.24634</v>
      </c>
      <c r="HE83">
        <v>11.9999</v>
      </c>
      <c r="HF83">
        <v>4.9637000000000002</v>
      </c>
      <c r="HG83">
        <v>3.3010000000000002</v>
      </c>
      <c r="HH83">
        <v>9999</v>
      </c>
      <c r="HI83">
        <v>9999</v>
      </c>
      <c r="HJ83">
        <v>9999</v>
      </c>
      <c r="HK83">
        <v>999.9</v>
      </c>
      <c r="HL83">
        <v>1.8749499999999999</v>
      </c>
      <c r="HM83">
        <v>1.8802099999999999</v>
      </c>
      <c r="HN83">
        <v>1.8803399999999999</v>
      </c>
      <c r="HO83">
        <v>1.87903</v>
      </c>
      <c r="HP83">
        <v>1.88141</v>
      </c>
      <c r="HQ83">
        <v>1.8772899999999999</v>
      </c>
      <c r="HR83">
        <v>1.8750199999999999</v>
      </c>
      <c r="HS83">
        <v>1.88228</v>
      </c>
      <c r="HT83">
        <v>5</v>
      </c>
      <c r="HU83">
        <v>0</v>
      </c>
      <c r="HV83">
        <v>0</v>
      </c>
      <c r="HW83">
        <v>0</v>
      </c>
      <c r="HX83" t="s">
        <v>421</v>
      </c>
      <c r="HY83" t="s">
        <v>422</v>
      </c>
      <c r="HZ83" t="s">
        <v>423</v>
      </c>
      <c r="IA83" t="s">
        <v>423</v>
      </c>
      <c r="IB83" t="s">
        <v>423</v>
      </c>
      <c r="IC83" t="s">
        <v>423</v>
      </c>
      <c r="ID83">
        <v>0</v>
      </c>
      <c r="IE83">
        <v>100</v>
      </c>
      <c r="IF83">
        <v>100</v>
      </c>
      <c r="IG83">
        <v>-0.24099999999999999</v>
      </c>
      <c r="IH83">
        <v>0.3518</v>
      </c>
      <c r="II83">
        <v>-0.30058271998492753</v>
      </c>
      <c r="IJ83">
        <v>7.0786345690369205E-4</v>
      </c>
      <c r="IK83">
        <v>-1.387476646623666E-6</v>
      </c>
      <c r="IL83">
        <v>3.6592443641472651E-10</v>
      </c>
      <c r="IM83">
        <v>0.35180178542086171</v>
      </c>
      <c r="IN83">
        <v>0</v>
      </c>
      <c r="IO83">
        <v>0</v>
      </c>
      <c r="IP83">
        <v>0</v>
      </c>
      <c r="IQ83">
        <v>2</v>
      </c>
      <c r="IR83">
        <v>2142</v>
      </c>
      <c r="IS83">
        <v>1</v>
      </c>
      <c r="IT83">
        <v>24</v>
      </c>
      <c r="IU83">
        <v>1.1000000000000001</v>
      </c>
      <c r="IV83">
        <v>1.1000000000000001</v>
      </c>
      <c r="IW83">
        <v>0.41992200000000002</v>
      </c>
      <c r="IX83">
        <v>2.6867700000000001</v>
      </c>
      <c r="IY83">
        <v>1.5490699999999999</v>
      </c>
      <c r="IZ83">
        <v>2.36206</v>
      </c>
      <c r="JA83">
        <v>1.5966800000000001</v>
      </c>
      <c r="JB83">
        <v>2.1875</v>
      </c>
      <c r="JC83">
        <v>41.3001</v>
      </c>
      <c r="JD83">
        <v>24.1313</v>
      </c>
      <c r="JE83">
        <v>18</v>
      </c>
      <c r="JF83">
        <v>510.31400000000002</v>
      </c>
      <c r="JG83">
        <v>454.70499999999998</v>
      </c>
      <c r="JH83">
        <v>26.760100000000001</v>
      </c>
      <c r="JI83">
        <v>34.888100000000001</v>
      </c>
      <c r="JJ83">
        <v>30</v>
      </c>
      <c r="JK83">
        <v>34.873399999999997</v>
      </c>
      <c r="JL83">
        <v>34.860399999999998</v>
      </c>
      <c r="JM83">
        <v>8.4190400000000007</v>
      </c>
      <c r="JN83">
        <v>22.2836</v>
      </c>
      <c r="JO83">
        <v>34.738300000000002</v>
      </c>
      <c r="JP83">
        <v>26.821400000000001</v>
      </c>
      <c r="JQ83">
        <v>120</v>
      </c>
      <c r="JR83">
        <v>22.401299999999999</v>
      </c>
      <c r="JS83">
        <v>98.597499999999997</v>
      </c>
      <c r="JT83">
        <v>99.442899999999995</v>
      </c>
    </row>
    <row r="84" spans="1:280" x14ac:dyDescent="0.25">
      <c r="A84">
        <v>82</v>
      </c>
      <c r="B84">
        <v>1700167020.0999999</v>
      </c>
      <c r="C84">
        <v>19164.099999904629</v>
      </c>
      <c r="D84" t="s">
        <v>715</v>
      </c>
      <c r="E84" t="s">
        <v>716</v>
      </c>
      <c r="F84" t="s">
        <v>412</v>
      </c>
      <c r="G84" t="s">
        <v>547</v>
      </c>
      <c r="H84" t="s">
        <v>669</v>
      </c>
      <c r="I84">
        <v>1700167020.0999999</v>
      </c>
      <c r="J84">
        <f t="shared" si="92"/>
        <v>6.2808022644649459E-3</v>
      </c>
      <c r="K84">
        <f t="shared" si="93"/>
        <v>6.2808022644649455</v>
      </c>
      <c r="L84">
        <f t="shared" si="94"/>
        <v>10.610372584689085</v>
      </c>
      <c r="M84">
        <f t="shared" si="95"/>
        <v>60.372199999999999</v>
      </c>
      <c r="N84">
        <f t="shared" si="96"/>
        <v>17.27097924905922</v>
      </c>
      <c r="O84">
        <f t="shared" si="97"/>
        <v>1.7116234850080352</v>
      </c>
      <c r="P84">
        <f t="shared" si="98"/>
        <v>5.9831277585045388</v>
      </c>
      <c r="Q84">
        <f t="shared" si="99"/>
        <v>0.42767141624399091</v>
      </c>
      <c r="R84">
        <f t="shared" si="100"/>
        <v>3.2974206648298661</v>
      </c>
      <c r="S84">
        <f t="shared" si="101"/>
        <v>0.39907298440833616</v>
      </c>
      <c r="T84">
        <f t="shared" si="102"/>
        <v>0.2518305310987286</v>
      </c>
      <c r="U84">
        <f t="shared" si="103"/>
        <v>289.58939441925992</v>
      </c>
      <c r="V84">
        <f t="shared" si="104"/>
        <v>29.903838836192552</v>
      </c>
      <c r="W84">
        <f t="shared" si="105"/>
        <v>30.008600000000001</v>
      </c>
      <c r="X84">
        <f t="shared" si="106"/>
        <v>4.2625547894765692</v>
      </c>
      <c r="Y84">
        <f t="shared" si="107"/>
        <v>65.344049845230202</v>
      </c>
      <c r="Z84">
        <f t="shared" si="108"/>
        <v>2.75805498567893</v>
      </c>
      <c r="AA84">
        <f t="shared" si="109"/>
        <v>4.2208203994265512</v>
      </c>
      <c r="AB84">
        <f t="shared" si="110"/>
        <v>1.5044998037976391</v>
      </c>
      <c r="AC84">
        <f t="shared" si="111"/>
        <v>-276.98337986290409</v>
      </c>
      <c r="AD84">
        <f t="shared" si="112"/>
        <v>-30.434316941451524</v>
      </c>
      <c r="AE84">
        <f t="shared" si="113"/>
        <v>-2.0506766852760925</v>
      </c>
      <c r="AF84">
        <f t="shared" si="114"/>
        <v>-19.878979070371766</v>
      </c>
      <c r="AG84">
        <v>10</v>
      </c>
      <c r="AH84">
        <v>2</v>
      </c>
      <c r="AI84">
        <f t="shared" si="115"/>
        <v>1</v>
      </c>
      <c r="AJ84">
        <f t="shared" si="116"/>
        <v>0</v>
      </c>
      <c r="AK84">
        <f t="shared" si="117"/>
        <v>51909.808220547638</v>
      </c>
      <c r="AL84" t="s">
        <v>415</v>
      </c>
      <c r="AM84">
        <v>10238.9</v>
      </c>
      <c r="AN84">
        <v>302.21199999999999</v>
      </c>
      <c r="AO84">
        <v>4052.3</v>
      </c>
      <c r="AP84">
        <f t="shared" si="118"/>
        <v>0.92542210596451402</v>
      </c>
      <c r="AQ84">
        <v>-0.32343011824092421</v>
      </c>
      <c r="AR84" t="s">
        <v>717</v>
      </c>
      <c r="AS84">
        <v>7131.41</v>
      </c>
      <c r="AT84">
        <v>614.36135999999999</v>
      </c>
      <c r="AU84">
        <v>696.62597778308168</v>
      </c>
      <c r="AV84">
        <f t="shared" si="119"/>
        <v>0.11809008048318514</v>
      </c>
      <c r="AW84">
        <v>0.5</v>
      </c>
      <c r="AX84">
        <f t="shared" si="120"/>
        <v>1513.3026002172332</v>
      </c>
      <c r="AY84">
        <f t="shared" si="121"/>
        <v>10.610372584689085</v>
      </c>
      <c r="AZ84">
        <f t="shared" si="122"/>
        <v>89.353012927533214</v>
      </c>
      <c r="BA84">
        <f t="shared" si="123"/>
        <v>7.2251264891505977E-3</v>
      </c>
      <c r="BB84">
        <f t="shared" si="124"/>
        <v>4.8170383092745102</v>
      </c>
      <c r="BC84">
        <f t="shared" si="125"/>
        <v>222.33820615760527</v>
      </c>
      <c r="BD84" t="s">
        <v>718</v>
      </c>
      <c r="BE84">
        <v>412.38</v>
      </c>
      <c r="BF84">
        <f t="shared" si="126"/>
        <v>412.38</v>
      </c>
      <c r="BG84">
        <f t="shared" si="127"/>
        <v>0.40803241172207816</v>
      </c>
      <c r="BH84">
        <f t="shared" si="128"/>
        <v>0.28941348062226857</v>
      </c>
      <c r="BI84">
        <f t="shared" si="129"/>
        <v>0.92190872937232637</v>
      </c>
      <c r="BJ84">
        <f t="shared" si="130"/>
        <v>0.20857429608725803</v>
      </c>
      <c r="BK84">
        <f t="shared" si="131"/>
        <v>0.8948254073549522</v>
      </c>
      <c r="BL84">
        <f t="shared" si="132"/>
        <v>0.19426405843461755</v>
      </c>
      <c r="BM84">
        <f t="shared" si="133"/>
        <v>0.80573594156538242</v>
      </c>
      <c r="BN84">
        <v>34519</v>
      </c>
      <c r="BO84">
        <v>290.00000000000011</v>
      </c>
      <c r="BP84">
        <v>673.64</v>
      </c>
      <c r="BQ84">
        <v>285</v>
      </c>
      <c r="BR84">
        <v>7131.41</v>
      </c>
      <c r="BS84">
        <v>673.8</v>
      </c>
      <c r="BT84">
        <v>-0.16</v>
      </c>
      <c r="BU84">
        <v>300.00000000000011</v>
      </c>
      <c r="BV84">
        <v>38.200000000000003</v>
      </c>
      <c r="BW84">
        <v>696.62597778308168</v>
      </c>
      <c r="BX84">
        <v>1.006501321382945</v>
      </c>
      <c r="BY84">
        <v>-16.27844765890227</v>
      </c>
      <c r="BZ84">
        <v>0.60174465822714673</v>
      </c>
      <c r="CA84">
        <v>0.96314893916748789</v>
      </c>
      <c r="CB84">
        <v>-7.0303608453837624E-3</v>
      </c>
      <c r="CC84">
        <v>289.99999999999989</v>
      </c>
      <c r="CD84">
        <v>673.63</v>
      </c>
      <c r="CE84">
        <v>805</v>
      </c>
      <c r="CF84">
        <v>7125.6</v>
      </c>
      <c r="CG84">
        <v>673.78</v>
      </c>
      <c r="CH84">
        <v>-0.15</v>
      </c>
      <c r="CV84">
        <f t="shared" si="134"/>
        <v>1800.14</v>
      </c>
      <c r="CW84">
        <f t="shared" si="135"/>
        <v>1513.3026002172332</v>
      </c>
      <c r="CX84">
        <f t="shared" si="136"/>
        <v>0.84065828225428751</v>
      </c>
      <c r="CY84">
        <f t="shared" si="137"/>
        <v>0.16087048475077489</v>
      </c>
      <c r="CZ84">
        <v>4.38</v>
      </c>
      <c r="DA84">
        <v>0.5</v>
      </c>
      <c r="DB84" t="s">
        <v>418</v>
      </c>
      <c r="DC84">
        <v>2</v>
      </c>
      <c r="DD84">
        <v>1700167020.0999999</v>
      </c>
      <c r="DE84">
        <v>60.372199999999999</v>
      </c>
      <c r="DF84">
        <v>69.994799999999998</v>
      </c>
      <c r="DG84">
        <v>27.829899999999999</v>
      </c>
      <c r="DH84">
        <v>22.4834</v>
      </c>
      <c r="DI84">
        <v>60.610100000000003</v>
      </c>
      <c r="DJ84">
        <v>27.474299999999999</v>
      </c>
      <c r="DK84">
        <v>500.221</v>
      </c>
      <c r="DL84">
        <v>99.004099999999994</v>
      </c>
      <c r="DM84">
        <v>9.9920700000000001E-2</v>
      </c>
      <c r="DN84">
        <v>29.837399999999999</v>
      </c>
      <c r="DO84">
        <v>30.008600000000001</v>
      </c>
      <c r="DP84">
        <v>999.9</v>
      </c>
      <c r="DQ84">
        <v>0</v>
      </c>
      <c r="DR84">
        <v>0</v>
      </c>
      <c r="DS84">
        <v>10010</v>
      </c>
      <c r="DT84">
        <v>0</v>
      </c>
      <c r="DU84">
        <v>280.67099999999999</v>
      </c>
      <c r="DV84">
        <v>-9.6226500000000001</v>
      </c>
      <c r="DW84">
        <v>62.1004</v>
      </c>
      <c r="DX84">
        <v>71.604699999999994</v>
      </c>
      <c r="DY84">
        <v>5.3464999999999998</v>
      </c>
      <c r="DZ84">
        <v>69.994799999999998</v>
      </c>
      <c r="EA84">
        <v>22.4834</v>
      </c>
      <c r="EB84">
        <v>2.7552699999999999</v>
      </c>
      <c r="EC84">
        <v>2.2259500000000001</v>
      </c>
      <c r="ED84">
        <v>22.618500000000001</v>
      </c>
      <c r="EE84">
        <v>19.150300000000001</v>
      </c>
      <c r="EF84">
        <v>1800.14</v>
      </c>
      <c r="EG84">
        <v>0.97799400000000003</v>
      </c>
      <c r="EH84">
        <v>2.2006100000000001E-2</v>
      </c>
      <c r="EI84">
        <v>0</v>
      </c>
      <c r="EJ84">
        <v>614.55100000000004</v>
      </c>
      <c r="EK84">
        <v>4.9996700000000001</v>
      </c>
      <c r="EL84">
        <v>11792</v>
      </c>
      <c r="EM84">
        <v>15048</v>
      </c>
      <c r="EN84">
        <v>49.25</v>
      </c>
      <c r="EO84">
        <v>50.186999999999998</v>
      </c>
      <c r="EP84">
        <v>49.936999999999998</v>
      </c>
      <c r="EQ84">
        <v>49.936999999999998</v>
      </c>
      <c r="ER84">
        <v>50.686999999999998</v>
      </c>
      <c r="ES84">
        <v>1755.64</v>
      </c>
      <c r="ET84">
        <v>39.5</v>
      </c>
      <c r="EU84">
        <v>0</v>
      </c>
      <c r="EV84">
        <v>240.79999995231631</v>
      </c>
      <c r="EW84">
        <v>0</v>
      </c>
      <c r="EX84">
        <v>614.36135999999999</v>
      </c>
      <c r="EY84">
        <v>0.28715384151402651</v>
      </c>
      <c r="EZ84">
        <v>609.63076850375853</v>
      </c>
      <c r="FA84">
        <v>11625.848</v>
      </c>
      <c r="FB84">
        <v>15</v>
      </c>
      <c r="FC84">
        <v>1700166988.0999999</v>
      </c>
      <c r="FD84" t="s">
        <v>719</v>
      </c>
      <c r="FE84">
        <v>1700166988.0999999</v>
      </c>
      <c r="FF84">
        <v>1700166988.0999999</v>
      </c>
      <c r="FG84">
        <v>90</v>
      </c>
      <c r="FH84">
        <v>2.5000000000000001E-2</v>
      </c>
      <c r="FI84">
        <v>4.0000000000000001E-3</v>
      </c>
      <c r="FJ84">
        <v>-0.23300000000000001</v>
      </c>
      <c r="FK84">
        <v>0.28999999999999998</v>
      </c>
      <c r="FL84">
        <v>70</v>
      </c>
      <c r="FM84">
        <v>22</v>
      </c>
      <c r="FN84">
        <v>0.1</v>
      </c>
      <c r="FO84">
        <v>0.02</v>
      </c>
      <c r="FP84">
        <v>10.596467371490441</v>
      </c>
      <c r="FQ84">
        <v>4.0322923342687389E-2</v>
      </c>
      <c r="FR84">
        <v>3.3876122002805743E-2</v>
      </c>
      <c r="FS84">
        <v>1</v>
      </c>
      <c r="FT84">
        <v>0.42429646633081419</v>
      </c>
      <c r="FU84">
        <v>4.9926833512210167E-2</v>
      </c>
      <c r="FV84">
        <v>4.3398682727018752E-3</v>
      </c>
      <c r="FW84">
        <v>1</v>
      </c>
      <c r="FX84">
        <v>2</v>
      </c>
      <c r="FY84">
        <v>2</v>
      </c>
      <c r="FZ84" t="s">
        <v>420</v>
      </c>
      <c r="GA84">
        <v>3.01254</v>
      </c>
      <c r="GB84">
        <v>2.7770899999999998</v>
      </c>
      <c r="GC84">
        <v>1.6195000000000001E-2</v>
      </c>
      <c r="GD84">
        <v>1.8797500000000002E-2</v>
      </c>
      <c r="GE84">
        <v>0.12615699999999999</v>
      </c>
      <c r="GF84">
        <v>0.109987</v>
      </c>
      <c r="GG84">
        <v>23612.7</v>
      </c>
      <c r="GH84">
        <v>24318.799999999999</v>
      </c>
      <c r="GI84">
        <v>23773.1</v>
      </c>
      <c r="GJ84">
        <v>24447.1</v>
      </c>
      <c r="GK84">
        <v>30725.7</v>
      </c>
      <c r="GL84">
        <v>31202.400000000001</v>
      </c>
      <c r="GM84">
        <v>38934.400000000001</v>
      </c>
      <c r="GN84">
        <v>38934.800000000003</v>
      </c>
      <c r="GO84">
        <v>1.9904200000000001</v>
      </c>
      <c r="GP84">
        <v>1.8017700000000001</v>
      </c>
      <c r="GQ84">
        <v>6.8053600000000006E-2</v>
      </c>
      <c r="GR84">
        <v>0</v>
      </c>
      <c r="GS84">
        <v>28.900099999999998</v>
      </c>
      <c r="GT84">
        <v>999.9</v>
      </c>
      <c r="GU84">
        <v>39.9</v>
      </c>
      <c r="GV84">
        <v>38.700000000000003</v>
      </c>
      <c r="GW84">
        <v>27.865400000000001</v>
      </c>
      <c r="GX84">
        <v>61.133600000000001</v>
      </c>
      <c r="GY84">
        <v>30.308499999999999</v>
      </c>
      <c r="GZ84">
        <v>1</v>
      </c>
      <c r="HA84">
        <v>0.62599300000000002</v>
      </c>
      <c r="HB84">
        <v>2.6943100000000002</v>
      </c>
      <c r="HC84">
        <v>20.310099999999998</v>
      </c>
      <c r="HD84">
        <v>5.2452899999999998</v>
      </c>
      <c r="HE84">
        <v>12.001099999999999</v>
      </c>
      <c r="HF84">
        <v>4.9636500000000003</v>
      </c>
      <c r="HG84">
        <v>3.3010000000000002</v>
      </c>
      <c r="HH84">
        <v>9999</v>
      </c>
      <c r="HI84">
        <v>9999</v>
      </c>
      <c r="HJ84">
        <v>9999</v>
      </c>
      <c r="HK84">
        <v>999.9</v>
      </c>
      <c r="HL84">
        <v>1.87497</v>
      </c>
      <c r="HM84">
        <v>1.8802399999999999</v>
      </c>
      <c r="HN84">
        <v>1.8803399999999999</v>
      </c>
      <c r="HO84">
        <v>1.8790500000000001</v>
      </c>
      <c r="HP84">
        <v>1.88141</v>
      </c>
      <c r="HQ84">
        <v>1.8773</v>
      </c>
      <c r="HR84">
        <v>1.8750100000000001</v>
      </c>
      <c r="HS84">
        <v>1.8823000000000001</v>
      </c>
      <c r="HT84">
        <v>5</v>
      </c>
      <c r="HU84">
        <v>0</v>
      </c>
      <c r="HV84">
        <v>0</v>
      </c>
      <c r="HW84">
        <v>0</v>
      </c>
      <c r="HX84" t="s">
        <v>421</v>
      </c>
      <c r="HY84" t="s">
        <v>422</v>
      </c>
      <c r="HZ84" t="s">
        <v>423</v>
      </c>
      <c r="IA84" t="s">
        <v>423</v>
      </c>
      <c r="IB84" t="s">
        <v>423</v>
      </c>
      <c r="IC84" t="s">
        <v>423</v>
      </c>
      <c r="ID84">
        <v>0</v>
      </c>
      <c r="IE84">
        <v>100</v>
      </c>
      <c r="IF84">
        <v>100</v>
      </c>
      <c r="IG84">
        <v>-0.23799999999999999</v>
      </c>
      <c r="IH84">
        <v>0.35560000000000003</v>
      </c>
      <c r="II84">
        <v>-0.27581849224875821</v>
      </c>
      <c r="IJ84">
        <v>7.0786345690369205E-4</v>
      </c>
      <c r="IK84">
        <v>-1.387476646623666E-6</v>
      </c>
      <c r="IL84">
        <v>3.6592443641472651E-10</v>
      </c>
      <c r="IM84">
        <v>0.35561210041782182</v>
      </c>
      <c r="IN84">
        <v>0</v>
      </c>
      <c r="IO84">
        <v>0</v>
      </c>
      <c r="IP84">
        <v>0</v>
      </c>
      <c r="IQ84">
        <v>2</v>
      </c>
      <c r="IR84">
        <v>2142</v>
      </c>
      <c r="IS84">
        <v>1</v>
      </c>
      <c r="IT84">
        <v>24</v>
      </c>
      <c r="IU84">
        <v>0.5</v>
      </c>
      <c r="IV84">
        <v>0.5</v>
      </c>
      <c r="IW84">
        <v>0.30761699999999997</v>
      </c>
      <c r="IX84">
        <v>2.6928700000000001</v>
      </c>
      <c r="IY84">
        <v>1.5490699999999999</v>
      </c>
      <c r="IZ84">
        <v>2.36206</v>
      </c>
      <c r="JA84">
        <v>1.5966800000000001</v>
      </c>
      <c r="JB84">
        <v>2.3742700000000001</v>
      </c>
      <c r="JC84">
        <v>41.248199999999997</v>
      </c>
      <c r="JD84">
        <v>24.1313</v>
      </c>
      <c r="JE84">
        <v>18</v>
      </c>
      <c r="JF84">
        <v>510.68099999999998</v>
      </c>
      <c r="JG84">
        <v>455.20600000000002</v>
      </c>
      <c r="JH84">
        <v>26.7575</v>
      </c>
      <c r="JI84">
        <v>34.849899999999998</v>
      </c>
      <c r="JJ84">
        <v>29.999600000000001</v>
      </c>
      <c r="JK84">
        <v>34.856400000000001</v>
      </c>
      <c r="JL84">
        <v>34.844200000000001</v>
      </c>
      <c r="JM84">
        <v>6.1534700000000004</v>
      </c>
      <c r="JN84">
        <v>21.434799999999999</v>
      </c>
      <c r="JO84">
        <v>34.570599999999999</v>
      </c>
      <c r="JP84">
        <v>26.7545</v>
      </c>
      <c r="JQ84">
        <v>70</v>
      </c>
      <c r="JR84">
        <v>22.4194</v>
      </c>
      <c r="JS84">
        <v>98.603200000000001</v>
      </c>
      <c r="JT84">
        <v>99.451599999999999</v>
      </c>
    </row>
    <row r="85" spans="1:280" x14ac:dyDescent="0.25">
      <c r="A85">
        <v>83</v>
      </c>
      <c r="B85">
        <v>1700167141.5999999</v>
      </c>
      <c r="C85">
        <v>19285.599999904629</v>
      </c>
      <c r="D85" t="s">
        <v>720</v>
      </c>
      <c r="E85" t="s">
        <v>721</v>
      </c>
      <c r="F85" t="s">
        <v>412</v>
      </c>
      <c r="G85" t="s">
        <v>547</v>
      </c>
      <c r="H85" t="s">
        <v>669</v>
      </c>
      <c r="I85">
        <v>1700167141.5999999</v>
      </c>
      <c r="J85">
        <f t="shared" si="92"/>
        <v>6.6317007363760911E-3</v>
      </c>
      <c r="K85">
        <f t="shared" si="93"/>
        <v>6.6317007363760911</v>
      </c>
      <c r="L85">
        <f t="shared" si="94"/>
        <v>4.6909212903824367</v>
      </c>
      <c r="M85">
        <f t="shared" si="95"/>
        <v>25.778700000000001</v>
      </c>
      <c r="N85">
        <f t="shared" si="96"/>
        <v>7.8911646433397662</v>
      </c>
      <c r="O85">
        <f t="shared" si="97"/>
        <v>0.78205863035046752</v>
      </c>
      <c r="P85">
        <f t="shared" si="98"/>
        <v>2.5548136080561004</v>
      </c>
      <c r="Q85">
        <f t="shared" si="99"/>
        <v>0.45786072987021081</v>
      </c>
      <c r="R85">
        <f t="shared" si="100"/>
        <v>3.2915871033842601</v>
      </c>
      <c r="S85">
        <f t="shared" si="101"/>
        <v>0.42519392818591212</v>
      </c>
      <c r="T85">
        <f t="shared" si="102"/>
        <v>0.26848671030962978</v>
      </c>
      <c r="U85">
        <f t="shared" si="103"/>
        <v>289.594182419253</v>
      </c>
      <c r="V85">
        <f t="shared" si="104"/>
        <v>29.831981532936823</v>
      </c>
      <c r="W85">
        <f t="shared" si="105"/>
        <v>30.002199999999998</v>
      </c>
      <c r="X85">
        <f t="shared" si="106"/>
        <v>4.2609881789030473</v>
      </c>
      <c r="Y85">
        <f t="shared" si="107"/>
        <v>65.592370208353515</v>
      </c>
      <c r="Z85">
        <f t="shared" si="108"/>
        <v>2.7700808883324002</v>
      </c>
      <c r="AA85">
        <f t="shared" si="109"/>
        <v>4.2231754692401964</v>
      </c>
      <c r="AB85">
        <f t="shared" si="110"/>
        <v>1.4909072905706471</v>
      </c>
      <c r="AC85">
        <f t="shared" si="111"/>
        <v>-292.45800247418561</v>
      </c>
      <c r="AD85">
        <f t="shared" si="112"/>
        <v>-27.523432411627393</v>
      </c>
      <c r="AE85">
        <f t="shared" si="113"/>
        <v>-1.8578571653727129</v>
      </c>
      <c r="AF85">
        <f t="shared" si="114"/>
        <v>-32.245109631932706</v>
      </c>
      <c r="AG85">
        <v>10</v>
      </c>
      <c r="AH85">
        <v>2</v>
      </c>
      <c r="AI85">
        <f t="shared" si="115"/>
        <v>1</v>
      </c>
      <c r="AJ85">
        <f t="shared" si="116"/>
        <v>0</v>
      </c>
      <c r="AK85">
        <f t="shared" si="117"/>
        <v>51772.08093827025</v>
      </c>
      <c r="AL85" t="s">
        <v>426</v>
      </c>
      <c r="AM85" t="s">
        <v>426</v>
      </c>
      <c r="AN85">
        <v>0</v>
      </c>
      <c r="AO85">
        <v>0</v>
      </c>
      <c r="AP85" t="e">
        <f t="shared" si="118"/>
        <v>#DIV/0!</v>
      </c>
      <c r="AQ85">
        <v>0</v>
      </c>
      <c r="AR85" t="s">
        <v>426</v>
      </c>
      <c r="AS85" t="s">
        <v>426</v>
      </c>
      <c r="AT85">
        <v>0</v>
      </c>
      <c r="AU85">
        <v>0</v>
      </c>
      <c r="AV85" t="e">
        <f t="shared" si="119"/>
        <v>#DIV/0!</v>
      </c>
      <c r="AW85">
        <v>0.5</v>
      </c>
      <c r="AX85">
        <f t="shared" si="120"/>
        <v>1513.3278002172294</v>
      </c>
      <c r="AY85">
        <f t="shared" si="121"/>
        <v>4.6909212903824367</v>
      </c>
      <c r="AZ85" t="e">
        <f t="shared" si="122"/>
        <v>#DIV/0!</v>
      </c>
      <c r="BA85">
        <f t="shared" si="123"/>
        <v>3.0997390583250252E-3</v>
      </c>
      <c r="BB85" t="e">
        <f t="shared" si="124"/>
        <v>#DIV/0!</v>
      </c>
      <c r="BC85" t="e">
        <f t="shared" si="125"/>
        <v>#DIV/0!</v>
      </c>
      <c r="BD85" t="s">
        <v>426</v>
      </c>
      <c r="BE85">
        <v>0</v>
      </c>
      <c r="BF85" t="e">
        <f t="shared" si="126"/>
        <v>#DIV/0!</v>
      </c>
      <c r="BG85" t="e">
        <f t="shared" si="127"/>
        <v>#DIV/0!</v>
      </c>
      <c r="BH85" t="e">
        <f t="shared" si="128"/>
        <v>#DIV/0!</v>
      </c>
      <c r="BI85" t="e">
        <f t="shared" si="129"/>
        <v>#DIV/0!</v>
      </c>
      <c r="BJ85" t="e">
        <f t="shared" si="130"/>
        <v>#DIV/0!</v>
      </c>
      <c r="BK85" t="e">
        <f t="shared" si="131"/>
        <v>#DIV/0!</v>
      </c>
      <c r="BL85" t="e">
        <f t="shared" si="132"/>
        <v>#DIV/0!</v>
      </c>
      <c r="BM85" t="e">
        <f t="shared" si="133"/>
        <v>#DIV/0!</v>
      </c>
      <c r="BN85">
        <v>34519</v>
      </c>
      <c r="BO85">
        <v>290.00000000000011</v>
      </c>
      <c r="BP85">
        <v>673.64</v>
      </c>
      <c r="BQ85">
        <v>285</v>
      </c>
      <c r="BR85">
        <v>7131.41</v>
      </c>
      <c r="BS85">
        <v>673.8</v>
      </c>
      <c r="BT85">
        <v>-0.16</v>
      </c>
      <c r="BU85">
        <v>300.00000000000011</v>
      </c>
      <c r="BV85">
        <v>38.200000000000003</v>
      </c>
      <c r="BW85">
        <v>696.62597778308168</v>
      </c>
      <c r="BX85">
        <v>1.006501321382945</v>
      </c>
      <c r="BY85">
        <v>-16.27844765890227</v>
      </c>
      <c r="BZ85">
        <v>0.60174465822714673</v>
      </c>
      <c r="CA85">
        <v>0.96314893916748789</v>
      </c>
      <c r="CB85">
        <v>-7.0303608453837624E-3</v>
      </c>
      <c r="CC85">
        <v>289.99999999999989</v>
      </c>
      <c r="CD85">
        <v>673.63</v>
      </c>
      <c r="CE85">
        <v>805</v>
      </c>
      <c r="CF85">
        <v>7125.6</v>
      </c>
      <c r="CG85">
        <v>673.78</v>
      </c>
      <c r="CH85">
        <v>-0.15</v>
      </c>
      <c r="CV85">
        <f t="shared" si="134"/>
        <v>1800.17</v>
      </c>
      <c r="CW85">
        <f t="shared" si="135"/>
        <v>1513.3278002172294</v>
      </c>
      <c r="CX85">
        <f t="shared" si="136"/>
        <v>0.84065827128395065</v>
      </c>
      <c r="CY85">
        <f t="shared" si="137"/>
        <v>0.16087046357802484</v>
      </c>
      <c r="CZ85">
        <v>4.38</v>
      </c>
      <c r="DA85">
        <v>0.5</v>
      </c>
      <c r="DB85" t="s">
        <v>418</v>
      </c>
      <c r="DC85">
        <v>2</v>
      </c>
      <c r="DD85">
        <v>1700167141.5999999</v>
      </c>
      <c r="DE85">
        <v>25.778700000000001</v>
      </c>
      <c r="DF85">
        <v>30.035900000000002</v>
      </c>
      <c r="DG85">
        <v>27.950800000000001</v>
      </c>
      <c r="DH85">
        <v>22.3062</v>
      </c>
      <c r="DI85">
        <v>26</v>
      </c>
      <c r="DJ85">
        <v>27.5913</v>
      </c>
      <c r="DK85">
        <v>500.21199999999999</v>
      </c>
      <c r="DL85">
        <v>99.005499999999998</v>
      </c>
      <c r="DM85">
        <v>0.100103</v>
      </c>
      <c r="DN85">
        <v>29.847100000000001</v>
      </c>
      <c r="DO85">
        <v>30.002199999999998</v>
      </c>
      <c r="DP85">
        <v>999.9</v>
      </c>
      <c r="DQ85">
        <v>0</v>
      </c>
      <c r="DR85">
        <v>0</v>
      </c>
      <c r="DS85">
        <v>9982.5</v>
      </c>
      <c r="DT85">
        <v>0</v>
      </c>
      <c r="DU85">
        <v>249.721</v>
      </c>
      <c r="DV85">
        <v>-4.2572099999999997</v>
      </c>
      <c r="DW85">
        <v>26.52</v>
      </c>
      <c r="DX85">
        <v>30.7212</v>
      </c>
      <c r="DY85">
        <v>5.6445800000000004</v>
      </c>
      <c r="DZ85">
        <v>30.035900000000002</v>
      </c>
      <c r="EA85">
        <v>22.3062</v>
      </c>
      <c r="EB85">
        <v>2.76728</v>
      </c>
      <c r="EC85">
        <v>2.20844</v>
      </c>
      <c r="ED85">
        <v>22.690200000000001</v>
      </c>
      <c r="EE85">
        <v>19.023599999999998</v>
      </c>
      <c r="EF85">
        <v>1800.17</v>
      </c>
      <c r="EG85">
        <v>0.97799400000000003</v>
      </c>
      <c r="EH85">
        <v>2.2006100000000001E-2</v>
      </c>
      <c r="EI85">
        <v>0</v>
      </c>
      <c r="EJ85">
        <v>630.04100000000005</v>
      </c>
      <c r="EK85">
        <v>4.9996700000000001</v>
      </c>
      <c r="EL85">
        <v>11791.3</v>
      </c>
      <c r="EM85">
        <v>15048.2</v>
      </c>
      <c r="EN85">
        <v>49.311999999999998</v>
      </c>
      <c r="EO85">
        <v>50.061999999999998</v>
      </c>
      <c r="EP85">
        <v>49.936999999999998</v>
      </c>
      <c r="EQ85">
        <v>49.936999999999998</v>
      </c>
      <c r="ER85">
        <v>50.75</v>
      </c>
      <c r="ES85">
        <v>1755.67</v>
      </c>
      <c r="ET85">
        <v>39.5</v>
      </c>
      <c r="EU85">
        <v>0</v>
      </c>
      <c r="EV85">
        <v>119.3999998569489</v>
      </c>
      <c r="EW85">
        <v>0</v>
      </c>
      <c r="EX85">
        <v>630.44234615384619</v>
      </c>
      <c r="EY85">
        <v>-0.62834186357101152</v>
      </c>
      <c r="EZ85">
        <v>-26.28034191125823</v>
      </c>
      <c r="FA85">
        <v>11793.15769230769</v>
      </c>
      <c r="FB85">
        <v>15</v>
      </c>
      <c r="FC85">
        <v>1700167112.5999999</v>
      </c>
      <c r="FD85" t="s">
        <v>722</v>
      </c>
      <c r="FE85">
        <v>1700167093.0999999</v>
      </c>
      <c r="FF85">
        <v>1700167112.5999999</v>
      </c>
      <c r="FG85">
        <v>91</v>
      </c>
      <c r="FH85">
        <v>3.6999999999999998E-2</v>
      </c>
      <c r="FI85">
        <v>4.0000000000000001E-3</v>
      </c>
      <c r="FJ85">
        <v>-0.219</v>
      </c>
      <c r="FK85">
        <v>0.29599999999999999</v>
      </c>
      <c r="FL85">
        <v>30</v>
      </c>
      <c r="FM85">
        <v>22</v>
      </c>
      <c r="FN85">
        <v>0.39</v>
      </c>
      <c r="FO85">
        <v>0.02</v>
      </c>
      <c r="FP85">
        <v>4.6511434568717078</v>
      </c>
      <c r="FQ85">
        <v>-0.15648072692921711</v>
      </c>
      <c r="FR85">
        <v>2.4665181155490039E-2</v>
      </c>
      <c r="FS85">
        <v>1</v>
      </c>
      <c r="FT85">
        <v>0.45388522591748148</v>
      </c>
      <c r="FU85">
        <v>4.4035318938060487E-2</v>
      </c>
      <c r="FV85">
        <v>3.5809629751394159E-3</v>
      </c>
      <c r="FW85">
        <v>1</v>
      </c>
      <c r="FX85">
        <v>2</v>
      </c>
      <c r="FY85">
        <v>2</v>
      </c>
      <c r="FZ85" t="s">
        <v>420</v>
      </c>
      <c r="GA85">
        <v>3.01247</v>
      </c>
      <c r="GB85">
        <v>2.77704</v>
      </c>
      <c r="GC85">
        <v>7.0275900000000002E-3</v>
      </c>
      <c r="GD85">
        <v>8.1847799999999991E-3</v>
      </c>
      <c r="GE85">
        <v>0.12654399999999999</v>
      </c>
      <c r="GF85">
        <v>0.10939699999999999</v>
      </c>
      <c r="GG85">
        <v>23836.7</v>
      </c>
      <c r="GH85">
        <v>24586.400000000001</v>
      </c>
      <c r="GI85">
        <v>23777.3</v>
      </c>
      <c r="GJ85">
        <v>24451.9</v>
      </c>
      <c r="GK85">
        <v>30717</v>
      </c>
      <c r="GL85">
        <v>31228.6</v>
      </c>
      <c r="GM85">
        <v>38940.9</v>
      </c>
      <c r="GN85">
        <v>38941.699999999997</v>
      </c>
      <c r="GO85">
        <v>1.9927999999999999</v>
      </c>
      <c r="GP85">
        <v>1.8029200000000001</v>
      </c>
      <c r="GQ85">
        <v>6.6027000000000002E-2</v>
      </c>
      <c r="GR85">
        <v>0</v>
      </c>
      <c r="GS85">
        <v>28.9268</v>
      </c>
      <c r="GT85">
        <v>999.9</v>
      </c>
      <c r="GU85">
        <v>39.700000000000003</v>
      </c>
      <c r="GV85">
        <v>38.6</v>
      </c>
      <c r="GW85">
        <v>27.575299999999999</v>
      </c>
      <c r="GX85">
        <v>60.973599999999998</v>
      </c>
      <c r="GY85">
        <v>30.212299999999999</v>
      </c>
      <c r="GZ85">
        <v>1</v>
      </c>
      <c r="HA85">
        <v>0.61919999999999997</v>
      </c>
      <c r="HB85">
        <v>2.6492399999999998</v>
      </c>
      <c r="HC85">
        <v>20.3111</v>
      </c>
      <c r="HD85">
        <v>5.2461900000000004</v>
      </c>
      <c r="HE85">
        <v>11.998900000000001</v>
      </c>
      <c r="HF85">
        <v>4.9637500000000001</v>
      </c>
      <c r="HG85">
        <v>3.3010000000000002</v>
      </c>
      <c r="HH85">
        <v>9999</v>
      </c>
      <c r="HI85">
        <v>9999</v>
      </c>
      <c r="HJ85">
        <v>9999</v>
      </c>
      <c r="HK85">
        <v>999.9</v>
      </c>
      <c r="HL85">
        <v>1.87496</v>
      </c>
      <c r="HM85">
        <v>1.88025</v>
      </c>
      <c r="HN85">
        <v>1.8803399999999999</v>
      </c>
      <c r="HO85">
        <v>1.87904</v>
      </c>
      <c r="HP85">
        <v>1.88141</v>
      </c>
      <c r="HQ85">
        <v>1.8773299999999999</v>
      </c>
      <c r="HR85">
        <v>1.87504</v>
      </c>
      <c r="HS85">
        <v>1.8823099999999999</v>
      </c>
      <c r="HT85">
        <v>5</v>
      </c>
      <c r="HU85">
        <v>0</v>
      </c>
      <c r="HV85">
        <v>0</v>
      </c>
      <c r="HW85">
        <v>0</v>
      </c>
      <c r="HX85" t="s">
        <v>421</v>
      </c>
      <c r="HY85" t="s">
        <v>422</v>
      </c>
      <c r="HZ85" t="s">
        <v>423</v>
      </c>
      <c r="IA85" t="s">
        <v>423</v>
      </c>
      <c r="IB85" t="s">
        <v>423</v>
      </c>
      <c r="IC85" t="s">
        <v>423</v>
      </c>
      <c r="ID85">
        <v>0</v>
      </c>
      <c r="IE85">
        <v>100</v>
      </c>
      <c r="IF85">
        <v>100</v>
      </c>
      <c r="IG85">
        <v>-0.221</v>
      </c>
      <c r="IH85">
        <v>0.35949999999999999</v>
      </c>
      <c r="II85">
        <v>-0.23874409262420071</v>
      </c>
      <c r="IJ85">
        <v>7.0786345690369205E-4</v>
      </c>
      <c r="IK85">
        <v>-1.387476646623666E-6</v>
      </c>
      <c r="IL85">
        <v>3.6592443641472651E-10</v>
      </c>
      <c r="IM85">
        <v>0.35948648577661918</v>
      </c>
      <c r="IN85">
        <v>0</v>
      </c>
      <c r="IO85">
        <v>0</v>
      </c>
      <c r="IP85">
        <v>0</v>
      </c>
      <c r="IQ85">
        <v>2</v>
      </c>
      <c r="IR85">
        <v>2142</v>
      </c>
      <c r="IS85">
        <v>1</v>
      </c>
      <c r="IT85">
        <v>24</v>
      </c>
      <c r="IU85">
        <v>0.8</v>
      </c>
      <c r="IV85">
        <v>0.5</v>
      </c>
      <c r="IW85">
        <v>0.21850600000000001</v>
      </c>
      <c r="IX85">
        <v>2.7063000000000001</v>
      </c>
      <c r="IY85">
        <v>1.5490699999999999</v>
      </c>
      <c r="IZ85">
        <v>2.36206</v>
      </c>
      <c r="JA85">
        <v>1.5966800000000001</v>
      </c>
      <c r="JB85">
        <v>2.3730500000000001</v>
      </c>
      <c r="JC85">
        <v>41.196399999999997</v>
      </c>
      <c r="JD85">
        <v>24.14</v>
      </c>
      <c r="JE85">
        <v>18</v>
      </c>
      <c r="JF85">
        <v>511.81200000000001</v>
      </c>
      <c r="JG85">
        <v>455.58800000000002</v>
      </c>
      <c r="JH85">
        <v>26.763000000000002</v>
      </c>
      <c r="JI85">
        <v>34.780099999999997</v>
      </c>
      <c r="JJ85">
        <v>29.9999</v>
      </c>
      <c r="JK85">
        <v>34.804699999999997</v>
      </c>
      <c r="JL85">
        <v>34.793700000000001</v>
      </c>
      <c r="JM85">
        <v>4.3660100000000002</v>
      </c>
      <c r="JN85">
        <v>21.017299999999999</v>
      </c>
      <c r="JO85">
        <v>34.254300000000001</v>
      </c>
      <c r="JP85">
        <v>26.7651</v>
      </c>
      <c r="JQ85">
        <v>30</v>
      </c>
      <c r="JR85">
        <v>22.244700000000002</v>
      </c>
      <c r="JS85">
        <v>98.620099999999994</v>
      </c>
      <c r="JT85">
        <v>99.47</v>
      </c>
    </row>
    <row r="86" spans="1:280" x14ac:dyDescent="0.25">
      <c r="A86">
        <v>84</v>
      </c>
      <c r="B86">
        <v>1700167247.5999999</v>
      </c>
      <c r="C86">
        <v>19391.599999904629</v>
      </c>
      <c r="D86" t="s">
        <v>723</v>
      </c>
      <c r="E86" t="s">
        <v>724</v>
      </c>
      <c r="F86" t="s">
        <v>412</v>
      </c>
      <c r="G86" t="s">
        <v>547</v>
      </c>
      <c r="H86" t="s">
        <v>669</v>
      </c>
      <c r="I86">
        <v>1700167247.5999999</v>
      </c>
      <c r="J86">
        <f t="shared" si="92"/>
        <v>6.811539958956097E-3</v>
      </c>
      <c r="K86">
        <f t="shared" si="93"/>
        <v>6.8115399589560965</v>
      </c>
      <c r="L86">
        <f t="shared" si="94"/>
        <v>1.4850725342354116</v>
      </c>
      <c r="M86">
        <f t="shared" si="95"/>
        <v>8.6786300000000001</v>
      </c>
      <c r="N86">
        <f t="shared" si="96"/>
        <v>3.134479087180821</v>
      </c>
      <c r="O86">
        <f t="shared" si="97"/>
        <v>0.31063692135095838</v>
      </c>
      <c r="P86">
        <f t="shared" si="98"/>
        <v>0.86008004193410903</v>
      </c>
      <c r="Q86">
        <f t="shared" si="99"/>
        <v>0.46987685809031793</v>
      </c>
      <c r="R86">
        <f t="shared" si="100"/>
        <v>3.2974077394711889</v>
      </c>
      <c r="S86">
        <f t="shared" si="101"/>
        <v>0.43559770676416903</v>
      </c>
      <c r="T86">
        <f t="shared" si="102"/>
        <v>0.27511972356344455</v>
      </c>
      <c r="U86">
        <f t="shared" si="103"/>
        <v>289.55964941941039</v>
      </c>
      <c r="V86">
        <f t="shared" si="104"/>
        <v>29.83962727568731</v>
      </c>
      <c r="W86">
        <f t="shared" si="105"/>
        <v>30.014099999999999</v>
      </c>
      <c r="X86">
        <f t="shared" si="106"/>
        <v>4.2639014964629762</v>
      </c>
      <c r="Y86">
        <f t="shared" si="107"/>
        <v>65.384583487769589</v>
      </c>
      <c r="Z86">
        <f t="shared" si="108"/>
        <v>2.7691912861527497</v>
      </c>
      <c r="AA86">
        <f t="shared" si="109"/>
        <v>4.2352357978555242</v>
      </c>
      <c r="AB86">
        <f t="shared" si="110"/>
        <v>1.4947102103102266</v>
      </c>
      <c r="AC86">
        <f t="shared" si="111"/>
        <v>-300.38891218996389</v>
      </c>
      <c r="AD86">
        <f t="shared" si="112"/>
        <v>-20.870179926313515</v>
      </c>
      <c r="AE86">
        <f t="shared" si="113"/>
        <v>-1.4066979618604349</v>
      </c>
      <c r="AF86">
        <f t="shared" si="114"/>
        <v>-33.106140658727469</v>
      </c>
      <c r="AG86">
        <v>10</v>
      </c>
      <c r="AH86">
        <v>2</v>
      </c>
      <c r="AI86">
        <f t="shared" si="115"/>
        <v>1</v>
      </c>
      <c r="AJ86">
        <f t="shared" si="116"/>
        <v>0</v>
      </c>
      <c r="AK86">
        <f t="shared" si="117"/>
        <v>51899.330979259183</v>
      </c>
      <c r="AL86" t="s">
        <v>415</v>
      </c>
      <c r="AM86">
        <v>10238.9</v>
      </c>
      <c r="AN86">
        <v>302.21199999999999</v>
      </c>
      <c r="AO86">
        <v>4052.3</v>
      </c>
      <c r="AP86">
        <f t="shared" si="118"/>
        <v>0.92542210596451402</v>
      </c>
      <c r="AQ86">
        <v>-0.32343011824092421</v>
      </c>
      <c r="AR86" t="s">
        <v>725</v>
      </c>
      <c r="AS86">
        <v>7137.55</v>
      </c>
      <c r="AT86">
        <v>640.70132000000001</v>
      </c>
      <c r="AU86">
        <v>682.48001888125668</v>
      </c>
      <c r="AV86">
        <f t="shared" si="119"/>
        <v>6.1216002997042551E-2</v>
      </c>
      <c r="AW86">
        <v>0.5</v>
      </c>
      <c r="AX86">
        <f t="shared" si="120"/>
        <v>1513.1433002173112</v>
      </c>
      <c r="AY86">
        <f t="shared" si="121"/>
        <v>1.4850725342354116</v>
      </c>
      <c r="AZ86">
        <f t="shared" si="122"/>
        <v>46.314292400528892</v>
      </c>
      <c r="BA86">
        <f t="shared" si="123"/>
        <v>1.1951958893890661E-3</v>
      </c>
      <c r="BB86">
        <f t="shared" si="124"/>
        <v>4.9376097290623413</v>
      </c>
      <c r="BC86">
        <f t="shared" si="125"/>
        <v>220.87701375704478</v>
      </c>
      <c r="BD86" t="s">
        <v>726</v>
      </c>
      <c r="BE86">
        <v>446.71</v>
      </c>
      <c r="BF86">
        <f t="shared" si="126"/>
        <v>446.71</v>
      </c>
      <c r="BG86">
        <f t="shared" si="127"/>
        <v>0.34546069094848897</v>
      </c>
      <c r="BH86">
        <f t="shared" si="128"/>
        <v>0.17720106686804021</v>
      </c>
      <c r="BI86">
        <f t="shared" si="129"/>
        <v>0.93460986443792637</v>
      </c>
      <c r="BJ86">
        <f t="shared" si="130"/>
        <v>0.10986645420293044</v>
      </c>
      <c r="BK86">
        <f t="shared" si="131"/>
        <v>0.89859757454191558</v>
      </c>
      <c r="BL86">
        <f t="shared" si="132"/>
        <v>0.12354819025598736</v>
      </c>
      <c r="BM86">
        <f t="shared" si="133"/>
        <v>0.8764518097440126</v>
      </c>
      <c r="BN86">
        <v>34521</v>
      </c>
      <c r="BO86">
        <v>290.00000000000011</v>
      </c>
      <c r="BP86">
        <v>670.31</v>
      </c>
      <c r="BQ86">
        <v>145</v>
      </c>
      <c r="BR86">
        <v>7137.55</v>
      </c>
      <c r="BS86">
        <v>669.29</v>
      </c>
      <c r="BT86">
        <v>1.02</v>
      </c>
      <c r="BU86">
        <v>300.00000000000011</v>
      </c>
      <c r="BV86">
        <v>38.200000000000003</v>
      </c>
      <c r="BW86">
        <v>682.48001888125668</v>
      </c>
      <c r="BX86">
        <v>0.76136386788761956</v>
      </c>
      <c r="BY86">
        <v>-9.4119239802567627</v>
      </c>
      <c r="BZ86">
        <v>0.45520523755489067</v>
      </c>
      <c r="CA86">
        <v>0.93852991273884412</v>
      </c>
      <c r="CB86">
        <v>-7.0304860956618559E-3</v>
      </c>
      <c r="CC86">
        <v>289.99999999999989</v>
      </c>
      <c r="CD86">
        <v>668.77</v>
      </c>
      <c r="CE86">
        <v>625</v>
      </c>
      <c r="CF86">
        <v>7129.46</v>
      </c>
      <c r="CG86">
        <v>669.28</v>
      </c>
      <c r="CH86">
        <v>-0.51</v>
      </c>
      <c r="CV86">
        <f t="shared" si="134"/>
        <v>1799.95</v>
      </c>
      <c r="CW86">
        <f t="shared" si="135"/>
        <v>1513.1433002173112</v>
      </c>
      <c r="CX86">
        <f t="shared" si="136"/>
        <v>0.84065851841290651</v>
      </c>
      <c r="CY86">
        <f t="shared" si="137"/>
        <v>0.16087094053690956</v>
      </c>
      <c r="CZ86">
        <v>4.38</v>
      </c>
      <c r="DA86">
        <v>0.5</v>
      </c>
      <c r="DB86" t="s">
        <v>418</v>
      </c>
      <c r="DC86">
        <v>2</v>
      </c>
      <c r="DD86">
        <v>1700167247.5999999</v>
      </c>
      <c r="DE86">
        <v>8.6786300000000001</v>
      </c>
      <c r="DF86">
        <v>10.030900000000001</v>
      </c>
      <c r="DG86">
        <v>27.942499999999999</v>
      </c>
      <c r="DH86">
        <v>22.144200000000001</v>
      </c>
      <c r="DI86">
        <v>8.9044100000000004</v>
      </c>
      <c r="DJ86">
        <v>27.5822</v>
      </c>
      <c r="DK86">
        <v>500.16199999999998</v>
      </c>
      <c r="DL86">
        <v>99.003500000000003</v>
      </c>
      <c r="DM86">
        <v>9.9704299999999996E-2</v>
      </c>
      <c r="DN86">
        <v>29.896699999999999</v>
      </c>
      <c r="DO86">
        <v>30.014099999999999</v>
      </c>
      <c r="DP86">
        <v>999.9</v>
      </c>
      <c r="DQ86">
        <v>0</v>
      </c>
      <c r="DR86">
        <v>0</v>
      </c>
      <c r="DS86">
        <v>10010</v>
      </c>
      <c r="DT86">
        <v>0</v>
      </c>
      <c r="DU86">
        <v>238.10400000000001</v>
      </c>
      <c r="DV86">
        <v>-1.3523000000000001</v>
      </c>
      <c r="DW86">
        <v>8.9281000000000006</v>
      </c>
      <c r="DX86">
        <v>10.258100000000001</v>
      </c>
      <c r="DY86">
        <v>5.7983099999999999</v>
      </c>
      <c r="DZ86">
        <v>10.030900000000001</v>
      </c>
      <c r="EA86">
        <v>22.144200000000001</v>
      </c>
      <c r="EB86">
        <v>2.7664</v>
      </c>
      <c r="EC86">
        <v>2.1923499999999998</v>
      </c>
      <c r="ED86">
        <v>22.684999999999999</v>
      </c>
      <c r="EE86">
        <v>18.906500000000001</v>
      </c>
      <c r="EF86">
        <v>1799.95</v>
      </c>
      <c r="EG86">
        <v>0.97799000000000003</v>
      </c>
      <c r="EH86">
        <v>2.20097E-2</v>
      </c>
      <c r="EI86">
        <v>0</v>
      </c>
      <c r="EJ86">
        <v>640.77099999999996</v>
      </c>
      <c r="EK86">
        <v>4.9996700000000001</v>
      </c>
      <c r="EL86">
        <v>11927.2</v>
      </c>
      <c r="EM86">
        <v>15046.4</v>
      </c>
      <c r="EN86">
        <v>49.25</v>
      </c>
      <c r="EO86">
        <v>50.061999999999998</v>
      </c>
      <c r="EP86">
        <v>49.875</v>
      </c>
      <c r="EQ86">
        <v>49.875</v>
      </c>
      <c r="ER86">
        <v>50.686999999999998</v>
      </c>
      <c r="ES86">
        <v>1755.44</v>
      </c>
      <c r="ET86">
        <v>39.51</v>
      </c>
      <c r="EU86">
        <v>0</v>
      </c>
      <c r="EV86">
        <v>225.5999999046326</v>
      </c>
      <c r="EW86">
        <v>0</v>
      </c>
      <c r="EX86">
        <v>640.70132000000001</v>
      </c>
      <c r="EY86">
        <v>0.71953845662135063</v>
      </c>
      <c r="EZ86">
        <v>-10.59230769225149</v>
      </c>
      <c r="FA86">
        <v>11929.111999999999</v>
      </c>
      <c r="FB86">
        <v>15</v>
      </c>
      <c r="FC86">
        <v>1700167217.0999999</v>
      </c>
      <c r="FD86" t="s">
        <v>727</v>
      </c>
      <c r="FE86">
        <v>1700167201.0999999</v>
      </c>
      <c r="FF86">
        <v>1700167217.0999999</v>
      </c>
      <c r="FG86">
        <v>92</v>
      </c>
      <c r="FH86">
        <v>7.0000000000000001E-3</v>
      </c>
      <c r="FI86">
        <v>1E-3</v>
      </c>
      <c r="FJ86">
        <v>-0.22500000000000001</v>
      </c>
      <c r="FK86">
        <v>0.29099999999999998</v>
      </c>
      <c r="FL86">
        <v>10</v>
      </c>
      <c r="FM86">
        <v>22</v>
      </c>
      <c r="FN86">
        <v>0.27</v>
      </c>
      <c r="FO86">
        <v>0.02</v>
      </c>
      <c r="FP86">
        <v>1.4369038237588789</v>
      </c>
      <c r="FQ86">
        <v>-0.15670405387343761</v>
      </c>
      <c r="FR86">
        <v>4.2590753991518827E-2</v>
      </c>
      <c r="FS86">
        <v>1</v>
      </c>
      <c r="FT86">
        <v>0.47069964622931598</v>
      </c>
      <c r="FU86">
        <v>2.5535972957130171E-2</v>
      </c>
      <c r="FV86">
        <v>2.9225198433808332E-3</v>
      </c>
      <c r="FW86">
        <v>1</v>
      </c>
      <c r="FX86">
        <v>2</v>
      </c>
      <c r="FY86">
        <v>2</v>
      </c>
      <c r="FZ86" t="s">
        <v>420</v>
      </c>
      <c r="GA86">
        <v>3.0123000000000002</v>
      </c>
      <c r="GB86">
        <v>2.7768799999999998</v>
      </c>
      <c r="GC86">
        <v>2.4164E-3</v>
      </c>
      <c r="GD86">
        <v>2.7471700000000002E-3</v>
      </c>
      <c r="GE86">
        <v>0.126525</v>
      </c>
      <c r="GF86">
        <v>0.108851</v>
      </c>
      <c r="GG86">
        <v>23949.9</v>
      </c>
      <c r="GH86">
        <v>24723.5</v>
      </c>
      <c r="GI86">
        <v>23780</v>
      </c>
      <c r="GJ86">
        <v>24454.400000000001</v>
      </c>
      <c r="GK86">
        <v>30721</v>
      </c>
      <c r="GL86">
        <v>31250.3</v>
      </c>
      <c r="GM86">
        <v>38945.300000000003</v>
      </c>
      <c r="GN86">
        <v>38945</v>
      </c>
      <c r="GO86">
        <v>1.99312</v>
      </c>
      <c r="GP86">
        <v>1.8041799999999999</v>
      </c>
      <c r="GQ86">
        <v>6.6719899999999999E-2</v>
      </c>
      <c r="GR86">
        <v>0</v>
      </c>
      <c r="GS86">
        <v>28.927399999999999</v>
      </c>
      <c r="GT86">
        <v>999.9</v>
      </c>
      <c r="GU86">
        <v>39.6</v>
      </c>
      <c r="GV86">
        <v>38.6</v>
      </c>
      <c r="GW86">
        <v>27.505299999999998</v>
      </c>
      <c r="GX86">
        <v>60.993600000000001</v>
      </c>
      <c r="GY86">
        <v>30.144200000000001</v>
      </c>
      <c r="GZ86">
        <v>1</v>
      </c>
      <c r="HA86">
        <v>0.61465999999999998</v>
      </c>
      <c r="HB86">
        <v>2.50332</v>
      </c>
      <c r="HC86">
        <v>20.313400000000001</v>
      </c>
      <c r="HD86">
        <v>5.2458900000000002</v>
      </c>
      <c r="HE86">
        <v>11.999499999999999</v>
      </c>
      <c r="HF86">
        <v>4.9637000000000002</v>
      </c>
      <c r="HG86">
        <v>3.3010000000000002</v>
      </c>
      <c r="HH86">
        <v>9999</v>
      </c>
      <c r="HI86">
        <v>9999</v>
      </c>
      <c r="HJ86">
        <v>9999</v>
      </c>
      <c r="HK86">
        <v>999.9</v>
      </c>
      <c r="HL86">
        <v>1.8749</v>
      </c>
      <c r="HM86">
        <v>1.88026</v>
      </c>
      <c r="HN86">
        <v>1.8803399999999999</v>
      </c>
      <c r="HO86">
        <v>1.8791</v>
      </c>
      <c r="HP86">
        <v>1.88141</v>
      </c>
      <c r="HQ86">
        <v>1.8773</v>
      </c>
      <c r="HR86">
        <v>1.8750599999999999</v>
      </c>
      <c r="HS86">
        <v>1.88232</v>
      </c>
      <c r="HT86">
        <v>5</v>
      </c>
      <c r="HU86">
        <v>0</v>
      </c>
      <c r="HV86">
        <v>0</v>
      </c>
      <c r="HW86">
        <v>0</v>
      </c>
      <c r="HX86" t="s">
        <v>421</v>
      </c>
      <c r="HY86" t="s">
        <v>422</v>
      </c>
      <c r="HZ86" t="s">
        <v>423</v>
      </c>
      <c r="IA86" t="s">
        <v>423</v>
      </c>
      <c r="IB86" t="s">
        <v>423</v>
      </c>
      <c r="IC86" t="s">
        <v>423</v>
      </c>
      <c r="ID86">
        <v>0</v>
      </c>
      <c r="IE86">
        <v>100</v>
      </c>
      <c r="IF86">
        <v>100</v>
      </c>
      <c r="IG86">
        <v>-0.22600000000000001</v>
      </c>
      <c r="IH86">
        <v>0.36030000000000001</v>
      </c>
      <c r="II86">
        <v>-0.231979419411807</v>
      </c>
      <c r="IJ86">
        <v>7.0786345690369205E-4</v>
      </c>
      <c r="IK86">
        <v>-1.387476646623666E-6</v>
      </c>
      <c r="IL86">
        <v>3.6592443641472651E-10</v>
      </c>
      <c r="IM86">
        <v>0.36027134476122452</v>
      </c>
      <c r="IN86">
        <v>0</v>
      </c>
      <c r="IO86">
        <v>0</v>
      </c>
      <c r="IP86">
        <v>0</v>
      </c>
      <c r="IQ86">
        <v>2</v>
      </c>
      <c r="IR86">
        <v>2142</v>
      </c>
      <c r="IS86">
        <v>1</v>
      </c>
      <c r="IT86">
        <v>24</v>
      </c>
      <c r="IU86">
        <v>0.8</v>
      </c>
      <c r="IV86">
        <v>0.5</v>
      </c>
      <c r="IW86">
        <v>0.17456099999999999</v>
      </c>
      <c r="IX86">
        <v>2.7307100000000002</v>
      </c>
      <c r="IY86">
        <v>1.5490699999999999</v>
      </c>
      <c r="IZ86">
        <v>2.36206</v>
      </c>
      <c r="JA86">
        <v>1.5966800000000001</v>
      </c>
      <c r="JB86">
        <v>2.3571800000000001</v>
      </c>
      <c r="JC86">
        <v>41.144599999999997</v>
      </c>
      <c r="JD86">
        <v>24.1313</v>
      </c>
      <c r="JE86">
        <v>18</v>
      </c>
      <c r="JF86">
        <v>511.68700000000001</v>
      </c>
      <c r="JG86">
        <v>456.1</v>
      </c>
      <c r="JH86">
        <v>27.013200000000001</v>
      </c>
      <c r="JI86">
        <v>34.734099999999998</v>
      </c>
      <c r="JJ86">
        <v>29.9999</v>
      </c>
      <c r="JK86">
        <v>34.761099999999999</v>
      </c>
      <c r="JL86">
        <v>34.752400000000002</v>
      </c>
      <c r="JM86">
        <v>3.48664</v>
      </c>
      <c r="JN86">
        <v>21.193000000000001</v>
      </c>
      <c r="JO86">
        <v>34.120800000000003</v>
      </c>
      <c r="JP86">
        <v>27.007100000000001</v>
      </c>
      <c r="JQ86">
        <v>10</v>
      </c>
      <c r="JR86">
        <v>22.078399999999998</v>
      </c>
      <c r="JS86">
        <v>98.631200000000007</v>
      </c>
      <c r="JT86">
        <v>99.478999999999999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2023-11-16T20:57:48Z</dcterms:created>
  <dcterms:modified xsi:type="dcterms:W3CDTF">2023-11-17T23:34:44Z</dcterms:modified>
</cp:coreProperties>
</file>