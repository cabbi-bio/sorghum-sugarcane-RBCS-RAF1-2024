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86" i="1" l="1"/>
  <c r="U86" i="1" s="1"/>
  <c r="CX86" i="1"/>
  <c r="CV86" i="1"/>
  <c r="CW86" i="1" s="1"/>
  <c r="AX86" i="1" s="1"/>
  <c r="AZ86" i="1" s="1"/>
  <c r="BL86" i="1"/>
  <c r="BM86" i="1" s="1"/>
  <c r="BK86" i="1"/>
  <c r="BJ86" i="1"/>
  <c r="BI86" i="1"/>
  <c r="BH86" i="1"/>
  <c r="BF86" i="1"/>
  <c r="BG86" i="1" s="1"/>
  <c r="BB86" i="1"/>
  <c r="AV86" i="1"/>
  <c r="AP86" i="1"/>
  <c r="BC86" i="1" s="1"/>
  <c r="AK86" i="1"/>
  <c r="AI86" i="1"/>
  <c r="AA86" i="1"/>
  <c r="Z86" i="1"/>
  <c r="Y86" i="1"/>
  <c r="R86" i="1"/>
  <c r="CY85" i="1"/>
  <c r="U85" i="1" s="1"/>
  <c r="CX85" i="1"/>
  <c r="CV85" i="1"/>
  <c r="CW85" i="1" s="1"/>
  <c r="AX85" i="1" s="1"/>
  <c r="AZ85" i="1" s="1"/>
  <c r="BK85" i="1"/>
  <c r="BJ85" i="1"/>
  <c r="BB85" i="1"/>
  <c r="AV85" i="1"/>
  <c r="AP85" i="1"/>
  <c r="BC85" i="1" s="1"/>
  <c r="BF85" i="1" s="1"/>
  <c r="AK85" i="1"/>
  <c r="AI85" i="1" s="1"/>
  <c r="AA85" i="1"/>
  <c r="Z85" i="1"/>
  <c r="Y85" i="1" s="1"/>
  <c r="R85" i="1"/>
  <c r="CY84" i="1"/>
  <c r="CX84" i="1"/>
  <c r="CW84" i="1"/>
  <c r="AX84" i="1" s="1"/>
  <c r="CV84" i="1"/>
  <c r="BK84" i="1"/>
  <c r="BJ84" i="1"/>
  <c r="BH84" i="1"/>
  <c r="BL84" i="1" s="1"/>
  <c r="BM84" i="1" s="1"/>
  <c r="BG84" i="1"/>
  <c r="BF84" i="1"/>
  <c r="BI84" i="1" s="1"/>
  <c r="BB84" i="1"/>
  <c r="AV84" i="1"/>
  <c r="AZ84" i="1" s="1"/>
  <c r="AP84" i="1"/>
  <c r="BC84" i="1" s="1"/>
  <c r="AK84" i="1"/>
  <c r="AI84" i="1" s="1"/>
  <c r="AA84" i="1"/>
  <c r="Z84" i="1"/>
  <c r="Y84" i="1" s="1"/>
  <c r="U84" i="1"/>
  <c r="R84" i="1"/>
  <c r="M84" i="1"/>
  <c r="CY83" i="1"/>
  <c r="CX83" i="1"/>
  <c r="CV83" i="1"/>
  <c r="CW83" i="1" s="1"/>
  <c r="AX83" i="1" s="1"/>
  <c r="AZ83" i="1" s="1"/>
  <c r="BK83" i="1"/>
  <c r="BJ83" i="1"/>
  <c r="BC83" i="1"/>
  <c r="BF83" i="1" s="1"/>
  <c r="BB83" i="1"/>
  <c r="AV83" i="1"/>
  <c r="AP83" i="1"/>
  <c r="AK83" i="1"/>
  <c r="AI83" i="1" s="1"/>
  <c r="AA83" i="1"/>
  <c r="Z83" i="1"/>
  <c r="Y83" i="1" s="1"/>
  <c r="R83" i="1"/>
  <c r="K83" i="1"/>
  <c r="J83" i="1" s="1"/>
  <c r="CY82" i="1"/>
  <c r="CX82" i="1"/>
  <c r="CV82" i="1"/>
  <c r="CW82" i="1" s="1"/>
  <c r="AX82" i="1" s="1"/>
  <c r="AZ82" i="1" s="1"/>
  <c r="BK82" i="1"/>
  <c r="BJ82" i="1"/>
  <c r="BF82" i="1"/>
  <c r="BI82" i="1" s="1"/>
  <c r="BB82" i="1"/>
  <c r="AV82" i="1"/>
  <c r="AP82" i="1"/>
  <c r="BC82" i="1" s="1"/>
  <c r="AK82" i="1"/>
  <c r="AI82" i="1"/>
  <c r="AA82" i="1"/>
  <c r="Z82" i="1"/>
  <c r="Y82" i="1"/>
  <c r="R82" i="1"/>
  <c r="CY81" i="1"/>
  <c r="CX81" i="1"/>
  <c r="CV81" i="1"/>
  <c r="CW81" i="1" s="1"/>
  <c r="AX81" i="1" s="1"/>
  <c r="AZ81" i="1" s="1"/>
  <c r="BK81" i="1"/>
  <c r="BJ81" i="1"/>
  <c r="BI81" i="1"/>
  <c r="BH81" i="1"/>
  <c r="BL81" i="1" s="1"/>
  <c r="BM81" i="1" s="1"/>
  <c r="BF81" i="1"/>
  <c r="BG81" i="1" s="1"/>
  <c r="BB81" i="1"/>
  <c r="AY81" i="1"/>
  <c r="BA81" i="1" s="1"/>
  <c r="AV81" i="1"/>
  <c r="AP81" i="1"/>
  <c r="BC81" i="1" s="1"/>
  <c r="AK81" i="1"/>
  <c r="AJ81" i="1"/>
  <c r="AI81" i="1"/>
  <c r="AA81" i="1"/>
  <c r="Z81" i="1"/>
  <c r="Y81" i="1" s="1"/>
  <c r="R81" i="1"/>
  <c r="P81" i="1"/>
  <c r="M81" i="1"/>
  <c r="L81" i="1"/>
  <c r="K81" i="1"/>
  <c r="J81" i="1"/>
  <c r="AC81" i="1" s="1"/>
  <c r="CY80" i="1"/>
  <c r="CX80" i="1"/>
  <c r="CW80" i="1"/>
  <c r="AX80" i="1" s="1"/>
  <c r="CV80" i="1"/>
  <c r="BK80" i="1"/>
  <c r="BJ80" i="1"/>
  <c r="BB80" i="1"/>
  <c r="AV80" i="1"/>
  <c r="AP80" i="1"/>
  <c r="BC80" i="1" s="1"/>
  <c r="BF80" i="1" s="1"/>
  <c r="AK80" i="1"/>
  <c r="AI80" i="1" s="1"/>
  <c r="AA80" i="1"/>
  <c r="Z80" i="1"/>
  <c r="Y80" i="1" s="1"/>
  <c r="U80" i="1"/>
  <c r="R80" i="1"/>
  <c r="CY79" i="1"/>
  <c r="CX79" i="1"/>
  <c r="CV79" i="1"/>
  <c r="CW79" i="1" s="1"/>
  <c r="AX79" i="1" s="1"/>
  <c r="AZ79" i="1" s="1"/>
  <c r="BK79" i="1"/>
  <c r="BJ79" i="1"/>
  <c r="BF79" i="1"/>
  <c r="BI79" i="1" s="1"/>
  <c r="BC79" i="1"/>
  <c r="BB79" i="1"/>
  <c r="AV79" i="1"/>
  <c r="AP79" i="1"/>
  <c r="AK79" i="1"/>
  <c r="AI79" i="1" s="1"/>
  <c r="AA79" i="1"/>
  <c r="Z79" i="1"/>
  <c r="Y79" i="1" s="1"/>
  <c r="R79" i="1"/>
  <c r="CY78" i="1"/>
  <c r="CX78" i="1"/>
  <c r="CV78" i="1"/>
  <c r="CW78" i="1" s="1"/>
  <c r="AX78" i="1" s="1"/>
  <c r="AZ78" i="1" s="1"/>
  <c r="BK78" i="1"/>
  <c r="BJ78" i="1"/>
  <c r="BB78" i="1"/>
  <c r="AV78" i="1"/>
  <c r="AP78" i="1"/>
  <c r="BC78" i="1" s="1"/>
  <c r="BF78" i="1" s="1"/>
  <c r="AK78" i="1"/>
  <c r="AI78" i="1"/>
  <c r="AA78" i="1"/>
  <c r="Z78" i="1"/>
  <c r="Y78" i="1"/>
  <c r="R78" i="1"/>
  <c r="CY77" i="1"/>
  <c r="CX77" i="1"/>
  <c r="CV77" i="1"/>
  <c r="CW77" i="1" s="1"/>
  <c r="AX77" i="1" s="1"/>
  <c r="AZ77" i="1" s="1"/>
  <c r="BK77" i="1"/>
  <c r="BJ77" i="1"/>
  <c r="BI77" i="1"/>
  <c r="BH77" i="1"/>
  <c r="BL77" i="1" s="1"/>
  <c r="BM77" i="1" s="1"/>
  <c r="BF77" i="1"/>
  <c r="BG77" i="1" s="1"/>
  <c r="BB77" i="1"/>
  <c r="AV77" i="1"/>
  <c r="AP77" i="1"/>
  <c r="BC77" i="1" s="1"/>
  <c r="AK77" i="1"/>
  <c r="AI77" i="1" s="1"/>
  <c r="AA77" i="1"/>
  <c r="Z77" i="1"/>
  <c r="Y77" i="1" s="1"/>
  <c r="R77" i="1"/>
  <c r="CY76" i="1"/>
  <c r="CX76" i="1"/>
  <c r="CW76" i="1"/>
  <c r="AX76" i="1" s="1"/>
  <c r="CV76" i="1"/>
  <c r="BK76" i="1"/>
  <c r="BJ76" i="1"/>
  <c r="BG76" i="1"/>
  <c r="BB76" i="1"/>
  <c r="AV76" i="1"/>
  <c r="AP76" i="1"/>
  <c r="BC76" i="1" s="1"/>
  <c r="BF76" i="1" s="1"/>
  <c r="AK76" i="1"/>
  <c r="AI76" i="1" s="1"/>
  <c r="AA76" i="1"/>
  <c r="Z76" i="1"/>
  <c r="Y76" i="1" s="1"/>
  <c r="U76" i="1"/>
  <c r="R76" i="1"/>
  <c r="CY75" i="1"/>
  <c r="CX75" i="1"/>
  <c r="CV75" i="1"/>
  <c r="CW75" i="1" s="1"/>
  <c r="AX75" i="1" s="1"/>
  <c r="AZ75" i="1" s="1"/>
  <c r="BK75" i="1"/>
  <c r="BJ75" i="1"/>
  <c r="BF75" i="1"/>
  <c r="BI75" i="1" s="1"/>
  <c r="BC75" i="1"/>
  <c r="BB75" i="1"/>
  <c r="AV75" i="1"/>
  <c r="AP75" i="1"/>
  <c r="AK75" i="1"/>
  <c r="AI75" i="1" s="1"/>
  <c r="AA75" i="1"/>
  <c r="Z75" i="1"/>
  <c r="R75" i="1"/>
  <c r="CY74" i="1"/>
  <c r="CX74" i="1"/>
  <c r="CV74" i="1"/>
  <c r="CW74" i="1" s="1"/>
  <c r="AX74" i="1" s="1"/>
  <c r="AZ74" i="1" s="1"/>
  <c r="BK74" i="1"/>
  <c r="BJ74" i="1"/>
  <c r="BB74" i="1"/>
  <c r="AV74" i="1"/>
  <c r="AP74" i="1"/>
  <c r="BC74" i="1" s="1"/>
  <c r="BF74" i="1" s="1"/>
  <c r="AK74" i="1"/>
  <c r="AI74" i="1"/>
  <c r="AA74" i="1"/>
  <c r="Z74" i="1"/>
  <c r="Y74" i="1"/>
  <c r="R74" i="1"/>
  <c r="CY73" i="1"/>
  <c r="CX73" i="1"/>
  <c r="CV73" i="1"/>
  <c r="CW73" i="1" s="1"/>
  <c r="AX73" i="1" s="1"/>
  <c r="AZ73" i="1" s="1"/>
  <c r="BK73" i="1"/>
  <c r="BJ73" i="1"/>
  <c r="BI73" i="1"/>
  <c r="BH73" i="1"/>
  <c r="BL73" i="1" s="1"/>
  <c r="BM73" i="1" s="1"/>
  <c r="BF73" i="1"/>
  <c r="BG73" i="1" s="1"/>
  <c r="BB73" i="1"/>
  <c r="AV73" i="1"/>
  <c r="AP73" i="1"/>
  <c r="BC73" i="1" s="1"/>
  <c r="AK73" i="1"/>
  <c r="AI73" i="1" s="1"/>
  <c r="AA73" i="1"/>
  <c r="Z73" i="1"/>
  <c r="Y73" i="1" s="1"/>
  <c r="R73" i="1"/>
  <c r="CY72" i="1"/>
  <c r="CX72" i="1"/>
  <c r="CW72" i="1"/>
  <c r="AX72" i="1" s="1"/>
  <c r="CV72" i="1"/>
  <c r="BK72" i="1"/>
  <c r="BJ72" i="1"/>
  <c r="BH72" i="1"/>
  <c r="BL72" i="1" s="1"/>
  <c r="BM72" i="1" s="1"/>
  <c r="BG72" i="1"/>
  <c r="BB72" i="1"/>
  <c r="AV72" i="1"/>
  <c r="AP72" i="1"/>
  <c r="BC72" i="1" s="1"/>
  <c r="BF72" i="1" s="1"/>
  <c r="BI72" i="1" s="1"/>
  <c r="AK72" i="1"/>
  <c r="AI72" i="1" s="1"/>
  <c r="AA72" i="1"/>
  <c r="Z72" i="1"/>
  <c r="Y72" i="1" s="1"/>
  <c r="U72" i="1"/>
  <c r="R72" i="1"/>
  <c r="M72" i="1"/>
  <c r="CY71" i="1"/>
  <c r="CX71" i="1"/>
  <c r="CV71" i="1"/>
  <c r="BK71" i="1"/>
  <c r="BJ71" i="1"/>
  <c r="BF71" i="1"/>
  <c r="BB71" i="1"/>
  <c r="AV71" i="1"/>
  <c r="AP71" i="1"/>
  <c r="BC71" i="1" s="1"/>
  <c r="AK71" i="1"/>
  <c r="AI71" i="1" s="1"/>
  <c r="AJ71" i="1"/>
  <c r="AA71" i="1"/>
  <c r="Z71" i="1"/>
  <c r="R71" i="1"/>
  <c r="K71" i="1"/>
  <c r="J71" i="1" s="1"/>
  <c r="CY70" i="1"/>
  <c r="CX70" i="1"/>
  <c r="CV70" i="1"/>
  <c r="BL70" i="1"/>
  <c r="BM70" i="1" s="1"/>
  <c r="BK70" i="1"/>
  <c r="BJ70" i="1"/>
  <c r="BH70" i="1"/>
  <c r="BF70" i="1"/>
  <c r="BB70" i="1"/>
  <c r="AV70" i="1"/>
  <c r="AP70" i="1"/>
  <c r="BC70" i="1" s="1"/>
  <c r="AK70" i="1"/>
  <c r="AI70" i="1"/>
  <c r="AA70" i="1"/>
  <c r="Z70" i="1"/>
  <c r="Y70" i="1"/>
  <c r="R70" i="1"/>
  <c r="L70" i="1"/>
  <c r="AY70" i="1" s="1"/>
  <c r="CY69" i="1"/>
  <c r="CX69" i="1"/>
  <c r="CV69" i="1"/>
  <c r="BK69" i="1"/>
  <c r="BJ69" i="1"/>
  <c r="BI69" i="1"/>
  <c r="BF69" i="1"/>
  <c r="BG69" i="1" s="1"/>
  <c r="BB69" i="1"/>
  <c r="AY69" i="1"/>
  <c r="AV69" i="1"/>
  <c r="AP69" i="1"/>
  <c r="BC69" i="1" s="1"/>
  <c r="AK69" i="1"/>
  <c r="AI69" i="1" s="1"/>
  <c r="AJ69" i="1"/>
  <c r="AA69" i="1"/>
  <c r="Z69" i="1"/>
  <c r="Y69" i="1" s="1"/>
  <c r="R69" i="1"/>
  <c r="L69" i="1"/>
  <c r="CY68" i="1"/>
  <c r="CX68" i="1"/>
  <c r="CW68" i="1"/>
  <c r="AX68" i="1" s="1"/>
  <c r="CV68" i="1"/>
  <c r="BK68" i="1"/>
  <c r="BJ68" i="1"/>
  <c r="BC68" i="1"/>
  <c r="BF68" i="1" s="1"/>
  <c r="BB68" i="1"/>
  <c r="AV68" i="1"/>
  <c r="AP68" i="1"/>
  <c r="AK68" i="1"/>
  <c r="AI68" i="1" s="1"/>
  <c r="P68" i="1" s="1"/>
  <c r="AA68" i="1"/>
  <c r="Z68" i="1"/>
  <c r="Y68" i="1" s="1"/>
  <c r="U68" i="1"/>
  <c r="V68" i="1" s="1"/>
  <c r="W68" i="1" s="1"/>
  <c r="R68" i="1"/>
  <c r="AD68" i="1" s="1"/>
  <c r="M68" i="1"/>
  <c r="K68" i="1"/>
  <c r="J68" i="1" s="1"/>
  <c r="CY67" i="1"/>
  <c r="CX67" i="1"/>
  <c r="CV67" i="1"/>
  <c r="BK67" i="1"/>
  <c r="BJ67" i="1"/>
  <c r="BG67" i="1"/>
  <c r="BF67" i="1"/>
  <c r="BI67" i="1" s="1"/>
  <c r="BC67" i="1"/>
  <c r="BB67" i="1"/>
  <c r="AV67" i="1"/>
  <c r="AP67" i="1"/>
  <c r="AK67" i="1"/>
  <c r="AI67" i="1"/>
  <c r="M67" i="1" s="1"/>
  <c r="AA67" i="1"/>
  <c r="Z67" i="1"/>
  <c r="Y67" i="1" s="1"/>
  <c r="U67" i="1"/>
  <c r="R67" i="1"/>
  <c r="P67" i="1"/>
  <c r="CY66" i="1"/>
  <c r="U66" i="1" s="1"/>
  <c r="CX66" i="1"/>
  <c r="CV66" i="1"/>
  <c r="BK66" i="1"/>
  <c r="BJ66" i="1"/>
  <c r="BC66" i="1"/>
  <c r="BF66" i="1" s="1"/>
  <c r="BB66" i="1"/>
  <c r="AV66" i="1"/>
  <c r="AP66" i="1"/>
  <c r="AK66" i="1"/>
  <c r="AI66" i="1" s="1"/>
  <c r="AA66" i="1"/>
  <c r="Y66" i="1" s="1"/>
  <c r="Z66" i="1"/>
  <c r="R66" i="1"/>
  <c r="CY65" i="1"/>
  <c r="CX65" i="1"/>
  <c r="CV65" i="1"/>
  <c r="BK65" i="1"/>
  <c r="BJ65" i="1"/>
  <c r="BF65" i="1"/>
  <c r="BB65" i="1"/>
  <c r="AV65" i="1"/>
  <c r="AP65" i="1"/>
  <c r="BC65" i="1" s="1"/>
  <c r="AK65" i="1"/>
  <c r="AI65" i="1"/>
  <c r="K65" i="1" s="1"/>
  <c r="J65" i="1" s="1"/>
  <c r="AA65" i="1"/>
  <c r="Z65" i="1"/>
  <c r="Y65" i="1"/>
  <c r="R65" i="1"/>
  <c r="M65" i="1"/>
  <c r="L65" i="1"/>
  <c r="AY65" i="1" s="1"/>
  <c r="CY64" i="1"/>
  <c r="CX64" i="1"/>
  <c r="CV64" i="1"/>
  <c r="CW64" i="1" s="1"/>
  <c r="AX64" i="1" s="1"/>
  <c r="BK64" i="1"/>
  <c r="BJ64" i="1"/>
  <c r="BB64" i="1"/>
  <c r="AV64" i="1"/>
  <c r="AZ64" i="1" s="1"/>
  <c r="AP64" i="1"/>
  <c r="BC64" i="1" s="1"/>
  <c r="BF64" i="1" s="1"/>
  <c r="AK64" i="1"/>
  <c r="AI64" i="1" s="1"/>
  <c r="AJ64" i="1"/>
  <c r="AA64" i="1"/>
  <c r="Z64" i="1"/>
  <c r="Y64" i="1" s="1"/>
  <c r="R64" i="1"/>
  <c r="CY63" i="1"/>
  <c r="CX63" i="1"/>
  <c r="CW63" i="1"/>
  <c r="AX63" i="1" s="1"/>
  <c r="CV63" i="1"/>
  <c r="BK63" i="1"/>
  <c r="BJ63" i="1"/>
  <c r="BG63" i="1"/>
  <c r="BF63" i="1"/>
  <c r="BI63" i="1" s="1"/>
  <c r="BB63" i="1"/>
  <c r="AZ63" i="1"/>
  <c r="AV63" i="1"/>
  <c r="AP63" i="1"/>
  <c r="BC63" i="1" s="1"/>
  <c r="AK63" i="1"/>
  <c r="AJ63" i="1"/>
  <c r="AI63" i="1"/>
  <c r="M63" i="1" s="1"/>
  <c r="AA63" i="1"/>
  <c r="Z63" i="1"/>
  <c r="Y63" i="1" s="1"/>
  <c r="U63" i="1"/>
  <c r="R63" i="1"/>
  <c r="P63" i="1"/>
  <c r="CY62" i="1"/>
  <c r="CX62" i="1"/>
  <c r="CV62" i="1"/>
  <c r="CW62" i="1" s="1"/>
  <c r="BK62" i="1"/>
  <c r="BJ62" i="1"/>
  <c r="BI62" i="1"/>
  <c r="BH62" i="1"/>
  <c r="BL62" i="1" s="1"/>
  <c r="BM62" i="1" s="1"/>
  <c r="BF62" i="1"/>
  <c r="BG62" i="1" s="1"/>
  <c r="BC62" i="1"/>
  <c r="BB62" i="1"/>
  <c r="AX62" i="1"/>
  <c r="AZ62" i="1" s="1"/>
  <c r="AV62" i="1"/>
  <c r="AP62" i="1"/>
  <c r="AK62" i="1"/>
  <c r="AI62" i="1" s="1"/>
  <c r="AA62" i="1"/>
  <c r="Z62" i="1"/>
  <c r="Y62" i="1" s="1"/>
  <c r="R62" i="1"/>
  <c r="P62" i="1"/>
  <c r="CY61" i="1"/>
  <c r="CX61" i="1"/>
  <c r="CV61" i="1"/>
  <c r="BK61" i="1"/>
  <c r="BJ61" i="1"/>
  <c r="BF61" i="1"/>
  <c r="BB61" i="1"/>
  <c r="AV61" i="1"/>
  <c r="AP61" i="1"/>
  <c r="BC61" i="1" s="1"/>
  <c r="AK61" i="1"/>
  <c r="AI61" i="1"/>
  <c r="K61" i="1" s="1"/>
  <c r="J61" i="1" s="1"/>
  <c r="AA61" i="1"/>
  <c r="Z61" i="1"/>
  <c r="Y61" i="1"/>
  <c r="R61" i="1"/>
  <c r="M61" i="1"/>
  <c r="L61" i="1"/>
  <c r="AY61" i="1" s="1"/>
  <c r="CY60" i="1"/>
  <c r="CX60" i="1"/>
  <c r="CV60" i="1"/>
  <c r="BK60" i="1"/>
  <c r="BJ60" i="1"/>
  <c r="BF60" i="1"/>
  <c r="BB60" i="1"/>
  <c r="AV60" i="1"/>
  <c r="AP60" i="1"/>
  <c r="BC60" i="1" s="1"/>
  <c r="AK60" i="1"/>
  <c r="AI60" i="1" s="1"/>
  <c r="AJ60" i="1"/>
  <c r="AA60" i="1"/>
  <c r="Z60" i="1"/>
  <c r="Y60" i="1" s="1"/>
  <c r="R60" i="1"/>
  <c r="CY59" i="1"/>
  <c r="CX59" i="1"/>
  <c r="CW59" i="1"/>
  <c r="AX59" i="1" s="1"/>
  <c r="CV59" i="1"/>
  <c r="BK59" i="1"/>
  <c r="BJ59" i="1"/>
  <c r="BG59" i="1"/>
  <c r="BF59" i="1"/>
  <c r="BI59" i="1" s="1"/>
  <c r="BB59" i="1"/>
  <c r="AZ59" i="1"/>
  <c r="AV59" i="1"/>
  <c r="AP59" i="1"/>
  <c r="BC59" i="1" s="1"/>
  <c r="AK59" i="1"/>
  <c r="AJ59" i="1"/>
  <c r="AI59" i="1"/>
  <c r="M59" i="1" s="1"/>
  <c r="AA59" i="1"/>
  <c r="Z59" i="1"/>
  <c r="Y59" i="1" s="1"/>
  <c r="U59" i="1"/>
  <c r="R59" i="1"/>
  <c r="P59" i="1"/>
  <c r="CY58" i="1"/>
  <c r="U58" i="1" s="1"/>
  <c r="CX58" i="1"/>
  <c r="CV58" i="1"/>
  <c r="BK58" i="1"/>
  <c r="BJ58" i="1"/>
  <c r="BH58" i="1"/>
  <c r="BL58" i="1" s="1"/>
  <c r="BM58" i="1" s="1"/>
  <c r="BC58" i="1"/>
  <c r="BF58" i="1" s="1"/>
  <c r="BB58" i="1"/>
  <c r="AV58" i="1"/>
  <c r="AP58" i="1"/>
  <c r="AK58" i="1"/>
  <c r="AI58" i="1" s="1"/>
  <c r="AA58" i="1"/>
  <c r="Z58" i="1"/>
  <c r="Y58" i="1" s="1"/>
  <c r="R58" i="1"/>
  <c r="P58" i="1"/>
  <c r="CY57" i="1"/>
  <c r="CX57" i="1"/>
  <c r="CV57" i="1"/>
  <c r="BK57" i="1"/>
  <c r="BJ57" i="1"/>
  <c r="BF57" i="1"/>
  <c r="BB57" i="1"/>
  <c r="AV57" i="1"/>
  <c r="AP57" i="1"/>
  <c r="BC57" i="1" s="1"/>
  <c r="AK57" i="1"/>
  <c r="AI57" i="1"/>
  <c r="K57" i="1" s="1"/>
  <c r="J57" i="1" s="1"/>
  <c r="AA57" i="1"/>
  <c r="Z57" i="1"/>
  <c r="Y57" i="1"/>
  <c r="R57" i="1"/>
  <c r="M57" i="1"/>
  <c r="L57" i="1"/>
  <c r="AY57" i="1" s="1"/>
  <c r="CY56" i="1"/>
  <c r="CX56" i="1"/>
  <c r="CV56" i="1"/>
  <c r="BK56" i="1"/>
  <c r="BJ56" i="1"/>
  <c r="BF56" i="1"/>
  <c r="BC56" i="1"/>
  <c r="BB56" i="1"/>
  <c r="AV56" i="1"/>
  <c r="AP56" i="1"/>
  <c r="AK56" i="1"/>
  <c r="AI56" i="1" s="1"/>
  <c r="AJ56" i="1"/>
  <c r="AA56" i="1"/>
  <c r="Z56" i="1"/>
  <c r="R56" i="1"/>
  <c r="L56" i="1"/>
  <c r="AY56" i="1" s="1"/>
  <c r="K56" i="1"/>
  <c r="J56" i="1"/>
  <c r="AC56" i="1" s="1"/>
  <c r="CY55" i="1"/>
  <c r="CX55" i="1"/>
  <c r="CW55" i="1"/>
  <c r="AX55" i="1" s="1"/>
  <c r="CV55" i="1"/>
  <c r="BK55" i="1"/>
  <c r="BJ55" i="1"/>
  <c r="BG55" i="1"/>
  <c r="BF55" i="1"/>
  <c r="BI55" i="1" s="1"/>
  <c r="BB55" i="1"/>
  <c r="AZ55" i="1"/>
  <c r="AV55" i="1"/>
  <c r="AP55" i="1"/>
  <c r="BC55" i="1" s="1"/>
  <c r="AK55" i="1"/>
  <c r="AJ55" i="1"/>
  <c r="AI55" i="1"/>
  <c r="P55" i="1" s="1"/>
  <c r="AA55" i="1"/>
  <c r="Z55" i="1"/>
  <c r="Y55" i="1" s="1"/>
  <c r="U55" i="1"/>
  <c r="R55" i="1"/>
  <c r="M55" i="1"/>
  <c r="CY54" i="1"/>
  <c r="U54" i="1" s="1"/>
  <c r="CX54" i="1"/>
  <c r="CV54" i="1"/>
  <c r="CW54" i="1" s="1"/>
  <c r="AX54" i="1" s="1"/>
  <c r="AZ54" i="1" s="1"/>
  <c r="BK54" i="1"/>
  <c r="BJ54" i="1"/>
  <c r="BI54" i="1"/>
  <c r="BC54" i="1"/>
  <c r="BF54" i="1" s="1"/>
  <c r="BG54" i="1" s="1"/>
  <c r="BB54" i="1"/>
  <c r="AV54" i="1"/>
  <c r="AP54" i="1"/>
  <c r="AK54" i="1"/>
  <c r="AI54" i="1" s="1"/>
  <c r="AA54" i="1"/>
  <c r="Z54" i="1"/>
  <c r="R54" i="1"/>
  <c r="P54" i="1"/>
  <c r="K54" i="1"/>
  <c r="J54" i="1"/>
  <c r="CY53" i="1"/>
  <c r="CX53" i="1"/>
  <c r="CV53" i="1"/>
  <c r="BK53" i="1"/>
  <c r="BJ53" i="1"/>
  <c r="BH53" i="1"/>
  <c r="BL53" i="1" s="1"/>
  <c r="BM53" i="1" s="1"/>
  <c r="BG53" i="1"/>
  <c r="BF53" i="1"/>
  <c r="BI53" i="1" s="1"/>
  <c r="BB53" i="1"/>
  <c r="AV53" i="1"/>
  <c r="AP53" i="1"/>
  <c r="BC53" i="1" s="1"/>
  <c r="AK53" i="1"/>
  <c r="AI53" i="1"/>
  <c r="L53" i="1" s="1"/>
  <c r="AY53" i="1" s="1"/>
  <c r="AA53" i="1"/>
  <c r="Z53" i="1"/>
  <c r="Y53" i="1"/>
  <c r="R53" i="1"/>
  <c r="P53" i="1"/>
  <c r="M53" i="1"/>
  <c r="CY52" i="1"/>
  <c r="CX52" i="1"/>
  <c r="CV52" i="1"/>
  <c r="BK52" i="1"/>
  <c r="BJ52" i="1"/>
  <c r="BI52" i="1"/>
  <c r="BH52" i="1"/>
  <c r="BL52" i="1" s="1"/>
  <c r="BM52" i="1" s="1"/>
  <c r="BF52" i="1"/>
  <c r="BG52" i="1" s="1"/>
  <c r="BB52" i="1"/>
  <c r="AV52" i="1"/>
  <c r="AP52" i="1"/>
  <c r="BC52" i="1" s="1"/>
  <c r="AK52" i="1"/>
  <c r="AI52" i="1" s="1"/>
  <c r="AA52" i="1"/>
  <c r="Z52" i="1"/>
  <c r="Y52" i="1" s="1"/>
  <c r="R52" i="1"/>
  <c r="CY51" i="1"/>
  <c r="CX51" i="1"/>
  <c r="CV51" i="1"/>
  <c r="CW51" i="1" s="1"/>
  <c r="AX51" i="1" s="1"/>
  <c r="AZ51" i="1" s="1"/>
  <c r="BM51" i="1"/>
  <c r="BK51" i="1"/>
  <c r="BJ51" i="1"/>
  <c r="BI51" i="1"/>
  <c r="BH51" i="1"/>
  <c r="BL51" i="1" s="1"/>
  <c r="BF51" i="1"/>
  <c r="BG51" i="1" s="1"/>
  <c r="BC51" i="1"/>
  <c r="BB51" i="1"/>
  <c r="AV51" i="1"/>
  <c r="AP51" i="1"/>
  <c r="AK51" i="1"/>
  <c r="AI51" i="1" s="1"/>
  <c r="AA51" i="1"/>
  <c r="Z51" i="1"/>
  <c r="Y51" i="1" s="1"/>
  <c r="R51" i="1"/>
  <c r="K51" i="1"/>
  <c r="J51" i="1" s="1"/>
  <c r="AC51" i="1" s="1"/>
  <c r="CY50" i="1"/>
  <c r="CX50" i="1"/>
  <c r="CW50" i="1"/>
  <c r="AX50" i="1" s="1"/>
  <c r="CV50" i="1"/>
  <c r="BK50" i="1"/>
  <c r="BJ50" i="1"/>
  <c r="BB50" i="1"/>
  <c r="AV50" i="1"/>
  <c r="AP50" i="1"/>
  <c r="BC50" i="1" s="1"/>
  <c r="BF50" i="1" s="1"/>
  <c r="AK50" i="1"/>
  <c r="AI50" i="1"/>
  <c r="AA50" i="1"/>
  <c r="Z50" i="1"/>
  <c r="Y50" i="1"/>
  <c r="U50" i="1"/>
  <c r="R50" i="1"/>
  <c r="M50" i="1"/>
  <c r="CY49" i="1"/>
  <c r="CX49" i="1"/>
  <c r="CV49" i="1"/>
  <c r="CW49" i="1" s="1"/>
  <c r="AX49" i="1" s="1"/>
  <c r="AZ49" i="1" s="1"/>
  <c r="BK49" i="1"/>
  <c r="BJ49" i="1"/>
  <c r="BI49" i="1"/>
  <c r="BF49" i="1"/>
  <c r="BH49" i="1" s="1"/>
  <c r="BL49" i="1" s="1"/>
  <c r="BM49" i="1" s="1"/>
  <c r="BC49" i="1"/>
  <c r="BB49" i="1"/>
  <c r="AV49" i="1"/>
  <c r="AP49" i="1"/>
  <c r="AK49" i="1"/>
  <c r="AI49" i="1" s="1"/>
  <c r="AA49" i="1"/>
  <c r="Z49" i="1"/>
  <c r="R49" i="1"/>
  <c r="K49" i="1"/>
  <c r="J49" i="1" s="1"/>
  <c r="AC49" i="1" s="1"/>
  <c r="CY48" i="1"/>
  <c r="CX48" i="1"/>
  <c r="CW48" i="1"/>
  <c r="AX48" i="1" s="1"/>
  <c r="CV48" i="1"/>
  <c r="BK48" i="1"/>
  <c r="BJ48" i="1"/>
  <c r="BB48" i="1"/>
  <c r="AV48" i="1"/>
  <c r="AZ48" i="1" s="1"/>
  <c r="AP48" i="1"/>
  <c r="BC48" i="1" s="1"/>
  <c r="BF48" i="1" s="1"/>
  <c r="BG48" i="1" s="1"/>
  <c r="AK48" i="1"/>
  <c r="AI48" i="1"/>
  <c r="AA48" i="1"/>
  <c r="Z48" i="1"/>
  <c r="Y48" i="1"/>
  <c r="U48" i="1"/>
  <c r="R48" i="1"/>
  <c r="M48" i="1"/>
  <c r="CY47" i="1"/>
  <c r="CX47" i="1"/>
  <c r="CV47" i="1"/>
  <c r="CW47" i="1" s="1"/>
  <c r="AX47" i="1" s="1"/>
  <c r="AZ47" i="1" s="1"/>
  <c r="BK47" i="1"/>
  <c r="BJ47" i="1"/>
  <c r="BI47" i="1"/>
  <c r="BH47" i="1"/>
  <c r="BL47" i="1" s="1"/>
  <c r="BM47" i="1" s="1"/>
  <c r="BF47" i="1"/>
  <c r="BG47" i="1" s="1"/>
  <c r="BC47" i="1"/>
  <c r="BB47" i="1"/>
  <c r="AV47" i="1"/>
  <c r="AP47" i="1"/>
  <c r="AK47" i="1"/>
  <c r="AI47" i="1" s="1"/>
  <c r="AA47" i="1"/>
  <c r="Z47" i="1"/>
  <c r="Y47" i="1" s="1"/>
  <c r="R47" i="1"/>
  <c r="P47" i="1"/>
  <c r="CY46" i="1"/>
  <c r="CX46" i="1"/>
  <c r="CV46" i="1"/>
  <c r="U46" i="1" s="1"/>
  <c r="BK46" i="1"/>
  <c r="BJ46" i="1"/>
  <c r="BF46" i="1"/>
  <c r="BI46" i="1" s="1"/>
  <c r="BB46" i="1"/>
  <c r="AV46" i="1"/>
  <c r="AP46" i="1"/>
  <c r="BC46" i="1" s="1"/>
  <c r="AK46" i="1"/>
  <c r="AI46" i="1"/>
  <c r="AA46" i="1"/>
  <c r="Z46" i="1"/>
  <c r="Y46" i="1"/>
  <c r="R46" i="1"/>
  <c r="M46" i="1"/>
  <c r="L46" i="1"/>
  <c r="AY46" i="1" s="1"/>
  <c r="CY45" i="1"/>
  <c r="CX45" i="1"/>
  <c r="CV45" i="1"/>
  <c r="BK45" i="1"/>
  <c r="BJ45" i="1"/>
  <c r="BI45" i="1"/>
  <c r="BF45" i="1"/>
  <c r="BB45" i="1"/>
  <c r="AV45" i="1"/>
  <c r="AP45" i="1"/>
  <c r="BC45" i="1" s="1"/>
  <c r="AK45" i="1"/>
  <c r="AI45" i="1" s="1"/>
  <c r="M45" i="1" s="1"/>
  <c r="AA45" i="1"/>
  <c r="Z45" i="1"/>
  <c r="R45" i="1"/>
  <c r="K45" i="1"/>
  <c r="J45" i="1" s="1"/>
  <c r="CY44" i="1"/>
  <c r="CX44" i="1"/>
  <c r="CW44" i="1"/>
  <c r="AX44" i="1" s="1"/>
  <c r="CV44" i="1"/>
  <c r="BK44" i="1"/>
  <c r="BJ44" i="1"/>
  <c r="BB44" i="1"/>
  <c r="AV44" i="1"/>
  <c r="AZ44" i="1" s="1"/>
  <c r="AP44" i="1"/>
  <c r="BC44" i="1" s="1"/>
  <c r="BF44" i="1" s="1"/>
  <c r="BI44" i="1" s="1"/>
  <c r="AK44" i="1"/>
  <c r="AI44" i="1"/>
  <c r="P44" i="1" s="1"/>
  <c r="AA44" i="1"/>
  <c r="Z44" i="1"/>
  <c r="Y44" i="1" s="1"/>
  <c r="U44" i="1"/>
  <c r="R44" i="1"/>
  <c r="CY43" i="1"/>
  <c r="CX43" i="1"/>
  <c r="CV43" i="1"/>
  <c r="BK43" i="1"/>
  <c r="BJ43" i="1"/>
  <c r="BF43" i="1"/>
  <c r="BG43" i="1" s="1"/>
  <c r="BC43" i="1"/>
  <c r="BB43" i="1"/>
  <c r="AV43" i="1"/>
  <c r="AP43" i="1"/>
  <c r="AK43" i="1"/>
  <c r="AI43" i="1" s="1"/>
  <c r="K43" i="1" s="1"/>
  <c r="J43" i="1" s="1"/>
  <c r="AA43" i="1"/>
  <c r="Z43" i="1"/>
  <c r="R43" i="1"/>
  <c r="L43" i="1"/>
  <c r="AY43" i="1" s="1"/>
  <c r="CY42" i="1"/>
  <c r="CX42" i="1"/>
  <c r="CV42" i="1"/>
  <c r="U42" i="1" s="1"/>
  <c r="BK42" i="1"/>
  <c r="BJ42" i="1"/>
  <c r="BB42" i="1"/>
  <c r="AV42" i="1"/>
  <c r="AP42" i="1"/>
  <c r="BC42" i="1" s="1"/>
  <c r="BF42" i="1" s="1"/>
  <c r="AK42" i="1"/>
  <c r="AI42" i="1"/>
  <c r="P42" i="1" s="1"/>
  <c r="AA42" i="1"/>
  <c r="Z42" i="1"/>
  <c r="Y42" i="1" s="1"/>
  <c r="R42" i="1"/>
  <c r="M42" i="1"/>
  <c r="K42" i="1"/>
  <c r="J42" i="1" s="1"/>
  <c r="CY41" i="1"/>
  <c r="CX41" i="1"/>
  <c r="CV41" i="1"/>
  <c r="BK41" i="1"/>
  <c r="BJ41" i="1"/>
  <c r="BF41" i="1"/>
  <c r="BI41" i="1" s="1"/>
  <c r="BC41" i="1"/>
  <c r="BB41" i="1"/>
  <c r="AV41" i="1"/>
  <c r="AP41" i="1"/>
  <c r="AK41" i="1"/>
  <c r="AI41" i="1" s="1"/>
  <c r="AA41" i="1"/>
  <c r="Z41" i="1"/>
  <c r="Y41" i="1"/>
  <c r="R41" i="1"/>
  <c r="CY40" i="1"/>
  <c r="U40" i="1" s="1"/>
  <c r="CX40" i="1"/>
  <c r="CW40" i="1"/>
  <c r="AX40" i="1" s="1"/>
  <c r="CV40" i="1"/>
  <c r="BK40" i="1"/>
  <c r="BJ40" i="1"/>
  <c r="BI40" i="1"/>
  <c r="BB40" i="1"/>
  <c r="AV40" i="1"/>
  <c r="AP40" i="1"/>
  <c r="BC40" i="1" s="1"/>
  <c r="BF40" i="1" s="1"/>
  <c r="BH40" i="1" s="1"/>
  <c r="BL40" i="1" s="1"/>
  <c r="BM40" i="1" s="1"/>
  <c r="AK40" i="1"/>
  <c r="AJ40" i="1"/>
  <c r="AI40" i="1"/>
  <c r="AA40" i="1"/>
  <c r="Z40" i="1"/>
  <c r="Y40" i="1"/>
  <c r="R40" i="1"/>
  <c r="P40" i="1"/>
  <c r="M40" i="1"/>
  <c r="CY39" i="1"/>
  <c r="CX39" i="1"/>
  <c r="CW39" i="1" s="1"/>
  <c r="AX39" i="1" s="1"/>
  <c r="AZ39" i="1" s="1"/>
  <c r="CV39" i="1"/>
  <c r="U39" i="1" s="1"/>
  <c r="BK39" i="1"/>
  <c r="BJ39" i="1"/>
  <c r="BG39" i="1"/>
  <c r="BF39" i="1"/>
  <c r="BI39" i="1" s="1"/>
  <c r="BB39" i="1"/>
  <c r="AV39" i="1"/>
  <c r="AP39" i="1"/>
  <c r="BC39" i="1" s="1"/>
  <c r="AK39" i="1"/>
  <c r="AI39" i="1" s="1"/>
  <c r="AJ39" i="1" s="1"/>
  <c r="AA39" i="1"/>
  <c r="Z39" i="1"/>
  <c r="Y39" i="1" s="1"/>
  <c r="R39" i="1"/>
  <c r="P39" i="1"/>
  <c r="K39" i="1"/>
  <c r="J39" i="1" s="1"/>
  <c r="AC39" i="1" s="1"/>
  <c r="CY38" i="1"/>
  <c r="CX38" i="1"/>
  <c r="CW38" i="1"/>
  <c r="AX38" i="1" s="1"/>
  <c r="CV38" i="1"/>
  <c r="BK38" i="1"/>
  <c r="BJ38" i="1"/>
  <c r="BF38" i="1"/>
  <c r="BI38" i="1" s="1"/>
  <c r="BC38" i="1"/>
  <c r="BB38" i="1"/>
  <c r="AV38" i="1"/>
  <c r="AP38" i="1"/>
  <c r="AK38" i="1"/>
  <c r="AJ38" i="1"/>
  <c r="AI38" i="1"/>
  <c r="P38" i="1" s="1"/>
  <c r="AA38" i="1"/>
  <c r="Z38" i="1"/>
  <c r="Y38" i="1" s="1"/>
  <c r="U38" i="1"/>
  <c r="R38" i="1"/>
  <c r="L38" i="1"/>
  <c r="AY38" i="1" s="1"/>
  <c r="BA38" i="1" s="1"/>
  <c r="K38" i="1"/>
  <c r="J38" i="1" s="1"/>
  <c r="CY37" i="1"/>
  <c r="CX37" i="1"/>
  <c r="CV37" i="1"/>
  <c r="CW37" i="1" s="1"/>
  <c r="AX37" i="1" s="1"/>
  <c r="AZ37" i="1" s="1"/>
  <c r="BK37" i="1"/>
  <c r="BJ37" i="1"/>
  <c r="BH37" i="1"/>
  <c r="BL37" i="1" s="1"/>
  <c r="BM37" i="1" s="1"/>
  <c r="BF37" i="1"/>
  <c r="BG37" i="1" s="1"/>
  <c r="BC37" i="1"/>
  <c r="BB37" i="1"/>
  <c r="AV37" i="1"/>
  <c r="AP37" i="1"/>
  <c r="AK37" i="1"/>
  <c r="AI37" i="1" s="1"/>
  <c r="AA37" i="1"/>
  <c r="Z37" i="1"/>
  <c r="Y37" i="1" s="1"/>
  <c r="R37" i="1"/>
  <c r="CY36" i="1"/>
  <c r="CX36" i="1"/>
  <c r="CW36" i="1" s="1"/>
  <c r="AX36" i="1" s="1"/>
  <c r="CV36" i="1"/>
  <c r="BK36" i="1"/>
  <c r="BJ36" i="1"/>
  <c r="BC36" i="1"/>
  <c r="BF36" i="1" s="1"/>
  <c r="BB36" i="1"/>
  <c r="AV36" i="1"/>
  <c r="AZ36" i="1" s="1"/>
  <c r="AP36" i="1"/>
  <c r="AK36" i="1"/>
  <c r="AI36" i="1"/>
  <c r="P36" i="1" s="1"/>
  <c r="AA36" i="1"/>
  <c r="Z36" i="1"/>
  <c r="Y36" i="1"/>
  <c r="U36" i="1"/>
  <c r="R36" i="1"/>
  <c r="CY35" i="1"/>
  <c r="CX35" i="1"/>
  <c r="CV35" i="1"/>
  <c r="CW35" i="1" s="1"/>
  <c r="AX35" i="1" s="1"/>
  <c r="AZ35" i="1" s="1"/>
  <c r="BK35" i="1"/>
  <c r="BJ35" i="1"/>
  <c r="BF35" i="1"/>
  <c r="BI35" i="1" s="1"/>
  <c r="BB35" i="1"/>
  <c r="AV35" i="1"/>
  <c r="AP35" i="1"/>
  <c r="BC35" i="1" s="1"/>
  <c r="AK35" i="1"/>
  <c r="AI35" i="1" s="1"/>
  <c r="AA35" i="1"/>
  <c r="Y35" i="1" s="1"/>
  <c r="Z35" i="1"/>
  <c r="R35" i="1"/>
  <c r="CY34" i="1"/>
  <c r="CX34" i="1"/>
  <c r="CW34" i="1"/>
  <c r="AX34" i="1" s="1"/>
  <c r="CV34" i="1"/>
  <c r="BK34" i="1"/>
  <c r="BJ34" i="1"/>
  <c r="BB34" i="1"/>
  <c r="AV34" i="1"/>
  <c r="AZ34" i="1" s="1"/>
  <c r="AP34" i="1"/>
  <c r="BC34" i="1" s="1"/>
  <c r="BF34" i="1" s="1"/>
  <c r="AK34" i="1"/>
  <c r="AJ34" i="1"/>
  <c r="AI34" i="1"/>
  <c r="L34" i="1" s="1"/>
  <c r="AY34" i="1" s="1"/>
  <c r="BA34" i="1" s="1"/>
  <c r="AA34" i="1"/>
  <c r="Z34" i="1"/>
  <c r="Y34" i="1" s="1"/>
  <c r="U34" i="1"/>
  <c r="R34" i="1"/>
  <c r="M34" i="1"/>
  <c r="CY33" i="1"/>
  <c r="U33" i="1" s="1"/>
  <c r="CX33" i="1"/>
  <c r="CW33" i="1"/>
  <c r="AX33" i="1" s="1"/>
  <c r="AZ33" i="1" s="1"/>
  <c r="CV33" i="1"/>
  <c r="BK33" i="1"/>
  <c r="BJ33" i="1"/>
  <c r="BI33" i="1"/>
  <c r="BG33" i="1"/>
  <c r="BF33" i="1"/>
  <c r="BH33" i="1" s="1"/>
  <c r="BL33" i="1" s="1"/>
  <c r="BM33" i="1" s="1"/>
  <c r="BC33" i="1"/>
  <c r="BB33" i="1"/>
  <c r="AV33" i="1"/>
  <c r="AP33" i="1"/>
  <c r="AK33" i="1"/>
  <c r="AI33" i="1" s="1"/>
  <c r="AA33" i="1"/>
  <c r="Z33" i="1"/>
  <c r="Y33" i="1" s="1"/>
  <c r="R33" i="1"/>
  <c r="CY32" i="1"/>
  <c r="CX32" i="1"/>
  <c r="CW32" i="1" s="1"/>
  <c r="AX32" i="1" s="1"/>
  <c r="CV32" i="1"/>
  <c r="BK32" i="1"/>
  <c r="BJ32" i="1"/>
  <c r="BC32" i="1"/>
  <c r="BF32" i="1" s="1"/>
  <c r="BB32" i="1"/>
  <c r="AV32" i="1"/>
  <c r="AZ32" i="1" s="1"/>
  <c r="AP32" i="1"/>
  <c r="AK32" i="1"/>
  <c r="AI32" i="1"/>
  <c r="P32" i="1" s="1"/>
  <c r="AA32" i="1"/>
  <c r="Z32" i="1"/>
  <c r="Y32" i="1"/>
  <c r="U32" i="1"/>
  <c r="R32" i="1"/>
  <c r="CY31" i="1"/>
  <c r="CX31" i="1"/>
  <c r="CV31" i="1"/>
  <c r="BK31" i="1"/>
  <c r="BJ31" i="1"/>
  <c r="BF31" i="1"/>
  <c r="BB31" i="1"/>
  <c r="AV31" i="1"/>
  <c r="AP31" i="1"/>
  <c r="BC31" i="1" s="1"/>
  <c r="AK31" i="1"/>
  <c r="AI31" i="1" s="1"/>
  <c r="AA31" i="1"/>
  <c r="Y31" i="1" s="1"/>
  <c r="Z31" i="1"/>
  <c r="R31" i="1"/>
  <c r="L31" i="1"/>
  <c r="AY31" i="1" s="1"/>
  <c r="CY30" i="1"/>
  <c r="CX30" i="1"/>
  <c r="CW30" i="1"/>
  <c r="AX30" i="1" s="1"/>
  <c r="CV30" i="1"/>
  <c r="BK30" i="1"/>
  <c r="BJ30" i="1"/>
  <c r="BG30" i="1"/>
  <c r="BF30" i="1"/>
  <c r="BI30" i="1" s="1"/>
  <c r="BB30" i="1"/>
  <c r="AV30" i="1"/>
  <c r="AZ30" i="1" s="1"/>
  <c r="AP30" i="1"/>
  <c r="BC30" i="1" s="1"/>
  <c r="AK30" i="1"/>
  <c r="AJ30" i="1"/>
  <c r="AI30" i="1"/>
  <c r="K30" i="1" s="1"/>
  <c r="AA30" i="1"/>
  <c r="Z30" i="1"/>
  <c r="Y30" i="1" s="1"/>
  <c r="U30" i="1"/>
  <c r="R30" i="1"/>
  <c r="M30" i="1"/>
  <c r="L30" i="1"/>
  <c r="AY30" i="1" s="1"/>
  <c r="BA30" i="1" s="1"/>
  <c r="J30" i="1"/>
  <c r="CY29" i="1"/>
  <c r="CX29" i="1"/>
  <c r="CV29" i="1"/>
  <c r="CW29" i="1" s="1"/>
  <c r="AX29" i="1" s="1"/>
  <c r="BK29" i="1"/>
  <c r="BJ29" i="1"/>
  <c r="BC29" i="1"/>
  <c r="BF29" i="1" s="1"/>
  <c r="BB29" i="1"/>
  <c r="AZ29" i="1"/>
  <c r="AV29" i="1"/>
  <c r="AP29" i="1"/>
  <c r="AK29" i="1"/>
  <c r="AI29" i="1" s="1"/>
  <c r="L29" i="1" s="1"/>
  <c r="AY29" i="1" s="1"/>
  <c r="BA29" i="1" s="1"/>
  <c r="AJ29" i="1"/>
  <c r="AA29" i="1"/>
  <c r="Z29" i="1"/>
  <c r="U29" i="1"/>
  <c r="R29" i="1"/>
  <c r="P29" i="1"/>
  <c r="K29" i="1"/>
  <c r="J29" i="1" s="1"/>
  <c r="CY28" i="1"/>
  <c r="CX28" i="1"/>
  <c r="CW28" i="1"/>
  <c r="AX28" i="1" s="1"/>
  <c r="CV28" i="1"/>
  <c r="BK28" i="1"/>
  <c r="BJ28" i="1"/>
  <c r="BH28" i="1"/>
  <c r="BL28" i="1" s="1"/>
  <c r="BM28" i="1" s="1"/>
  <c r="BG28" i="1"/>
  <c r="BF28" i="1"/>
  <c r="BI28" i="1" s="1"/>
  <c r="BC28" i="1"/>
  <c r="BB28" i="1"/>
  <c r="AV28" i="1"/>
  <c r="AP28" i="1"/>
  <c r="AK28" i="1"/>
  <c r="AJ28" i="1"/>
  <c r="AI28" i="1"/>
  <c r="L28" i="1" s="1"/>
  <c r="AY28" i="1" s="1"/>
  <c r="AA28" i="1"/>
  <c r="Z28" i="1"/>
  <c r="Y28" i="1"/>
  <c r="U28" i="1"/>
  <c r="R28" i="1"/>
  <c r="M28" i="1"/>
  <c r="K28" i="1"/>
  <c r="J28" i="1" s="1"/>
  <c r="CY27" i="1"/>
  <c r="CX27" i="1"/>
  <c r="CV27" i="1"/>
  <c r="BK27" i="1"/>
  <c r="BJ27" i="1"/>
  <c r="BB27" i="1"/>
  <c r="AY27" i="1"/>
  <c r="AV27" i="1"/>
  <c r="AP27" i="1"/>
  <c r="BC27" i="1" s="1"/>
  <c r="BF27" i="1" s="1"/>
  <c r="AK27" i="1"/>
  <c r="AI27" i="1"/>
  <c r="AA27" i="1"/>
  <c r="Z27" i="1"/>
  <c r="Y27" i="1"/>
  <c r="R27" i="1"/>
  <c r="L27" i="1"/>
  <c r="K27" i="1"/>
  <c r="J27" i="1" s="1"/>
  <c r="AC27" i="1" s="1"/>
  <c r="CY26" i="1"/>
  <c r="U26" i="1" s="1"/>
  <c r="CX26" i="1"/>
  <c r="CW26" i="1"/>
  <c r="CV26" i="1"/>
  <c r="BK26" i="1"/>
  <c r="BJ26" i="1"/>
  <c r="BI26" i="1"/>
  <c r="BH26" i="1"/>
  <c r="BL26" i="1" s="1"/>
  <c r="BM26" i="1" s="1"/>
  <c r="BF26" i="1"/>
  <c r="BG26" i="1" s="1"/>
  <c r="BB26" i="1"/>
  <c r="AX26" i="1"/>
  <c r="AV26" i="1"/>
  <c r="AZ26" i="1" s="1"/>
  <c r="AP26" i="1"/>
  <c r="BC26" i="1" s="1"/>
  <c r="AK26" i="1"/>
  <c r="AJ26" i="1"/>
  <c r="AI26" i="1"/>
  <c r="AA26" i="1"/>
  <c r="Z26" i="1"/>
  <c r="Y26" i="1"/>
  <c r="R26" i="1"/>
  <c r="M26" i="1"/>
  <c r="L26" i="1"/>
  <c r="AY26" i="1" s="1"/>
  <c r="BA26" i="1" s="1"/>
  <c r="CY25" i="1"/>
  <c r="U25" i="1" s="1"/>
  <c r="CX25" i="1"/>
  <c r="CW25" i="1"/>
  <c r="AX25" i="1" s="1"/>
  <c r="CV25" i="1"/>
  <c r="BK25" i="1"/>
  <c r="BJ25" i="1"/>
  <c r="BB25" i="1"/>
  <c r="AV25" i="1"/>
  <c r="AZ25" i="1" s="1"/>
  <c r="AP25" i="1"/>
  <c r="BC25" i="1" s="1"/>
  <c r="BF25" i="1" s="1"/>
  <c r="AK25" i="1"/>
  <c r="AI25" i="1" s="1"/>
  <c r="M25" i="1" s="1"/>
  <c r="AA25" i="1"/>
  <c r="Z25" i="1"/>
  <c r="Y25" i="1" s="1"/>
  <c r="R25" i="1"/>
  <c r="CY24" i="1"/>
  <c r="CX24" i="1"/>
  <c r="CW24" i="1"/>
  <c r="AX24" i="1" s="1"/>
  <c r="CV24" i="1"/>
  <c r="U24" i="1" s="1"/>
  <c r="BK24" i="1"/>
  <c r="BJ24" i="1"/>
  <c r="BF24" i="1"/>
  <c r="BI24" i="1" s="1"/>
  <c r="BC24" i="1"/>
  <c r="BB24" i="1"/>
  <c r="AV24" i="1"/>
  <c r="AP24" i="1"/>
  <c r="AK24" i="1"/>
  <c r="AI24" i="1" s="1"/>
  <c r="AA24" i="1"/>
  <c r="Z24" i="1"/>
  <c r="Y24" i="1" s="1"/>
  <c r="R24" i="1"/>
  <c r="CY23" i="1"/>
  <c r="CX23" i="1"/>
  <c r="CV23" i="1"/>
  <c r="CW23" i="1" s="1"/>
  <c r="AX23" i="1" s="1"/>
  <c r="AZ23" i="1" s="1"/>
  <c r="BK23" i="1"/>
  <c r="BJ23" i="1"/>
  <c r="BI23" i="1"/>
  <c r="BH23" i="1"/>
  <c r="BL23" i="1" s="1"/>
  <c r="BM23" i="1" s="1"/>
  <c r="BF23" i="1"/>
  <c r="BG23" i="1" s="1"/>
  <c r="BB23" i="1"/>
  <c r="AV23" i="1"/>
  <c r="AP23" i="1"/>
  <c r="BC23" i="1" s="1"/>
  <c r="AK23" i="1"/>
  <c r="AI23" i="1"/>
  <c r="M23" i="1" s="1"/>
  <c r="AA23" i="1"/>
  <c r="Z23" i="1"/>
  <c r="Y23" i="1"/>
  <c r="R23" i="1"/>
  <c r="P23" i="1"/>
  <c r="CY22" i="1"/>
  <c r="CX22" i="1"/>
  <c r="CW22" i="1"/>
  <c r="AX22" i="1" s="1"/>
  <c r="CV22" i="1"/>
  <c r="BK22" i="1"/>
  <c r="BJ22" i="1"/>
  <c r="BB22" i="1"/>
  <c r="AV22" i="1"/>
  <c r="AP22" i="1"/>
  <c r="BC22" i="1" s="1"/>
  <c r="BF22" i="1" s="1"/>
  <c r="AK22" i="1"/>
  <c r="AJ22" i="1"/>
  <c r="AI22" i="1"/>
  <c r="K22" i="1" s="1"/>
  <c r="J22" i="1" s="1"/>
  <c r="AA22" i="1"/>
  <c r="Z22" i="1"/>
  <c r="Y22" i="1" s="1"/>
  <c r="U22" i="1"/>
  <c r="R22" i="1"/>
  <c r="P22" i="1"/>
  <c r="M22" i="1"/>
  <c r="L22" i="1"/>
  <c r="AY22" i="1" s="1"/>
  <c r="BA22" i="1" s="1"/>
  <c r="CY21" i="1"/>
  <c r="CX21" i="1"/>
  <c r="CV21" i="1"/>
  <c r="CW21" i="1" s="1"/>
  <c r="AX21" i="1" s="1"/>
  <c r="AZ21" i="1" s="1"/>
  <c r="BK21" i="1"/>
  <c r="BJ21" i="1"/>
  <c r="BF21" i="1"/>
  <c r="BI21" i="1" s="1"/>
  <c r="BC21" i="1"/>
  <c r="BB21" i="1"/>
  <c r="AV21" i="1"/>
  <c r="AP21" i="1"/>
  <c r="AK21" i="1"/>
  <c r="AI21" i="1" s="1"/>
  <c r="AA21" i="1"/>
  <c r="Z21" i="1"/>
  <c r="Y21" i="1" s="1"/>
  <c r="R21" i="1"/>
  <c r="CY20" i="1"/>
  <c r="CX20" i="1"/>
  <c r="CV20" i="1"/>
  <c r="CW20" i="1" s="1"/>
  <c r="AX20" i="1" s="1"/>
  <c r="AZ20" i="1" s="1"/>
  <c r="BL20" i="1"/>
  <c r="BM20" i="1" s="1"/>
  <c r="BK20" i="1"/>
  <c r="BJ20" i="1"/>
  <c r="BH20" i="1"/>
  <c r="BF20" i="1"/>
  <c r="BI20" i="1" s="1"/>
  <c r="BB20" i="1"/>
  <c r="AV20" i="1"/>
  <c r="AP20" i="1"/>
  <c r="BC20" i="1" s="1"/>
  <c r="AK20" i="1"/>
  <c r="AI20" i="1"/>
  <c r="M20" i="1" s="1"/>
  <c r="AA20" i="1"/>
  <c r="Z20" i="1"/>
  <c r="Y20" i="1"/>
  <c r="R20" i="1"/>
  <c r="CY19" i="1"/>
  <c r="CX19" i="1"/>
  <c r="CV19" i="1"/>
  <c r="CW19" i="1" s="1"/>
  <c r="AX19" i="1" s="1"/>
  <c r="AZ19" i="1" s="1"/>
  <c r="BK19" i="1"/>
  <c r="BJ19" i="1"/>
  <c r="BI19" i="1"/>
  <c r="BH19" i="1"/>
  <c r="BL19" i="1" s="1"/>
  <c r="BM19" i="1" s="1"/>
  <c r="BF19" i="1"/>
  <c r="BG19" i="1" s="1"/>
  <c r="BB19" i="1"/>
  <c r="AY19" i="1"/>
  <c r="BA19" i="1" s="1"/>
  <c r="AV19" i="1"/>
  <c r="AP19" i="1"/>
  <c r="BC19" i="1" s="1"/>
  <c r="AK19" i="1"/>
  <c r="AI19" i="1"/>
  <c r="M19" i="1" s="1"/>
  <c r="AA19" i="1"/>
  <c r="Z19" i="1"/>
  <c r="Y19" i="1"/>
  <c r="R19" i="1"/>
  <c r="P19" i="1"/>
  <c r="L19" i="1"/>
  <c r="CY18" i="1"/>
  <c r="CX18" i="1"/>
  <c r="CW18" i="1"/>
  <c r="AX18" i="1" s="1"/>
  <c r="CV18" i="1"/>
  <c r="BK18" i="1"/>
  <c r="BJ18" i="1"/>
  <c r="BG18" i="1"/>
  <c r="BF18" i="1"/>
  <c r="BI18" i="1" s="1"/>
  <c r="BB18" i="1"/>
  <c r="AV18" i="1"/>
  <c r="AP18" i="1"/>
  <c r="BC18" i="1" s="1"/>
  <c r="AK18" i="1"/>
  <c r="AJ18" i="1"/>
  <c r="AI18" i="1"/>
  <c r="K18" i="1" s="1"/>
  <c r="J18" i="1" s="1"/>
  <c r="AA18" i="1"/>
  <c r="Z18" i="1"/>
  <c r="Y18" i="1" s="1"/>
  <c r="U18" i="1"/>
  <c r="R18" i="1"/>
  <c r="P18" i="1"/>
  <c r="M18" i="1"/>
  <c r="L18" i="1"/>
  <c r="AY18" i="1" s="1"/>
  <c r="CY17" i="1"/>
  <c r="CX17" i="1"/>
  <c r="CV17" i="1"/>
  <c r="CW17" i="1" s="1"/>
  <c r="AX17" i="1" s="1"/>
  <c r="AZ17" i="1" s="1"/>
  <c r="BK17" i="1"/>
  <c r="BJ17" i="1"/>
  <c r="BF17" i="1"/>
  <c r="BI17" i="1" s="1"/>
  <c r="BC17" i="1"/>
  <c r="BB17" i="1"/>
  <c r="AV17" i="1"/>
  <c r="AP17" i="1"/>
  <c r="AK17" i="1"/>
  <c r="AI17" i="1" s="1"/>
  <c r="AA17" i="1"/>
  <c r="Z17" i="1"/>
  <c r="Y17" i="1" s="1"/>
  <c r="R17" i="1"/>
  <c r="P17" i="1" l="1"/>
  <c r="K17" i="1"/>
  <c r="J17" i="1" s="1"/>
  <c r="M17" i="1"/>
  <c r="L17" i="1"/>
  <c r="AY17" i="1" s="1"/>
  <c r="BA17" i="1" s="1"/>
  <c r="AJ17" i="1"/>
  <c r="K21" i="1"/>
  <c r="J21" i="1" s="1"/>
  <c r="P21" i="1"/>
  <c r="M21" i="1"/>
  <c r="L21" i="1"/>
  <c r="AY21" i="1" s="1"/>
  <c r="BA21" i="1" s="1"/>
  <c r="AJ21" i="1"/>
  <c r="V26" i="1"/>
  <c r="W26" i="1" s="1"/>
  <c r="AC18" i="1"/>
  <c r="AC22" i="1"/>
  <c r="BG27" i="1"/>
  <c r="BH27" i="1"/>
  <c r="BL27" i="1" s="1"/>
  <c r="BM27" i="1" s="1"/>
  <c r="BI27" i="1"/>
  <c r="BA28" i="1"/>
  <c r="AC29" i="1"/>
  <c r="S29" i="1"/>
  <c r="Q29" i="1" s="1"/>
  <c r="T29" i="1" s="1"/>
  <c r="N29" i="1" s="1"/>
  <c r="O29" i="1" s="1"/>
  <c r="BA18" i="1"/>
  <c r="M24" i="1"/>
  <c r="L24" i="1"/>
  <c r="AY24" i="1" s="1"/>
  <c r="BA24" i="1" s="1"/>
  <c r="K24" i="1"/>
  <c r="J24" i="1" s="1"/>
  <c r="AJ24" i="1"/>
  <c r="P24" i="1"/>
  <c r="V24" i="1"/>
  <c r="W24" i="1" s="1"/>
  <c r="AD24" i="1" s="1"/>
  <c r="BH25" i="1"/>
  <c r="BL25" i="1" s="1"/>
  <c r="BM25" i="1" s="1"/>
  <c r="BG25" i="1"/>
  <c r="BI25" i="1"/>
  <c r="V25" i="1"/>
  <c r="W25" i="1" s="1"/>
  <c r="AC28" i="1"/>
  <c r="V28" i="1"/>
  <c r="W28" i="1" s="1"/>
  <c r="S28" i="1" s="1"/>
  <c r="Q28" i="1" s="1"/>
  <c r="T28" i="1" s="1"/>
  <c r="N28" i="1" s="1"/>
  <c r="O28" i="1" s="1"/>
  <c r="BI22" i="1"/>
  <c r="BH22" i="1"/>
  <c r="BL22" i="1" s="1"/>
  <c r="BM22" i="1" s="1"/>
  <c r="BG22" i="1"/>
  <c r="AZ24" i="1"/>
  <c r="AZ18" i="1"/>
  <c r="AZ22" i="1"/>
  <c r="AZ28" i="1"/>
  <c r="P20" i="1"/>
  <c r="AJ25" i="1"/>
  <c r="AC30" i="1"/>
  <c r="BI31" i="1"/>
  <c r="BH31" i="1"/>
  <c r="BL31" i="1" s="1"/>
  <c r="BM31" i="1" s="1"/>
  <c r="BG31" i="1"/>
  <c r="V42" i="1"/>
  <c r="W42" i="1" s="1"/>
  <c r="BG34" i="1"/>
  <c r="BI34" i="1"/>
  <c r="BH34" i="1"/>
  <c r="BL34" i="1" s="1"/>
  <c r="BM34" i="1" s="1"/>
  <c r="M41" i="1"/>
  <c r="AJ41" i="1"/>
  <c r="L41" i="1"/>
  <c r="AY41" i="1" s="1"/>
  <c r="BA41" i="1" s="1"/>
  <c r="K41" i="1"/>
  <c r="J41" i="1" s="1"/>
  <c r="P41" i="1"/>
  <c r="V18" i="1"/>
  <c r="W18" i="1" s="1"/>
  <c r="BH18" i="1"/>
  <c r="BL18" i="1" s="1"/>
  <c r="BM18" i="1" s="1"/>
  <c r="AJ20" i="1"/>
  <c r="V22" i="1"/>
  <c r="W22" i="1" s="1"/>
  <c r="BG24" i="1"/>
  <c r="P25" i="1"/>
  <c r="AD29" i="1"/>
  <c r="BI32" i="1"/>
  <c r="BH32" i="1"/>
  <c r="BL32" i="1" s="1"/>
  <c r="BM32" i="1" s="1"/>
  <c r="BG32" i="1"/>
  <c r="K37" i="1"/>
  <c r="J37" i="1" s="1"/>
  <c r="AJ37" i="1"/>
  <c r="P37" i="1"/>
  <c r="M37" i="1"/>
  <c r="L37" i="1"/>
  <c r="AY37" i="1" s="1"/>
  <c r="BA37" i="1" s="1"/>
  <c r="AC45" i="1"/>
  <c r="U17" i="1"/>
  <c r="BG17" i="1"/>
  <c r="K20" i="1"/>
  <c r="J20" i="1" s="1"/>
  <c r="U21" i="1"/>
  <c r="BG21" i="1"/>
  <c r="BH24" i="1"/>
  <c r="BL24" i="1" s="1"/>
  <c r="BM24" i="1" s="1"/>
  <c r="P28" i="1"/>
  <c r="CW31" i="1"/>
  <c r="AX31" i="1" s="1"/>
  <c r="AZ31" i="1" s="1"/>
  <c r="U31" i="1"/>
  <c r="K33" i="1"/>
  <c r="J33" i="1" s="1"/>
  <c r="AJ33" i="1"/>
  <c r="P33" i="1"/>
  <c r="M33" i="1"/>
  <c r="L33" i="1"/>
  <c r="AY33" i="1" s="1"/>
  <c r="BA33" i="1" s="1"/>
  <c r="BI42" i="1"/>
  <c r="BH42" i="1"/>
  <c r="BL42" i="1" s="1"/>
  <c r="BM42" i="1" s="1"/>
  <c r="BG42" i="1"/>
  <c r="BH17" i="1"/>
  <c r="BL17" i="1" s="1"/>
  <c r="BM17" i="1" s="1"/>
  <c r="AJ19" i="1"/>
  <c r="L20" i="1"/>
  <c r="AY20" i="1" s="1"/>
  <c r="BA20" i="1" s="1"/>
  <c r="BH21" i="1"/>
  <c r="BL21" i="1" s="1"/>
  <c r="BM21" i="1" s="1"/>
  <c r="AJ23" i="1"/>
  <c r="M27" i="1"/>
  <c r="AJ27" i="1"/>
  <c r="CW27" i="1"/>
  <c r="AX27" i="1" s="1"/>
  <c r="AZ27" i="1" s="1"/>
  <c r="U27" i="1"/>
  <c r="V29" i="1"/>
  <c r="W29" i="1" s="1"/>
  <c r="V30" i="1"/>
  <c r="W30" i="1" s="1"/>
  <c r="M31" i="1"/>
  <c r="K31" i="1"/>
  <c r="J31" i="1" s="1"/>
  <c r="AJ31" i="1"/>
  <c r="P31" i="1"/>
  <c r="AZ40" i="1"/>
  <c r="AC42" i="1"/>
  <c r="S42" i="1"/>
  <c r="Q42" i="1" s="1"/>
  <c r="T42" i="1" s="1"/>
  <c r="BI36" i="1"/>
  <c r="BH36" i="1"/>
  <c r="BL36" i="1" s="1"/>
  <c r="BM36" i="1" s="1"/>
  <c r="BG36" i="1"/>
  <c r="K19" i="1"/>
  <c r="J19" i="1" s="1"/>
  <c r="U20" i="1"/>
  <c r="BG20" i="1"/>
  <c r="K23" i="1"/>
  <c r="J23" i="1" s="1"/>
  <c r="K25" i="1"/>
  <c r="J25" i="1" s="1"/>
  <c r="K26" i="1"/>
  <c r="J26" i="1" s="1"/>
  <c r="P26" i="1"/>
  <c r="P27" i="1"/>
  <c r="M35" i="1"/>
  <c r="L35" i="1"/>
  <c r="AY35" i="1" s="1"/>
  <c r="BA35" i="1" s="1"/>
  <c r="K35" i="1"/>
  <c r="J35" i="1" s="1"/>
  <c r="AJ35" i="1"/>
  <c r="P35" i="1"/>
  <c r="L23" i="1"/>
  <c r="AY23" i="1" s="1"/>
  <c r="BA23" i="1" s="1"/>
  <c r="L25" i="1"/>
  <c r="AY25" i="1" s="1"/>
  <c r="BA25" i="1" s="1"/>
  <c r="BA31" i="1"/>
  <c r="V38" i="1"/>
  <c r="W38" i="1" s="1"/>
  <c r="AD38" i="1" s="1"/>
  <c r="AC38" i="1"/>
  <c r="AD42" i="1"/>
  <c r="BI29" i="1"/>
  <c r="BH29" i="1"/>
  <c r="BL29" i="1" s="1"/>
  <c r="BM29" i="1" s="1"/>
  <c r="BG29" i="1"/>
  <c r="U19" i="1"/>
  <c r="U23" i="1"/>
  <c r="M29" i="1"/>
  <c r="Y29" i="1"/>
  <c r="V39" i="1"/>
  <c r="W39" i="1" s="1"/>
  <c r="AC43" i="1"/>
  <c r="BH30" i="1"/>
  <c r="BL30" i="1" s="1"/>
  <c r="BM30" i="1" s="1"/>
  <c r="AJ32" i="1"/>
  <c r="V34" i="1"/>
  <c r="W34" i="1" s="1"/>
  <c r="AJ36" i="1"/>
  <c r="L39" i="1"/>
  <c r="AY39" i="1" s="1"/>
  <c r="BA39" i="1" s="1"/>
  <c r="L40" i="1"/>
  <c r="AY40" i="1" s="1"/>
  <c r="BA40" i="1" s="1"/>
  <c r="K40" i="1"/>
  <c r="J40" i="1" s="1"/>
  <c r="V40" i="1" s="1"/>
  <c r="W40" i="1" s="1"/>
  <c r="CW42" i="1"/>
  <c r="AX42" i="1" s="1"/>
  <c r="L45" i="1"/>
  <c r="AY45" i="1" s="1"/>
  <c r="Y45" i="1"/>
  <c r="AZ46" i="1"/>
  <c r="K32" i="1"/>
  <c r="J32" i="1" s="1"/>
  <c r="K36" i="1"/>
  <c r="J36" i="1" s="1"/>
  <c r="U37" i="1"/>
  <c r="M39" i="1"/>
  <c r="M49" i="1"/>
  <c r="L49" i="1"/>
  <c r="AY49" i="1" s="1"/>
  <c r="BA49" i="1" s="1"/>
  <c r="AJ49" i="1"/>
  <c r="P49" i="1"/>
  <c r="BI50" i="1"/>
  <c r="BH50" i="1"/>
  <c r="BL50" i="1" s="1"/>
  <c r="BM50" i="1" s="1"/>
  <c r="M52" i="1"/>
  <c r="L52" i="1"/>
  <c r="AY52" i="1" s="1"/>
  <c r="K52" i="1"/>
  <c r="J52" i="1" s="1"/>
  <c r="AJ52" i="1"/>
  <c r="P52" i="1"/>
  <c r="P30" i="1"/>
  <c r="L32" i="1"/>
  <c r="AY32" i="1" s="1"/>
  <c r="BA32" i="1" s="1"/>
  <c r="P34" i="1"/>
  <c r="L36" i="1"/>
  <c r="AY36" i="1" s="1"/>
  <c r="BA36" i="1" s="1"/>
  <c r="BI37" i="1"/>
  <c r="BG40" i="1"/>
  <c r="L42" i="1"/>
  <c r="AY42" i="1" s="1"/>
  <c r="BA42" i="1" s="1"/>
  <c r="AJ42" i="1"/>
  <c r="CW43" i="1"/>
  <c r="AX43" i="1" s="1"/>
  <c r="AZ43" i="1" s="1"/>
  <c r="U43" i="1"/>
  <c r="P45" i="1"/>
  <c r="CW46" i="1"/>
  <c r="AX46" i="1" s="1"/>
  <c r="BA46" i="1" s="1"/>
  <c r="AZ50" i="1"/>
  <c r="M32" i="1"/>
  <c r="M36" i="1"/>
  <c r="CW45" i="1"/>
  <c r="AX45" i="1" s="1"/>
  <c r="AZ45" i="1" s="1"/>
  <c r="U45" i="1"/>
  <c r="AJ47" i="1"/>
  <c r="M47" i="1"/>
  <c r="L47" i="1"/>
  <c r="AY47" i="1" s="1"/>
  <c r="BA47" i="1" s="1"/>
  <c r="CW53" i="1"/>
  <c r="AX53" i="1" s="1"/>
  <c r="AZ53" i="1" s="1"/>
  <c r="U53" i="1"/>
  <c r="AJ43" i="1"/>
  <c r="M43" i="1"/>
  <c r="L44" i="1"/>
  <c r="AY44" i="1" s="1"/>
  <c r="BA44" i="1" s="1"/>
  <c r="K44" i="1"/>
  <c r="J44" i="1" s="1"/>
  <c r="V44" i="1" s="1"/>
  <c r="W44" i="1" s="1"/>
  <c r="L48" i="1"/>
  <c r="AY48" i="1" s="1"/>
  <c r="BA48" i="1" s="1"/>
  <c r="K48" i="1"/>
  <c r="J48" i="1" s="1"/>
  <c r="AJ48" i="1"/>
  <c r="P48" i="1"/>
  <c r="AJ51" i="1"/>
  <c r="P51" i="1"/>
  <c r="M51" i="1"/>
  <c r="L51" i="1"/>
  <c r="AY51" i="1" s="1"/>
  <c r="BA51" i="1" s="1"/>
  <c r="K34" i="1"/>
  <c r="J34" i="1" s="1"/>
  <c r="U35" i="1"/>
  <c r="BG35" i="1"/>
  <c r="M38" i="1"/>
  <c r="BG38" i="1"/>
  <c r="BH39" i="1"/>
  <c r="BL39" i="1" s="1"/>
  <c r="BM39" i="1" s="1"/>
  <c r="CW41" i="1"/>
  <c r="AX41" i="1" s="1"/>
  <c r="AZ41" i="1" s="1"/>
  <c r="U41" i="1"/>
  <c r="AZ42" i="1"/>
  <c r="BH43" i="1"/>
  <c r="BL43" i="1" s="1"/>
  <c r="BM43" i="1" s="1"/>
  <c r="AJ44" i="1"/>
  <c r="BG44" i="1"/>
  <c r="AJ45" i="1"/>
  <c r="BH45" i="1"/>
  <c r="BL45" i="1" s="1"/>
  <c r="BM45" i="1" s="1"/>
  <c r="BG45" i="1"/>
  <c r="P46" i="1"/>
  <c r="K46" i="1"/>
  <c r="J46" i="1" s="1"/>
  <c r="V46" i="1" s="1"/>
  <c r="W46" i="1" s="1"/>
  <c r="AJ46" i="1"/>
  <c r="BG46" i="1"/>
  <c r="K47" i="1"/>
  <c r="J47" i="1" s="1"/>
  <c r="BG50" i="1"/>
  <c r="BH35" i="1"/>
  <c r="BL35" i="1" s="1"/>
  <c r="BM35" i="1" s="1"/>
  <c r="BH38" i="1"/>
  <c r="BL38" i="1" s="1"/>
  <c r="BM38" i="1" s="1"/>
  <c r="S39" i="1"/>
  <c r="Q39" i="1" s="1"/>
  <c r="T39" i="1" s="1"/>
  <c r="Y43" i="1"/>
  <c r="BI43" i="1"/>
  <c r="M44" i="1"/>
  <c r="BH44" i="1"/>
  <c r="BL44" i="1" s="1"/>
  <c r="BM44" i="1" s="1"/>
  <c r="BH46" i="1"/>
  <c r="BL46" i="1" s="1"/>
  <c r="BM46" i="1" s="1"/>
  <c r="AD48" i="1"/>
  <c r="BI48" i="1"/>
  <c r="BH48" i="1"/>
  <c r="BL48" i="1" s="1"/>
  <c r="BM48" i="1" s="1"/>
  <c r="Y49" i="1"/>
  <c r="AC54" i="1"/>
  <c r="V54" i="1"/>
  <c r="W54" i="1" s="1"/>
  <c r="S54" i="1" s="1"/>
  <c r="Q54" i="1" s="1"/>
  <c r="T54" i="1" s="1"/>
  <c r="N54" i="1" s="1"/>
  <c r="O54" i="1" s="1"/>
  <c r="AZ38" i="1"/>
  <c r="BH41" i="1"/>
  <c r="BL41" i="1" s="1"/>
  <c r="BM41" i="1" s="1"/>
  <c r="BG41" i="1"/>
  <c r="P43" i="1"/>
  <c r="V48" i="1"/>
  <c r="W48" i="1" s="1"/>
  <c r="P50" i="1"/>
  <c r="L50" i="1"/>
  <c r="AY50" i="1" s="1"/>
  <c r="BA50" i="1" s="1"/>
  <c r="K50" i="1"/>
  <c r="J50" i="1" s="1"/>
  <c r="AJ50" i="1"/>
  <c r="P60" i="1"/>
  <c r="M60" i="1"/>
  <c r="K60" i="1"/>
  <c r="J60" i="1" s="1"/>
  <c r="CW60" i="1"/>
  <c r="AX60" i="1" s="1"/>
  <c r="U60" i="1"/>
  <c r="CW61" i="1"/>
  <c r="AX61" i="1" s="1"/>
  <c r="AZ61" i="1" s="1"/>
  <c r="U61" i="1"/>
  <c r="M66" i="1"/>
  <c r="L66" i="1"/>
  <c r="AY66" i="1" s="1"/>
  <c r="K66" i="1"/>
  <c r="J66" i="1" s="1"/>
  <c r="AJ66" i="1"/>
  <c r="P66" i="1"/>
  <c r="P79" i="1"/>
  <c r="M79" i="1"/>
  <c r="L79" i="1"/>
  <c r="AY79" i="1" s="1"/>
  <c r="BA79" i="1" s="1"/>
  <c r="AJ79" i="1"/>
  <c r="K79" i="1"/>
  <c r="J79" i="1" s="1"/>
  <c r="U47" i="1"/>
  <c r="U51" i="1"/>
  <c r="CW52" i="1"/>
  <c r="AX52" i="1" s="1"/>
  <c r="AZ52" i="1" s="1"/>
  <c r="U52" i="1"/>
  <c r="Y54" i="1"/>
  <c r="Y56" i="1"/>
  <c r="BG58" i="1"/>
  <c r="BI58" i="1"/>
  <c r="L60" i="1"/>
  <c r="AY60" i="1" s="1"/>
  <c r="BA60" i="1" s="1"/>
  <c r="CW66" i="1"/>
  <c r="AX66" i="1" s="1"/>
  <c r="AZ66" i="1" s="1"/>
  <c r="AC68" i="1"/>
  <c r="S68" i="1"/>
  <c r="Q68" i="1" s="1"/>
  <c r="T68" i="1" s="1"/>
  <c r="AZ72" i="1"/>
  <c r="AC83" i="1"/>
  <c r="AD55" i="1"/>
  <c r="L55" i="1"/>
  <c r="AY55" i="1" s="1"/>
  <c r="BA55" i="1" s="1"/>
  <c r="K55" i="1"/>
  <c r="J55" i="1" s="1"/>
  <c r="BI56" i="1"/>
  <c r="BH56" i="1"/>
  <c r="BL56" i="1" s="1"/>
  <c r="BM56" i="1" s="1"/>
  <c r="BG56" i="1"/>
  <c r="BA57" i="1"/>
  <c r="AZ60" i="1"/>
  <c r="AZ68" i="1"/>
  <c r="V55" i="1"/>
  <c r="W55" i="1" s="1"/>
  <c r="BI57" i="1"/>
  <c r="BG57" i="1"/>
  <c r="M58" i="1"/>
  <c r="L58" i="1"/>
  <c r="AY58" i="1" s="1"/>
  <c r="K58" i="1"/>
  <c r="J58" i="1" s="1"/>
  <c r="V58" i="1" s="1"/>
  <c r="W58" i="1" s="1"/>
  <c r="AJ58" i="1"/>
  <c r="BA61" i="1"/>
  <c r="AC71" i="1"/>
  <c r="M78" i="1"/>
  <c r="L78" i="1"/>
  <c r="AY78" i="1" s="1"/>
  <c r="BA78" i="1" s="1"/>
  <c r="K78" i="1"/>
  <c r="J78" i="1" s="1"/>
  <c r="AJ78" i="1"/>
  <c r="P78" i="1"/>
  <c r="BH57" i="1"/>
  <c r="BL57" i="1" s="1"/>
  <c r="BM57" i="1" s="1"/>
  <c r="BI60" i="1"/>
  <c r="BH60" i="1"/>
  <c r="BL60" i="1" s="1"/>
  <c r="BM60" i="1" s="1"/>
  <c r="BG60" i="1"/>
  <c r="BI61" i="1"/>
  <c r="BG61" i="1"/>
  <c r="M62" i="1"/>
  <c r="L62" i="1"/>
  <c r="AY62" i="1" s="1"/>
  <c r="BA62" i="1" s="1"/>
  <c r="K62" i="1"/>
  <c r="J62" i="1" s="1"/>
  <c r="AJ62" i="1"/>
  <c r="V63" i="1"/>
  <c r="W63" i="1" s="1"/>
  <c r="AD63" i="1" s="1"/>
  <c r="BI65" i="1"/>
  <c r="BH65" i="1"/>
  <c r="BL65" i="1" s="1"/>
  <c r="BM65" i="1" s="1"/>
  <c r="BG65" i="1"/>
  <c r="V66" i="1"/>
  <c r="W66" i="1" s="1"/>
  <c r="AE68" i="1"/>
  <c r="AF68" i="1" s="1"/>
  <c r="X68" i="1"/>
  <c r="AB68" i="1" s="1"/>
  <c r="BI68" i="1"/>
  <c r="BH68" i="1"/>
  <c r="BL68" i="1" s="1"/>
  <c r="BM68" i="1" s="1"/>
  <c r="BG68" i="1"/>
  <c r="U49" i="1"/>
  <c r="BG49" i="1"/>
  <c r="P56" i="1"/>
  <c r="M56" i="1"/>
  <c r="AC57" i="1"/>
  <c r="CW58" i="1"/>
  <c r="AX58" i="1" s="1"/>
  <c r="AZ58" i="1" s="1"/>
  <c r="BH61" i="1"/>
  <c r="BL61" i="1" s="1"/>
  <c r="BM61" i="1" s="1"/>
  <c r="P64" i="1"/>
  <c r="M64" i="1"/>
  <c r="L64" i="1"/>
  <c r="AY64" i="1" s="1"/>
  <c r="BA64" i="1" s="1"/>
  <c r="K64" i="1"/>
  <c r="J64" i="1" s="1"/>
  <c r="BG66" i="1"/>
  <c r="BI66" i="1"/>
  <c r="K53" i="1"/>
  <c r="J53" i="1" s="1"/>
  <c r="AJ53" i="1"/>
  <c r="M54" i="1"/>
  <c r="L54" i="1"/>
  <c r="AY54" i="1" s="1"/>
  <c r="BA54" i="1" s="1"/>
  <c r="AJ54" i="1"/>
  <c r="BH54" i="1"/>
  <c r="BL54" i="1" s="1"/>
  <c r="BM54" i="1" s="1"/>
  <c r="AC61" i="1"/>
  <c r="BI64" i="1"/>
  <c r="BH64" i="1"/>
  <c r="BL64" i="1" s="1"/>
  <c r="BM64" i="1" s="1"/>
  <c r="BG64" i="1"/>
  <c r="BH66" i="1"/>
  <c r="BL66" i="1" s="1"/>
  <c r="BM66" i="1" s="1"/>
  <c r="CW56" i="1"/>
  <c r="AX56" i="1" s="1"/>
  <c r="AZ56" i="1" s="1"/>
  <c r="U56" i="1"/>
  <c r="CW57" i="1"/>
  <c r="AX57" i="1" s="1"/>
  <c r="AZ57" i="1" s="1"/>
  <c r="U57" i="1"/>
  <c r="BA65" i="1"/>
  <c r="AC65" i="1"/>
  <c r="CW65" i="1"/>
  <c r="AX65" i="1" s="1"/>
  <c r="AZ65" i="1" s="1"/>
  <c r="U65" i="1"/>
  <c r="L68" i="1"/>
  <c r="AY68" i="1" s="1"/>
  <c r="BA68" i="1" s="1"/>
  <c r="AJ68" i="1"/>
  <c r="CW69" i="1"/>
  <c r="AX69" i="1" s="1"/>
  <c r="AZ69" i="1" s="1"/>
  <c r="U69" i="1"/>
  <c r="CW70" i="1"/>
  <c r="AX70" i="1" s="1"/>
  <c r="U70" i="1"/>
  <c r="P71" i="1"/>
  <c r="M71" i="1"/>
  <c r="M73" i="1"/>
  <c r="L73" i="1"/>
  <c r="AY73" i="1" s="1"/>
  <c r="BA73" i="1" s="1"/>
  <c r="K73" i="1"/>
  <c r="J73" i="1" s="1"/>
  <c r="AJ73" i="1"/>
  <c r="P73" i="1"/>
  <c r="Y75" i="1"/>
  <c r="BI83" i="1"/>
  <c r="BH83" i="1"/>
  <c r="BL83" i="1" s="1"/>
  <c r="BM83" i="1" s="1"/>
  <c r="BG83" i="1"/>
  <c r="M85" i="1"/>
  <c r="L85" i="1"/>
  <c r="AY85" i="1" s="1"/>
  <c r="BA85" i="1" s="1"/>
  <c r="K85" i="1"/>
  <c r="J85" i="1" s="1"/>
  <c r="AJ85" i="1"/>
  <c r="P85" i="1"/>
  <c r="M86" i="1"/>
  <c r="L86" i="1"/>
  <c r="AY86" i="1" s="1"/>
  <c r="BA86" i="1" s="1"/>
  <c r="K86" i="1"/>
  <c r="J86" i="1" s="1"/>
  <c r="AJ86" i="1"/>
  <c r="P86" i="1"/>
  <c r="AJ67" i="1"/>
  <c r="CW71" i="1"/>
  <c r="AX71" i="1" s="1"/>
  <c r="AZ71" i="1" s="1"/>
  <c r="U71" i="1"/>
  <c r="BI78" i="1"/>
  <c r="BH78" i="1"/>
  <c r="BL78" i="1" s="1"/>
  <c r="BM78" i="1" s="1"/>
  <c r="BG78" i="1"/>
  <c r="K80" i="1"/>
  <c r="J80" i="1" s="1"/>
  <c r="AJ80" i="1"/>
  <c r="P80" i="1"/>
  <c r="L80" i="1"/>
  <c r="AY80" i="1" s="1"/>
  <c r="BA80" i="1" s="1"/>
  <c r="BG85" i="1"/>
  <c r="BH85" i="1"/>
  <c r="BL85" i="1" s="1"/>
  <c r="BM85" i="1" s="1"/>
  <c r="K59" i="1"/>
  <c r="J59" i="1" s="1"/>
  <c r="V59" i="1" s="1"/>
  <c r="W59" i="1" s="1"/>
  <c r="K63" i="1"/>
  <c r="J63" i="1" s="1"/>
  <c r="U64" i="1"/>
  <c r="K67" i="1"/>
  <c r="J67" i="1" s="1"/>
  <c r="M70" i="1"/>
  <c r="K70" i="1"/>
  <c r="J70" i="1" s="1"/>
  <c r="M74" i="1"/>
  <c r="L74" i="1"/>
  <c r="AY74" i="1" s="1"/>
  <c r="BA74" i="1" s="1"/>
  <c r="K74" i="1"/>
  <c r="J74" i="1" s="1"/>
  <c r="AJ74" i="1"/>
  <c r="P74" i="1"/>
  <c r="P75" i="1"/>
  <c r="M75" i="1"/>
  <c r="L75" i="1"/>
  <c r="AY75" i="1" s="1"/>
  <c r="BA75" i="1" s="1"/>
  <c r="AJ75" i="1"/>
  <c r="BI80" i="1"/>
  <c r="BH80" i="1"/>
  <c r="BL80" i="1" s="1"/>
  <c r="BM80" i="1" s="1"/>
  <c r="V85" i="1"/>
  <c r="W85" i="1" s="1"/>
  <c r="P57" i="1"/>
  <c r="L59" i="1"/>
  <c r="AY59" i="1" s="1"/>
  <c r="BA59" i="1" s="1"/>
  <c r="P61" i="1"/>
  <c r="L63" i="1"/>
  <c r="AY63" i="1" s="1"/>
  <c r="BA63" i="1" s="1"/>
  <c r="P65" i="1"/>
  <c r="L67" i="1"/>
  <c r="AY67" i="1" s="1"/>
  <c r="BA67" i="1" s="1"/>
  <c r="CW67" i="1"/>
  <c r="AX67" i="1" s="1"/>
  <c r="AZ67" i="1" s="1"/>
  <c r="M69" i="1"/>
  <c r="K69" i="1"/>
  <c r="J69" i="1" s="1"/>
  <c r="BH69" i="1"/>
  <c r="BL69" i="1" s="1"/>
  <c r="BM69" i="1" s="1"/>
  <c r="AJ70" i="1"/>
  <c r="BI70" i="1"/>
  <c r="BG70" i="1"/>
  <c r="Y71" i="1"/>
  <c r="M80" i="1"/>
  <c r="AZ80" i="1"/>
  <c r="M82" i="1"/>
  <c r="L82" i="1"/>
  <c r="AY82" i="1" s="1"/>
  <c r="BA82" i="1" s="1"/>
  <c r="K82" i="1"/>
  <c r="J82" i="1" s="1"/>
  <c r="AJ82" i="1"/>
  <c r="P82" i="1"/>
  <c r="BI74" i="1"/>
  <c r="BH74" i="1"/>
  <c r="BL74" i="1" s="1"/>
  <c r="BM74" i="1" s="1"/>
  <c r="BG74" i="1"/>
  <c r="K76" i="1"/>
  <c r="J76" i="1" s="1"/>
  <c r="V76" i="1" s="1"/>
  <c r="W76" i="1" s="1"/>
  <c r="AJ76" i="1"/>
  <c r="P76" i="1"/>
  <c r="L76" i="1"/>
  <c r="AY76" i="1" s="1"/>
  <c r="BA76" i="1" s="1"/>
  <c r="P83" i="1"/>
  <c r="M83" i="1"/>
  <c r="L83" i="1"/>
  <c r="AY83" i="1" s="1"/>
  <c r="BA83" i="1" s="1"/>
  <c r="AJ83" i="1"/>
  <c r="BH55" i="1"/>
  <c r="BL55" i="1" s="1"/>
  <c r="BM55" i="1" s="1"/>
  <c r="AJ57" i="1"/>
  <c r="BH59" i="1"/>
  <c r="BL59" i="1" s="1"/>
  <c r="BM59" i="1" s="1"/>
  <c r="AJ61" i="1"/>
  <c r="BH63" i="1"/>
  <c r="BL63" i="1" s="1"/>
  <c r="BM63" i="1" s="1"/>
  <c r="AJ65" i="1"/>
  <c r="BH67" i="1"/>
  <c r="BL67" i="1" s="1"/>
  <c r="BM67" i="1" s="1"/>
  <c r="L71" i="1"/>
  <c r="AY71" i="1" s="1"/>
  <c r="BA71" i="1" s="1"/>
  <c r="BI71" i="1"/>
  <c r="BH71" i="1"/>
  <c r="BL71" i="1" s="1"/>
  <c r="BM71" i="1" s="1"/>
  <c r="BG71" i="1"/>
  <c r="K72" i="1"/>
  <c r="J72" i="1" s="1"/>
  <c r="V72" i="1" s="1"/>
  <c r="W72" i="1" s="1"/>
  <c r="AJ72" i="1"/>
  <c r="P72" i="1"/>
  <c r="L72" i="1"/>
  <c r="AY72" i="1" s="1"/>
  <c r="BA72" i="1" s="1"/>
  <c r="K75" i="1"/>
  <c r="J75" i="1" s="1"/>
  <c r="BI76" i="1"/>
  <c r="BH76" i="1"/>
  <c r="BL76" i="1" s="1"/>
  <c r="BM76" i="1" s="1"/>
  <c r="M77" i="1"/>
  <c r="L77" i="1"/>
  <c r="AY77" i="1" s="1"/>
  <c r="BA77" i="1" s="1"/>
  <c r="K77" i="1"/>
  <c r="J77" i="1" s="1"/>
  <c r="AJ77" i="1"/>
  <c r="P77" i="1"/>
  <c r="V80" i="1"/>
  <c r="W80" i="1" s="1"/>
  <c r="BG80" i="1"/>
  <c r="K84" i="1"/>
  <c r="J84" i="1" s="1"/>
  <c r="V84" i="1" s="1"/>
  <c r="W84" i="1" s="1"/>
  <c r="AJ84" i="1"/>
  <c r="P84" i="1"/>
  <c r="L84" i="1"/>
  <c r="AY84" i="1" s="1"/>
  <c r="BA84" i="1" s="1"/>
  <c r="BI85" i="1"/>
  <c r="U62" i="1"/>
  <c r="P69" i="1"/>
  <c r="P70" i="1"/>
  <c r="M76" i="1"/>
  <c r="AZ76" i="1"/>
  <c r="V86" i="1"/>
  <c r="W86" i="1" s="1"/>
  <c r="U75" i="1"/>
  <c r="BG75" i="1"/>
  <c r="U79" i="1"/>
  <c r="BG79" i="1"/>
  <c r="U83" i="1"/>
  <c r="BH75" i="1"/>
  <c r="BL75" i="1" s="1"/>
  <c r="BM75" i="1" s="1"/>
  <c r="BH79" i="1"/>
  <c r="BL79" i="1" s="1"/>
  <c r="BM79" i="1" s="1"/>
  <c r="U74" i="1"/>
  <c r="U78" i="1"/>
  <c r="U82" i="1"/>
  <c r="BG82" i="1"/>
  <c r="BH82" i="1"/>
  <c r="BL82" i="1" s="1"/>
  <c r="BM82" i="1" s="1"/>
  <c r="U73" i="1"/>
  <c r="U77" i="1"/>
  <c r="U81" i="1"/>
  <c r="X72" i="1" l="1"/>
  <c r="AB72" i="1" s="1"/>
  <c r="AE72" i="1"/>
  <c r="AD72" i="1"/>
  <c r="AE40" i="1"/>
  <c r="X40" i="1"/>
  <c r="AB40" i="1" s="1"/>
  <c r="AD40" i="1"/>
  <c r="AE58" i="1"/>
  <c r="X58" i="1"/>
  <c r="AB58" i="1" s="1"/>
  <c r="AD58" i="1"/>
  <c r="X46" i="1"/>
  <c r="AB46" i="1" s="1"/>
  <c r="AE46" i="1"/>
  <c r="AD46" i="1"/>
  <c r="X76" i="1"/>
  <c r="AB76" i="1" s="1"/>
  <c r="AE76" i="1"/>
  <c r="AD76" i="1"/>
  <c r="AE44" i="1"/>
  <c r="AF44" i="1" s="1"/>
  <c r="X44" i="1"/>
  <c r="AB44" i="1" s="1"/>
  <c r="AD44" i="1"/>
  <c r="X84" i="1"/>
  <c r="AB84" i="1" s="1"/>
  <c r="AE84" i="1"/>
  <c r="AD84" i="1"/>
  <c r="AE59" i="1"/>
  <c r="X59" i="1"/>
  <c r="AB59" i="1" s="1"/>
  <c r="AD59" i="1"/>
  <c r="AC73" i="1"/>
  <c r="X18" i="1"/>
  <c r="AB18" i="1" s="1"/>
  <c r="AE18" i="1"/>
  <c r="AD18" i="1"/>
  <c r="V73" i="1"/>
  <c r="W73" i="1" s="1"/>
  <c r="AC70" i="1"/>
  <c r="AC53" i="1"/>
  <c r="V49" i="1"/>
  <c r="W49" i="1" s="1"/>
  <c r="AC62" i="1"/>
  <c r="V51" i="1"/>
  <c r="W51" i="1" s="1"/>
  <c r="BA53" i="1"/>
  <c r="S26" i="1"/>
  <c r="Q26" i="1" s="1"/>
  <c r="T26" i="1" s="1"/>
  <c r="N26" i="1" s="1"/>
  <c r="O26" i="1" s="1"/>
  <c r="AC26" i="1"/>
  <c r="BA43" i="1"/>
  <c r="S18" i="1"/>
  <c r="Q18" i="1" s="1"/>
  <c r="T18" i="1" s="1"/>
  <c r="N18" i="1" s="1"/>
  <c r="O18" i="1" s="1"/>
  <c r="V57" i="1"/>
  <c r="W57" i="1" s="1"/>
  <c r="S44" i="1"/>
  <c r="Q44" i="1" s="1"/>
  <c r="T44" i="1" s="1"/>
  <c r="N44" i="1" s="1"/>
  <c r="O44" i="1" s="1"/>
  <c r="AC44" i="1"/>
  <c r="V83" i="1"/>
  <c r="W83" i="1" s="1"/>
  <c r="AC77" i="1"/>
  <c r="AC69" i="1"/>
  <c r="S69" i="1"/>
  <c r="Q69" i="1" s="1"/>
  <c r="T69" i="1" s="1"/>
  <c r="N69" i="1" s="1"/>
  <c r="O69" i="1" s="1"/>
  <c r="V71" i="1"/>
  <c r="W71" i="1" s="1"/>
  <c r="V56" i="1"/>
  <c r="W56" i="1" s="1"/>
  <c r="V47" i="1"/>
  <c r="W47" i="1" s="1"/>
  <c r="AC60" i="1"/>
  <c r="S60" i="1"/>
  <c r="Q60" i="1" s="1"/>
  <c r="T60" i="1" s="1"/>
  <c r="N60" i="1" s="1"/>
  <c r="O60" i="1" s="1"/>
  <c r="AC47" i="1"/>
  <c r="X34" i="1"/>
  <c r="AB34" i="1" s="1"/>
  <c r="AE34" i="1"/>
  <c r="AC25" i="1"/>
  <c r="S25" i="1"/>
  <c r="Q25" i="1" s="1"/>
  <c r="T25" i="1" s="1"/>
  <c r="N25" i="1" s="1"/>
  <c r="O25" i="1" s="1"/>
  <c r="N42" i="1"/>
  <c r="O42" i="1" s="1"/>
  <c r="AC31" i="1"/>
  <c r="S31" i="1"/>
  <c r="Q31" i="1" s="1"/>
  <c r="T31" i="1" s="1"/>
  <c r="N31" i="1" s="1"/>
  <c r="O31" i="1" s="1"/>
  <c r="AC33" i="1"/>
  <c r="V21" i="1"/>
  <c r="W21" i="1" s="1"/>
  <c r="AC41" i="1"/>
  <c r="X42" i="1"/>
  <c r="AB42" i="1" s="1"/>
  <c r="AE42" i="1"/>
  <c r="AF42" i="1" s="1"/>
  <c r="AC21" i="1"/>
  <c r="AE86" i="1"/>
  <c r="X86" i="1"/>
  <c r="AB86" i="1" s="1"/>
  <c r="AC50" i="1"/>
  <c r="X85" i="1"/>
  <c r="AB85" i="1" s="1"/>
  <c r="AE85" i="1"/>
  <c r="AC67" i="1"/>
  <c r="AE55" i="1"/>
  <c r="X55" i="1"/>
  <c r="AB55" i="1" s="1"/>
  <c r="AC66" i="1"/>
  <c r="S66" i="1"/>
  <c r="Q66" i="1" s="1"/>
  <c r="T66" i="1" s="1"/>
  <c r="N66" i="1" s="1"/>
  <c r="O66" i="1" s="1"/>
  <c r="X48" i="1"/>
  <c r="AB48" i="1" s="1"/>
  <c r="AE48" i="1"/>
  <c r="AE54" i="1"/>
  <c r="X54" i="1"/>
  <c r="AB54" i="1" s="1"/>
  <c r="AD54" i="1"/>
  <c r="V45" i="1"/>
  <c r="W45" i="1" s="1"/>
  <c r="V50" i="1"/>
  <c r="W50" i="1" s="1"/>
  <c r="AC23" i="1"/>
  <c r="V31" i="1"/>
  <c r="W31" i="1" s="1"/>
  <c r="AC20" i="1"/>
  <c r="AE25" i="1"/>
  <c r="X25" i="1"/>
  <c r="AB25" i="1" s="1"/>
  <c r="X26" i="1"/>
  <c r="AB26" i="1" s="1"/>
  <c r="AE26" i="1"/>
  <c r="AF26" i="1" s="1"/>
  <c r="V60" i="1"/>
  <c r="W60" i="1" s="1"/>
  <c r="AD85" i="1"/>
  <c r="X66" i="1"/>
  <c r="AB66" i="1" s="1"/>
  <c r="AE66" i="1"/>
  <c r="AD66" i="1"/>
  <c r="V82" i="1"/>
  <c r="W82" i="1" s="1"/>
  <c r="V79" i="1"/>
  <c r="W79" i="1" s="1"/>
  <c r="S84" i="1"/>
  <c r="Q84" i="1" s="1"/>
  <c r="T84" i="1" s="1"/>
  <c r="N84" i="1" s="1"/>
  <c r="O84" i="1" s="1"/>
  <c r="AC84" i="1"/>
  <c r="V64" i="1"/>
  <c r="W64" i="1" s="1"/>
  <c r="AC85" i="1"/>
  <c r="S85" i="1"/>
  <c r="Q85" i="1" s="1"/>
  <c r="T85" i="1" s="1"/>
  <c r="N85" i="1" s="1"/>
  <c r="O85" i="1" s="1"/>
  <c r="V67" i="1"/>
  <c r="W67" i="1" s="1"/>
  <c r="S67" i="1" s="1"/>
  <c r="Q67" i="1" s="1"/>
  <c r="T67" i="1" s="1"/>
  <c r="N67" i="1" s="1"/>
  <c r="O67" i="1" s="1"/>
  <c r="AC78" i="1"/>
  <c r="BA66" i="1"/>
  <c r="V35" i="1"/>
  <c r="W35" i="1" s="1"/>
  <c r="AC52" i="1"/>
  <c r="BA45" i="1"/>
  <c r="V23" i="1"/>
  <c r="W23" i="1" s="1"/>
  <c r="S38" i="1"/>
  <c r="Q38" i="1" s="1"/>
  <c r="T38" i="1" s="1"/>
  <c r="N38" i="1" s="1"/>
  <c r="O38" i="1" s="1"/>
  <c r="AC35" i="1"/>
  <c r="S35" i="1"/>
  <c r="Q35" i="1" s="1"/>
  <c r="T35" i="1" s="1"/>
  <c r="N35" i="1" s="1"/>
  <c r="O35" i="1" s="1"/>
  <c r="X30" i="1"/>
  <c r="AB30" i="1" s="1"/>
  <c r="AE30" i="1"/>
  <c r="AF30" i="1" s="1"/>
  <c r="AD26" i="1"/>
  <c r="AC24" i="1"/>
  <c r="S24" i="1"/>
  <c r="Q24" i="1" s="1"/>
  <c r="T24" i="1" s="1"/>
  <c r="N24" i="1" s="1"/>
  <c r="O24" i="1" s="1"/>
  <c r="V77" i="1"/>
  <c r="W77" i="1" s="1"/>
  <c r="AE28" i="1"/>
  <c r="AD28" i="1"/>
  <c r="X28" i="1"/>
  <c r="AB28" i="1" s="1"/>
  <c r="S72" i="1"/>
  <c r="Q72" i="1" s="1"/>
  <c r="T72" i="1" s="1"/>
  <c r="N72" i="1" s="1"/>
  <c r="O72" i="1" s="1"/>
  <c r="AC72" i="1"/>
  <c r="V65" i="1"/>
  <c r="W65" i="1" s="1"/>
  <c r="AC79" i="1"/>
  <c r="S79" i="1"/>
  <c r="Q79" i="1" s="1"/>
  <c r="T79" i="1" s="1"/>
  <c r="N79" i="1" s="1"/>
  <c r="O79" i="1" s="1"/>
  <c r="AC63" i="1"/>
  <c r="S63" i="1"/>
  <c r="Q63" i="1" s="1"/>
  <c r="T63" i="1" s="1"/>
  <c r="N63" i="1" s="1"/>
  <c r="O63" i="1" s="1"/>
  <c r="V70" i="1"/>
  <c r="W70" i="1" s="1"/>
  <c r="AC64" i="1"/>
  <c r="BA69" i="1"/>
  <c r="N68" i="1"/>
  <c r="O68" i="1" s="1"/>
  <c r="S46" i="1"/>
  <c r="Q46" i="1" s="1"/>
  <c r="T46" i="1" s="1"/>
  <c r="N46" i="1" s="1"/>
  <c r="O46" i="1" s="1"/>
  <c r="AC46" i="1"/>
  <c r="AC34" i="1"/>
  <c r="S34" i="1"/>
  <c r="Q34" i="1" s="1"/>
  <c r="T34" i="1" s="1"/>
  <c r="N34" i="1" s="1"/>
  <c r="O34" i="1" s="1"/>
  <c r="V53" i="1"/>
  <c r="W53" i="1" s="1"/>
  <c r="BA52" i="1"/>
  <c r="V19" i="1"/>
  <c r="W19" i="1" s="1"/>
  <c r="V20" i="1"/>
  <c r="W20" i="1" s="1"/>
  <c r="S20" i="1" s="1"/>
  <c r="Q20" i="1" s="1"/>
  <c r="T20" i="1" s="1"/>
  <c r="N20" i="1" s="1"/>
  <c r="O20" i="1" s="1"/>
  <c r="AD30" i="1"/>
  <c r="V17" i="1"/>
  <c r="W17" i="1" s="1"/>
  <c r="AC37" i="1"/>
  <c r="X22" i="1"/>
  <c r="AB22" i="1" s="1"/>
  <c r="AE22" i="1"/>
  <c r="AF22" i="1" s="1"/>
  <c r="AD22" i="1"/>
  <c r="S30" i="1"/>
  <c r="Q30" i="1" s="1"/>
  <c r="T30" i="1" s="1"/>
  <c r="N30" i="1" s="1"/>
  <c r="O30" i="1" s="1"/>
  <c r="AC32" i="1"/>
  <c r="S32" i="1"/>
  <c r="Q32" i="1" s="1"/>
  <c r="T32" i="1" s="1"/>
  <c r="N32" i="1" s="1"/>
  <c r="O32" i="1" s="1"/>
  <c r="V32" i="1"/>
  <c r="W32" i="1" s="1"/>
  <c r="AE24" i="1"/>
  <c r="AF24" i="1" s="1"/>
  <c r="X24" i="1"/>
  <c r="AB24" i="1" s="1"/>
  <c r="V78" i="1"/>
  <c r="W78" i="1" s="1"/>
  <c r="S78" i="1" s="1"/>
  <c r="Q78" i="1" s="1"/>
  <c r="T78" i="1" s="1"/>
  <c r="N78" i="1" s="1"/>
  <c r="O78" i="1" s="1"/>
  <c r="V75" i="1"/>
  <c r="W75" i="1" s="1"/>
  <c r="X80" i="1"/>
  <c r="AB80" i="1" s="1"/>
  <c r="AE80" i="1"/>
  <c r="AD80" i="1"/>
  <c r="AC82" i="1"/>
  <c r="AC74" i="1"/>
  <c r="AC59" i="1"/>
  <c r="S59" i="1"/>
  <c r="Q59" i="1" s="1"/>
  <c r="T59" i="1" s="1"/>
  <c r="N59" i="1" s="1"/>
  <c r="O59" i="1" s="1"/>
  <c r="S80" i="1"/>
  <c r="Q80" i="1" s="1"/>
  <c r="T80" i="1" s="1"/>
  <c r="N80" i="1" s="1"/>
  <c r="O80" i="1" s="1"/>
  <c r="AC80" i="1"/>
  <c r="BA70" i="1"/>
  <c r="AZ70" i="1"/>
  <c r="AC58" i="1"/>
  <c r="S58" i="1"/>
  <c r="Q58" i="1" s="1"/>
  <c r="T58" i="1" s="1"/>
  <c r="N58" i="1" s="1"/>
  <c r="O58" i="1" s="1"/>
  <c r="S55" i="1"/>
  <c r="Q55" i="1" s="1"/>
  <c r="T55" i="1" s="1"/>
  <c r="N55" i="1" s="1"/>
  <c r="O55" i="1" s="1"/>
  <c r="AC55" i="1"/>
  <c r="V61" i="1"/>
  <c r="W61" i="1" s="1"/>
  <c r="N39" i="1"/>
  <c r="O39" i="1" s="1"/>
  <c r="V41" i="1"/>
  <c r="W41" i="1" s="1"/>
  <c r="S41" i="1" s="1"/>
  <c r="Q41" i="1" s="1"/>
  <c r="T41" i="1" s="1"/>
  <c r="N41" i="1" s="1"/>
  <c r="O41" i="1" s="1"/>
  <c r="S48" i="1"/>
  <c r="Q48" i="1" s="1"/>
  <c r="T48" i="1" s="1"/>
  <c r="N48" i="1" s="1"/>
  <c r="O48" i="1" s="1"/>
  <c r="AC48" i="1"/>
  <c r="V37" i="1"/>
  <c r="W37" i="1" s="1"/>
  <c r="S40" i="1"/>
  <c r="Q40" i="1" s="1"/>
  <c r="T40" i="1" s="1"/>
  <c r="N40" i="1" s="1"/>
  <c r="O40" i="1" s="1"/>
  <c r="AC40" i="1"/>
  <c r="X38" i="1"/>
  <c r="AB38" i="1" s="1"/>
  <c r="AE38" i="1"/>
  <c r="AF38" i="1" s="1"/>
  <c r="AC19" i="1"/>
  <c r="X29" i="1"/>
  <c r="AB29" i="1" s="1"/>
  <c r="AE29" i="1"/>
  <c r="AF29" i="1" s="1"/>
  <c r="AD34" i="1"/>
  <c r="V33" i="1"/>
  <c r="W33" i="1" s="1"/>
  <c r="BA27" i="1"/>
  <c r="S17" i="1"/>
  <c r="Q17" i="1" s="1"/>
  <c r="T17" i="1" s="1"/>
  <c r="N17" i="1" s="1"/>
  <c r="O17" i="1" s="1"/>
  <c r="AC17" i="1"/>
  <c r="V81" i="1"/>
  <c r="W81" i="1" s="1"/>
  <c r="V74" i="1"/>
  <c r="W74" i="1" s="1"/>
  <c r="V62" i="1"/>
  <c r="W62" i="1" s="1"/>
  <c r="S62" i="1" s="1"/>
  <c r="Q62" i="1" s="1"/>
  <c r="T62" i="1" s="1"/>
  <c r="N62" i="1" s="1"/>
  <c r="O62" i="1" s="1"/>
  <c r="AC75" i="1"/>
  <c r="AD86" i="1"/>
  <c r="S76" i="1"/>
  <c r="Q76" i="1" s="1"/>
  <c r="T76" i="1" s="1"/>
  <c r="N76" i="1" s="1"/>
  <c r="O76" i="1" s="1"/>
  <c r="AC76" i="1"/>
  <c r="AC86" i="1"/>
  <c r="S86" i="1"/>
  <c r="Q86" i="1" s="1"/>
  <c r="T86" i="1" s="1"/>
  <c r="N86" i="1" s="1"/>
  <c r="O86" i="1" s="1"/>
  <c r="V69" i="1"/>
  <c r="W69" i="1" s="1"/>
  <c r="BA56" i="1"/>
  <c r="AE63" i="1"/>
  <c r="X63" i="1"/>
  <c r="AB63" i="1" s="1"/>
  <c r="BA58" i="1"/>
  <c r="V52" i="1"/>
  <c r="W52" i="1" s="1"/>
  <c r="V43" i="1"/>
  <c r="W43" i="1" s="1"/>
  <c r="V36" i="1"/>
  <c r="W36" i="1" s="1"/>
  <c r="AC36" i="1"/>
  <c r="S36" i="1"/>
  <c r="Q36" i="1" s="1"/>
  <c r="T36" i="1" s="1"/>
  <c r="N36" i="1" s="1"/>
  <c r="O36" i="1" s="1"/>
  <c r="X39" i="1"/>
  <c r="AB39" i="1" s="1"/>
  <c r="AE39" i="1"/>
  <c r="AD39" i="1"/>
  <c r="V27" i="1"/>
  <c r="W27" i="1" s="1"/>
  <c r="AD25" i="1"/>
  <c r="S22" i="1"/>
  <c r="Q22" i="1" s="1"/>
  <c r="T22" i="1" s="1"/>
  <c r="N22" i="1" s="1"/>
  <c r="O22" i="1" s="1"/>
  <c r="AE82" i="1" l="1"/>
  <c r="AF82" i="1" s="1"/>
  <c r="X82" i="1"/>
  <c r="AB82" i="1" s="1"/>
  <c r="AD82" i="1"/>
  <c r="AF28" i="1"/>
  <c r="X64" i="1"/>
  <c r="AB64" i="1" s="1"/>
  <c r="AE64" i="1"/>
  <c r="AD64" i="1"/>
  <c r="X50" i="1"/>
  <c r="AB50" i="1" s="1"/>
  <c r="AE50" i="1"/>
  <c r="AF50" i="1" s="1"/>
  <c r="AD50" i="1"/>
  <c r="X73" i="1"/>
  <c r="AB73" i="1" s="1"/>
  <c r="AD73" i="1"/>
  <c r="AE73" i="1"/>
  <c r="AF73" i="1" s="1"/>
  <c r="AF58" i="1"/>
  <c r="X33" i="1"/>
  <c r="AB33" i="1" s="1"/>
  <c r="AE33" i="1"/>
  <c r="AD33" i="1"/>
  <c r="X57" i="1"/>
  <c r="AB57" i="1" s="1"/>
  <c r="AE57" i="1"/>
  <c r="AD57" i="1"/>
  <c r="S57" i="1"/>
  <c r="Q57" i="1" s="1"/>
  <c r="T57" i="1" s="1"/>
  <c r="N57" i="1" s="1"/>
  <c r="O57" i="1" s="1"/>
  <c r="AF39" i="1"/>
  <c r="AE52" i="1"/>
  <c r="X52" i="1"/>
  <c r="AB52" i="1" s="1"/>
  <c r="AD52" i="1"/>
  <c r="X61" i="1"/>
  <c r="AB61" i="1" s="1"/>
  <c r="AE61" i="1"/>
  <c r="AD61" i="1"/>
  <c r="S61" i="1"/>
  <c r="Q61" i="1" s="1"/>
  <c r="T61" i="1" s="1"/>
  <c r="N61" i="1" s="1"/>
  <c r="O61" i="1" s="1"/>
  <c r="AE74" i="1"/>
  <c r="X74" i="1"/>
  <c r="AB74" i="1" s="1"/>
  <c r="AD74" i="1"/>
  <c r="X37" i="1"/>
  <c r="AB37" i="1" s="1"/>
  <c r="AE37" i="1"/>
  <c r="AD37" i="1"/>
  <c r="AF80" i="1"/>
  <c r="X32" i="1"/>
  <c r="AB32" i="1" s="1"/>
  <c r="AE32" i="1"/>
  <c r="AD32" i="1"/>
  <c r="S37" i="1"/>
  <c r="Q37" i="1" s="1"/>
  <c r="T37" i="1" s="1"/>
  <c r="N37" i="1" s="1"/>
  <c r="O37" i="1" s="1"/>
  <c r="X77" i="1"/>
  <c r="AB77" i="1" s="1"/>
  <c r="AE77" i="1"/>
  <c r="AF77" i="1" s="1"/>
  <c r="AD77" i="1"/>
  <c r="AE35" i="1"/>
  <c r="AD35" i="1"/>
  <c r="X35" i="1"/>
  <c r="AB35" i="1" s="1"/>
  <c r="AF66" i="1"/>
  <c r="AF25" i="1"/>
  <c r="S50" i="1"/>
  <c r="Q50" i="1" s="1"/>
  <c r="T50" i="1" s="1"/>
  <c r="N50" i="1" s="1"/>
  <c r="O50" i="1" s="1"/>
  <c r="S77" i="1"/>
  <c r="Q77" i="1" s="1"/>
  <c r="T77" i="1" s="1"/>
  <c r="N77" i="1" s="1"/>
  <c r="O77" i="1" s="1"/>
  <c r="AF59" i="1"/>
  <c r="AF76" i="1"/>
  <c r="AE19" i="1"/>
  <c r="AF19" i="1" s="1"/>
  <c r="X19" i="1"/>
  <c r="AB19" i="1" s="1"/>
  <c r="AD19" i="1"/>
  <c r="X81" i="1"/>
  <c r="AB81" i="1" s="1"/>
  <c r="AE81" i="1"/>
  <c r="AF81" i="1" s="1"/>
  <c r="AD81" i="1"/>
  <c r="S81" i="1"/>
  <c r="Q81" i="1" s="1"/>
  <c r="T81" i="1" s="1"/>
  <c r="N81" i="1" s="1"/>
  <c r="O81" i="1" s="1"/>
  <c r="X17" i="1"/>
  <c r="AB17" i="1" s="1"/>
  <c r="AE17" i="1"/>
  <c r="AF17" i="1" s="1"/>
  <c r="AD17" i="1"/>
  <c r="AE53" i="1"/>
  <c r="X53" i="1"/>
  <c r="AB53" i="1" s="1"/>
  <c r="AD53" i="1"/>
  <c r="S64" i="1"/>
  <c r="Q64" i="1" s="1"/>
  <c r="T64" i="1" s="1"/>
  <c r="N64" i="1" s="1"/>
  <c r="O64" i="1" s="1"/>
  <c r="X65" i="1"/>
  <c r="AB65" i="1" s="1"/>
  <c r="AE65" i="1"/>
  <c r="AD65" i="1"/>
  <c r="S65" i="1"/>
  <c r="Q65" i="1" s="1"/>
  <c r="T65" i="1" s="1"/>
  <c r="N65" i="1" s="1"/>
  <c r="O65" i="1" s="1"/>
  <c r="X45" i="1"/>
  <c r="AB45" i="1" s="1"/>
  <c r="AE45" i="1"/>
  <c r="AF45" i="1" s="1"/>
  <c r="S45" i="1"/>
  <c r="Q45" i="1" s="1"/>
  <c r="T45" i="1" s="1"/>
  <c r="N45" i="1" s="1"/>
  <c r="O45" i="1" s="1"/>
  <c r="AD45" i="1"/>
  <c r="X21" i="1"/>
  <c r="AB21" i="1" s="1"/>
  <c r="AE21" i="1"/>
  <c r="AD21" i="1"/>
  <c r="X47" i="1"/>
  <c r="AB47" i="1" s="1"/>
  <c r="AE47" i="1"/>
  <c r="AD47" i="1"/>
  <c r="AE62" i="1"/>
  <c r="AF62" i="1" s="1"/>
  <c r="X62" i="1"/>
  <c r="AB62" i="1" s="1"/>
  <c r="AD62" i="1"/>
  <c r="AF63" i="1"/>
  <c r="X75" i="1"/>
  <c r="AB75" i="1" s="1"/>
  <c r="AE75" i="1"/>
  <c r="AD75" i="1"/>
  <c r="X23" i="1"/>
  <c r="AB23" i="1" s="1"/>
  <c r="AE23" i="1"/>
  <c r="AF23" i="1" s="1"/>
  <c r="AD23" i="1"/>
  <c r="AF55" i="1"/>
  <c r="AF86" i="1"/>
  <c r="AF34" i="1"/>
  <c r="X56" i="1"/>
  <c r="AB56" i="1" s="1"/>
  <c r="AE56" i="1"/>
  <c r="S56" i="1"/>
  <c r="Q56" i="1" s="1"/>
  <c r="T56" i="1" s="1"/>
  <c r="N56" i="1" s="1"/>
  <c r="O56" i="1" s="1"/>
  <c r="AD56" i="1"/>
  <c r="X83" i="1"/>
  <c r="AB83" i="1" s="1"/>
  <c r="AE83" i="1"/>
  <c r="AD83" i="1"/>
  <c r="S83" i="1"/>
  <c r="Q83" i="1" s="1"/>
  <c r="T83" i="1" s="1"/>
  <c r="N83" i="1" s="1"/>
  <c r="O83" i="1" s="1"/>
  <c r="X49" i="1"/>
  <c r="AB49" i="1" s="1"/>
  <c r="AE49" i="1"/>
  <c r="AD49" i="1"/>
  <c r="S49" i="1"/>
  <c r="Q49" i="1" s="1"/>
  <c r="T49" i="1" s="1"/>
  <c r="N49" i="1" s="1"/>
  <c r="O49" i="1" s="1"/>
  <c r="AF18" i="1"/>
  <c r="AF84" i="1"/>
  <c r="AF40" i="1"/>
  <c r="X36" i="1"/>
  <c r="AB36" i="1" s="1"/>
  <c r="AE36" i="1"/>
  <c r="AD36" i="1"/>
  <c r="S75" i="1"/>
  <c r="Q75" i="1" s="1"/>
  <c r="T75" i="1" s="1"/>
  <c r="N75" i="1" s="1"/>
  <c r="O75" i="1" s="1"/>
  <c r="S74" i="1"/>
  <c r="Q74" i="1" s="1"/>
  <c r="T74" i="1" s="1"/>
  <c r="N74" i="1" s="1"/>
  <c r="O74" i="1" s="1"/>
  <c r="X79" i="1"/>
  <c r="AB79" i="1" s="1"/>
  <c r="AE79" i="1"/>
  <c r="AD79" i="1"/>
  <c r="X60" i="1"/>
  <c r="AB60" i="1" s="1"/>
  <c r="AE60" i="1"/>
  <c r="AD60" i="1"/>
  <c r="S21" i="1"/>
  <c r="Q21" i="1" s="1"/>
  <c r="T21" i="1" s="1"/>
  <c r="N21" i="1" s="1"/>
  <c r="O21" i="1" s="1"/>
  <c r="AF46" i="1"/>
  <c r="S19" i="1"/>
  <c r="Q19" i="1" s="1"/>
  <c r="T19" i="1" s="1"/>
  <c r="N19" i="1" s="1"/>
  <c r="O19" i="1" s="1"/>
  <c r="AD27" i="1"/>
  <c r="X27" i="1"/>
  <c r="AB27" i="1" s="1"/>
  <c r="AE27" i="1"/>
  <c r="AF27" i="1" s="1"/>
  <c r="S27" i="1"/>
  <c r="Q27" i="1" s="1"/>
  <c r="T27" i="1" s="1"/>
  <c r="N27" i="1" s="1"/>
  <c r="O27" i="1" s="1"/>
  <c r="X43" i="1"/>
  <c r="AB43" i="1" s="1"/>
  <c r="AE43" i="1"/>
  <c r="AD43" i="1"/>
  <c r="S43" i="1"/>
  <c r="Q43" i="1" s="1"/>
  <c r="T43" i="1" s="1"/>
  <c r="N43" i="1" s="1"/>
  <c r="O43" i="1" s="1"/>
  <c r="X69" i="1"/>
  <c r="AB69" i="1" s="1"/>
  <c r="AE69" i="1"/>
  <c r="AD69" i="1"/>
  <c r="AE70" i="1"/>
  <c r="X70" i="1"/>
  <c r="AB70" i="1" s="1"/>
  <c r="AD70" i="1"/>
  <c r="AE67" i="1"/>
  <c r="AF67" i="1" s="1"/>
  <c r="X67" i="1"/>
  <c r="AB67" i="1" s="1"/>
  <c r="AD67" i="1"/>
  <c r="AE31" i="1"/>
  <c r="AD31" i="1"/>
  <c r="X31" i="1"/>
  <c r="AB31" i="1" s="1"/>
  <c r="AF54" i="1"/>
  <c r="S33" i="1"/>
  <c r="Q33" i="1" s="1"/>
  <c r="T33" i="1" s="1"/>
  <c r="N33" i="1" s="1"/>
  <c r="O33" i="1" s="1"/>
  <c r="S47" i="1"/>
  <c r="Q47" i="1" s="1"/>
  <c r="T47" i="1" s="1"/>
  <c r="N47" i="1" s="1"/>
  <c r="O47" i="1" s="1"/>
  <c r="X71" i="1"/>
  <c r="AB71" i="1" s="1"/>
  <c r="AE71" i="1"/>
  <c r="S71" i="1"/>
  <c r="Q71" i="1" s="1"/>
  <c r="T71" i="1" s="1"/>
  <c r="N71" i="1" s="1"/>
  <c r="O71" i="1" s="1"/>
  <c r="AD71" i="1"/>
  <c r="S53" i="1"/>
  <c r="Q53" i="1" s="1"/>
  <c r="T53" i="1" s="1"/>
  <c r="N53" i="1" s="1"/>
  <c r="O53" i="1" s="1"/>
  <c r="S73" i="1"/>
  <c r="Q73" i="1" s="1"/>
  <c r="T73" i="1" s="1"/>
  <c r="N73" i="1" s="1"/>
  <c r="O73" i="1" s="1"/>
  <c r="AF72" i="1"/>
  <c r="X41" i="1"/>
  <c r="AB41" i="1" s="1"/>
  <c r="AE41" i="1"/>
  <c r="AF41" i="1" s="1"/>
  <c r="AD41" i="1"/>
  <c r="S82" i="1"/>
  <c r="Q82" i="1" s="1"/>
  <c r="T82" i="1" s="1"/>
  <c r="N82" i="1" s="1"/>
  <c r="O82" i="1" s="1"/>
  <c r="AE78" i="1"/>
  <c r="AF78" i="1" s="1"/>
  <c r="X78" i="1"/>
  <c r="AB78" i="1" s="1"/>
  <c r="AD78" i="1"/>
  <c r="AE20" i="1"/>
  <c r="X20" i="1"/>
  <c r="AB20" i="1" s="1"/>
  <c r="AD20" i="1"/>
  <c r="S52" i="1"/>
  <c r="Q52" i="1" s="1"/>
  <c r="T52" i="1" s="1"/>
  <c r="N52" i="1" s="1"/>
  <c r="O52" i="1" s="1"/>
  <c r="S23" i="1"/>
  <c r="Q23" i="1" s="1"/>
  <c r="T23" i="1" s="1"/>
  <c r="N23" i="1" s="1"/>
  <c r="O23" i="1" s="1"/>
  <c r="AF48" i="1"/>
  <c r="AF85" i="1"/>
  <c r="X51" i="1"/>
  <c r="AB51" i="1" s="1"/>
  <c r="AD51" i="1"/>
  <c r="AE51" i="1"/>
  <c r="AF51" i="1" s="1"/>
  <c r="S51" i="1"/>
  <c r="Q51" i="1" s="1"/>
  <c r="T51" i="1" s="1"/>
  <c r="N51" i="1" s="1"/>
  <c r="O51" i="1" s="1"/>
  <c r="S70" i="1"/>
  <c r="Q70" i="1" s="1"/>
  <c r="T70" i="1" s="1"/>
  <c r="N70" i="1" s="1"/>
  <c r="O70" i="1" s="1"/>
  <c r="AF43" i="1" l="1"/>
  <c r="AF49" i="1"/>
  <c r="AF53" i="1"/>
  <c r="AF20" i="1"/>
  <c r="AF33" i="1"/>
  <c r="AF56" i="1"/>
  <c r="AF47" i="1"/>
  <c r="AF52" i="1"/>
  <c r="AF70" i="1"/>
  <c r="AF60" i="1"/>
  <c r="AF36" i="1"/>
  <c r="AF75" i="1"/>
  <c r="AF32" i="1"/>
  <c r="AF74" i="1"/>
  <c r="AF64" i="1"/>
  <c r="AF31" i="1"/>
  <c r="AF69" i="1"/>
  <c r="AF21" i="1"/>
  <c r="AF65" i="1"/>
  <c r="AF35" i="1"/>
  <c r="AF71" i="1"/>
  <c r="AF79" i="1"/>
  <c r="AF83" i="1"/>
  <c r="AF61" i="1"/>
  <c r="AF57" i="1"/>
  <c r="AF37" i="1"/>
</calcChain>
</file>

<file path=xl/sharedStrings.xml><?xml version="1.0" encoding="utf-8"?>
<sst xmlns="http://schemas.openxmlformats.org/spreadsheetml/2006/main" count="2072" uniqueCount="716">
  <si>
    <t>File opened</t>
  </si>
  <si>
    <t>2023-11-17 09:25:22</t>
  </si>
  <si>
    <t>Console s/n</t>
  </si>
  <si>
    <t>68C-831539</t>
  </si>
  <si>
    <t>Console ver</t>
  </si>
  <si>
    <t>Bluestem v.2.1.08</t>
  </si>
  <si>
    <t>Scripts ver</t>
  </si>
  <si>
    <t>2022.05  2.1.08, Aug 2022</t>
  </si>
  <si>
    <t>Head s/n</t>
  </si>
  <si>
    <t>68H-891539</t>
  </si>
  <si>
    <t>Head ver</t>
  </si>
  <si>
    <t>1.4.22</t>
  </si>
  <si>
    <t>Head cal</t>
  </si>
  <si>
    <t>{"oxygen": "21", "co2azero": "0.984839", "co2aspan1": "1.00034", "co2aspan2": "-0.0267778", "co2aspan2a": "0.277994", "co2aspan2b": "0.27602", "co2aspanconc1": "2490", "co2aspanconc2": "303.6", "co2bzero": "0.980666", "co2bspan1": "1.00053", "co2bspan2": "-0.0279681", "co2bspan2a": "0.279156", "co2bspan2b": "0.277124", "co2bspanconc1": "2490", "co2bspanconc2": "303.6", "h2oazero": "1.10598", "h2oaspan1": "1.01178", "h2oaspan2": "0", "h2oaspan2a": "0.0711258", "h2oaspan2b": "0.0719634", "h2oaspanconc1": "12.71", "h2oaspanconc2": "0", "h2obzero": "1.10938", "h2obspan1": "1.00779", "h2obspan2": "0", "h2obspan2a": "0.0716626", "h2obspan2b": "0.0722211", "h2obspanconc1": "12.71", "h2obspanconc2": "0", "tazero": "-0.0666676", "tbzero": "-0.0277004", "flowmeterzero": "1.00285", "flowazero": "0.341", "flowbzero": "0.27495", "chamberpressurezero": "2.62865", "ssa_ref": "31797.9", "ssb_ref": "31865.7"}</t>
  </si>
  <si>
    <t>CO2 rangematch</t>
  </si>
  <si>
    <t>Tue Aug 29 07:41</t>
  </si>
  <si>
    <t>H2O rangematch</t>
  </si>
  <si>
    <t>Tue Aug 29 07:48</t>
  </si>
  <si>
    <t>Chamber type</t>
  </si>
  <si>
    <t>6800-01A</t>
  </si>
  <si>
    <t>Chamber s/n</t>
  </si>
  <si>
    <t>MPF-651414</t>
  </si>
  <si>
    <t>Chamber rev</t>
  </si>
  <si>
    <t>0</t>
  </si>
  <si>
    <t>Chamber cal</t>
  </si>
  <si>
    <t>Fluorometer</t>
  </si>
  <si>
    <t>Flr. Version</t>
  </si>
  <si>
    <t>09:25:22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</si>
  <si>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</si>
  <si>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</si>
  <si>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</si>
  <si>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</si>
  <si>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</si>
  <si>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</si>
  <si>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</si>
  <si>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</si>
  <si>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</si>
  <si>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</si>
  <si>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</si>
  <si>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</si>
  <si>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</si>
  <si>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</si>
  <si>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</si>
  <si>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</si>
  <si>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</si>
  <si>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</si>
  <si>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</si>
  <si>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</si>
  <si>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</si>
  <si>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</si>
  <si>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</si>
  <si>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</si>
  <si>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</si>
  <si>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</si>
  <si>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</si>
  <si>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</si>
  <si>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</si>
  <si>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</si>
  <si>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</si>
  <si>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</si>
  <si>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</si>
  <si>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</si>
  <si>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</si>
  <si>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</si>
  <si>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</si>
  <si>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</si>
  <si>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</si>
  <si>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</si>
  <si>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</si>
  <si>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</si>
  <si>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</si>
  <si>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</si>
  <si>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</si>
  <si>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</si>
  <si>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</si>
  <si>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</si>
  <si>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</si>
  <si>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</si>
  <si>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</si>
  <si>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</si>
  <si>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</si>
  <si>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2.56477 82.7884 395.729 650.702 899.714 1123.27 1277.41 1373.12</t>
  </si>
  <si>
    <t>Fs_true</t>
  </si>
  <si>
    <t>0.552528 103.039 401.565 600.906 800.557 1001.36 1201.47 1401.72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</si>
  <si>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</si>
  <si>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</si>
  <si>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</si>
  <si>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</si>
  <si>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</si>
  <si>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</si>
  <si>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</si>
  <si>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</si>
  <si>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</si>
  <si>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</si>
  <si>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</si>
  <si>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</si>
  <si>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</si>
  <si>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</si>
  <si>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</si>
  <si>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</si>
  <si>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</si>
  <si>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</si>
  <si>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</si>
  <si>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</si>
  <si>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</si>
  <si>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</si>
  <si>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</si>
  <si>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</si>
  <si>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</si>
  <si>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</si>
  <si>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</si>
  <si>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</si>
  <si>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</si>
  <si>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</si>
  <si>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</si>
  <si>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</si>
  <si>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</si>
  <si>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</si>
  <si>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</si>
  <si>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</si>
  <si>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</si>
  <si>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</si>
  <si>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</si>
  <si>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</si>
  <si>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</si>
  <si>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</si>
  <si>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</si>
  <si>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</si>
  <si>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</si>
  <si>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</si>
  <si>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</si>
  <si>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</si>
  <si>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</si>
  <si>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</si>
  <si>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</si>
  <si>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</si>
  <si>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</si>
  <si>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</si>
  <si>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</si>
  <si>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</si>
  <si>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</si>
  <si>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</si>
  <si>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</si>
  <si>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</si>
  <si>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</si>
  <si>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</si>
  <si>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</si>
  <si>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</si>
  <si>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</si>
  <si>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</si>
  <si>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</si>
  <si>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</si>
  <si>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</si>
  <si>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</si>
  <si>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</si>
  <si>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</si>
  <si>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</si>
  <si>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</si>
  <si>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</si>
  <si>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</si>
  <si>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</si>
  <si>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</si>
  <si>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</si>
  <si>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</si>
  <si>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</si>
  <si>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</si>
  <si>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</si>
  <si>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</si>
  <si>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</si>
  <si>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</si>
  <si>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</si>
  <si>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</si>
  <si>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</si>
  <si>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</si>
  <si>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</si>
  <si>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</si>
  <si>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</si>
  <si>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</si>
  <si>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</si>
  <si>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</si>
  <si>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</si>
  <si>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</si>
  <si>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</si>
  <si>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</si>
  <si>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</si>
  <si>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</si>
  <si>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</si>
  <si>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</si>
  <si>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</si>
  <si>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</si>
  <si>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</si>
  <si>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</si>
  <si>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</si>
  <si>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</si>
  <si>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</si>
  <si>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</si>
  <si>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</si>
  <si>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</si>
  <si>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</si>
  <si>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</si>
  <si>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</si>
  <si>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</si>
  <si>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</si>
  <si>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</si>
  <si>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</si>
  <si>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</si>
  <si>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</si>
  <si>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</si>
  <si>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</si>
  <si>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</si>
  <si>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</si>
  <si>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</si>
  <si>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</si>
  <si>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</si>
  <si>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</si>
  <si>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</si>
  <si>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</si>
  <si>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</si>
  <si>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</si>
  <si>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</si>
  <si>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</si>
  <si>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</si>
  <si>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</si>
  <si>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</si>
  <si>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</si>
  <si>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</si>
  <si>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</si>
  <si>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</si>
  <si>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</si>
  <si>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</si>
  <si>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</si>
  <si>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</si>
  <si>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</si>
  <si>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</si>
  <si>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</si>
  <si>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</si>
  <si>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</si>
  <si>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</si>
  <si>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</si>
  <si>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</si>
  <si>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</si>
  <si>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</si>
  <si>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</si>
  <si>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</si>
  <si>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</si>
  <si>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</si>
  <si>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</si>
  <si>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</si>
  <si>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</si>
  <si>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</si>
  <si>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</si>
  <si>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</si>
  <si>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</si>
  <si>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</si>
  <si>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</si>
  <si>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</si>
  <si>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</si>
  <si>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</si>
  <si>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</si>
  <si>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</si>
  <si>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</si>
  <si>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</si>
  <si>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</si>
  <si>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</si>
  <si>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</si>
  <si>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</si>
  <si>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</si>
  <si>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</si>
  <si>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</si>
  <si>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</si>
  <si>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</si>
  <si>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</si>
  <si>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</si>
  <si>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</si>
  <si>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</si>
  <si>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</si>
  <si>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</si>
  <si>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</si>
  <si>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</si>
  <si>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</si>
  <si>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</si>
  <si>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</si>
  <si>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</si>
  <si>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</si>
  <si>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</si>
  <si>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</si>
  <si>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</si>
  <si>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</si>
  <si>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</si>
  <si>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</si>
  <si>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</si>
  <si>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</si>
  <si>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</si>
  <si>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</si>
  <si>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</si>
  <si>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</si>
  <si>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</si>
  <si>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</si>
  <si>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</si>
  <si>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</si>
  <si>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</si>
  <si>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</si>
  <si>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</si>
  <si>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</si>
  <si>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</si>
  <si>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</si>
  <si>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</si>
  <si>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</si>
  <si>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</si>
  <si>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</si>
  <si>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</si>
  <si>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</si>
  <si>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</si>
  <si>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</si>
  <si>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</si>
  <si>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</si>
  <si>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</si>
  <si>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</si>
  <si>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</si>
  <si>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</si>
  <si>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</si>
  <si>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</si>
  <si>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</si>
  <si>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</si>
  <si>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</si>
  <si>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</si>
  <si>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</si>
  <si>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</si>
  <si>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</si>
  <si>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</si>
  <si>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</si>
  <si>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</si>
  <si>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</si>
  <si>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</si>
  <si>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</si>
  <si>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</si>
  <si>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</si>
  <si>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</si>
  <si>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</si>
  <si>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</si>
  <si>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</si>
  <si>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</si>
  <si>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</si>
  <si>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</si>
  <si>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</si>
  <si>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</si>
  <si>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</si>
  <si>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</si>
  <si>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</si>
  <si>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</si>
  <si>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</si>
  <si>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</si>
  <si>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</si>
  <si>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</si>
  <si>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</si>
  <si>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</si>
  <si>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</si>
  <si>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</si>
  <si>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</si>
  <si>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</si>
  <si>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</si>
  <si>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</si>
  <si>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</si>
  <si>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</si>
  <si>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</si>
  <si>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</si>
  <si>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</si>
  <si>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</si>
  <si>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</si>
  <si>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</si>
  <si>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</si>
  <si>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</si>
  <si>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</si>
  <si>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</si>
  <si>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</si>
  <si>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</si>
  <si>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</si>
  <si>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</si>
  <si>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</si>
  <si>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</si>
  <si>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</si>
  <si>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</si>
  <si>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</si>
  <si>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</si>
  <si>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</si>
  <si>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</si>
  <si>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</si>
  <si>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</si>
  <si>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</si>
  <si>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</si>
  <si>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</si>
  <si>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</si>
  <si>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</si>
  <si>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</si>
  <si>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</si>
  <si>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</si>
  <si>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</si>
  <si>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</si>
  <si>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</si>
  <si>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</si>
  <si>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</si>
  <si>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</si>
  <si>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</si>
  <si>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</si>
  <si>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</si>
  <si>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</si>
  <si>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</si>
  <si>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</si>
  <si>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</si>
  <si>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</si>
  <si>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20231117 10:05:34</t>
  </si>
  <si>
    <t>10:05:34</t>
  </si>
  <si>
    <t>none</t>
  </si>
  <si>
    <t>9</t>
  </si>
  <si>
    <t>8</t>
  </si>
  <si>
    <t>RECT-12243-20210724-05_20_30</t>
  </si>
  <si>
    <t>MPF-34523-20231117-10_03_57</t>
  </si>
  <si>
    <t>DARK-34524-20231117-10_04_04</t>
  </si>
  <si>
    <t>0: Broadleaf</t>
  </si>
  <si>
    <t>10:05:03</t>
  </si>
  <si>
    <t>2/2</t>
  </si>
  <si>
    <t>11111111</t>
  </si>
  <si>
    <t>oooooooo</t>
  </si>
  <si>
    <t>off</t>
  </si>
  <si>
    <t>20231117 10:09:19</t>
  </si>
  <si>
    <t>10:09:19</t>
  </si>
  <si>
    <t>MPF-34525-20231117-10_07_41</t>
  </si>
  <si>
    <t>DARK-34526-20231117-10_07_49</t>
  </si>
  <si>
    <t>10:07:01</t>
  </si>
  <si>
    <t>20231117 10:13:18</t>
  </si>
  <si>
    <t>10:13:18</t>
  </si>
  <si>
    <t>MPF-34527-20231117-10_11_40</t>
  </si>
  <si>
    <t>DARK-34528-20231117-10_11_48</t>
  </si>
  <si>
    <t>10:11:37</t>
  </si>
  <si>
    <t>20231117 10:16:43</t>
  </si>
  <si>
    <t>10:16:43</t>
  </si>
  <si>
    <t>MPF-34529-20231117-10_15_06</t>
  </si>
  <si>
    <t>DARK-34530-20231117-10_15_13</t>
  </si>
  <si>
    <t>10:14:36</t>
  </si>
  <si>
    <t>20231117 10:20:39</t>
  </si>
  <si>
    <t>10:20:39</t>
  </si>
  <si>
    <t>MPF-34531-20231117-10_19_01</t>
  </si>
  <si>
    <t>DARK-34532-20231117-10_19_08</t>
  </si>
  <si>
    <t>10:17:56</t>
  </si>
  <si>
    <t>20231117 10:23:29</t>
  </si>
  <si>
    <t>10:23:29</t>
  </si>
  <si>
    <t>-</t>
  </si>
  <si>
    <t>10:21:58</t>
  </si>
  <si>
    <t>20231117 10:25:00</t>
  </si>
  <si>
    <t>10:25:00</t>
  </si>
  <si>
    <t>MPF-34533-20231117-10_23_22</t>
  </si>
  <si>
    <t>DARK-34534-20231117-10_23_29</t>
  </si>
  <si>
    <t>10:24:31</t>
  </si>
  <si>
    <t>20231117 10:28:54</t>
  </si>
  <si>
    <t>10:28:54</t>
  </si>
  <si>
    <t>MPF-34535-20231117-10_27_16</t>
  </si>
  <si>
    <t>DARK-34536-20231117-10_27_23</t>
  </si>
  <si>
    <t>10:26:32</t>
  </si>
  <si>
    <t>20231117 10:30:46</t>
  </si>
  <si>
    <t>10:30:46</t>
  </si>
  <si>
    <t>10:30:12</t>
  </si>
  <si>
    <t>20231117 10:32:38</t>
  </si>
  <si>
    <t>10:32:38</t>
  </si>
  <si>
    <t>MPF-34537-20231117-10_31_01</t>
  </si>
  <si>
    <t>DARK-34538-20231117-10_31_08</t>
  </si>
  <si>
    <t>10:32:07</t>
  </si>
  <si>
    <t>20231117 10:34:31</t>
  </si>
  <si>
    <t>10:34:31</t>
  </si>
  <si>
    <t>10:34:00</t>
  </si>
  <si>
    <t>20231117 10:36:01</t>
  </si>
  <si>
    <t>10:36:01</t>
  </si>
  <si>
    <t>MPF-34539-20231117-10_34_24</t>
  </si>
  <si>
    <t>DARK-34540-20231117-10_34_31</t>
  </si>
  <si>
    <t>10:36:28</t>
  </si>
  <si>
    <t>20231117 10:38:12</t>
  </si>
  <si>
    <t>10:38:12</t>
  </si>
  <si>
    <t>10:37:41</t>
  </si>
  <si>
    <t>20231117 10:40:27</t>
  </si>
  <si>
    <t>10:40:27</t>
  </si>
  <si>
    <t>MPF-34541-20231117-10_38_49</t>
  </si>
  <si>
    <t>DARK-34542-20231117-10_38_56</t>
  </si>
  <si>
    <t>10:39:56</t>
  </si>
  <si>
    <t>20231117 10:53:08</t>
  </si>
  <si>
    <t>10:53:08</t>
  </si>
  <si>
    <t>wt</t>
  </si>
  <si>
    <t>1</t>
  </si>
  <si>
    <t>MPF-34543-20231117-10_51_31</t>
  </si>
  <si>
    <t>DARK-34544-20231117-10_51_38</t>
  </si>
  <si>
    <t>10:52:37</t>
  </si>
  <si>
    <t>20231117 10:54:48</t>
  </si>
  <si>
    <t>10:54:48</t>
  </si>
  <si>
    <t>10:55:18</t>
  </si>
  <si>
    <t>20231117 10:57:10</t>
  </si>
  <si>
    <t>10:57:10</t>
  </si>
  <si>
    <t>MPF-34545-20231117-10_55_33</t>
  </si>
  <si>
    <t>DARK-34546-20231117-10_55_40</t>
  </si>
  <si>
    <t>10:56:40</t>
  </si>
  <si>
    <t>20231117 10:58:55</t>
  </si>
  <si>
    <t>10:58:55</t>
  </si>
  <si>
    <t>10:58:24</t>
  </si>
  <si>
    <t>20231117 11:00:36</t>
  </si>
  <si>
    <t>11:00:36</t>
  </si>
  <si>
    <t>MPF-34547-20231117-10_58_59</t>
  </si>
  <si>
    <t>DARK-34548-20231117-10_59_06</t>
  </si>
  <si>
    <t>11:00:08</t>
  </si>
  <si>
    <t>20231117 11:02:17</t>
  </si>
  <si>
    <t>11:02:17</t>
  </si>
  <si>
    <t>11:01:48</t>
  </si>
  <si>
    <t>20231117 11:03:58</t>
  </si>
  <si>
    <t>11:03:58</t>
  </si>
  <si>
    <t>MPF-34549-20231117-11_02_20</t>
  </si>
  <si>
    <t>DARK-34550-20231117-11_02_27</t>
  </si>
  <si>
    <t>11:04:29</t>
  </si>
  <si>
    <t>20231117 11:06:43</t>
  </si>
  <si>
    <t>11:06:43</t>
  </si>
  <si>
    <t>11:05:51</t>
  </si>
  <si>
    <t>20231117 11:08:59</t>
  </si>
  <si>
    <t>11:08:59</t>
  </si>
  <si>
    <t>MPF-34551-20231117-11_07_22</t>
  </si>
  <si>
    <t>DARK-34552-20231117-11_07_29</t>
  </si>
  <si>
    <t>11:08:15</t>
  </si>
  <si>
    <t>20231117 11:11:14</t>
  </si>
  <si>
    <t>11:11:14</t>
  </si>
  <si>
    <t>11:10:19</t>
  </si>
  <si>
    <t>20231117 11:12:57</t>
  </si>
  <si>
    <t>11:12:57</t>
  </si>
  <si>
    <t>MPF-34553-20231117-11_11_19</t>
  </si>
  <si>
    <t>DARK-34554-20231117-11_11_26</t>
  </si>
  <si>
    <t>11:12:25</t>
  </si>
  <si>
    <t>20231117 11:14:50</t>
  </si>
  <si>
    <t>11:14:50</t>
  </si>
  <si>
    <t>11:14:20</t>
  </si>
  <si>
    <t>20231117 11:17:10</t>
  </si>
  <si>
    <t>11:17:10</t>
  </si>
  <si>
    <t>MPF-34555-20231117-11_15_32</t>
  </si>
  <si>
    <t>DARK-34556-20231117-11_15_40</t>
  </si>
  <si>
    <t>11:16:40</t>
  </si>
  <si>
    <t>20231117 11:19:18</t>
  </si>
  <si>
    <t>11:19:18</t>
  </si>
  <si>
    <t>11:18:46</t>
  </si>
  <si>
    <t>20231117 11:34:32</t>
  </si>
  <si>
    <t>11:34:32</t>
  </si>
  <si>
    <t>25</t>
  </si>
  <si>
    <t>MPF-34557-20231117-11_32_54</t>
  </si>
  <si>
    <t>DARK-34558-20231117-11_33_02</t>
  </si>
  <si>
    <t>11:34:00</t>
  </si>
  <si>
    <t>20231117 11:36:32</t>
  </si>
  <si>
    <t>11:36:32</t>
  </si>
  <si>
    <t>11:37:03</t>
  </si>
  <si>
    <t>20231117 11:38:52</t>
  </si>
  <si>
    <t>11:38:52</t>
  </si>
  <si>
    <t>MPF-34559-20231117-11_37_15</t>
  </si>
  <si>
    <t>DARK-34560-20231117-11_37_22</t>
  </si>
  <si>
    <t>11:38:18</t>
  </si>
  <si>
    <t>20231117 11:40:39</t>
  </si>
  <si>
    <t>11:40:39</t>
  </si>
  <si>
    <t>11:40:11</t>
  </si>
  <si>
    <t>20231117 11:42:47</t>
  </si>
  <si>
    <t>11:42:47</t>
  </si>
  <si>
    <t>MPF-34561-20231117-11_41_09</t>
  </si>
  <si>
    <t>DARK-34562-20231117-11_41_17</t>
  </si>
  <si>
    <t>11:41:42</t>
  </si>
  <si>
    <t>20231117 11:44:50</t>
  </si>
  <si>
    <t>11:44:50</t>
  </si>
  <si>
    <t>11:43:58</t>
  </si>
  <si>
    <t>20231117 11:46:40</t>
  </si>
  <si>
    <t>11:46:40</t>
  </si>
  <si>
    <t>MPF-34563-20231117-11_45_02</t>
  </si>
  <si>
    <t>DARK-34564-20231117-11_45_10</t>
  </si>
  <si>
    <t>11:46:10</t>
  </si>
  <si>
    <t>20231117 11:50:08</t>
  </si>
  <si>
    <t>11:50:08</t>
  </si>
  <si>
    <t>MPF-34565-20231117-11_48_30</t>
  </si>
  <si>
    <t>DARK-34566-20231117-11_48_38</t>
  </si>
  <si>
    <t>11:48:05</t>
  </si>
  <si>
    <t>20231117 11:53:29</t>
  </si>
  <si>
    <t>11:53:29</t>
  </si>
  <si>
    <t>MPF-34567-20231117-11_51_51</t>
  </si>
  <si>
    <t>DARK-34568-20231117-11_51_59</t>
  </si>
  <si>
    <t>11:52:01</t>
  </si>
  <si>
    <t>20231117 11:56:12</t>
  </si>
  <si>
    <t>11:56:12</t>
  </si>
  <si>
    <t>11:55:33</t>
  </si>
  <si>
    <t>20231117 11:57:42</t>
  </si>
  <si>
    <t>11:57:42</t>
  </si>
  <si>
    <t>MPF-34569-20231117-11_56_05</t>
  </si>
  <si>
    <t>DARK-34570-20231117-11_56_12</t>
  </si>
  <si>
    <t>11:58:10</t>
  </si>
  <si>
    <t>20231117 11:59:41</t>
  </si>
  <si>
    <t>11:59:41</t>
  </si>
  <si>
    <t>12:00:14</t>
  </si>
  <si>
    <t>20231117 12:02:47</t>
  </si>
  <si>
    <t>12:02:47</t>
  </si>
  <si>
    <t>MPF-34571-20231117-12_01_10</t>
  </si>
  <si>
    <t>DARK-34572-20231117-12_01_17</t>
  </si>
  <si>
    <t>12:02:08</t>
  </si>
  <si>
    <t>20231117 12:04:42</t>
  </si>
  <si>
    <t>12:04:42</t>
  </si>
  <si>
    <t>12:04:06</t>
  </si>
  <si>
    <t>20231117 12:38:19</t>
  </si>
  <si>
    <t>12:38:19</t>
  </si>
  <si>
    <t>2.1</t>
  </si>
  <si>
    <t>MPF-34573-20231117-12_36_41</t>
  </si>
  <si>
    <t>DARK-34574-20231117-12_36_49</t>
  </si>
  <si>
    <t>12:37:44</t>
  </si>
  <si>
    <t>20231117 12:41:32</t>
  </si>
  <si>
    <t>12:41:32</t>
  </si>
  <si>
    <t>MPF-34575-20231117-12_39_54</t>
  </si>
  <si>
    <t>DARK-34576-20231117-12_40_02</t>
  </si>
  <si>
    <t>12:39:23</t>
  </si>
  <si>
    <t>20231117 12:43:11</t>
  </si>
  <si>
    <t>12:43:11</t>
  </si>
  <si>
    <t>12:42:41</t>
  </si>
  <si>
    <t>20231117 12:46:55</t>
  </si>
  <si>
    <t>12:46:55</t>
  </si>
  <si>
    <t>MPF-34577-20231117-12_45_17</t>
  </si>
  <si>
    <t>DARK-34578-20231117-12_45_25</t>
  </si>
  <si>
    <t>12:44:12</t>
  </si>
  <si>
    <t>20231117 12:50:44</t>
  </si>
  <si>
    <t>12:50:44</t>
  </si>
  <si>
    <t>MPF-34579-20231117-12_49_07</t>
  </si>
  <si>
    <t>DARK-34580-20231117-12_49_14</t>
  </si>
  <si>
    <t>12:48:06</t>
  </si>
  <si>
    <t>20231117 12:53:43</t>
  </si>
  <si>
    <t>12:53:43</t>
  </si>
  <si>
    <t>12:51:50</t>
  </si>
  <si>
    <t>20231117 12:55:14</t>
  </si>
  <si>
    <t>12:55:14</t>
  </si>
  <si>
    <t>MPF-34581-20231117-12_53_36</t>
  </si>
  <si>
    <t>DARK-34582-20231117-12_53_44</t>
  </si>
  <si>
    <t>12:54:44</t>
  </si>
  <si>
    <t>20231117 12:57:30</t>
  </si>
  <si>
    <t>12:57:30</t>
  </si>
  <si>
    <t>12:57:01</t>
  </si>
  <si>
    <t>20231117 13:00:39</t>
  </si>
  <si>
    <t>13:00:39</t>
  </si>
  <si>
    <t>MPF-34583-20231117-12_59_01</t>
  </si>
  <si>
    <t>DARK-34584-20231117-12_59_09</t>
  </si>
  <si>
    <t>12:58:34</t>
  </si>
  <si>
    <t>20231117 13:02:36</t>
  </si>
  <si>
    <t>13:02:36</t>
  </si>
  <si>
    <t>13:01:53</t>
  </si>
  <si>
    <t>20231117 13:04:47</t>
  </si>
  <si>
    <t>13:04:47</t>
  </si>
  <si>
    <t>MPF-34585-20231117-13_03_09</t>
  </si>
  <si>
    <t>DARK-34586-20231117-13_03_17</t>
  </si>
  <si>
    <t>13:04:18</t>
  </si>
  <si>
    <t>20231117 13:06:49</t>
  </si>
  <si>
    <t>13:06:49</t>
  </si>
  <si>
    <t>13:06:21</t>
  </si>
  <si>
    <t>20231117 13:08:31</t>
  </si>
  <si>
    <t>13:08:31</t>
  </si>
  <si>
    <t>MPF-34587-20231117-13_06_53</t>
  </si>
  <si>
    <t>DARK-34588-20231117-13_07_01</t>
  </si>
  <si>
    <t>13:08:03</t>
  </si>
  <si>
    <t>20231117 13:10:20</t>
  </si>
  <si>
    <t>13:10:20</t>
  </si>
  <si>
    <t>13:09:51</t>
  </si>
  <si>
    <t>20231117 13:36:22</t>
  </si>
  <si>
    <t>13:36:22</t>
  </si>
  <si>
    <t>MPF-34589-20231117-13_34_45</t>
  </si>
  <si>
    <t>DARK-34590-20231117-13_34_52</t>
  </si>
  <si>
    <t>13:35:52</t>
  </si>
  <si>
    <t>20231117 13:38:16</t>
  </si>
  <si>
    <t>13:38:16</t>
  </si>
  <si>
    <t>13:37:47</t>
  </si>
  <si>
    <t>20231117 13:39:49</t>
  </si>
  <si>
    <t>13:39:49</t>
  </si>
  <si>
    <t>MPF-34591-20231117-13_38_11</t>
  </si>
  <si>
    <t>DARK-34592-20231117-13_38_19</t>
  </si>
  <si>
    <t>13:39:20</t>
  </si>
  <si>
    <t>20231117 13:42:47</t>
  </si>
  <si>
    <t>13:42:47</t>
  </si>
  <si>
    <t>13:41:13</t>
  </si>
  <si>
    <t>20231117 13:45:36</t>
  </si>
  <si>
    <t>13:45:36</t>
  </si>
  <si>
    <t>MPF-34593-20231117-13_43_59</t>
  </si>
  <si>
    <t>DARK-34594-20231117-13_44_06</t>
  </si>
  <si>
    <t>13:44:02</t>
  </si>
  <si>
    <t>20231117 13:48:37</t>
  </si>
  <si>
    <t>13:48:37</t>
  </si>
  <si>
    <t>13:47:03</t>
  </si>
  <si>
    <t>20231117 13:50:46</t>
  </si>
  <si>
    <t>13:50:46</t>
  </si>
  <si>
    <t>MPF-34595-20231117-13_49_08</t>
  </si>
  <si>
    <t>DARK-34596-20231117-13_49_16</t>
  </si>
  <si>
    <t>13:49:45</t>
  </si>
  <si>
    <t>20231117 13:53:37</t>
  </si>
  <si>
    <t>13:53:37</t>
  </si>
  <si>
    <t>13:51:58</t>
  </si>
  <si>
    <t>20231117 13:55:26</t>
  </si>
  <si>
    <t>13:55:26</t>
  </si>
  <si>
    <t>MPF-34597-20231117-13_53_48</t>
  </si>
  <si>
    <t>DARK-34598-20231117-13_53_56</t>
  </si>
  <si>
    <t>13:54:46</t>
  </si>
  <si>
    <t>20231117 13:58:37</t>
  </si>
  <si>
    <t>13:58:37</t>
  </si>
  <si>
    <t>MPF-34599-20231117-13_56_59</t>
  </si>
  <si>
    <t>DARK-34600-20231117-13_57_07</t>
  </si>
  <si>
    <t>13:56:48</t>
  </si>
  <si>
    <t>20231117 14:00:24</t>
  </si>
  <si>
    <t>14:00:24</t>
  </si>
  <si>
    <t>13:59:53</t>
  </si>
  <si>
    <t>20231117 14:02:26</t>
  </si>
  <si>
    <t>14:02:26</t>
  </si>
  <si>
    <t>MPF-34601-20231117-14_00_49</t>
  </si>
  <si>
    <t>DARK-34602-20231117-14_00_56</t>
  </si>
  <si>
    <t>14:01:57</t>
  </si>
  <si>
    <t>20231117 14:04:13</t>
  </si>
  <si>
    <t>14:04:13</t>
  </si>
  <si>
    <t>14:03:43</t>
  </si>
  <si>
    <t>20231117 14:05:43</t>
  </si>
  <si>
    <t>14:05:43</t>
  </si>
  <si>
    <t>MPF-34603-20231117-14_04_06</t>
  </si>
  <si>
    <t>DARK-34604-20231117-14_04_13</t>
  </si>
  <si>
    <t>14:05:10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</si>
</sst>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86"/>
  <sheetViews>
    <sheetView tabSelected="1" topLeftCell="A49" workbookViewId="0">
      <selection activeCell="H73" sqref="H73:H86"/>
    </sheetView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1700237134.5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1700237134.5</v>
      </c>
      <c r="J17">
        <f t="shared" ref="J17:J48" si="0">(K17)/1000</f>
        <v>4.3107191334747176E-3</v>
      </c>
      <c r="K17">
        <f t="shared" ref="K17:K48" si="1">1000*DK17*AI17*(DG17-DH17)/(100*CZ17*(1000-AI17*DG17))</f>
        <v>4.3107191334747172</v>
      </c>
      <c r="L17">
        <f t="shared" ref="L17:L48" si="2">DK17*AI17*(DF17-DE17*(1000-AI17*DH17)/(1000-AI17*DG17))/(100*CZ17)</f>
        <v>45.191033256463186</v>
      </c>
      <c r="M17">
        <f t="shared" ref="M17:M48" si="3">DE17 - IF(AI17&gt;1, L17*CZ17*100/(AK17*DS17), 0)</f>
        <v>403.154</v>
      </c>
      <c r="N17">
        <f t="shared" ref="N17:N48" si="4">((T17-J17/2)*M17-L17)/(T17+J17/2)</f>
        <v>118.29278556203327</v>
      </c>
      <c r="O17">
        <f t="shared" ref="O17:O48" si="5">N17*(DL17+DM17)/1000</f>
        <v>11.700874032355779</v>
      </c>
      <c r="P17">
        <f t="shared" ref="P17:P48" si="6">(DE17 - IF(AI17&gt;1, L17*CZ17*100/(AK17*DS17), 0))*(DL17+DM17)/1000</f>
        <v>39.877784154187594</v>
      </c>
      <c r="Q17">
        <f t="shared" ref="Q17:Q48" si="7">2/((1/S17-1/R17)+SIGN(S17)*SQRT((1/S17-1/R17)*(1/S17-1/R17) + 4*DA17/((DA17+1)*(DA17+1))*(2*1/S17*1/R17-1/R17*1/R17)))</f>
        <v>0.27083705009969739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3.1232393612886193</v>
      </c>
      <c r="S17">
        <f t="shared" ref="S17:S48" si="9">J17*(1000-(1000*0.61365*EXP(17.502*W17/(240.97+W17))/(DL17+DM17)+DG17)/2)/(1000*0.61365*EXP(17.502*W17/(240.97+W17))/(DL17+DM17)-DG17)</f>
        <v>0.25843299804697534</v>
      </c>
      <c r="T17">
        <f t="shared" ref="T17:T48" si="10">1/((DA17+1)/(Q17/1.6)+1/(R17/1.37)) + DA17/((DA17+1)/(Q17/1.6) + DA17/(R17/1.37))</f>
        <v>0.16258773124185566</v>
      </c>
      <c r="U17">
        <f t="shared" ref="U17:U48" si="11">(CV17*CY17)</f>
        <v>289.54035641911753</v>
      </c>
      <c r="V17">
        <f t="shared" ref="V17:V48" si="12">(DN17+(U17+2*0.95*0.0000000567*(((DN17+$B$7)+273)^4-(DN17+273)^4)-44100*J17)/(1.84*29.3*R17+8*0.95*0.0000000567*(DN17+273)^3))</f>
        <v>29.890945094930306</v>
      </c>
      <c r="W17">
        <f t="shared" ref="W17:W48" si="13">($C$7*DO17+$D$7*DP17+$E$7*V17)</f>
        <v>30.024699999999999</v>
      </c>
      <c r="X17">
        <f t="shared" ref="X17:X48" si="14">0.61365*EXP(17.502*W17/(240.97+W17))</f>
        <v>4.2664980141067295</v>
      </c>
      <c r="Y17">
        <f t="shared" ref="Y17:Y48" si="15">(Z17/AA17*100)</f>
        <v>65.208116215187189</v>
      </c>
      <c r="Z17">
        <f t="shared" ref="Z17:Z48" si="16">DG17*(DL17+DM17)/1000</f>
        <v>2.6744705584410799</v>
      </c>
      <c r="AA17">
        <f t="shared" ref="AA17:AA48" si="17">0.61365*EXP(17.502*DN17/(240.97+DN17))</f>
        <v>4.1014381547464289</v>
      </c>
      <c r="AB17">
        <f t="shared" ref="AB17:AB48" si="18">(X17-DG17*(DL17+DM17)/1000)</f>
        <v>1.5920274556656495</v>
      </c>
      <c r="AC17">
        <f t="shared" ref="AC17:AC48" si="19">(-J17*44100)</f>
        <v>-190.10271378623506</v>
      </c>
      <c r="AD17">
        <f t="shared" ref="AD17:AD48" si="20">2*29.3*R17*0.92*(DN17-W17)</f>
        <v>-115.39086912950097</v>
      </c>
      <c r="AE17">
        <f t="shared" ref="AE17:AE48" si="21">2*0.95*0.0000000567*(((DN17+$B$7)+273)^4-(W17+273)^4)</f>
        <v>-8.1891332838298752</v>
      </c>
      <c r="AF17">
        <f t="shared" ref="AF17:AF48" si="22">U17+AE17+AC17+AD17</f>
        <v>-24.142359780448345</v>
      </c>
      <c r="AG17">
        <v>7</v>
      </c>
      <c r="AH17">
        <v>1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51898.929773776712</v>
      </c>
      <c r="AL17" t="s">
        <v>415</v>
      </c>
      <c r="AM17">
        <v>10238.9</v>
      </c>
      <c r="AN17">
        <v>302.21199999999999</v>
      </c>
      <c r="AO17">
        <v>4052.3</v>
      </c>
      <c r="AP17">
        <f t="shared" ref="AP17:AP48" si="26">1-AN17/AO17</f>
        <v>0.92542210596451402</v>
      </c>
      <c r="AQ17">
        <v>-0.32343011824092421</v>
      </c>
      <c r="AR17" t="s">
        <v>416</v>
      </c>
      <c r="AS17">
        <v>7113.27</v>
      </c>
      <c r="AT17">
        <v>624.28780769230775</v>
      </c>
      <c r="AU17">
        <v>889.9789568362263</v>
      </c>
      <c r="AV17">
        <f t="shared" ref="AV17:AV48" si="27">1-AT17/AU17</f>
        <v>0.29853643965742771</v>
      </c>
      <c r="AW17">
        <v>0.5</v>
      </c>
      <c r="AX17">
        <f t="shared" ref="AX17:AX48" si="28">CW17</f>
        <v>1513.0500002171593</v>
      </c>
      <c r="AY17">
        <f t="shared" ref="AY17:AY48" si="29">L17</f>
        <v>45.191033256463186</v>
      </c>
      <c r="AZ17">
        <f t="shared" ref="AZ17:AZ48" si="30">AV17*AW17*AX17</f>
        <v>225.8502800442505</v>
      </c>
      <c r="BA17">
        <f t="shared" ref="BA17:BA48" si="31">(AY17-AQ17)/AX17</f>
        <v>3.0081268542461702E-2</v>
      </c>
      <c r="BB17">
        <f t="shared" ref="BB17:BB48" si="32">(AO17-AU17)/AU17</f>
        <v>3.5532537245661007</v>
      </c>
      <c r="BC17">
        <f t="shared" ref="BC17:BC48" si="33">AN17/(AP17+AN17/AU17)</f>
        <v>238.90386599191723</v>
      </c>
      <c r="BD17" t="s">
        <v>417</v>
      </c>
      <c r="BE17">
        <v>446.47</v>
      </c>
      <c r="BF17">
        <f t="shared" ref="BF17:BF48" si="34">IF(BE17&lt;&gt;0, BE17, BC17)</f>
        <v>446.47</v>
      </c>
      <c r="BG17">
        <f t="shared" ref="BG17:BG48" si="35">1-BF17/AU17</f>
        <v>0.49833645327171561</v>
      </c>
      <c r="BH17">
        <f t="shared" ref="BH17:BH48" si="36">(AU17-AT17)/(AU17-BF17)</f>
        <v>0.59906602797658903</v>
      </c>
      <c r="BI17">
        <f t="shared" ref="BI17:BI48" si="37">(AO17-AU17)/(AO17-BF17)</f>
        <v>0.87700225555940636</v>
      </c>
      <c r="BJ17">
        <f t="shared" ref="BJ17:BJ48" si="38">(AU17-AT17)/(AU17-AN17)</f>
        <v>0.45203485165966883</v>
      </c>
      <c r="BK17">
        <f t="shared" ref="BK17:BK48" si="39">(AO17-AU17)/(AO17-AN17)</f>
        <v>0.84326582287236296</v>
      </c>
      <c r="BL17">
        <f t="shared" ref="BL17:BL48" si="40">(BH17*BF17/AT17)</f>
        <v>0.42843221702406364</v>
      </c>
      <c r="BM17">
        <f t="shared" ref="BM17:BM48" si="41">(1-BL17)</f>
        <v>0.57156778297593636</v>
      </c>
      <c r="BN17">
        <v>34523</v>
      </c>
      <c r="BO17">
        <v>290.00000000000011</v>
      </c>
      <c r="BP17">
        <v>814.93</v>
      </c>
      <c r="BQ17">
        <v>295</v>
      </c>
      <c r="BR17">
        <v>7113.27</v>
      </c>
      <c r="BS17">
        <v>816.43</v>
      </c>
      <c r="BT17">
        <v>-1.5</v>
      </c>
      <c r="BU17">
        <v>300.00000000000011</v>
      </c>
      <c r="BV17">
        <v>38.200000000000003</v>
      </c>
      <c r="BW17">
        <v>889.9789568362263</v>
      </c>
      <c r="BX17">
        <v>1.4273119260645299</v>
      </c>
      <c r="BY17">
        <v>-52.315259995783997</v>
      </c>
      <c r="BZ17">
        <v>0.85115651572619622</v>
      </c>
      <c r="CA17">
        <v>0.99264279081606654</v>
      </c>
      <c r="CB17">
        <v>-7.0126349276974477E-3</v>
      </c>
      <c r="CC17">
        <v>289.99999999999989</v>
      </c>
      <c r="CD17">
        <v>826.09</v>
      </c>
      <c r="CE17">
        <v>855</v>
      </c>
      <c r="CF17">
        <v>7106.86</v>
      </c>
      <c r="CG17">
        <v>816.37</v>
      </c>
      <c r="CH17">
        <v>9.7200000000000006</v>
      </c>
      <c r="CV17">
        <f t="shared" ref="CV17:CV48" si="42">$B$11*DT17+$C$11*DU17+$F$11*EF17*(1-EI17)</f>
        <v>1799.84</v>
      </c>
      <c r="CW17">
        <f t="shared" ref="CW17:CW48" si="43">CV17*CX17</f>
        <v>1513.0500002171593</v>
      </c>
      <c r="CX17">
        <f t="shared" ref="CX17:CX48" si="44">($B$11*$D$9+$C$11*$D$9+$F$11*((ES17+EK17)/MAX(ES17+EK17+ET17, 0.1)*$I$9+ET17/MAX(ES17+EK17+ET17, 0.1)*$J$9))/($B$11+$C$11+$F$11)</f>
        <v>0.84065805861474319</v>
      </c>
      <c r="CY17">
        <f t="shared" ref="CY17:CY48" si="45">($B$11*$K$9+$C$11*$K$9+$F$11*((ES17+EK17)/MAX(ES17+EK17+ET17, 0.1)*$P$9+ET17/MAX(ES17+EK17+ET17, 0.1)*$Q$9))/($B$11+$C$11+$F$11)</f>
        <v>0.1608700531264543</v>
      </c>
      <c r="CZ17">
        <v>5</v>
      </c>
      <c r="DA17">
        <v>0.5</v>
      </c>
      <c r="DB17" t="s">
        <v>418</v>
      </c>
      <c r="DC17">
        <v>2</v>
      </c>
      <c r="DD17">
        <v>1700237134.5</v>
      </c>
      <c r="DE17">
        <v>403.154</v>
      </c>
      <c r="DF17">
        <v>450.07100000000003</v>
      </c>
      <c r="DG17">
        <v>27.0382</v>
      </c>
      <c r="DH17">
        <v>22.845099999999999</v>
      </c>
      <c r="DI17">
        <v>403.39</v>
      </c>
      <c r="DJ17">
        <v>26.687899999999999</v>
      </c>
      <c r="DK17">
        <v>500.12700000000001</v>
      </c>
      <c r="DL17">
        <v>98.814899999999994</v>
      </c>
      <c r="DM17">
        <v>9.9619399999999997E-2</v>
      </c>
      <c r="DN17">
        <v>29.339400000000001</v>
      </c>
      <c r="DO17">
        <v>30.024699999999999</v>
      </c>
      <c r="DP17">
        <v>999.9</v>
      </c>
      <c r="DQ17">
        <v>0</v>
      </c>
      <c r="DR17">
        <v>0</v>
      </c>
      <c r="DS17">
        <v>10010.6</v>
      </c>
      <c r="DT17">
        <v>0</v>
      </c>
      <c r="DU17">
        <v>649.80399999999997</v>
      </c>
      <c r="DV17">
        <v>-46.917200000000001</v>
      </c>
      <c r="DW17">
        <v>414.35700000000003</v>
      </c>
      <c r="DX17">
        <v>460.59300000000002</v>
      </c>
      <c r="DY17">
        <v>4.19313</v>
      </c>
      <c r="DZ17">
        <v>450.07100000000003</v>
      </c>
      <c r="EA17">
        <v>22.845099999999999</v>
      </c>
      <c r="EB17">
        <v>2.67178</v>
      </c>
      <c r="EC17">
        <v>2.2574399999999999</v>
      </c>
      <c r="ED17">
        <v>22.1126</v>
      </c>
      <c r="EE17">
        <v>19.375900000000001</v>
      </c>
      <c r="EF17">
        <v>1799.84</v>
      </c>
      <c r="EG17">
        <v>0.97800600000000004</v>
      </c>
      <c r="EH17">
        <v>2.1994300000000001E-2</v>
      </c>
      <c r="EI17">
        <v>0</v>
      </c>
      <c r="EJ17">
        <v>624.30700000000002</v>
      </c>
      <c r="EK17">
        <v>4.9996700000000001</v>
      </c>
      <c r="EL17">
        <v>11912.6</v>
      </c>
      <c r="EM17">
        <v>15045.4</v>
      </c>
      <c r="EN17">
        <v>49.311999999999998</v>
      </c>
      <c r="EO17">
        <v>50.375</v>
      </c>
      <c r="EP17">
        <v>50.061999999999998</v>
      </c>
      <c r="EQ17">
        <v>50.125</v>
      </c>
      <c r="ER17">
        <v>50.686999999999998</v>
      </c>
      <c r="ES17">
        <v>1755.36</v>
      </c>
      <c r="ET17">
        <v>39.479999999999997</v>
      </c>
      <c r="EU17">
        <v>0</v>
      </c>
      <c r="EV17">
        <v>1700237276.3</v>
      </c>
      <c r="EW17">
        <v>0</v>
      </c>
      <c r="EX17">
        <v>624.28780769230775</v>
      </c>
      <c r="EY17">
        <v>-0.52714530921588987</v>
      </c>
      <c r="EZ17">
        <v>42.099145344937021</v>
      </c>
      <c r="FA17">
        <v>11909.00769230769</v>
      </c>
      <c r="FB17">
        <v>15</v>
      </c>
      <c r="FC17">
        <v>1700237103</v>
      </c>
      <c r="FD17" t="s">
        <v>419</v>
      </c>
      <c r="FE17">
        <v>1700237103</v>
      </c>
      <c r="FF17">
        <v>1700237092</v>
      </c>
      <c r="FG17">
        <v>4</v>
      </c>
      <c r="FH17">
        <v>0.129</v>
      </c>
      <c r="FI17">
        <v>-1.2999999999999999E-2</v>
      </c>
      <c r="FJ17">
        <v>-0.249</v>
      </c>
      <c r="FK17">
        <v>0.30199999999999999</v>
      </c>
      <c r="FL17">
        <v>450</v>
      </c>
      <c r="FM17">
        <v>23</v>
      </c>
      <c r="FN17">
        <v>0.06</v>
      </c>
      <c r="FO17">
        <v>0.03</v>
      </c>
      <c r="FP17">
        <v>45.155946293061852</v>
      </c>
      <c r="FQ17">
        <v>-0.5883777081802104</v>
      </c>
      <c r="FR17">
        <v>5.8304091005531689E-2</v>
      </c>
      <c r="FS17">
        <v>1</v>
      </c>
      <c r="FT17">
        <v>0.27139179274533731</v>
      </c>
      <c r="FU17">
        <v>1.1509462616848549E-2</v>
      </c>
      <c r="FV17">
        <v>1.145623270104594E-3</v>
      </c>
      <c r="FW17">
        <v>1</v>
      </c>
      <c r="FX17">
        <v>2</v>
      </c>
      <c r="FY17">
        <v>2</v>
      </c>
      <c r="FZ17" t="s">
        <v>420</v>
      </c>
      <c r="GA17">
        <v>3.0118999999999998</v>
      </c>
      <c r="GB17">
        <v>2.7768000000000002</v>
      </c>
      <c r="GC17">
        <v>8.8450600000000004E-2</v>
      </c>
      <c r="GD17">
        <v>9.6670699999999998E-2</v>
      </c>
      <c r="GE17">
        <v>0.123594</v>
      </c>
      <c r="GF17">
        <v>0.11115999999999999</v>
      </c>
      <c r="GG17">
        <v>21877.7</v>
      </c>
      <c r="GH17">
        <v>22389.7</v>
      </c>
      <c r="GI17">
        <v>23767.8</v>
      </c>
      <c r="GJ17">
        <v>24443.599999999999</v>
      </c>
      <c r="GK17">
        <v>30803.5</v>
      </c>
      <c r="GL17">
        <v>31146.1</v>
      </c>
      <c r="GM17">
        <v>38921.9</v>
      </c>
      <c r="GN17">
        <v>38917.800000000003</v>
      </c>
      <c r="GO17">
        <v>2.0005799999999998</v>
      </c>
      <c r="GP17">
        <v>1.8351200000000001</v>
      </c>
      <c r="GQ17">
        <v>9.3243999999999994E-2</v>
      </c>
      <c r="GR17">
        <v>0</v>
      </c>
      <c r="GS17">
        <v>28.505500000000001</v>
      </c>
      <c r="GT17">
        <v>999.9</v>
      </c>
      <c r="GU17">
        <v>55</v>
      </c>
      <c r="GV17">
        <v>34.200000000000003</v>
      </c>
      <c r="GW17">
        <v>30.072399999999998</v>
      </c>
      <c r="GX17">
        <v>60.847499999999997</v>
      </c>
      <c r="GY17">
        <v>30.460699999999999</v>
      </c>
      <c r="GZ17">
        <v>1</v>
      </c>
      <c r="HA17">
        <v>0.57348600000000005</v>
      </c>
      <c r="HB17">
        <v>2.7910300000000001</v>
      </c>
      <c r="HC17">
        <v>20.308</v>
      </c>
      <c r="HD17">
        <v>5.2448399999999999</v>
      </c>
      <c r="HE17">
        <v>11.997999999999999</v>
      </c>
      <c r="HF17">
        <v>4.9634499999999999</v>
      </c>
      <c r="HG17">
        <v>3.30098</v>
      </c>
      <c r="HH17">
        <v>9999</v>
      </c>
      <c r="HI17">
        <v>9999</v>
      </c>
      <c r="HJ17">
        <v>9999</v>
      </c>
      <c r="HK17">
        <v>999.9</v>
      </c>
      <c r="HL17">
        <v>1.8751500000000001</v>
      </c>
      <c r="HM17">
        <v>1.88049</v>
      </c>
      <c r="HN17">
        <v>1.88059</v>
      </c>
      <c r="HO17">
        <v>1.87927</v>
      </c>
      <c r="HP17">
        <v>1.88171</v>
      </c>
      <c r="HQ17">
        <v>1.87757</v>
      </c>
      <c r="HR17">
        <v>1.8751800000000001</v>
      </c>
      <c r="HS17">
        <v>1.8826099999999999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-0.23599999999999999</v>
      </c>
      <c r="IH17">
        <v>0.3503</v>
      </c>
      <c r="II17">
        <v>-0.32026910842251949</v>
      </c>
      <c r="IJ17">
        <v>7.0786345690369205E-4</v>
      </c>
      <c r="IK17">
        <v>-1.387476646623666E-6</v>
      </c>
      <c r="IL17">
        <v>3.6592443641472651E-10</v>
      </c>
      <c r="IM17">
        <v>0.35028366827632679</v>
      </c>
      <c r="IN17">
        <v>0</v>
      </c>
      <c r="IO17">
        <v>0</v>
      </c>
      <c r="IP17">
        <v>0</v>
      </c>
      <c r="IQ17">
        <v>2</v>
      </c>
      <c r="IR17">
        <v>2142</v>
      </c>
      <c r="IS17">
        <v>1</v>
      </c>
      <c r="IT17">
        <v>24</v>
      </c>
      <c r="IU17">
        <v>0.5</v>
      </c>
      <c r="IV17">
        <v>0.7</v>
      </c>
      <c r="IW17">
        <v>1.11572</v>
      </c>
      <c r="IX17">
        <v>2.63428</v>
      </c>
      <c r="IY17">
        <v>1.5490699999999999</v>
      </c>
      <c r="IZ17">
        <v>2.3718300000000001</v>
      </c>
      <c r="JA17">
        <v>1.5966800000000001</v>
      </c>
      <c r="JB17">
        <v>2.21313</v>
      </c>
      <c r="JC17">
        <v>40.146000000000001</v>
      </c>
      <c r="JD17">
        <v>24.017499999999998</v>
      </c>
      <c r="JE17">
        <v>18</v>
      </c>
      <c r="JF17">
        <v>512.45399999999995</v>
      </c>
      <c r="JG17">
        <v>472.57100000000003</v>
      </c>
      <c r="JH17">
        <v>26.1905</v>
      </c>
      <c r="JI17">
        <v>34.238</v>
      </c>
      <c r="JJ17">
        <v>30.000299999999999</v>
      </c>
      <c r="JK17">
        <v>34.239600000000003</v>
      </c>
      <c r="JL17">
        <v>34.2258</v>
      </c>
      <c r="JM17">
        <v>22.3125</v>
      </c>
      <c r="JN17">
        <v>28.389900000000001</v>
      </c>
      <c r="JO17">
        <v>61.257599999999996</v>
      </c>
      <c r="JP17">
        <v>26.1645</v>
      </c>
      <c r="JQ17">
        <v>450</v>
      </c>
      <c r="JR17">
        <v>22.851199999999999</v>
      </c>
      <c r="JS17">
        <v>98.575100000000006</v>
      </c>
      <c r="JT17">
        <v>99.419399999999996</v>
      </c>
    </row>
    <row r="18" spans="1:280" x14ac:dyDescent="0.25">
      <c r="A18">
        <v>2</v>
      </c>
      <c r="B18">
        <v>1700237359.5</v>
      </c>
      <c r="C18">
        <v>225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1700237359.5</v>
      </c>
      <c r="J18">
        <f t="shared" si="0"/>
        <v>2.1234779591688033E-3</v>
      </c>
      <c r="K18">
        <f t="shared" si="1"/>
        <v>2.1234779591688033</v>
      </c>
      <c r="L18">
        <f t="shared" si="2"/>
        <v>48.300792173568638</v>
      </c>
      <c r="M18">
        <f t="shared" si="3"/>
        <v>1448.61</v>
      </c>
      <c r="N18">
        <f t="shared" si="4"/>
        <v>758.14864448983803</v>
      </c>
      <c r="O18">
        <f t="shared" si="5"/>
        <v>74.998415690029987</v>
      </c>
      <c r="P18">
        <f t="shared" si="6"/>
        <v>143.30099478821998</v>
      </c>
      <c r="Q18">
        <f t="shared" si="7"/>
        <v>0.1194937144446783</v>
      </c>
      <c r="R18">
        <f t="shared" si="8"/>
        <v>3.1166629256213398</v>
      </c>
      <c r="S18">
        <f t="shared" si="9"/>
        <v>0.11700565181940936</v>
      </c>
      <c r="T18">
        <f t="shared" si="10"/>
        <v>7.3347760074912699E-2</v>
      </c>
      <c r="U18">
        <f t="shared" si="11"/>
        <v>289.54195241911515</v>
      </c>
      <c r="V18">
        <f t="shared" si="12"/>
        <v>29.631977787259615</v>
      </c>
      <c r="W18">
        <f t="shared" si="13"/>
        <v>29.992899999999999</v>
      </c>
      <c r="X18">
        <f t="shared" si="14"/>
        <v>4.2587125922785471</v>
      </c>
      <c r="Y18">
        <f t="shared" si="15"/>
        <v>64.468741505084864</v>
      </c>
      <c r="Z18">
        <f t="shared" si="16"/>
        <v>2.5249627169990001</v>
      </c>
      <c r="AA18">
        <f t="shared" si="17"/>
        <v>3.9165689573757971</v>
      </c>
      <c r="AB18">
        <f t="shared" si="18"/>
        <v>1.733749875279547</v>
      </c>
      <c r="AC18">
        <f t="shared" si="19"/>
        <v>-93.64537799934422</v>
      </c>
      <c r="AD18">
        <f t="shared" si="20"/>
        <v>-243.67062599317066</v>
      </c>
      <c r="AE18">
        <f t="shared" si="21"/>
        <v>-17.258486470384657</v>
      </c>
      <c r="AF18">
        <f t="shared" si="22"/>
        <v>-65.032538043784371</v>
      </c>
      <c r="AG18">
        <v>8</v>
      </c>
      <c r="AH18">
        <v>2</v>
      </c>
      <c r="AI18">
        <f t="shared" si="23"/>
        <v>1</v>
      </c>
      <c r="AJ18">
        <f t="shared" si="24"/>
        <v>0</v>
      </c>
      <c r="AK18">
        <f t="shared" si="25"/>
        <v>51868.952968886901</v>
      </c>
      <c r="AL18" t="s">
        <v>415</v>
      </c>
      <c r="AM18">
        <v>10238.9</v>
      </c>
      <c r="AN18">
        <v>302.21199999999999</v>
      </c>
      <c r="AO18">
        <v>4052.3</v>
      </c>
      <c r="AP18">
        <f t="shared" si="26"/>
        <v>0.92542210596451402</v>
      </c>
      <c r="AQ18">
        <v>-0.32343011824092421</v>
      </c>
      <c r="AR18" t="s">
        <v>426</v>
      </c>
      <c r="AS18">
        <v>7113.93</v>
      </c>
      <c r="AT18">
        <v>621.62073076923082</v>
      </c>
      <c r="AU18">
        <v>918.27769973185229</v>
      </c>
      <c r="AV18">
        <f t="shared" si="27"/>
        <v>0.32305801289658753</v>
      </c>
      <c r="AW18">
        <v>0.5</v>
      </c>
      <c r="AX18">
        <f t="shared" si="28"/>
        <v>1513.0584002171581</v>
      </c>
      <c r="AY18">
        <f t="shared" si="29"/>
        <v>48.300792173568638</v>
      </c>
      <c r="AZ18">
        <f t="shared" si="30"/>
        <v>244.40282008532239</v>
      </c>
      <c r="BA18">
        <f t="shared" si="31"/>
        <v>3.213638170531348E-2</v>
      </c>
      <c r="BB18">
        <f t="shared" si="32"/>
        <v>3.4129352168557707</v>
      </c>
      <c r="BC18">
        <f t="shared" si="33"/>
        <v>240.8966827424756</v>
      </c>
      <c r="BD18" t="s">
        <v>427</v>
      </c>
      <c r="BE18">
        <v>452.89</v>
      </c>
      <c r="BF18">
        <f t="shared" si="34"/>
        <v>452.89</v>
      </c>
      <c r="BG18">
        <f t="shared" si="35"/>
        <v>0.50680496746000792</v>
      </c>
      <c r="BH18">
        <f t="shared" si="36"/>
        <v>0.63744050204496094</v>
      </c>
      <c r="BI18">
        <f t="shared" si="37"/>
        <v>0.87070444885915954</v>
      </c>
      <c r="BJ18">
        <f t="shared" si="38"/>
        <v>0.48153463030281329</v>
      </c>
      <c r="BK18">
        <f t="shared" si="39"/>
        <v>0.83571966851661816</v>
      </c>
      <c r="BL18">
        <f t="shared" si="40"/>
        <v>0.46441570346905819</v>
      </c>
      <c r="BM18">
        <f t="shared" si="41"/>
        <v>0.53558429653094186</v>
      </c>
      <c r="BN18">
        <v>34525</v>
      </c>
      <c r="BO18">
        <v>290.00000000000011</v>
      </c>
      <c r="BP18">
        <v>832.22</v>
      </c>
      <c r="BQ18">
        <v>275</v>
      </c>
      <c r="BR18">
        <v>7113.93</v>
      </c>
      <c r="BS18">
        <v>833.6</v>
      </c>
      <c r="BT18">
        <v>-1.38</v>
      </c>
      <c r="BU18">
        <v>300.00000000000011</v>
      </c>
      <c r="BV18">
        <v>38.200000000000003</v>
      </c>
      <c r="BW18">
        <v>918.27769973185229</v>
      </c>
      <c r="BX18">
        <v>1.1381003249122921</v>
      </c>
      <c r="BY18">
        <v>-60.241039185347113</v>
      </c>
      <c r="BZ18">
        <v>0.67872217657563194</v>
      </c>
      <c r="CA18">
        <v>0.99645826296136775</v>
      </c>
      <c r="CB18">
        <v>-7.0129677419354811E-3</v>
      </c>
      <c r="CC18">
        <v>289.99999999999989</v>
      </c>
      <c r="CD18">
        <v>843.16</v>
      </c>
      <c r="CE18">
        <v>875</v>
      </c>
      <c r="CF18">
        <v>7106.98</v>
      </c>
      <c r="CG18">
        <v>833.51</v>
      </c>
      <c r="CH18">
        <v>9.65</v>
      </c>
      <c r="CV18">
        <f t="shared" si="42"/>
        <v>1799.85</v>
      </c>
      <c r="CW18">
        <f t="shared" si="43"/>
        <v>1513.0584002171581</v>
      </c>
      <c r="CX18">
        <f t="shared" si="44"/>
        <v>0.84065805495855661</v>
      </c>
      <c r="CY18">
        <f t="shared" si="45"/>
        <v>0.16087004607001426</v>
      </c>
      <c r="CZ18">
        <v>5</v>
      </c>
      <c r="DA18">
        <v>0.5</v>
      </c>
      <c r="DB18" t="s">
        <v>418</v>
      </c>
      <c r="DC18">
        <v>2</v>
      </c>
      <c r="DD18">
        <v>1700237359.5</v>
      </c>
      <c r="DE18">
        <v>1448.61</v>
      </c>
      <c r="DF18">
        <v>1499.98</v>
      </c>
      <c r="DG18">
        <v>25.5245</v>
      </c>
      <c r="DH18">
        <v>23.455500000000001</v>
      </c>
      <c r="DI18">
        <v>1449.38</v>
      </c>
      <c r="DJ18">
        <v>25.171900000000001</v>
      </c>
      <c r="DK18">
        <v>500.06700000000001</v>
      </c>
      <c r="DL18">
        <v>98.822900000000004</v>
      </c>
      <c r="DM18">
        <v>0.100202</v>
      </c>
      <c r="DN18">
        <v>28.5427</v>
      </c>
      <c r="DO18">
        <v>29.992899999999999</v>
      </c>
      <c r="DP18">
        <v>999.9</v>
      </c>
      <c r="DQ18">
        <v>0</v>
      </c>
      <c r="DR18">
        <v>0</v>
      </c>
      <c r="DS18">
        <v>9976.25</v>
      </c>
      <c r="DT18">
        <v>0</v>
      </c>
      <c r="DU18">
        <v>622.02099999999996</v>
      </c>
      <c r="DV18">
        <v>-51.374000000000002</v>
      </c>
      <c r="DW18">
        <v>1486.55</v>
      </c>
      <c r="DX18">
        <v>1536.01</v>
      </c>
      <c r="DY18">
        <v>2.0690200000000001</v>
      </c>
      <c r="DZ18">
        <v>1499.98</v>
      </c>
      <c r="EA18">
        <v>23.455500000000001</v>
      </c>
      <c r="EB18">
        <v>2.5224099999999998</v>
      </c>
      <c r="EC18">
        <v>2.3179400000000001</v>
      </c>
      <c r="ED18">
        <v>21.171800000000001</v>
      </c>
      <c r="EE18">
        <v>19.801600000000001</v>
      </c>
      <c r="EF18">
        <v>1799.85</v>
      </c>
      <c r="EG18">
        <v>0.97800600000000004</v>
      </c>
      <c r="EH18">
        <v>2.1994199999999998E-2</v>
      </c>
      <c r="EI18">
        <v>0</v>
      </c>
      <c r="EJ18">
        <v>621.56299999999999</v>
      </c>
      <c r="EK18">
        <v>4.9996700000000001</v>
      </c>
      <c r="EL18">
        <v>11783.5</v>
      </c>
      <c r="EM18">
        <v>15045.6</v>
      </c>
      <c r="EN18">
        <v>49.125</v>
      </c>
      <c r="EO18">
        <v>50.436999999999998</v>
      </c>
      <c r="EP18">
        <v>49.936999999999998</v>
      </c>
      <c r="EQ18">
        <v>50.061999999999998</v>
      </c>
      <c r="ER18">
        <v>50.5</v>
      </c>
      <c r="ES18">
        <v>1755.37</v>
      </c>
      <c r="ET18">
        <v>39.479999999999997</v>
      </c>
      <c r="EU18">
        <v>0</v>
      </c>
      <c r="EV18">
        <v>222.79999995231631</v>
      </c>
      <c r="EW18">
        <v>0</v>
      </c>
      <c r="EX18">
        <v>621.62073076923082</v>
      </c>
      <c r="EY18">
        <v>1.4535726524608019</v>
      </c>
      <c r="EZ18">
        <v>-38.256410254506392</v>
      </c>
      <c r="FA18">
        <v>11789.223076923079</v>
      </c>
      <c r="FB18">
        <v>15</v>
      </c>
      <c r="FC18">
        <v>1700237221.5</v>
      </c>
      <c r="FD18" t="s">
        <v>428</v>
      </c>
      <c r="FE18">
        <v>1700237221.5</v>
      </c>
      <c r="FF18">
        <v>1700237214.5</v>
      </c>
      <c r="FG18">
        <v>5</v>
      </c>
      <c r="FH18">
        <v>0.317</v>
      </c>
      <c r="FI18">
        <v>2E-3</v>
      </c>
      <c r="FJ18">
        <v>-0.82899999999999996</v>
      </c>
      <c r="FK18">
        <v>0.311</v>
      </c>
      <c r="FL18">
        <v>1500</v>
      </c>
      <c r="FM18">
        <v>23</v>
      </c>
      <c r="FN18">
        <v>0.11</v>
      </c>
      <c r="FO18">
        <v>0.02</v>
      </c>
      <c r="FP18">
        <v>48.477989607943748</v>
      </c>
      <c r="FQ18">
        <v>-0.44461259094737993</v>
      </c>
      <c r="FR18">
        <v>6.3099227819566339E-2</v>
      </c>
      <c r="FS18">
        <v>1</v>
      </c>
      <c r="FT18">
        <v>0.12377013027593591</v>
      </c>
      <c r="FU18">
        <v>-4.5750406018112109E-2</v>
      </c>
      <c r="FV18">
        <v>3.642941625289229E-3</v>
      </c>
      <c r="FW18">
        <v>1</v>
      </c>
      <c r="FX18">
        <v>2</v>
      </c>
      <c r="FY18">
        <v>2</v>
      </c>
      <c r="FZ18" t="s">
        <v>420</v>
      </c>
      <c r="GA18">
        <v>3.0118100000000001</v>
      </c>
      <c r="GB18">
        <v>2.7770800000000002</v>
      </c>
      <c r="GC18">
        <v>0.20977599999999999</v>
      </c>
      <c r="GD18">
        <v>0.21507799999999999</v>
      </c>
      <c r="GE18">
        <v>0.118675</v>
      </c>
      <c r="GF18">
        <v>0.113203</v>
      </c>
      <c r="GG18">
        <v>18959.599999999999</v>
      </c>
      <c r="GH18">
        <v>19448.2</v>
      </c>
      <c r="GI18">
        <v>23764.400000000001</v>
      </c>
      <c r="GJ18">
        <v>24440.3</v>
      </c>
      <c r="GK18">
        <v>30972.799999999999</v>
      </c>
      <c r="GL18">
        <v>31071.200000000001</v>
      </c>
      <c r="GM18">
        <v>38917.199999999997</v>
      </c>
      <c r="GN18">
        <v>38914.400000000001</v>
      </c>
      <c r="GO18">
        <v>1.99918</v>
      </c>
      <c r="GP18">
        <v>1.8342000000000001</v>
      </c>
      <c r="GQ18">
        <v>0.11110299999999999</v>
      </c>
      <c r="GR18">
        <v>0</v>
      </c>
      <c r="GS18">
        <v>28.182200000000002</v>
      </c>
      <c r="GT18">
        <v>999.9</v>
      </c>
      <c r="GU18">
        <v>53.6</v>
      </c>
      <c r="GV18">
        <v>34.6</v>
      </c>
      <c r="GW18">
        <v>29.960899999999999</v>
      </c>
      <c r="GX18">
        <v>61.267499999999998</v>
      </c>
      <c r="GY18">
        <v>30.837299999999999</v>
      </c>
      <c r="GZ18">
        <v>1</v>
      </c>
      <c r="HA18">
        <v>0.58391499999999996</v>
      </c>
      <c r="HB18">
        <v>3.1234899999999999</v>
      </c>
      <c r="HC18">
        <v>20.302900000000001</v>
      </c>
      <c r="HD18">
        <v>5.2452899999999998</v>
      </c>
      <c r="HE18">
        <v>11.9983</v>
      </c>
      <c r="HF18">
        <v>4.9635499999999997</v>
      </c>
      <c r="HG18">
        <v>3.3008999999999999</v>
      </c>
      <c r="HH18">
        <v>9999</v>
      </c>
      <c r="HI18">
        <v>9999</v>
      </c>
      <c r="HJ18">
        <v>9999</v>
      </c>
      <c r="HK18">
        <v>999.9</v>
      </c>
      <c r="HL18">
        <v>1.87514</v>
      </c>
      <c r="HM18">
        <v>1.88049</v>
      </c>
      <c r="HN18">
        <v>1.88053</v>
      </c>
      <c r="HO18">
        <v>1.87927</v>
      </c>
      <c r="HP18">
        <v>1.88171</v>
      </c>
      <c r="HQ18">
        <v>1.87754</v>
      </c>
      <c r="HR18">
        <v>1.8751800000000001</v>
      </c>
      <c r="HS18">
        <v>1.88256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-0.77</v>
      </c>
      <c r="IH18">
        <v>0.35260000000000002</v>
      </c>
      <c r="II18">
        <v>-3.027177419142713E-3</v>
      </c>
      <c r="IJ18">
        <v>7.0786345690369205E-4</v>
      </c>
      <c r="IK18">
        <v>-1.387476646623666E-6</v>
      </c>
      <c r="IL18">
        <v>3.6592443641472651E-10</v>
      </c>
      <c r="IM18">
        <v>0.35257710675566328</v>
      </c>
      <c r="IN18">
        <v>0</v>
      </c>
      <c r="IO18">
        <v>0</v>
      </c>
      <c r="IP18">
        <v>0</v>
      </c>
      <c r="IQ18">
        <v>2</v>
      </c>
      <c r="IR18">
        <v>2142</v>
      </c>
      <c r="IS18">
        <v>1</v>
      </c>
      <c r="IT18">
        <v>24</v>
      </c>
      <c r="IU18">
        <v>2.2999999999999998</v>
      </c>
      <c r="IV18">
        <v>2.4</v>
      </c>
      <c r="IW18">
        <v>2.97363</v>
      </c>
      <c r="IX18">
        <v>2.6269499999999999</v>
      </c>
      <c r="IY18">
        <v>1.5490699999999999</v>
      </c>
      <c r="IZ18">
        <v>2.3718300000000001</v>
      </c>
      <c r="JA18">
        <v>1.5966800000000001</v>
      </c>
      <c r="JB18">
        <v>2.18018</v>
      </c>
      <c r="JC18">
        <v>40.451000000000001</v>
      </c>
      <c r="JD18">
        <v>24.017499999999998</v>
      </c>
      <c r="JE18">
        <v>18</v>
      </c>
      <c r="JF18">
        <v>512.06700000000001</v>
      </c>
      <c r="JG18">
        <v>472.45499999999998</v>
      </c>
      <c r="JH18">
        <v>25.305900000000001</v>
      </c>
      <c r="JI18">
        <v>34.349800000000002</v>
      </c>
      <c r="JJ18">
        <v>30.000299999999999</v>
      </c>
      <c r="JK18">
        <v>34.305700000000002</v>
      </c>
      <c r="JL18">
        <v>34.291600000000003</v>
      </c>
      <c r="JM18">
        <v>59.453800000000001</v>
      </c>
      <c r="JN18">
        <v>25.586200000000002</v>
      </c>
      <c r="JO18">
        <v>58.457299999999996</v>
      </c>
      <c r="JP18">
        <v>25.307099999999998</v>
      </c>
      <c r="JQ18">
        <v>1500</v>
      </c>
      <c r="JR18">
        <v>23.544699999999999</v>
      </c>
      <c r="JS18">
        <v>98.5625</v>
      </c>
      <c r="JT18">
        <v>99.409000000000006</v>
      </c>
    </row>
    <row r="19" spans="1:280" x14ac:dyDescent="0.25">
      <c r="A19">
        <v>3</v>
      </c>
      <c r="B19">
        <v>1700237598.5</v>
      </c>
      <c r="C19">
        <v>464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1700237598.5</v>
      </c>
      <c r="J19">
        <f t="shared" si="0"/>
        <v>1.7443583287657558E-3</v>
      </c>
      <c r="K19">
        <f t="shared" si="1"/>
        <v>1.7443583287657558</v>
      </c>
      <c r="L19">
        <f t="shared" si="2"/>
        <v>48.067118351480048</v>
      </c>
      <c r="M19">
        <f t="shared" si="3"/>
        <v>1199.76</v>
      </c>
      <c r="N19">
        <f t="shared" si="4"/>
        <v>392.4672865415526</v>
      </c>
      <c r="O19">
        <f t="shared" si="5"/>
        <v>38.82491439078219</v>
      </c>
      <c r="P19">
        <f t="shared" si="6"/>
        <v>118.68652722614401</v>
      </c>
      <c r="Q19">
        <f t="shared" si="7"/>
        <v>9.9502528901848825E-2</v>
      </c>
      <c r="R19">
        <f t="shared" si="8"/>
        <v>3.1217411524021363</v>
      </c>
      <c r="S19">
        <f t="shared" si="9"/>
        <v>9.7773591654450556E-2</v>
      </c>
      <c r="T19">
        <f t="shared" si="10"/>
        <v>6.1261330606954677E-2</v>
      </c>
      <c r="U19">
        <f t="shared" si="11"/>
        <v>289.5515284191012</v>
      </c>
      <c r="V19">
        <f t="shared" si="12"/>
        <v>29.920148529464406</v>
      </c>
      <c r="W19">
        <f t="shared" si="13"/>
        <v>30.033100000000001</v>
      </c>
      <c r="X19">
        <f t="shared" si="14"/>
        <v>4.2685566104077992</v>
      </c>
      <c r="Y19">
        <f t="shared" si="15"/>
        <v>64.736402470546281</v>
      </c>
      <c r="Z19">
        <f t="shared" si="16"/>
        <v>2.5646067650026803</v>
      </c>
      <c r="AA19">
        <f t="shared" si="17"/>
        <v>3.961614589518661</v>
      </c>
      <c r="AB19">
        <f t="shared" si="18"/>
        <v>1.703949845405119</v>
      </c>
      <c r="AC19">
        <f t="shared" si="19"/>
        <v>-76.926202298569834</v>
      </c>
      <c r="AD19">
        <f t="shared" si="20"/>
        <v>-217.6614963404399</v>
      </c>
      <c r="AE19">
        <f t="shared" si="21"/>
        <v>-15.409370385090908</v>
      </c>
      <c r="AF19">
        <f t="shared" si="22"/>
        <v>-20.445540604999394</v>
      </c>
      <c r="AG19">
        <v>8</v>
      </c>
      <c r="AH19">
        <v>2</v>
      </c>
      <c r="AI19">
        <f t="shared" si="23"/>
        <v>1</v>
      </c>
      <c r="AJ19">
        <f t="shared" si="24"/>
        <v>0</v>
      </c>
      <c r="AK19">
        <f t="shared" si="25"/>
        <v>51964.188195013965</v>
      </c>
      <c r="AL19" t="s">
        <v>415</v>
      </c>
      <c r="AM19">
        <v>10238.9</v>
      </c>
      <c r="AN19">
        <v>302.21199999999999</v>
      </c>
      <c r="AO19">
        <v>4052.3</v>
      </c>
      <c r="AP19">
        <f t="shared" si="26"/>
        <v>0.92542210596451402</v>
      </c>
      <c r="AQ19">
        <v>-0.32343011824092421</v>
      </c>
      <c r="AR19" t="s">
        <v>431</v>
      </c>
      <c r="AS19">
        <v>7113.75</v>
      </c>
      <c r="AT19">
        <v>619.47408000000007</v>
      </c>
      <c r="AU19">
        <v>901.94027474934774</v>
      </c>
      <c r="AV19">
        <f t="shared" si="27"/>
        <v>0.31317616327516362</v>
      </c>
      <c r="AW19">
        <v>0.5</v>
      </c>
      <c r="AX19">
        <f t="shared" si="28"/>
        <v>1513.1088002171509</v>
      </c>
      <c r="AY19">
        <f t="shared" si="29"/>
        <v>48.067118351480048</v>
      </c>
      <c r="AZ19">
        <f t="shared" si="30"/>
        <v>236.9348043349467</v>
      </c>
      <c r="BA19">
        <f t="shared" si="31"/>
        <v>3.1980878349776497E-2</v>
      </c>
      <c r="BB19">
        <f t="shared" si="32"/>
        <v>3.4928695540579424</v>
      </c>
      <c r="BC19">
        <f t="shared" si="33"/>
        <v>239.75739188077091</v>
      </c>
      <c r="BD19" t="s">
        <v>432</v>
      </c>
      <c r="BE19">
        <v>450.42</v>
      </c>
      <c r="BF19">
        <f t="shared" si="34"/>
        <v>450.42</v>
      </c>
      <c r="BG19">
        <f t="shared" si="35"/>
        <v>0.50060994878494225</v>
      </c>
      <c r="BH19">
        <f t="shared" si="36"/>
        <v>0.62558917183985374</v>
      </c>
      <c r="BI19">
        <f t="shared" si="37"/>
        <v>0.87464316558315447</v>
      </c>
      <c r="BJ19">
        <f t="shared" si="38"/>
        <v>0.47099029117378605</v>
      </c>
      <c r="BK19">
        <f t="shared" si="39"/>
        <v>0.84007621294504353</v>
      </c>
      <c r="BL19">
        <f t="shared" si="40"/>
        <v>0.4548662871901063</v>
      </c>
      <c r="BM19">
        <f t="shared" si="41"/>
        <v>0.54513371280989364</v>
      </c>
      <c r="BN19">
        <v>34527</v>
      </c>
      <c r="BO19">
        <v>290.00000000000011</v>
      </c>
      <c r="BP19">
        <v>821.5</v>
      </c>
      <c r="BQ19">
        <v>285</v>
      </c>
      <c r="BR19">
        <v>7113.75</v>
      </c>
      <c r="BS19">
        <v>823.2</v>
      </c>
      <c r="BT19">
        <v>-1.7</v>
      </c>
      <c r="BU19">
        <v>300.00000000000011</v>
      </c>
      <c r="BV19">
        <v>38.200000000000003</v>
      </c>
      <c r="BW19">
        <v>901.94027474934774</v>
      </c>
      <c r="BX19">
        <v>1.233689666709463</v>
      </c>
      <c r="BY19">
        <v>-56.015431221228219</v>
      </c>
      <c r="BZ19">
        <v>0.73574619225354188</v>
      </c>
      <c r="CA19">
        <v>0.99519264858902445</v>
      </c>
      <c r="CB19">
        <v>-7.0130767519466118E-3</v>
      </c>
      <c r="CC19">
        <v>289.99999999999989</v>
      </c>
      <c r="CD19">
        <v>833.26</v>
      </c>
      <c r="CE19">
        <v>825</v>
      </c>
      <c r="CF19">
        <v>7107.78</v>
      </c>
      <c r="CG19">
        <v>823.13</v>
      </c>
      <c r="CH19">
        <v>10.130000000000001</v>
      </c>
      <c r="CV19">
        <f t="shared" si="42"/>
        <v>1799.91</v>
      </c>
      <c r="CW19">
        <f t="shared" si="43"/>
        <v>1513.1088002171509</v>
      </c>
      <c r="CX19">
        <f t="shared" si="44"/>
        <v>0.84065803302229047</v>
      </c>
      <c r="CY19">
        <f t="shared" si="45"/>
        <v>0.16087000373302066</v>
      </c>
      <c r="CZ19">
        <v>5</v>
      </c>
      <c r="DA19">
        <v>0.5</v>
      </c>
      <c r="DB19" t="s">
        <v>418</v>
      </c>
      <c r="DC19">
        <v>2</v>
      </c>
      <c r="DD19">
        <v>1700237598.5</v>
      </c>
      <c r="DE19">
        <v>1199.76</v>
      </c>
      <c r="DF19">
        <v>1249.9100000000001</v>
      </c>
      <c r="DG19">
        <v>25.924700000000001</v>
      </c>
      <c r="DH19">
        <v>24.225899999999999</v>
      </c>
      <c r="DI19">
        <v>1200.43</v>
      </c>
      <c r="DJ19">
        <v>25.582000000000001</v>
      </c>
      <c r="DK19">
        <v>500.09899999999999</v>
      </c>
      <c r="DL19">
        <v>98.825299999999999</v>
      </c>
      <c r="DM19">
        <v>9.9924399999999997E-2</v>
      </c>
      <c r="DN19">
        <v>28.739799999999999</v>
      </c>
      <c r="DO19">
        <v>30.033100000000001</v>
      </c>
      <c r="DP19">
        <v>999.9</v>
      </c>
      <c r="DQ19">
        <v>0</v>
      </c>
      <c r="DR19">
        <v>0</v>
      </c>
      <c r="DS19">
        <v>10001.9</v>
      </c>
      <c r="DT19">
        <v>0</v>
      </c>
      <c r="DU19">
        <v>668.70699999999999</v>
      </c>
      <c r="DV19">
        <v>-50.146000000000001</v>
      </c>
      <c r="DW19">
        <v>1231.69</v>
      </c>
      <c r="DX19">
        <v>1280.94</v>
      </c>
      <c r="DY19">
        <v>1.6987300000000001</v>
      </c>
      <c r="DZ19">
        <v>1249.9100000000001</v>
      </c>
      <c r="EA19">
        <v>24.225899999999999</v>
      </c>
      <c r="EB19">
        <v>2.5620099999999999</v>
      </c>
      <c r="EC19">
        <v>2.3941400000000002</v>
      </c>
      <c r="ED19">
        <v>21.425899999999999</v>
      </c>
      <c r="EE19">
        <v>20.324200000000001</v>
      </c>
      <c r="EF19">
        <v>1799.91</v>
      </c>
      <c r="EG19">
        <v>0.97800600000000004</v>
      </c>
      <c r="EH19">
        <v>2.1994300000000001E-2</v>
      </c>
      <c r="EI19">
        <v>0</v>
      </c>
      <c r="EJ19">
        <v>619.38599999999997</v>
      </c>
      <c r="EK19">
        <v>4.9996700000000001</v>
      </c>
      <c r="EL19">
        <v>11892.5</v>
      </c>
      <c r="EM19">
        <v>15046</v>
      </c>
      <c r="EN19">
        <v>49</v>
      </c>
      <c r="EO19">
        <v>50.375</v>
      </c>
      <c r="EP19">
        <v>49.811999999999998</v>
      </c>
      <c r="EQ19">
        <v>50</v>
      </c>
      <c r="ER19">
        <v>50.375</v>
      </c>
      <c r="ES19">
        <v>1755.43</v>
      </c>
      <c r="ET19">
        <v>39.479999999999997</v>
      </c>
      <c r="EU19">
        <v>0</v>
      </c>
      <c r="EV19">
        <v>237</v>
      </c>
      <c r="EW19">
        <v>0</v>
      </c>
      <c r="EX19">
        <v>619.47408000000007</v>
      </c>
      <c r="EY19">
        <v>-1.050230771393186</v>
      </c>
      <c r="EZ19">
        <v>83.423076907820018</v>
      </c>
      <c r="FA19">
        <v>11882.688</v>
      </c>
      <c r="FB19">
        <v>15</v>
      </c>
      <c r="FC19">
        <v>1700237497</v>
      </c>
      <c r="FD19" t="s">
        <v>433</v>
      </c>
      <c r="FE19">
        <v>1700237497</v>
      </c>
      <c r="FF19">
        <v>1700237486</v>
      </c>
      <c r="FG19">
        <v>6</v>
      </c>
      <c r="FH19">
        <v>-0.152</v>
      </c>
      <c r="FI19">
        <v>-0.01</v>
      </c>
      <c r="FJ19">
        <v>-0.72599999999999998</v>
      </c>
      <c r="FK19">
        <v>0.34300000000000003</v>
      </c>
      <c r="FL19">
        <v>1250</v>
      </c>
      <c r="FM19">
        <v>24</v>
      </c>
      <c r="FN19">
        <v>0.08</v>
      </c>
      <c r="FO19">
        <v>0.15</v>
      </c>
      <c r="FP19">
        <v>48.019692665863978</v>
      </c>
      <c r="FQ19">
        <v>0.65970599209795389</v>
      </c>
      <c r="FR19">
        <v>9.9708523480368905E-2</v>
      </c>
      <c r="FS19">
        <v>1</v>
      </c>
      <c r="FT19">
        <v>9.7178538862231739E-2</v>
      </c>
      <c r="FU19">
        <v>-1.504183582780632E-3</v>
      </c>
      <c r="FV19">
        <v>1.4257538163362079E-3</v>
      </c>
      <c r="FW19">
        <v>1</v>
      </c>
      <c r="FX19">
        <v>2</v>
      </c>
      <c r="FY19">
        <v>2</v>
      </c>
      <c r="FZ19" t="s">
        <v>420</v>
      </c>
      <c r="GA19">
        <v>3.0119600000000002</v>
      </c>
      <c r="GB19">
        <v>2.7770199999999998</v>
      </c>
      <c r="GC19">
        <v>0.187028</v>
      </c>
      <c r="GD19">
        <v>0.19266</v>
      </c>
      <c r="GE19">
        <v>0.119994</v>
      </c>
      <c r="GF19">
        <v>0.11573899999999999</v>
      </c>
      <c r="GG19">
        <v>19503.900000000001</v>
      </c>
      <c r="GH19">
        <v>20001.7</v>
      </c>
      <c r="GI19">
        <v>23761.3</v>
      </c>
      <c r="GJ19">
        <v>24436.5</v>
      </c>
      <c r="GK19">
        <v>30923</v>
      </c>
      <c r="GL19">
        <v>30978.5</v>
      </c>
      <c r="GM19">
        <v>38912.6</v>
      </c>
      <c r="GN19">
        <v>38909.300000000003</v>
      </c>
      <c r="GO19">
        <v>1.99813</v>
      </c>
      <c r="GP19">
        <v>1.8306500000000001</v>
      </c>
      <c r="GQ19">
        <v>0.11982</v>
      </c>
      <c r="GR19">
        <v>0</v>
      </c>
      <c r="GS19">
        <v>28.080200000000001</v>
      </c>
      <c r="GT19">
        <v>999.9</v>
      </c>
      <c r="GU19">
        <v>52.5</v>
      </c>
      <c r="GV19">
        <v>35</v>
      </c>
      <c r="GW19">
        <v>30.005800000000001</v>
      </c>
      <c r="GX19">
        <v>60.947499999999998</v>
      </c>
      <c r="GY19">
        <v>30.901399999999999</v>
      </c>
      <c r="GZ19">
        <v>1</v>
      </c>
      <c r="HA19">
        <v>0.59281200000000001</v>
      </c>
      <c r="HB19">
        <v>3.2794099999999999</v>
      </c>
      <c r="HC19">
        <v>20.297999999999998</v>
      </c>
      <c r="HD19">
        <v>5.24634</v>
      </c>
      <c r="HE19">
        <v>11.997999999999999</v>
      </c>
      <c r="HF19">
        <v>4.9637500000000001</v>
      </c>
      <c r="HG19">
        <v>3.3009499999999998</v>
      </c>
      <c r="HH19">
        <v>9999</v>
      </c>
      <c r="HI19">
        <v>9999</v>
      </c>
      <c r="HJ19">
        <v>9999</v>
      </c>
      <c r="HK19">
        <v>999.9</v>
      </c>
      <c r="HL19">
        <v>1.8751500000000001</v>
      </c>
      <c r="HM19">
        <v>1.88049</v>
      </c>
      <c r="HN19">
        <v>1.8805400000000001</v>
      </c>
      <c r="HO19">
        <v>1.87927</v>
      </c>
      <c r="HP19">
        <v>1.88168</v>
      </c>
      <c r="HQ19">
        <v>1.87754</v>
      </c>
      <c r="HR19">
        <v>1.87517</v>
      </c>
      <c r="HS19">
        <v>1.8825700000000001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-0.67</v>
      </c>
      <c r="IH19">
        <v>0.3427</v>
      </c>
      <c r="II19">
        <v>-0.15683675705063119</v>
      </c>
      <c r="IJ19">
        <v>7.0786345690369205E-4</v>
      </c>
      <c r="IK19">
        <v>-1.387476646623666E-6</v>
      </c>
      <c r="IL19">
        <v>3.6592443641472651E-10</v>
      </c>
      <c r="IM19">
        <v>0.34264000000000289</v>
      </c>
      <c r="IN19">
        <v>0</v>
      </c>
      <c r="IO19">
        <v>0</v>
      </c>
      <c r="IP19">
        <v>0</v>
      </c>
      <c r="IQ19">
        <v>2</v>
      </c>
      <c r="IR19">
        <v>2142</v>
      </c>
      <c r="IS19">
        <v>1</v>
      </c>
      <c r="IT19">
        <v>24</v>
      </c>
      <c r="IU19">
        <v>1.7</v>
      </c>
      <c r="IV19">
        <v>1.9</v>
      </c>
      <c r="IW19">
        <v>2.5671400000000002</v>
      </c>
      <c r="IX19">
        <v>2.6110799999999998</v>
      </c>
      <c r="IY19">
        <v>1.5490699999999999</v>
      </c>
      <c r="IZ19">
        <v>2.3706100000000001</v>
      </c>
      <c r="JA19">
        <v>1.5966800000000001</v>
      </c>
      <c r="JB19">
        <v>2.2656200000000002</v>
      </c>
      <c r="JC19">
        <v>40.732300000000002</v>
      </c>
      <c r="JD19">
        <v>24.008700000000001</v>
      </c>
      <c r="JE19">
        <v>18</v>
      </c>
      <c r="JF19">
        <v>512.08699999999999</v>
      </c>
      <c r="JG19">
        <v>470.75799999999998</v>
      </c>
      <c r="JH19">
        <v>25.284099999999999</v>
      </c>
      <c r="JI19">
        <v>34.426900000000003</v>
      </c>
      <c r="JJ19">
        <v>29.998999999999999</v>
      </c>
      <c r="JK19">
        <v>34.395400000000002</v>
      </c>
      <c r="JL19">
        <v>34.379600000000003</v>
      </c>
      <c r="JM19">
        <v>51.344799999999999</v>
      </c>
      <c r="JN19">
        <v>22.6007</v>
      </c>
      <c r="JO19">
        <v>56.963700000000003</v>
      </c>
      <c r="JP19">
        <v>25.285499999999999</v>
      </c>
      <c r="JQ19">
        <v>1250</v>
      </c>
      <c r="JR19">
        <v>24.333500000000001</v>
      </c>
      <c r="JS19">
        <v>98.550299999999993</v>
      </c>
      <c r="JT19">
        <v>99.394800000000004</v>
      </c>
    </row>
    <row r="20" spans="1:280" x14ac:dyDescent="0.25">
      <c r="A20">
        <v>4</v>
      </c>
      <c r="B20">
        <v>1700237803.5999999</v>
      </c>
      <c r="C20">
        <v>669.09999990463257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1700237803.5999999</v>
      </c>
      <c r="J20">
        <f t="shared" si="0"/>
        <v>2.1157979341864621E-3</v>
      </c>
      <c r="K20">
        <f t="shared" si="1"/>
        <v>2.1157979341864621</v>
      </c>
      <c r="L20">
        <f t="shared" si="2"/>
        <v>49.398001300236999</v>
      </c>
      <c r="M20">
        <f t="shared" si="3"/>
        <v>948.60299999999995</v>
      </c>
      <c r="N20">
        <f t="shared" si="4"/>
        <v>270.07193894051591</v>
      </c>
      <c r="O20">
        <f t="shared" si="5"/>
        <v>26.715832724308271</v>
      </c>
      <c r="P20">
        <f t="shared" si="6"/>
        <v>93.836920522715999</v>
      </c>
      <c r="Q20">
        <f t="shared" si="7"/>
        <v>0.12173671825256653</v>
      </c>
      <c r="R20">
        <f t="shared" si="8"/>
        <v>3.1210365019881006</v>
      </c>
      <c r="S20">
        <f t="shared" si="9"/>
        <v>0.11915899442178593</v>
      </c>
      <c r="T20">
        <f t="shared" si="10"/>
        <v>7.4701423661017965E-2</v>
      </c>
      <c r="U20">
        <f t="shared" si="11"/>
        <v>289.56908441907564</v>
      </c>
      <c r="V20">
        <f t="shared" si="12"/>
        <v>29.944560690244668</v>
      </c>
      <c r="W20">
        <f t="shared" si="13"/>
        <v>30.041499999999999</v>
      </c>
      <c r="X20">
        <f t="shared" si="14"/>
        <v>4.2706160722821656</v>
      </c>
      <c r="Y20">
        <f t="shared" si="15"/>
        <v>64.565073363494093</v>
      </c>
      <c r="Z20">
        <f t="shared" si="16"/>
        <v>2.5749378913944003</v>
      </c>
      <c r="AA20">
        <f t="shared" si="17"/>
        <v>3.9881281895209657</v>
      </c>
      <c r="AB20">
        <f t="shared" si="18"/>
        <v>1.6956781808877652</v>
      </c>
      <c r="AC20">
        <f t="shared" si="19"/>
        <v>-93.306688897622976</v>
      </c>
      <c r="AD20">
        <f t="shared" si="20"/>
        <v>-199.65888218762328</v>
      </c>
      <c r="AE20">
        <f t="shared" si="21"/>
        <v>-14.146717430016722</v>
      </c>
      <c r="AF20">
        <f t="shared" si="22"/>
        <v>-17.543204096187338</v>
      </c>
      <c r="AG20">
        <v>7</v>
      </c>
      <c r="AH20">
        <v>1</v>
      </c>
      <c r="AI20">
        <f t="shared" si="23"/>
        <v>1</v>
      </c>
      <c r="AJ20">
        <f t="shared" si="24"/>
        <v>0</v>
      </c>
      <c r="AK20">
        <f t="shared" si="25"/>
        <v>51926.371068683089</v>
      </c>
      <c r="AL20" t="s">
        <v>415</v>
      </c>
      <c r="AM20">
        <v>10238.9</v>
      </c>
      <c r="AN20">
        <v>302.21199999999999</v>
      </c>
      <c r="AO20">
        <v>4052.3</v>
      </c>
      <c r="AP20">
        <f t="shared" si="26"/>
        <v>0.92542210596451402</v>
      </c>
      <c r="AQ20">
        <v>-0.32343011824092421</v>
      </c>
      <c r="AR20" t="s">
        <v>436</v>
      </c>
      <c r="AS20">
        <v>7114.04</v>
      </c>
      <c r="AT20">
        <v>616.0163846153846</v>
      </c>
      <c r="AU20">
        <v>902.38247615840544</v>
      </c>
      <c r="AV20">
        <f t="shared" si="27"/>
        <v>0.31734447322395887</v>
      </c>
      <c r="AW20">
        <v>0.5</v>
      </c>
      <c r="AX20">
        <f t="shared" si="28"/>
        <v>1513.2012002171375</v>
      </c>
      <c r="AY20">
        <f t="shared" si="29"/>
        <v>49.398001300236999</v>
      </c>
      <c r="AZ20">
        <f t="shared" si="30"/>
        <v>240.1030188823849</v>
      </c>
      <c r="BA20">
        <f t="shared" si="31"/>
        <v>3.2858440378809584E-2</v>
      </c>
      <c r="BB20">
        <f t="shared" si="32"/>
        <v>3.4906678787151599</v>
      </c>
      <c r="BC20">
        <f t="shared" si="33"/>
        <v>239.78862765512744</v>
      </c>
      <c r="BD20" t="s">
        <v>437</v>
      </c>
      <c r="BE20">
        <v>453.7</v>
      </c>
      <c r="BF20">
        <f t="shared" si="34"/>
        <v>453.7</v>
      </c>
      <c r="BG20">
        <f t="shared" si="35"/>
        <v>0.49721984636550398</v>
      </c>
      <c r="BH20">
        <f t="shared" si="36"/>
        <v>0.63823774441754777</v>
      </c>
      <c r="BI20">
        <f t="shared" si="37"/>
        <v>0.87531749120257718</v>
      </c>
      <c r="BJ20">
        <f t="shared" si="38"/>
        <v>0.47714125055934786</v>
      </c>
      <c r="BK20">
        <f t="shared" si="39"/>
        <v>0.83995829533642796</v>
      </c>
      <c r="BL20">
        <f t="shared" si="40"/>
        <v>0.47006617335841822</v>
      </c>
      <c r="BM20">
        <f t="shared" si="41"/>
        <v>0.52993382664158184</v>
      </c>
      <c r="BN20">
        <v>34529</v>
      </c>
      <c r="BO20">
        <v>290.00000000000011</v>
      </c>
      <c r="BP20">
        <v>822.56</v>
      </c>
      <c r="BQ20">
        <v>295</v>
      </c>
      <c r="BR20">
        <v>7114.04</v>
      </c>
      <c r="BS20">
        <v>823.19</v>
      </c>
      <c r="BT20">
        <v>-0.63</v>
      </c>
      <c r="BU20">
        <v>300.00000000000011</v>
      </c>
      <c r="BV20">
        <v>38.200000000000003</v>
      </c>
      <c r="BW20">
        <v>902.38247615840544</v>
      </c>
      <c r="BX20">
        <v>1.614914129536543</v>
      </c>
      <c r="BY20">
        <v>-56.334912972221211</v>
      </c>
      <c r="BZ20">
        <v>0.96314089750427412</v>
      </c>
      <c r="CA20">
        <v>0.99188212260814823</v>
      </c>
      <c r="CB20">
        <v>-7.0132347052280324E-3</v>
      </c>
      <c r="CC20">
        <v>289.99999999999989</v>
      </c>
      <c r="CD20">
        <v>834.21</v>
      </c>
      <c r="CE20">
        <v>895</v>
      </c>
      <c r="CF20">
        <v>7107.38</v>
      </c>
      <c r="CG20">
        <v>823.12</v>
      </c>
      <c r="CH20">
        <v>11.09</v>
      </c>
      <c r="CV20">
        <f t="shared" si="42"/>
        <v>1800.02</v>
      </c>
      <c r="CW20">
        <f t="shared" si="43"/>
        <v>1513.2012002171375</v>
      </c>
      <c r="CX20">
        <f t="shared" si="44"/>
        <v>0.84065799280960074</v>
      </c>
      <c r="CY20">
        <f t="shared" si="45"/>
        <v>0.16086992612252954</v>
      </c>
      <c r="CZ20">
        <v>5</v>
      </c>
      <c r="DA20">
        <v>0.5</v>
      </c>
      <c r="DB20" t="s">
        <v>418</v>
      </c>
      <c r="DC20">
        <v>2</v>
      </c>
      <c r="DD20">
        <v>1700237803.5999999</v>
      </c>
      <c r="DE20">
        <v>948.60299999999995</v>
      </c>
      <c r="DF20">
        <v>999.995</v>
      </c>
      <c r="DG20">
        <v>26.030200000000001</v>
      </c>
      <c r="DH20">
        <v>23.97</v>
      </c>
      <c r="DI20">
        <v>948.79899999999998</v>
      </c>
      <c r="DJ20">
        <v>25.690100000000001</v>
      </c>
      <c r="DK20">
        <v>500.12700000000001</v>
      </c>
      <c r="DL20">
        <v>98.820899999999995</v>
      </c>
      <c r="DM20">
        <v>0.100272</v>
      </c>
      <c r="DN20">
        <v>28.854900000000001</v>
      </c>
      <c r="DO20">
        <v>30.041499999999999</v>
      </c>
      <c r="DP20">
        <v>999.9</v>
      </c>
      <c r="DQ20">
        <v>0</v>
      </c>
      <c r="DR20">
        <v>0</v>
      </c>
      <c r="DS20">
        <v>9998.75</v>
      </c>
      <c r="DT20">
        <v>0</v>
      </c>
      <c r="DU20">
        <v>713.072</v>
      </c>
      <c r="DV20">
        <v>-51.392499999999998</v>
      </c>
      <c r="DW20">
        <v>973.95500000000004</v>
      </c>
      <c r="DX20">
        <v>1024.55</v>
      </c>
      <c r="DY20">
        <v>2.0601500000000001</v>
      </c>
      <c r="DZ20">
        <v>999.995</v>
      </c>
      <c r="EA20">
        <v>23.97</v>
      </c>
      <c r="EB20">
        <v>2.57233</v>
      </c>
      <c r="EC20">
        <v>2.3687399999999998</v>
      </c>
      <c r="ED20">
        <v>21.491499999999998</v>
      </c>
      <c r="EE20">
        <v>20.151599999999998</v>
      </c>
      <c r="EF20">
        <v>1800.02</v>
      </c>
      <c r="EG20">
        <v>0.97800600000000004</v>
      </c>
      <c r="EH20">
        <v>2.1994300000000001E-2</v>
      </c>
      <c r="EI20">
        <v>0</v>
      </c>
      <c r="EJ20">
        <v>615.83299999999997</v>
      </c>
      <c r="EK20">
        <v>4.9996700000000001</v>
      </c>
      <c r="EL20">
        <v>12290.3</v>
      </c>
      <c r="EM20">
        <v>15047</v>
      </c>
      <c r="EN20">
        <v>49</v>
      </c>
      <c r="EO20">
        <v>50.375</v>
      </c>
      <c r="EP20">
        <v>49.811999999999998</v>
      </c>
      <c r="EQ20">
        <v>50</v>
      </c>
      <c r="ER20">
        <v>50.311999999999998</v>
      </c>
      <c r="ES20">
        <v>1755.54</v>
      </c>
      <c r="ET20">
        <v>39.479999999999997</v>
      </c>
      <c r="EU20">
        <v>0</v>
      </c>
      <c r="EV20">
        <v>203</v>
      </c>
      <c r="EW20">
        <v>0</v>
      </c>
      <c r="EX20">
        <v>616.0163846153846</v>
      </c>
      <c r="EY20">
        <v>-0.1742905914221915</v>
      </c>
      <c r="EZ20">
        <v>123.98974368465009</v>
      </c>
      <c r="FA20">
        <v>12275.72692307692</v>
      </c>
      <c r="FB20">
        <v>15</v>
      </c>
      <c r="FC20">
        <v>1700237676</v>
      </c>
      <c r="FD20" t="s">
        <v>438</v>
      </c>
      <c r="FE20">
        <v>1700237676</v>
      </c>
      <c r="FF20">
        <v>1700237673.5</v>
      </c>
      <c r="FG20">
        <v>7</v>
      </c>
      <c r="FH20">
        <v>0.22600000000000001</v>
      </c>
      <c r="FI20">
        <v>-3.0000000000000001E-3</v>
      </c>
      <c r="FJ20">
        <v>-0.245</v>
      </c>
      <c r="FK20">
        <v>0.34</v>
      </c>
      <c r="FL20">
        <v>1000</v>
      </c>
      <c r="FM20">
        <v>24</v>
      </c>
      <c r="FN20">
        <v>0.09</v>
      </c>
      <c r="FO20">
        <v>0.06</v>
      </c>
      <c r="FP20">
        <v>49.056867829396133</v>
      </c>
      <c r="FQ20">
        <v>0.45629677932490031</v>
      </c>
      <c r="FR20">
        <v>0.10453902259572111</v>
      </c>
      <c r="FS20">
        <v>1</v>
      </c>
      <c r="FT20">
        <v>0.1277522544075779</v>
      </c>
      <c r="FU20">
        <v>-2.2999944042005081E-2</v>
      </c>
      <c r="FV20">
        <v>1.923431076422253E-3</v>
      </c>
      <c r="FW20">
        <v>1</v>
      </c>
      <c r="FX20">
        <v>2</v>
      </c>
      <c r="FY20">
        <v>2</v>
      </c>
      <c r="FZ20" t="s">
        <v>420</v>
      </c>
      <c r="GA20">
        <v>3.0120499999999999</v>
      </c>
      <c r="GB20">
        <v>2.7773500000000002</v>
      </c>
      <c r="GC20">
        <v>0.16117500000000001</v>
      </c>
      <c r="GD20">
        <v>0.16753499999999999</v>
      </c>
      <c r="GE20">
        <v>0.120328</v>
      </c>
      <c r="GF20">
        <v>0.11487600000000001</v>
      </c>
      <c r="GG20">
        <v>20124.599999999999</v>
      </c>
      <c r="GH20">
        <v>20625</v>
      </c>
      <c r="GI20">
        <v>23760.5</v>
      </c>
      <c r="GJ20">
        <v>24436.2</v>
      </c>
      <c r="GK20">
        <v>30910.7</v>
      </c>
      <c r="GL20">
        <v>31008.1</v>
      </c>
      <c r="GM20">
        <v>38911.599999999999</v>
      </c>
      <c r="GN20">
        <v>38908.199999999997</v>
      </c>
      <c r="GO20">
        <v>1.9994000000000001</v>
      </c>
      <c r="GP20">
        <v>1.8264199999999999</v>
      </c>
      <c r="GQ20">
        <v>0.110306</v>
      </c>
      <c r="GR20">
        <v>0</v>
      </c>
      <c r="GS20">
        <v>28.2439</v>
      </c>
      <c r="GT20">
        <v>999.9</v>
      </c>
      <c r="GU20">
        <v>51.7</v>
      </c>
      <c r="GV20">
        <v>35.299999999999997</v>
      </c>
      <c r="GW20">
        <v>30.046399999999998</v>
      </c>
      <c r="GX20">
        <v>61.0139</v>
      </c>
      <c r="GY20">
        <v>30.877400000000002</v>
      </c>
      <c r="GZ20">
        <v>1</v>
      </c>
      <c r="HA20">
        <v>0.59744699999999995</v>
      </c>
      <c r="HB20">
        <v>3.5150199999999998</v>
      </c>
      <c r="HC20">
        <v>20.292300000000001</v>
      </c>
      <c r="HD20">
        <v>5.24634</v>
      </c>
      <c r="HE20">
        <v>11.997999999999999</v>
      </c>
      <c r="HF20">
        <v>4.9636500000000003</v>
      </c>
      <c r="HG20">
        <v>3.3009499999999998</v>
      </c>
      <c r="HH20">
        <v>9999</v>
      </c>
      <c r="HI20">
        <v>9999</v>
      </c>
      <c r="HJ20">
        <v>9999</v>
      </c>
      <c r="HK20">
        <v>999.9</v>
      </c>
      <c r="HL20">
        <v>1.8751500000000001</v>
      </c>
      <c r="HM20">
        <v>1.8804799999999999</v>
      </c>
      <c r="HN20">
        <v>1.8805099999999999</v>
      </c>
      <c r="HO20">
        <v>1.87927</v>
      </c>
      <c r="HP20">
        <v>1.8816900000000001</v>
      </c>
      <c r="HQ20">
        <v>1.8774900000000001</v>
      </c>
      <c r="HR20">
        <v>1.87521</v>
      </c>
      <c r="HS20">
        <v>1.88253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-0.19600000000000001</v>
      </c>
      <c r="IH20">
        <v>0.34010000000000001</v>
      </c>
      <c r="II20">
        <v>6.9183187898300358E-2</v>
      </c>
      <c r="IJ20">
        <v>7.0786345690369205E-4</v>
      </c>
      <c r="IK20">
        <v>-1.387476646623666E-6</v>
      </c>
      <c r="IL20">
        <v>3.6592443641472651E-10</v>
      </c>
      <c r="IM20">
        <v>0.34006666666666868</v>
      </c>
      <c r="IN20">
        <v>0</v>
      </c>
      <c r="IO20">
        <v>0</v>
      </c>
      <c r="IP20">
        <v>0</v>
      </c>
      <c r="IQ20">
        <v>2</v>
      </c>
      <c r="IR20">
        <v>2142</v>
      </c>
      <c r="IS20">
        <v>1</v>
      </c>
      <c r="IT20">
        <v>24</v>
      </c>
      <c r="IU20">
        <v>2.1</v>
      </c>
      <c r="IV20">
        <v>2.2000000000000002</v>
      </c>
      <c r="IW20">
        <v>2.1398899999999998</v>
      </c>
      <c r="IX20">
        <v>2.6171899999999999</v>
      </c>
      <c r="IY20">
        <v>1.5490699999999999</v>
      </c>
      <c r="IZ20">
        <v>2.3706100000000001</v>
      </c>
      <c r="JA20">
        <v>1.5966800000000001</v>
      </c>
      <c r="JB20">
        <v>2.3718300000000001</v>
      </c>
      <c r="JC20">
        <v>40.938000000000002</v>
      </c>
      <c r="JD20">
        <v>24.026199999999999</v>
      </c>
      <c r="JE20">
        <v>18</v>
      </c>
      <c r="JF20">
        <v>513.24400000000003</v>
      </c>
      <c r="JG20">
        <v>468.31799999999998</v>
      </c>
      <c r="JH20">
        <v>25.4481</v>
      </c>
      <c r="JI20">
        <v>34.459000000000003</v>
      </c>
      <c r="JJ20">
        <v>30.000399999999999</v>
      </c>
      <c r="JK20">
        <v>34.439300000000003</v>
      </c>
      <c r="JL20">
        <v>34.428100000000001</v>
      </c>
      <c r="JM20">
        <v>42.788699999999999</v>
      </c>
      <c r="JN20">
        <v>23.7544</v>
      </c>
      <c r="JO20">
        <v>55.801000000000002</v>
      </c>
      <c r="JP20">
        <v>25.450299999999999</v>
      </c>
      <c r="JQ20">
        <v>1000</v>
      </c>
      <c r="JR20">
        <v>24.0337</v>
      </c>
      <c r="JS20">
        <v>98.547499999999999</v>
      </c>
      <c r="JT20">
        <v>99.392700000000005</v>
      </c>
    </row>
    <row r="21" spans="1:280" x14ac:dyDescent="0.25">
      <c r="A21">
        <v>5</v>
      </c>
      <c r="B21">
        <v>1700238039.0999999</v>
      </c>
      <c r="C21">
        <v>904.59999990463257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1700238039.0999999</v>
      </c>
      <c r="J21">
        <f t="shared" si="0"/>
        <v>3.0255974856306629E-3</v>
      </c>
      <c r="K21">
        <f t="shared" si="1"/>
        <v>3.0255974856306631</v>
      </c>
      <c r="L21">
        <f t="shared" si="2"/>
        <v>49.639610612324937</v>
      </c>
      <c r="M21">
        <f t="shared" si="3"/>
        <v>698.35599999999999</v>
      </c>
      <c r="N21">
        <f t="shared" si="4"/>
        <v>229.4245586905833</v>
      </c>
      <c r="O21">
        <f t="shared" si="5"/>
        <v>22.695824239041393</v>
      </c>
      <c r="P21">
        <f t="shared" si="6"/>
        <v>69.084866601643995</v>
      </c>
      <c r="Q21">
        <f t="shared" si="7"/>
        <v>0.17890799546668032</v>
      </c>
      <c r="R21">
        <f t="shared" si="8"/>
        <v>3.1149846839965374</v>
      </c>
      <c r="S21">
        <f t="shared" si="9"/>
        <v>0.17338924042177686</v>
      </c>
      <c r="T21">
        <f t="shared" si="10"/>
        <v>0.10884993280167063</v>
      </c>
      <c r="U21">
        <f t="shared" si="11"/>
        <v>289.56531341897414</v>
      </c>
      <c r="V21">
        <f t="shared" si="12"/>
        <v>29.89035712807711</v>
      </c>
      <c r="W21">
        <f t="shared" si="13"/>
        <v>30.0563</v>
      </c>
      <c r="X21">
        <f t="shared" si="14"/>
        <v>4.2742467549322294</v>
      </c>
      <c r="Y21">
        <f t="shared" si="15"/>
        <v>64.766479835954812</v>
      </c>
      <c r="Z21">
        <f t="shared" si="16"/>
        <v>2.6080784586357999</v>
      </c>
      <c r="AA21">
        <f t="shared" si="17"/>
        <v>4.0268954947709501</v>
      </c>
      <c r="AB21">
        <f t="shared" si="18"/>
        <v>1.6661682962964295</v>
      </c>
      <c r="AC21">
        <f t="shared" si="19"/>
        <v>-133.42884911631225</v>
      </c>
      <c r="AD21">
        <f t="shared" si="20"/>
        <v>-173.69522664554987</v>
      </c>
      <c r="AE21">
        <f t="shared" si="21"/>
        <v>-12.342103725830924</v>
      </c>
      <c r="AF21">
        <f t="shared" si="22"/>
        <v>-29.900866068718926</v>
      </c>
      <c r="AG21">
        <v>6</v>
      </c>
      <c r="AH21">
        <v>1</v>
      </c>
      <c r="AI21">
        <f t="shared" si="23"/>
        <v>1</v>
      </c>
      <c r="AJ21">
        <f t="shared" si="24"/>
        <v>0</v>
      </c>
      <c r="AK21">
        <f t="shared" si="25"/>
        <v>51744.089380589001</v>
      </c>
      <c r="AL21" t="s">
        <v>415</v>
      </c>
      <c r="AM21">
        <v>10238.9</v>
      </c>
      <c r="AN21">
        <v>302.21199999999999</v>
      </c>
      <c r="AO21">
        <v>4052.3</v>
      </c>
      <c r="AP21">
        <f t="shared" si="26"/>
        <v>0.92542210596451402</v>
      </c>
      <c r="AQ21">
        <v>-0.32343011824092421</v>
      </c>
      <c r="AR21" t="s">
        <v>441</v>
      </c>
      <c r="AS21">
        <v>7112.9</v>
      </c>
      <c r="AT21">
        <v>615.57888000000003</v>
      </c>
      <c r="AU21">
        <v>902.24779736693665</v>
      </c>
      <c r="AV21">
        <f t="shared" si="27"/>
        <v>0.31772747819782232</v>
      </c>
      <c r="AW21">
        <v>0.5</v>
      </c>
      <c r="AX21">
        <f t="shared" si="28"/>
        <v>1513.184100217085</v>
      </c>
      <c r="AY21">
        <f t="shared" si="29"/>
        <v>49.639610612324937</v>
      </c>
      <c r="AZ21">
        <f t="shared" si="30"/>
        <v>240.39008410550761</v>
      </c>
      <c r="BA21">
        <f t="shared" si="31"/>
        <v>3.3018481177140339E-2</v>
      </c>
      <c r="BB21">
        <f t="shared" si="32"/>
        <v>3.4913382020172046</v>
      </c>
      <c r="BC21">
        <f t="shared" si="33"/>
        <v>239.77911673213265</v>
      </c>
      <c r="BD21" t="s">
        <v>442</v>
      </c>
      <c r="BE21">
        <v>451.71</v>
      </c>
      <c r="BF21">
        <f t="shared" si="34"/>
        <v>451.71</v>
      </c>
      <c r="BG21">
        <f t="shared" si="35"/>
        <v>0.49935039872832931</v>
      </c>
      <c r="BH21">
        <f t="shared" si="36"/>
        <v>0.63628161508824876</v>
      </c>
      <c r="BI21">
        <f t="shared" si="37"/>
        <v>0.87487111907578019</v>
      </c>
      <c r="BJ21">
        <f t="shared" si="38"/>
        <v>0.47775302511098605</v>
      </c>
      <c r="BK21">
        <f t="shared" si="39"/>
        <v>0.83999420883804954</v>
      </c>
      <c r="BL21">
        <f t="shared" si="40"/>
        <v>0.46690160707188794</v>
      </c>
      <c r="BM21">
        <f t="shared" si="41"/>
        <v>0.53309839292811212</v>
      </c>
      <c r="BN21">
        <v>34531</v>
      </c>
      <c r="BO21">
        <v>290.00000000000011</v>
      </c>
      <c r="BP21">
        <v>820.45</v>
      </c>
      <c r="BQ21">
        <v>295</v>
      </c>
      <c r="BR21">
        <v>7112.9</v>
      </c>
      <c r="BS21">
        <v>822.27</v>
      </c>
      <c r="BT21">
        <v>-1.82</v>
      </c>
      <c r="BU21">
        <v>300.00000000000011</v>
      </c>
      <c r="BV21">
        <v>38.299999999999997</v>
      </c>
      <c r="BW21">
        <v>902.24779736693665</v>
      </c>
      <c r="BX21">
        <v>1.617993238328022</v>
      </c>
      <c r="BY21">
        <v>-56.884219171025563</v>
      </c>
      <c r="BZ21">
        <v>0.96481734981134937</v>
      </c>
      <c r="CA21">
        <v>0.99200938111239034</v>
      </c>
      <c r="CB21">
        <v>-7.0122671857619544E-3</v>
      </c>
      <c r="CC21">
        <v>289.99999999999989</v>
      </c>
      <c r="CD21">
        <v>832.64</v>
      </c>
      <c r="CE21">
        <v>895</v>
      </c>
      <c r="CF21">
        <v>7106.16</v>
      </c>
      <c r="CG21">
        <v>822.2</v>
      </c>
      <c r="CH21">
        <v>10.44</v>
      </c>
      <c r="CV21">
        <f t="shared" si="42"/>
        <v>1800</v>
      </c>
      <c r="CW21">
        <f t="shared" si="43"/>
        <v>1513.184100217085</v>
      </c>
      <c r="CX21">
        <f t="shared" si="44"/>
        <v>0.84065783345393608</v>
      </c>
      <c r="CY21">
        <f t="shared" si="45"/>
        <v>0.16086961856609674</v>
      </c>
      <c r="CZ21">
        <v>5</v>
      </c>
      <c r="DA21">
        <v>0.5</v>
      </c>
      <c r="DB21" t="s">
        <v>418</v>
      </c>
      <c r="DC21">
        <v>2</v>
      </c>
      <c r="DD21">
        <v>1700238039.0999999</v>
      </c>
      <c r="DE21">
        <v>698.35599999999999</v>
      </c>
      <c r="DF21">
        <v>750.101</v>
      </c>
      <c r="DG21">
        <v>26.3642</v>
      </c>
      <c r="DH21">
        <v>23.418800000000001</v>
      </c>
      <c r="DI21">
        <v>698.69100000000003</v>
      </c>
      <c r="DJ21">
        <v>25.9588</v>
      </c>
      <c r="DK21">
        <v>500.07299999999998</v>
      </c>
      <c r="DL21">
        <v>98.8249</v>
      </c>
      <c r="DM21">
        <v>0.10009899999999999</v>
      </c>
      <c r="DN21">
        <v>29.021999999999998</v>
      </c>
      <c r="DO21">
        <v>30.0563</v>
      </c>
      <c r="DP21">
        <v>999.9</v>
      </c>
      <c r="DQ21">
        <v>0</v>
      </c>
      <c r="DR21">
        <v>0</v>
      </c>
      <c r="DS21">
        <v>9967.5</v>
      </c>
      <c r="DT21">
        <v>0</v>
      </c>
      <c r="DU21">
        <v>717.79600000000005</v>
      </c>
      <c r="DV21">
        <v>-51.745699999999999</v>
      </c>
      <c r="DW21">
        <v>717.26599999999996</v>
      </c>
      <c r="DX21">
        <v>768.08900000000006</v>
      </c>
      <c r="DY21">
        <v>2.94543</v>
      </c>
      <c r="DZ21">
        <v>750.101</v>
      </c>
      <c r="EA21">
        <v>23.418800000000001</v>
      </c>
      <c r="EB21">
        <v>2.6054400000000002</v>
      </c>
      <c r="EC21">
        <v>2.3143600000000002</v>
      </c>
      <c r="ED21">
        <v>21.700600000000001</v>
      </c>
      <c r="EE21">
        <v>19.776700000000002</v>
      </c>
      <c r="EF21">
        <v>1800</v>
      </c>
      <c r="EG21">
        <v>0.97800900000000002</v>
      </c>
      <c r="EH21">
        <v>2.1990900000000001E-2</v>
      </c>
      <c r="EI21">
        <v>0</v>
      </c>
      <c r="EJ21">
        <v>615.375</v>
      </c>
      <c r="EK21">
        <v>4.9996700000000001</v>
      </c>
      <c r="EL21">
        <v>12387.6</v>
      </c>
      <c r="EM21">
        <v>15046.9</v>
      </c>
      <c r="EN21">
        <v>49.25</v>
      </c>
      <c r="EO21">
        <v>50.625</v>
      </c>
      <c r="EP21">
        <v>50</v>
      </c>
      <c r="EQ21">
        <v>50.311999999999998</v>
      </c>
      <c r="ER21">
        <v>50.561999999999998</v>
      </c>
      <c r="ES21">
        <v>1755.53</v>
      </c>
      <c r="ET21">
        <v>39.47</v>
      </c>
      <c r="EU21">
        <v>0</v>
      </c>
      <c r="EV21">
        <v>233.60000014305109</v>
      </c>
      <c r="EW21">
        <v>0</v>
      </c>
      <c r="EX21">
        <v>615.57888000000003</v>
      </c>
      <c r="EY21">
        <v>-0.16953847275621631</v>
      </c>
      <c r="EZ21">
        <v>-66.330768958925987</v>
      </c>
      <c r="FA21">
        <v>12394.008</v>
      </c>
      <c r="FB21">
        <v>15</v>
      </c>
      <c r="FC21">
        <v>1700237876.5999999</v>
      </c>
      <c r="FD21" t="s">
        <v>443</v>
      </c>
      <c r="FE21">
        <v>1700237876.5999999</v>
      </c>
      <c r="FF21">
        <v>1700237870.5999999</v>
      </c>
      <c r="FG21">
        <v>8</v>
      </c>
      <c r="FH21">
        <v>-0.34599999999999997</v>
      </c>
      <c r="FI21">
        <v>-4.0000000000000001E-3</v>
      </c>
      <c r="FJ21">
        <v>-0.372</v>
      </c>
      <c r="FK21">
        <v>0.33200000000000002</v>
      </c>
      <c r="FL21">
        <v>750</v>
      </c>
      <c r="FM21">
        <v>24</v>
      </c>
      <c r="FN21">
        <v>0.06</v>
      </c>
      <c r="FO21">
        <v>0.03</v>
      </c>
      <c r="FP21">
        <v>49.526979359890532</v>
      </c>
      <c r="FQ21">
        <v>0.64189259065835247</v>
      </c>
      <c r="FR21">
        <v>6.9399132730749338E-2</v>
      </c>
      <c r="FS21">
        <v>1</v>
      </c>
      <c r="FT21">
        <v>0.17438906731442699</v>
      </c>
      <c r="FU21">
        <v>2.6088925007009219E-2</v>
      </c>
      <c r="FV21">
        <v>2.325599845467118E-3</v>
      </c>
      <c r="FW21">
        <v>1</v>
      </c>
      <c r="FX21">
        <v>2</v>
      </c>
      <c r="FY21">
        <v>2</v>
      </c>
      <c r="FZ21" t="s">
        <v>420</v>
      </c>
      <c r="GA21">
        <v>3.0120399999999998</v>
      </c>
      <c r="GB21">
        <v>2.7768999999999999</v>
      </c>
      <c r="GC21">
        <v>0.13151399999999999</v>
      </c>
      <c r="GD21">
        <v>0.13873099999999999</v>
      </c>
      <c r="GE21">
        <v>0.12116399999999999</v>
      </c>
      <c r="GF21">
        <v>0.113011</v>
      </c>
      <c r="GG21">
        <v>20830</v>
      </c>
      <c r="GH21">
        <v>21332.7</v>
      </c>
      <c r="GI21">
        <v>23753.200000000001</v>
      </c>
      <c r="GJ21">
        <v>24428.9</v>
      </c>
      <c r="GK21">
        <v>30873.200000000001</v>
      </c>
      <c r="GL21">
        <v>31065.5</v>
      </c>
      <c r="GM21">
        <v>38900.5</v>
      </c>
      <c r="GN21">
        <v>38897.599999999999</v>
      </c>
      <c r="GO21">
        <v>1.9986699999999999</v>
      </c>
      <c r="GP21">
        <v>1.8187199999999999</v>
      </c>
      <c r="GQ21">
        <v>9.2320100000000002E-2</v>
      </c>
      <c r="GR21">
        <v>0</v>
      </c>
      <c r="GS21">
        <v>28.552199999999999</v>
      </c>
      <c r="GT21">
        <v>999.9</v>
      </c>
      <c r="GU21">
        <v>50.7</v>
      </c>
      <c r="GV21">
        <v>35.700000000000003</v>
      </c>
      <c r="GW21">
        <v>30.1219</v>
      </c>
      <c r="GX21">
        <v>61.143900000000002</v>
      </c>
      <c r="GY21">
        <v>30.3566</v>
      </c>
      <c r="GZ21">
        <v>1</v>
      </c>
      <c r="HA21">
        <v>0.61321599999999998</v>
      </c>
      <c r="HB21">
        <v>3.6169099999999998</v>
      </c>
      <c r="HC21">
        <v>20.289400000000001</v>
      </c>
      <c r="HD21">
        <v>5.2424499999999998</v>
      </c>
      <c r="HE21">
        <v>11.997999999999999</v>
      </c>
      <c r="HF21">
        <v>4.9629500000000002</v>
      </c>
      <c r="HG21">
        <v>3.3002799999999999</v>
      </c>
      <c r="HH21">
        <v>9999</v>
      </c>
      <c r="HI21">
        <v>9999</v>
      </c>
      <c r="HJ21">
        <v>9999</v>
      </c>
      <c r="HK21">
        <v>999.9</v>
      </c>
      <c r="HL21">
        <v>1.8751500000000001</v>
      </c>
      <c r="HM21">
        <v>1.8804700000000001</v>
      </c>
      <c r="HN21">
        <v>1.8805499999999999</v>
      </c>
      <c r="HO21">
        <v>1.8792599999999999</v>
      </c>
      <c r="HP21">
        <v>1.88164</v>
      </c>
      <c r="HQ21">
        <v>1.8774900000000001</v>
      </c>
      <c r="HR21">
        <v>1.8751800000000001</v>
      </c>
      <c r="HS21">
        <v>1.8825000000000001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-0.33500000000000002</v>
      </c>
      <c r="IH21">
        <v>0.40539999999999998</v>
      </c>
      <c r="II21">
        <v>-0.27696277553958021</v>
      </c>
      <c r="IJ21">
        <v>7.0786345690369205E-4</v>
      </c>
      <c r="IK21">
        <v>-1.387476646623666E-6</v>
      </c>
      <c r="IL21">
        <v>3.6592443641472651E-10</v>
      </c>
      <c r="IM21">
        <v>-8.7541298560832773E-2</v>
      </c>
      <c r="IN21">
        <v>-1.92785045113246E-3</v>
      </c>
      <c r="IO21">
        <v>9.94469593919068E-4</v>
      </c>
      <c r="IP21">
        <v>-7.2714521965658074E-6</v>
      </c>
      <c r="IQ21">
        <v>2</v>
      </c>
      <c r="IR21">
        <v>2142</v>
      </c>
      <c r="IS21">
        <v>1</v>
      </c>
      <c r="IT21">
        <v>24</v>
      </c>
      <c r="IU21">
        <v>2.7</v>
      </c>
      <c r="IV21">
        <v>2.8</v>
      </c>
      <c r="IW21">
        <v>1.6906699999999999</v>
      </c>
      <c r="IX21">
        <v>2.6147499999999999</v>
      </c>
      <c r="IY21">
        <v>1.5490699999999999</v>
      </c>
      <c r="IZ21">
        <v>2.3706100000000001</v>
      </c>
      <c r="JA21">
        <v>1.5966800000000001</v>
      </c>
      <c r="JB21">
        <v>2.34497</v>
      </c>
      <c r="JC21">
        <v>41.3001</v>
      </c>
      <c r="JD21">
        <v>24.017499999999998</v>
      </c>
      <c r="JE21">
        <v>18</v>
      </c>
      <c r="JF21">
        <v>513.91899999999998</v>
      </c>
      <c r="JG21">
        <v>464.28500000000003</v>
      </c>
      <c r="JH21">
        <v>25.396699999999999</v>
      </c>
      <c r="JI21">
        <v>34.637599999999999</v>
      </c>
      <c r="JJ21">
        <v>29.999500000000001</v>
      </c>
      <c r="JK21">
        <v>34.587000000000003</v>
      </c>
      <c r="JL21">
        <v>34.569499999999998</v>
      </c>
      <c r="JM21">
        <v>33.815899999999999</v>
      </c>
      <c r="JN21">
        <v>25.278099999999998</v>
      </c>
      <c r="JO21">
        <v>52.8003</v>
      </c>
      <c r="JP21">
        <v>25.388200000000001</v>
      </c>
      <c r="JQ21">
        <v>750</v>
      </c>
      <c r="JR21">
        <v>23.4678</v>
      </c>
      <c r="JS21">
        <v>98.518699999999995</v>
      </c>
      <c r="JT21">
        <v>99.364599999999996</v>
      </c>
    </row>
    <row r="22" spans="1:280" x14ac:dyDescent="0.25">
      <c r="A22">
        <v>6</v>
      </c>
      <c r="B22">
        <v>1700238209.5999999</v>
      </c>
      <c r="C22">
        <v>1075.099999904633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1700238209.5999999</v>
      </c>
      <c r="J22">
        <f t="shared" si="0"/>
        <v>3.4383455012533485E-3</v>
      </c>
      <c r="K22">
        <f t="shared" si="1"/>
        <v>3.4383455012533486</v>
      </c>
      <c r="L22">
        <f t="shared" si="2"/>
        <v>46.805579133504523</v>
      </c>
      <c r="M22">
        <f t="shared" si="3"/>
        <v>551.29899999999998</v>
      </c>
      <c r="N22">
        <f t="shared" si="4"/>
        <v>174.43448242324052</v>
      </c>
      <c r="O22">
        <f t="shared" si="5"/>
        <v>17.257892166170471</v>
      </c>
      <c r="P22">
        <f t="shared" si="6"/>
        <v>54.543451278357992</v>
      </c>
      <c r="Q22">
        <f t="shared" si="7"/>
        <v>0.21055419113277352</v>
      </c>
      <c r="R22">
        <f t="shared" si="8"/>
        <v>3.1159389245683342</v>
      </c>
      <c r="S22">
        <f t="shared" si="9"/>
        <v>0.20295724764845274</v>
      </c>
      <c r="T22">
        <f t="shared" si="10"/>
        <v>0.12750799854994707</v>
      </c>
      <c r="U22">
        <f t="shared" si="11"/>
        <v>289.59795341935444</v>
      </c>
      <c r="V22">
        <f t="shared" si="12"/>
        <v>29.669347461703172</v>
      </c>
      <c r="W22">
        <f t="shared" si="13"/>
        <v>29.846499999999999</v>
      </c>
      <c r="X22">
        <f t="shared" si="14"/>
        <v>4.2230297615956633</v>
      </c>
      <c r="Y22">
        <f t="shared" si="15"/>
        <v>65.134258101973842</v>
      </c>
      <c r="Z22">
        <f t="shared" si="16"/>
        <v>2.6047636985033997</v>
      </c>
      <c r="AA22">
        <f t="shared" si="17"/>
        <v>3.9990686535884019</v>
      </c>
      <c r="AB22">
        <f t="shared" si="18"/>
        <v>1.6182660630922636</v>
      </c>
      <c r="AC22">
        <f t="shared" si="19"/>
        <v>-151.63103660527267</v>
      </c>
      <c r="AD22">
        <f t="shared" si="20"/>
        <v>-158.6296512902438</v>
      </c>
      <c r="AE22">
        <f t="shared" si="21"/>
        <v>-11.24974149771556</v>
      </c>
      <c r="AF22">
        <f t="shared" si="22"/>
        <v>-31.912475973877577</v>
      </c>
      <c r="AG22">
        <v>6</v>
      </c>
      <c r="AH22">
        <v>1</v>
      </c>
      <c r="AI22">
        <f t="shared" si="23"/>
        <v>1</v>
      </c>
      <c r="AJ22">
        <f t="shared" si="24"/>
        <v>0</v>
      </c>
      <c r="AK22">
        <f t="shared" si="25"/>
        <v>51789.079500292821</v>
      </c>
      <c r="AL22" t="s">
        <v>446</v>
      </c>
      <c r="AM22" t="s">
        <v>446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446</v>
      </c>
      <c r="AS22" t="s">
        <v>446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1513.344900217282</v>
      </c>
      <c r="AY22">
        <f t="shared" si="29"/>
        <v>46.805579133504523</v>
      </c>
      <c r="AZ22" t="e">
        <f t="shared" si="30"/>
        <v>#DIV/0!</v>
      </c>
      <c r="BA22">
        <f t="shared" si="31"/>
        <v>3.0928560387512658E-2</v>
      </c>
      <c r="BB22" t="e">
        <f t="shared" si="32"/>
        <v>#DIV/0!</v>
      </c>
      <c r="BC22" t="e">
        <f t="shared" si="33"/>
        <v>#DIV/0!</v>
      </c>
      <c r="BD22" t="s">
        <v>446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BN22">
        <v>34531</v>
      </c>
      <c r="BO22">
        <v>290.00000000000011</v>
      </c>
      <c r="BP22">
        <v>820.45</v>
      </c>
      <c r="BQ22">
        <v>295</v>
      </c>
      <c r="BR22">
        <v>7112.9</v>
      </c>
      <c r="BS22">
        <v>822.27</v>
      </c>
      <c r="BT22">
        <v>-1.82</v>
      </c>
      <c r="BU22">
        <v>300.00000000000011</v>
      </c>
      <c r="BV22">
        <v>38.299999999999997</v>
      </c>
      <c r="BW22">
        <v>902.24779736693665</v>
      </c>
      <c r="BX22">
        <v>1.617993238328022</v>
      </c>
      <c r="BY22">
        <v>-56.884219171025563</v>
      </c>
      <c r="BZ22">
        <v>0.96481734981134937</v>
      </c>
      <c r="CA22">
        <v>0.99200938111239034</v>
      </c>
      <c r="CB22">
        <v>-7.0122671857619544E-3</v>
      </c>
      <c r="CC22">
        <v>289.99999999999989</v>
      </c>
      <c r="CD22">
        <v>832.64</v>
      </c>
      <c r="CE22">
        <v>895</v>
      </c>
      <c r="CF22">
        <v>7106.16</v>
      </c>
      <c r="CG22">
        <v>822.2</v>
      </c>
      <c r="CH22">
        <v>10.44</v>
      </c>
      <c r="CV22">
        <f t="shared" si="42"/>
        <v>1800.19</v>
      </c>
      <c r="CW22">
        <f t="shared" si="43"/>
        <v>1513.344900217282</v>
      </c>
      <c r="CX22">
        <f t="shared" si="44"/>
        <v>0.84065843061970236</v>
      </c>
      <c r="CY22">
        <f t="shared" si="45"/>
        <v>0.16087077109602566</v>
      </c>
      <c r="CZ22">
        <v>5</v>
      </c>
      <c r="DA22">
        <v>0.5</v>
      </c>
      <c r="DB22" t="s">
        <v>418</v>
      </c>
      <c r="DC22">
        <v>2</v>
      </c>
      <c r="DD22">
        <v>1700238209.5999999</v>
      </c>
      <c r="DE22">
        <v>551.29899999999998</v>
      </c>
      <c r="DF22">
        <v>599.99400000000003</v>
      </c>
      <c r="DG22">
        <v>26.3277</v>
      </c>
      <c r="DH22">
        <v>22.9803</v>
      </c>
      <c r="DI22">
        <v>551.67200000000003</v>
      </c>
      <c r="DJ22">
        <v>25.917100000000001</v>
      </c>
      <c r="DK22">
        <v>500.06299999999999</v>
      </c>
      <c r="DL22">
        <v>98.835899999999995</v>
      </c>
      <c r="DM22">
        <v>0.100342</v>
      </c>
      <c r="DN22">
        <v>28.902200000000001</v>
      </c>
      <c r="DO22">
        <v>29.846499999999999</v>
      </c>
      <c r="DP22">
        <v>999.9</v>
      </c>
      <c r="DQ22">
        <v>0</v>
      </c>
      <c r="DR22">
        <v>0</v>
      </c>
      <c r="DS22">
        <v>9971.25</v>
      </c>
      <c r="DT22">
        <v>0</v>
      </c>
      <c r="DU22">
        <v>645.79999999999995</v>
      </c>
      <c r="DV22">
        <v>-48.694800000000001</v>
      </c>
      <c r="DW22">
        <v>566.20600000000002</v>
      </c>
      <c r="DX22">
        <v>614.10599999999999</v>
      </c>
      <c r="DY22">
        <v>3.34741</v>
      </c>
      <c r="DZ22">
        <v>599.99400000000003</v>
      </c>
      <c r="EA22">
        <v>22.9803</v>
      </c>
      <c r="EB22">
        <v>2.6021200000000002</v>
      </c>
      <c r="EC22">
        <v>2.2712699999999999</v>
      </c>
      <c r="ED22">
        <v>21.6797</v>
      </c>
      <c r="EE22">
        <v>19.4741</v>
      </c>
      <c r="EF22">
        <v>1800.19</v>
      </c>
      <c r="EG22">
        <v>0.97799199999999997</v>
      </c>
      <c r="EH22">
        <v>2.2008E-2</v>
      </c>
      <c r="EI22">
        <v>0</v>
      </c>
      <c r="EJ22">
        <v>616.83600000000001</v>
      </c>
      <c r="EK22">
        <v>4.9996700000000001</v>
      </c>
      <c r="EL22">
        <v>12382.7</v>
      </c>
      <c r="EM22">
        <v>15048.3</v>
      </c>
      <c r="EN22">
        <v>49.436999999999998</v>
      </c>
      <c r="EO22">
        <v>50.686999999999998</v>
      </c>
      <c r="EP22">
        <v>50.25</v>
      </c>
      <c r="EQ22">
        <v>50.375</v>
      </c>
      <c r="ER22">
        <v>50.75</v>
      </c>
      <c r="ES22">
        <v>1755.68</v>
      </c>
      <c r="ET22">
        <v>39.51</v>
      </c>
      <c r="EU22">
        <v>0</v>
      </c>
      <c r="EV22">
        <v>168.79999995231631</v>
      </c>
      <c r="EW22">
        <v>0</v>
      </c>
      <c r="EX22">
        <v>616.66192307692302</v>
      </c>
      <c r="EY22">
        <v>-0.71993162365298036</v>
      </c>
      <c r="EZ22">
        <v>994.68718043810918</v>
      </c>
      <c r="FA22">
        <v>12269.876923076919</v>
      </c>
      <c r="FB22">
        <v>15</v>
      </c>
      <c r="FC22">
        <v>1700238118.0999999</v>
      </c>
      <c r="FD22" t="s">
        <v>447</v>
      </c>
      <c r="FE22">
        <v>1700238117.0999999</v>
      </c>
      <c r="FF22">
        <v>1700238118.0999999</v>
      </c>
      <c r="FG22">
        <v>9</v>
      </c>
      <c r="FH22">
        <v>-0.126</v>
      </c>
      <c r="FI22">
        <v>7.0000000000000001E-3</v>
      </c>
      <c r="FJ22">
        <v>-0.39900000000000002</v>
      </c>
      <c r="FK22">
        <v>0.32</v>
      </c>
      <c r="FL22">
        <v>600</v>
      </c>
      <c r="FM22">
        <v>24</v>
      </c>
      <c r="FN22">
        <v>0.02</v>
      </c>
      <c r="FO22">
        <v>0.05</v>
      </c>
      <c r="FP22">
        <v>46.64684085063562</v>
      </c>
      <c r="FQ22">
        <v>0.27683525359687577</v>
      </c>
      <c r="FR22">
        <v>3.2018559409750957E-2</v>
      </c>
      <c r="FS22">
        <v>1</v>
      </c>
      <c r="FT22">
        <v>0.20982856194611671</v>
      </c>
      <c r="FU22">
        <v>2.627010362345953E-2</v>
      </c>
      <c r="FV22">
        <v>2.6967140275657589E-3</v>
      </c>
      <c r="FW22">
        <v>1</v>
      </c>
      <c r="FX22">
        <v>2</v>
      </c>
      <c r="FY22">
        <v>2</v>
      </c>
      <c r="FZ22" t="s">
        <v>420</v>
      </c>
      <c r="GA22">
        <v>3.0120800000000001</v>
      </c>
      <c r="GB22">
        <v>2.77718</v>
      </c>
      <c r="GC22">
        <v>0.111454</v>
      </c>
      <c r="GD22">
        <v>0.118965</v>
      </c>
      <c r="GE22">
        <v>0.121016</v>
      </c>
      <c r="GF22">
        <v>0.111529</v>
      </c>
      <c r="GG22">
        <v>21307.4</v>
      </c>
      <c r="GH22">
        <v>21819.599999999999</v>
      </c>
      <c r="GI22">
        <v>23749.1</v>
      </c>
      <c r="GJ22">
        <v>24425.8</v>
      </c>
      <c r="GK22">
        <v>30873.9</v>
      </c>
      <c r="GL22">
        <v>31115</v>
      </c>
      <c r="GM22">
        <v>38894.300000000003</v>
      </c>
      <c r="GN22">
        <v>38894.1</v>
      </c>
      <c r="GO22">
        <v>1.99807</v>
      </c>
      <c r="GP22">
        <v>1.8137300000000001</v>
      </c>
      <c r="GQ22">
        <v>8.56817E-2</v>
      </c>
      <c r="GR22">
        <v>0</v>
      </c>
      <c r="GS22">
        <v>28.450199999999999</v>
      </c>
      <c r="GT22">
        <v>999.9</v>
      </c>
      <c r="GU22">
        <v>49.8</v>
      </c>
      <c r="GV22">
        <v>36</v>
      </c>
      <c r="GW22">
        <v>30.072600000000001</v>
      </c>
      <c r="GX22">
        <v>61.063899999999997</v>
      </c>
      <c r="GY22">
        <v>30.853400000000001</v>
      </c>
      <c r="GZ22">
        <v>1</v>
      </c>
      <c r="HA22">
        <v>0.61310200000000004</v>
      </c>
      <c r="HB22">
        <v>1.7764200000000001</v>
      </c>
      <c r="HC22">
        <v>20.322199999999999</v>
      </c>
      <c r="HD22">
        <v>5.2449899999999996</v>
      </c>
      <c r="HE22">
        <v>11.997999999999999</v>
      </c>
      <c r="HF22">
        <v>4.9638</v>
      </c>
      <c r="HG22">
        <v>3.30098</v>
      </c>
      <c r="HH22">
        <v>9999</v>
      </c>
      <c r="HI22">
        <v>9999</v>
      </c>
      <c r="HJ22">
        <v>9999</v>
      </c>
      <c r="HK22">
        <v>999.9</v>
      </c>
      <c r="HL22">
        <v>1.8751500000000001</v>
      </c>
      <c r="HM22">
        <v>1.88046</v>
      </c>
      <c r="HN22">
        <v>1.8805400000000001</v>
      </c>
      <c r="HO22">
        <v>1.87927</v>
      </c>
      <c r="HP22">
        <v>1.88165</v>
      </c>
      <c r="HQ22">
        <v>1.8774999999999999</v>
      </c>
      <c r="HR22">
        <v>1.8751899999999999</v>
      </c>
      <c r="HS22">
        <v>1.8825000000000001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-0.373</v>
      </c>
      <c r="IH22">
        <v>0.41060000000000002</v>
      </c>
      <c r="II22">
        <v>-0.40304197087854221</v>
      </c>
      <c r="IJ22">
        <v>7.0786345690369205E-4</v>
      </c>
      <c r="IK22">
        <v>-1.387476646623666E-6</v>
      </c>
      <c r="IL22">
        <v>3.6592443641472651E-10</v>
      </c>
      <c r="IM22">
        <v>-8.0853974305125489E-2</v>
      </c>
      <c r="IN22">
        <v>-1.92785045113246E-3</v>
      </c>
      <c r="IO22">
        <v>9.94469593919068E-4</v>
      </c>
      <c r="IP22">
        <v>-7.2714521965658074E-6</v>
      </c>
      <c r="IQ22">
        <v>2</v>
      </c>
      <c r="IR22">
        <v>2142</v>
      </c>
      <c r="IS22">
        <v>1</v>
      </c>
      <c r="IT22">
        <v>24</v>
      </c>
      <c r="IU22">
        <v>1.5</v>
      </c>
      <c r="IV22">
        <v>1.5</v>
      </c>
      <c r="IW22">
        <v>1.41113</v>
      </c>
      <c r="IX22">
        <v>2.63306</v>
      </c>
      <c r="IY22">
        <v>1.5490699999999999</v>
      </c>
      <c r="IZ22">
        <v>2.36938</v>
      </c>
      <c r="JA22">
        <v>1.5966800000000001</v>
      </c>
      <c r="JB22">
        <v>2.1972700000000001</v>
      </c>
      <c r="JC22">
        <v>41.560499999999998</v>
      </c>
      <c r="JD22">
        <v>24.026199999999999</v>
      </c>
      <c r="JE22">
        <v>18</v>
      </c>
      <c r="JF22">
        <v>514.28099999999995</v>
      </c>
      <c r="JG22">
        <v>461.71</v>
      </c>
      <c r="JH22">
        <v>26.233000000000001</v>
      </c>
      <c r="JI22">
        <v>34.729399999999998</v>
      </c>
      <c r="JJ22">
        <v>29.999700000000001</v>
      </c>
      <c r="JK22">
        <v>34.683999999999997</v>
      </c>
      <c r="JL22">
        <v>34.665900000000001</v>
      </c>
      <c r="JM22">
        <v>28.197500000000002</v>
      </c>
      <c r="JN22">
        <v>26.616199999999999</v>
      </c>
      <c r="JO22">
        <v>50.744700000000002</v>
      </c>
      <c r="JP22">
        <v>26.3004</v>
      </c>
      <c r="JQ22">
        <v>600</v>
      </c>
      <c r="JR22">
        <v>22.942900000000002</v>
      </c>
      <c r="JS22">
        <v>98.502499999999998</v>
      </c>
      <c r="JT22">
        <v>99.354399999999998</v>
      </c>
    </row>
    <row r="23" spans="1:280" x14ac:dyDescent="0.25">
      <c r="A23">
        <v>7</v>
      </c>
      <c r="B23">
        <v>1700238300.0999999</v>
      </c>
      <c r="C23">
        <v>1165.599999904633</v>
      </c>
      <c r="D23" t="s">
        <v>448</v>
      </c>
      <c r="E23" t="s">
        <v>449</v>
      </c>
      <c r="F23" t="s">
        <v>412</v>
      </c>
      <c r="G23" t="s">
        <v>413</v>
      </c>
      <c r="H23" t="s">
        <v>414</v>
      </c>
      <c r="I23">
        <v>1700238300.0999999</v>
      </c>
      <c r="J23">
        <f t="shared" si="0"/>
        <v>3.3956233842099273E-3</v>
      </c>
      <c r="K23">
        <f t="shared" si="1"/>
        <v>3.3956233842099275</v>
      </c>
      <c r="L23">
        <f t="shared" si="2"/>
        <v>43.799273125096356</v>
      </c>
      <c r="M23">
        <f t="shared" si="3"/>
        <v>454.63600000000002</v>
      </c>
      <c r="N23">
        <f t="shared" si="4"/>
        <v>102.13758889225689</v>
      </c>
      <c r="O23">
        <f t="shared" si="5"/>
        <v>10.105502462085591</v>
      </c>
      <c r="P23">
        <f t="shared" si="6"/>
        <v>44.981727757439202</v>
      </c>
      <c r="Q23">
        <f t="shared" si="7"/>
        <v>0.20955766137787679</v>
      </c>
      <c r="R23">
        <f t="shared" si="8"/>
        <v>3.1258270294444266</v>
      </c>
      <c r="S23">
        <f t="shared" si="9"/>
        <v>0.2020539679759541</v>
      </c>
      <c r="T23">
        <f t="shared" si="10"/>
        <v>0.12693552204550629</v>
      </c>
      <c r="U23">
        <f t="shared" si="11"/>
        <v>289.58039741938006</v>
      </c>
      <c r="V23">
        <f t="shared" si="12"/>
        <v>29.932698510550569</v>
      </c>
      <c r="W23">
        <f t="shared" si="13"/>
        <v>29.989000000000001</v>
      </c>
      <c r="X23">
        <f t="shared" si="14"/>
        <v>4.2577586292638703</v>
      </c>
      <c r="Y23">
        <f t="shared" si="15"/>
        <v>65.369613967603001</v>
      </c>
      <c r="Z23">
        <f t="shared" si="16"/>
        <v>2.6530884663522203</v>
      </c>
      <c r="AA23">
        <f t="shared" si="17"/>
        <v>4.0585958908478235</v>
      </c>
      <c r="AB23">
        <f t="shared" si="18"/>
        <v>1.60467016291165</v>
      </c>
      <c r="AC23">
        <f t="shared" si="19"/>
        <v>-149.74699124365779</v>
      </c>
      <c r="AD23">
        <f t="shared" si="20"/>
        <v>-140.10718447500491</v>
      </c>
      <c r="AE23">
        <f t="shared" si="21"/>
        <v>-9.9242865808534777</v>
      </c>
      <c r="AF23">
        <f t="shared" si="22"/>
        <v>-10.198064880136144</v>
      </c>
      <c r="AG23">
        <v>6</v>
      </c>
      <c r="AH23">
        <v>1</v>
      </c>
      <c r="AI23">
        <f t="shared" si="23"/>
        <v>1</v>
      </c>
      <c r="AJ23">
        <f t="shared" si="24"/>
        <v>0</v>
      </c>
      <c r="AK23">
        <f t="shared" si="25"/>
        <v>51996.446377232554</v>
      </c>
      <c r="AL23" t="s">
        <v>415</v>
      </c>
      <c r="AM23">
        <v>10238.9</v>
      </c>
      <c r="AN23">
        <v>302.21199999999999</v>
      </c>
      <c r="AO23">
        <v>4052.3</v>
      </c>
      <c r="AP23">
        <f t="shared" si="26"/>
        <v>0.92542210596451402</v>
      </c>
      <c r="AQ23">
        <v>-0.32343011824092421</v>
      </c>
      <c r="AR23" t="s">
        <v>450</v>
      </c>
      <c r="AS23">
        <v>7111.71</v>
      </c>
      <c r="AT23">
        <v>619.36942307692311</v>
      </c>
      <c r="AU23">
        <v>871.27971275848381</v>
      </c>
      <c r="AV23">
        <f t="shared" si="27"/>
        <v>0.28912677064866943</v>
      </c>
      <c r="AW23">
        <v>0.5</v>
      </c>
      <c r="AX23">
        <f t="shared" si="28"/>
        <v>1513.2525002172952</v>
      </c>
      <c r="AY23">
        <f t="shared" si="29"/>
        <v>43.799273125096356</v>
      </c>
      <c r="AZ23">
        <f t="shared" si="30"/>
        <v>218.76090428192575</v>
      </c>
      <c r="BA23">
        <f t="shared" si="31"/>
        <v>2.915752872504852E-2</v>
      </c>
      <c r="BB23">
        <f t="shared" si="32"/>
        <v>3.6509748140127831</v>
      </c>
      <c r="BC23">
        <f t="shared" si="33"/>
        <v>237.53538677604445</v>
      </c>
      <c r="BD23" t="s">
        <v>451</v>
      </c>
      <c r="BE23">
        <v>447.81</v>
      </c>
      <c r="BF23">
        <f t="shared" si="34"/>
        <v>447.81</v>
      </c>
      <c r="BG23">
        <f t="shared" si="35"/>
        <v>0.48603187536385162</v>
      </c>
      <c r="BH23">
        <f t="shared" si="36"/>
        <v>0.5948720347450962</v>
      </c>
      <c r="BI23">
        <f t="shared" si="37"/>
        <v>0.8825160528234276</v>
      </c>
      <c r="BJ23">
        <f t="shared" si="38"/>
        <v>0.44267190711006499</v>
      </c>
      <c r="BK23">
        <f t="shared" si="39"/>
        <v>0.84825217094679284</v>
      </c>
      <c r="BL23">
        <f t="shared" si="40"/>
        <v>0.43009815459701345</v>
      </c>
      <c r="BM23">
        <f t="shared" si="41"/>
        <v>0.5699018454029865</v>
      </c>
      <c r="BN23">
        <v>34533</v>
      </c>
      <c r="BO23">
        <v>290.00000000000011</v>
      </c>
      <c r="BP23">
        <v>801.11</v>
      </c>
      <c r="BQ23">
        <v>295</v>
      </c>
      <c r="BR23">
        <v>7111.71</v>
      </c>
      <c r="BS23">
        <v>802.93</v>
      </c>
      <c r="BT23">
        <v>-1.82</v>
      </c>
      <c r="BU23">
        <v>300.00000000000011</v>
      </c>
      <c r="BV23">
        <v>38.299999999999997</v>
      </c>
      <c r="BW23">
        <v>871.27971275848381</v>
      </c>
      <c r="BX23">
        <v>1.295708992076261</v>
      </c>
      <c r="BY23">
        <v>-48.60751446672905</v>
      </c>
      <c r="BZ23">
        <v>0.77251038336507927</v>
      </c>
      <c r="CA23">
        <v>0.99297737934873287</v>
      </c>
      <c r="CB23">
        <v>-7.0108901001112384E-3</v>
      </c>
      <c r="CC23">
        <v>289.99999999999989</v>
      </c>
      <c r="CD23">
        <v>813.12</v>
      </c>
      <c r="CE23">
        <v>885</v>
      </c>
      <c r="CF23">
        <v>7104.94</v>
      </c>
      <c r="CG23">
        <v>802.87</v>
      </c>
      <c r="CH23">
        <v>10.25</v>
      </c>
      <c r="CV23">
        <f t="shared" si="42"/>
        <v>1800.08</v>
      </c>
      <c r="CW23">
        <f t="shared" si="43"/>
        <v>1513.2525002172952</v>
      </c>
      <c r="CX23">
        <f t="shared" si="44"/>
        <v>0.84065847085534817</v>
      </c>
      <c r="CY23">
        <f t="shared" si="45"/>
        <v>0.16087084875082222</v>
      </c>
      <c r="CZ23">
        <v>5</v>
      </c>
      <c r="DA23">
        <v>0.5</v>
      </c>
      <c r="DB23" t="s">
        <v>418</v>
      </c>
      <c r="DC23">
        <v>2</v>
      </c>
      <c r="DD23">
        <v>1700238300.0999999</v>
      </c>
      <c r="DE23">
        <v>454.63600000000002</v>
      </c>
      <c r="DF23">
        <v>499.96300000000002</v>
      </c>
      <c r="DG23">
        <v>26.815100000000001</v>
      </c>
      <c r="DH23">
        <v>23.511700000000001</v>
      </c>
      <c r="DI23">
        <v>454.93700000000001</v>
      </c>
      <c r="DJ23">
        <v>26.470500000000001</v>
      </c>
      <c r="DK23">
        <v>500.17700000000002</v>
      </c>
      <c r="DL23">
        <v>98.840699999999998</v>
      </c>
      <c r="DM23">
        <v>9.93922E-2</v>
      </c>
      <c r="DN23">
        <v>29.157599999999999</v>
      </c>
      <c r="DO23">
        <v>29.989000000000001</v>
      </c>
      <c r="DP23">
        <v>999.9</v>
      </c>
      <c r="DQ23">
        <v>0</v>
      </c>
      <c r="DR23">
        <v>0</v>
      </c>
      <c r="DS23">
        <v>10021.200000000001</v>
      </c>
      <c r="DT23">
        <v>0</v>
      </c>
      <c r="DU23">
        <v>603.83699999999999</v>
      </c>
      <c r="DV23">
        <v>-45.3279</v>
      </c>
      <c r="DW23">
        <v>467.16300000000001</v>
      </c>
      <c r="DX23">
        <v>512.00199999999995</v>
      </c>
      <c r="DY23">
        <v>3.3033899999999998</v>
      </c>
      <c r="DZ23">
        <v>499.96300000000002</v>
      </c>
      <c r="EA23">
        <v>23.511700000000001</v>
      </c>
      <c r="EB23">
        <v>2.65042</v>
      </c>
      <c r="EC23">
        <v>2.3239100000000001</v>
      </c>
      <c r="ED23">
        <v>21.980899999999998</v>
      </c>
      <c r="EE23">
        <v>19.8431</v>
      </c>
      <c r="EF23">
        <v>1800.08</v>
      </c>
      <c r="EG23">
        <v>0.97799199999999997</v>
      </c>
      <c r="EH23">
        <v>2.20079E-2</v>
      </c>
      <c r="EI23">
        <v>0</v>
      </c>
      <c r="EJ23">
        <v>619.60299999999995</v>
      </c>
      <c r="EK23">
        <v>4.9996700000000001</v>
      </c>
      <c r="EL23">
        <v>11891.9</v>
      </c>
      <c r="EM23">
        <v>15047.5</v>
      </c>
      <c r="EN23">
        <v>49.5</v>
      </c>
      <c r="EO23">
        <v>50.686999999999998</v>
      </c>
      <c r="EP23">
        <v>50.25</v>
      </c>
      <c r="EQ23">
        <v>50.311999999999998</v>
      </c>
      <c r="ER23">
        <v>50.811999999999998</v>
      </c>
      <c r="ES23">
        <v>1755.57</v>
      </c>
      <c r="ET23">
        <v>39.51</v>
      </c>
      <c r="EU23">
        <v>0</v>
      </c>
      <c r="EV23">
        <v>258.79999995231628</v>
      </c>
      <c r="EW23">
        <v>0</v>
      </c>
      <c r="EX23">
        <v>619.36942307692311</v>
      </c>
      <c r="EY23">
        <v>0.13972648892579179</v>
      </c>
      <c r="EZ23">
        <v>86.611965911126887</v>
      </c>
      <c r="FA23">
        <v>11873.9</v>
      </c>
      <c r="FB23">
        <v>15</v>
      </c>
      <c r="FC23">
        <v>1700238271.0999999</v>
      </c>
      <c r="FD23" t="s">
        <v>452</v>
      </c>
      <c r="FE23">
        <v>1700238269.5999999</v>
      </c>
      <c r="FF23">
        <v>1700238271.0999999</v>
      </c>
      <c r="FG23">
        <v>10</v>
      </c>
      <c r="FH23">
        <v>3.2000000000000001E-2</v>
      </c>
      <c r="FI23">
        <v>2E-3</v>
      </c>
      <c r="FJ23">
        <v>-0.318</v>
      </c>
      <c r="FK23">
        <v>0.30499999999999999</v>
      </c>
      <c r="FL23">
        <v>500</v>
      </c>
      <c r="FM23">
        <v>23</v>
      </c>
      <c r="FN23">
        <v>0.02</v>
      </c>
      <c r="FO23">
        <v>0.04</v>
      </c>
      <c r="FP23">
        <v>43.758977752198419</v>
      </c>
      <c r="FQ23">
        <v>0.32076959459555549</v>
      </c>
      <c r="FR23">
        <v>5.4063244548492921E-2</v>
      </c>
      <c r="FS23">
        <v>1</v>
      </c>
      <c r="FT23">
        <v>0.20634348674203959</v>
      </c>
      <c r="FU23">
        <v>3.8891529652556017E-2</v>
      </c>
      <c r="FV23">
        <v>2.9503738733277479E-3</v>
      </c>
      <c r="FW23">
        <v>1</v>
      </c>
      <c r="FX23">
        <v>2</v>
      </c>
      <c r="FY23">
        <v>2</v>
      </c>
      <c r="FZ23" t="s">
        <v>420</v>
      </c>
      <c r="GA23">
        <v>3.0123600000000001</v>
      </c>
      <c r="GB23">
        <v>2.7766700000000002</v>
      </c>
      <c r="GC23">
        <v>9.6788399999999997E-2</v>
      </c>
      <c r="GD23">
        <v>0.104393</v>
      </c>
      <c r="GE23">
        <v>0.12279900000000001</v>
      </c>
      <c r="GF23">
        <v>0.11330800000000001</v>
      </c>
      <c r="GG23">
        <v>21659.200000000001</v>
      </c>
      <c r="GH23">
        <v>22180.3</v>
      </c>
      <c r="GI23">
        <v>23749.3</v>
      </c>
      <c r="GJ23">
        <v>24425.599999999999</v>
      </c>
      <c r="GK23">
        <v>30811.3</v>
      </c>
      <c r="GL23">
        <v>31052.400000000001</v>
      </c>
      <c r="GM23">
        <v>38894.400000000001</v>
      </c>
      <c r="GN23">
        <v>38893.699999999997</v>
      </c>
      <c r="GO23">
        <v>1.99735</v>
      </c>
      <c r="GP23">
        <v>1.8131699999999999</v>
      </c>
      <c r="GQ23">
        <v>9.1753899999999999E-2</v>
      </c>
      <c r="GR23">
        <v>0</v>
      </c>
      <c r="GS23">
        <v>28.494</v>
      </c>
      <c r="GT23">
        <v>999.9</v>
      </c>
      <c r="GU23">
        <v>49.4</v>
      </c>
      <c r="GV23">
        <v>36.1</v>
      </c>
      <c r="GW23">
        <v>29.995999999999999</v>
      </c>
      <c r="GX23">
        <v>60.873899999999999</v>
      </c>
      <c r="GY23">
        <v>30.7332</v>
      </c>
      <c r="GZ23">
        <v>1</v>
      </c>
      <c r="HA23">
        <v>0.61928099999999997</v>
      </c>
      <c r="HB23">
        <v>3.1056300000000001</v>
      </c>
      <c r="HC23">
        <v>20.300699999999999</v>
      </c>
      <c r="HD23">
        <v>5.24559</v>
      </c>
      <c r="HE23">
        <v>11.998100000000001</v>
      </c>
      <c r="HF23">
        <v>4.9638</v>
      </c>
      <c r="HG23">
        <v>3.3008999999999999</v>
      </c>
      <c r="HH23">
        <v>9999</v>
      </c>
      <c r="HI23">
        <v>9999</v>
      </c>
      <c r="HJ23">
        <v>9999</v>
      </c>
      <c r="HK23">
        <v>999.9</v>
      </c>
      <c r="HL23">
        <v>1.87514</v>
      </c>
      <c r="HM23">
        <v>1.88046</v>
      </c>
      <c r="HN23">
        <v>1.8805000000000001</v>
      </c>
      <c r="HO23">
        <v>1.87927</v>
      </c>
      <c r="HP23">
        <v>1.88164</v>
      </c>
      <c r="HQ23">
        <v>1.8775200000000001</v>
      </c>
      <c r="HR23">
        <v>1.8751599999999999</v>
      </c>
      <c r="HS23">
        <v>1.8824799999999999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-0.30099999999999999</v>
      </c>
      <c r="IH23">
        <v>0.34460000000000002</v>
      </c>
      <c r="II23">
        <v>-0.37069482037655632</v>
      </c>
      <c r="IJ23">
        <v>7.0786345690369205E-4</v>
      </c>
      <c r="IK23">
        <v>-1.387476646623666E-6</v>
      </c>
      <c r="IL23">
        <v>3.6592443641472651E-10</v>
      </c>
      <c r="IM23">
        <v>0.3445758065094664</v>
      </c>
      <c r="IN23">
        <v>0</v>
      </c>
      <c r="IO23">
        <v>0</v>
      </c>
      <c r="IP23">
        <v>0</v>
      </c>
      <c r="IQ23">
        <v>2</v>
      </c>
      <c r="IR23">
        <v>2142</v>
      </c>
      <c r="IS23">
        <v>1</v>
      </c>
      <c r="IT23">
        <v>24</v>
      </c>
      <c r="IU23">
        <v>0.5</v>
      </c>
      <c r="IV23">
        <v>0.5</v>
      </c>
      <c r="IW23">
        <v>1.2170399999999999</v>
      </c>
      <c r="IX23">
        <v>2.6281699999999999</v>
      </c>
      <c r="IY23">
        <v>1.5490699999999999</v>
      </c>
      <c r="IZ23">
        <v>2.36938</v>
      </c>
      <c r="JA23">
        <v>1.5966800000000001</v>
      </c>
      <c r="JB23">
        <v>2.2338900000000002</v>
      </c>
      <c r="JC23">
        <v>41.664999999999999</v>
      </c>
      <c r="JD23">
        <v>24.017499999999998</v>
      </c>
      <c r="JE23">
        <v>18</v>
      </c>
      <c r="JF23">
        <v>514.01599999999996</v>
      </c>
      <c r="JG23">
        <v>461.54300000000001</v>
      </c>
      <c r="JH23">
        <v>25.665500000000002</v>
      </c>
      <c r="JI23">
        <v>34.726300000000002</v>
      </c>
      <c r="JJ23">
        <v>29.999700000000001</v>
      </c>
      <c r="JK23">
        <v>34.7102</v>
      </c>
      <c r="JL23">
        <v>34.6922</v>
      </c>
      <c r="JM23">
        <v>24.335599999999999</v>
      </c>
      <c r="JN23">
        <v>24.2059</v>
      </c>
      <c r="JO23">
        <v>49.862200000000001</v>
      </c>
      <c r="JP23">
        <v>25.677900000000001</v>
      </c>
      <c r="JQ23">
        <v>500</v>
      </c>
      <c r="JR23">
        <v>23.460599999999999</v>
      </c>
      <c r="JS23">
        <v>98.502799999999993</v>
      </c>
      <c r="JT23">
        <v>99.353399999999993</v>
      </c>
    </row>
    <row r="24" spans="1:280" x14ac:dyDescent="0.25">
      <c r="A24">
        <v>8</v>
      </c>
      <c r="B24">
        <v>1700238534.0999999</v>
      </c>
      <c r="C24">
        <v>1399.599999904633</v>
      </c>
      <c r="D24" t="s">
        <v>453</v>
      </c>
      <c r="E24" t="s">
        <v>454</v>
      </c>
      <c r="F24" t="s">
        <v>412</v>
      </c>
      <c r="G24" t="s">
        <v>413</v>
      </c>
      <c r="H24" t="s">
        <v>414</v>
      </c>
      <c r="I24">
        <v>1700238534.0999999</v>
      </c>
      <c r="J24">
        <f t="shared" si="0"/>
        <v>5.0395847671478155E-3</v>
      </c>
      <c r="K24">
        <f t="shared" si="1"/>
        <v>5.0395847671478151</v>
      </c>
      <c r="L24">
        <f t="shared" si="2"/>
        <v>44.588011947292273</v>
      </c>
      <c r="M24">
        <f t="shared" si="3"/>
        <v>353.68900000000002</v>
      </c>
      <c r="N24">
        <f t="shared" si="4"/>
        <v>117.16560847422458</v>
      </c>
      <c r="O24">
        <f t="shared" si="5"/>
        <v>11.592488302895557</v>
      </c>
      <c r="P24">
        <f t="shared" si="6"/>
        <v>34.994360962712207</v>
      </c>
      <c r="Q24">
        <f t="shared" si="7"/>
        <v>0.32493061207030827</v>
      </c>
      <c r="R24">
        <f t="shared" si="8"/>
        <v>3.1199665605763172</v>
      </c>
      <c r="S24">
        <f t="shared" si="9"/>
        <v>0.30723316076258844</v>
      </c>
      <c r="T24">
        <f t="shared" si="10"/>
        <v>0.19353040520944825</v>
      </c>
      <c r="U24">
        <f t="shared" si="11"/>
        <v>289.59156941936374</v>
      </c>
      <c r="V24">
        <f t="shared" si="12"/>
        <v>30.037429886683558</v>
      </c>
      <c r="W24">
        <f t="shared" si="13"/>
        <v>30.034500000000001</v>
      </c>
      <c r="X24">
        <f t="shared" si="14"/>
        <v>4.2688997939359998</v>
      </c>
      <c r="Y24">
        <f t="shared" si="15"/>
        <v>64.686699153413358</v>
      </c>
      <c r="Z24">
        <f t="shared" si="16"/>
        <v>2.7031387392708597</v>
      </c>
      <c r="AA24">
        <f t="shared" si="17"/>
        <v>4.1788169355496043</v>
      </c>
      <c r="AB24">
        <f t="shared" si="18"/>
        <v>1.5657610546651402</v>
      </c>
      <c r="AC24">
        <f t="shared" si="19"/>
        <v>-222.24568823121865</v>
      </c>
      <c r="AD24">
        <f t="shared" si="20"/>
        <v>-62.386729042595277</v>
      </c>
      <c r="AE24">
        <f t="shared" si="21"/>
        <v>-4.4394819478912284</v>
      </c>
      <c r="AF24">
        <f t="shared" si="22"/>
        <v>0.51967019765857003</v>
      </c>
      <c r="AG24">
        <v>5</v>
      </c>
      <c r="AH24">
        <v>1</v>
      </c>
      <c r="AI24">
        <f t="shared" si="23"/>
        <v>1</v>
      </c>
      <c r="AJ24">
        <f t="shared" si="24"/>
        <v>0</v>
      </c>
      <c r="AK24">
        <f t="shared" si="25"/>
        <v>51760.941948020867</v>
      </c>
      <c r="AL24" t="s">
        <v>415</v>
      </c>
      <c r="AM24">
        <v>10238.9</v>
      </c>
      <c r="AN24">
        <v>302.21199999999999</v>
      </c>
      <c r="AO24">
        <v>4052.3</v>
      </c>
      <c r="AP24">
        <f t="shared" si="26"/>
        <v>0.92542210596451402</v>
      </c>
      <c r="AQ24">
        <v>-0.32343011824092421</v>
      </c>
      <c r="AR24" t="s">
        <v>455</v>
      </c>
      <c r="AS24">
        <v>7111.59</v>
      </c>
      <c r="AT24">
        <v>617.97080000000005</v>
      </c>
      <c r="AU24">
        <v>870.64216706248976</v>
      </c>
      <c r="AV24">
        <f t="shared" si="27"/>
        <v>0.29021264604607</v>
      </c>
      <c r="AW24">
        <v>0.5</v>
      </c>
      <c r="AX24">
        <f t="shared" si="28"/>
        <v>1513.311300217287</v>
      </c>
      <c r="AY24">
        <f t="shared" si="29"/>
        <v>44.588011947292273</v>
      </c>
      <c r="AZ24">
        <f t="shared" si="30"/>
        <v>219.59103836373873</v>
      </c>
      <c r="BA24">
        <f t="shared" si="31"/>
        <v>2.9677596446338991E-2</v>
      </c>
      <c r="BB24">
        <f t="shared" si="32"/>
        <v>3.6543805863117003</v>
      </c>
      <c r="BC24">
        <f t="shared" si="33"/>
        <v>237.48797524699975</v>
      </c>
      <c r="BD24" t="s">
        <v>456</v>
      </c>
      <c r="BE24">
        <v>451.91</v>
      </c>
      <c r="BF24">
        <f t="shared" si="34"/>
        <v>451.91</v>
      </c>
      <c r="BG24">
        <f t="shared" si="35"/>
        <v>0.48094634386394874</v>
      </c>
      <c r="BH24">
        <f t="shared" si="36"/>
        <v>0.60342000671943163</v>
      </c>
      <c r="BI24">
        <f t="shared" si="37"/>
        <v>0.88369810852088537</v>
      </c>
      <c r="BJ24">
        <f t="shared" si="38"/>
        <v>0.44450731453651465</v>
      </c>
      <c r="BK24">
        <f t="shared" si="39"/>
        <v>0.84842217914286555</v>
      </c>
      <c r="BL24">
        <f t="shared" si="40"/>
        <v>0.44126928851100788</v>
      </c>
      <c r="BM24">
        <f t="shared" si="41"/>
        <v>0.55873071148899212</v>
      </c>
      <c r="BN24">
        <v>34535</v>
      </c>
      <c r="BO24">
        <v>290.00000000000011</v>
      </c>
      <c r="BP24">
        <v>800.28</v>
      </c>
      <c r="BQ24">
        <v>295</v>
      </c>
      <c r="BR24">
        <v>7111.59</v>
      </c>
      <c r="BS24">
        <v>802.41</v>
      </c>
      <c r="BT24">
        <v>-2.13</v>
      </c>
      <c r="BU24">
        <v>300.00000000000011</v>
      </c>
      <c r="BV24">
        <v>38.299999999999997</v>
      </c>
      <c r="BW24">
        <v>870.64216706248976</v>
      </c>
      <c r="BX24">
        <v>1.3591363634852609</v>
      </c>
      <c r="BY24">
        <v>-48.52215963845854</v>
      </c>
      <c r="BZ24">
        <v>0.81030964839413522</v>
      </c>
      <c r="CA24">
        <v>0.99225178442335449</v>
      </c>
      <c r="CB24">
        <v>-7.010739265850943E-3</v>
      </c>
      <c r="CC24">
        <v>289.99999999999989</v>
      </c>
      <c r="CD24">
        <v>812.23</v>
      </c>
      <c r="CE24">
        <v>855</v>
      </c>
      <c r="CF24">
        <v>7105.1</v>
      </c>
      <c r="CG24">
        <v>802.35</v>
      </c>
      <c r="CH24">
        <v>9.8800000000000008</v>
      </c>
      <c r="CV24">
        <f t="shared" si="42"/>
        <v>1800.15</v>
      </c>
      <c r="CW24">
        <f t="shared" si="43"/>
        <v>1513.311300217287</v>
      </c>
      <c r="CX24">
        <f t="shared" si="44"/>
        <v>0.84065844525027744</v>
      </c>
      <c r="CY24">
        <f t="shared" si="45"/>
        <v>0.16087079933303544</v>
      </c>
      <c r="CZ24">
        <v>5</v>
      </c>
      <c r="DA24">
        <v>0.5</v>
      </c>
      <c r="DB24" t="s">
        <v>418</v>
      </c>
      <c r="DC24">
        <v>2</v>
      </c>
      <c r="DD24">
        <v>1700238534.0999999</v>
      </c>
      <c r="DE24">
        <v>353.68900000000002</v>
      </c>
      <c r="DF24">
        <v>400.05</v>
      </c>
      <c r="DG24">
        <v>27.320699999999999</v>
      </c>
      <c r="DH24">
        <v>22.419799999999999</v>
      </c>
      <c r="DI24">
        <v>353.98899999999998</v>
      </c>
      <c r="DJ24">
        <v>26.974499999999999</v>
      </c>
      <c r="DK24">
        <v>500.10199999999998</v>
      </c>
      <c r="DL24">
        <v>98.841099999999997</v>
      </c>
      <c r="DM24">
        <v>9.9949800000000005E-2</v>
      </c>
      <c r="DN24">
        <v>29.663599999999999</v>
      </c>
      <c r="DO24">
        <v>30.034500000000001</v>
      </c>
      <c r="DP24">
        <v>999.9</v>
      </c>
      <c r="DQ24">
        <v>0</v>
      </c>
      <c r="DR24">
        <v>0</v>
      </c>
      <c r="DS24">
        <v>9991.25</v>
      </c>
      <c r="DT24">
        <v>0</v>
      </c>
      <c r="DU24">
        <v>570.625</v>
      </c>
      <c r="DV24">
        <v>-46.361899999999999</v>
      </c>
      <c r="DW24">
        <v>363.62299999999999</v>
      </c>
      <c r="DX24">
        <v>409.22500000000002</v>
      </c>
      <c r="DY24">
        <v>4.9008900000000004</v>
      </c>
      <c r="DZ24">
        <v>400.05</v>
      </c>
      <c r="EA24">
        <v>22.419799999999999</v>
      </c>
      <c r="EB24">
        <v>2.7004100000000002</v>
      </c>
      <c r="EC24">
        <v>2.2160000000000002</v>
      </c>
      <c r="ED24">
        <v>22.287600000000001</v>
      </c>
      <c r="EE24">
        <v>19.078499999999998</v>
      </c>
      <c r="EF24">
        <v>1800.15</v>
      </c>
      <c r="EG24">
        <v>0.97799199999999997</v>
      </c>
      <c r="EH24">
        <v>2.20079E-2</v>
      </c>
      <c r="EI24">
        <v>0</v>
      </c>
      <c r="EJ24">
        <v>617.45100000000002</v>
      </c>
      <c r="EK24">
        <v>4.9996700000000001</v>
      </c>
      <c r="EL24">
        <v>12812.1</v>
      </c>
      <c r="EM24">
        <v>15048</v>
      </c>
      <c r="EN24">
        <v>49.625</v>
      </c>
      <c r="EO24">
        <v>50.811999999999998</v>
      </c>
      <c r="EP24">
        <v>50.375</v>
      </c>
      <c r="EQ24">
        <v>50.5</v>
      </c>
      <c r="ER24">
        <v>51</v>
      </c>
      <c r="ES24">
        <v>1755.64</v>
      </c>
      <c r="ET24">
        <v>39.51</v>
      </c>
      <c r="EU24">
        <v>0</v>
      </c>
      <c r="EV24">
        <v>232.20000004768369</v>
      </c>
      <c r="EW24">
        <v>0</v>
      </c>
      <c r="EX24">
        <v>617.97080000000005</v>
      </c>
      <c r="EY24">
        <v>-1.491923067900135</v>
      </c>
      <c r="EZ24">
        <v>-85.361538402998931</v>
      </c>
      <c r="FA24">
        <v>12823.44</v>
      </c>
      <c r="FB24">
        <v>15</v>
      </c>
      <c r="FC24">
        <v>1700238392.0999999</v>
      </c>
      <c r="FD24" t="s">
        <v>457</v>
      </c>
      <c r="FE24">
        <v>1700238387.0999999</v>
      </c>
      <c r="FF24">
        <v>1700238392.0999999</v>
      </c>
      <c r="FG24">
        <v>11</v>
      </c>
      <c r="FH24">
        <v>-2.3E-2</v>
      </c>
      <c r="FI24">
        <v>2E-3</v>
      </c>
      <c r="FJ24">
        <v>-0.309</v>
      </c>
      <c r="FK24">
        <v>0.311</v>
      </c>
      <c r="FL24">
        <v>400</v>
      </c>
      <c r="FM24">
        <v>23</v>
      </c>
      <c r="FN24">
        <v>0.04</v>
      </c>
      <c r="FO24">
        <v>0.03</v>
      </c>
      <c r="FP24">
        <v>44.488120185491802</v>
      </c>
      <c r="FQ24">
        <v>0.69611325196211982</v>
      </c>
      <c r="FR24">
        <v>7.182930198033867E-2</v>
      </c>
      <c r="FS24">
        <v>1</v>
      </c>
      <c r="FT24">
        <v>0.32179161812585438</v>
      </c>
      <c r="FU24">
        <v>6.9195865791758506E-3</v>
      </c>
      <c r="FV24">
        <v>1.1229298722313539E-3</v>
      </c>
      <c r="FW24">
        <v>1</v>
      </c>
      <c r="FX24">
        <v>2</v>
      </c>
      <c r="FY24">
        <v>2</v>
      </c>
      <c r="FZ24" t="s">
        <v>420</v>
      </c>
      <c r="GA24">
        <v>3.0121799999999999</v>
      </c>
      <c r="GB24">
        <v>2.7769599999999999</v>
      </c>
      <c r="GC24">
        <v>7.9832600000000004E-2</v>
      </c>
      <c r="GD24">
        <v>8.8340600000000005E-2</v>
      </c>
      <c r="GE24">
        <v>0.124405</v>
      </c>
      <c r="GF24">
        <v>0.109625</v>
      </c>
      <c r="GG24">
        <v>22066.400000000001</v>
      </c>
      <c r="GH24">
        <v>22577.7</v>
      </c>
      <c r="GI24">
        <v>23750.1</v>
      </c>
      <c r="GJ24">
        <v>24425.5</v>
      </c>
      <c r="GK24">
        <v>30756.3</v>
      </c>
      <c r="GL24">
        <v>31182</v>
      </c>
      <c r="GM24">
        <v>38896.199999999997</v>
      </c>
      <c r="GN24">
        <v>38894.199999999997</v>
      </c>
      <c r="GO24">
        <v>2.00007</v>
      </c>
      <c r="GP24">
        <v>1.8080499999999999</v>
      </c>
      <c r="GQ24">
        <v>6.3683799999999999E-2</v>
      </c>
      <c r="GR24">
        <v>0</v>
      </c>
      <c r="GS24">
        <v>28.997299999999999</v>
      </c>
      <c r="GT24">
        <v>999.9</v>
      </c>
      <c r="GU24">
        <v>48.2</v>
      </c>
      <c r="GV24">
        <v>36.5</v>
      </c>
      <c r="GW24">
        <v>29.918600000000001</v>
      </c>
      <c r="GX24">
        <v>60.783900000000003</v>
      </c>
      <c r="GY24">
        <v>31.25</v>
      </c>
      <c r="GZ24">
        <v>1</v>
      </c>
      <c r="HA24">
        <v>0.62075499999999995</v>
      </c>
      <c r="HB24">
        <v>3.1707900000000002</v>
      </c>
      <c r="HC24">
        <v>20.297799999999999</v>
      </c>
      <c r="HD24">
        <v>5.2452899999999998</v>
      </c>
      <c r="HE24">
        <v>11.998100000000001</v>
      </c>
      <c r="HF24">
        <v>4.9637000000000002</v>
      </c>
      <c r="HG24">
        <v>3.3008999999999999</v>
      </c>
      <c r="HH24">
        <v>9999</v>
      </c>
      <c r="HI24">
        <v>9999</v>
      </c>
      <c r="HJ24">
        <v>9999</v>
      </c>
      <c r="HK24">
        <v>999.9</v>
      </c>
      <c r="HL24">
        <v>1.87513</v>
      </c>
      <c r="HM24">
        <v>1.88046</v>
      </c>
      <c r="HN24">
        <v>1.8805099999999999</v>
      </c>
      <c r="HO24">
        <v>1.8792500000000001</v>
      </c>
      <c r="HP24">
        <v>1.8815900000000001</v>
      </c>
      <c r="HQ24">
        <v>1.87748</v>
      </c>
      <c r="HR24">
        <v>1.87517</v>
      </c>
      <c r="HS24">
        <v>1.88249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-0.3</v>
      </c>
      <c r="IH24">
        <v>0.34620000000000001</v>
      </c>
      <c r="II24">
        <v>-0.39334236475902462</v>
      </c>
      <c r="IJ24">
        <v>7.0786345690369205E-4</v>
      </c>
      <c r="IK24">
        <v>-1.387476646623666E-6</v>
      </c>
      <c r="IL24">
        <v>3.6592443641472651E-10</v>
      </c>
      <c r="IM24">
        <v>0.34626238591838132</v>
      </c>
      <c r="IN24">
        <v>0</v>
      </c>
      <c r="IO24">
        <v>0</v>
      </c>
      <c r="IP24">
        <v>0</v>
      </c>
      <c r="IQ24">
        <v>2</v>
      </c>
      <c r="IR24">
        <v>2142</v>
      </c>
      <c r="IS24">
        <v>1</v>
      </c>
      <c r="IT24">
        <v>24</v>
      </c>
      <c r="IU24">
        <v>2.5</v>
      </c>
      <c r="IV24">
        <v>2.4</v>
      </c>
      <c r="IW24">
        <v>1.01685</v>
      </c>
      <c r="IX24">
        <v>2.63672</v>
      </c>
      <c r="IY24">
        <v>1.5490699999999999</v>
      </c>
      <c r="IZ24">
        <v>2.36938</v>
      </c>
      <c r="JA24">
        <v>1.5966800000000001</v>
      </c>
      <c r="JB24">
        <v>2.3107899999999999</v>
      </c>
      <c r="JC24">
        <v>41.927500000000002</v>
      </c>
      <c r="JD24">
        <v>24.017499999999998</v>
      </c>
      <c r="JE24">
        <v>18</v>
      </c>
      <c r="JF24">
        <v>515.923</v>
      </c>
      <c r="JG24">
        <v>458.37299999999999</v>
      </c>
      <c r="JH24">
        <v>26.414400000000001</v>
      </c>
      <c r="JI24">
        <v>34.732599999999998</v>
      </c>
      <c r="JJ24">
        <v>30.000499999999999</v>
      </c>
      <c r="JK24">
        <v>34.729300000000002</v>
      </c>
      <c r="JL24">
        <v>34.717500000000001</v>
      </c>
      <c r="JM24">
        <v>20.346900000000002</v>
      </c>
      <c r="JN24">
        <v>27.297000000000001</v>
      </c>
      <c r="JO24">
        <v>45.4923</v>
      </c>
      <c r="JP24">
        <v>26.417899999999999</v>
      </c>
      <c r="JQ24">
        <v>400</v>
      </c>
      <c r="JR24">
        <v>22.469799999999999</v>
      </c>
      <c r="JS24">
        <v>98.506900000000002</v>
      </c>
      <c r="JT24">
        <v>99.354100000000003</v>
      </c>
    </row>
    <row r="25" spans="1:280" x14ac:dyDescent="0.25">
      <c r="A25">
        <v>9</v>
      </c>
      <c r="B25">
        <v>1700238646.0999999</v>
      </c>
      <c r="C25">
        <v>1511.599999904633</v>
      </c>
      <c r="D25" t="s">
        <v>458</v>
      </c>
      <c r="E25" t="s">
        <v>459</v>
      </c>
      <c r="F25" t="s">
        <v>412</v>
      </c>
      <c r="G25" t="s">
        <v>413</v>
      </c>
      <c r="H25" t="s">
        <v>414</v>
      </c>
      <c r="I25">
        <v>1700238646.0999999</v>
      </c>
      <c r="J25">
        <f t="shared" si="0"/>
        <v>5.1153380434811654E-3</v>
      </c>
      <c r="K25">
        <f t="shared" si="1"/>
        <v>5.1153380434811657</v>
      </c>
      <c r="L25">
        <f t="shared" si="2"/>
        <v>36.629465495170933</v>
      </c>
      <c r="M25">
        <f t="shared" si="3"/>
        <v>262.02199999999999</v>
      </c>
      <c r="N25">
        <f t="shared" si="4"/>
        <v>74.288752572199797</v>
      </c>
      <c r="O25">
        <f t="shared" si="5"/>
        <v>7.3503034089048551</v>
      </c>
      <c r="P25">
        <f t="shared" si="6"/>
        <v>25.925071200196598</v>
      </c>
      <c r="Q25">
        <f t="shared" si="7"/>
        <v>0.33578455263334916</v>
      </c>
      <c r="R25">
        <f t="shared" si="8"/>
        <v>3.1244197166836827</v>
      </c>
      <c r="S25">
        <f t="shared" si="9"/>
        <v>0.31694713748455305</v>
      </c>
      <c r="T25">
        <f t="shared" si="10"/>
        <v>0.1996963116675492</v>
      </c>
      <c r="U25">
        <f t="shared" si="11"/>
        <v>289.57720541938471</v>
      </c>
      <c r="V25">
        <f t="shared" si="12"/>
        <v>29.715303964298883</v>
      </c>
      <c r="W25">
        <f t="shared" si="13"/>
        <v>29.954899999999999</v>
      </c>
      <c r="X25">
        <f t="shared" si="14"/>
        <v>4.249425497831874</v>
      </c>
      <c r="Y25">
        <f t="shared" si="15"/>
        <v>65.962431904685346</v>
      </c>
      <c r="Z25">
        <f t="shared" si="16"/>
        <v>2.7087050103399801</v>
      </c>
      <c r="AA25">
        <f t="shared" si="17"/>
        <v>4.1064359395572545</v>
      </c>
      <c r="AB25">
        <f t="shared" si="18"/>
        <v>1.5407204874918938</v>
      </c>
      <c r="AC25">
        <f t="shared" si="19"/>
        <v>-225.58640771751939</v>
      </c>
      <c r="AD25">
        <f t="shared" si="20"/>
        <v>-100.12294465122172</v>
      </c>
      <c r="AE25">
        <f t="shared" si="21"/>
        <v>-7.101188693059723</v>
      </c>
      <c r="AF25">
        <f t="shared" si="22"/>
        <v>-43.233335642416122</v>
      </c>
      <c r="AG25">
        <v>5</v>
      </c>
      <c r="AH25">
        <v>1</v>
      </c>
      <c r="AI25">
        <f t="shared" si="23"/>
        <v>1</v>
      </c>
      <c r="AJ25">
        <f t="shared" si="24"/>
        <v>0</v>
      </c>
      <c r="AK25">
        <f t="shared" si="25"/>
        <v>51925.870880283037</v>
      </c>
      <c r="AL25" t="s">
        <v>446</v>
      </c>
      <c r="AM25" t="s">
        <v>446</v>
      </c>
      <c r="AN25">
        <v>0</v>
      </c>
      <c r="AO25">
        <v>0</v>
      </c>
      <c r="AP25" t="e">
        <f t="shared" si="26"/>
        <v>#DIV/0!</v>
      </c>
      <c r="AQ25">
        <v>0</v>
      </c>
      <c r="AR25" t="s">
        <v>446</v>
      </c>
      <c r="AS25" t="s">
        <v>446</v>
      </c>
      <c r="AT25">
        <v>0</v>
      </c>
      <c r="AU25">
        <v>0</v>
      </c>
      <c r="AV25" t="e">
        <f t="shared" si="27"/>
        <v>#DIV/0!</v>
      </c>
      <c r="AW25">
        <v>0.5</v>
      </c>
      <c r="AX25">
        <f t="shared" si="28"/>
        <v>1513.2357002172976</v>
      </c>
      <c r="AY25">
        <f t="shared" si="29"/>
        <v>36.629465495170933</v>
      </c>
      <c r="AZ25" t="e">
        <f t="shared" si="30"/>
        <v>#DIV/0!</v>
      </c>
      <c r="BA25">
        <f t="shared" si="31"/>
        <v>2.4206054278200689E-2</v>
      </c>
      <c r="BB25" t="e">
        <f t="shared" si="32"/>
        <v>#DIV/0!</v>
      </c>
      <c r="BC25" t="e">
        <f t="shared" si="33"/>
        <v>#DIV/0!</v>
      </c>
      <c r="BD25" t="s">
        <v>446</v>
      </c>
      <c r="BE25">
        <v>0</v>
      </c>
      <c r="BF25" t="e">
        <f t="shared" si="34"/>
        <v>#DIV/0!</v>
      </c>
      <c r="BG25" t="e">
        <f t="shared" si="35"/>
        <v>#DIV/0!</v>
      </c>
      <c r="BH25" t="e">
        <f t="shared" si="36"/>
        <v>#DIV/0!</v>
      </c>
      <c r="BI25" t="e">
        <f t="shared" si="37"/>
        <v>#DIV/0!</v>
      </c>
      <c r="BJ25" t="e">
        <f t="shared" si="38"/>
        <v>#DIV/0!</v>
      </c>
      <c r="BK25" t="e">
        <f t="shared" si="39"/>
        <v>#DIV/0!</v>
      </c>
      <c r="BL25" t="e">
        <f t="shared" si="40"/>
        <v>#DIV/0!</v>
      </c>
      <c r="BM25" t="e">
        <f t="shared" si="41"/>
        <v>#DIV/0!</v>
      </c>
      <c r="BN25">
        <v>34535</v>
      </c>
      <c r="BO25">
        <v>290.00000000000011</v>
      </c>
      <c r="BP25">
        <v>800.28</v>
      </c>
      <c r="BQ25">
        <v>295</v>
      </c>
      <c r="BR25">
        <v>7111.59</v>
      </c>
      <c r="BS25">
        <v>802.41</v>
      </c>
      <c r="BT25">
        <v>-2.13</v>
      </c>
      <c r="BU25">
        <v>300.00000000000011</v>
      </c>
      <c r="BV25">
        <v>38.299999999999997</v>
      </c>
      <c r="BW25">
        <v>870.64216706248976</v>
      </c>
      <c r="BX25">
        <v>1.3591363634852609</v>
      </c>
      <c r="BY25">
        <v>-48.52215963845854</v>
      </c>
      <c r="BZ25">
        <v>0.81030964839413522</v>
      </c>
      <c r="CA25">
        <v>0.99225178442335449</v>
      </c>
      <c r="CB25">
        <v>-7.010739265850943E-3</v>
      </c>
      <c r="CC25">
        <v>289.99999999999989</v>
      </c>
      <c r="CD25">
        <v>812.23</v>
      </c>
      <c r="CE25">
        <v>855</v>
      </c>
      <c r="CF25">
        <v>7105.1</v>
      </c>
      <c r="CG25">
        <v>802.35</v>
      </c>
      <c r="CH25">
        <v>9.8800000000000008</v>
      </c>
      <c r="CV25">
        <f t="shared" si="42"/>
        <v>1800.06</v>
      </c>
      <c r="CW25">
        <f t="shared" si="43"/>
        <v>1513.2357002172976</v>
      </c>
      <c r="CX25">
        <f t="shared" si="44"/>
        <v>0.84065847817144856</v>
      </c>
      <c r="CY25">
        <f t="shared" si="45"/>
        <v>0.1608708628708958</v>
      </c>
      <c r="CZ25">
        <v>5</v>
      </c>
      <c r="DA25">
        <v>0.5</v>
      </c>
      <c r="DB25" t="s">
        <v>418</v>
      </c>
      <c r="DC25">
        <v>2</v>
      </c>
      <c r="DD25">
        <v>1700238646.0999999</v>
      </c>
      <c r="DE25">
        <v>262.02199999999999</v>
      </c>
      <c r="DF25">
        <v>299.988</v>
      </c>
      <c r="DG25">
        <v>27.3766</v>
      </c>
      <c r="DH25">
        <v>22.401800000000001</v>
      </c>
      <c r="DI25">
        <v>262.13400000000001</v>
      </c>
      <c r="DJ25">
        <v>27.026499999999999</v>
      </c>
      <c r="DK25">
        <v>500.05</v>
      </c>
      <c r="DL25">
        <v>98.842799999999997</v>
      </c>
      <c r="DM25">
        <v>9.9545300000000003E-2</v>
      </c>
      <c r="DN25">
        <v>29.360499999999998</v>
      </c>
      <c r="DO25">
        <v>29.954899999999999</v>
      </c>
      <c r="DP25">
        <v>999.9</v>
      </c>
      <c r="DQ25">
        <v>0</v>
      </c>
      <c r="DR25">
        <v>0</v>
      </c>
      <c r="DS25">
        <v>10013.799999999999</v>
      </c>
      <c r="DT25">
        <v>0</v>
      </c>
      <c r="DU25">
        <v>580.36699999999996</v>
      </c>
      <c r="DV25">
        <v>-37.966799999999999</v>
      </c>
      <c r="DW25">
        <v>269.39699999999999</v>
      </c>
      <c r="DX25">
        <v>306.863</v>
      </c>
      <c r="DY25">
        <v>4.9748700000000001</v>
      </c>
      <c r="DZ25">
        <v>299.988</v>
      </c>
      <c r="EA25">
        <v>22.401800000000001</v>
      </c>
      <c r="EB25">
        <v>2.7059799999999998</v>
      </c>
      <c r="EC25">
        <v>2.2142499999999998</v>
      </c>
      <c r="ED25">
        <v>22.3215</v>
      </c>
      <c r="EE25">
        <v>19.065799999999999</v>
      </c>
      <c r="EF25">
        <v>1800.06</v>
      </c>
      <c r="EG25">
        <v>0.97799199999999997</v>
      </c>
      <c r="EH25">
        <v>2.20079E-2</v>
      </c>
      <c r="EI25">
        <v>0</v>
      </c>
      <c r="EJ25">
        <v>627.76400000000001</v>
      </c>
      <c r="EK25">
        <v>4.9996700000000001</v>
      </c>
      <c r="EL25">
        <v>12842.4</v>
      </c>
      <c r="EM25">
        <v>15047.2</v>
      </c>
      <c r="EN25">
        <v>49.75</v>
      </c>
      <c r="EO25">
        <v>50.875</v>
      </c>
      <c r="EP25">
        <v>50.5</v>
      </c>
      <c r="EQ25">
        <v>50.561999999999998</v>
      </c>
      <c r="ER25">
        <v>51.061999999999998</v>
      </c>
      <c r="ES25">
        <v>1755.55</v>
      </c>
      <c r="ET25">
        <v>39.51</v>
      </c>
      <c r="EU25">
        <v>0</v>
      </c>
      <c r="EV25">
        <v>109.7999999523163</v>
      </c>
      <c r="EW25">
        <v>0</v>
      </c>
      <c r="EX25">
        <v>627.79311538461536</v>
      </c>
      <c r="EY25">
        <v>-0.34594870800208288</v>
      </c>
      <c r="EZ25">
        <v>-75.576068375414124</v>
      </c>
      <c r="FA25">
        <v>12853.97692307692</v>
      </c>
      <c r="FB25">
        <v>15</v>
      </c>
      <c r="FC25">
        <v>1700238612.5999999</v>
      </c>
      <c r="FD25" t="s">
        <v>460</v>
      </c>
      <c r="FE25">
        <v>1700238603.5999999</v>
      </c>
      <c r="FF25">
        <v>1700238612.5999999</v>
      </c>
      <c r="FG25">
        <v>12</v>
      </c>
      <c r="FH25">
        <v>0.184</v>
      </c>
      <c r="FI25">
        <v>4.0000000000000001E-3</v>
      </c>
      <c r="FJ25">
        <v>-0.112</v>
      </c>
      <c r="FK25">
        <v>0.29399999999999998</v>
      </c>
      <c r="FL25">
        <v>300</v>
      </c>
      <c r="FM25">
        <v>22</v>
      </c>
      <c r="FN25">
        <v>0.05</v>
      </c>
      <c r="FO25">
        <v>0.02</v>
      </c>
      <c r="FP25">
        <v>36.592300760848268</v>
      </c>
      <c r="FQ25">
        <v>0.17081530930763211</v>
      </c>
      <c r="FR25">
        <v>3.0520152456355368E-2</v>
      </c>
      <c r="FS25">
        <v>1</v>
      </c>
      <c r="FT25">
        <v>0.33354460205968423</v>
      </c>
      <c r="FU25">
        <v>3.6257995484153871E-2</v>
      </c>
      <c r="FV25">
        <v>4.3839869181832927E-3</v>
      </c>
      <c r="FW25">
        <v>1</v>
      </c>
      <c r="FX25">
        <v>2</v>
      </c>
      <c r="FY25">
        <v>2</v>
      </c>
      <c r="FZ25" t="s">
        <v>420</v>
      </c>
      <c r="GA25">
        <v>3.0120800000000001</v>
      </c>
      <c r="GB25">
        <v>2.7767499999999998</v>
      </c>
      <c r="GC25">
        <v>6.2524700000000002E-2</v>
      </c>
      <c r="GD25">
        <v>7.0368399999999998E-2</v>
      </c>
      <c r="GE25">
        <v>0.12456</v>
      </c>
      <c r="GF25">
        <v>0.109555</v>
      </c>
      <c r="GG25">
        <v>22479.200000000001</v>
      </c>
      <c r="GH25">
        <v>23021.4</v>
      </c>
      <c r="GI25">
        <v>23748.2</v>
      </c>
      <c r="GJ25">
        <v>24424.6</v>
      </c>
      <c r="GK25">
        <v>30748.9</v>
      </c>
      <c r="GL25">
        <v>31183.3</v>
      </c>
      <c r="GM25">
        <v>38893.300000000003</v>
      </c>
      <c r="GN25">
        <v>38892.5</v>
      </c>
      <c r="GO25">
        <v>1.9993300000000001</v>
      </c>
      <c r="GP25">
        <v>1.8049500000000001</v>
      </c>
      <c r="GQ25">
        <v>5.10737E-2</v>
      </c>
      <c r="GR25">
        <v>0</v>
      </c>
      <c r="GS25">
        <v>29.123100000000001</v>
      </c>
      <c r="GT25">
        <v>999.9</v>
      </c>
      <c r="GU25">
        <v>47.6</v>
      </c>
      <c r="GV25">
        <v>36.700000000000003</v>
      </c>
      <c r="GW25">
        <v>29.8704</v>
      </c>
      <c r="GX25">
        <v>61.073900000000002</v>
      </c>
      <c r="GY25">
        <v>31.1218</v>
      </c>
      <c r="GZ25">
        <v>1</v>
      </c>
      <c r="HA25">
        <v>0.62922999999999996</v>
      </c>
      <c r="HB25">
        <v>4.0741500000000004</v>
      </c>
      <c r="HC25">
        <v>20.2773</v>
      </c>
      <c r="HD25">
        <v>5.2406499999999996</v>
      </c>
      <c r="HE25">
        <v>11.999000000000001</v>
      </c>
      <c r="HF25">
        <v>4.9628500000000004</v>
      </c>
      <c r="HG25">
        <v>3.30003</v>
      </c>
      <c r="HH25">
        <v>9999</v>
      </c>
      <c r="HI25">
        <v>9999</v>
      </c>
      <c r="HJ25">
        <v>9999</v>
      </c>
      <c r="HK25">
        <v>999.9</v>
      </c>
      <c r="HL25">
        <v>1.87514</v>
      </c>
      <c r="HM25">
        <v>1.8804399999999999</v>
      </c>
      <c r="HN25">
        <v>1.88053</v>
      </c>
      <c r="HO25">
        <v>1.87923</v>
      </c>
      <c r="HP25">
        <v>1.8815599999999999</v>
      </c>
      <c r="HQ25">
        <v>1.8774500000000001</v>
      </c>
      <c r="HR25">
        <v>1.8751500000000001</v>
      </c>
      <c r="HS25">
        <v>1.8824799999999999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-0.112</v>
      </c>
      <c r="IH25">
        <v>0.35010000000000002</v>
      </c>
      <c r="II25">
        <v>-0.2091124744623421</v>
      </c>
      <c r="IJ25">
        <v>7.0786345690369205E-4</v>
      </c>
      <c r="IK25">
        <v>-1.387476646623666E-6</v>
      </c>
      <c r="IL25">
        <v>3.6592443641472651E-10</v>
      </c>
      <c r="IM25">
        <v>0.35008327071825501</v>
      </c>
      <c r="IN25">
        <v>0</v>
      </c>
      <c r="IO25">
        <v>0</v>
      </c>
      <c r="IP25">
        <v>0</v>
      </c>
      <c r="IQ25">
        <v>2</v>
      </c>
      <c r="IR25">
        <v>2142</v>
      </c>
      <c r="IS25">
        <v>1</v>
      </c>
      <c r="IT25">
        <v>24</v>
      </c>
      <c r="IU25">
        <v>0.7</v>
      </c>
      <c r="IV25">
        <v>0.6</v>
      </c>
      <c r="IW25">
        <v>0.81054700000000002</v>
      </c>
      <c r="IX25">
        <v>2.65381</v>
      </c>
      <c r="IY25">
        <v>1.5490699999999999</v>
      </c>
      <c r="IZ25">
        <v>2.36816</v>
      </c>
      <c r="JA25">
        <v>1.5966800000000001</v>
      </c>
      <c r="JB25">
        <v>2.2607400000000002</v>
      </c>
      <c r="JC25">
        <v>42.112099999999998</v>
      </c>
      <c r="JD25">
        <v>23.9999</v>
      </c>
      <c r="JE25">
        <v>18</v>
      </c>
      <c r="JF25">
        <v>515.75699999999995</v>
      </c>
      <c r="JG25">
        <v>456.63299999999998</v>
      </c>
      <c r="JH25">
        <v>25.110399999999998</v>
      </c>
      <c r="JI25">
        <v>34.786799999999999</v>
      </c>
      <c r="JJ25">
        <v>29.999600000000001</v>
      </c>
      <c r="JK25">
        <v>34.770499999999998</v>
      </c>
      <c r="JL25">
        <v>34.7562</v>
      </c>
      <c r="JM25">
        <v>16.207899999999999</v>
      </c>
      <c r="JN25">
        <v>28.115400000000001</v>
      </c>
      <c r="JO25">
        <v>43.746400000000001</v>
      </c>
      <c r="JP25">
        <v>25.836400000000001</v>
      </c>
      <c r="JQ25">
        <v>300</v>
      </c>
      <c r="JR25">
        <v>22.1737</v>
      </c>
      <c r="JS25">
        <v>98.499499999999998</v>
      </c>
      <c r="JT25">
        <v>99.349900000000005</v>
      </c>
    </row>
    <row r="26" spans="1:280" x14ac:dyDescent="0.25">
      <c r="A26">
        <v>10</v>
      </c>
      <c r="B26">
        <v>1700238758.5999999</v>
      </c>
      <c r="C26">
        <v>1624.099999904633</v>
      </c>
      <c r="D26" t="s">
        <v>461</v>
      </c>
      <c r="E26" t="s">
        <v>462</v>
      </c>
      <c r="F26" t="s">
        <v>412</v>
      </c>
      <c r="G26" t="s">
        <v>413</v>
      </c>
      <c r="H26" t="s">
        <v>414</v>
      </c>
      <c r="I26">
        <v>1700238758.5999999</v>
      </c>
      <c r="J26">
        <f t="shared" si="0"/>
        <v>5.8572372861418077E-3</v>
      </c>
      <c r="K26">
        <f t="shared" si="1"/>
        <v>5.8572372861418076</v>
      </c>
      <c r="L26">
        <f t="shared" si="2"/>
        <v>27.240029452223855</v>
      </c>
      <c r="M26">
        <f t="shared" si="3"/>
        <v>171.779</v>
      </c>
      <c r="N26">
        <f t="shared" si="4"/>
        <v>50.588850881515818</v>
      </c>
      <c r="O26">
        <f t="shared" si="5"/>
        <v>5.0054750488229569</v>
      </c>
      <c r="P26">
        <f t="shared" si="6"/>
        <v>16.996541400506999</v>
      </c>
      <c r="Q26">
        <f t="shared" si="7"/>
        <v>0.39001472190917469</v>
      </c>
      <c r="R26">
        <f t="shared" si="8"/>
        <v>3.1219788053788928</v>
      </c>
      <c r="S26">
        <f t="shared" si="9"/>
        <v>0.36482775254428806</v>
      </c>
      <c r="T26">
        <f t="shared" si="10"/>
        <v>0.23014461397078217</v>
      </c>
      <c r="U26">
        <f t="shared" si="11"/>
        <v>289.57720541938471</v>
      </c>
      <c r="V26">
        <f t="shared" si="12"/>
        <v>29.842888220954368</v>
      </c>
      <c r="W26">
        <f t="shared" si="13"/>
        <v>29.966200000000001</v>
      </c>
      <c r="X26">
        <f t="shared" si="14"/>
        <v>4.2521853406854611</v>
      </c>
      <c r="Y26">
        <f t="shared" si="15"/>
        <v>65.059386208838859</v>
      </c>
      <c r="Z26">
        <f t="shared" si="16"/>
        <v>2.7196207659311997</v>
      </c>
      <c r="AA26">
        <f t="shared" si="17"/>
        <v>4.1802127631534844</v>
      </c>
      <c r="AB26">
        <f t="shared" si="18"/>
        <v>1.5325645747542613</v>
      </c>
      <c r="AC26">
        <f t="shared" si="19"/>
        <v>-258.30416431885374</v>
      </c>
      <c r="AD26">
        <f t="shared" si="20"/>
        <v>-49.955037618338366</v>
      </c>
      <c r="AE26">
        <f t="shared" si="21"/>
        <v>-3.5514430259905105</v>
      </c>
      <c r="AF26">
        <f t="shared" si="22"/>
        <v>-22.233439543797914</v>
      </c>
      <c r="AG26">
        <v>4</v>
      </c>
      <c r="AH26">
        <v>1</v>
      </c>
      <c r="AI26">
        <f t="shared" si="23"/>
        <v>1</v>
      </c>
      <c r="AJ26">
        <f t="shared" si="24"/>
        <v>0</v>
      </c>
      <c r="AK26">
        <f t="shared" si="25"/>
        <v>51811.018086739961</v>
      </c>
      <c r="AL26" t="s">
        <v>415</v>
      </c>
      <c r="AM26">
        <v>10238.9</v>
      </c>
      <c r="AN26">
        <v>302.21199999999999</v>
      </c>
      <c r="AO26">
        <v>4052.3</v>
      </c>
      <c r="AP26">
        <f t="shared" si="26"/>
        <v>0.92542210596451402</v>
      </c>
      <c r="AQ26">
        <v>-0.32343011824092421</v>
      </c>
      <c r="AR26" t="s">
        <v>463</v>
      </c>
      <c r="AS26">
        <v>7110.78</v>
      </c>
      <c r="AT26">
        <v>647.08476923076933</v>
      </c>
      <c r="AU26">
        <v>807.37401180232052</v>
      </c>
      <c r="AV26">
        <f t="shared" si="27"/>
        <v>0.19853158539712423</v>
      </c>
      <c r="AW26">
        <v>0.5</v>
      </c>
      <c r="AX26">
        <f t="shared" si="28"/>
        <v>1513.2357002172976</v>
      </c>
      <c r="AY26">
        <f t="shared" si="29"/>
        <v>27.240029452223855</v>
      </c>
      <c r="AZ26">
        <f t="shared" si="30"/>
        <v>150.21254132183375</v>
      </c>
      <c r="BA26">
        <f t="shared" si="31"/>
        <v>1.8214914944517054E-2</v>
      </c>
      <c r="BB26">
        <f t="shared" si="32"/>
        <v>4.0191112678422147</v>
      </c>
      <c r="BC26">
        <f t="shared" si="33"/>
        <v>232.51783544631164</v>
      </c>
      <c r="BD26" t="s">
        <v>464</v>
      </c>
      <c r="BE26">
        <v>457.71</v>
      </c>
      <c r="BF26">
        <f t="shared" si="34"/>
        <v>457.71</v>
      </c>
      <c r="BG26">
        <f t="shared" si="35"/>
        <v>0.43308801954345433</v>
      </c>
      <c r="BH26">
        <f t="shared" si="36"/>
        <v>0.4584093219812661</v>
      </c>
      <c r="BI26">
        <f t="shared" si="37"/>
        <v>0.90272492501166457</v>
      </c>
      <c r="BJ26">
        <f t="shared" si="38"/>
        <v>0.31730264514481232</v>
      </c>
      <c r="BK26">
        <f t="shared" si="39"/>
        <v>0.86529329130347854</v>
      </c>
      <c r="BL26">
        <f t="shared" si="40"/>
        <v>0.32425200026492645</v>
      </c>
      <c r="BM26">
        <f t="shared" si="41"/>
        <v>0.67574799973507349</v>
      </c>
      <c r="BN26">
        <v>34537</v>
      </c>
      <c r="BO26">
        <v>290.00000000000011</v>
      </c>
      <c r="BP26">
        <v>763.3</v>
      </c>
      <c r="BQ26">
        <v>295</v>
      </c>
      <c r="BR26">
        <v>7110.78</v>
      </c>
      <c r="BS26">
        <v>764.55</v>
      </c>
      <c r="BT26">
        <v>-1.25</v>
      </c>
      <c r="BU26">
        <v>300.00000000000011</v>
      </c>
      <c r="BV26">
        <v>38.299999999999997</v>
      </c>
      <c r="BW26">
        <v>807.37401180232052</v>
      </c>
      <c r="BX26">
        <v>1.005198832233388</v>
      </c>
      <c r="BY26">
        <v>-30.45139952097567</v>
      </c>
      <c r="BZ26">
        <v>0.59922858339984553</v>
      </c>
      <c r="CA26">
        <v>0.98927382013229714</v>
      </c>
      <c r="CB26">
        <v>-7.0097254727475066E-3</v>
      </c>
      <c r="CC26">
        <v>289.99999999999989</v>
      </c>
      <c r="CD26">
        <v>770.9</v>
      </c>
      <c r="CE26">
        <v>885</v>
      </c>
      <c r="CF26">
        <v>7103.89</v>
      </c>
      <c r="CG26">
        <v>764.51</v>
      </c>
      <c r="CH26">
        <v>6.39</v>
      </c>
      <c r="CV26">
        <f t="shared" si="42"/>
        <v>1800.06</v>
      </c>
      <c r="CW26">
        <f t="shared" si="43"/>
        <v>1513.2357002172976</v>
      </c>
      <c r="CX26">
        <f t="shared" si="44"/>
        <v>0.84065847817144856</v>
      </c>
      <c r="CY26">
        <f t="shared" si="45"/>
        <v>0.1608708628708958</v>
      </c>
      <c r="CZ26">
        <v>5</v>
      </c>
      <c r="DA26">
        <v>0.5</v>
      </c>
      <c r="DB26" t="s">
        <v>418</v>
      </c>
      <c r="DC26">
        <v>2</v>
      </c>
      <c r="DD26">
        <v>1700238758.5999999</v>
      </c>
      <c r="DE26">
        <v>171.779</v>
      </c>
      <c r="DF26">
        <v>200.02099999999999</v>
      </c>
      <c r="DG26">
        <v>27.4864</v>
      </c>
      <c r="DH26">
        <v>21.791</v>
      </c>
      <c r="DI26">
        <v>171.958</v>
      </c>
      <c r="DJ26">
        <v>27.135400000000001</v>
      </c>
      <c r="DK26">
        <v>500.07400000000001</v>
      </c>
      <c r="DL26">
        <v>98.844200000000001</v>
      </c>
      <c r="DM26">
        <v>0.100033</v>
      </c>
      <c r="DN26">
        <v>29.6694</v>
      </c>
      <c r="DO26">
        <v>29.966200000000001</v>
      </c>
      <c r="DP26">
        <v>999.9</v>
      </c>
      <c r="DQ26">
        <v>0</v>
      </c>
      <c r="DR26">
        <v>0</v>
      </c>
      <c r="DS26">
        <v>10001.200000000001</v>
      </c>
      <c r="DT26">
        <v>0</v>
      </c>
      <c r="DU26">
        <v>586.625</v>
      </c>
      <c r="DV26">
        <v>-28.242599999999999</v>
      </c>
      <c r="DW26">
        <v>176.63399999999999</v>
      </c>
      <c r="DX26">
        <v>204.477</v>
      </c>
      <c r="DY26">
        <v>5.6953699999999996</v>
      </c>
      <c r="DZ26">
        <v>200.02099999999999</v>
      </c>
      <c r="EA26">
        <v>21.791</v>
      </c>
      <c r="EB26">
        <v>2.7168700000000001</v>
      </c>
      <c r="EC26">
        <v>2.1539199999999998</v>
      </c>
      <c r="ED26">
        <v>22.387499999999999</v>
      </c>
      <c r="EE26">
        <v>18.6236</v>
      </c>
      <c r="EF26">
        <v>1800.06</v>
      </c>
      <c r="EG26">
        <v>0.97799199999999997</v>
      </c>
      <c r="EH26">
        <v>2.20079E-2</v>
      </c>
      <c r="EI26">
        <v>0</v>
      </c>
      <c r="EJ26">
        <v>646.69799999999998</v>
      </c>
      <c r="EK26">
        <v>4.9996700000000001</v>
      </c>
      <c r="EL26">
        <v>13095.9</v>
      </c>
      <c r="EM26">
        <v>15047.3</v>
      </c>
      <c r="EN26">
        <v>49.75</v>
      </c>
      <c r="EO26">
        <v>50.875</v>
      </c>
      <c r="EP26">
        <v>50.5</v>
      </c>
      <c r="EQ26">
        <v>50.5</v>
      </c>
      <c r="ER26">
        <v>51.125</v>
      </c>
      <c r="ES26">
        <v>1755.55</v>
      </c>
      <c r="ET26">
        <v>39.51</v>
      </c>
      <c r="EU26">
        <v>0</v>
      </c>
      <c r="EV26">
        <v>222.5999999046326</v>
      </c>
      <c r="EW26">
        <v>0</v>
      </c>
      <c r="EX26">
        <v>647.08476923076933</v>
      </c>
      <c r="EY26">
        <v>-1.8076581310255659</v>
      </c>
      <c r="EZ26">
        <v>-5.6512821021853892</v>
      </c>
      <c r="FA26">
        <v>13096.711538461541</v>
      </c>
      <c r="FB26">
        <v>15</v>
      </c>
      <c r="FC26">
        <v>1700238727.5999999</v>
      </c>
      <c r="FD26" t="s">
        <v>465</v>
      </c>
      <c r="FE26">
        <v>1700238727.5999999</v>
      </c>
      <c r="FF26">
        <v>1700238726.5999999</v>
      </c>
      <c r="FG26">
        <v>13</v>
      </c>
      <c r="FH26">
        <v>-5.2999999999999999E-2</v>
      </c>
      <c r="FI26">
        <v>1E-3</v>
      </c>
      <c r="FJ26">
        <v>-0.17299999999999999</v>
      </c>
      <c r="FK26">
        <v>0.27600000000000002</v>
      </c>
      <c r="FL26">
        <v>200</v>
      </c>
      <c r="FM26">
        <v>22</v>
      </c>
      <c r="FN26">
        <v>7.0000000000000007E-2</v>
      </c>
      <c r="FO26">
        <v>0.02</v>
      </c>
      <c r="FP26">
        <v>27.107641150495471</v>
      </c>
      <c r="FQ26">
        <v>0.63278196115915641</v>
      </c>
      <c r="FR26">
        <v>4.9261371105632203E-2</v>
      </c>
      <c r="FS26">
        <v>1</v>
      </c>
      <c r="FT26">
        <v>0.39267078556416318</v>
      </c>
      <c r="FU26">
        <v>1.8974087999318521E-2</v>
      </c>
      <c r="FV26">
        <v>3.3185956765482039E-3</v>
      </c>
      <c r="FW26">
        <v>1</v>
      </c>
      <c r="FX26">
        <v>2</v>
      </c>
      <c r="FY26">
        <v>2</v>
      </c>
      <c r="FZ26" t="s">
        <v>420</v>
      </c>
      <c r="GA26">
        <v>3.0122</v>
      </c>
      <c r="GB26">
        <v>2.7771300000000001</v>
      </c>
      <c r="GC26">
        <v>4.3337599999999997E-2</v>
      </c>
      <c r="GD26">
        <v>4.9937500000000003E-2</v>
      </c>
      <c r="GE26">
        <v>0.124893</v>
      </c>
      <c r="GF26">
        <v>0.10745499999999999</v>
      </c>
      <c r="GG26">
        <v>22935.9</v>
      </c>
      <c r="GH26">
        <v>23524.7</v>
      </c>
      <c r="GI26">
        <v>23745.599999999999</v>
      </c>
      <c r="GJ26">
        <v>24422.6</v>
      </c>
      <c r="GK26">
        <v>30734.400000000001</v>
      </c>
      <c r="GL26">
        <v>31254.799999999999</v>
      </c>
      <c r="GM26">
        <v>38889.4</v>
      </c>
      <c r="GN26">
        <v>38889.599999999999</v>
      </c>
      <c r="GO26">
        <v>1.99918</v>
      </c>
      <c r="GP26">
        <v>1.8008</v>
      </c>
      <c r="GQ26">
        <v>5.2489300000000003E-2</v>
      </c>
      <c r="GR26">
        <v>0</v>
      </c>
      <c r="GS26">
        <v>29.1114</v>
      </c>
      <c r="GT26">
        <v>999.9</v>
      </c>
      <c r="GU26">
        <v>47</v>
      </c>
      <c r="GV26">
        <v>36.9</v>
      </c>
      <c r="GW26">
        <v>29.814</v>
      </c>
      <c r="GX26">
        <v>61.003900000000002</v>
      </c>
      <c r="GY26">
        <v>30.597000000000001</v>
      </c>
      <c r="GZ26">
        <v>1</v>
      </c>
      <c r="HA26">
        <v>0.62495699999999998</v>
      </c>
      <c r="HB26">
        <v>1.8991499999999999</v>
      </c>
      <c r="HC26">
        <v>20.3184</v>
      </c>
      <c r="HD26">
        <v>5.2460399999999998</v>
      </c>
      <c r="HE26">
        <v>11.997999999999999</v>
      </c>
      <c r="HF26">
        <v>4.9637500000000001</v>
      </c>
      <c r="HG26">
        <v>3.3008500000000001</v>
      </c>
      <c r="HH26">
        <v>9999</v>
      </c>
      <c r="HI26">
        <v>9999</v>
      </c>
      <c r="HJ26">
        <v>9999</v>
      </c>
      <c r="HK26">
        <v>999.9</v>
      </c>
      <c r="HL26">
        <v>1.8751500000000001</v>
      </c>
      <c r="HM26">
        <v>1.8804700000000001</v>
      </c>
      <c r="HN26">
        <v>1.88052</v>
      </c>
      <c r="HO26">
        <v>1.8792599999999999</v>
      </c>
      <c r="HP26">
        <v>1.88157</v>
      </c>
      <c r="HQ26">
        <v>1.87751</v>
      </c>
      <c r="HR26">
        <v>1.8751899999999999</v>
      </c>
      <c r="HS26">
        <v>1.8824799999999999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-0.17899999999999999</v>
      </c>
      <c r="IH26">
        <v>0.35099999999999998</v>
      </c>
      <c r="II26">
        <v>-0.26158109175799948</v>
      </c>
      <c r="IJ26">
        <v>7.0786345690369205E-4</v>
      </c>
      <c r="IK26">
        <v>-1.387476646623666E-6</v>
      </c>
      <c r="IL26">
        <v>3.6592443641472651E-10</v>
      </c>
      <c r="IM26">
        <v>0.35101719631470529</v>
      </c>
      <c r="IN26">
        <v>0</v>
      </c>
      <c r="IO26">
        <v>0</v>
      </c>
      <c r="IP26">
        <v>0</v>
      </c>
      <c r="IQ26">
        <v>2</v>
      </c>
      <c r="IR26">
        <v>2142</v>
      </c>
      <c r="IS26">
        <v>1</v>
      </c>
      <c r="IT26">
        <v>24</v>
      </c>
      <c r="IU26">
        <v>0.5</v>
      </c>
      <c r="IV26">
        <v>0.5</v>
      </c>
      <c r="IW26">
        <v>0.59448199999999995</v>
      </c>
      <c r="IX26">
        <v>2.65503</v>
      </c>
      <c r="IY26">
        <v>1.5490699999999999</v>
      </c>
      <c r="IZ26">
        <v>2.36816</v>
      </c>
      <c r="JA26">
        <v>1.5966800000000001</v>
      </c>
      <c r="JB26">
        <v>2.2448700000000001</v>
      </c>
      <c r="JC26">
        <v>42.271000000000001</v>
      </c>
      <c r="JD26">
        <v>24.017499999999998</v>
      </c>
      <c r="JE26">
        <v>18</v>
      </c>
      <c r="JF26">
        <v>516.09299999999996</v>
      </c>
      <c r="JG26">
        <v>454.31700000000001</v>
      </c>
      <c r="JH26">
        <v>27.132400000000001</v>
      </c>
      <c r="JI26">
        <v>34.854599999999998</v>
      </c>
      <c r="JJ26">
        <v>30.000499999999999</v>
      </c>
      <c r="JK26">
        <v>34.826599999999999</v>
      </c>
      <c r="JL26">
        <v>34.808999999999997</v>
      </c>
      <c r="JM26">
        <v>11.9009</v>
      </c>
      <c r="JN26">
        <v>29.344100000000001</v>
      </c>
      <c r="JO26">
        <v>41.390900000000002</v>
      </c>
      <c r="JP26">
        <v>27.142800000000001</v>
      </c>
      <c r="JQ26">
        <v>200</v>
      </c>
      <c r="JR26">
        <v>21.772300000000001</v>
      </c>
      <c r="JS26">
        <v>98.489199999999997</v>
      </c>
      <c r="JT26">
        <v>99.342299999999994</v>
      </c>
    </row>
    <row r="27" spans="1:280" x14ac:dyDescent="0.25">
      <c r="A27">
        <v>11</v>
      </c>
      <c r="B27">
        <v>1700238871.0999999</v>
      </c>
      <c r="C27">
        <v>1736.599999904633</v>
      </c>
      <c r="D27" t="s">
        <v>466</v>
      </c>
      <c r="E27" t="s">
        <v>467</v>
      </c>
      <c r="F27" t="s">
        <v>412</v>
      </c>
      <c r="G27" t="s">
        <v>413</v>
      </c>
      <c r="H27" t="s">
        <v>414</v>
      </c>
      <c r="I27">
        <v>1700238871.0999999</v>
      </c>
      <c r="J27">
        <f t="shared" si="0"/>
        <v>6.3245403983632669E-3</v>
      </c>
      <c r="K27">
        <f t="shared" si="1"/>
        <v>6.3245403983632666</v>
      </c>
      <c r="L27">
        <f t="shared" si="2"/>
        <v>17.619567818789722</v>
      </c>
      <c r="M27">
        <f t="shared" si="3"/>
        <v>101.742</v>
      </c>
      <c r="N27">
        <f t="shared" si="4"/>
        <v>31.21123863560976</v>
      </c>
      <c r="O27">
        <f t="shared" si="5"/>
        <v>3.087993286684346</v>
      </c>
      <c r="P27">
        <f t="shared" si="6"/>
        <v>10.066201365535802</v>
      </c>
      <c r="Q27">
        <f t="shared" si="7"/>
        <v>0.4362850150363316</v>
      </c>
      <c r="R27">
        <f t="shared" si="8"/>
        <v>3.1245753594281327</v>
      </c>
      <c r="S27">
        <f t="shared" si="9"/>
        <v>0.40504808991340352</v>
      </c>
      <c r="T27">
        <f t="shared" si="10"/>
        <v>0.25577494889088037</v>
      </c>
      <c r="U27">
        <f t="shared" si="11"/>
        <v>289.58518541937309</v>
      </c>
      <c r="V27">
        <f t="shared" si="12"/>
        <v>29.895656124502565</v>
      </c>
      <c r="W27">
        <f t="shared" si="13"/>
        <v>30.034199999999998</v>
      </c>
      <c r="X27">
        <f t="shared" si="14"/>
        <v>4.268826252584371</v>
      </c>
      <c r="Y27">
        <f t="shared" si="15"/>
        <v>65.843561064171979</v>
      </c>
      <c r="Z27">
        <f t="shared" si="16"/>
        <v>2.7789946194816904</v>
      </c>
      <c r="AA27">
        <f t="shared" si="17"/>
        <v>4.2206019458352912</v>
      </c>
      <c r="AB27">
        <f t="shared" si="18"/>
        <v>1.4898316331026806</v>
      </c>
      <c r="AC27">
        <f t="shared" si="19"/>
        <v>-278.91223156782007</v>
      </c>
      <c r="AD27">
        <f t="shared" si="20"/>
        <v>-33.302981509909259</v>
      </c>
      <c r="AE27">
        <f t="shared" si="21"/>
        <v>-2.3683900676515433</v>
      </c>
      <c r="AF27">
        <f t="shared" si="22"/>
        <v>-24.998417726007787</v>
      </c>
      <c r="AG27">
        <v>4</v>
      </c>
      <c r="AH27">
        <v>1</v>
      </c>
      <c r="AI27">
        <f t="shared" si="23"/>
        <v>1</v>
      </c>
      <c r="AJ27">
        <f t="shared" si="24"/>
        <v>0</v>
      </c>
      <c r="AK27">
        <f t="shared" si="25"/>
        <v>51848.111872596703</v>
      </c>
      <c r="AL27" t="s">
        <v>446</v>
      </c>
      <c r="AM27" t="s">
        <v>446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446</v>
      </c>
      <c r="AS27" t="s">
        <v>446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1513.2777002172918</v>
      </c>
      <c r="AY27">
        <f t="shared" si="29"/>
        <v>17.619567818789722</v>
      </c>
      <c r="AZ27" t="e">
        <f t="shared" si="30"/>
        <v>#DIV/0!</v>
      </c>
      <c r="BA27">
        <f t="shared" si="31"/>
        <v>1.1643314255050297E-2</v>
      </c>
      <c r="BB27" t="e">
        <f t="shared" si="32"/>
        <v>#DIV/0!</v>
      </c>
      <c r="BC27" t="e">
        <f t="shared" si="33"/>
        <v>#DIV/0!</v>
      </c>
      <c r="BD27" t="s">
        <v>446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BN27">
        <v>34537</v>
      </c>
      <c r="BO27">
        <v>290.00000000000011</v>
      </c>
      <c r="BP27">
        <v>763.3</v>
      </c>
      <c r="BQ27">
        <v>295</v>
      </c>
      <c r="BR27">
        <v>7110.78</v>
      </c>
      <c r="BS27">
        <v>764.55</v>
      </c>
      <c r="BT27">
        <v>-1.25</v>
      </c>
      <c r="BU27">
        <v>300.00000000000011</v>
      </c>
      <c r="BV27">
        <v>38.299999999999997</v>
      </c>
      <c r="BW27">
        <v>807.37401180232052</v>
      </c>
      <c r="BX27">
        <v>1.005198832233388</v>
      </c>
      <c r="BY27">
        <v>-30.45139952097567</v>
      </c>
      <c r="BZ27">
        <v>0.59922858339984553</v>
      </c>
      <c r="CA27">
        <v>0.98927382013229714</v>
      </c>
      <c r="CB27">
        <v>-7.0097254727475066E-3</v>
      </c>
      <c r="CC27">
        <v>289.99999999999989</v>
      </c>
      <c r="CD27">
        <v>770.9</v>
      </c>
      <c r="CE27">
        <v>885</v>
      </c>
      <c r="CF27">
        <v>7103.89</v>
      </c>
      <c r="CG27">
        <v>764.51</v>
      </c>
      <c r="CH27">
        <v>6.39</v>
      </c>
      <c r="CV27">
        <f t="shared" si="42"/>
        <v>1800.11</v>
      </c>
      <c r="CW27">
        <f t="shared" si="43"/>
        <v>1513.2777002172918</v>
      </c>
      <c r="CX27">
        <f t="shared" si="44"/>
        <v>0.84065845988150267</v>
      </c>
      <c r="CY27">
        <f t="shared" si="45"/>
        <v>0.16087082757130014</v>
      </c>
      <c r="CZ27">
        <v>5</v>
      </c>
      <c r="DA27">
        <v>0.5</v>
      </c>
      <c r="DB27" t="s">
        <v>418</v>
      </c>
      <c r="DC27">
        <v>2</v>
      </c>
      <c r="DD27">
        <v>1700238871.0999999</v>
      </c>
      <c r="DE27">
        <v>101.742</v>
      </c>
      <c r="DF27">
        <v>120</v>
      </c>
      <c r="DG27">
        <v>28.088100000000001</v>
      </c>
      <c r="DH27">
        <v>21.942900000000002</v>
      </c>
      <c r="DI27">
        <v>101.898</v>
      </c>
      <c r="DJ27">
        <v>27.736499999999999</v>
      </c>
      <c r="DK27">
        <v>500.13799999999998</v>
      </c>
      <c r="DL27">
        <v>98.838800000000006</v>
      </c>
      <c r="DM27">
        <v>9.9704899999999999E-2</v>
      </c>
      <c r="DN27">
        <v>29.836500000000001</v>
      </c>
      <c r="DO27">
        <v>30.034199999999998</v>
      </c>
      <c r="DP27">
        <v>999.9</v>
      </c>
      <c r="DQ27">
        <v>0</v>
      </c>
      <c r="DR27">
        <v>0</v>
      </c>
      <c r="DS27">
        <v>10015</v>
      </c>
      <c r="DT27">
        <v>0</v>
      </c>
      <c r="DU27">
        <v>590.72299999999996</v>
      </c>
      <c r="DV27">
        <v>-18.258199999999999</v>
      </c>
      <c r="DW27">
        <v>104.682</v>
      </c>
      <c r="DX27">
        <v>122.69199999999999</v>
      </c>
      <c r="DY27">
        <v>6.1451900000000004</v>
      </c>
      <c r="DZ27">
        <v>120</v>
      </c>
      <c r="EA27">
        <v>21.942900000000002</v>
      </c>
      <c r="EB27">
        <v>2.7761999999999998</v>
      </c>
      <c r="EC27">
        <v>2.1688100000000001</v>
      </c>
      <c r="ED27">
        <v>22.743200000000002</v>
      </c>
      <c r="EE27">
        <v>18.733799999999999</v>
      </c>
      <c r="EF27">
        <v>1800.11</v>
      </c>
      <c r="EG27">
        <v>0.97799199999999997</v>
      </c>
      <c r="EH27">
        <v>2.20079E-2</v>
      </c>
      <c r="EI27">
        <v>0</v>
      </c>
      <c r="EJ27">
        <v>669.697</v>
      </c>
      <c r="EK27">
        <v>4.9996700000000001</v>
      </c>
      <c r="EL27">
        <v>13555.1</v>
      </c>
      <c r="EM27">
        <v>15047.7</v>
      </c>
      <c r="EN27">
        <v>49.811999999999998</v>
      </c>
      <c r="EO27">
        <v>50.875</v>
      </c>
      <c r="EP27">
        <v>50.5</v>
      </c>
      <c r="EQ27">
        <v>50.5</v>
      </c>
      <c r="ER27">
        <v>51.125</v>
      </c>
      <c r="ES27">
        <v>1755.6</v>
      </c>
      <c r="ET27">
        <v>39.51</v>
      </c>
      <c r="EU27">
        <v>0</v>
      </c>
      <c r="EV27">
        <v>110.5999999046326</v>
      </c>
      <c r="EW27">
        <v>0</v>
      </c>
      <c r="EX27">
        <v>669.8528</v>
      </c>
      <c r="EY27">
        <v>0.42300000006050831</v>
      </c>
      <c r="EZ27">
        <v>394.93076832860532</v>
      </c>
      <c r="FA27">
        <v>13529.616</v>
      </c>
      <c r="FB27">
        <v>15</v>
      </c>
      <c r="FC27">
        <v>1700238840.5999999</v>
      </c>
      <c r="FD27" t="s">
        <v>468</v>
      </c>
      <c r="FE27">
        <v>1700238830.0999999</v>
      </c>
      <c r="FF27">
        <v>1700238840.5999999</v>
      </c>
      <c r="FG27">
        <v>14</v>
      </c>
      <c r="FH27">
        <v>4.8000000000000001E-2</v>
      </c>
      <c r="FI27">
        <v>1E-3</v>
      </c>
      <c r="FJ27">
        <v>-0.14799999999999999</v>
      </c>
      <c r="FK27">
        <v>0.28000000000000003</v>
      </c>
      <c r="FL27">
        <v>120</v>
      </c>
      <c r="FM27">
        <v>22</v>
      </c>
      <c r="FN27">
        <v>7.0000000000000007E-2</v>
      </c>
      <c r="FO27">
        <v>0.01</v>
      </c>
      <c r="FP27">
        <v>17.599930727970879</v>
      </c>
      <c r="FQ27">
        <v>0.44334517154274661</v>
      </c>
      <c r="FR27">
        <v>4.278268100202267E-2</v>
      </c>
      <c r="FS27">
        <v>1</v>
      </c>
      <c r="FT27">
        <v>0.42630654202204948</v>
      </c>
      <c r="FU27">
        <v>4.540225660352766E-2</v>
      </c>
      <c r="FV27">
        <v>4.9001962576670881E-3</v>
      </c>
      <c r="FW27">
        <v>1</v>
      </c>
      <c r="FX27">
        <v>2</v>
      </c>
      <c r="FY27">
        <v>2</v>
      </c>
      <c r="FZ27" t="s">
        <v>420</v>
      </c>
      <c r="GA27">
        <v>3.0123899999999999</v>
      </c>
      <c r="GB27">
        <v>2.7769200000000001</v>
      </c>
      <c r="GC27">
        <v>2.6686999999999999E-2</v>
      </c>
      <c r="GD27">
        <v>3.13967E-2</v>
      </c>
      <c r="GE27">
        <v>0.126773</v>
      </c>
      <c r="GF27">
        <v>0.107959</v>
      </c>
      <c r="GG27">
        <v>23331.7</v>
      </c>
      <c r="GH27">
        <v>23980.6</v>
      </c>
      <c r="GI27">
        <v>23743.1</v>
      </c>
      <c r="GJ27">
        <v>24420.3</v>
      </c>
      <c r="GK27">
        <v>30665.599999999999</v>
      </c>
      <c r="GL27">
        <v>31234.7</v>
      </c>
      <c r="GM27">
        <v>38885.599999999999</v>
      </c>
      <c r="GN27">
        <v>38886.400000000001</v>
      </c>
      <c r="GO27">
        <v>1.9990000000000001</v>
      </c>
      <c r="GP27">
        <v>1.7982</v>
      </c>
      <c r="GQ27">
        <v>4.5634800000000003E-2</v>
      </c>
      <c r="GR27">
        <v>0</v>
      </c>
      <c r="GS27">
        <v>29.2911</v>
      </c>
      <c r="GT27">
        <v>999.9</v>
      </c>
      <c r="GU27">
        <v>46.3</v>
      </c>
      <c r="GV27">
        <v>37.1</v>
      </c>
      <c r="GW27">
        <v>29.698599999999999</v>
      </c>
      <c r="GX27">
        <v>60.8339</v>
      </c>
      <c r="GY27">
        <v>31.069700000000001</v>
      </c>
      <c r="GZ27">
        <v>1</v>
      </c>
      <c r="HA27">
        <v>0.63714199999999999</v>
      </c>
      <c r="HB27">
        <v>3.7602799999999998</v>
      </c>
      <c r="HC27">
        <v>20.283300000000001</v>
      </c>
      <c r="HD27">
        <v>5.2408000000000001</v>
      </c>
      <c r="HE27">
        <v>11.998100000000001</v>
      </c>
      <c r="HF27">
        <v>4.9631499999999997</v>
      </c>
      <c r="HG27">
        <v>3.3001999999999998</v>
      </c>
      <c r="HH27">
        <v>9999</v>
      </c>
      <c r="HI27">
        <v>9999</v>
      </c>
      <c r="HJ27">
        <v>9999</v>
      </c>
      <c r="HK27">
        <v>999.9</v>
      </c>
      <c r="HL27">
        <v>1.8751500000000001</v>
      </c>
      <c r="HM27">
        <v>1.88049</v>
      </c>
      <c r="HN27">
        <v>1.8805099999999999</v>
      </c>
      <c r="HO27">
        <v>1.8792500000000001</v>
      </c>
      <c r="HP27">
        <v>1.8815599999999999</v>
      </c>
      <c r="HQ27">
        <v>1.8774900000000001</v>
      </c>
      <c r="HR27">
        <v>1.8751800000000001</v>
      </c>
      <c r="HS27">
        <v>1.8824799999999999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-0.156</v>
      </c>
      <c r="IH27">
        <v>0.35160000000000002</v>
      </c>
      <c r="II27">
        <v>-0.21396935316773991</v>
      </c>
      <c r="IJ27">
        <v>7.0786345690369205E-4</v>
      </c>
      <c r="IK27">
        <v>-1.387476646623666E-6</v>
      </c>
      <c r="IL27">
        <v>3.6592443641472651E-10</v>
      </c>
      <c r="IM27">
        <v>0.35167599051241699</v>
      </c>
      <c r="IN27">
        <v>0</v>
      </c>
      <c r="IO27">
        <v>0</v>
      </c>
      <c r="IP27">
        <v>0</v>
      </c>
      <c r="IQ27">
        <v>2</v>
      </c>
      <c r="IR27">
        <v>2142</v>
      </c>
      <c r="IS27">
        <v>1</v>
      </c>
      <c r="IT27">
        <v>24</v>
      </c>
      <c r="IU27">
        <v>0.7</v>
      </c>
      <c r="IV27">
        <v>0.5</v>
      </c>
      <c r="IW27">
        <v>0.41748000000000002</v>
      </c>
      <c r="IX27">
        <v>2.6660200000000001</v>
      </c>
      <c r="IY27">
        <v>1.5490699999999999</v>
      </c>
      <c r="IZ27">
        <v>2.36938</v>
      </c>
      <c r="JA27">
        <v>1.5966800000000001</v>
      </c>
      <c r="JB27">
        <v>2.3547400000000001</v>
      </c>
      <c r="JC27">
        <v>42.457099999999997</v>
      </c>
      <c r="JD27">
        <v>24.008700000000001</v>
      </c>
      <c r="JE27">
        <v>18</v>
      </c>
      <c r="JF27">
        <v>516.35799999999995</v>
      </c>
      <c r="JG27">
        <v>452.98399999999998</v>
      </c>
      <c r="JH27">
        <v>25.964300000000001</v>
      </c>
      <c r="JI27">
        <v>34.900399999999998</v>
      </c>
      <c r="JJ27">
        <v>30.000399999999999</v>
      </c>
      <c r="JK27">
        <v>34.875500000000002</v>
      </c>
      <c r="JL27">
        <v>34.857900000000001</v>
      </c>
      <c r="JM27">
        <v>8.359</v>
      </c>
      <c r="JN27">
        <v>28.366399999999999</v>
      </c>
      <c r="JO27">
        <v>39.532299999999999</v>
      </c>
      <c r="JP27">
        <v>25.928000000000001</v>
      </c>
      <c r="JQ27">
        <v>120</v>
      </c>
      <c r="JR27">
        <v>21.879799999999999</v>
      </c>
      <c r="JS27">
        <v>98.479399999999998</v>
      </c>
      <c r="JT27">
        <v>99.333699999999993</v>
      </c>
    </row>
    <row r="28" spans="1:280" x14ac:dyDescent="0.25">
      <c r="A28">
        <v>12</v>
      </c>
      <c r="B28">
        <v>1700238961.5999999</v>
      </c>
      <c r="C28">
        <v>1827.099999904633</v>
      </c>
      <c r="D28" t="s">
        <v>469</v>
      </c>
      <c r="E28" t="s">
        <v>470</v>
      </c>
      <c r="F28" t="s">
        <v>412</v>
      </c>
      <c r="G28" t="s">
        <v>413</v>
      </c>
      <c r="H28" t="s">
        <v>414</v>
      </c>
      <c r="I28">
        <v>1700238961.5999999</v>
      </c>
      <c r="J28">
        <f t="shared" si="0"/>
        <v>6.7084450756782999E-3</v>
      </c>
      <c r="K28">
        <f t="shared" si="1"/>
        <v>6.7084450756783003</v>
      </c>
      <c r="L28">
        <f t="shared" si="2"/>
        <v>10.818038360484206</v>
      </c>
      <c r="M28">
        <f t="shared" si="3"/>
        <v>58.7988</v>
      </c>
      <c r="N28">
        <f t="shared" si="4"/>
        <v>17.379782575337842</v>
      </c>
      <c r="O28">
        <f t="shared" si="5"/>
        <v>1.7195755357156273</v>
      </c>
      <c r="P28">
        <f t="shared" si="6"/>
        <v>5.8176204202296002</v>
      </c>
      <c r="Q28">
        <f t="shared" si="7"/>
        <v>0.457388595330117</v>
      </c>
      <c r="R28">
        <f t="shared" si="8"/>
        <v>3.1254805873954101</v>
      </c>
      <c r="S28">
        <f t="shared" si="9"/>
        <v>0.42319270792574765</v>
      </c>
      <c r="T28">
        <f t="shared" si="10"/>
        <v>0.26735444169338274</v>
      </c>
      <c r="U28">
        <f t="shared" si="11"/>
        <v>289.55166941942201</v>
      </c>
      <c r="V28">
        <f t="shared" si="12"/>
        <v>29.886344087240495</v>
      </c>
      <c r="W28">
        <f t="shared" si="13"/>
        <v>29.953800000000001</v>
      </c>
      <c r="X28">
        <f t="shared" si="14"/>
        <v>4.2491569239619489</v>
      </c>
      <c r="Y28">
        <f t="shared" si="15"/>
        <v>64.512539186455712</v>
      </c>
      <c r="Z28">
        <f t="shared" si="16"/>
        <v>2.7361084467537999</v>
      </c>
      <c r="AA28">
        <f t="shared" si="17"/>
        <v>4.2412040841329048</v>
      </c>
      <c r="AB28">
        <f t="shared" si="18"/>
        <v>1.5130484772081489</v>
      </c>
      <c r="AC28">
        <f t="shared" si="19"/>
        <v>-295.84242783741303</v>
      </c>
      <c r="AD28">
        <f t="shared" si="20"/>
        <v>-5.4931296473421281</v>
      </c>
      <c r="AE28">
        <f t="shared" si="21"/>
        <v>-0.39054705179136806</v>
      </c>
      <c r="AF28">
        <f t="shared" si="22"/>
        <v>-12.174435117124515</v>
      </c>
      <c r="AG28">
        <v>4</v>
      </c>
      <c r="AH28">
        <v>1</v>
      </c>
      <c r="AI28">
        <f t="shared" si="23"/>
        <v>1</v>
      </c>
      <c r="AJ28">
        <f t="shared" si="24"/>
        <v>0</v>
      </c>
      <c r="AK28">
        <f t="shared" si="25"/>
        <v>51856.601042993374</v>
      </c>
      <c r="AL28" t="s">
        <v>415</v>
      </c>
      <c r="AM28">
        <v>10238.9</v>
      </c>
      <c r="AN28">
        <v>302.21199999999999</v>
      </c>
      <c r="AO28">
        <v>4052.3</v>
      </c>
      <c r="AP28">
        <f t="shared" si="26"/>
        <v>0.92542210596451402</v>
      </c>
      <c r="AQ28">
        <v>-0.32343011824092421</v>
      </c>
      <c r="AR28" t="s">
        <v>471</v>
      </c>
      <c r="AS28">
        <v>7111.53</v>
      </c>
      <c r="AT28">
        <v>689.71238461538451</v>
      </c>
      <c r="AU28">
        <v>771.61456235952505</v>
      </c>
      <c r="AV28">
        <f t="shared" si="27"/>
        <v>0.10614389844288497</v>
      </c>
      <c r="AW28">
        <v>0.5</v>
      </c>
      <c r="AX28">
        <f t="shared" si="28"/>
        <v>1513.1013002173172</v>
      </c>
      <c r="AY28">
        <f t="shared" si="29"/>
        <v>10.818038360484206</v>
      </c>
      <c r="AZ28">
        <f t="shared" si="30"/>
        <v>80.303235372032063</v>
      </c>
      <c r="BA28">
        <f t="shared" si="31"/>
        <v>7.3633328298144691E-3</v>
      </c>
      <c r="BB28">
        <f t="shared" si="32"/>
        <v>4.2517152963112137</v>
      </c>
      <c r="BC28">
        <f t="shared" si="33"/>
        <v>229.45537735832755</v>
      </c>
      <c r="BD28" t="s">
        <v>472</v>
      </c>
      <c r="BE28">
        <v>489.35</v>
      </c>
      <c r="BF28">
        <f t="shared" si="34"/>
        <v>489.35</v>
      </c>
      <c r="BG28">
        <f t="shared" si="35"/>
        <v>0.36581031013254395</v>
      </c>
      <c r="BH28">
        <f t="shared" si="36"/>
        <v>0.29016103565923512</v>
      </c>
      <c r="BI28">
        <f t="shared" si="37"/>
        <v>0.9207778491532228</v>
      </c>
      <c r="BJ28">
        <f t="shared" si="38"/>
        <v>0.17448174405449876</v>
      </c>
      <c r="BK28">
        <f t="shared" si="39"/>
        <v>0.87482892071878715</v>
      </c>
      <c r="BL28">
        <f t="shared" si="40"/>
        <v>0.20586886065417989</v>
      </c>
      <c r="BM28">
        <f t="shared" si="41"/>
        <v>0.79413113934582014</v>
      </c>
      <c r="BN28">
        <v>34539</v>
      </c>
      <c r="BO28">
        <v>290.00000000000011</v>
      </c>
      <c r="BP28">
        <v>752.63</v>
      </c>
      <c r="BQ28">
        <v>265</v>
      </c>
      <c r="BR28">
        <v>7111.53</v>
      </c>
      <c r="BS28">
        <v>753.51</v>
      </c>
      <c r="BT28">
        <v>-0.88</v>
      </c>
      <c r="BU28">
        <v>300.00000000000011</v>
      </c>
      <c r="BV28">
        <v>38.299999999999997</v>
      </c>
      <c r="BW28">
        <v>771.61456235952505</v>
      </c>
      <c r="BX28">
        <v>1.017560795838518</v>
      </c>
      <c r="BY28">
        <v>-12.875697107527319</v>
      </c>
      <c r="BZ28">
        <v>0.60660793382445999</v>
      </c>
      <c r="CA28">
        <v>0.9414876770091084</v>
      </c>
      <c r="CB28">
        <v>-7.0097199110122346E-3</v>
      </c>
      <c r="CC28">
        <v>289.99999999999989</v>
      </c>
      <c r="CD28">
        <v>756.41</v>
      </c>
      <c r="CE28">
        <v>785</v>
      </c>
      <c r="CF28">
        <v>7105.28</v>
      </c>
      <c r="CG28">
        <v>753.49</v>
      </c>
      <c r="CH28">
        <v>2.92</v>
      </c>
      <c r="CV28">
        <f t="shared" si="42"/>
        <v>1799.9</v>
      </c>
      <c r="CW28">
        <f t="shared" si="43"/>
        <v>1513.1013002173172</v>
      </c>
      <c r="CX28">
        <f t="shared" si="44"/>
        <v>0.84065853670610435</v>
      </c>
      <c r="CY28">
        <f t="shared" si="45"/>
        <v>0.16087097584278126</v>
      </c>
      <c r="CZ28">
        <v>5</v>
      </c>
      <c r="DA28">
        <v>0.5</v>
      </c>
      <c r="DB28" t="s">
        <v>418</v>
      </c>
      <c r="DC28">
        <v>2</v>
      </c>
      <c r="DD28">
        <v>1700238961.5999999</v>
      </c>
      <c r="DE28">
        <v>58.7988</v>
      </c>
      <c r="DF28">
        <v>70.009</v>
      </c>
      <c r="DG28">
        <v>27.6539</v>
      </c>
      <c r="DH28">
        <v>21.132300000000001</v>
      </c>
      <c r="DI28">
        <v>58.966799999999999</v>
      </c>
      <c r="DJ28">
        <v>27.3949</v>
      </c>
      <c r="DK28">
        <v>500.10199999999998</v>
      </c>
      <c r="DL28">
        <v>98.840999999999994</v>
      </c>
      <c r="DM28">
        <v>0.10014199999999999</v>
      </c>
      <c r="DN28">
        <v>29.921199999999999</v>
      </c>
      <c r="DO28">
        <v>29.953800000000001</v>
      </c>
      <c r="DP28">
        <v>999.9</v>
      </c>
      <c r="DQ28">
        <v>0</v>
      </c>
      <c r="DR28">
        <v>0</v>
      </c>
      <c r="DS28">
        <v>10019.4</v>
      </c>
      <c r="DT28">
        <v>0</v>
      </c>
      <c r="DU28">
        <v>594.52099999999996</v>
      </c>
      <c r="DV28">
        <v>-11.219099999999999</v>
      </c>
      <c r="DW28">
        <v>60.467599999999997</v>
      </c>
      <c r="DX28">
        <v>71.520300000000006</v>
      </c>
      <c r="DY28">
        <v>6.6142300000000001</v>
      </c>
      <c r="DZ28">
        <v>70.009</v>
      </c>
      <c r="EA28">
        <v>21.132300000000001</v>
      </c>
      <c r="EB28">
        <v>2.7425000000000002</v>
      </c>
      <c r="EC28">
        <v>2.08874</v>
      </c>
      <c r="ED28">
        <v>22.542000000000002</v>
      </c>
      <c r="EE28">
        <v>18.133600000000001</v>
      </c>
      <c r="EF28">
        <v>1799.9</v>
      </c>
      <c r="EG28">
        <v>0.977989</v>
      </c>
      <c r="EH28">
        <v>2.2011099999999999E-2</v>
      </c>
      <c r="EI28">
        <v>0</v>
      </c>
      <c r="EJ28">
        <v>689.61900000000003</v>
      </c>
      <c r="EK28">
        <v>4.9996700000000001</v>
      </c>
      <c r="EL28">
        <v>13950</v>
      </c>
      <c r="EM28">
        <v>15045.9</v>
      </c>
      <c r="EN28">
        <v>49.75</v>
      </c>
      <c r="EO28">
        <v>50.875</v>
      </c>
      <c r="EP28">
        <v>50.5</v>
      </c>
      <c r="EQ28">
        <v>50.561999999999998</v>
      </c>
      <c r="ER28">
        <v>51.125</v>
      </c>
      <c r="ES28">
        <v>1755.39</v>
      </c>
      <c r="ET28">
        <v>39.51</v>
      </c>
      <c r="EU28">
        <v>0</v>
      </c>
      <c r="EV28">
        <v>201.19999980926511</v>
      </c>
      <c r="EW28">
        <v>0</v>
      </c>
      <c r="EX28">
        <v>689.71238461538451</v>
      </c>
      <c r="EY28">
        <v>-0.51213675705117456</v>
      </c>
      <c r="EZ28">
        <v>-37.941880438712317</v>
      </c>
      <c r="FA28">
        <v>13953.792307692311</v>
      </c>
      <c r="FB28">
        <v>15</v>
      </c>
      <c r="FC28">
        <v>1700238988.5999999</v>
      </c>
      <c r="FD28" t="s">
        <v>473</v>
      </c>
      <c r="FE28">
        <v>1700238980.5999999</v>
      </c>
      <c r="FF28">
        <v>1700238988.5999999</v>
      </c>
      <c r="FG28">
        <v>15</v>
      </c>
      <c r="FH28">
        <v>3.0000000000000001E-3</v>
      </c>
      <c r="FI28">
        <v>3.0000000000000001E-3</v>
      </c>
      <c r="FJ28">
        <v>-0.16800000000000001</v>
      </c>
      <c r="FK28">
        <v>0.25900000000000001</v>
      </c>
      <c r="FL28">
        <v>70</v>
      </c>
      <c r="FM28">
        <v>21</v>
      </c>
      <c r="FN28">
        <v>0.1</v>
      </c>
      <c r="FO28">
        <v>0.01</v>
      </c>
      <c r="FP28">
        <v>10.771326077120349</v>
      </c>
      <c r="FQ28">
        <v>0.25661453027982351</v>
      </c>
      <c r="FR28">
        <v>2.4274363315506729E-2</v>
      </c>
      <c r="FS28">
        <v>1</v>
      </c>
      <c r="FT28">
        <v>0.4665595944645809</v>
      </c>
      <c r="FU28">
        <v>4.4678700195579096E-3</v>
      </c>
      <c r="FV28">
        <v>1.007070296851025E-3</v>
      </c>
      <c r="FW28">
        <v>1</v>
      </c>
      <c r="FX28">
        <v>2</v>
      </c>
      <c r="FY28">
        <v>2</v>
      </c>
      <c r="FZ28" t="s">
        <v>420</v>
      </c>
      <c r="GA28">
        <v>3.0123500000000001</v>
      </c>
      <c r="GB28">
        <v>2.7774000000000001</v>
      </c>
      <c r="GC28">
        <v>1.5737500000000001E-2</v>
      </c>
      <c r="GD28">
        <v>1.87674E-2</v>
      </c>
      <c r="GE28">
        <v>0.12568499999999999</v>
      </c>
      <c r="GF28">
        <v>0.105147</v>
      </c>
      <c r="GG28">
        <v>23591.9</v>
      </c>
      <c r="GH28">
        <v>24290.6</v>
      </c>
      <c r="GI28">
        <v>23741.599999999999</v>
      </c>
      <c r="GJ28">
        <v>24418.5</v>
      </c>
      <c r="GK28">
        <v>30702.1</v>
      </c>
      <c r="GL28">
        <v>31331</v>
      </c>
      <c r="GM28">
        <v>38883.1</v>
      </c>
      <c r="GN28">
        <v>38883.5</v>
      </c>
      <c r="GO28">
        <v>1.9998</v>
      </c>
      <c r="GP28">
        <v>1.7944</v>
      </c>
      <c r="GQ28">
        <v>3.6060799999999997E-2</v>
      </c>
      <c r="GR28">
        <v>0</v>
      </c>
      <c r="GS28">
        <v>29.366599999999998</v>
      </c>
      <c r="GT28">
        <v>999.9</v>
      </c>
      <c r="GU28">
        <v>45.6</v>
      </c>
      <c r="GV28">
        <v>37.299999999999997</v>
      </c>
      <c r="GW28">
        <v>29.566500000000001</v>
      </c>
      <c r="GX28">
        <v>60.803899999999999</v>
      </c>
      <c r="GY28">
        <v>31.322099999999999</v>
      </c>
      <c r="GZ28">
        <v>1</v>
      </c>
      <c r="HA28">
        <v>0.63375000000000004</v>
      </c>
      <c r="HB28">
        <v>2.1539100000000002</v>
      </c>
      <c r="HC28">
        <v>20.3156</v>
      </c>
      <c r="HD28">
        <v>5.242</v>
      </c>
      <c r="HE28">
        <v>11.997999999999999</v>
      </c>
      <c r="HF28">
        <v>4.9637000000000002</v>
      </c>
      <c r="HG28">
        <v>3.30098</v>
      </c>
      <c r="HH28">
        <v>9999</v>
      </c>
      <c r="HI28">
        <v>9999</v>
      </c>
      <c r="HJ28">
        <v>9999</v>
      </c>
      <c r="HK28">
        <v>999.9</v>
      </c>
      <c r="HL28">
        <v>1.8751500000000001</v>
      </c>
      <c r="HM28">
        <v>1.8804700000000001</v>
      </c>
      <c r="HN28">
        <v>1.88052</v>
      </c>
      <c r="HO28">
        <v>1.87927</v>
      </c>
      <c r="HP28">
        <v>1.8816200000000001</v>
      </c>
      <c r="HQ28">
        <v>1.87748</v>
      </c>
      <c r="HR28">
        <v>1.87517</v>
      </c>
      <c r="HS28">
        <v>1.8824799999999999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-0.16800000000000001</v>
      </c>
      <c r="IH28">
        <v>0.25900000000000001</v>
      </c>
      <c r="II28">
        <v>-0.21396935316773991</v>
      </c>
      <c r="IJ28">
        <v>7.0786345690369205E-4</v>
      </c>
      <c r="IK28">
        <v>-1.387476646623666E-6</v>
      </c>
      <c r="IL28">
        <v>3.6592443641472651E-10</v>
      </c>
      <c r="IM28">
        <v>0.35167599051241699</v>
      </c>
      <c r="IN28">
        <v>0</v>
      </c>
      <c r="IO28">
        <v>0</v>
      </c>
      <c r="IP28">
        <v>0</v>
      </c>
      <c r="IQ28">
        <v>2</v>
      </c>
      <c r="IR28">
        <v>2142</v>
      </c>
      <c r="IS28">
        <v>1</v>
      </c>
      <c r="IT28">
        <v>24</v>
      </c>
      <c r="IU28">
        <v>2.2000000000000002</v>
      </c>
      <c r="IV28">
        <v>2</v>
      </c>
      <c r="IW28">
        <v>0.306396</v>
      </c>
      <c r="IX28">
        <v>2.67944</v>
      </c>
      <c r="IY28">
        <v>1.5490699999999999</v>
      </c>
      <c r="IZ28">
        <v>2.36938</v>
      </c>
      <c r="JA28">
        <v>1.5966800000000001</v>
      </c>
      <c r="JB28">
        <v>2.36938</v>
      </c>
      <c r="JC28">
        <v>42.590400000000002</v>
      </c>
      <c r="JD28">
        <v>24.026199999999999</v>
      </c>
      <c r="JE28">
        <v>18</v>
      </c>
      <c r="JF28">
        <v>517.22299999999996</v>
      </c>
      <c r="JG28">
        <v>450.86500000000001</v>
      </c>
      <c r="JH28">
        <v>27.116700000000002</v>
      </c>
      <c r="JI28">
        <v>34.9574</v>
      </c>
      <c r="JJ28">
        <v>30.0002</v>
      </c>
      <c r="JK28">
        <v>34.920200000000001</v>
      </c>
      <c r="JL28">
        <v>34.904899999999998</v>
      </c>
      <c r="JM28">
        <v>6.1256599999999999</v>
      </c>
      <c r="JN28">
        <v>30.628599999999999</v>
      </c>
      <c r="JO28">
        <v>36.901000000000003</v>
      </c>
      <c r="JP28">
        <v>27.1416</v>
      </c>
      <c r="JQ28">
        <v>70</v>
      </c>
      <c r="JR28">
        <v>21.2318</v>
      </c>
      <c r="JS28">
        <v>98.473100000000002</v>
      </c>
      <c r="JT28">
        <v>99.3262</v>
      </c>
    </row>
    <row r="29" spans="1:280" x14ac:dyDescent="0.25">
      <c r="A29">
        <v>13</v>
      </c>
      <c r="B29">
        <v>1700239092.5999999</v>
      </c>
      <c r="C29">
        <v>1958.099999904633</v>
      </c>
      <c r="D29" t="s">
        <v>474</v>
      </c>
      <c r="E29" t="s">
        <v>475</v>
      </c>
      <c r="F29" t="s">
        <v>412</v>
      </c>
      <c r="G29" t="s">
        <v>413</v>
      </c>
      <c r="H29" t="s">
        <v>414</v>
      </c>
      <c r="I29">
        <v>1700239092.5999999</v>
      </c>
      <c r="J29">
        <f t="shared" si="0"/>
        <v>6.9666293439547295E-3</v>
      </c>
      <c r="K29">
        <f t="shared" si="1"/>
        <v>6.9666293439547298</v>
      </c>
      <c r="L29">
        <f t="shared" si="2"/>
        <v>4.7505688374122972</v>
      </c>
      <c r="M29">
        <f t="shared" si="3"/>
        <v>25.103899999999999</v>
      </c>
      <c r="N29">
        <f t="shared" si="4"/>
        <v>8.151669815463336</v>
      </c>
      <c r="O29">
        <f t="shared" si="5"/>
        <v>0.80648008939412663</v>
      </c>
      <c r="P29">
        <f t="shared" si="6"/>
        <v>2.4836378281337996</v>
      </c>
      <c r="Q29">
        <f t="shared" si="7"/>
        <v>0.49369307039774113</v>
      </c>
      <c r="R29">
        <f t="shared" si="8"/>
        <v>3.1189726621390372</v>
      </c>
      <c r="S29">
        <f t="shared" si="9"/>
        <v>0.45402938591594089</v>
      </c>
      <c r="T29">
        <f t="shared" si="10"/>
        <v>0.28706597295466568</v>
      </c>
      <c r="U29">
        <f t="shared" si="11"/>
        <v>289.59316541936141</v>
      </c>
      <c r="V29">
        <f t="shared" si="12"/>
        <v>29.756292080657438</v>
      </c>
      <c r="W29">
        <f t="shared" si="13"/>
        <v>29.9636</v>
      </c>
      <c r="X29">
        <f t="shared" si="14"/>
        <v>4.2515501942708172</v>
      </c>
      <c r="Y29">
        <f t="shared" si="15"/>
        <v>65.978005636749444</v>
      </c>
      <c r="Z29">
        <f t="shared" si="16"/>
        <v>2.7875047661526002</v>
      </c>
      <c r="AA29">
        <f t="shared" si="17"/>
        <v>4.2249000091023863</v>
      </c>
      <c r="AB29">
        <f t="shared" si="18"/>
        <v>1.4640454281182169</v>
      </c>
      <c r="AC29">
        <f t="shared" si="19"/>
        <v>-307.22835406840358</v>
      </c>
      <c r="AD29">
        <f t="shared" si="20"/>
        <v>-18.39561592523977</v>
      </c>
      <c r="AE29">
        <f t="shared" si="21"/>
        <v>-1.3102376924908248</v>
      </c>
      <c r="AF29">
        <f t="shared" si="22"/>
        <v>-37.34104226677276</v>
      </c>
      <c r="AG29">
        <v>4</v>
      </c>
      <c r="AH29">
        <v>1</v>
      </c>
      <c r="AI29">
        <f t="shared" si="23"/>
        <v>1</v>
      </c>
      <c r="AJ29">
        <f t="shared" si="24"/>
        <v>0</v>
      </c>
      <c r="AK29">
        <f t="shared" si="25"/>
        <v>51703.050330800157</v>
      </c>
      <c r="AL29" t="s">
        <v>446</v>
      </c>
      <c r="AM29" t="s">
        <v>446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446</v>
      </c>
      <c r="AS29" t="s">
        <v>446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1513.3197002172856</v>
      </c>
      <c r="AY29">
        <f t="shared" si="29"/>
        <v>4.7505688374122972</v>
      </c>
      <c r="AZ29" t="e">
        <f t="shared" si="30"/>
        <v>#DIV/0!</v>
      </c>
      <c r="BA29">
        <f t="shared" si="31"/>
        <v>3.1391706833197247E-3</v>
      </c>
      <c r="BB29" t="e">
        <f t="shared" si="32"/>
        <v>#DIV/0!</v>
      </c>
      <c r="BC29" t="e">
        <f t="shared" si="33"/>
        <v>#DIV/0!</v>
      </c>
      <c r="BD29" t="s">
        <v>446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BN29">
        <v>34539</v>
      </c>
      <c r="BO29">
        <v>290.00000000000011</v>
      </c>
      <c r="BP29">
        <v>752.63</v>
      </c>
      <c r="BQ29">
        <v>265</v>
      </c>
      <c r="BR29">
        <v>7111.53</v>
      </c>
      <c r="BS29">
        <v>753.51</v>
      </c>
      <c r="BT29">
        <v>-0.88</v>
      </c>
      <c r="BU29">
        <v>300.00000000000011</v>
      </c>
      <c r="BV29">
        <v>38.299999999999997</v>
      </c>
      <c r="BW29">
        <v>771.61456235952505</v>
      </c>
      <c r="BX29">
        <v>1.017560795838518</v>
      </c>
      <c r="BY29">
        <v>-12.875697107527319</v>
      </c>
      <c r="BZ29">
        <v>0.60660793382445999</v>
      </c>
      <c r="CA29">
        <v>0.9414876770091084</v>
      </c>
      <c r="CB29">
        <v>-7.0097199110122346E-3</v>
      </c>
      <c r="CC29">
        <v>289.99999999999989</v>
      </c>
      <c r="CD29">
        <v>756.41</v>
      </c>
      <c r="CE29">
        <v>785</v>
      </c>
      <c r="CF29">
        <v>7105.28</v>
      </c>
      <c r="CG29">
        <v>753.49</v>
      </c>
      <c r="CH29">
        <v>2.92</v>
      </c>
      <c r="CV29">
        <f t="shared" si="42"/>
        <v>1800.16</v>
      </c>
      <c r="CW29">
        <f t="shared" si="43"/>
        <v>1513.3197002172856</v>
      </c>
      <c r="CX29">
        <f t="shared" si="44"/>
        <v>0.84065844159257264</v>
      </c>
      <c r="CY29">
        <f t="shared" si="45"/>
        <v>0.16087079227366535</v>
      </c>
      <c r="CZ29">
        <v>5</v>
      </c>
      <c r="DA29">
        <v>0.5</v>
      </c>
      <c r="DB29" t="s">
        <v>418</v>
      </c>
      <c r="DC29">
        <v>2</v>
      </c>
      <c r="DD29">
        <v>1700239092.5999999</v>
      </c>
      <c r="DE29">
        <v>25.103899999999999</v>
      </c>
      <c r="DF29">
        <v>30.028600000000001</v>
      </c>
      <c r="DG29">
        <v>28.1753</v>
      </c>
      <c r="DH29">
        <v>21.405999999999999</v>
      </c>
      <c r="DI29">
        <v>25.308599999999998</v>
      </c>
      <c r="DJ29">
        <v>27.819299999999998</v>
      </c>
      <c r="DK29">
        <v>500.077</v>
      </c>
      <c r="DL29">
        <v>98.834199999999996</v>
      </c>
      <c r="DM29">
        <v>0.10014199999999999</v>
      </c>
      <c r="DN29">
        <v>29.854199999999999</v>
      </c>
      <c r="DO29">
        <v>29.9636</v>
      </c>
      <c r="DP29">
        <v>999.9</v>
      </c>
      <c r="DQ29">
        <v>0</v>
      </c>
      <c r="DR29">
        <v>0</v>
      </c>
      <c r="DS29">
        <v>9986.8799999999992</v>
      </c>
      <c r="DT29">
        <v>0</v>
      </c>
      <c r="DU29">
        <v>594.84799999999996</v>
      </c>
      <c r="DV29">
        <v>-4.9246999999999996</v>
      </c>
      <c r="DW29">
        <v>25.831700000000001</v>
      </c>
      <c r="DX29">
        <v>30.685500000000001</v>
      </c>
      <c r="DY29">
        <v>6.76938</v>
      </c>
      <c r="DZ29">
        <v>30.028600000000001</v>
      </c>
      <c r="EA29">
        <v>21.405999999999999</v>
      </c>
      <c r="EB29">
        <v>2.7846899999999999</v>
      </c>
      <c r="EC29">
        <v>2.11564</v>
      </c>
      <c r="ED29">
        <v>22.793600000000001</v>
      </c>
      <c r="EE29">
        <v>18.337399999999999</v>
      </c>
      <c r="EF29">
        <v>1800.16</v>
      </c>
      <c r="EG29">
        <v>0.97799199999999997</v>
      </c>
      <c r="EH29">
        <v>2.20079E-2</v>
      </c>
      <c r="EI29">
        <v>0</v>
      </c>
      <c r="EJ29">
        <v>705.577</v>
      </c>
      <c r="EK29">
        <v>4.9996700000000001</v>
      </c>
      <c r="EL29">
        <v>14298.3</v>
      </c>
      <c r="EM29">
        <v>15048.1</v>
      </c>
      <c r="EN29">
        <v>49.811999999999998</v>
      </c>
      <c r="EO29">
        <v>51</v>
      </c>
      <c r="EP29">
        <v>50.625</v>
      </c>
      <c r="EQ29">
        <v>50.625</v>
      </c>
      <c r="ER29">
        <v>51.186999999999998</v>
      </c>
      <c r="ES29">
        <v>1755.65</v>
      </c>
      <c r="ET29">
        <v>39.51</v>
      </c>
      <c r="EU29">
        <v>0</v>
      </c>
      <c r="EV29">
        <v>129</v>
      </c>
      <c r="EW29">
        <v>0</v>
      </c>
      <c r="EX29">
        <v>705.46547999999996</v>
      </c>
      <c r="EY29">
        <v>0.64684616119118288</v>
      </c>
      <c r="EZ29">
        <v>16.90769235691889</v>
      </c>
      <c r="FA29">
        <v>14297.116</v>
      </c>
      <c r="FB29">
        <v>15</v>
      </c>
      <c r="FC29">
        <v>1700239061.5999999</v>
      </c>
      <c r="FD29" t="s">
        <v>476</v>
      </c>
      <c r="FE29">
        <v>1700239045.5999999</v>
      </c>
      <c r="FF29">
        <v>1700239061.5999999</v>
      </c>
      <c r="FG29">
        <v>16</v>
      </c>
      <c r="FH29">
        <v>-1.0999999999999999E-2</v>
      </c>
      <c r="FI29">
        <v>2E-3</v>
      </c>
      <c r="FJ29">
        <v>-0.20200000000000001</v>
      </c>
      <c r="FK29">
        <v>0.27200000000000002</v>
      </c>
      <c r="FL29">
        <v>30</v>
      </c>
      <c r="FM29">
        <v>22</v>
      </c>
      <c r="FN29">
        <v>0.31</v>
      </c>
      <c r="FO29">
        <v>0.01</v>
      </c>
      <c r="FP29">
        <v>4.7399669283028683</v>
      </c>
      <c r="FQ29">
        <v>-0.1041904771933439</v>
      </c>
      <c r="FR29">
        <v>1.7826014284688489E-2</v>
      </c>
      <c r="FS29">
        <v>1</v>
      </c>
      <c r="FT29">
        <v>0.49499245150858412</v>
      </c>
      <c r="FU29">
        <v>3.2403666220068128E-2</v>
      </c>
      <c r="FV29">
        <v>2.979484901650736E-3</v>
      </c>
      <c r="FW29">
        <v>1</v>
      </c>
      <c r="FX29">
        <v>2</v>
      </c>
      <c r="FY29">
        <v>2</v>
      </c>
      <c r="FZ29" t="s">
        <v>420</v>
      </c>
      <c r="GA29">
        <v>3.0123500000000001</v>
      </c>
      <c r="GB29">
        <v>2.77711</v>
      </c>
      <c r="GC29">
        <v>6.82593E-3</v>
      </c>
      <c r="GD29">
        <v>8.1639E-3</v>
      </c>
      <c r="GE29">
        <v>0.12698799999999999</v>
      </c>
      <c r="GF29">
        <v>0.10607</v>
      </c>
      <c r="GG29">
        <v>23799.5</v>
      </c>
      <c r="GH29">
        <v>24547.5</v>
      </c>
      <c r="GI29">
        <v>23736.5</v>
      </c>
      <c r="GJ29">
        <v>24413.9</v>
      </c>
      <c r="GK29">
        <v>30650.7</v>
      </c>
      <c r="GL29">
        <v>31293.4</v>
      </c>
      <c r="GM29">
        <v>38875.4</v>
      </c>
      <c r="GN29">
        <v>38876.6</v>
      </c>
      <c r="GO29">
        <v>1.9985999999999999</v>
      </c>
      <c r="GP29">
        <v>1.7906500000000001</v>
      </c>
      <c r="GQ29">
        <v>2.4698700000000001E-2</v>
      </c>
      <c r="GR29">
        <v>0</v>
      </c>
      <c r="GS29">
        <v>29.561499999999999</v>
      </c>
      <c r="GT29">
        <v>999.9</v>
      </c>
      <c r="GU29">
        <v>45.1</v>
      </c>
      <c r="GV29">
        <v>37.5</v>
      </c>
      <c r="GW29">
        <v>29.566400000000002</v>
      </c>
      <c r="GX29">
        <v>61.143900000000002</v>
      </c>
      <c r="GY29">
        <v>30.933499999999999</v>
      </c>
      <c r="GZ29">
        <v>1</v>
      </c>
      <c r="HA29">
        <v>0.64747699999999997</v>
      </c>
      <c r="HB29">
        <v>1.2845500000000001</v>
      </c>
      <c r="HC29">
        <v>20.309999999999999</v>
      </c>
      <c r="HD29">
        <v>5.24559</v>
      </c>
      <c r="HE29">
        <v>11.997999999999999</v>
      </c>
      <c r="HF29">
        <v>4.9637500000000001</v>
      </c>
      <c r="HG29">
        <v>3.3009499999999998</v>
      </c>
      <c r="HH29">
        <v>9999</v>
      </c>
      <c r="HI29">
        <v>9999</v>
      </c>
      <c r="HJ29">
        <v>9999</v>
      </c>
      <c r="HK29">
        <v>999.9</v>
      </c>
      <c r="HL29">
        <v>1.8751500000000001</v>
      </c>
      <c r="HM29">
        <v>1.8804700000000001</v>
      </c>
      <c r="HN29">
        <v>1.8805400000000001</v>
      </c>
      <c r="HO29">
        <v>1.8792599999999999</v>
      </c>
      <c r="HP29">
        <v>1.88157</v>
      </c>
      <c r="HQ29">
        <v>1.8774999999999999</v>
      </c>
      <c r="HR29">
        <v>1.87523</v>
      </c>
      <c r="HS29">
        <v>1.8824799999999999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-0.20499999999999999</v>
      </c>
      <c r="IH29">
        <v>0.35599999999999998</v>
      </c>
      <c r="II29">
        <v>-0.22174357327362551</v>
      </c>
      <c r="IJ29">
        <v>7.0786345690369205E-4</v>
      </c>
      <c r="IK29">
        <v>-1.387476646623666E-6</v>
      </c>
      <c r="IL29">
        <v>3.6592443641472651E-10</v>
      </c>
      <c r="IM29">
        <v>0.35602736500109122</v>
      </c>
      <c r="IN29">
        <v>0</v>
      </c>
      <c r="IO29">
        <v>0</v>
      </c>
      <c r="IP29">
        <v>0</v>
      </c>
      <c r="IQ29">
        <v>2</v>
      </c>
      <c r="IR29">
        <v>2142</v>
      </c>
      <c r="IS29">
        <v>1</v>
      </c>
      <c r="IT29">
        <v>24</v>
      </c>
      <c r="IU29">
        <v>0.8</v>
      </c>
      <c r="IV29">
        <v>0.5</v>
      </c>
      <c r="IW29">
        <v>0.21850600000000001</v>
      </c>
      <c r="IX29">
        <v>2.7172900000000002</v>
      </c>
      <c r="IY29">
        <v>1.5490699999999999</v>
      </c>
      <c r="IZ29">
        <v>2.36816</v>
      </c>
      <c r="JA29">
        <v>1.5966800000000001</v>
      </c>
      <c r="JB29">
        <v>2.20947</v>
      </c>
      <c r="JC29">
        <v>42.804600000000001</v>
      </c>
      <c r="JD29">
        <v>24.017499999999998</v>
      </c>
      <c r="JE29">
        <v>18</v>
      </c>
      <c r="JF29">
        <v>517.14599999999996</v>
      </c>
      <c r="JG29">
        <v>449.053</v>
      </c>
      <c r="JH29">
        <v>25.941199999999998</v>
      </c>
      <c r="JI29">
        <v>35.058199999999999</v>
      </c>
      <c r="JJ29">
        <v>29.9984</v>
      </c>
      <c r="JK29">
        <v>35.011200000000002</v>
      </c>
      <c r="JL29">
        <v>34.99</v>
      </c>
      <c r="JM29">
        <v>4.3549600000000002</v>
      </c>
      <c r="JN29">
        <v>29.803000000000001</v>
      </c>
      <c r="JO29">
        <v>35.057499999999997</v>
      </c>
      <c r="JP29">
        <v>26.687000000000001</v>
      </c>
      <c r="JQ29">
        <v>30</v>
      </c>
      <c r="JR29">
        <v>21.290600000000001</v>
      </c>
      <c r="JS29">
        <v>98.453000000000003</v>
      </c>
      <c r="JT29">
        <v>99.308199999999999</v>
      </c>
    </row>
    <row r="30" spans="1:280" x14ac:dyDescent="0.25">
      <c r="A30">
        <v>14</v>
      </c>
      <c r="B30">
        <v>1700239227.0999999</v>
      </c>
      <c r="C30">
        <v>2092.599999904633</v>
      </c>
      <c r="D30" t="s">
        <v>477</v>
      </c>
      <c r="E30" t="s">
        <v>478</v>
      </c>
      <c r="F30" t="s">
        <v>412</v>
      </c>
      <c r="G30" t="s">
        <v>413</v>
      </c>
      <c r="H30" t="s">
        <v>414</v>
      </c>
      <c r="I30">
        <v>1700239227.0999999</v>
      </c>
      <c r="J30">
        <f t="shared" si="0"/>
        <v>7.1485068178552789E-3</v>
      </c>
      <c r="K30">
        <f t="shared" si="1"/>
        <v>7.1485068178552789</v>
      </c>
      <c r="L30">
        <f t="shared" si="2"/>
        <v>1.5258026260395225</v>
      </c>
      <c r="M30">
        <f t="shared" si="3"/>
        <v>8.4235399999999991</v>
      </c>
      <c r="N30">
        <f t="shared" si="4"/>
        <v>3.0843824773383006</v>
      </c>
      <c r="O30">
        <f t="shared" si="5"/>
        <v>0.30514582581746297</v>
      </c>
      <c r="P30">
        <f t="shared" si="6"/>
        <v>0.83336229812347795</v>
      </c>
      <c r="Q30">
        <f t="shared" si="7"/>
        <v>0.50550857470659716</v>
      </c>
      <c r="R30">
        <f t="shared" si="8"/>
        <v>3.1234809634644871</v>
      </c>
      <c r="S30">
        <f t="shared" si="9"/>
        <v>0.46406371187399231</v>
      </c>
      <c r="T30">
        <f t="shared" si="10"/>
        <v>0.29347979536716667</v>
      </c>
      <c r="U30">
        <f t="shared" si="11"/>
        <v>289.53658541901598</v>
      </c>
      <c r="V30">
        <f t="shared" si="12"/>
        <v>29.982665483438137</v>
      </c>
      <c r="W30">
        <f t="shared" si="13"/>
        <v>30.065899999999999</v>
      </c>
      <c r="X30">
        <f t="shared" si="14"/>
        <v>4.276603230360343</v>
      </c>
      <c r="Y30">
        <f t="shared" si="15"/>
        <v>65.417633462297687</v>
      </c>
      <c r="Z30">
        <f t="shared" si="16"/>
        <v>2.8071913396023596</v>
      </c>
      <c r="AA30">
        <f t="shared" si="17"/>
        <v>4.2911844880787919</v>
      </c>
      <c r="AB30">
        <f t="shared" si="18"/>
        <v>1.4694118907579834</v>
      </c>
      <c r="AC30">
        <f t="shared" si="19"/>
        <v>-315.24915066741778</v>
      </c>
      <c r="AD30">
        <f t="shared" si="20"/>
        <v>9.9857111681462971</v>
      </c>
      <c r="AE30">
        <f t="shared" si="21"/>
        <v>0.71152477921657775</v>
      </c>
      <c r="AF30">
        <f t="shared" si="22"/>
        <v>-15.01532930103893</v>
      </c>
      <c r="AG30">
        <v>3</v>
      </c>
      <c r="AH30">
        <v>1</v>
      </c>
      <c r="AI30">
        <f t="shared" si="23"/>
        <v>1</v>
      </c>
      <c r="AJ30">
        <f t="shared" si="24"/>
        <v>0</v>
      </c>
      <c r="AK30">
        <f t="shared" si="25"/>
        <v>51770.896894202488</v>
      </c>
      <c r="AL30" t="s">
        <v>415</v>
      </c>
      <c r="AM30">
        <v>10238.9</v>
      </c>
      <c r="AN30">
        <v>302.21199999999999</v>
      </c>
      <c r="AO30">
        <v>4052.3</v>
      </c>
      <c r="AP30">
        <f t="shared" si="26"/>
        <v>0.92542210596451402</v>
      </c>
      <c r="AQ30">
        <v>-0.32343011824092421</v>
      </c>
      <c r="AR30" t="s">
        <v>479</v>
      </c>
      <c r="AS30">
        <v>7111.94</v>
      </c>
      <c r="AT30">
        <v>713.87828000000013</v>
      </c>
      <c r="AU30">
        <v>754.03652424046902</v>
      </c>
      <c r="AV30">
        <f t="shared" si="27"/>
        <v>5.3257691039462207E-2</v>
      </c>
      <c r="AW30">
        <v>0.5</v>
      </c>
      <c r="AX30">
        <f t="shared" si="28"/>
        <v>1513.0329002171068</v>
      </c>
      <c r="AY30">
        <f t="shared" si="29"/>
        <v>1.5258026260395225</v>
      </c>
      <c r="AZ30">
        <f t="shared" si="30"/>
        <v>40.290319366152062</v>
      </c>
      <c r="BA30">
        <f t="shared" si="31"/>
        <v>1.2222025998344772E-3</v>
      </c>
      <c r="BB30">
        <f t="shared" si="32"/>
        <v>4.3741428561193745</v>
      </c>
      <c r="BC30">
        <f t="shared" si="33"/>
        <v>227.87568025473504</v>
      </c>
      <c r="BD30" t="s">
        <v>480</v>
      </c>
      <c r="BE30">
        <v>524.99</v>
      </c>
      <c r="BF30">
        <f t="shared" si="34"/>
        <v>524.99</v>
      </c>
      <c r="BG30">
        <f t="shared" si="35"/>
        <v>0.30376051673516014</v>
      </c>
      <c r="BH30">
        <f t="shared" si="36"/>
        <v>0.17532789189286263</v>
      </c>
      <c r="BI30">
        <f t="shared" si="37"/>
        <v>0.9350648158964</v>
      </c>
      <c r="BJ30">
        <f t="shared" si="38"/>
        <v>8.8880178224004416E-2</v>
      </c>
      <c r="BK30">
        <f t="shared" si="39"/>
        <v>0.87951628755366029</v>
      </c>
      <c r="BL30">
        <f t="shared" si="40"/>
        <v>0.1289370926999403</v>
      </c>
      <c r="BM30">
        <f t="shared" si="41"/>
        <v>0.87106290730005975</v>
      </c>
      <c r="BN30">
        <v>34541</v>
      </c>
      <c r="BO30">
        <v>290.00000000000011</v>
      </c>
      <c r="BP30">
        <v>740.78</v>
      </c>
      <c r="BQ30">
        <v>245</v>
      </c>
      <c r="BR30">
        <v>7111.94</v>
      </c>
      <c r="BS30">
        <v>740.62</v>
      </c>
      <c r="BT30">
        <v>0.16</v>
      </c>
      <c r="BU30">
        <v>300.00000000000011</v>
      </c>
      <c r="BV30">
        <v>38.299999999999997</v>
      </c>
      <c r="BW30">
        <v>754.03652424046902</v>
      </c>
      <c r="BX30">
        <v>1.1537037852192511</v>
      </c>
      <c r="BY30">
        <v>-9.5413339981964498</v>
      </c>
      <c r="BZ30">
        <v>0.6877355805741252</v>
      </c>
      <c r="CA30">
        <v>0.87300169929086957</v>
      </c>
      <c r="CB30">
        <v>-7.0093857619577416E-3</v>
      </c>
      <c r="CC30">
        <v>289.99999999999989</v>
      </c>
      <c r="CD30">
        <v>739.96</v>
      </c>
      <c r="CE30">
        <v>725</v>
      </c>
      <c r="CF30">
        <v>7105.98</v>
      </c>
      <c r="CG30">
        <v>740.61</v>
      </c>
      <c r="CH30">
        <v>-0.65</v>
      </c>
      <c r="CV30">
        <f t="shared" si="42"/>
        <v>1799.82</v>
      </c>
      <c r="CW30">
        <f t="shared" si="43"/>
        <v>1513.0329002171068</v>
      </c>
      <c r="CX30">
        <f t="shared" si="44"/>
        <v>0.84065789924387258</v>
      </c>
      <c r="CY30">
        <f t="shared" si="45"/>
        <v>0.16086974554067407</v>
      </c>
      <c r="CZ30">
        <v>5</v>
      </c>
      <c r="DA30">
        <v>0.5</v>
      </c>
      <c r="DB30" t="s">
        <v>418</v>
      </c>
      <c r="DC30">
        <v>2</v>
      </c>
      <c r="DD30">
        <v>1700239227.0999999</v>
      </c>
      <c r="DE30">
        <v>8.4235399999999991</v>
      </c>
      <c r="DF30">
        <v>10.0092</v>
      </c>
      <c r="DG30">
        <v>28.3748</v>
      </c>
      <c r="DH30">
        <v>21.430700000000002</v>
      </c>
      <c r="DI30">
        <v>8.6497600000000006</v>
      </c>
      <c r="DJ30">
        <v>28.016999999999999</v>
      </c>
      <c r="DK30">
        <v>500.113</v>
      </c>
      <c r="DL30">
        <v>98.832999999999998</v>
      </c>
      <c r="DM30">
        <v>9.9550700000000006E-2</v>
      </c>
      <c r="DN30">
        <v>30.1252</v>
      </c>
      <c r="DO30">
        <v>30.065899999999999</v>
      </c>
      <c r="DP30">
        <v>999.9</v>
      </c>
      <c r="DQ30">
        <v>0</v>
      </c>
      <c r="DR30">
        <v>0</v>
      </c>
      <c r="DS30">
        <v>10010</v>
      </c>
      <c r="DT30">
        <v>0</v>
      </c>
      <c r="DU30">
        <v>592.53</v>
      </c>
      <c r="DV30">
        <v>-1.5856399999999999</v>
      </c>
      <c r="DW30">
        <v>8.6695399999999996</v>
      </c>
      <c r="DX30">
        <v>10.228400000000001</v>
      </c>
      <c r="DY30">
        <v>6.9440600000000003</v>
      </c>
      <c r="DZ30">
        <v>10.0092</v>
      </c>
      <c r="EA30">
        <v>21.430700000000002</v>
      </c>
      <c r="EB30">
        <v>2.80437</v>
      </c>
      <c r="EC30">
        <v>2.1180599999999998</v>
      </c>
      <c r="ED30">
        <v>22.909800000000001</v>
      </c>
      <c r="EE30">
        <v>18.355699999999999</v>
      </c>
      <c r="EF30">
        <v>1799.82</v>
      </c>
      <c r="EG30">
        <v>0.97800900000000002</v>
      </c>
      <c r="EH30">
        <v>2.1990800000000001E-2</v>
      </c>
      <c r="EI30">
        <v>0</v>
      </c>
      <c r="EJ30">
        <v>713.93399999999997</v>
      </c>
      <c r="EK30">
        <v>4.9996700000000001</v>
      </c>
      <c r="EL30">
        <v>14196.1</v>
      </c>
      <c r="EM30">
        <v>15045.3</v>
      </c>
      <c r="EN30">
        <v>49.875</v>
      </c>
      <c r="EO30">
        <v>51.061999999999998</v>
      </c>
      <c r="EP30">
        <v>50.686999999999998</v>
      </c>
      <c r="EQ30">
        <v>50.686999999999998</v>
      </c>
      <c r="ER30">
        <v>51.25</v>
      </c>
      <c r="ES30">
        <v>1755.35</v>
      </c>
      <c r="ET30">
        <v>39.47</v>
      </c>
      <c r="EU30">
        <v>0</v>
      </c>
      <c r="EV30">
        <v>263.40000009536737</v>
      </c>
      <c r="EW30">
        <v>0</v>
      </c>
      <c r="EX30">
        <v>713.87828000000013</v>
      </c>
      <c r="EY30">
        <v>-0.2192307721663507</v>
      </c>
      <c r="EZ30">
        <v>-46.007692083327058</v>
      </c>
      <c r="FA30">
        <v>14202.62</v>
      </c>
      <c r="FB30">
        <v>15</v>
      </c>
      <c r="FC30">
        <v>1700239196.0999999</v>
      </c>
      <c r="FD30" t="s">
        <v>481</v>
      </c>
      <c r="FE30">
        <v>1700239186.5999999</v>
      </c>
      <c r="FF30">
        <v>1700239196.0999999</v>
      </c>
      <c r="FG30">
        <v>17</v>
      </c>
      <c r="FH30">
        <v>-0.01</v>
      </c>
      <c r="FI30">
        <v>2E-3</v>
      </c>
      <c r="FJ30">
        <v>-0.22500000000000001</v>
      </c>
      <c r="FK30">
        <v>0.254</v>
      </c>
      <c r="FL30">
        <v>10</v>
      </c>
      <c r="FM30">
        <v>21</v>
      </c>
      <c r="FN30">
        <v>0.25</v>
      </c>
      <c r="FO30">
        <v>0.01</v>
      </c>
      <c r="FP30">
        <v>1.503292339573556</v>
      </c>
      <c r="FQ30">
        <v>8.9888628250178598E-2</v>
      </c>
      <c r="FR30">
        <v>3.5078788640620633E-2</v>
      </c>
      <c r="FS30">
        <v>1</v>
      </c>
      <c r="FT30">
        <v>0.50830190425038768</v>
      </c>
      <c r="FU30">
        <v>2.1258824277259079E-2</v>
      </c>
      <c r="FV30">
        <v>3.691369214810984E-3</v>
      </c>
      <c r="FW30">
        <v>1</v>
      </c>
      <c r="FX30">
        <v>2</v>
      </c>
      <c r="FY30">
        <v>2</v>
      </c>
      <c r="FZ30" t="s">
        <v>420</v>
      </c>
      <c r="GA30">
        <v>3.0125199999999999</v>
      </c>
      <c r="GB30">
        <v>2.7767200000000001</v>
      </c>
      <c r="GC30">
        <v>2.3408299999999999E-3</v>
      </c>
      <c r="GD30">
        <v>2.7336700000000001E-3</v>
      </c>
      <c r="GE30">
        <v>0.127579</v>
      </c>
      <c r="GF30">
        <v>0.106131</v>
      </c>
      <c r="GG30">
        <v>23900.6</v>
      </c>
      <c r="GH30">
        <v>24675.8</v>
      </c>
      <c r="GI30">
        <v>23730.9</v>
      </c>
      <c r="GJ30">
        <v>24408.6</v>
      </c>
      <c r="GK30">
        <v>30623.599999999999</v>
      </c>
      <c r="GL30">
        <v>31285.4</v>
      </c>
      <c r="GM30">
        <v>38866.800000000003</v>
      </c>
      <c r="GN30">
        <v>38869.1</v>
      </c>
      <c r="GO30">
        <v>1.9979</v>
      </c>
      <c r="GP30">
        <v>1.7864500000000001</v>
      </c>
      <c r="GQ30">
        <v>2.68966E-2</v>
      </c>
      <c r="GR30">
        <v>0</v>
      </c>
      <c r="GS30">
        <v>29.628</v>
      </c>
      <c r="GT30">
        <v>999.9</v>
      </c>
      <c r="GU30">
        <v>44.4</v>
      </c>
      <c r="GV30">
        <v>37.799999999999997</v>
      </c>
      <c r="GW30">
        <v>29.590199999999999</v>
      </c>
      <c r="GX30">
        <v>60.933999999999997</v>
      </c>
      <c r="GY30">
        <v>31.506399999999999</v>
      </c>
      <c r="GZ30">
        <v>1</v>
      </c>
      <c r="HA30">
        <v>0.65593500000000005</v>
      </c>
      <c r="HB30">
        <v>3.3456899999999998</v>
      </c>
      <c r="HC30">
        <v>20.292899999999999</v>
      </c>
      <c r="HD30">
        <v>5.2416999999999998</v>
      </c>
      <c r="HE30">
        <v>11.997999999999999</v>
      </c>
      <c r="HF30">
        <v>4.9635999999999996</v>
      </c>
      <c r="HG30">
        <v>3.3009499999999998</v>
      </c>
      <c r="HH30">
        <v>9999</v>
      </c>
      <c r="HI30">
        <v>9999</v>
      </c>
      <c r="HJ30">
        <v>9999</v>
      </c>
      <c r="HK30">
        <v>999.9</v>
      </c>
      <c r="HL30">
        <v>1.8751500000000001</v>
      </c>
      <c r="HM30">
        <v>1.8804700000000001</v>
      </c>
      <c r="HN30">
        <v>1.8805000000000001</v>
      </c>
      <c r="HO30">
        <v>1.8792500000000001</v>
      </c>
      <c r="HP30">
        <v>1.88157</v>
      </c>
      <c r="HQ30">
        <v>1.87747</v>
      </c>
      <c r="HR30">
        <v>1.87521</v>
      </c>
      <c r="HS30">
        <v>1.8824799999999999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-0.22600000000000001</v>
      </c>
      <c r="IH30">
        <v>0.35780000000000001</v>
      </c>
      <c r="II30">
        <v>-0.2322354865573816</v>
      </c>
      <c r="IJ30">
        <v>7.0786345690369205E-4</v>
      </c>
      <c r="IK30">
        <v>-1.387476646623666E-6</v>
      </c>
      <c r="IL30">
        <v>3.6592443641472651E-10</v>
      </c>
      <c r="IM30">
        <v>0.35783796204116491</v>
      </c>
      <c r="IN30">
        <v>0</v>
      </c>
      <c r="IO30">
        <v>0</v>
      </c>
      <c r="IP30">
        <v>0</v>
      </c>
      <c r="IQ30">
        <v>2</v>
      </c>
      <c r="IR30">
        <v>2142</v>
      </c>
      <c r="IS30">
        <v>1</v>
      </c>
      <c r="IT30">
        <v>24</v>
      </c>
      <c r="IU30">
        <v>0.7</v>
      </c>
      <c r="IV30">
        <v>0.5</v>
      </c>
      <c r="IW30">
        <v>0.17456099999999999</v>
      </c>
      <c r="IX30">
        <v>2.7209500000000002</v>
      </c>
      <c r="IY30">
        <v>1.5490699999999999</v>
      </c>
      <c r="IZ30">
        <v>2.36816</v>
      </c>
      <c r="JA30">
        <v>1.5966800000000001</v>
      </c>
      <c r="JB30">
        <v>2.3132299999999999</v>
      </c>
      <c r="JC30">
        <v>43.0199</v>
      </c>
      <c r="JD30">
        <v>24.008700000000001</v>
      </c>
      <c r="JE30">
        <v>18</v>
      </c>
      <c r="JF30">
        <v>517.47699999999998</v>
      </c>
      <c r="JG30">
        <v>447.06099999999998</v>
      </c>
      <c r="JH30">
        <v>26.73</v>
      </c>
      <c r="JI30">
        <v>35.168700000000001</v>
      </c>
      <c r="JJ30">
        <v>30.000900000000001</v>
      </c>
      <c r="JK30">
        <v>35.113</v>
      </c>
      <c r="JL30">
        <v>35.089799999999997</v>
      </c>
      <c r="JM30">
        <v>3.4854699999999998</v>
      </c>
      <c r="JN30">
        <v>29.057600000000001</v>
      </c>
      <c r="JO30">
        <v>31.8217</v>
      </c>
      <c r="JP30">
        <v>26.661799999999999</v>
      </c>
      <c r="JQ30">
        <v>10</v>
      </c>
      <c r="JR30">
        <v>21.3628</v>
      </c>
      <c r="JS30">
        <v>98.430599999999998</v>
      </c>
      <c r="JT30">
        <v>99.2881</v>
      </c>
    </row>
    <row r="31" spans="1:280" x14ac:dyDescent="0.25">
      <c r="A31">
        <v>15</v>
      </c>
      <c r="B31">
        <v>1700239988.5</v>
      </c>
      <c r="C31">
        <v>2854</v>
      </c>
      <c r="D31" t="s">
        <v>482</v>
      </c>
      <c r="E31" t="s">
        <v>483</v>
      </c>
      <c r="F31" t="s">
        <v>412</v>
      </c>
      <c r="G31" t="s">
        <v>484</v>
      </c>
      <c r="H31" t="s">
        <v>485</v>
      </c>
      <c r="I31">
        <v>1700239988.5</v>
      </c>
      <c r="J31">
        <f t="shared" si="0"/>
        <v>4.5634412694801445E-3</v>
      </c>
      <c r="K31">
        <f t="shared" si="1"/>
        <v>4.5634412694801441</v>
      </c>
      <c r="L31">
        <f t="shared" si="2"/>
        <v>46.445668106925631</v>
      </c>
      <c r="M31">
        <f t="shared" si="3"/>
        <v>396.76600000000002</v>
      </c>
      <c r="N31">
        <f t="shared" si="4"/>
        <v>124.57184413769303</v>
      </c>
      <c r="O31">
        <f t="shared" si="5"/>
        <v>12.324967919443676</v>
      </c>
      <c r="P31">
        <f t="shared" si="6"/>
        <v>39.255485502171609</v>
      </c>
      <c r="Q31">
        <f t="shared" si="7"/>
        <v>0.29296315610204021</v>
      </c>
      <c r="R31">
        <f t="shared" si="8"/>
        <v>3.0011326500158981</v>
      </c>
      <c r="S31">
        <f t="shared" si="9"/>
        <v>0.27795195595484773</v>
      </c>
      <c r="T31">
        <f t="shared" si="10"/>
        <v>0.17500454876651508</v>
      </c>
      <c r="U31">
        <f t="shared" si="11"/>
        <v>289.55312441909888</v>
      </c>
      <c r="V31">
        <f t="shared" si="12"/>
        <v>29.962920562804193</v>
      </c>
      <c r="W31">
        <f t="shared" si="13"/>
        <v>30.053899999999999</v>
      </c>
      <c r="X31">
        <f t="shared" si="14"/>
        <v>4.2736578129133704</v>
      </c>
      <c r="Y31">
        <f t="shared" si="15"/>
        <v>65.553723116047024</v>
      </c>
      <c r="Z31">
        <f t="shared" si="16"/>
        <v>2.7065751272688603</v>
      </c>
      <c r="AA31">
        <f t="shared" si="17"/>
        <v>4.1287893328004008</v>
      </c>
      <c r="AB31">
        <f t="shared" si="18"/>
        <v>1.5670826856445101</v>
      </c>
      <c r="AC31">
        <f t="shared" si="19"/>
        <v>-201.24775998407438</v>
      </c>
      <c r="AD31">
        <f t="shared" si="20"/>
        <v>-96.964980112194837</v>
      </c>
      <c r="AE31">
        <f t="shared" si="21"/>
        <v>-7.1665824133444707</v>
      </c>
      <c r="AF31">
        <f t="shared" si="22"/>
        <v>-15.826198090514822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51826.531930155899</v>
      </c>
      <c r="AL31" t="s">
        <v>415</v>
      </c>
      <c r="AM31">
        <v>10238.9</v>
      </c>
      <c r="AN31">
        <v>302.21199999999999</v>
      </c>
      <c r="AO31">
        <v>4052.3</v>
      </c>
      <c r="AP31">
        <f t="shared" si="26"/>
        <v>0.92542210596451402</v>
      </c>
      <c r="AQ31">
        <v>-0.32343011824092421</v>
      </c>
      <c r="AR31" t="s">
        <v>486</v>
      </c>
      <c r="AS31">
        <v>7100.42</v>
      </c>
      <c r="AT31">
        <v>615.13530769230761</v>
      </c>
      <c r="AU31">
        <v>911.49272126931817</v>
      </c>
      <c r="AV31">
        <f t="shared" si="27"/>
        <v>0.3251341526505136</v>
      </c>
      <c r="AW31">
        <v>0.5</v>
      </c>
      <c r="AX31">
        <f t="shared" si="28"/>
        <v>1513.1172002171495</v>
      </c>
      <c r="AY31">
        <f t="shared" si="29"/>
        <v>46.445668106925631</v>
      </c>
      <c r="AZ31">
        <f t="shared" si="30"/>
        <v>245.98303937676022</v>
      </c>
      <c r="BA31">
        <f t="shared" si="31"/>
        <v>3.0909104872018277E-2</v>
      </c>
      <c r="BB31">
        <f t="shared" si="32"/>
        <v>3.4457842673245764</v>
      </c>
      <c r="BC31">
        <f t="shared" si="33"/>
        <v>240.42718271943806</v>
      </c>
      <c r="BD31" t="s">
        <v>487</v>
      </c>
      <c r="BE31">
        <v>452.39</v>
      </c>
      <c r="BF31">
        <f t="shared" si="34"/>
        <v>452.39</v>
      </c>
      <c r="BG31">
        <f t="shared" si="35"/>
        <v>0.50368226816993689</v>
      </c>
      <c r="BH31">
        <f t="shared" si="36"/>
        <v>0.64551439110978781</v>
      </c>
      <c r="BI31">
        <f t="shared" si="37"/>
        <v>0.87246827802102878</v>
      </c>
      <c r="BJ31">
        <f t="shared" si="38"/>
        <v>0.48640536821780178</v>
      </c>
      <c r="BK31">
        <f t="shared" si="39"/>
        <v>0.83752895364873614</v>
      </c>
      <c r="BL31">
        <f t="shared" si="40"/>
        <v>0.474731740711961</v>
      </c>
      <c r="BM31">
        <f t="shared" si="41"/>
        <v>0.525268259288039</v>
      </c>
      <c r="BN31">
        <v>34543</v>
      </c>
      <c r="BO31">
        <v>290.00000000000011</v>
      </c>
      <c r="BP31">
        <v>828.36</v>
      </c>
      <c r="BQ31">
        <v>295</v>
      </c>
      <c r="BR31">
        <v>7100.42</v>
      </c>
      <c r="BS31">
        <v>829.7</v>
      </c>
      <c r="BT31">
        <v>-1.34</v>
      </c>
      <c r="BU31">
        <v>300.00000000000011</v>
      </c>
      <c r="BV31">
        <v>38.299999999999997</v>
      </c>
      <c r="BW31">
        <v>911.49272126931817</v>
      </c>
      <c r="BX31">
        <v>2.1402813500016982</v>
      </c>
      <c r="BY31">
        <v>-58.077093489011133</v>
      </c>
      <c r="BZ31">
        <v>1.2740152093047381</v>
      </c>
      <c r="CA31">
        <v>0.98670510582066795</v>
      </c>
      <c r="CB31">
        <v>-6.9997739710789828E-3</v>
      </c>
      <c r="CC31">
        <v>289.99999999999989</v>
      </c>
      <c r="CD31">
        <v>839.46</v>
      </c>
      <c r="CE31">
        <v>865</v>
      </c>
      <c r="CF31">
        <v>7093.77</v>
      </c>
      <c r="CG31">
        <v>829.62</v>
      </c>
      <c r="CH31">
        <v>9.84</v>
      </c>
      <c r="CV31">
        <f t="shared" si="42"/>
        <v>1799.92</v>
      </c>
      <c r="CW31">
        <f t="shared" si="43"/>
        <v>1513.1172002171495</v>
      </c>
      <c r="CX31">
        <f t="shared" si="44"/>
        <v>0.84065802936638823</v>
      </c>
      <c r="CY31">
        <f t="shared" si="45"/>
        <v>0.16086999667712948</v>
      </c>
      <c r="CZ31">
        <v>5.52</v>
      </c>
      <c r="DA31">
        <v>0.5</v>
      </c>
      <c r="DB31" t="s">
        <v>418</v>
      </c>
      <c r="DC31">
        <v>2</v>
      </c>
      <c r="DD31">
        <v>1700239988.5</v>
      </c>
      <c r="DE31">
        <v>396.76600000000002</v>
      </c>
      <c r="DF31">
        <v>450.01900000000001</v>
      </c>
      <c r="DG31">
        <v>27.356100000000001</v>
      </c>
      <c r="DH31">
        <v>22.457899999999999</v>
      </c>
      <c r="DI31">
        <v>396.92099999999999</v>
      </c>
      <c r="DJ31">
        <v>27.019400000000001</v>
      </c>
      <c r="DK31">
        <v>500.20600000000002</v>
      </c>
      <c r="DL31">
        <v>98.838700000000003</v>
      </c>
      <c r="DM31">
        <v>9.9932599999999996E-2</v>
      </c>
      <c r="DN31">
        <v>29.454599999999999</v>
      </c>
      <c r="DO31">
        <v>30.053899999999999</v>
      </c>
      <c r="DP31">
        <v>999.9</v>
      </c>
      <c r="DQ31">
        <v>0</v>
      </c>
      <c r="DR31">
        <v>0</v>
      </c>
      <c r="DS31">
        <v>9997.5</v>
      </c>
      <c r="DT31">
        <v>0</v>
      </c>
      <c r="DU31">
        <v>279.101</v>
      </c>
      <c r="DV31">
        <v>-53.253</v>
      </c>
      <c r="DW31">
        <v>407.92500000000001</v>
      </c>
      <c r="DX31">
        <v>460.358</v>
      </c>
      <c r="DY31">
        <v>4.8982599999999996</v>
      </c>
      <c r="DZ31">
        <v>450.01900000000001</v>
      </c>
      <c r="EA31">
        <v>22.457899999999999</v>
      </c>
      <c r="EB31">
        <v>2.7038500000000001</v>
      </c>
      <c r="EC31">
        <v>2.2197100000000001</v>
      </c>
      <c r="ED31">
        <v>22.308499999999999</v>
      </c>
      <c r="EE31">
        <v>19.1053</v>
      </c>
      <c r="EF31">
        <v>1799.92</v>
      </c>
      <c r="EG31">
        <v>0.97800299999999996</v>
      </c>
      <c r="EH31">
        <v>2.1996600000000002E-2</v>
      </c>
      <c r="EI31">
        <v>0</v>
      </c>
      <c r="EJ31">
        <v>614.846</v>
      </c>
      <c r="EK31">
        <v>4.9996700000000001</v>
      </c>
      <c r="EL31">
        <v>12525.8</v>
      </c>
      <c r="EM31">
        <v>15046.1</v>
      </c>
      <c r="EN31">
        <v>49.936999999999998</v>
      </c>
      <c r="EO31">
        <v>51.125</v>
      </c>
      <c r="EP31">
        <v>50.686999999999998</v>
      </c>
      <c r="EQ31">
        <v>50.875</v>
      </c>
      <c r="ER31">
        <v>51.311999999999998</v>
      </c>
      <c r="ES31">
        <v>1755.44</v>
      </c>
      <c r="ET31">
        <v>39.479999999999997</v>
      </c>
      <c r="EU31">
        <v>0</v>
      </c>
      <c r="EV31">
        <v>759.79999995231628</v>
      </c>
      <c r="EW31">
        <v>0</v>
      </c>
      <c r="EX31">
        <v>615.13530769230761</v>
      </c>
      <c r="EY31">
        <v>-2.6595555632646239</v>
      </c>
      <c r="EZ31">
        <v>-45.702564037647328</v>
      </c>
      <c r="FA31">
        <v>12536.57692307692</v>
      </c>
      <c r="FB31">
        <v>15</v>
      </c>
      <c r="FC31">
        <v>1700239957.5</v>
      </c>
      <c r="FD31" t="s">
        <v>488</v>
      </c>
      <c r="FE31">
        <v>1700239954.5</v>
      </c>
      <c r="FF31">
        <v>1700239957.5</v>
      </c>
      <c r="FG31">
        <v>21</v>
      </c>
      <c r="FH31">
        <v>3.6999999999999998E-2</v>
      </c>
      <c r="FI31">
        <v>-4.0000000000000001E-3</v>
      </c>
      <c r="FJ31">
        <v>-0.16900000000000001</v>
      </c>
      <c r="FK31">
        <v>0.29499999999999998</v>
      </c>
      <c r="FL31">
        <v>450</v>
      </c>
      <c r="FM31">
        <v>23</v>
      </c>
      <c r="FN31">
        <v>0.05</v>
      </c>
      <c r="FO31">
        <v>0.03</v>
      </c>
      <c r="FP31">
        <v>46.268637651071501</v>
      </c>
      <c r="FQ31">
        <v>5.4366085015316867E-2</v>
      </c>
      <c r="FR31">
        <v>0.1038978420169779</v>
      </c>
      <c r="FS31">
        <v>1</v>
      </c>
      <c r="FT31">
        <v>0.29737078614457357</v>
      </c>
      <c r="FU31">
        <v>-4.8050663706525672E-2</v>
      </c>
      <c r="FV31">
        <v>3.8265749492032959E-3</v>
      </c>
      <c r="FW31">
        <v>1</v>
      </c>
      <c r="FX31">
        <v>2</v>
      </c>
      <c r="FY31">
        <v>2</v>
      </c>
      <c r="FZ31" t="s">
        <v>420</v>
      </c>
      <c r="GA31">
        <v>3.0131600000000001</v>
      </c>
      <c r="GB31">
        <v>2.7770000000000001</v>
      </c>
      <c r="GC31">
        <v>8.7068099999999995E-2</v>
      </c>
      <c r="GD31">
        <v>9.6344600000000002E-2</v>
      </c>
      <c r="GE31">
        <v>0.124279</v>
      </c>
      <c r="GF31">
        <v>0.109518</v>
      </c>
      <c r="GG31">
        <v>21849.9</v>
      </c>
      <c r="GH31">
        <v>22339.1</v>
      </c>
      <c r="GI31">
        <v>23706.799999999999</v>
      </c>
      <c r="GJ31">
        <v>24385</v>
      </c>
      <c r="GK31">
        <v>30712.5</v>
      </c>
      <c r="GL31">
        <v>31141.3</v>
      </c>
      <c r="GM31">
        <v>38830.800000000003</v>
      </c>
      <c r="GN31">
        <v>38836.699999999997</v>
      </c>
      <c r="GO31">
        <v>2.0185200000000001</v>
      </c>
      <c r="GP31">
        <v>1.7723</v>
      </c>
      <c r="GQ31">
        <v>5.7760600000000002E-2</v>
      </c>
      <c r="GR31">
        <v>0</v>
      </c>
      <c r="GS31">
        <v>29.113299999999999</v>
      </c>
      <c r="GT31">
        <v>999.9</v>
      </c>
      <c r="GU31">
        <v>42.6</v>
      </c>
      <c r="GV31">
        <v>39.200000000000003</v>
      </c>
      <c r="GW31">
        <v>30.613499999999998</v>
      </c>
      <c r="GX31">
        <v>60.884</v>
      </c>
      <c r="GY31">
        <v>30.508800000000001</v>
      </c>
      <c r="GZ31">
        <v>1</v>
      </c>
      <c r="HA31">
        <v>0.70165900000000003</v>
      </c>
      <c r="HB31">
        <v>3.8929100000000001</v>
      </c>
      <c r="HC31">
        <v>20.2805</v>
      </c>
      <c r="HD31">
        <v>5.24559</v>
      </c>
      <c r="HE31">
        <v>11.997999999999999</v>
      </c>
      <c r="HF31">
        <v>4.9638</v>
      </c>
      <c r="HG31">
        <v>3.3008000000000002</v>
      </c>
      <c r="HH31">
        <v>9999</v>
      </c>
      <c r="HI31">
        <v>9999</v>
      </c>
      <c r="HJ31">
        <v>9999</v>
      </c>
      <c r="HK31">
        <v>999.9</v>
      </c>
      <c r="HL31">
        <v>1.8751199999999999</v>
      </c>
      <c r="HM31">
        <v>1.88049</v>
      </c>
      <c r="HN31">
        <v>1.8805099999999999</v>
      </c>
      <c r="HO31">
        <v>1.87927</v>
      </c>
      <c r="HP31">
        <v>1.8815599999999999</v>
      </c>
      <c r="HQ31">
        <v>1.87751</v>
      </c>
      <c r="HR31">
        <v>1.87517</v>
      </c>
      <c r="HS31">
        <v>1.8824099999999999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-0.155</v>
      </c>
      <c r="IH31">
        <v>0.3367</v>
      </c>
      <c r="II31">
        <v>-0.24032377784117709</v>
      </c>
      <c r="IJ31">
        <v>7.0786345690369205E-4</v>
      </c>
      <c r="IK31">
        <v>-1.387476646623666E-6</v>
      </c>
      <c r="IL31">
        <v>3.6592443641472651E-10</v>
      </c>
      <c r="IM31">
        <v>0.33675307074939048</v>
      </c>
      <c r="IN31">
        <v>0</v>
      </c>
      <c r="IO31">
        <v>0</v>
      </c>
      <c r="IP31">
        <v>0</v>
      </c>
      <c r="IQ31">
        <v>2</v>
      </c>
      <c r="IR31">
        <v>2142</v>
      </c>
      <c r="IS31">
        <v>1</v>
      </c>
      <c r="IT31">
        <v>24</v>
      </c>
      <c r="IU31">
        <v>0.6</v>
      </c>
      <c r="IV31">
        <v>0.5</v>
      </c>
      <c r="IW31">
        <v>1.11694</v>
      </c>
      <c r="IX31">
        <v>2.66479</v>
      </c>
      <c r="IY31">
        <v>1.5490699999999999</v>
      </c>
      <c r="IZ31">
        <v>2.36572</v>
      </c>
      <c r="JA31">
        <v>1.5966800000000001</v>
      </c>
      <c r="JB31">
        <v>2.18628</v>
      </c>
      <c r="JC31">
        <v>44.167700000000004</v>
      </c>
      <c r="JD31">
        <v>23.991199999999999</v>
      </c>
      <c r="JE31">
        <v>18</v>
      </c>
      <c r="JF31">
        <v>535.53899999999999</v>
      </c>
      <c r="JG31">
        <v>442.01299999999998</v>
      </c>
      <c r="JH31">
        <v>25.792400000000001</v>
      </c>
      <c r="JI31">
        <v>35.747100000000003</v>
      </c>
      <c r="JJ31">
        <v>30.001300000000001</v>
      </c>
      <c r="JK31">
        <v>35.683700000000002</v>
      </c>
      <c r="JL31">
        <v>35.663400000000003</v>
      </c>
      <c r="JM31">
        <v>22.335799999999999</v>
      </c>
      <c r="JN31">
        <v>27.498200000000001</v>
      </c>
      <c r="JO31">
        <v>26.444500000000001</v>
      </c>
      <c r="JP31">
        <v>25.7499</v>
      </c>
      <c r="JQ31">
        <v>450</v>
      </c>
      <c r="JR31">
        <v>22.366800000000001</v>
      </c>
      <c r="JS31">
        <v>98.336100000000002</v>
      </c>
      <c r="JT31">
        <v>99.200199999999995</v>
      </c>
    </row>
    <row r="32" spans="1:280" x14ac:dyDescent="0.25">
      <c r="A32">
        <v>16</v>
      </c>
      <c r="B32">
        <v>1700240088</v>
      </c>
      <c r="C32">
        <v>2953.5</v>
      </c>
      <c r="D32" t="s">
        <v>489</v>
      </c>
      <c r="E32" t="s">
        <v>490</v>
      </c>
      <c r="F32" t="s">
        <v>412</v>
      </c>
      <c r="G32" t="s">
        <v>484</v>
      </c>
      <c r="H32" t="s">
        <v>485</v>
      </c>
      <c r="I32">
        <v>1700240088</v>
      </c>
      <c r="J32">
        <f t="shared" si="0"/>
        <v>3.706234056632052E-3</v>
      </c>
      <c r="K32">
        <f t="shared" si="1"/>
        <v>3.7062340566320522</v>
      </c>
      <c r="L32">
        <f t="shared" si="2"/>
        <v>52.456116306492639</v>
      </c>
      <c r="M32">
        <f t="shared" si="3"/>
        <v>1436.298</v>
      </c>
      <c r="N32">
        <f t="shared" si="4"/>
        <v>1014.5692053919271</v>
      </c>
      <c r="O32">
        <f t="shared" si="5"/>
        <v>100.38119411666896</v>
      </c>
      <c r="P32">
        <f t="shared" si="6"/>
        <v>142.10692339285799</v>
      </c>
      <c r="Q32">
        <f t="shared" si="7"/>
        <v>0.22389216175016474</v>
      </c>
      <c r="R32">
        <f t="shared" si="8"/>
        <v>3.0032375823599309</v>
      </c>
      <c r="S32">
        <f t="shared" si="9"/>
        <v>0.2150154659476006</v>
      </c>
      <c r="T32">
        <f t="shared" si="10"/>
        <v>0.13515287736498011</v>
      </c>
      <c r="U32">
        <f t="shared" si="11"/>
        <v>289.54674041910818</v>
      </c>
      <c r="V32">
        <f t="shared" si="12"/>
        <v>30.070572033970251</v>
      </c>
      <c r="W32">
        <f t="shared" si="13"/>
        <v>30.202100000000002</v>
      </c>
      <c r="X32">
        <f t="shared" si="14"/>
        <v>4.3101579115861854</v>
      </c>
      <c r="Y32">
        <f t="shared" si="15"/>
        <v>64.95199390210729</v>
      </c>
      <c r="Z32">
        <f t="shared" si="16"/>
        <v>2.6648424454140005</v>
      </c>
      <c r="AA32">
        <f t="shared" si="17"/>
        <v>4.1027877441766156</v>
      </c>
      <c r="AB32">
        <f t="shared" si="18"/>
        <v>1.6453154661721849</v>
      </c>
      <c r="AC32">
        <f t="shared" si="19"/>
        <v>-163.44492189747351</v>
      </c>
      <c r="AD32">
        <f t="shared" si="20"/>
        <v>-138.7573366709421</v>
      </c>
      <c r="AE32">
        <f t="shared" si="21"/>
        <v>-10.250200415499991</v>
      </c>
      <c r="AF32">
        <f t="shared" si="22"/>
        <v>-22.905718564807415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51902.236012907197</v>
      </c>
      <c r="AL32" t="s">
        <v>446</v>
      </c>
      <c r="AM32" t="s">
        <v>446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446</v>
      </c>
      <c r="AS32" t="s">
        <v>446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1513.0836002171545</v>
      </c>
      <c r="AY32">
        <f t="shared" si="29"/>
        <v>52.456116306492639</v>
      </c>
      <c r="AZ32" t="e">
        <f t="shared" si="30"/>
        <v>#DIV/0!</v>
      </c>
      <c r="BA32">
        <f t="shared" si="31"/>
        <v>3.4668352957473232E-2</v>
      </c>
      <c r="BB32" t="e">
        <f t="shared" si="32"/>
        <v>#DIV/0!</v>
      </c>
      <c r="BC32" t="e">
        <f t="shared" si="33"/>
        <v>#DIV/0!</v>
      </c>
      <c r="BD32" t="s">
        <v>446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BN32">
        <v>34543</v>
      </c>
      <c r="BO32">
        <v>290.00000000000011</v>
      </c>
      <c r="BP32">
        <v>828.36</v>
      </c>
      <c r="BQ32">
        <v>295</v>
      </c>
      <c r="BR32">
        <v>7100.42</v>
      </c>
      <c r="BS32">
        <v>829.7</v>
      </c>
      <c r="BT32">
        <v>-1.34</v>
      </c>
      <c r="BU32">
        <v>300.00000000000011</v>
      </c>
      <c r="BV32">
        <v>38.299999999999997</v>
      </c>
      <c r="BW32">
        <v>911.49272126931817</v>
      </c>
      <c r="BX32">
        <v>2.1402813500016982</v>
      </c>
      <c r="BY32">
        <v>-58.077093489011133</v>
      </c>
      <c r="BZ32">
        <v>1.2740152093047381</v>
      </c>
      <c r="CA32">
        <v>0.98670510582066795</v>
      </c>
      <c r="CB32">
        <v>-6.9997739710789828E-3</v>
      </c>
      <c r="CC32">
        <v>289.99999999999989</v>
      </c>
      <c r="CD32">
        <v>839.46</v>
      </c>
      <c r="CE32">
        <v>865</v>
      </c>
      <c r="CF32">
        <v>7093.77</v>
      </c>
      <c r="CG32">
        <v>829.62</v>
      </c>
      <c r="CH32">
        <v>9.84</v>
      </c>
      <c r="CV32">
        <f t="shared" si="42"/>
        <v>1799.88</v>
      </c>
      <c r="CW32">
        <f t="shared" si="43"/>
        <v>1513.0836002171545</v>
      </c>
      <c r="CX32">
        <f t="shared" si="44"/>
        <v>0.84065804399024069</v>
      </c>
      <c r="CY32">
        <f t="shared" si="45"/>
        <v>0.16087002490116462</v>
      </c>
      <c r="CZ32">
        <v>5.52</v>
      </c>
      <c r="DA32">
        <v>0.5</v>
      </c>
      <c r="DB32" t="s">
        <v>418</v>
      </c>
      <c r="DC32">
        <v>2</v>
      </c>
      <c r="DD32">
        <v>1700240088</v>
      </c>
      <c r="DE32">
        <v>1436.298</v>
      </c>
      <c r="DF32">
        <v>1500.09</v>
      </c>
      <c r="DG32">
        <v>26.934000000000001</v>
      </c>
      <c r="DH32">
        <v>22.952300000000001</v>
      </c>
      <c r="DI32">
        <v>1437.13</v>
      </c>
      <c r="DJ32">
        <v>26.637</v>
      </c>
      <c r="DK32">
        <v>499.97199999999998</v>
      </c>
      <c r="DL32">
        <v>98.840100000000007</v>
      </c>
      <c r="DM32">
        <v>9.9621000000000001E-2</v>
      </c>
      <c r="DN32">
        <v>29.345099999999999</v>
      </c>
      <c r="DO32">
        <v>30.202100000000002</v>
      </c>
      <c r="DP32">
        <v>999.9</v>
      </c>
      <c r="DQ32">
        <v>0</v>
      </c>
      <c r="DR32">
        <v>0</v>
      </c>
      <c r="DS32">
        <v>10008.799999999999</v>
      </c>
      <c r="DT32">
        <v>0</v>
      </c>
      <c r="DU32">
        <v>280.346</v>
      </c>
      <c r="DV32">
        <v>-63.967399999999998</v>
      </c>
      <c r="DW32">
        <v>1475.93</v>
      </c>
      <c r="DX32">
        <v>1535.33</v>
      </c>
      <c r="DY32">
        <v>4.0214800000000004</v>
      </c>
      <c r="DZ32">
        <v>1500.09</v>
      </c>
      <c r="EA32">
        <v>22.952300000000001</v>
      </c>
      <c r="EB32">
        <v>2.6660900000000001</v>
      </c>
      <c r="EC32">
        <v>2.2686000000000002</v>
      </c>
      <c r="ED32">
        <v>22.0776</v>
      </c>
      <c r="EE32">
        <v>19.455200000000001</v>
      </c>
      <c r="EF32">
        <v>1799.88</v>
      </c>
      <c r="EG32">
        <v>0.97800299999999996</v>
      </c>
      <c r="EH32">
        <v>2.1996600000000002E-2</v>
      </c>
      <c r="EI32">
        <v>0</v>
      </c>
      <c r="EJ32">
        <v>606.76700000000005</v>
      </c>
      <c r="EK32">
        <v>4.9996700000000001</v>
      </c>
      <c r="EL32">
        <v>12404.4</v>
      </c>
      <c r="EM32">
        <v>15045.8</v>
      </c>
      <c r="EN32">
        <v>49.936999999999998</v>
      </c>
      <c r="EO32">
        <v>51.125</v>
      </c>
      <c r="EP32">
        <v>50.686999999999998</v>
      </c>
      <c r="EQ32">
        <v>50.875</v>
      </c>
      <c r="ER32">
        <v>51.311999999999998</v>
      </c>
      <c r="ES32">
        <v>1755.4</v>
      </c>
      <c r="ET32">
        <v>39.479999999999997</v>
      </c>
      <c r="EU32">
        <v>0</v>
      </c>
      <c r="EV32">
        <v>97.799999952316284</v>
      </c>
      <c r="EW32">
        <v>0</v>
      </c>
      <c r="EX32">
        <v>607.19092307692313</v>
      </c>
      <c r="EY32">
        <v>-2.2362393127971489</v>
      </c>
      <c r="EZ32">
        <v>-26.680341883205308</v>
      </c>
      <c r="FA32">
        <v>12404.438461538461</v>
      </c>
      <c r="FB32">
        <v>15</v>
      </c>
      <c r="FC32">
        <v>1700240118.5</v>
      </c>
      <c r="FD32" t="s">
        <v>491</v>
      </c>
      <c r="FE32">
        <v>1700240118.5</v>
      </c>
      <c r="FF32">
        <v>1700240111</v>
      </c>
      <c r="FG32">
        <v>22</v>
      </c>
      <c r="FH32">
        <v>0.23400000000000001</v>
      </c>
      <c r="FI32">
        <v>2E-3</v>
      </c>
      <c r="FJ32">
        <v>-0.83199999999999996</v>
      </c>
      <c r="FK32">
        <v>0.29699999999999999</v>
      </c>
      <c r="FL32">
        <v>1500</v>
      </c>
      <c r="FM32">
        <v>23</v>
      </c>
      <c r="FN32">
        <v>0.09</v>
      </c>
      <c r="FO32">
        <v>0.01</v>
      </c>
      <c r="FP32">
        <v>52.578247459026073</v>
      </c>
      <c r="FQ32">
        <v>0.29146137191529498</v>
      </c>
      <c r="FR32">
        <v>0.18253366065936119</v>
      </c>
      <c r="FS32">
        <v>1</v>
      </c>
      <c r="FT32">
        <v>0.22993469622664761</v>
      </c>
      <c r="FU32">
        <v>-3.4736564943402527E-2</v>
      </c>
      <c r="FV32">
        <v>2.8977753993305491E-3</v>
      </c>
      <c r="FW32">
        <v>1</v>
      </c>
      <c r="FX32">
        <v>2</v>
      </c>
      <c r="FY32">
        <v>2</v>
      </c>
      <c r="FZ32" t="s">
        <v>420</v>
      </c>
      <c r="GA32">
        <v>3.0125700000000002</v>
      </c>
      <c r="GB32">
        <v>2.77678</v>
      </c>
      <c r="GC32">
        <v>0.20822499999999999</v>
      </c>
      <c r="GD32">
        <v>0.21452299999999999</v>
      </c>
      <c r="GE32">
        <v>0.123053</v>
      </c>
      <c r="GF32">
        <v>0.11118</v>
      </c>
      <c r="GG32">
        <v>18944.2</v>
      </c>
      <c r="GH32">
        <v>19410.8</v>
      </c>
      <c r="GI32">
        <v>23704.2</v>
      </c>
      <c r="GJ32">
        <v>24382.2</v>
      </c>
      <c r="GK32">
        <v>30752</v>
      </c>
      <c r="GL32">
        <v>31079.8</v>
      </c>
      <c r="GM32">
        <v>38827.300000000003</v>
      </c>
      <c r="GN32">
        <v>38833.4</v>
      </c>
      <c r="GO32">
        <v>2.0182500000000001</v>
      </c>
      <c r="GP32">
        <v>1.7754000000000001</v>
      </c>
      <c r="GQ32">
        <v>6.9499000000000005E-2</v>
      </c>
      <c r="GR32">
        <v>0</v>
      </c>
      <c r="GS32">
        <v>29.070399999999999</v>
      </c>
      <c r="GT32">
        <v>999.9</v>
      </c>
      <c r="GU32">
        <v>41.8</v>
      </c>
      <c r="GV32">
        <v>39.299999999999997</v>
      </c>
      <c r="GW32">
        <v>30.195900000000002</v>
      </c>
      <c r="GX32">
        <v>61.293999999999997</v>
      </c>
      <c r="GY32">
        <v>31.2179</v>
      </c>
      <c r="GZ32">
        <v>1</v>
      </c>
      <c r="HA32">
        <v>0.71604400000000001</v>
      </c>
      <c r="HB32">
        <v>6.0821100000000001</v>
      </c>
      <c r="HC32">
        <v>20.206299999999999</v>
      </c>
      <c r="HD32">
        <v>5.2426000000000004</v>
      </c>
      <c r="HE32">
        <v>12.003399999999999</v>
      </c>
      <c r="HF32">
        <v>4.96305</v>
      </c>
      <c r="HG32">
        <v>3.3001499999999999</v>
      </c>
      <c r="HH32">
        <v>9999</v>
      </c>
      <c r="HI32">
        <v>9999</v>
      </c>
      <c r="HJ32">
        <v>9999</v>
      </c>
      <c r="HK32">
        <v>999.9</v>
      </c>
      <c r="HL32">
        <v>1.87514</v>
      </c>
      <c r="HM32">
        <v>1.8804700000000001</v>
      </c>
      <c r="HN32">
        <v>1.8805000000000001</v>
      </c>
      <c r="HO32">
        <v>1.8792599999999999</v>
      </c>
      <c r="HP32">
        <v>1.8815599999999999</v>
      </c>
      <c r="HQ32">
        <v>1.8774999999999999</v>
      </c>
      <c r="HR32">
        <v>1.8751800000000001</v>
      </c>
      <c r="HS32">
        <v>1.8824399999999999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-0.83199999999999996</v>
      </c>
      <c r="IH32">
        <v>0.29699999999999999</v>
      </c>
      <c r="II32">
        <v>-0.24032377784117709</v>
      </c>
      <c r="IJ32">
        <v>7.0786345690369205E-4</v>
      </c>
      <c r="IK32">
        <v>-1.387476646623666E-6</v>
      </c>
      <c r="IL32">
        <v>3.6592443641472651E-10</v>
      </c>
      <c r="IM32">
        <v>0.33675307074939048</v>
      </c>
      <c r="IN32">
        <v>0</v>
      </c>
      <c r="IO32">
        <v>0</v>
      </c>
      <c r="IP32">
        <v>0</v>
      </c>
      <c r="IQ32">
        <v>2</v>
      </c>
      <c r="IR32">
        <v>2142</v>
      </c>
      <c r="IS32">
        <v>1</v>
      </c>
      <c r="IT32">
        <v>24</v>
      </c>
      <c r="IU32">
        <v>2.2000000000000002</v>
      </c>
      <c r="IV32">
        <v>2.2000000000000002</v>
      </c>
      <c r="IW32">
        <v>2.97729</v>
      </c>
      <c r="IX32">
        <v>2.6355</v>
      </c>
      <c r="IY32">
        <v>1.5490699999999999</v>
      </c>
      <c r="IZ32">
        <v>2.36572</v>
      </c>
      <c r="JA32">
        <v>1.5966800000000001</v>
      </c>
      <c r="JB32">
        <v>2.3791500000000001</v>
      </c>
      <c r="JC32">
        <v>44.306399999999996</v>
      </c>
      <c r="JD32">
        <v>23.956199999999999</v>
      </c>
      <c r="JE32">
        <v>18</v>
      </c>
      <c r="JF32">
        <v>535.59</v>
      </c>
      <c r="JG32">
        <v>444.22500000000002</v>
      </c>
      <c r="JH32">
        <v>24.613600000000002</v>
      </c>
      <c r="JI32">
        <v>35.767099999999999</v>
      </c>
      <c r="JJ32">
        <v>30.0014</v>
      </c>
      <c r="JK32">
        <v>35.7134</v>
      </c>
      <c r="JL32">
        <v>35.696199999999997</v>
      </c>
      <c r="JM32">
        <v>59.532899999999998</v>
      </c>
      <c r="JN32">
        <v>23.880800000000001</v>
      </c>
      <c r="JO32">
        <v>24.177499999999998</v>
      </c>
      <c r="JP32">
        <v>24.449000000000002</v>
      </c>
      <c r="JQ32">
        <v>1500</v>
      </c>
      <c r="JR32">
        <v>22.980499999999999</v>
      </c>
      <c r="JS32">
        <v>98.326400000000007</v>
      </c>
      <c r="JT32">
        <v>99.190700000000007</v>
      </c>
    </row>
    <row r="33" spans="1:280" x14ac:dyDescent="0.25">
      <c r="A33">
        <v>17</v>
      </c>
      <c r="B33">
        <v>1700240230.5</v>
      </c>
      <c r="C33">
        <v>3096</v>
      </c>
      <c r="D33" t="s">
        <v>492</v>
      </c>
      <c r="E33" t="s">
        <v>493</v>
      </c>
      <c r="F33" t="s">
        <v>412</v>
      </c>
      <c r="G33" t="s">
        <v>484</v>
      </c>
      <c r="H33" t="s">
        <v>485</v>
      </c>
      <c r="I33">
        <v>1700240230.5</v>
      </c>
      <c r="J33">
        <f t="shared" si="0"/>
        <v>3.4377472132790304E-3</v>
      </c>
      <c r="K33">
        <f t="shared" si="1"/>
        <v>3.4377472132790303</v>
      </c>
      <c r="L33">
        <f t="shared" si="2"/>
        <v>52.741704993222243</v>
      </c>
      <c r="M33">
        <f t="shared" si="3"/>
        <v>1187.32</v>
      </c>
      <c r="N33">
        <f t="shared" si="4"/>
        <v>739.52430833430321</v>
      </c>
      <c r="O33">
        <f t="shared" si="5"/>
        <v>73.170789136687759</v>
      </c>
      <c r="P33">
        <f t="shared" si="6"/>
        <v>117.47705975135997</v>
      </c>
      <c r="Q33">
        <f t="shared" si="7"/>
        <v>0.206839009348077</v>
      </c>
      <c r="R33">
        <f t="shared" si="8"/>
        <v>2.9982149411990129</v>
      </c>
      <c r="S33">
        <f t="shared" si="9"/>
        <v>0.19922611941928631</v>
      </c>
      <c r="T33">
        <f t="shared" si="10"/>
        <v>0.12517696767116002</v>
      </c>
      <c r="U33">
        <f t="shared" si="11"/>
        <v>289.58344841905466</v>
      </c>
      <c r="V33">
        <f t="shared" si="12"/>
        <v>29.937149486143795</v>
      </c>
      <c r="W33">
        <f t="shared" si="13"/>
        <v>30.1249</v>
      </c>
      <c r="X33">
        <f t="shared" si="14"/>
        <v>4.2911106122809342</v>
      </c>
      <c r="Y33">
        <f t="shared" si="15"/>
        <v>65.195316940493868</v>
      </c>
      <c r="Z33">
        <f t="shared" si="16"/>
        <v>2.6436296165975994</v>
      </c>
      <c r="AA33">
        <f t="shared" si="17"/>
        <v>4.0549379014608311</v>
      </c>
      <c r="AB33">
        <f t="shared" si="18"/>
        <v>1.6474809956833347</v>
      </c>
      <c r="AC33">
        <f t="shared" si="19"/>
        <v>-151.60465210560525</v>
      </c>
      <c r="AD33">
        <f t="shared" si="20"/>
        <v>-158.87572394706166</v>
      </c>
      <c r="AE33">
        <f t="shared" si="21"/>
        <v>-11.739724841098083</v>
      </c>
      <c r="AF33">
        <f t="shared" si="22"/>
        <v>-32.63665247471036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51801.34469227332</v>
      </c>
      <c r="AL33" t="s">
        <v>415</v>
      </c>
      <c r="AM33">
        <v>10238.9</v>
      </c>
      <c r="AN33">
        <v>302.21199999999999</v>
      </c>
      <c r="AO33">
        <v>4052.3</v>
      </c>
      <c r="AP33">
        <f t="shared" si="26"/>
        <v>0.92542210596451402</v>
      </c>
      <c r="AQ33">
        <v>-0.32343011824092421</v>
      </c>
      <c r="AR33" t="s">
        <v>494</v>
      </c>
      <c r="AS33">
        <v>7100.3</v>
      </c>
      <c r="AT33">
        <v>604.78611999999998</v>
      </c>
      <c r="AU33">
        <v>958.83195852766789</v>
      </c>
      <c r="AV33">
        <f t="shared" si="27"/>
        <v>0.36924701495277878</v>
      </c>
      <c r="AW33">
        <v>0.5</v>
      </c>
      <c r="AX33">
        <f t="shared" si="28"/>
        <v>1513.2768002171267</v>
      </c>
      <c r="AY33">
        <f t="shared" si="29"/>
        <v>52.741704993222243</v>
      </c>
      <c r="AZ33">
        <f t="shared" si="30"/>
        <v>279.38647063873333</v>
      </c>
      <c r="BA33">
        <f t="shared" si="31"/>
        <v>3.5066377217868747E-2</v>
      </c>
      <c r="BB33">
        <f t="shared" si="32"/>
        <v>3.2262879996433367</v>
      </c>
      <c r="BC33">
        <f t="shared" si="33"/>
        <v>243.59956581985946</v>
      </c>
      <c r="BD33" t="s">
        <v>495</v>
      </c>
      <c r="BE33">
        <v>464.58</v>
      </c>
      <c r="BF33">
        <f t="shared" si="34"/>
        <v>464.58</v>
      </c>
      <c r="BG33">
        <f t="shared" si="35"/>
        <v>0.51547297118320434</v>
      </c>
      <c r="BH33">
        <f t="shared" si="36"/>
        <v>0.7163266273791582</v>
      </c>
      <c r="BI33">
        <f t="shared" si="37"/>
        <v>0.86223786735651953</v>
      </c>
      <c r="BJ33">
        <f t="shared" si="38"/>
        <v>0.53919445172142078</v>
      </c>
      <c r="BK33">
        <f t="shared" si="39"/>
        <v>0.82490545327798503</v>
      </c>
      <c r="BL33">
        <f t="shared" si="40"/>
        <v>0.5502623382755697</v>
      </c>
      <c r="BM33">
        <f t="shared" si="41"/>
        <v>0.4497376617244303</v>
      </c>
      <c r="BN33">
        <v>34545</v>
      </c>
      <c r="BO33">
        <v>290.00000000000011</v>
      </c>
      <c r="BP33">
        <v>850.55</v>
      </c>
      <c r="BQ33">
        <v>295</v>
      </c>
      <c r="BR33">
        <v>7100.3</v>
      </c>
      <c r="BS33">
        <v>853.8</v>
      </c>
      <c r="BT33">
        <v>-3.25</v>
      </c>
      <c r="BU33">
        <v>300.00000000000011</v>
      </c>
      <c r="BV33">
        <v>38.299999999999997</v>
      </c>
      <c r="BW33">
        <v>958.83195852766789</v>
      </c>
      <c r="BX33">
        <v>1.7984856085461689</v>
      </c>
      <c r="BY33">
        <v>-74.577304202292353</v>
      </c>
      <c r="BZ33">
        <v>1.0705398399839769</v>
      </c>
      <c r="CA33">
        <v>0.99426343647440985</v>
      </c>
      <c r="CB33">
        <v>-6.9998186874304803E-3</v>
      </c>
      <c r="CC33">
        <v>289.99999999999989</v>
      </c>
      <c r="CD33">
        <v>860.44</v>
      </c>
      <c r="CE33">
        <v>805</v>
      </c>
      <c r="CF33">
        <v>7094.45</v>
      </c>
      <c r="CG33">
        <v>853.71</v>
      </c>
      <c r="CH33">
        <v>6.73</v>
      </c>
      <c r="CV33">
        <f t="shared" si="42"/>
        <v>1800.11</v>
      </c>
      <c r="CW33">
        <f t="shared" si="43"/>
        <v>1513.2768002171267</v>
      </c>
      <c r="CX33">
        <f t="shared" si="44"/>
        <v>0.84065795991196468</v>
      </c>
      <c r="CY33">
        <f t="shared" si="45"/>
        <v>0.16086986263009187</v>
      </c>
      <c r="CZ33">
        <v>5.52</v>
      </c>
      <c r="DA33">
        <v>0.5</v>
      </c>
      <c r="DB33" t="s">
        <v>418</v>
      </c>
      <c r="DC33">
        <v>2</v>
      </c>
      <c r="DD33">
        <v>1700240230.5</v>
      </c>
      <c r="DE33">
        <v>1187.32</v>
      </c>
      <c r="DF33">
        <v>1250.04</v>
      </c>
      <c r="DG33">
        <v>26.718699999999998</v>
      </c>
      <c r="DH33">
        <v>23.025600000000001</v>
      </c>
      <c r="DI33">
        <v>1187.73</v>
      </c>
      <c r="DJ33">
        <v>26.3733</v>
      </c>
      <c r="DK33">
        <v>500.10399999999998</v>
      </c>
      <c r="DL33">
        <v>98.842699999999994</v>
      </c>
      <c r="DM33">
        <v>0.10034800000000001</v>
      </c>
      <c r="DN33">
        <v>29.141999999999999</v>
      </c>
      <c r="DO33">
        <v>30.1249</v>
      </c>
      <c r="DP33">
        <v>999.9</v>
      </c>
      <c r="DQ33">
        <v>0</v>
      </c>
      <c r="DR33">
        <v>0</v>
      </c>
      <c r="DS33">
        <v>9981.25</v>
      </c>
      <c r="DT33">
        <v>0</v>
      </c>
      <c r="DU33">
        <v>276.959</v>
      </c>
      <c r="DV33">
        <v>-62.719700000000003</v>
      </c>
      <c r="DW33">
        <v>1219.9100000000001</v>
      </c>
      <c r="DX33">
        <v>1279.5</v>
      </c>
      <c r="DY33">
        <v>3.6930900000000002</v>
      </c>
      <c r="DZ33">
        <v>1250.04</v>
      </c>
      <c r="EA33">
        <v>23.025600000000001</v>
      </c>
      <c r="EB33">
        <v>2.6409500000000001</v>
      </c>
      <c r="EC33">
        <v>2.2759100000000001</v>
      </c>
      <c r="ED33">
        <v>21.9222</v>
      </c>
      <c r="EE33">
        <v>19.506900000000002</v>
      </c>
      <c r="EF33">
        <v>1800.11</v>
      </c>
      <c r="EG33">
        <v>0.97800699999999996</v>
      </c>
      <c r="EH33">
        <v>2.1993200000000001E-2</v>
      </c>
      <c r="EI33">
        <v>0</v>
      </c>
      <c r="EJ33">
        <v>605.01599999999996</v>
      </c>
      <c r="EK33">
        <v>4.9996700000000001</v>
      </c>
      <c r="EL33">
        <v>12332.3</v>
      </c>
      <c r="EM33">
        <v>15047.8</v>
      </c>
      <c r="EN33">
        <v>49.875</v>
      </c>
      <c r="EO33">
        <v>51.061999999999998</v>
      </c>
      <c r="EP33">
        <v>50.686999999999998</v>
      </c>
      <c r="EQ33">
        <v>50.875</v>
      </c>
      <c r="ER33">
        <v>51.25</v>
      </c>
      <c r="ES33">
        <v>1755.63</v>
      </c>
      <c r="ET33">
        <v>39.479999999999997</v>
      </c>
      <c r="EU33">
        <v>0</v>
      </c>
      <c r="EV33">
        <v>240</v>
      </c>
      <c r="EW33">
        <v>0</v>
      </c>
      <c r="EX33">
        <v>604.78611999999998</v>
      </c>
      <c r="EY33">
        <v>0.44399998478839547</v>
      </c>
      <c r="EZ33">
        <v>128.63076942038009</v>
      </c>
      <c r="FA33">
        <v>12352.567999999999</v>
      </c>
      <c r="FB33">
        <v>15</v>
      </c>
      <c r="FC33">
        <v>1700240200.5</v>
      </c>
      <c r="FD33" t="s">
        <v>496</v>
      </c>
      <c r="FE33">
        <v>1700240200.5</v>
      </c>
      <c r="FF33">
        <v>1700240198.5</v>
      </c>
      <c r="FG33">
        <v>23</v>
      </c>
      <c r="FH33">
        <v>0.10199999999999999</v>
      </c>
      <c r="FI33">
        <v>6.0000000000000001E-3</v>
      </c>
      <c r="FJ33">
        <v>-0.47199999999999998</v>
      </c>
      <c r="FK33">
        <v>0.29099999999999998</v>
      </c>
      <c r="FL33">
        <v>1250</v>
      </c>
      <c r="FM33">
        <v>23</v>
      </c>
      <c r="FN33">
        <v>0.04</v>
      </c>
      <c r="FO33">
        <v>0.02</v>
      </c>
      <c r="FP33">
        <v>52.606993393490249</v>
      </c>
      <c r="FQ33">
        <v>-0.34459618955518778</v>
      </c>
      <c r="FR33">
        <v>6.0955628104823287E-2</v>
      </c>
      <c r="FS33">
        <v>1</v>
      </c>
      <c r="FT33">
        <v>0.2056830052090049</v>
      </c>
      <c r="FU33">
        <v>5.7453508241348016E-4</v>
      </c>
      <c r="FV33">
        <v>7.8136313324750708E-4</v>
      </c>
      <c r="FW33">
        <v>1</v>
      </c>
      <c r="FX33">
        <v>2</v>
      </c>
      <c r="FY33">
        <v>2</v>
      </c>
      <c r="FZ33" t="s">
        <v>420</v>
      </c>
      <c r="GA33">
        <v>3.01295</v>
      </c>
      <c r="GB33">
        <v>2.7772700000000001</v>
      </c>
      <c r="GC33">
        <v>0.18534300000000001</v>
      </c>
      <c r="GD33">
        <v>0.19214700000000001</v>
      </c>
      <c r="GE33">
        <v>0.122199</v>
      </c>
      <c r="GF33">
        <v>0.111419</v>
      </c>
      <c r="GG33">
        <v>19492</v>
      </c>
      <c r="GH33">
        <v>19965.099999999999</v>
      </c>
      <c r="GI33">
        <v>23702.7</v>
      </c>
      <c r="GJ33">
        <v>24381.8</v>
      </c>
      <c r="GK33">
        <v>30780.400000000001</v>
      </c>
      <c r="GL33">
        <v>31070.9</v>
      </c>
      <c r="GM33">
        <v>38825</v>
      </c>
      <c r="GN33">
        <v>38832.300000000003</v>
      </c>
      <c r="GO33">
        <v>2.0175800000000002</v>
      </c>
      <c r="GP33">
        <v>1.7721800000000001</v>
      </c>
      <c r="GQ33">
        <v>7.5355199999999997E-2</v>
      </c>
      <c r="GR33">
        <v>0</v>
      </c>
      <c r="GS33">
        <v>28.897600000000001</v>
      </c>
      <c r="GT33">
        <v>999.9</v>
      </c>
      <c r="GU33">
        <v>41</v>
      </c>
      <c r="GV33">
        <v>39.5</v>
      </c>
      <c r="GW33">
        <v>29.940300000000001</v>
      </c>
      <c r="GX33">
        <v>60.984000000000002</v>
      </c>
      <c r="GY33">
        <v>30.645</v>
      </c>
      <c r="GZ33">
        <v>1</v>
      </c>
      <c r="HA33">
        <v>0.71178600000000003</v>
      </c>
      <c r="HB33">
        <v>4.6070700000000002</v>
      </c>
      <c r="HC33">
        <v>20.260300000000001</v>
      </c>
      <c r="HD33">
        <v>5.24125</v>
      </c>
      <c r="HE33">
        <v>12.000400000000001</v>
      </c>
      <c r="HF33">
        <v>4.9638</v>
      </c>
      <c r="HG33">
        <v>3.3009300000000001</v>
      </c>
      <c r="HH33">
        <v>9999</v>
      </c>
      <c r="HI33">
        <v>9999</v>
      </c>
      <c r="HJ33">
        <v>9999</v>
      </c>
      <c r="HK33">
        <v>999.9</v>
      </c>
      <c r="HL33">
        <v>1.87514</v>
      </c>
      <c r="HM33">
        <v>1.8804799999999999</v>
      </c>
      <c r="HN33">
        <v>1.88049</v>
      </c>
      <c r="HO33">
        <v>1.8792199999999999</v>
      </c>
      <c r="HP33">
        <v>1.8815599999999999</v>
      </c>
      <c r="HQ33">
        <v>1.87744</v>
      </c>
      <c r="HR33">
        <v>1.8751899999999999</v>
      </c>
      <c r="HS33">
        <v>1.8824099999999999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-0.41</v>
      </c>
      <c r="IH33">
        <v>0.34539999999999998</v>
      </c>
      <c r="II33">
        <v>9.6918578290566049E-2</v>
      </c>
      <c r="IJ33">
        <v>7.0786345690369205E-4</v>
      </c>
      <c r="IK33">
        <v>-1.387476646623666E-6</v>
      </c>
      <c r="IL33">
        <v>3.6592443641472651E-10</v>
      </c>
      <c r="IM33">
        <v>0.34539300752306151</v>
      </c>
      <c r="IN33">
        <v>0</v>
      </c>
      <c r="IO33">
        <v>0</v>
      </c>
      <c r="IP33">
        <v>0</v>
      </c>
      <c r="IQ33">
        <v>2</v>
      </c>
      <c r="IR33">
        <v>2142</v>
      </c>
      <c r="IS33">
        <v>1</v>
      </c>
      <c r="IT33">
        <v>24</v>
      </c>
      <c r="IU33">
        <v>0.5</v>
      </c>
      <c r="IV33">
        <v>0.5</v>
      </c>
      <c r="IW33">
        <v>2.5695800000000002</v>
      </c>
      <c r="IX33">
        <v>2.6415999999999999</v>
      </c>
      <c r="IY33">
        <v>1.5490699999999999</v>
      </c>
      <c r="IZ33">
        <v>2.36572</v>
      </c>
      <c r="JA33">
        <v>1.5966800000000001</v>
      </c>
      <c r="JB33">
        <v>2.2839399999999999</v>
      </c>
      <c r="JC33">
        <v>44.473500000000001</v>
      </c>
      <c r="JD33">
        <v>23.991199999999999</v>
      </c>
      <c r="JE33">
        <v>18</v>
      </c>
      <c r="JF33">
        <v>535.53300000000002</v>
      </c>
      <c r="JG33">
        <v>442.48099999999999</v>
      </c>
      <c r="JH33">
        <v>25.155799999999999</v>
      </c>
      <c r="JI33">
        <v>35.817100000000003</v>
      </c>
      <c r="JJ33">
        <v>30.001200000000001</v>
      </c>
      <c r="JK33">
        <v>35.762999999999998</v>
      </c>
      <c r="JL33">
        <v>35.742400000000004</v>
      </c>
      <c r="JM33">
        <v>51.371200000000002</v>
      </c>
      <c r="JN33">
        <v>22.8278</v>
      </c>
      <c r="JO33">
        <v>22.635000000000002</v>
      </c>
      <c r="JP33">
        <v>25.1189</v>
      </c>
      <c r="JQ33">
        <v>1250</v>
      </c>
      <c r="JR33">
        <v>22.963999999999999</v>
      </c>
      <c r="JS33">
        <v>98.320499999999996</v>
      </c>
      <c r="JT33">
        <v>99.188400000000001</v>
      </c>
    </row>
    <row r="34" spans="1:280" x14ac:dyDescent="0.25">
      <c r="A34">
        <v>18</v>
      </c>
      <c r="B34">
        <v>1700240335</v>
      </c>
      <c r="C34">
        <v>3200.5</v>
      </c>
      <c r="D34" t="s">
        <v>497</v>
      </c>
      <c r="E34" t="s">
        <v>498</v>
      </c>
      <c r="F34" t="s">
        <v>412</v>
      </c>
      <c r="G34" t="s">
        <v>484</v>
      </c>
      <c r="H34" t="s">
        <v>485</v>
      </c>
      <c r="I34">
        <v>1700240335</v>
      </c>
      <c r="J34">
        <f t="shared" si="0"/>
        <v>3.2959770994683735E-3</v>
      </c>
      <c r="K34">
        <f t="shared" si="1"/>
        <v>3.2959770994683737</v>
      </c>
      <c r="L34">
        <f t="shared" si="2"/>
        <v>51.868293770815541</v>
      </c>
      <c r="M34">
        <f t="shared" si="3"/>
        <v>939.28599999999994</v>
      </c>
      <c r="N34">
        <f t="shared" si="4"/>
        <v>486.68048280429031</v>
      </c>
      <c r="O34">
        <f t="shared" si="5"/>
        <v>48.153409950609564</v>
      </c>
      <c r="P34">
        <f t="shared" si="6"/>
        <v>92.935355776443984</v>
      </c>
      <c r="Q34">
        <f t="shared" si="7"/>
        <v>0.19764899142815665</v>
      </c>
      <c r="R34">
        <f t="shared" si="8"/>
        <v>3.0047696741998688</v>
      </c>
      <c r="S34">
        <f t="shared" si="9"/>
        <v>0.19069993080470146</v>
      </c>
      <c r="T34">
        <f t="shared" si="10"/>
        <v>0.11979144784339296</v>
      </c>
      <c r="U34">
        <f t="shared" si="11"/>
        <v>289.57866041906163</v>
      </c>
      <c r="V34">
        <f t="shared" si="12"/>
        <v>29.979957559705671</v>
      </c>
      <c r="W34">
        <f t="shared" si="13"/>
        <v>30.152999999999999</v>
      </c>
      <c r="X34">
        <f t="shared" si="14"/>
        <v>4.2980351239296306</v>
      </c>
      <c r="Y34">
        <f t="shared" si="15"/>
        <v>65.270520819462419</v>
      </c>
      <c r="Z34">
        <f t="shared" si="16"/>
        <v>2.6479797841911998</v>
      </c>
      <c r="AA34">
        <f t="shared" si="17"/>
        <v>4.0569306801082288</v>
      </c>
      <c r="AB34">
        <f t="shared" si="18"/>
        <v>1.6500553397384308</v>
      </c>
      <c r="AC34">
        <f t="shared" si="19"/>
        <v>-145.35259008655527</v>
      </c>
      <c r="AD34">
        <f t="shared" si="20"/>
        <v>-162.39812553215162</v>
      </c>
      <c r="AE34">
        <f t="shared" si="21"/>
        <v>-11.976000130162761</v>
      </c>
      <c r="AF34">
        <f t="shared" si="22"/>
        <v>-30.148055329808045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51977.172437274588</v>
      </c>
      <c r="AL34" t="s">
        <v>446</v>
      </c>
      <c r="AM34" t="s">
        <v>446</v>
      </c>
      <c r="AN34">
        <v>0</v>
      </c>
      <c r="AO34">
        <v>0</v>
      </c>
      <c r="AP34" t="e">
        <f t="shared" si="26"/>
        <v>#DIV/0!</v>
      </c>
      <c r="AQ34">
        <v>0</v>
      </c>
      <c r="AR34" t="s">
        <v>446</v>
      </c>
      <c r="AS34" t="s">
        <v>446</v>
      </c>
      <c r="AT34">
        <v>0</v>
      </c>
      <c r="AU34">
        <v>0</v>
      </c>
      <c r="AV34" t="e">
        <f t="shared" si="27"/>
        <v>#DIV/0!</v>
      </c>
      <c r="AW34">
        <v>0.5</v>
      </c>
      <c r="AX34">
        <f t="shared" si="28"/>
        <v>1513.2516002171303</v>
      </c>
      <c r="AY34">
        <f t="shared" si="29"/>
        <v>51.868293770815541</v>
      </c>
      <c r="AZ34" t="e">
        <f t="shared" si="30"/>
        <v>#DIV/0!</v>
      </c>
      <c r="BA34">
        <f t="shared" si="31"/>
        <v>3.4276054136254126E-2</v>
      </c>
      <c r="BB34" t="e">
        <f t="shared" si="32"/>
        <v>#DIV/0!</v>
      </c>
      <c r="BC34" t="e">
        <f t="shared" si="33"/>
        <v>#DIV/0!</v>
      </c>
      <c r="BD34" t="s">
        <v>446</v>
      </c>
      <c r="BE34">
        <v>0</v>
      </c>
      <c r="BF34" t="e">
        <f t="shared" si="34"/>
        <v>#DIV/0!</v>
      </c>
      <c r="BG34" t="e">
        <f t="shared" si="35"/>
        <v>#DIV/0!</v>
      </c>
      <c r="BH34" t="e">
        <f t="shared" si="36"/>
        <v>#DIV/0!</v>
      </c>
      <c r="BI34" t="e">
        <f t="shared" si="37"/>
        <v>#DIV/0!</v>
      </c>
      <c r="BJ34" t="e">
        <f t="shared" si="38"/>
        <v>#DIV/0!</v>
      </c>
      <c r="BK34" t="e">
        <f t="shared" si="39"/>
        <v>#DIV/0!</v>
      </c>
      <c r="BL34" t="e">
        <f t="shared" si="40"/>
        <v>#DIV/0!</v>
      </c>
      <c r="BM34" t="e">
        <f t="shared" si="41"/>
        <v>#DIV/0!</v>
      </c>
      <c r="BN34">
        <v>34545</v>
      </c>
      <c r="BO34">
        <v>290.00000000000011</v>
      </c>
      <c r="BP34">
        <v>850.55</v>
      </c>
      <c r="BQ34">
        <v>295</v>
      </c>
      <c r="BR34">
        <v>7100.3</v>
      </c>
      <c r="BS34">
        <v>853.8</v>
      </c>
      <c r="BT34">
        <v>-3.25</v>
      </c>
      <c r="BU34">
        <v>300.00000000000011</v>
      </c>
      <c r="BV34">
        <v>38.299999999999997</v>
      </c>
      <c r="BW34">
        <v>958.83195852766789</v>
      </c>
      <c r="BX34">
        <v>1.7984856085461689</v>
      </c>
      <c r="BY34">
        <v>-74.577304202292353</v>
      </c>
      <c r="BZ34">
        <v>1.0705398399839769</v>
      </c>
      <c r="CA34">
        <v>0.99426343647440985</v>
      </c>
      <c r="CB34">
        <v>-6.9998186874304803E-3</v>
      </c>
      <c r="CC34">
        <v>289.99999999999989</v>
      </c>
      <c r="CD34">
        <v>860.44</v>
      </c>
      <c r="CE34">
        <v>805</v>
      </c>
      <c r="CF34">
        <v>7094.45</v>
      </c>
      <c r="CG34">
        <v>853.71</v>
      </c>
      <c r="CH34">
        <v>6.73</v>
      </c>
      <c r="CV34">
        <f t="shared" si="42"/>
        <v>1800.08</v>
      </c>
      <c r="CW34">
        <f t="shared" si="43"/>
        <v>1513.2516002171303</v>
      </c>
      <c r="CX34">
        <f t="shared" si="44"/>
        <v>0.84065797087747784</v>
      </c>
      <c r="CY34">
        <f t="shared" si="45"/>
        <v>0.16086988379353231</v>
      </c>
      <c r="CZ34">
        <v>5.52</v>
      </c>
      <c r="DA34">
        <v>0.5</v>
      </c>
      <c r="DB34" t="s">
        <v>418</v>
      </c>
      <c r="DC34">
        <v>2</v>
      </c>
      <c r="DD34">
        <v>1700240335</v>
      </c>
      <c r="DE34">
        <v>939.28599999999994</v>
      </c>
      <c r="DF34">
        <v>999.96</v>
      </c>
      <c r="DG34">
        <v>26.762799999999999</v>
      </c>
      <c r="DH34">
        <v>23.221800000000002</v>
      </c>
      <c r="DI34">
        <v>939.34500000000003</v>
      </c>
      <c r="DJ34">
        <v>26.421800000000001</v>
      </c>
      <c r="DK34">
        <v>500.053</v>
      </c>
      <c r="DL34">
        <v>98.842399999999998</v>
      </c>
      <c r="DM34">
        <v>0.10015400000000001</v>
      </c>
      <c r="DN34">
        <v>29.150500000000001</v>
      </c>
      <c r="DO34">
        <v>30.152999999999999</v>
      </c>
      <c r="DP34">
        <v>999.9</v>
      </c>
      <c r="DQ34">
        <v>0</v>
      </c>
      <c r="DR34">
        <v>0</v>
      </c>
      <c r="DS34">
        <v>10016.9</v>
      </c>
      <c r="DT34">
        <v>0</v>
      </c>
      <c r="DU34">
        <v>280.3</v>
      </c>
      <c r="DV34">
        <v>-60.673499999999997</v>
      </c>
      <c r="DW34">
        <v>965.11500000000001</v>
      </c>
      <c r="DX34">
        <v>1023.73</v>
      </c>
      <c r="DY34">
        <v>3.5410400000000002</v>
      </c>
      <c r="DZ34">
        <v>999.96</v>
      </c>
      <c r="EA34">
        <v>23.221800000000002</v>
      </c>
      <c r="EB34">
        <v>2.6453000000000002</v>
      </c>
      <c r="EC34">
        <v>2.2952900000000001</v>
      </c>
      <c r="ED34">
        <v>21.949200000000001</v>
      </c>
      <c r="EE34">
        <v>19.6434</v>
      </c>
      <c r="EF34">
        <v>1800.08</v>
      </c>
      <c r="EG34">
        <v>0.97800699999999996</v>
      </c>
      <c r="EH34">
        <v>2.1993100000000002E-2</v>
      </c>
      <c r="EI34">
        <v>0</v>
      </c>
      <c r="EJ34">
        <v>604.06299999999999</v>
      </c>
      <c r="EK34">
        <v>4.9996700000000001</v>
      </c>
      <c r="EL34">
        <v>12291.6</v>
      </c>
      <c r="EM34">
        <v>15047.5</v>
      </c>
      <c r="EN34">
        <v>49.875</v>
      </c>
      <c r="EO34">
        <v>51.061999999999998</v>
      </c>
      <c r="EP34">
        <v>50.686999999999998</v>
      </c>
      <c r="EQ34">
        <v>50.811999999999998</v>
      </c>
      <c r="ER34">
        <v>51.25</v>
      </c>
      <c r="ES34">
        <v>1755.6</v>
      </c>
      <c r="ET34">
        <v>39.479999999999997</v>
      </c>
      <c r="EU34">
        <v>0</v>
      </c>
      <c r="EV34">
        <v>102.7999999523163</v>
      </c>
      <c r="EW34">
        <v>0</v>
      </c>
      <c r="EX34">
        <v>604.25972000000002</v>
      </c>
      <c r="EY34">
        <v>-1.6725384709498969</v>
      </c>
      <c r="EZ34">
        <v>-211.9076927108465</v>
      </c>
      <c r="FA34">
        <v>12304.368</v>
      </c>
      <c r="FB34">
        <v>15</v>
      </c>
      <c r="FC34">
        <v>1700240304.5</v>
      </c>
      <c r="FD34" t="s">
        <v>499</v>
      </c>
      <c r="FE34">
        <v>1700240304.5</v>
      </c>
      <c r="FF34">
        <v>1700240304</v>
      </c>
      <c r="FG34">
        <v>24</v>
      </c>
      <c r="FH34">
        <v>0.10100000000000001</v>
      </c>
      <c r="FI34">
        <v>-4.0000000000000001E-3</v>
      </c>
      <c r="FJ34">
        <v>-0.11700000000000001</v>
      </c>
      <c r="FK34">
        <v>0.29899999999999999</v>
      </c>
      <c r="FL34">
        <v>1000</v>
      </c>
      <c r="FM34">
        <v>23</v>
      </c>
      <c r="FN34">
        <v>0.04</v>
      </c>
      <c r="FO34">
        <v>0.03</v>
      </c>
      <c r="FP34">
        <v>51.796105725248452</v>
      </c>
      <c r="FQ34">
        <v>0.12739194733663339</v>
      </c>
      <c r="FR34">
        <v>0.10545604283131151</v>
      </c>
      <c r="FS34">
        <v>1</v>
      </c>
      <c r="FT34">
        <v>0.19803503968900649</v>
      </c>
      <c r="FU34">
        <v>-1.685384365217623E-2</v>
      </c>
      <c r="FV34">
        <v>1.4099617083751211E-3</v>
      </c>
      <c r="FW34">
        <v>1</v>
      </c>
      <c r="FX34">
        <v>2</v>
      </c>
      <c r="FY34">
        <v>2</v>
      </c>
      <c r="FZ34" t="s">
        <v>420</v>
      </c>
      <c r="GA34">
        <v>3.0128300000000001</v>
      </c>
      <c r="GB34">
        <v>2.77738</v>
      </c>
      <c r="GC34">
        <v>0.15973399999999999</v>
      </c>
      <c r="GD34">
        <v>0.16708200000000001</v>
      </c>
      <c r="GE34">
        <v>0.122347</v>
      </c>
      <c r="GF34">
        <v>0.112068</v>
      </c>
      <c r="GG34">
        <v>20106.099999999999</v>
      </c>
      <c r="GH34">
        <v>20585.8</v>
      </c>
      <c r="GI34">
        <v>23702.799999999999</v>
      </c>
      <c r="GJ34">
        <v>24381.7</v>
      </c>
      <c r="GK34">
        <v>30775.4</v>
      </c>
      <c r="GL34">
        <v>31048.1</v>
      </c>
      <c r="GM34">
        <v>38825</v>
      </c>
      <c r="GN34">
        <v>38832</v>
      </c>
      <c r="GO34">
        <v>2.0175700000000001</v>
      </c>
      <c r="GP34">
        <v>1.7705200000000001</v>
      </c>
      <c r="GQ34">
        <v>7.8298199999999998E-2</v>
      </c>
      <c r="GR34">
        <v>0</v>
      </c>
      <c r="GS34">
        <v>28.877800000000001</v>
      </c>
      <c r="GT34">
        <v>999.9</v>
      </c>
      <c r="GU34">
        <v>40.4</v>
      </c>
      <c r="GV34">
        <v>39.700000000000003</v>
      </c>
      <c r="GW34">
        <v>29.818300000000001</v>
      </c>
      <c r="GX34">
        <v>60.863999999999997</v>
      </c>
      <c r="GY34">
        <v>31.0777</v>
      </c>
      <c r="GZ34">
        <v>1</v>
      </c>
      <c r="HA34">
        <v>0.70996999999999999</v>
      </c>
      <c r="HB34">
        <v>4.2279600000000004</v>
      </c>
      <c r="HC34">
        <v>20.271000000000001</v>
      </c>
      <c r="HD34">
        <v>5.2461900000000004</v>
      </c>
      <c r="HE34">
        <v>11.9999</v>
      </c>
      <c r="HF34">
        <v>4.9637500000000001</v>
      </c>
      <c r="HG34">
        <v>3.3008999999999999</v>
      </c>
      <c r="HH34">
        <v>9999</v>
      </c>
      <c r="HI34">
        <v>9999</v>
      </c>
      <c r="HJ34">
        <v>9999</v>
      </c>
      <c r="HK34">
        <v>999.9</v>
      </c>
      <c r="HL34">
        <v>1.87514</v>
      </c>
      <c r="HM34">
        <v>1.8804399999999999</v>
      </c>
      <c r="HN34">
        <v>1.88049</v>
      </c>
      <c r="HO34">
        <v>1.87923</v>
      </c>
      <c r="HP34">
        <v>1.8815599999999999</v>
      </c>
      <c r="HQ34">
        <v>1.8774599999999999</v>
      </c>
      <c r="HR34">
        <v>1.87523</v>
      </c>
      <c r="HS34">
        <v>1.8823799999999999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-5.8999999999999997E-2</v>
      </c>
      <c r="IH34">
        <v>0.34100000000000003</v>
      </c>
      <c r="II34">
        <v>0.19692300572442789</v>
      </c>
      <c r="IJ34">
        <v>7.0786345690369205E-4</v>
      </c>
      <c r="IK34">
        <v>-1.387476646623666E-6</v>
      </c>
      <c r="IL34">
        <v>3.6592443641472651E-10</v>
      </c>
      <c r="IM34">
        <v>0.34100689322293748</v>
      </c>
      <c r="IN34">
        <v>0</v>
      </c>
      <c r="IO34">
        <v>0</v>
      </c>
      <c r="IP34">
        <v>0</v>
      </c>
      <c r="IQ34">
        <v>2</v>
      </c>
      <c r="IR34">
        <v>2142</v>
      </c>
      <c r="IS34">
        <v>1</v>
      </c>
      <c r="IT34">
        <v>24</v>
      </c>
      <c r="IU34">
        <v>0.5</v>
      </c>
      <c r="IV34">
        <v>0.5</v>
      </c>
      <c r="IW34">
        <v>2.1411099999999998</v>
      </c>
      <c r="IX34">
        <v>2.63306</v>
      </c>
      <c r="IY34">
        <v>1.5490699999999999</v>
      </c>
      <c r="IZ34">
        <v>2.36572</v>
      </c>
      <c r="JA34">
        <v>1.5966800000000001</v>
      </c>
      <c r="JB34">
        <v>2.3059099999999999</v>
      </c>
      <c r="JC34">
        <v>44.5852</v>
      </c>
      <c r="JD34">
        <v>23.991199999999999</v>
      </c>
      <c r="JE34">
        <v>18</v>
      </c>
      <c r="JF34">
        <v>535.74300000000005</v>
      </c>
      <c r="JG34">
        <v>441.642</v>
      </c>
      <c r="JH34">
        <v>25.3202</v>
      </c>
      <c r="JI34">
        <v>35.836300000000001</v>
      </c>
      <c r="JJ34">
        <v>30.000599999999999</v>
      </c>
      <c r="JK34">
        <v>35.7896</v>
      </c>
      <c r="JL34">
        <v>35.773600000000002</v>
      </c>
      <c r="JM34">
        <v>42.814100000000003</v>
      </c>
      <c r="JN34">
        <v>21.1416</v>
      </c>
      <c r="JO34">
        <v>21.4148</v>
      </c>
      <c r="JP34">
        <v>25.176500000000001</v>
      </c>
      <c r="JQ34">
        <v>1000</v>
      </c>
      <c r="JR34">
        <v>23.134499999999999</v>
      </c>
      <c r="JS34">
        <v>98.320700000000002</v>
      </c>
      <c r="JT34">
        <v>99.187600000000003</v>
      </c>
    </row>
    <row r="35" spans="1:280" x14ac:dyDescent="0.25">
      <c r="A35">
        <v>19</v>
      </c>
      <c r="B35">
        <v>1700240436.5</v>
      </c>
      <c r="C35">
        <v>3302</v>
      </c>
      <c r="D35" t="s">
        <v>500</v>
      </c>
      <c r="E35" t="s">
        <v>501</v>
      </c>
      <c r="F35" t="s">
        <v>412</v>
      </c>
      <c r="G35" t="s">
        <v>484</v>
      </c>
      <c r="H35" t="s">
        <v>485</v>
      </c>
      <c r="I35">
        <v>1700240436.5</v>
      </c>
      <c r="J35">
        <f t="shared" si="0"/>
        <v>3.3314304925973703E-3</v>
      </c>
      <c r="K35">
        <f t="shared" si="1"/>
        <v>3.3314304925973701</v>
      </c>
      <c r="L35">
        <f t="shared" si="2"/>
        <v>50.587340758173731</v>
      </c>
      <c r="M35">
        <f t="shared" si="3"/>
        <v>691.71799999999996</v>
      </c>
      <c r="N35">
        <f t="shared" si="4"/>
        <v>275.78108008419156</v>
      </c>
      <c r="O35">
        <f t="shared" si="5"/>
        <v>27.287765411525438</v>
      </c>
      <c r="P35">
        <f t="shared" si="6"/>
        <v>68.443558597882003</v>
      </c>
      <c r="Q35">
        <f t="shared" si="7"/>
        <v>0.2073770117220616</v>
      </c>
      <c r="R35">
        <f t="shared" si="8"/>
        <v>3.001956855570139</v>
      </c>
      <c r="S35">
        <f t="shared" si="9"/>
        <v>0.19973441474675183</v>
      </c>
      <c r="T35">
        <f t="shared" si="10"/>
        <v>0.1254971997610016</v>
      </c>
      <c r="U35">
        <f t="shared" si="11"/>
        <v>289.57068041907326</v>
      </c>
      <c r="V35">
        <f t="shared" si="12"/>
        <v>29.861097673110791</v>
      </c>
      <c r="W35">
        <f t="shared" si="13"/>
        <v>29.899000000000001</v>
      </c>
      <c r="X35">
        <f t="shared" si="14"/>
        <v>4.235795774451443</v>
      </c>
      <c r="Y35">
        <f t="shared" si="15"/>
        <v>65.560561433503921</v>
      </c>
      <c r="Z35">
        <f t="shared" si="16"/>
        <v>2.6427906328108999</v>
      </c>
      <c r="AA35">
        <f t="shared" si="17"/>
        <v>4.0310677258177563</v>
      </c>
      <c r="AB35">
        <f t="shared" si="18"/>
        <v>1.5930051416405431</v>
      </c>
      <c r="AC35">
        <f t="shared" si="19"/>
        <v>-146.91608472354403</v>
      </c>
      <c r="AD35">
        <f t="shared" si="20"/>
        <v>-139.03803092965023</v>
      </c>
      <c r="AE35">
        <f t="shared" si="21"/>
        <v>-10.244382744661701</v>
      </c>
      <c r="AF35">
        <f t="shared" si="22"/>
        <v>-6.6278179787827298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51920.156201880389</v>
      </c>
      <c r="AL35" t="s">
        <v>415</v>
      </c>
      <c r="AM35">
        <v>10238.9</v>
      </c>
      <c r="AN35">
        <v>302.21199999999999</v>
      </c>
      <c r="AO35">
        <v>4052.3</v>
      </c>
      <c r="AP35">
        <f t="shared" si="26"/>
        <v>0.92542210596451402</v>
      </c>
      <c r="AQ35">
        <v>-0.32343011824092421</v>
      </c>
      <c r="AR35" t="s">
        <v>502</v>
      </c>
      <c r="AS35">
        <v>7099.92</v>
      </c>
      <c r="AT35">
        <v>605.46730769230771</v>
      </c>
      <c r="AU35">
        <v>938.74703550162963</v>
      </c>
      <c r="AV35">
        <f t="shared" si="27"/>
        <v>0.35502613079489542</v>
      </c>
      <c r="AW35">
        <v>0.5</v>
      </c>
      <c r="AX35">
        <f t="shared" si="28"/>
        <v>1513.2096002171363</v>
      </c>
      <c r="AY35">
        <f t="shared" si="29"/>
        <v>50.587340758173731</v>
      </c>
      <c r="AZ35">
        <f t="shared" si="30"/>
        <v>268.61447472339023</v>
      </c>
      <c r="BA35">
        <f t="shared" si="31"/>
        <v>3.3644229371204933E-2</v>
      </c>
      <c r="BB35">
        <f t="shared" si="32"/>
        <v>3.3167113681851577</v>
      </c>
      <c r="BC35">
        <f t="shared" si="33"/>
        <v>242.28258997444019</v>
      </c>
      <c r="BD35" t="s">
        <v>503</v>
      </c>
      <c r="BE35">
        <v>455.91</v>
      </c>
      <c r="BF35">
        <f t="shared" si="34"/>
        <v>455.91</v>
      </c>
      <c r="BG35">
        <f t="shared" si="35"/>
        <v>0.51434200827448728</v>
      </c>
      <c r="BH35">
        <f t="shared" si="36"/>
        <v>0.69025303219143197</v>
      </c>
      <c r="BI35">
        <f t="shared" si="37"/>
        <v>0.86574397228842548</v>
      </c>
      <c r="BJ35">
        <f t="shared" si="38"/>
        <v>0.52358426358523458</v>
      </c>
      <c r="BK35">
        <f t="shared" si="39"/>
        <v>0.83026130706755963</v>
      </c>
      <c r="BL35">
        <f t="shared" si="40"/>
        <v>0.51975268674013964</v>
      </c>
      <c r="BM35">
        <f t="shared" si="41"/>
        <v>0.48024731325986036</v>
      </c>
      <c r="BN35">
        <v>34547</v>
      </c>
      <c r="BO35">
        <v>290.00000000000011</v>
      </c>
      <c r="BP35">
        <v>840.99</v>
      </c>
      <c r="BQ35">
        <v>295</v>
      </c>
      <c r="BR35">
        <v>7099.92</v>
      </c>
      <c r="BS35">
        <v>843.69</v>
      </c>
      <c r="BT35">
        <v>-2.7</v>
      </c>
      <c r="BU35">
        <v>300.00000000000011</v>
      </c>
      <c r="BV35">
        <v>38.299999999999997</v>
      </c>
      <c r="BW35">
        <v>938.74703550162963</v>
      </c>
      <c r="BX35">
        <v>1.465759470992386</v>
      </c>
      <c r="BY35">
        <v>-67.487497465282487</v>
      </c>
      <c r="BZ35">
        <v>0.87244114423631136</v>
      </c>
      <c r="CA35">
        <v>0.99534246429277395</v>
      </c>
      <c r="CB35">
        <v>-6.999347274749726E-3</v>
      </c>
      <c r="CC35">
        <v>289.99999999999989</v>
      </c>
      <c r="CD35">
        <v>851.97</v>
      </c>
      <c r="CE35">
        <v>815</v>
      </c>
      <c r="CF35">
        <v>7093.96</v>
      </c>
      <c r="CG35">
        <v>843.61</v>
      </c>
      <c r="CH35">
        <v>8.36</v>
      </c>
      <c r="CV35">
        <f t="shared" si="42"/>
        <v>1800.03</v>
      </c>
      <c r="CW35">
        <f t="shared" si="43"/>
        <v>1513.2096002171363</v>
      </c>
      <c r="CX35">
        <f t="shared" si="44"/>
        <v>0.84065798915414536</v>
      </c>
      <c r="CY35">
        <f t="shared" si="45"/>
        <v>0.1608699190675007</v>
      </c>
      <c r="CZ35">
        <v>5.52</v>
      </c>
      <c r="DA35">
        <v>0.5</v>
      </c>
      <c r="DB35" t="s">
        <v>418</v>
      </c>
      <c r="DC35">
        <v>2</v>
      </c>
      <c r="DD35">
        <v>1700240436.5</v>
      </c>
      <c r="DE35">
        <v>691.71799999999996</v>
      </c>
      <c r="DF35">
        <v>750.09799999999996</v>
      </c>
      <c r="DG35">
        <v>26.709099999999999</v>
      </c>
      <c r="DH35">
        <v>23.130199999999999</v>
      </c>
      <c r="DI35">
        <v>691.99300000000005</v>
      </c>
      <c r="DJ35">
        <v>26.374099999999999</v>
      </c>
      <c r="DK35">
        <v>500.10700000000003</v>
      </c>
      <c r="DL35">
        <v>98.846400000000003</v>
      </c>
      <c r="DM35">
        <v>0.100799</v>
      </c>
      <c r="DN35">
        <v>29.039899999999999</v>
      </c>
      <c r="DO35">
        <v>29.899000000000001</v>
      </c>
      <c r="DP35">
        <v>999.9</v>
      </c>
      <c r="DQ35">
        <v>0</v>
      </c>
      <c r="DR35">
        <v>0</v>
      </c>
      <c r="DS35">
        <v>10001.200000000001</v>
      </c>
      <c r="DT35">
        <v>0</v>
      </c>
      <c r="DU35">
        <v>281.995</v>
      </c>
      <c r="DV35">
        <v>-58.379899999999999</v>
      </c>
      <c r="DW35">
        <v>710.7</v>
      </c>
      <c r="DX35">
        <v>767.85900000000004</v>
      </c>
      <c r="DY35">
        <v>3.5788500000000001</v>
      </c>
      <c r="DZ35">
        <v>750.09799999999996</v>
      </c>
      <c r="EA35">
        <v>23.130199999999999</v>
      </c>
      <c r="EB35">
        <v>2.6400999999999999</v>
      </c>
      <c r="EC35">
        <v>2.28634</v>
      </c>
      <c r="ED35">
        <v>21.917000000000002</v>
      </c>
      <c r="EE35">
        <v>19.580500000000001</v>
      </c>
      <c r="EF35">
        <v>1800.03</v>
      </c>
      <c r="EG35">
        <v>0.97800699999999996</v>
      </c>
      <c r="EH35">
        <v>2.1993100000000002E-2</v>
      </c>
      <c r="EI35">
        <v>0</v>
      </c>
      <c r="EJ35">
        <v>605.43600000000004</v>
      </c>
      <c r="EK35">
        <v>4.9996700000000001</v>
      </c>
      <c r="EL35">
        <v>12294.5</v>
      </c>
      <c r="EM35">
        <v>15047.1</v>
      </c>
      <c r="EN35">
        <v>49.875</v>
      </c>
      <c r="EO35">
        <v>51.061999999999998</v>
      </c>
      <c r="EP35">
        <v>50.625</v>
      </c>
      <c r="EQ35">
        <v>50.811999999999998</v>
      </c>
      <c r="ER35">
        <v>51.25</v>
      </c>
      <c r="ES35">
        <v>1755.55</v>
      </c>
      <c r="ET35">
        <v>39.479999999999997</v>
      </c>
      <c r="EU35">
        <v>0</v>
      </c>
      <c r="EV35">
        <v>204.20000004768369</v>
      </c>
      <c r="EW35">
        <v>0</v>
      </c>
      <c r="EX35">
        <v>605.46730769230771</v>
      </c>
      <c r="EY35">
        <v>0.58105982234249032</v>
      </c>
      <c r="EZ35">
        <v>-12.133333328028259</v>
      </c>
      <c r="FA35">
        <v>12297.27307692308</v>
      </c>
      <c r="FB35">
        <v>15</v>
      </c>
      <c r="FC35">
        <v>1700240408.5</v>
      </c>
      <c r="FD35" t="s">
        <v>504</v>
      </c>
      <c r="FE35">
        <v>1700240408.5</v>
      </c>
      <c r="FF35">
        <v>1700240403.5</v>
      </c>
      <c r="FG35">
        <v>25</v>
      </c>
      <c r="FH35">
        <v>-0.41799999999999998</v>
      </c>
      <c r="FI35">
        <v>-6.0000000000000001E-3</v>
      </c>
      <c r="FJ35">
        <v>-0.317</v>
      </c>
      <c r="FK35">
        <v>0.29899999999999999</v>
      </c>
      <c r="FL35">
        <v>750</v>
      </c>
      <c r="FM35">
        <v>23</v>
      </c>
      <c r="FN35">
        <v>0.05</v>
      </c>
      <c r="FO35">
        <v>0.03</v>
      </c>
      <c r="FP35">
        <v>50.578378144885967</v>
      </c>
      <c r="FQ35">
        <v>-0.55330158484871417</v>
      </c>
      <c r="FR35">
        <v>0.11623618754387589</v>
      </c>
      <c r="FS35">
        <v>1</v>
      </c>
      <c r="FT35">
        <v>0.20477906328261999</v>
      </c>
      <c r="FU35">
        <v>4.6410660094870188E-2</v>
      </c>
      <c r="FV35">
        <v>3.662043103344548E-3</v>
      </c>
      <c r="FW35">
        <v>1</v>
      </c>
      <c r="FX35">
        <v>2</v>
      </c>
      <c r="FY35">
        <v>2</v>
      </c>
      <c r="FZ35" t="s">
        <v>420</v>
      </c>
      <c r="GA35">
        <v>3.0129899999999998</v>
      </c>
      <c r="GB35">
        <v>2.7778900000000002</v>
      </c>
      <c r="GC35">
        <v>0.130329</v>
      </c>
      <c r="GD35">
        <v>0.13838200000000001</v>
      </c>
      <c r="GE35">
        <v>0.122192</v>
      </c>
      <c r="GF35">
        <v>0.11176</v>
      </c>
      <c r="GG35">
        <v>20810.099999999999</v>
      </c>
      <c r="GH35">
        <v>21295.7</v>
      </c>
      <c r="GI35">
        <v>23702.400000000001</v>
      </c>
      <c r="GJ35">
        <v>24381.200000000001</v>
      </c>
      <c r="GK35">
        <v>30780.6</v>
      </c>
      <c r="GL35">
        <v>31058.6</v>
      </c>
      <c r="GM35">
        <v>38824.400000000001</v>
      </c>
      <c r="GN35">
        <v>38831.4</v>
      </c>
      <c r="GO35">
        <v>2.0173999999999999</v>
      </c>
      <c r="GP35">
        <v>1.76847</v>
      </c>
      <c r="GQ35">
        <v>6.6578399999999996E-2</v>
      </c>
      <c r="GR35">
        <v>0</v>
      </c>
      <c r="GS35">
        <v>28.814399999999999</v>
      </c>
      <c r="GT35">
        <v>999.9</v>
      </c>
      <c r="GU35">
        <v>39.799999999999997</v>
      </c>
      <c r="GV35">
        <v>39.799999999999997</v>
      </c>
      <c r="GW35">
        <v>29.535</v>
      </c>
      <c r="GX35">
        <v>60.994</v>
      </c>
      <c r="GY35">
        <v>30.837299999999999</v>
      </c>
      <c r="GZ35">
        <v>1</v>
      </c>
      <c r="HA35">
        <v>0.70849099999999998</v>
      </c>
      <c r="HB35">
        <v>3.2707299999999999</v>
      </c>
      <c r="HC35">
        <v>20.295300000000001</v>
      </c>
      <c r="HD35">
        <v>5.2424499999999998</v>
      </c>
      <c r="HE35">
        <v>11.997999999999999</v>
      </c>
      <c r="HF35">
        <v>4.9638499999999999</v>
      </c>
      <c r="HG35">
        <v>3.3009499999999998</v>
      </c>
      <c r="HH35">
        <v>9999</v>
      </c>
      <c r="HI35">
        <v>9999</v>
      </c>
      <c r="HJ35">
        <v>9999</v>
      </c>
      <c r="HK35">
        <v>999.9</v>
      </c>
      <c r="HL35">
        <v>1.8751199999999999</v>
      </c>
      <c r="HM35">
        <v>1.8804700000000001</v>
      </c>
      <c r="HN35">
        <v>1.88049</v>
      </c>
      <c r="HO35">
        <v>1.8792599999999999</v>
      </c>
      <c r="HP35">
        <v>1.8815599999999999</v>
      </c>
      <c r="HQ35">
        <v>1.8774500000000001</v>
      </c>
      <c r="HR35">
        <v>1.8752200000000001</v>
      </c>
      <c r="HS35">
        <v>1.88246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-0.27500000000000002</v>
      </c>
      <c r="IH35">
        <v>0.33500000000000002</v>
      </c>
      <c r="II35">
        <v>-0.22142241744739249</v>
      </c>
      <c r="IJ35">
        <v>7.0786345690369205E-4</v>
      </c>
      <c r="IK35">
        <v>-1.387476646623666E-6</v>
      </c>
      <c r="IL35">
        <v>3.6592443641472651E-10</v>
      </c>
      <c r="IM35">
        <v>0.33500688820449942</v>
      </c>
      <c r="IN35">
        <v>0</v>
      </c>
      <c r="IO35">
        <v>0</v>
      </c>
      <c r="IP35">
        <v>0</v>
      </c>
      <c r="IQ35">
        <v>2</v>
      </c>
      <c r="IR35">
        <v>2142</v>
      </c>
      <c r="IS35">
        <v>1</v>
      </c>
      <c r="IT35">
        <v>24</v>
      </c>
      <c r="IU35">
        <v>0.5</v>
      </c>
      <c r="IV35">
        <v>0.6</v>
      </c>
      <c r="IW35">
        <v>1.69312</v>
      </c>
      <c r="IX35">
        <v>2.6428199999999999</v>
      </c>
      <c r="IY35">
        <v>1.5490699999999999</v>
      </c>
      <c r="IZ35">
        <v>2.3645</v>
      </c>
      <c r="JA35">
        <v>1.5966800000000001</v>
      </c>
      <c r="JB35">
        <v>2.3278799999999999</v>
      </c>
      <c r="JC35">
        <v>44.641199999999998</v>
      </c>
      <c r="JD35">
        <v>23.9999</v>
      </c>
      <c r="JE35">
        <v>18</v>
      </c>
      <c r="JF35">
        <v>535.83699999999999</v>
      </c>
      <c r="JG35">
        <v>440.50799999999998</v>
      </c>
      <c r="JH35">
        <v>25.442299999999999</v>
      </c>
      <c r="JI35">
        <v>35.859499999999997</v>
      </c>
      <c r="JJ35">
        <v>29.9999</v>
      </c>
      <c r="JK35">
        <v>35.816099999999999</v>
      </c>
      <c r="JL35">
        <v>35.798699999999997</v>
      </c>
      <c r="JM35">
        <v>33.845100000000002</v>
      </c>
      <c r="JN35">
        <v>20.566800000000001</v>
      </c>
      <c r="JO35">
        <v>20.813500000000001</v>
      </c>
      <c r="JP35">
        <v>25.466799999999999</v>
      </c>
      <c r="JQ35">
        <v>750</v>
      </c>
      <c r="JR35">
        <v>23.028600000000001</v>
      </c>
      <c r="JS35">
        <v>98.319000000000003</v>
      </c>
      <c r="JT35">
        <v>99.185900000000004</v>
      </c>
    </row>
    <row r="36" spans="1:280" x14ac:dyDescent="0.25">
      <c r="A36">
        <v>20</v>
      </c>
      <c r="B36">
        <v>1700240537</v>
      </c>
      <c r="C36">
        <v>3402.5</v>
      </c>
      <c r="D36" t="s">
        <v>505</v>
      </c>
      <c r="E36" t="s">
        <v>506</v>
      </c>
      <c r="F36" t="s">
        <v>412</v>
      </c>
      <c r="G36" t="s">
        <v>484</v>
      </c>
      <c r="H36" t="s">
        <v>485</v>
      </c>
      <c r="I36">
        <v>1700240537</v>
      </c>
      <c r="J36">
        <f t="shared" si="0"/>
        <v>3.384254662214781E-3</v>
      </c>
      <c r="K36">
        <f t="shared" si="1"/>
        <v>3.3842546622147811</v>
      </c>
      <c r="L36">
        <f t="shared" si="2"/>
        <v>48.003189975800844</v>
      </c>
      <c r="M36">
        <f t="shared" si="3"/>
        <v>545.04399999999998</v>
      </c>
      <c r="N36">
        <f t="shared" si="4"/>
        <v>146.89440251473596</v>
      </c>
      <c r="O36">
        <f t="shared" si="5"/>
        <v>14.534479877316777</v>
      </c>
      <c r="P36">
        <f t="shared" si="6"/>
        <v>53.929427633960003</v>
      </c>
      <c r="Q36">
        <f t="shared" si="7"/>
        <v>0.20399172355709158</v>
      </c>
      <c r="R36">
        <f t="shared" si="8"/>
        <v>2.9973308539864392</v>
      </c>
      <c r="S36">
        <f t="shared" si="9"/>
        <v>0.19658084660846972</v>
      </c>
      <c r="T36">
        <f t="shared" si="10"/>
        <v>0.12350643619565334</v>
      </c>
      <c r="U36">
        <f t="shared" si="11"/>
        <v>289.56429641908261</v>
      </c>
      <c r="V36">
        <f t="shared" si="12"/>
        <v>30.020917366780829</v>
      </c>
      <c r="W36">
        <f t="shared" si="13"/>
        <v>30.177499999999998</v>
      </c>
      <c r="X36">
        <f t="shared" si="14"/>
        <v>4.3040804534969022</v>
      </c>
      <c r="Y36">
        <f t="shared" si="15"/>
        <v>65.349382958085229</v>
      </c>
      <c r="Z36">
        <f t="shared" si="16"/>
        <v>2.6606334701000001</v>
      </c>
      <c r="AA36">
        <f t="shared" si="17"/>
        <v>4.0713979989780738</v>
      </c>
      <c r="AB36">
        <f t="shared" si="18"/>
        <v>1.6434469833969021</v>
      </c>
      <c r="AC36">
        <f t="shared" si="19"/>
        <v>-149.24563060367186</v>
      </c>
      <c r="AD36">
        <f t="shared" si="20"/>
        <v>-156.00101430551271</v>
      </c>
      <c r="AE36">
        <f t="shared" si="21"/>
        <v>-11.537718290961536</v>
      </c>
      <c r="AF36">
        <f t="shared" si="22"/>
        <v>-27.220066781063508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51765.479976600931</v>
      </c>
      <c r="AL36" t="s">
        <v>446</v>
      </c>
      <c r="AM36" t="s">
        <v>446</v>
      </c>
      <c r="AN36">
        <v>0</v>
      </c>
      <c r="AO36">
        <v>0</v>
      </c>
      <c r="AP36" t="e">
        <f t="shared" si="26"/>
        <v>#DIV/0!</v>
      </c>
      <c r="AQ36">
        <v>0</v>
      </c>
      <c r="AR36" t="s">
        <v>446</v>
      </c>
      <c r="AS36" t="s">
        <v>446</v>
      </c>
      <c r="AT36">
        <v>0</v>
      </c>
      <c r="AU36">
        <v>0</v>
      </c>
      <c r="AV36" t="e">
        <f t="shared" si="27"/>
        <v>#DIV/0!</v>
      </c>
      <c r="AW36">
        <v>0.5</v>
      </c>
      <c r="AX36">
        <f t="shared" si="28"/>
        <v>1513.1760002171411</v>
      </c>
      <c r="AY36">
        <f t="shared" si="29"/>
        <v>48.003189975800844</v>
      </c>
      <c r="AZ36" t="e">
        <f t="shared" si="30"/>
        <v>#DIV/0!</v>
      </c>
      <c r="BA36">
        <f t="shared" si="31"/>
        <v>3.172346770561546E-2</v>
      </c>
      <c r="BB36" t="e">
        <f t="shared" si="32"/>
        <v>#DIV/0!</v>
      </c>
      <c r="BC36" t="e">
        <f t="shared" si="33"/>
        <v>#DIV/0!</v>
      </c>
      <c r="BD36" t="s">
        <v>446</v>
      </c>
      <c r="BE36">
        <v>0</v>
      </c>
      <c r="BF36" t="e">
        <f t="shared" si="34"/>
        <v>#DIV/0!</v>
      </c>
      <c r="BG36" t="e">
        <f t="shared" si="35"/>
        <v>#DIV/0!</v>
      </c>
      <c r="BH36" t="e">
        <f t="shared" si="36"/>
        <v>#DIV/0!</v>
      </c>
      <c r="BI36" t="e">
        <f t="shared" si="37"/>
        <v>#DIV/0!</v>
      </c>
      <c r="BJ36" t="e">
        <f t="shared" si="38"/>
        <v>#DIV/0!</v>
      </c>
      <c r="BK36" t="e">
        <f t="shared" si="39"/>
        <v>#DIV/0!</v>
      </c>
      <c r="BL36" t="e">
        <f t="shared" si="40"/>
        <v>#DIV/0!</v>
      </c>
      <c r="BM36" t="e">
        <f t="shared" si="41"/>
        <v>#DIV/0!</v>
      </c>
      <c r="BN36">
        <v>34547</v>
      </c>
      <c r="BO36">
        <v>290.00000000000011</v>
      </c>
      <c r="BP36">
        <v>840.99</v>
      </c>
      <c r="BQ36">
        <v>295</v>
      </c>
      <c r="BR36">
        <v>7099.92</v>
      </c>
      <c r="BS36">
        <v>843.69</v>
      </c>
      <c r="BT36">
        <v>-2.7</v>
      </c>
      <c r="BU36">
        <v>300.00000000000011</v>
      </c>
      <c r="BV36">
        <v>38.299999999999997</v>
      </c>
      <c r="BW36">
        <v>938.74703550162963</v>
      </c>
      <c r="BX36">
        <v>1.465759470992386</v>
      </c>
      <c r="BY36">
        <v>-67.487497465282487</v>
      </c>
      <c r="BZ36">
        <v>0.87244114423631136</v>
      </c>
      <c r="CA36">
        <v>0.99534246429277395</v>
      </c>
      <c r="CB36">
        <v>-6.999347274749726E-3</v>
      </c>
      <c r="CC36">
        <v>289.99999999999989</v>
      </c>
      <c r="CD36">
        <v>851.97</v>
      </c>
      <c r="CE36">
        <v>815</v>
      </c>
      <c r="CF36">
        <v>7093.96</v>
      </c>
      <c r="CG36">
        <v>843.61</v>
      </c>
      <c r="CH36">
        <v>8.36</v>
      </c>
      <c r="CV36">
        <f t="shared" si="42"/>
        <v>1799.99</v>
      </c>
      <c r="CW36">
        <f t="shared" si="43"/>
        <v>1513.1760002171411</v>
      </c>
      <c r="CX36">
        <f t="shared" si="44"/>
        <v>0.84065800377621047</v>
      </c>
      <c r="CY36">
        <f t="shared" si="45"/>
        <v>0.16086994728808637</v>
      </c>
      <c r="CZ36">
        <v>5.52</v>
      </c>
      <c r="DA36">
        <v>0.5</v>
      </c>
      <c r="DB36" t="s">
        <v>418</v>
      </c>
      <c r="DC36">
        <v>2</v>
      </c>
      <c r="DD36">
        <v>1700240537</v>
      </c>
      <c r="DE36">
        <v>545.04399999999998</v>
      </c>
      <c r="DF36">
        <v>600.05700000000002</v>
      </c>
      <c r="DG36">
        <v>26.89</v>
      </c>
      <c r="DH36">
        <v>23.255500000000001</v>
      </c>
      <c r="DI36">
        <v>545.33600000000001</v>
      </c>
      <c r="DJ36">
        <v>26.553799999999999</v>
      </c>
      <c r="DK36">
        <v>500.17200000000003</v>
      </c>
      <c r="DL36">
        <v>98.844700000000003</v>
      </c>
      <c r="DM36">
        <v>0.10038999999999999</v>
      </c>
      <c r="DN36">
        <v>29.2121</v>
      </c>
      <c r="DO36">
        <v>30.177499999999998</v>
      </c>
      <c r="DP36">
        <v>999.9</v>
      </c>
      <c r="DQ36">
        <v>0</v>
      </c>
      <c r="DR36">
        <v>0</v>
      </c>
      <c r="DS36">
        <v>9976.25</v>
      </c>
      <c r="DT36">
        <v>0</v>
      </c>
      <c r="DU36">
        <v>281.22000000000003</v>
      </c>
      <c r="DV36">
        <v>-55.013199999999998</v>
      </c>
      <c r="DW36">
        <v>560.10500000000002</v>
      </c>
      <c r="DX36">
        <v>614.34400000000005</v>
      </c>
      <c r="DY36">
        <v>3.63449</v>
      </c>
      <c r="DZ36">
        <v>600.05700000000002</v>
      </c>
      <c r="EA36">
        <v>23.255500000000001</v>
      </c>
      <c r="EB36">
        <v>2.6579299999999999</v>
      </c>
      <c r="EC36">
        <v>2.2986900000000001</v>
      </c>
      <c r="ED36">
        <v>22.0273</v>
      </c>
      <c r="EE36">
        <v>19.667200000000001</v>
      </c>
      <c r="EF36">
        <v>1799.99</v>
      </c>
      <c r="EG36">
        <v>0.97800699999999996</v>
      </c>
      <c r="EH36">
        <v>2.1993100000000002E-2</v>
      </c>
      <c r="EI36">
        <v>0</v>
      </c>
      <c r="EJ36">
        <v>605.05999999999995</v>
      </c>
      <c r="EK36">
        <v>4.9996700000000001</v>
      </c>
      <c r="EL36">
        <v>12272</v>
      </c>
      <c r="EM36">
        <v>15046.8</v>
      </c>
      <c r="EN36">
        <v>49.875</v>
      </c>
      <c r="EO36">
        <v>51.061999999999998</v>
      </c>
      <c r="EP36">
        <v>50.686999999999998</v>
      </c>
      <c r="EQ36">
        <v>50.811999999999998</v>
      </c>
      <c r="ER36">
        <v>51.186999999999998</v>
      </c>
      <c r="ES36">
        <v>1755.51</v>
      </c>
      <c r="ET36">
        <v>39.479999999999997</v>
      </c>
      <c r="EU36">
        <v>0</v>
      </c>
      <c r="EV36">
        <v>98.400000095367432</v>
      </c>
      <c r="EW36">
        <v>0</v>
      </c>
      <c r="EX36">
        <v>605.02961538461534</v>
      </c>
      <c r="EY36">
        <v>-0.61818802914615845</v>
      </c>
      <c r="EZ36">
        <v>-31.336752111266961</v>
      </c>
      <c r="FA36">
        <v>12275.07692307692</v>
      </c>
      <c r="FB36">
        <v>15</v>
      </c>
      <c r="FC36">
        <v>1700240508.5</v>
      </c>
      <c r="FD36" t="s">
        <v>507</v>
      </c>
      <c r="FE36">
        <v>1700240508.5</v>
      </c>
      <c r="FF36">
        <v>1700240507.5</v>
      </c>
      <c r="FG36">
        <v>26</v>
      </c>
      <c r="FH36">
        <v>-0.10299999999999999</v>
      </c>
      <c r="FI36">
        <v>1E-3</v>
      </c>
      <c r="FJ36">
        <v>-0.32100000000000001</v>
      </c>
      <c r="FK36">
        <v>0.29899999999999999</v>
      </c>
      <c r="FL36">
        <v>600</v>
      </c>
      <c r="FM36">
        <v>23</v>
      </c>
      <c r="FN36">
        <v>0.03</v>
      </c>
      <c r="FO36">
        <v>0.03</v>
      </c>
      <c r="FP36">
        <v>47.898761247180182</v>
      </c>
      <c r="FQ36">
        <v>-0.16667469434310159</v>
      </c>
      <c r="FR36">
        <v>5.3565989127039838E-2</v>
      </c>
      <c r="FS36">
        <v>1</v>
      </c>
      <c r="FT36">
        <v>0.2016805096790574</v>
      </c>
      <c r="FU36">
        <v>4.7609494655576352E-2</v>
      </c>
      <c r="FV36">
        <v>3.722720922473978E-3</v>
      </c>
      <c r="FW36">
        <v>1</v>
      </c>
      <c r="FX36">
        <v>2</v>
      </c>
      <c r="FY36">
        <v>2</v>
      </c>
      <c r="FZ36" t="s">
        <v>420</v>
      </c>
      <c r="GA36">
        <v>3.0131600000000001</v>
      </c>
      <c r="GB36">
        <v>2.7772700000000001</v>
      </c>
      <c r="GC36">
        <v>0.11025500000000001</v>
      </c>
      <c r="GD36">
        <v>0.118676</v>
      </c>
      <c r="GE36">
        <v>0.12275999999999999</v>
      </c>
      <c r="GF36">
        <v>0.11217199999999999</v>
      </c>
      <c r="GG36">
        <v>21289.3</v>
      </c>
      <c r="GH36">
        <v>21781.8</v>
      </c>
      <c r="GI36">
        <v>23700.799999999999</v>
      </c>
      <c r="GJ36">
        <v>24379.599999999999</v>
      </c>
      <c r="GK36">
        <v>30759</v>
      </c>
      <c r="GL36">
        <v>31042.7</v>
      </c>
      <c r="GM36">
        <v>38822</v>
      </c>
      <c r="GN36">
        <v>38829.4</v>
      </c>
      <c r="GO36">
        <v>2.0173700000000001</v>
      </c>
      <c r="GP36">
        <v>1.7678499999999999</v>
      </c>
      <c r="GQ36">
        <v>7.8808500000000004E-2</v>
      </c>
      <c r="GR36">
        <v>0</v>
      </c>
      <c r="GS36">
        <v>28.893999999999998</v>
      </c>
      <c r="GT36">
        <v>999.9</v>
      </c>
      <c r="GU36">
        <v>39.200000000000003</v>
      </c>
      <c r="GV36">
        <v>39.9</v>
      </c>
      <c r="GW36">
        <v>29.2454</v>
      </c>
      <c r="GX36">
        <v>61.393999999999998</v>
      </c>
      <c r="GY36">
        <v>30.568899999999999</v>
      </c>
      <c r="GZ36">
        <v>1</v>
      </c>
      <c r="HA36">
        <v>0.71807200000000004</v>
      </c>
      <c r="HB36">
        <v>4.8759300000000003</v>
      </c>
      <c r="HC36">
        <v>20.2514</v>
      </c>
      <c r="HD36">
        <v>5.2458900000000002</v>
      </c>
      <c r="HE36">
        <v>12.0008</v>
      </c>
      <c r="HF36">
        <v>4.9637000000000002</v>
      </c>
      <c r="HG36">
        <v>3.3008999999999999</v>
      </c>
      <c r="HH36">
        <v>9999</v>
      </c>
      <c r="HI36">
        <v>9999</v>
      </c>
      <c r="HJ36">
        <v>9999</v>
      </c>
      <c r="HK36">
        <v>999.9</v>
      </c>
      <c r="HL36">
        <v>1.87514</v>
      </c>
      <c r="HM36">
        <v>1.88046</v>
      </c>
      <c r="HN36">
        <v>1.8805000000000001</v>
      </c>
      <c r="HO36">
        <v>1.8792500000000001</v>
      </c>
      <c r="HP36">
        <v>1.8815599999999999</v>
      </c>
      <c r="HQ36">
        <v>1.8774500000000001</v>
      </c>
      <c r="HR36">
        <v>1.8751899999999999</v>
      </c>
      <c r="HS36">
        <v>1.8824700000000001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-0.29199999999999998</v>
      </c>
      <c r="IH36">
        <v>0.3362</v>
      </c>
      <c r="II36">
        <v>-0.32480842114886921</v>
      </c>
      <c r="IJ36">
        <v>7.0786345690369205E-4</v>
      </c>
      <c r="IK36">
        <v>-1.387476646623666E-6</v>
      </c>
      <c r="IL36">
        <v>3.6592443641472651E-10</v>
      </c>
      <c r="IM36">
        <v>0.33618825400223451</v>
      </c>
      <c r="IN36">
        <v>0</v>
      </c>
      <c r="IO36">
        <v>0</v>
      </c>
      <c r="IP36">
        <v>0</v>
      </c>
      <c r="IQ36">
        <v>2</v>
      </c>
      <c r="IR36">
        <v>2142</v>
      </c>
      <c r="IS36">
        <v>1</v>
      </c>
      <c r="IT36">
        <v>24</v>
      </c>
      <c r="IU36">
        <v>0.5</v>
      </c>
      <c r="IV36">
        <v>0.5</v>
      </c>
      <c r="IW36">
        <v>1.41235</v>
      </c>
      <c r="IX36">
        <v>2.65259</v>
      </c>
      <c r="IY36">
        <v>1.5490699999999999</v>
      </c>
      <c r="IZ36">
        <v>2.3645</v>
      </c>
      <c r="JA36">
        <v>1.5966800000000001</v>
      </c>
      <c r="JB36">
        <v>2.2277800000000001</v>
      </c>
      <c r="JC36">
        <v>44.697299999999998</v>
      </c>
      <c r="JD36">
        <v>23.982399999999998</v>
      </c>
      <c r="JE36">
        <v>18</v>
      </c>
      <c r="JF36">
        <v>535.97799999999995</v>
      </c>
      <c r="JG36">
        <v>440.24599999999998</v>
      </c>
      <c r="JH36">
        <v>25.04</v>
      </c>
      <c r="JI36">
        <v>35.866199999999999</v>
      </c>
      <c r="JJ36">
        <v>30.000599999999999</v>
      </c>
      <c r="JK36">
        <v>35.835999999999999</v>
      </c>
      <c r="JL36">
        <v>35.818600000000004</v>
      </c>
      <c r="JM36">
        <v>28.2364</v>
      </c>
      <c r="JN36">
        <v>18.448799999999999</v>
      </c>
      <c r="JO36">
        <v>19.876300000000001</v>
      </c>
      <c r="JP36">
        <v>24.979099999999999</v>
      </c>
      <c r="JQ36">
        <v>600</v>
      </c>
      <c r="JR36">
        <v>23.262599999999999</v>
      </c>
      <c r="JS36">
        <v>98.312700000000007</v>
      </c>
      <c r="JT36">
        <v>99.180300000000003</v>
      </c>
    </row>
    <row r="37" spans="1:280" x14ac:dyDescent="0.25">
      <c r="A37">
        <v>21</v>
      </c>
      <c r="B37">
        <v>1700240638</v>
      </c>
      <c r="C37">
        <v>3503.5</v>
      </c>
      <c r="D37" t="s">
        <v>508</v>
      </c>
      <c r="E37" t="s">
        <v>509</v>
      </c>
      <c r="F37" t="s">
        <v>412</v>
      </c>
      <c r="G37" t="s">
        <v>484</v>
      </c>
      <c r="H37" t="s">
        <v>485</v>
      </c>
      <c r="I37">
        <v>1700240638</v>
      </c>
      <c r="J37">
        <f t="shared" si="0"/>
        <v>3.8324496611313245E-3</v>
      </c>
      <c r="K37">
        <f t="shared" si="1"/>
        <v>3.8324496611313243</v>
      </c>
      <c r="L37">
        <f t="shared" si="2"/>
        <v>46.110643754251448</v>
      </c>
      <c r="M37">
        <f t="shared" si="3"/>
        <v>447.202</v>
      </c>
      <c r="N37">
        <f t="shared" si="4"/>
        <v>116.19945207580983</v>
      </c>
      <c r="O37">
        <f t="shared" si="5"/>
        <v>11.497459504587216</v>
      </c>
      <c r="P37">
        <f t="shared" si="6"/>
        <v>44.248804908442409</v>
      </c>
      <c r="Q37">
        <f t="shared" si="7"/>
        <v>0.23663481853711216</v>
      </c>
      <c r="R37">
        <f t="shared" si="8"/>
        <v>3.0026485157588283</v>
      </c>
      <c r="S37">
        <f t="shared" si="9"/>
        <v>0.22674109641886298</v>
      </c>
      <c r="T37">
        <f t="shared" si="10"/>
        <v>0.14256762644952176</v>
      </c>
      <c r="U37">
        <f t="shared" si="11"/>
        <v>289.5611044190872</v>
      </c>
      <c r="V37">
        <f t="shared" si="12"/>
        <v>29.769886012857974</v>
      </c>
      <c r="W37">
        <f t="shared" si="13"/>
        <v>29.934699999999999</v>
      </c>
      <c r="X37">
        <f t="shared" si="14"/>
        <v>4.2444958629220197</v>
      </c>
      <c r="Y37">
        <f t="shared" si="15"/>
        <v>65.11124926093774</v>
      </c>
      <c r="Z37">
        <f t="shared" si="16"/>
        <v>2.6301799456984005</v>
      </c>
      <c r="AA37">
        <f t="shared" si="17"/>
        <v>4.0395169430059257</v>
      </c>
      <c r="AB37">
        <f t="shared" si="18"/>
        <v>1.6143159172236192</v>
      </c>
      <c r="AC37">
        <f t="shared" si="19"/>
        <v>-169.01103005589141</v>
      </c>
      <c r="AD37">
        <f t="shared" si="20"/>
        <v>-138.989126330673</v>
      </c>
      <c r="AE37">
        <f t="shared" si="21"/>
        <v>-10.242071535303436</v>
      </c>
      <c r="AF37">
        <f t="shared" si="22"/>
        <v>-28.681123502780622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51932.641169587965</v>
      </c>
      <c r="AL37" t="s">
        <v>415</v>
      </c>
      <c r="AM37">
        <v>10238.9</v>
      </c>
      <c r="AN37">
        <v>302.21199999999999</v>
      </c>
      <c r="AO37">
        <v>4052.3</v>
      </c>
      <c r="AP37">
        <f t="shared" si="26"/>
        <v>0.92542210596451402</v>
      </c>
      <c r="AQ37">
        <v>-0.32343011824092421</v>
      </c>
      <c r="AR37" t="s">
        <v>510</v>
      </c>
      <c r="AS37">
        <v>7099.53</v>
      </c>
      <c r="AT37">
        <v>606.34376000000009</v>
      </c>
      <c r="AU37">
        <v>899.95733648198552</v>
      </c>
      <c r="AV37">
        <f t="shared" si="27"/>
        <v>0.32625277285893062</v>
      </c>
      <c r="AW37">
        <v>0.5</v>
      </c>
      <c r="AX37">
        <f t="shared" si="28"/>
        <v>1513.1592002171435</v>
      </c>
      <c r="AY37">
        <f t="shared" si="29"/>
        <v>46.110643754251448</v>
      </c>
      <c r="AZ37">
        <f t="shared" si="30"/>
        <v>246.83619242392243</v>
      </c>
      <c r="BA37">
        <f t="shared" si="31"/>
        <v>3.0686839736247792E-2</v>
      </c>
      <c r="BB37">
        <f t="shared" si="32"/>
        <v>3.502769004407261</v>
      </c>
      <c r="BC37">
        <f t="shared" si="33"/>
        <v>239.61704614942389</v>
      </c>
      <c r="BD37" t="s">
        <v>511</v>
      </c>
      <c r="BE37">
        <v>451.53</v>
      </c>
      <c r="BF37">
        <f t="shared" si="34"/>
        <v>451.53</v>
      </c>
      <c r="BG37">
        <f t="shared" si="35"/>
        <v>0.49827621633146357</v>
      </c>
      <c r="BH37">
        <f t="shared" si="36"/>
        <v>0.65476288485320877</v>
      </c>
      <c r="BI37">
        <f t="shared" si="37"/>
        <v>0.875463487953414</v>
      </c>
      <c r="BJ37">
        <f t="shared" si="38"/>
        <v>0.49120178537910547</v>
      </c>
      <c r="BK37">
        <f t="shared" si="39"/>
        <v>0.84060498407451101</v>
      </c>
      <c r="BL37">
        <f t="shared" si="40"/>
        <v>0.4875865885018249</v>
      </c>
      <c r="BM37">
        <f t="shared" si="41"/>
        <v>0.5124134114981751</v>
      </c>
      <c r="BN37">
        <v>34549</v>
      </c>
      <c r="BO37">
        <v>290.00000000000011</v>
      </c>
      <c r="BP37">
        <v>816.33</v>
      </c>
      <c r="BQ37">
        <v>285</v>
      </c>
      <c r="BR37">
        <v>7099.53</v>
      </c>
      <c r="BS37">
        <v>818.49</v>
      </c>
      <c r="BT37">
        <v>-2.16</v>
      </c>
      <c r="BU37">
        <v>300.00000000000011</v>
      </c>
      <c r="BV37">
        <v>38.299999999999997</v>
      </c>
      <c r="BW37">
        <v>899.95733648198552</v>
      </c>
      <c r="BX37">
        <v>1.8395916276698161</v>
      </c>
      <c r="BY37">
        <v>-57.837809802462942</v>
      </c>
      <c r="BZ37">
        <v>1.0948929351560699</v>
      </c>
      <c r="CA37">
        <v>0.99006560024035584</v>
      </c>
      <c r="CB37">
        <v>-6.9988611790878716E-3</v>
      </c>
      <c r="CC37">
        <v>289.99999999999989</v>
      </c>
      <c r="CD37">
        <v>827.37</v>
      </c>
      <c r="CE37">
        <v>855</v>
      </c>
      <c r="CF37">
        <v>7093</v>
      </c>
      <c r="CG37">
        <v>818.42</v>
      </c>
      <c r="CH37">
        <v>8.9499999999999993</v>
      </c>
      <c r="CV37">
        <f t="shared" si="42"/>
        <v>1799.97</v>
      </c>
      <c r="CW37">
        <f t="shared" si="43"/>
        <v>1513.1592002171435</v>
      </c>
      <c r="CX37">
        <f t="shared" si="44"/>
        <v>0.84065801108748672</v>
      </c>
      <c r="CY37">
        <f t="shared" si="45"/>
        <v>0.16086996139884954</v>
      </c>
      <c r="CZ37">
        <v>5.52</v>
      </c>
      <c r="DA37">
        <v>0.5</v>
      </c>
      <c r="DB37" t="s">
        <v>418</v>
      </c>
      <c r="DC37">
        <v>2</v>
      </c>
      <c r="DD37">
        <v>1700240638</v>
      </c>
      <c r="DE37">
        <v>447.202</v>
      </c>
      <c r="DF37">
        <v>499.99700000000001</v>
      </c>
      <c r="DG37">
        <v>26.582000000000001</v>
      </c>
      <c r="DH37">
        <v>22.463699999999999</v>
      </c>
      <c r="DI37">
        <v>447.416</v>
      </c>
      <c r="DJ37">
        <v>26.297000000000001</v>
      </c>
      <c r="DK37">
        <v>500.03100000000001</v>
      </c>
      <c r="DL37">
        <v>98.846000000000004</v>
      </c>
      <c r="DM37">
        <v>9.9901199999999996E-2</v>
      </c>
      <c r="DN37">
        <v>29.0761</v>
      </c>
      <c r="DO37">
        <v>29.934699999999999</v>
      </c>
      <c r="DP37">
        <v>999.9</v>
      </c>
      <c r="DQ37">
        <v>0</v>
      </c>
      <c r="DR37">
        <v>0</v>
      </c>
      <c r="DS37">
        <v>10005</v>
      </c>
      <c r="DT37">
        <v>0</v>
      </c>
      <c r="DU37">
        <v>279.17099999999999</v>
      </c>
      <c r="DV37">
        <v>-52.834299999999999</v>
      </c>
      <c r="DW37">
        <v>459.39800000000002</v>
      </c>
      <c r="DX37">
        <v>511.48700000000002</v>
      </c>
      <c r="DY37">
        <v>4.16953</v>
      </c>
      <c r="DZ37">
        <v>499.99700000000001</v>
      </c>
      <c r="EA37">
        <v>22.463699999999999</v>
      </c>
      <c r="EB37">
        <v>2.63259</v>
      </c>
      <c r="EC37">
        <v>2.22044</v>
      </c>
      <c r="ED37">
        <v>21.8703</v>
      </c>
      <c r="EE37">
        <v>19.110600000000002</v>
      </c>
      <c r="EF37">
        <v>1799.97</v>
      </c>
      <c r="EG37">
        <v>0.97800699999999996</v>
      </c>
      <c r="EH37">
        <v>2.1993100000000002E-2</v>
      </c>
      <c r="EI37">
        <v>0</v>
      </c>
      <c r="EJ37">
        <v>606.07600000000002</v>
      </c>
      <c r="EK37">
        <v>4.9996700000000001</v>
      </c>
      <c r="EL37">
        <v>12277.2</v>
      </c>
      <c r="EM37">
        <v>15046.5</v>
      </c>
      <c r="EN37">
        <v>49.875</v>
      </c>
      <c r="EO37">
        <v>51.061999999999998</v>
      </c>
      <c r="EP37">
        <v>50.625</v>
      </c>
      <c r="EQ37">
        <v>50.875</v>
      </c>
      <c r="ER37">
        <v>51.186999999999998</v>
      </c>
      <c r="ES37">
        <v>1755.49</v>
      </c>
      <c r="ET37">
        <v>39.479999999999997</v>
      </c>
      <c r="EU37">
        <v>0</v>
      </c>
      <c r="EV37">
        <v>199.79999995231631</v>
      </c>
      <c r="EW37">
        <v>0</v>
      </c>
      <c r="EX37">
        <v>606.34376000000009</v>
      </c>
      <c r="EY37">
        <v>-1.964153864043384</v>
      </c>
      <c r="EZ37">
        <v>-159.2307694521744</v>
      </c>
      <c r="FA37">
        <v>12291.168</v>
      </c>
      <c r="FB37">
        <v>15</v>
      </c>
      <c r="FC37">
        <v>1700240669.5</v>
      </c>
      <c r="FD37" t="s">
        <v>512</v>
      </c>
      <c r="FE37">
        <v>1700240669.5</v>
      </c>
      <c r="FF37">
        <v>1700240664</v>
      </c>
      <c r="FG37">
        <v>27</v>
      </c>
      <c r="FH37">
        <v>5.8000000000000003E-2</v>
      </c>
      <c r="FI37">
        <v>6.0000000000000001E-3</v>
      </c>
      <c r="FJ37">
        <v>-0.214</v>
      </c>
      <c r="FK37">
        <v>0.28499999999999998</v>
      </c>
      <c r="FL37">
        <v>500</v>
      </c>
      <c r="FM37">
        <v>22</v>
      </c>
      <c r="FN37">
        <v>0.05</v>
      </c>
      <c r="FO37">
        <v>0.02</v>
      </c>
      <c r="FP37">
        <v>46.028775093665537</v>
      </c>
      <c r="FQ37">
        <v>0.45346819591075088</v>
      </c>
      <c r="FR37">
        <v>9.7011077646746977E-2</v>
      </c>
      <c r="FS37">
        <v>1</v>
      </c>
      <c r="FT37">
        <v>0.24257036159474851</v>
      </c>
      <c r="FU37">
        <v>1.330387268924858E-2</v>
      </c>
      <c r="FV37">
        <v>2.3775924376033238E-3</v>
      </c>
      <c r="FW37">
        <v>1</v>
      </c>
      <c r="FX37">
        <v>2</v>
      </c>
      <c r="FY37">
        <v>2</v>
      </c>
      <c r="FZ37" t="s">
        <v>420</v>
      </c>
      <c r="GA37">
        <v>3.0128200000000001</v>
      </c>
      <c r="GB37">
        <v>2.7770299999999999</v>
      </c>
      <c r="GC37">
        <v>9.5324199999999998E-2</v>
      </c>
      <c r="GD37">
        <v>0.104106</v>
      </c>
      <c r="GE37">
        <v>0.121932</v>
      </c>
      <c r="GF37">
        <v>0.1095</v>
      </c>
      <c r="GG37">
        <v>21646.3</v>
      </c>
      <c r="GH37">
        <v>22141.9</v>
      </c>
      <c r="GI37">
        <v>23700.6</v>
      </c>
      <c r="GJ37">
        <v>24379.7</v>
      </c>
      <c r="GK37">
        <v>30788.1</v>
      </c>
      <c r="GL37">
        <v>31136.400000000001</v>
      </c>
      <c r="GM37">
        <v>38821.800000000003</v>
      </c>
      <c r="GN37">
        <v>38829.5</v>
      </c>
      <c r="GO37">
        <v>2.0182199999999999</v>
      </c>
      <c r="GP37">
        <v>1.7654799999999999</v>
      </c>
      <c r="GQ37">
        <v>6.4499699999999993E-2</v>
      </c>
      <c r="GR37">
        <v>0</v>
      </c>
      <c r="GS37">
        <v>28.8841</v>
      </c>
      <c r="GT37">
        <v>999.9</v>
      </c>
      <c r="GU37">
        <v>38.6</v>
      </c>
      <c r="GV37">
        <v>40</v>
      </c>
      <c r="GW37">
        <v>28.950500000000002</v>
      </c>
      <c r="GX37">
        <v>60.924100000000003</v>
      </c>
      <c r="GY37">
        <v>31.3902</v>
      </c>
      <c r="GZ37">
        <v>1</v>
      </c>
      <c r="HA37">
        <v>0.71053599999999995</v>
      </c>
      <c r="HB37">
        <v>2.8645200000000002</v>
      </c>
      <c r="HC37">
        <v>20.302199999999999</v>
      </c>
      <c r="HD37">
        <v>5.2403500000000003</v>
      </c>
      <c r="HE37">
        <v>11.997999999999999</v>
      </c>
      <c r="HF37">
        <v>4.9629000000000003</v>
      </c>
      <c r="HG37">
        <v>3.30023</v>
      </c>
      <c r="HH37">
        <v>9999</v>
      </c>
      <c r="HI37">
        <v>9999</v>
      </c>
      <c r="HJ37">
        <v>9999</v>
      </c>
      <c r="HK37">
        <v>999.9</v>
      </c>
      <c r="HL37">
        <v>1.87514</v>
      </c>
      <c r="HM37">
        <v>1.8804399999999999</v>
      </c>
      <c r="HN37">
        <v>1.88049</v>
      </c>
      <c r="HO37">
        <v>1.8792599999999999</v>
      </c>
      <c r="HP37">
        <v>1.8815599999999999</v>
      </c>
      <c r="HQ37">
        <v>1.8774500000000001</v>
      </c>
      <c r="HR37">
        <v>1.87517</v>
      </c>
      <c r="HS37">
        <v>1.8824000000000001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-0.214</v>
      </c>
      <c r="IH37">
        <v>0.28499999999999998</v>
      </c>
      <c r="II37">
        <v>-0.32480842114886921</v>
      </c>
      <c r="IJ37">
        <v>7.0786345690369205E-4</v>
      </c>
      <c r="IK37">
        <v>-1.387476646623666E-6</v>
      </c>
      <c r="IL37">
        <v>3.6592443641472651E-10</v>
      </c>
      <c r="IM37">
        <v>0.33618825400223451</v>
      </c>
      <c r="IN37">
        <v>0</v>
      </c>
      <c r="IO37">
        <v>0</v>
      </c>
      <c r="IP37">
        <v>0</v>
      </c>
      <c r="IQ37">
        <v>2</v>
      </c>
      <c r="IR37">
        <v>2142</v>
      </c>
      <c r="IS37">
        <v>1</v>
      </c>
      <c r="IT37">
        <v>24</v>
      </c>
      <c r="IU37">
        <v>2.2000000000000002</v>
      </c>
      <c r="IV37">
        <v>2.2000000000000002</v>
      </c>
      <c r="IW37">
        <v>1.2182599999999999</v>
      </c>
      <c r="IX37">
        <v>2.6440399999999999</v>
      </c>
      <c r="IY37">
        <v>1.5490699999999999</v>
      </c>
      <c r="IZ37">
        <v>2.36572</v>
      </c>
      <c r="JA37">
        <v>1.5966800000000001</v>
      </c>
      <c r="JB37">
        <v>2.36816</v>
      </c>
      <c r="JC37">
        <v>44.725299999999997</v>
      </c>
      <c r="JD37">
        <v>24.008700000000001</v>
      </c>
      <c r="JE37">
        <v>18</v>
      </c>
      <c r="JF37">
        <v>536.73099999999999</v>
      </c>
      <c r="JG37">
        <v>438.91699999999997</v>
      </c>
      <c r="JH37">
        <v>25.702500000000001</v>
      </c>
      <c r="JI37">
        <v>35.8994</v>
      </c>
      <c r="JJ37">
        <v>29.999600000000001</v>
      </c>
      <c r="JK37">
        <v>35.859200000000001</v>
      </c>
      <c r="JL37">
        <v>35.845100000000002</v>
      </c>
      <c r="JM37">
        <v>24.353400000000001</v>
      </c>
      <c r="JN37">
        <v>20.452999999999999</v>
      </c>
      <c r="JO37">
        <v>18.735700000000001</v>
      </c>
      <c r="JP37">
        <v>25.746300000000002</v>
      </c>
      <c r="JQ37">
        <v>500</v>
      </c>
      <c r="JR37">
        <v>22.369299999999999</v>
      </c>
      <c r="JS37">
        <v>98.312200000000004</v>
      </c>
      <c r="JT37">
        <v>99.180599999999998</v>
      </c>
    </row>
    <row r="38" spans="1:280" x14ac:dyDescent="0.25">
      <c r="A38">
        <v>22</v>
      </c>
      <c r="B38">
        <v>1700240803</v>
      </c>
      <c r="C38">
        <v>3668.5</v>
      </c>
      <c r="D38" t="s">
        <v>513</v>
      </c>
      <c r="E38" t="s">
        <v>514</v>
      </c>
      <c r="F38" t="s">
        <v>412</v>
      </c>
      <c r="G38" t="s">
        <v>484</v>
      </c>
      <c r="H38" t="s">
        <v>485</v>
      </c>
      <c r="I38">
        <v>1700240803</v>
      </c>
      <c r="J38">
        <f t="shared" si="0"/>
        <v>4.4999116668105925E-3</v>
      </c>
      <c r="K38">
        <f t="shared" si="1"/>
        <v>4.4999116668105925</v>
      </c>
      <c r="L38">
        <f t="shared" si="2"/>
        <v>42.617097963405456</v>
      </c>
      <c r="M38">
        <f t="shared" si="3"/>
        <v>351.26799999999997</v>
      </c>
      <c r="N38">
        <f t="shared" si="4"/>
        <v>97.581283200770557</v>
      </c>
      <c r="O38">
        <f t="shared" si="5"/>
        <v>9.6552277054827016</v>
      </c>
      <c r="P38">
        <f t="shared" si="6"/>
        <v>34.756383749037596</v>
      </c>
      <c r="Q38">
        <f t="shared" si="7"/>
        <v>0.28764305312648542</v>
      </c>
      <c r="R38">
        <f t="shared" si="8"/>
        <v>3.0042575403614742</v>
      </c>
      <c r="S38">
        <f t="shared" si="9"/>
        <v>0.27317187332444143</v>
      </c>
      <c r="T38">
        <f t="shared" si="10"/>
        <v>0.17197190919928895</v>
      </c>
      <c r="U38">
        <f t="shared" si="11"/>
        <v>289.55631641909429</v>
      </c>
      <c r="V38">
        <f t="shared" si="12"/>
        <v>29.677065638549429</v>
      </c>
      <c r="W38">
        <f t="shared" si="13"/>
        <v>29.882200000000001</v>
      </c>
      <c r="X38">
        <f t="shared" si="14"/>
        <v>4.2317069959451876</v>
      </c>
      <c r="Y38">
        <f t="shared" si="15"/>
        <v>65.521513859749831</v>
      </c>
      <c r="Z38">
        <f t="shared" si="16"/>
        <v>2.6585465333481602</v>
      </c>
      <c r="AA38">
        <f t="shared" si="17"/>
        <v>4.0575169539562754</v>
      </c>
      <c r="AB38">
        <f t="shared" si="18"/>
        <v>1.5731604625970275</v>
      </c>
      <c r="AC38">
        <f t="shared" si="19"/>
        <v>-198.44610450634713</v>
      </c>
      <c r="AD38">
        <f t="shared" si="20"/>
        <v>-118.10526631064411</v>
      </c>
      <c r="AE38">
        <f t="shared" si="21"/>
        <v>-8.6995318184722379</v>
      </c>
      <c r="AF38">
        <f t="shared" si="22"/>
        <v>-35.694586216369174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51962.949744582373</v>
      </c>
      <c r="AL38" t="s">
        <v>446</v>
      </c>
      <c r="AM38" t="s">
        <v>446</v>
      </c>
      <c r="AN38">
        <v>0</v>
      </c>
      <c r="AO38">
        <v>0</v>
      </c>
      <c r="AP38" t="e">
        <f t="shared" si="26"/>
        <v>#DIV/0!</v>
      </c>
      <c r="AQ38">
        <v>0</v>
      </c>
      <c r="AR38" t="s">
        <v>446</v>
      </c>
      <c r="AS38" t="s">
        <v>446</v>
      </c>
      <c r="AT38">
        <v>0</v>
      </c>
      <c r="AU38">
        <v>0</v>
      </c>
      <c r="AV38" t="e">
        <f t="shared" si="27"/>
        <v>#DIV/0!</v>
      </c>
      <c r="AW38">
        <v>0.5</v>
      </c>
      <c r="AX38">
        <f t="shared" si="28"/>
        <v>1513.1340002171473</v>
      </c>
      <c r="AY38">
        <f t="shared" si="29"/>
        <v>42.617097963405456</v>
      </c>
      <c r="AZ38" t="e">
        <f t="shared" si="30"/>
        <v>#DIV/0!</v>
      </c>
      <c r="BA38">
        <f t="shared" si="31"/>
        <v>2.8164787756596275E-2</v>
      </c>
      <c r="BB38" t="e">
        <f t="shared" si="32"/>
        <v>#DIV/0!</v>
      </c>
      <c r="BC38" t="e">
        <f t="shared" si="33"/>
        <v>#DIV/0!</v>
      </c>
      <c r="BD38" t="s">
        <v>446</v>
      </c>
      <c r="BE38">
        <v>0</v>
      </c>
      <c r="BF38" t="e">
        <f t="shared" si="34"/>
        <v>#DIV/0!</v>
      </c>
      <c r="BG38" t="e">
        <f t="shared" si="35"/>
        <v>#DIV/0!</v>
      </c>
      <c r="BH38" t="e">
        <f t="shared" si="36"/>
        <v>#DIV/0!</v>
      </c>
      <c r="BI38" t="e">
        <f t="shared" si="37"/>
        <v>#DIV/0!</v>
      </c>
      <c r="BJ38" t="e">
        <f t="shared" si="38"/>
        <v>#DIV/0!</v>
      </c>
      <c r="BK38" t="e">
        <f t="shared" si="39"/>
        <v>#DIV/0!</v>
      </c>
      <c r="BL38" t="e">
        <f t="shared" si="40"/>
        <v>#DIV/0!</v>
      </c>
      <c r="BM38" t="e">
        <f t="shared" si="41"/>
        <v>#DIV/0!</v>
      </c>
      <c r="BN38">
        <v>34549</v>
      </c>
      <c r="BO38">
        <v>290.00000000000011</v>
      </c>
      <c r="BP38">
        <v>816.33</v>
      </c>
      <c r="BQ38">
        <v>285</v>
      </c>
      <c r="BR38">
        <v>7099.53</v>
      </c>
      <c r="BS38">
        <v>818.49</v>
      </c>
      <c r="BT38">
        <v>-2.16</v>
      </c>
      <c r="BU38">
        <v>300.00000000000011</v>
      </c>
      <c r="BV38">
        <v>38.299999999999997</v>
      </c>
      <c r="BW38">
        <v>899.95733648198552</v>
      </c>
      <c r="BX38">
        <v>1.8395916276698161</v>
      </c>
      <c r="BY38">
        <v>-57.837809802462942</v>
      </c>
      <c r="BZ38">
        <v>1.0948929351560699</v>
      </c>
      <c r="CA38">
        <v>0.99006560024035584</v>
      </c>
      <c r="CB38">
        <v>-6.9988611790878716E-3</v>
      </c>
      <c r="CC38">
        <v>289.99999999999989</v>
      </c>
      <c r="CD38">
        <v>827.37</v>
      </c>
      <c r="CE38">
        <v>855</v>
      </c>
      <c r="CF38">
        <v>7093</v>
      </c>
      <c r="CG38">
        <v>818.42</v>
      </c>
      <c r="CH38">
        <v>8.9499999999999993</v>
      </c>
      <c r="CV38">
        <f t="shared" si="42"/>
        <v>1799.94</v>
      </c>
      <c r="CW38">
        <f t="shared" si="43"/>
        <v>1513.1340002171473</v>
      </c>
      <c r="CX38">
        <f t="shared" si="44"/>
        <v>0.84065802205470586</v>
      </c>
      <c r="CY38">
        <f t="shared" si="45"/>
        <v>0.16086998256558233</v>
      </c>
      <c r="CZ38">
        <v>5.52</v>
      </c>
      <c r="DA38">
        <v>0.5</v>
      </c>
      <c r="DB38" t="s">
        <v>418</v>
      </c>
      <c r="DC38">
        <v>2</v>
      </c>
      <c r="DD38">
        <v>1700240803</v>
      </c>
      <c r="DE38">
        <v>351.26799999999997</v>
      </c>
      <c r="DF38">
        <v>400.048</v>
      </c>
      <c r="DG38">
        <v>26.8688</v>
      </c>
      <c r="DH38">
        <v>22.035799999999998</v>
      </c>
      <c r="DI38">
        <v>351.54199999999997</v>
      </c>
      <c r="DJ38">
        <v>26.53</v>
      </c>
      <c r="DK38">
        <v>500.14699999999999</v>
      </c>
      <c r="DL38">
        <v>98.845500000000001</v>
      </c>
      <c r="DM38">
        <v>9.9988199999999999E-2</v>
      </c>
      <c r="DN38">
        <v>29.152999999999999</v>
      </c>
      <c r="DO38">
        <v>29.882200000000001</v>
      </c>
      <c r="DP38">
        <v>999.9</v>
      </c>
      <c r="DQ38">
        <v>0</v>
      </c>
      <c r="DR38">
        <v>0</v>
      </c>
      <c r="DS38">
        <v>10013.799999999999</v>
      </c>
      <c r="DT38">
        <v>0</v>
      </c>
      <c r="DU38">
        <v>276.50900000000001</v>
      </c>
      <c r="DV38">
        <v>-48.78</v>
      </c>
      <c r="DW38">
        <v>360.96699999999998</v>
      </c>
      <c r="DX38">
        <v>409.06200000000001</v>
      </c>
      <c r="DY38">
        <v>4.8330599999999997</v>
      </c>
      <c r="DZ38">
        <v>400.048</v>
      </c>
      <c r="EA38">
        <v>22.035799999999998</v>
      </c>
      <c r="EB38">
        <v>2.6558600000000001</v>
      </c>
      <c r="EC38">
        <v>2.17814</v>
      </c>
      <c r="ED38">
        <v>22.014600000000002</v>
      </c>
      <c r="EE38">
        <v>18.802399999999999</v>
      </c>
      <c r="EF38">
        <v>1799.94</v>
      </c>
      <c r="EG38">
        <v>0.97800699999999996</v>
      </c>
      <c r="EH38">
        <v>2.1993100000000002E-2</v>
      </c>
      <c r="EI38">
        <v>0</v>
      </c>
      <c r="EJ38">
        <v>608.70899999999995</v>
      </c>
      <c r="EK38">
        <v>4.9996700000000001</v>
      </c>
      <c r="EL38">
        <v>12291.5</v>
      </c>
      <c r="EM38">
        <v>15046.3</v>
      </c>
      <c r="EN38">
        <v>49.875</v>
      </c>
      <c r="EO38">
        <v>51.061999999999998</v>
      </c>
      <c r="EP38">
        <v>50.625</v>
      </c>
      <c r="EQ38">
        <v>50.875</v>
      </c>
      <c r="ER38">
        <v>51.25</v>
      </c>
      <c r="ES38">
        <v>1755.46</v>
      </c>
      <c r="ET38">
        <v>39.479999999999997</v>
      </c>
      <c r="EU38">
        <v>0</v>
      </c>
      <c r="EV38">
        <v>163.20000004768369</v>
      </c>
      <c r="EW38">
        <v>0</v>
      </c>
      <c r="EX38">
        <v>608.83015384615385</v>
      </c>
      <c r="EY38">
        <v>-1.2417777806959081</v>
      </c>
      <c r="EZ38">
        <v>-28.98119666435802</v>
      </c>
      <c r="FA38">
        <v>12298.03461538462</v>
      </c>
      <c r="FB38">
        <v>15</v>
      </c>
      <c r="FC38">
        <v>1700240751.5</v>
      </c>
      <c r="FD38" t="s">
        <v>515</v>
      </c>
      <c r="FE38">
        <v>1700240751.5</v>
      </c>
      <c r="FF38">
        <v>1700240746.5</v>
      </c>
      <c r="FG38">
        <v>28</v>
      </c>
      <c r="FH38">
        <v>-0.10100000000000001</v>
      </c>
      <c r="FI38">
        <v>-3.0000000000000001E-3</v>
      </c>
      <c r="FJ38">
        <v>-0.28299999999999997</v>
      </c>
      <c r="FK38">
        <v>0.28999999999999998</v>
      </c>
      <c r="FL38">
        <v>400</v>
      </c>
      <c r="FM38">
        <v>23</v>
      </c>
      <c r="FN38">
        <v>0.03</v>
      </c>
      <c r="FO38">
        <v>0.03</v>
      </c>
      <c r="FP38">
        <v>42.459173056052073</v>
      </c>
      <c r="FQ38">
        <v>0.51129192473449314</v>
      </c>
      <c r="FR38">
        <v>9.9640464572808285E-2</v>
      </c>
      <c r="FS38">
        <v>1</v>
      </c>
      <c r="FT38">
        <v>0.2879384808626172</v>
      </c>
      <c r="FU38">
        <v>2.969865678246222E-2</v>
      </c>
      <c r="FV38">
        <v>2.917749997912241E-3</v>
      </c>
      <c r="FW38">
        <v>1</v>
      </c>
      <c r="FX38">
        <v>2</v>
      </c>
      <c r="FY38">
        <v>2</v>
      </c>
      <c r="FZ38" t="s">
        <v>420</v>
      </c>
      <c r="GA38">
        <v>3.0131600000000001</v>
      </c>
      <c r="GB38">
        <v>2.7772000000000001</v>
      </c>
      <c r="GC38">
        <v>7.9157900000000003E-2</v>
      </c>
      <c r="GD38">
        <v>8.8083300000000003E-2</v>
      </c>
      <c r="GE38">
        <v>0.122665</v>
      </c>
      <c r="GF38">
        <v>0.108032</v>
      </c>
      <c r="GG38">
        <v>22030</v>
      </c>
      <c r="GH38">
        <v>22534.7</v>
      </c>
      <c r="GI38">
        <v>23697.7</v>
      </c>
      <c r="GJ38">
        <v>24376.5</v>
      </c>
      <c r="GK38">
        <v>30759.200000000001</v>
      </c>
      <c r="GL38">
        <v>31184.400000000001</v>
      </c>
      <c r="GM38">
        <v>38817.4</v>
      </c>
      <c r="GN38">
        <v>38825.199999999997</v>
      </c>
      <c r="GO38">
        <v>2.0183499999999999</v>
      </c>
      <c r="GP38">
        <v>1.76308</v>
      </c>
      <c r="GQ38">
        <v>5.6903799999999997E-2</v>
      </c>
      <c r="GR38">
        <v>0</v>
      </c>
      <c r="GS38">
        <v>28.955300000000001</v>
      </c>
      <c r="GT38">
        <v>999.9</v>
      </c>
      <c r="GU38">
        <v>37.700000000000003</v>
      </c>
      <c r="GV38">
        <v>40.1</v>
      </c>
      <c r="GW38">
        <v>28.428899999999999</v>
      </c>
      <c r="GX38">
        <v>60.834099999999999</v>
      </c>
      <c r="GY38">
        <v>30.789300000000001</v>
      </c>
      <c r="GZ38">
        <v>1</v>
      </c>
      <c r="HA38">
        <v>0.71725899999999998</v>
      </c>
      <c r="HB38">
        <v>3.2540900000000001</v>
      </c>
      <c r="HC38">
        <v>20.294699999999999</v>
      </c>
      <c r="HD38">
        <v>5.2413999999999996</v>
      </c>
      <c r="HE38">
        <v>11.9983</v>
      </c>
      <c r="HF38">
        <v>4.9637000000000002</v>
      </c>
      <c r="HG38">
        <v>3.3008999999999999</v>
      </c>
      <c r="HH38">
        <v>9999</v>
      </c>
      <c r="HI38">
        <v>9999</v>
      </c>
      <c r="HJ38">
        <v>9999</v>
      </c>
      <c r="HK38">
        <v>999.9</v>
      </c>
      <c r="HL38">
        <v>1.87514</v>
      </c>
      <c r="HM38">
        <v>1.88049</v>
      </c>
      <c r="HN38">
        <v>1.88049</v>
      </c>
      <c r="HO38">
        <v>1.87927</v>
      </c>
      <c r="HP38">
        <v>1.8815599999999999</v>
      </c>
      <c r="HQ38">
        <v>1.87747</v>
      </c>
      <c r="HR38">
        <v>1.87521</v>
      </c>
      <c r="HS38">
        <v>1.88246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-0.27400000000000002</v>
      </c>
      <c r="IH38">
        <v>0.33879999999999999</v>
      </c>
      <c r="II38">
        <v>-0.3676653952035337</v>
      </c>
      <c r="IJ38">
        <v>7.0786345690369205E-4</v>
      </c>
      <c r="IK38">
        <v>-1.387476646623666E-6</v>
      </c>
      <c r="IL38">
        <v>3.6592443641472651E-10</v>
      </c>
      <c r="IM38">
        <v>0.33883432823357229</v>
      </c>
      <c r="IN38">
        <v>0</v>
      </c>
      <c r="IO38">
        <v>0</v>
      </c>
      <c r="IP38">
        <v>0</v>
      </c>
      <c r="IQ38">
        <v>2</v>
      </c>
      <c r="IR38">
        <v>2142</v>
      </c>
      <c r="IS38">
        <v>1</v>
      </c>
      <c r="IT38">
        <v>24</v>
      </c>
      <c r="IU38">
        <v>0.9</v>
      </c>
      <c r="IV38">
        <v>0.9</v>
      </c>
      <c r="IW38">
        <v>1.01807</v>
      </c>
      <c r="IX38">
        <v>2.66479</v>
      </c>
      <c r="IY38">
        <v>1.5490699999999999</v>
      </c>
      <c r="IZ38">
        <v>2.3645</v>
      </c>
      <c r="JA38">
        <v>1.5966800000000001</v>
      </c>
      <c r="JB38">
        <v>2.1875</v>
      </c>
      <c r="JC38">
        <v>44.781500000000001</v>
      </c>
      <c r="JD38">
        <v>23.9999</v>
      </c>
      <c r="JE38">
        <v>18</v>
      </c>
      <c r="JF38">
        <v>537.21299999999997</v>
      </c>
      <c r="JG38">
        <v>437.71300000000002</v>
      </c>
      <c r="JH38">
        <v>25.4346</v>
      </c>
      <c r="JI38">
        <v>35.949199999999998</v>
      </c>
      <c r="JJ38">
        <v>29.998799999999999</v>
      </c>
      <c r="JK38">
        <v>35.909300000000002</v>
      </c>
      <c r="JL38">
        <v>35.892200000000003</v>
      </c>
      <c r="JM38">
        <v>20.378599999999999</v>
      </c>
      <c r="JN38">
        <v>20.249500000000001</v>
      </c>
      <c r="JO38">
        <v>17.5564</v>
      </c>
      <c r="JP38">
        <v>25.573799999999999</v>
      </c>
      <c r="JQ38">
        <v>400</v>
      </c>
      <c r="JR38">
        <v>22.0198</v>
      </c>
      <c r="JS38">
        <v>98.300700000000006</v>
      </c>
      <c r="JT38">
        <v>99.168899999999994</v>
      </c>
    </row>
    <row r="39" spans="1:280" x14ac:dyDescent="0.25">
      <c r="A39">
        <v>23</v>
      </c>
      <c r="B39">
        <v>1700240939.5</v>
      </c>
      <c r="C39">
        <v>3805</v>
      </c>
      <c r="D39" t="s">
        <v>516</v>
      </c>
      <c r="E39" t="s">
        <v>517</v>
      </c>
      <c r="F39" t="s">
        <v>412</v>
      </c>
      <c r="G39" t="s">
        <v>484</v>
      </c>
      <c r="H39" t="s">
        <v>485</v>
      </c>
      <c r="I39">
        <v>1700240939.5</v>
      </c>
      <c r="J39">
        <f t="shared" si="0"/>
        <v>5.1369007807286317E-3</v>
      </c>
      <c r="K39">
        <f t="shared" si="1"/>
        <v>5.1369007807286318</v>
      </c>
      <c r="L39">
        <f t="shared" si="2"/>
        <v>36.64006248354967</v>
      </c>
      <c r="M39">
        <f t="shared" si="3"/>
        <v>258.101</v>
      </c>
      <c r="N39">
        <f t="shared" si="4"/>
        <v>70.287074093099847</v>
      </c>
      <c r="O39">
        <f t="shared" si="5"/>
        <v>6.9545319629048583</v>
      </c>
      <c r="P39">
        <f t="shared" si="6"/>
        <v>25.537720517148699</v>
      </c>
      <c r="Q39">
        <f t="shared" si="7"/>
        <v>0.33625914278004737</v>
      </c>
      <c r="R39">
        <f t="shared" si="8"/>
        <v>3.0038933044298561</v>
      </c>
      <c r="S39">
        <f t="shared" si="9"/>
        <v>0.31665957291254748</v>
      </c>
      <c r="T39">
        <f t="shared" si="10"/>
        <v>0.19957791084791951</v>
      </c>
      <c r="U39">
        <f t="shared" si="11"/>
        <v>289.55791241909191</v>
      </c>
      <c r="V39">
        <f t="shared" si="12"/>
        <v>29.892142348364644</v>
      </c>
      <c r="W39">
        <f t="shared" si="13"/>
        <v>29.982800000000001</v>
      </c>
      <c r="X39">
        <f t="shared" si="14"/>
        <v>4.2562424560369996</v>
      </c>
      <c r="Y39">
        <f t="shared" si="15"/>
        <v>65.295959417385703</v>
      </c>
      <c r="Z39">
        <f t="shared" si="16"/>
        <v>2.7076310270933699</v>
      </c>
      <c r="AA39">
        <f t="shared" si="17"/>
        <v>4.1467053264132545</v>
      </c>
      <c r="AB39">
        <f t="shared" si="18"/>
        <v>1.5486114289436297</v>
      </c>
      <c r="AC39">
        <f t="shared" si="19"/>
        <v>-226.53732443013266</v>
      </c>
      <c r="AD39">
        <f t="shared" si="20"/>
        <v>-73.377685399858635</v>
      </c>
      <c r="AE39">
        <f t="shared" si="21"/>
        <v>-5.4183905922571967</v>
      </c>
      <c r="AF39">
        <f t="shared" si="22"/>
        <v>-15.775488003156582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51888.385641551082</v>
      </c>
      <c r="AL39" t="s">
        <v>415</v>
      </c>
      <c r="AM39">
        <v>10238.9</v>
      </c>
      <c r="AN39">
        <v>302.21199999999999</v>
      </c>
      <c r="AO39">
        <v>4052.3</v>
      </c>
      <c r="AP39">
        <f t="shared" si="26"/>
        <v>0.92542210596451402</v>
      </c>
      <c r="AQ39">
        <v>-0.32343011824092421</v>
      </c>
      <c r="AR39" t="s">
        <v>518</v>
      </c>
      <c r="AS39">
        <v>7099.15</v>
      </c>
      <c r="AT39">
        <v>615.3649200000001</v>
      </c>
      <c r="AU39">
        <v>843.18233974369275</v>
      </c>
      <c r="AV39">
        <f t="shared" si="27"/>
        <v>0.27018760830894972</v>
      </c>
      <c r="AW39">
        <v>0.5</v>
      </c>
      <c r="AX39">
        <f t="shared" si="28"/>
        <v>1513.1424002171459</v>
      </c>
      <c r="AY39">
        <f t="shared" si="29"/>
        <v>36.64006248354967</v>
      </c>
      <c r="AZ39">
        <f t="shared" si="30"/>
        <v>204.41616307276712</v>
      </c>
      <c r="BA39">
        <f t="shared" si="31"/>
        <v>2.4428297426921673E-2</v>
      </c>
      <c r="BB39">
        <f t="shared" si="32"/>
        <v>3.8059592913577891</v>
      </c>
      <c r="BC39">
        <f t="shared" si="33"/>
        <v>235.39685558738205</v>
      </c>
      <c r="BD39" t="s">
        <v>519</v>
      </c>
      <c r="BE39">
        <v>449.59</v>
      </c>
      <c r="BF39">
        <f t="shared" si="34"/>
        <v>449.59</v>
      </c>
      <c r="BG39">
        <f t="shared" si="35"/>
        <v>0.46679386081939933</v>
      </c>
      <c r="BH39">
        <f t="shared" si="36"/>
        <v>0.57881568501065672</v>
      </c>
      <c r="BI39">
        <f t="shared" si="37"/>
        <v>0.89075103470895722</v>
      </c>
      <c r="BJ39">
        <f t="shared" si="38"/>
        <v>0.421127376136057</v>
      </c>
      <c r="BK39">
        <f t="shared" si="39"/>
        <v>0.85574462792774653</v>
      </c>
      <c r="BL39">
        <f t="shared" si="40"/>
        <v>0.42288686820812127</v>
      </c>
      <c r="BM39">
        <f t="shared" si="41"/>
        <v>0.57711313179187873</v>
      </c>
      <c r="BN39">
        <v>34551</v>
      </c>
      <c r="BO39">
        <v>290.00000000000011</v>
      </c>
      <c r="BP39">
        <v>778.37</v>
      </c>
      <c r="BQ39">
        <v>295</v>
      </c>
      <c r="BR39">
        <v>7099.15</v>
      </c>
      <c r="BS39">
        <v>780.18</v>
      </c>
      <c r="BT39">
        <v>-1.81</v>
      </c>
      <c r="BU39">
        <v>300.00000000000011</v>
      </c>
      <c r="BV39">
        <v>38.299999999999997</v>
      </c>
      <c r="BW39">
        <v>843.18233974369275</v>
      </c>
      <c r="BX39">
        <v>1.2535982557102729</v>
      </c>
      <c r="BY39">
        <v>-44.72837391244795</v>
      </c>
      <c r="BZ39">
        <v>0.7460832632040042</v>
      </c>
      <c r="CA39">
        <v>0.9922697037371554</v>
      </c>
      <c r="CB39">
        <v>-6.9983875417130121E-3</v>
      </c>
      <c r="CC39">
        <v>289.99999999999989</v>
      </c>
      <c r="CD39">
        <v>786.62</v>
      </c>
      <c r="CE39">
        <v>895</v>
      </c>
      <c r="CF39">
        <v>7092.3</v>
      </c>
      <c r="CG39">
        <v>780.12</v>
      </c>
      <c r="CH39">
        <v>6.5</v>
      </c>
      <c r="CV39">
        <f t="shared" si="42"/>
        <v>1799.95</v>
      </c>
      <c r="CW39">
        <f t="shared" si="43"/>
        <v>1513.1424002171459</v>
      </c>
      <c r="CX39">
        <f t="shared" si="44"/>
        <v>0.84065801839892551</v>
      </c>
      <c r="CY39">
        <f t="shared" si="45"/>
        <v>0.16086997550992632</v>
      </c>
      <c r="CZ39">
        <v>5.52</v>
      </c>
      <c r="DA39">
        <v>0.5</v>
      </c>
      <c r="DB39" t="s">
        <v>418</v>
      </c>
      <c r="DC39">
        <v>2</v>
      </c>
      <c r="DD39">
        <v>1700240939.5</v>
      </c>
      <c r="DE39">
        <v>258.101</v>
      </c>
      <c r="DF39">
        <v>299.99599999999998</v>
      </c>
      <c r="DG39">
        <v>27.365100000000002</v>
      </c>
      <c r="DH39">
        <v>21.851700000000001</v>
      </c>
      <c r="DI39">
        <v>258.197</v>
      </c>
      <c r="DJ39">
        <v>27.0167</v>
      </c>
      <c r="DK39">
        <v>500.23099999999999</v>
      </c>
      <c r="DL39">
        <v>98.844700000000003</v>
      </c>
      <c r="DM39">
        <v>9.9978700000000004E-2</v>
      </c>
      <c r="DN39">
        <v>29.529699999999998</v>
      </c>
      <c r="DO39">
        <v>29.982800000000001</v>
      </c>
      <c r="DP39">
        <v>999.9</v>
      </c>
      <c r="DQ39">
        <v>0</v>
      </c>
      <c r="DR39">
        <v>0</v>
      </c>
      <c r="DS39">
        <v>10011.9</v>
      </c>
      <c r="DT39">
        <v>0</v>
      </c>
      <c r="DU39">
        <v>275.88600000000002</v>
      </c>
      <c r="DV39">
        <v>-41.895400000000002</v>
      </c>
      <c r="DW39">
        <v>265.36200000000002</v>
      </c>
      <c r="DX39">
        <v>306.69799999999998</v>
      </c>
      <c r="DY39">
        <v>5.5133799999999997</v>
      </c>
      <c r="DZ39">
        <v>299.99599999999998</v>
      </c>
      <c r="EA39">
        <v>21.851700000000001</v>
      </c>
      <c r="EB39">
        <v>2.7048999999999999</v>
      </c>
      <c r="EC39">
        <v>2.1599300000000001</v>
      </c>
      <c r="ED39">
        <v>22.314900000000002</v>
      </c>
      <c r="EE39">
        <v>18.668199999999999</v>
      </c>
      <c r="EF39">
        <v>1799.95</v>
      </c>
      <c r="EG39">
        <v>0.97800699999999996</v>
      </c>
      <c r="EH39">
        <v>2.1993100000000002E-2</v>
      </c>
      <c r="EI39">
        <v>0</v>
      </c>
      <c r="EJ39">
        <v>615.33299999999997</v>
      </c>
      <c r="EK39">
        <v>4.9996700000000001</v>
      </c>
      <c r="EL39">
        <v>12393.8</v>
      </c>
      <c r="EM39">
        <v>15046.4</v>
      </c>
      <c r="EN39">
        <v>49.875</v>
      </c>
      <c r="EO39">
        <v>51.061999999999998</v>
      </c>
      <c r="EP39">
        <v>50.625</v>
      </c>
      <c r="EQ39">
        <v>50.811999999999998</v>
      </c>
      <c r="ER39">
        <v>51.25</v>
      </c>
      <c r="ES39">
        <v>1755.47</v>
      </c>
      <c r="ET39">
        <v>39.479999999999997</v>
      </c>
      <c r="EU39">
        <v>0</v>
      </c>
      <c r="EV39">
        <v>299.40000009536737</v>
      </c>
      <c r="EW39">
        <v>0</v>
      </c>
      <c r="EX39">
        <v>615.3649200000001</v>
      </c>
      <c r="EY39">
        <v>-0.14723076697968979</v>
      </c>
      <c r="EZ39">
        <v>-44.061538427295503</v>
      </c>
      <c r="FA39">
        <v>12397.531999999999</v>
      </c>
      <c r="FB39">
        <v>15</v>
      </c>
      <c r="FC39">
        <v>1700240895.5</v>
      </c>
      <c r="FD39" t="s">
        <v>520</v>
      </c>
      <c r="FE39">
        <v>1700240890</v>
      </c>
      <c r="FF39">
        <v>1700240895.5</v>
      </c>
      <c r="FG39">
        <v>29</v>
      </c>
      <c r="FH39">
        <v>0.17499999999999999</v>
      </c>
      <c r="FI39">
        <v>0.01</v>
      </c>
      <c r="FJ39">
        <v>-9.5000000000000001E-2</v>
      </c>
      <c r="FK39">
        <v>0.27</v>
      </c>
      <c r="FL39">
        <v>300</v>
      </c>
      <c r="FM39">
        <v>22</v>
      </c>
      <c r="FN39">
        <v>0.02</v>
      </c>
      <c r="FO39">
        <v>0.02</v>
      </c>
      <c r="FP39">
        <v>36.621603108629337</v>
      </c>
      <c r="FQ39">
        <v>0.66527927467377557</v>
      </c>
      <c r="FR39">
        <v>6.3789172588393395E-2</v>
      </c>
      <c r="FS39">
        <v>1</v>
      </c>
      <c r="FT39">
        <v>0.3389118396193822</v>
      </c>
      <c r="FU39">
        <v>1.052775996612189E-2</v>
      </c>
      <c r="FV39">
        <v>1.3396260799336439E-3</v>
      </c>
      <c r="FW39">
        <v>1</v>
      </c>
      <c r="FX39">
        <v>2</v>
      </c>
      <c r="FY39">
        <v>2</v>
      </c>
      <c r="FZ39" t="s">
        <v>420</v>
      </c>
      <c r="GA39">
        <v>3.0133899999999998</v>
      </c>
      <c r="GB39">
        <v>2.7771699999999999</v>
      </c>
      <c r="GC39">
        <v>6.1540900000000003E-2</v>
      </c>
      <c r="GD39">
        <v>7.0151400000000003E-2</v>
      </c>
      <c r="GE39">
        <v>0.124206</v>
      </c>
      <c r="GF39">
        <v>0.107392</v>
      </c>
      <c r="GG39">
        <v>22450.6</v>
      </c>
      <c r="GH39">
        <v>22976.799999999999</v>
      </c>
      <c r="GI39">
        <v>23697.3</v>
      </c>
      <c r="GJ39">
        <v>24375.9</v>
      </c>
      <c r="GK39">
        <v>30704.5</v>
      </c>
      <c r="GL39">
        <v>31206.1</v>
      </c>
      <c r="GM39">
        <v>38816.400000000001</v>
      </c>
      <c r="GN39">
        <v>38824.199999999997</v>
      </c>
      <c r="GO39">
        <v>2.0189499999999998</v>
      </c>
      <c r="GP39">
        <v>1.7615499999999999</v>
      </c>
      <c r="GQ39">
        <v>5.3487699999999999E-2</v>
      </c>
      <c r="GR39">
        <v>0</v>
      </c>
      <c r="GS39">
        <v>29.111799999999999</v>
      </c>
      <c r="GT39">
        <v>999.9</v>
      </c>
      <c r="GU39">
        <v>36.9</v>
      </c>
      <c r="GV39">
        <v>40.299999999999997</v>
      </c>
      <c r="GW39">
        <v>28.122800000000002</v>
      </c>
      <c r="GX39">
        <v>61.064100000000003</v>
      </c>
      <c r="GY39">
        <v>30.661100000000001</v>
      </c>
      <c r="GZ39">
        <v>1</v>
      </c>
      <c r="HA39">
        <v>0.71933400000000003</v>
      </c>
      <c r="HB39">
        <v>2.8168099999999998</v>
      </c>
      <c r="HC39">
        <v>20.3018</v>
      </c>
      <c r="HD39">
        <v>5.2449899999999996</v>
      </c>
      <c r="HE39">
        <v>11.997999999999999</v>
      </c>
      <c r="HF39">
        <v>4.9634999999999998</v>
      </c>
      <c r="HG39">
        <v>3.3009300000000001</v>
      </c>
      <c r="HH39">
        <v>9999</v>
      </c>
      <c r="HI39">
        <v>9999</v>
      </c>
      <c r="HJ39">
        <v>9999</v>
      </c>
      <c r="HK39">
        <v>999.9</v>
      </c>
      <c r="HL39">
        <v>1.87514</v>
      </c>
      <c r="HM39">
        <v>1.8804700000000001</v>
      </c>
      <c r="HN39">
        <v>1.88049</v>
      </c>
      <c r="HO39">
        <v>1.87924</v>
      </c>
      <c r="HP39">
        <v>1.8815599999999999</v>
      </c>
      <c r="HQ39">
        <v>1.87744</v>
      </c>
      <c r="HR39">
        <v>1.87523</v>
      </c>
      <c r="HS39">
        <v>1.8824399999999999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-9.6000000000000002E-2</v>
      </c>
      <c r="IH39">
        <v>0.34839999999999999</v>
      </c>
      <c r="II39">
        <v>-0.19271325184625701</v>
      </c>
      <c r="IJ39">
        <v>7.0786345690369205E-4</v>
      </c>
      <c r="IK39">
        <v>-1.387476646623666E-6</v>
      </c>
      <c r="IL39">
        <v>3.6592443641472651E-10</v>
      </c>
      <c r="IM39">
        <v>0.34839138103108819</v>
      </c>
      <c r="IN39">
        <v>0</v>
      </c>
      <c r="IO39">
        <v>0</v>
      </c>
      <c r="IP39">
        <v>0</v>
      </c>
      <c r="IQ39">
        <v>2</v>
      </c>
      <c r="IR39">
        <v>2142</v>
      </c>
      <c r="IS39">
        <v>1</v>
      </c>
      <c r="IT39">
        <v>24</v>
      </c>
      <c r="IU39">
        <v>0.8</v>
      </c>
      <c r="IV39">
        <v>0.7</v>
      </c>
      <c r="IW39">
        <v>0.81176800000000005</v>
      </c>
      <c r="IX39">
        <v>2.6660200000000001</v>
      </c>
      <c r="IY39">
        <v>1.5490699999999999</v>
      </c>
      <c r="IZ39">
        <v>2.36328</v>
      </c>
      <c r="JA39">
        <v>1.5966800000000001</v>
      </c>
      <c r="JB39">
        <v>2.2241200000000001</v>
      </c>
      <c r="JC39">
        <v>44.837699999999998</v>
      </c>
      <c r="JD39">
        <v>23.9999</v>
      </c>
      <c r="JE39">
        <v>18</v>
      </c>
      <c r="JF39">
        <v>537.85299999999995</v>
      </c>
      <c r="JG39">
        <v>436.96899999999999</v>
      </c>
      <c r="JH39">
        <v>25.762499999999999</v>
      </c>
      <c r="JI39">
        <v>35.969200000000001</v>
      </c>
      <c r="JJ39">
        <v>29.997399999999999</v>
      </c>
      <c r="JK39">
        <v>35.9392</v>
      </c>
      <c r="JL39">
        <v>35.924900000000001</v>
      </c>
      <c r="JM39">
        <v>16.237200000000001</v>
      </c>
      <c r="JN39">
        <v>19.3687</v>
      </c>
      <c r="JO39">
        <v>16.3642</v>
      </c>
      <c r="JP39">
        <v>25.976099999999999</v>
      </c>
      <c r="JQ39">
        <v>300</v>
      </c>
      <c r="JR39">
        <v>21.783000000000001</v>
      </c>
      <c r="JS39">
        <v>98.298500000000004</v>
      </c>
      <c r="JT39">
        <v>99.166300000000007</v>
      </c>
    </row>
    <row r="40" spans="1:280" x14ac:dyDescent="0.25">
      <c r="A40">
        <v>24</v>
      </c>
      <c r="B40">
        <v>1700241074</v>
      </c>
      <c r="C40">
        <v>3939.5</v>
      </c>
      <c r="D40" t="s">
        <v>521</v>
      </c>
      <c r="E40" t="s">
        <v>522</v>
      </c>
      <c r="F40" t="s">
        <v>412</v>
      </c>
      <c r="G40" t="s">
        <v>484</v>
      </c>
      <c r="H40" t="s">
        <v>485</v>
      </c>
      <c r="I40">
        <v>1700241074</v>
      </c>
      <c r="J40">
        <f t="shared" si="0"/>
        <v>5.9418998550505578E-3</v>
      </c>
      <c r="K40">
        <f t="shared" si="1"/>
        <v>5.9418998550505577</v>
      </c>
      <c r="L40">
        <f t="shared" si="2"/>
        <v>27.495430377390193</v>
      </c>
      <c r="M40">
        <f t="shared" si="3"/>
        <v>168.53700000000001</v>
      </c>
      <c r="N40">
        <f t="shared" si="4"/>
        <v>49.279244826087606</v>
      </c>
      <c r="O40">
        <f t="shared" si="5"/>
        <v>4.8760513212448373</v>
      </c>
      <c r="P40">
        <f t="shared" si="6"/>
        <v>16.6762917010773</v>
      </c>
      <c r="Q40">
        <f t="shared" si="7"/>
        <v>0.40145952616305286</v>
      </c>
      <c r="R40">
        <f t="shared" si="8"/>
        <v>3.0035960705303468</v>
      </c>
      <c r="S40">
        <f t="shared" si="9"/>
        <v>0.37385449411146465</v>
      </c>
      <c r="T40">
        <f t="shared" si="10"/>
        <v>0.23598089275728931</v>
      </c>
      <c r="U40">
        <f t="shared" si="11"/>
        <v>289.60100441902904</v>
      </c>
      <c r="V40">
        <f t="shared" si="12"/>
        <v>29.753328456474769</v>
      </c>
      <c r="W40">
        <f t="shared" si="13"/>
        <v>29.916399999999999</v>
      </c>
      <c r="X40">
        <f t="shared" si="14"/>
        <v>4.2400342102028645</v>
      </c>
      <c r="Y40">
        <f t="shared" si="15"/>
        <v>65.414333429575791</v>
      </c>
      <c r="Z40">
        <f t="shared" si="16"/>
        <v>2.7227345849192996</v>
      </c>
      <c r="AA40">
        <f t="shared" si="17"/>
        <v>4.162290498382224</v>
      </c>
      <c r="AB40">
        <f t="shared" si="18"/>
        <v>1.5172996252835649</v>
      </c>
      <c r="AC40">
        <f t="shared" si="19"/>
        <v>-262.03778360772958</v>
      </c>
      <c r="AD40">
        <f t="shared" si="20"/>
        <v>-52.076646627585369</v>
      </c>
      <c r="AE40">
        <f t="shared" si="21"/>
        <v>-3.8458236743319736</v>
      </c>
      <c r="AF40">
        <f t="shared" si="22"/>
        <v>-28.359249490617906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51869.251679182955</v>
      </c>
      <c r="AL40" t="s">
        <v>446</v>
      </c>
      <c r="AM40" t="s">
        <v>446</v>
      </c>
      <c r="AN40">
        <v>0</v>
      </c>
      <c r="AO40">
        <v>0</v>
      </c>
      <c r="AP40" t="e">
        <f t="shared" si="26"/>
        <v>#DIV/0!</v>
      </c>
      <c r="AQ40">
        <v>0</v>
      </c>
      <c r="AR40" t="s">
        <v>446</v>
      </c>
      <c r="AS40" t="s">
        <v>446</v>
      </c>
      <c r="AT40">
        <v>0</v>
      </c>
      <c r="AU40">
        <v>0</v>
      </c>
      <c r="AV40" t="e">
        <f t="shared" si="27"/>
        <v>#DIV/0!</v>
      </c>
      <c r="AW40">
        <v>0.5</v>
      </c>
      <c r="AX40">
        <f t="shared" si="28"/>
        <v>1513.3692002171135</v>
      </c>
      <c r="AY40">
        <f t="shared" si="29"/>
        <v>27.495430377390193</v>
      </c>
      <c r="AZ40" t="e">
        <f t="shared" si="30"/>
        <v>#DIV/0!</v>
      </c>
      <c r="BA40">
        <f t="shared" si="31"/>
        <v>1.8168355992341852E-2</v>
      </c>
      <c r="BB40" t="e">
        <f t="shared" si="32"/>
        <v>#DIV/0!</v>
      </c>
      <c r="BC40" t="e">
        <f t="shared" si="33"/>
        <v>#DIV/0!</v>
      </c>
      <c r="BD40" t="s">
        <v>446</v>
      </c>
      <c r="BE40">
        <v>0</v>
      </c>
      <c r="BF40" t="e">
        <f t="shared" si="34"/>
        <v>#DIV/0!</v>
      </c>
      <c r="BG40" t="e">
        <f t="shared" si="35"/>
        <v>#DIV/0!</v>
      </c>
      <c r="BH40" t="e">
        <f t="shared" si="36"/>
        <v>#DIV/0!</v>
      </c>
      <c r="BI40" t="e">
        <f t="shared" si="37"/>
        <v>#DIV/0!</v>
      </c>
      <c r="BJ40" t="e">
        <f t="shared" si="38"/>
        <v>#DIV/0!</v>
      </c>
      <c r="BK40" t="e">
        <f t="shared" si="39"/>
        <v>#DIV/0!</v>
      </c>
      <c r="BL40" t="e">
        <f t="shared" si="40"/>
        <v>#DIV/0!</v>
      </c>
      <c r="BM40" t="e">
        <f t="shared" si="41"/>
        <v>#DIV/0!</v>
      </c>
      <c r="BN40">
        <v>34551</v>
      </c>
      <c r="BO40">
        <v>290.00000000000011</v>
      </c>
      <c r="BP40">
        <v>778.37</v>
      </c>
      <c r="BQ40">
        <v>295</v>
      </c>
      <c r="BR40">
        <v>7099.15</v>
      </c>
      <c r="BS40">
        <v>780.18</v>
      </c>
      <c r="BT40">
        <v>-1.81</v>
      </c>
      <c r="BU40">
        <v>300.00000000000011</v>
      </c>
      <c r="BV40">
        <v>38.299999999999997</v>
      </c>
      <c r="BW40">
        <v>843.18233974369275</v>
      </c>
      <c r="BX40">
        <v>1.2535982557102729</v>
      </c>
      <c r="BY40">
        <v>-44.72837391244795</v>
      </c>
      <c r="BZ40">
        <v>0.7460832632040042</v>
      </c>
      <c r="CA40">
        <v>0.9922697037371554</v>
      </c>
      <c r="CB40">
        <v>-6.9983875417130121E-3</v>
      </c>
      <c r="CC40">
        <v>289.99999999999989</v>
      </c>
      <c r="CD40">
        <v>786.62</v>
      </c>
      <c r="CE40">
        <v>895</v>
      </c>
      <c r="CF40">
        <v>7092.3</v>
      </c>
      <c r="CG40">
        <v>780.12</v>
      </c>
      <c r="CH40">
        <v>6.5</v>
      </c>
      <c r="CV40">
        <f t="shared" si="42"/>
        <v>1800.22</v>
      </c>
      <c r="CW40">
        <f t="shared" si="43"/>
        <v>1513.3692002171135</v>
      </c>
      <c r="CX40">
        <f t="shared" si="44"/>
        <v>0.8406579197082098</v>
      </c>
      <c r="CY40">
        <f t="shared" si="45"/>
        <v>0.16086978503684496</v>
      </c>
      <c r="CZ40">
        <v>5.52</v>
      </c>
      <c r="DA40">
        <v>0.5</v>
      </c>
      <c r="DB40" t="s">
        <v>418</v>
      </c>
      <c r="DC40">
        <v>2</v>
      </c>
      <c r="DD40">
        <v>1700241074</v>
      </c>
      <c r="DE40">
        <v>168.53700000000001</v>
      </c>
      <c r="DF40">
        <v>199.982</v>
      </c>
      <c r="DG40">
        <v>27.516999999999999</v>
      </c>
      <c r="DH40">
        <v>21.140799999999999</v>
      </c>
      <c r="DI40">
        <v>168.68299999999999</v>
      </c>
      <c r="DJ40">
        <v>27.167100000000001</v>
      </c>
      <c r="DK40">
        <v>500.24700000000001</v>
      </c>
      <c r="DL40">
        <v>98.847499999999997</v>
      </c>
      <c r="DM40">
        <v>9.9862900000000004E-2</v>
      </c>
      <c r="DN40">
        <v>29.594799999999999</v>
      </c>
      <c r="DO40">
        <v>29.916399999999999</v>
      </c>
      <c r="DP40">
        <v>999.9</v>
      </c>
      <c r="DQ40">
        <v>0</v>
      </c>
      <c r="DR40">
        <v>0</v>
      </c>
      <c r="DS40">
        <v>10010</v>
      </c>
      <c r="DT40">
        <v>0</v>
      </c>
      <c r="DU40">
        <v>276.84699999999998</v>
      </c>
      <c r="DV40">
        <v>-31.4451</v>
      </c>
      <c r="DW40">
        <v>173.30600000000001</v>
      </c>
      <c r="DX40">
        <v>204.30099999999999</v>
      </c>
      <c r="DY40">
        <v>6.3761799999999997</v>
      </c>
      <c r="DZ40">
        <v>199.982</v>
      </c>
      <c r="EA40">
        <v>21.140799999999999</v>
      </c>
      <c r="EB40">
        <v>2.7199800000000001</v>
      </c>
      <c r="EC40">
        <v>2.0897100000000002</v>
      </c>
      <c r="ED40">
        <v>22.406300000000002</v>
      </c>
      <c r="EE40">
        <v>18.140999999999998</v>
      </c>
      <c r="EF40">
        <v>1800.22</v>
      </c>
      <c r="EG40">
        <v>0.97801000000000005</v>
      </c>
      <c r="EH40">
        <v>2.1989600000000002E-2</v>
      </c>
      <c r="EI40">
        <v>0</v>
      </c>
      <c r="EJ40">
        <v>629.95799999999997</v>
      </c>
      <c r="EK40">
        <v>4.9996700000000001</v>
      </c>
      <c r="EL40">
        <v>12612.7</v>
      </c>
      <c r="EM40">
        <v>15048.7</v>
      </c>
      <c r="EN40">
        <v>49.875</v>
      </c>
      <c r="EO40">
        <v>51.061999999999998</v>
      </c>
      <c r="EP40">
        <v>50.686999999999998</v>
      </c>
      <c r="EQ40">
        <v>50.875</v>
      </c>
      <c r="ER40">
        <v>51.25</v>
      </c>
      <c r="ES40">
        <v>1755.74</v>
      </c>
      <c r="ET40">
        <v>39.479999999999997</v>
      </c>
      <c r="EU40">
        <v>0</v>
      </c>
      <c r="EV40">
        <v>132.5999999046326</v>
      </c>
      <c r="EW40">
        <v>0</v>
      </c>
      <c r="EX40">
        <v>629.80084615384624</v>
      </c>
      <c r="EY40">
        <v>-2.1195213660741019</v>
      </c>
      <c r="EZ40">
        <v>-45.442734909992673</v>
      </c>
      <c r="FA40">
        <v>12615.030769230771</v>
      </c>
      <c r="FB40">
        <v>15</v>
      </c>
      <c r="FC40">
        <v>1700241019.5</v>
      </c>
      <c r="FD40" t="s">
        <v>523</v>
      </c>
      <c r="FE40">
        <v>1700241009.5</v>
      </c>
      <c r="FF40">
        <v>1700241019.5</v>
      </c>
      <c r="FG40">
        <v>30</v>
      </c>
      <c r="FH40">
        <v>-3.5000000000000003E-2</v>
      </c>
      <c r="FI40">
        <v>1E-3</v>
      </c>
      <c r="FJ40">
        <v>-0.13900000000000001</v>
      </c>
      <c r="FK40">
        <v>0.26500000000000001</v>
      </c>
      <c r="FL40">
        <v>200</v>
      </c>
      <c r="FM40">
        <v>22</v>
      </c>
      <c r="FN40">
        <v>0.03</v>
      </c>
      <c r="FO40">
        <v>0.02</v>
      </c>
      <c r="FP40">
        <v>27.379770816007781</v>
      </c>
      <c r="FQ40">
        <v>0.66282267935441186</v>
      </c>
      <c r="FR40">
        <v>7.4388241911297989E-2</v>
      </c>
      <c r="FS40">
        <v>1</v>
      </c>
      <c r="FT40">
        <v>0.40073866218014598</v>
      </c>
      <c r="FU40">
        <v>3.681861383861091E-2</v>
      </c>
      <c r="FV40">
        <v>3.8480236834243699E-3</v>
      </c>
      <c r="FW40">
        <v>1</v>
      </c>
      <c r="FX40">
        <v>2</v>
      </c>
      <c r="FY40">
        <v>2</v>
      </c>
      <c r="FZ40" t="s">
        <v>420</v>
      </c>
      <c r="GA40">
        <v>3.0134300000000001</v>
      </c>
      <c r="GB40">
        <v>2.77704</v>
      </c>
      <c r="GC40">
        <v>4.2455600000000003E-2</v>
      </c>
      <c r="GD40">
        <v>4.9768E-2</v>
      </c>
      <c r="GE40">
        <v>0.124682</v>
      </c>
      <c r="GF40">
        <v>0.104936</v>
      </c>
      <c r="GG40">
        <v>22906.6</v>
      </c>
      <c r="GH40">
        <v>23480.799999999999</v>
      </c>
      <c r="GI40">
        <v>23697.5</v>
      </c>
      <c r="GJ40">
        <v>24376.9</v>
      </c>
      <c r="GK40">
        <v>30688.799999999999</v>
      </c>
      <c r="GL40">
        <v>31292.9</v>
      </c>
      <c r="GM40">
        <v>38817.300000000003</v>
      </c>
      <c r="GN40">
        <v>38825.199999999997</v>
      </c>
      <c r="GO40">
        <v>2.01938</v>
      </c>
      <c r="GP40">
        <v>1.7593300000000001</v>
      </c>
      <c r="GQ40">
        <v>4.36753E-2</v>
      </c>
      <c r="GR40">
        <v>0</v>
      </c>
      <c r="GS40">
        <v>29.205100000000002</v>
      </c>
      <c r="GT40">
        <v>999.9</v>
      </c>
      <c r="GU40">
        <v>36.200000000000003</v>
      </c>
      <c r="GV40">
        <v>40.4</v>
      </c>
      <c r="GW40">
        <v>27.732600000000001</v>
      </c>
      <c r="GX40">
        <v>60.9741</v>
      </c>
      <c r="GY40">
        <v>30.652999999999999</v>
      </c>
      <c r="GZ40">
        <v>1</v>
      </c>
      <c r="HA40">
        <v>0.717947</v>
      </c>
      <c r="HB40">
        <v>2.9306299999999998</v>
      </c>
      <c r="HC40">
        <v>20.3004</v>
      </c>
      <c r="HD40">
        <v>5.2418500000000003</v>
      </c>
      <c r="HE40">
        <v>11.998100000000001</v>
      </c>
      <c r="HF40">
        <v>4.9638</v>
      </c>
      <c r="HG40">
        <v>3.30098</v>
      </c>
      <c r="HH40">
        <v>9999</v>
      </c>
      <c r="HI40">
        <v>9999</v>
      </c>
      <c r="HJ40">
        <v>9999</v>
      </c>
      <c r="HK40">
        <v>999.9</v>
      </c>
      <c r="HL40">
        <v>1.8751199999999999</v>
      </c>
      <c r="HM40">
        <v>1.88039</v>
      </c>
      <c r="HN40">
        <v>1.88049</v>
      </c>
      <c r="HO40">
        <v>1.8792</v>
      </c>
      <c r="HP40">
        <v>1.8815500000000001</v>
      </c>
      <c r="HQ40">
        <v>1.87744</v>
      </c>
      <c r="HR40">
        <v>1.8751899999999999</v>
      </c>
      <c r="HS40">
        <v>1.8824000000000001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-0.14599999999999999</v>
      </c>
      <c r="IH40">
        <v>0.34989999999999999</v>
      </c>
      <c r="II40">
        <v>-0.22768429351811839</v>
      </c>
      <c r="IJ40">
        <v>7.0786345690369205E-4</v>
      </c>
      <c r="IK40">
        <v>-1.387476646623666E-6</v>
      </c>
      <c r="IL40">
        <v>3.6592443641472651E-10</v>
      </c>
      <c r="IM40">
        <v>0.34980922176726692</v>
      </c>
      <c r="IN40">
        <v>0</v>
      </c>
      <c r="IO40">
        <v>0</v>
      </c>
      <c r="IP40">
        <v>0</v>
      </c>
      <c r="IQ40">
        <v>2</v>
      </c>
      <c r="IR40">
        <v>2142</v>
      </c>
      <c r="IS40">
        <v>1</v>
      </c>
      <c r="IT40">
        <v>24</v>
      </c>
      <c r="IU40">
        <v>1.1000000000000001</v>
      </c>
      <c r="IV40">
        <v>0.9</v>
      </c>
      <c r="IW40">
        <v>0.59570299999999998</v>
      </c>
      <c r="IX40">
        <v>2.6721200000000001</v>
      </c>
      <c r="IY40">
        <v>1.5490699999999999</v>
      </c>
      <c r="IZ40">
        <v>2.3645</v>
      </c>
      <c r="JA40">
        <v>1.5966800000000001</v>
      </c>
      <c r="JB40">
        <v>2.3278799999999999</v>
      </c>
      <c r="JC40">
        <v>44.893999999999998</v>
      </c>
      <c r="JD40">
        <v>24.017499999999998</v>
      </c>
      <c r="JE40">
        <v>18</v>
      </c>
      <c r="JF40">
        <v>538.29</v>
      </c>
      <c r="JG40">
        <v>435.69600000000003</v>
      </c>
      <c r="JH40">
        <v>26.171900000000001</v>
      </c>
      <c r="JI40">
        <v>35.985900000000001</v>
      </c>
      <c r="JJ40">
        <v>29.999500000000001</v>
      </c>
      <c r="JK40">
        <v>35.958300000000001</v>
      </c>
      <c r="JL40">
        <v>35.944899999999997</v>
      </c>
      <c r="JM40">
        <v>11.9201</v>
      </c>
      <c r="JN40">
        <v>20.8081</v>
      </c>
      <c r="JO40">
        <v>14.834300000000001</v>
      </c>
      <c r="JP40">
        <v>26.258099999999999</v>
      </c>
      <c r="JQ40">
        <v>200</v>
      </c>
      <c r="JR40">
        <v>21.073</v>
      </c>
      <c r="JS40">
        <v>98.300299999999993</v>
      </c>
      <c r="JT40">
        <v>99.169499999999999</v>
      </c>
    </row>
    <row r="41" spans="1:280" x14ac:dyDescent="0.25">
      <c r="A41">
        <v>25</v>
      </c>
      <c r="B41">
        <v>1700241177</v>
      </c>
      <c r="C41">
        <v>4042.5</v>
      </c>
      <c r="D41" t="s">
        <v>524</v>
      </c>
      <c r="E41" t="s">
        <v>525</v>
      </c>
      <c r="F41" t="s">
        <v>412</v>
      </c>
      <c r="G41" t="s">
        <v>484</v>
      </c>
      <c r="H41" t="s">
        <v>485</v>
      </c>
      <c r="I41">
        <v>1700241177</v>
      </c>
      <c r="J41">
        <f t="shared" si="0"/>
        <v>6.4927702385536318E-3</v>
      </c>
      <c r="K41">
        <f t="shared" si="1"/>
        <v>6.4927702385536321</v>
      </c>
      <c r="L41">
        <f t="shared" si="2"/>
        <v>17.778500430201685</v>
      </c>
      <c r="M41">
        <f t="shared" si="3"/>
        <v>99.668599999999998</v>
      </c>
      <c r="N41">
        <f t="shared" si="4"/>
        <v>30.06523080041357</v>
      </c>
      <c r="O41">
        <f t="shared" si="5"/>
        <v>2.9748212123240454</v>
      </c>
      <c r="P41">
        <f t="shared" si="6"/>
        <v>9.8617658201566787</v>
      </c>
      <c r="Q41">
        <f t="shared" si="7"/>
        <v>0.44789148969891451</v>
      </c>
      <c r="R41">
        <f t="shared" si="8"/>
        <v>3.0024221777859812</v>
      </c>
      <c r="S41">
        <f t="shared" si="9"/>
        <v>0.41380984347547006</v>
      </c>
      <c r="T41">
        <f t="shared" si="10"/>
        <v>0.26147680230524051</v>
      </c>
      <c r="U41">
        <f t="shared" si="11"/>
        <v>289.55950841908952</v>
      </c>
      <c r="V41">
        <f t="shared" si="12"/>
        <v>29.823771735655004</v>
      </c>
      <c r="W41">
        <f t="shared" si="13"/>
        <v>29.9983</v>
      </c>
      <c r="X41">
        <f t="shared" si="14"/>
        <v>4.260033771659546</v>
      </c>
      <c r="Y41">
        <f t="shared" si="15"/>
        <v>65.574226140653337</v>
      </c>
      <c r="Z41">
        <f t="shared" si="16"/>
        <v>2.7626491923034195</v>
      </c>
      <c r="AA41">
        <f t="shared" si="17"/>
        <v>4.2130107435468309</v>
      </c>
      <c r="AB41">
        <f t="shared" si="18"/>
        <v>1.4973845793561265</v>
      </c>
      <c r="AC41">
        <f t="shared" si="19"/>
        <v>-286.33116752021516</v>
      </c>
      <c r="AD41">
        <f t="shared" si="20"/>
        <v>-31.256437457063054</v>
      </c>
      <c r="AE41">
        <f t="shared" si="21"/>
        <v>-2.312513711388466</v>
      </c>
      <c r="AF41">
        <f t="shared" si="22"/>
        <v>-30.340610269577166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51801.480383626207</v>
      </c>
      <c r="AL41" t="s">
        <v>415</v>
      </c>
      <c r="AM41">
        <v>10238.9</v>
      </c>
      <c r="AN41">
        <v>302.21199999999999</v>
      </c>
      <c r="AO41">
        <v>4052.3</v>
      </c>
      <c r="AP41">
        <f t="shared" si="26"/>
        <v>0.92542210596451402</v>
      </c>
      <c r="AQ41">
        <v>-0.32343011824092421</v>
      </c>
      <c r="AR41" t="s">
        <v>526</v>
      </c>
      <c r="AS41">
        <v>7098.85</v>
      </c>
      <c r="AT41">
        <v>650.82757692307689</v>
      </c>
      <c r="AU41">
        <v>774.25729233670631</v>
      </c>
      <c r="AV41">
        <f t="shared" si="27"/>
        <v>0.1594169233345144</v>
      </c>
      <c r="AW41">
        <v>0.5</v>
      </c>
      <c r="AX41">
        <f t="shared" si="28"/>
        <v>1513.1508002171447</v>
      </c>
      <c r="AY41">
        <f t="shared" si="29"/>
        <v>17.778500430201685</v>
      </c>
      <c r="AZ41">
        <f t="shared" si="30"/>
        <v>120.61092255588784</v>
      </c>
      <c r="BA41">
        <f t="shared" si="31"/>
        <v>1.1963071060627198E-2</v>
      </c>
      <c r="BB41">
        <f t="shared" si="32"/>
        <v>4.2337899043484244</v>
      </c>
      <c r="BC41">
        <f t="shared" si="33"/>
        <v>229.68851080439796</v>
      </c>
      <c r="BD41" t="s">
        <v>527</v>
      </c>
      <c r="BE41">
        <v>458.25</v>
      </c>
      <c r="BF41">
        <f t="shared" si="34"/>
        <v>458.25</v>
      </c>
      <c r="BG41">
        <f t="shared" si="35"/>
        <v>0.40814248114215002</v>
      </c>
      <c r="BH41">
        <f t="shared" si="36"/>
        <v>0.39059135155056757</v>
      </c>
      <c r="BI41">
        <f t="shared" si="37"/>
        <v>0.9120748758818864</v>
      </c>
      <c r="BJ41">
        <f t="shared" si="38"/>
        <v>0.26147854330382336</v>
      </c>
      <c r="BK41">
        <f t="shared" si="39"/>
        <v>0.87412420926210099</v>
      </c>
      <c r="BL41">
        <f t="shared" si="40"/>
        <v>0.27501675281532012</v>
      </c>
      <c r="BM41">
        <f t="shared" si="41"/>
        <v>0.72498324718467988</v>
      </c>
      <c r="BN41">
        <v>34553</v>
      </c>
      <c r="BO41">
        <v>290.00000000000011</v>
      </c>
      <c r="BP41">
        <v>744.11</v>
      </c>
      <c r="BQ41">
        <v>285</v>
      </c>
      <c r="BR41">
        <v>7098.85</v>
      </c>
      <c r="BS41">
        <v>744.86</v>
      </c>
      <c r="BT41">
        <v>-0.75</v>
      </c>
      <c r="BU41">
        <v>300.00000000000011</v>
      </c>
      <c r="BV41">
        <v>38.299999999999997</v>
      </c>
      <c r="BW41">
        <v>774.25729233670631</v>
      </c>
      <c r="BX41">
        <v>1.218553527190319</v>
      </c>
      <c r="BY41">
        <v>-20.871741975732512</v>
      </c>
      <c r="BZ41">
        <v>0.72519828166756506</v>
      </c>
      <c r="CA41">
        <v>0.96730235933911879</v>
      </c>
      <c r="CB41">
        <v>-6.9979826473859806E-3</v>
      </c>
      <c r="CC41">
        <v>289.99999999999989</v>
      </c>
      <c r="CD41">
        <v>748.56</v>
      </c>
      <c r="CE41">
        <v>765</v>
      </c>
      <c r="CF41">
        <v>7093.6</v>
      </c>
      <c r="CG41">
        <v>744.83</v>
      </c>
      <c r="CH41">
        <v>3.73</v>
      </c>
      <c r="CV41">
        <f t="shared" si="42"/>
        <v>1799.96</v>
      </c>
      <c r="CW41">
        <f t="shared" si="43"/>
        <v>1513.1508002171447</v>
      </c>
      <c r="CX41">
        <f t="shared" si="44"/>
        <v>0.8406580147431858</v>
      </c>
      <c r="CY41">
        <f t="shared" si="45"/>
        <v>0.16086996845434873</v>
      </c>
      <c r="CZ41">
        <v>5.52</v>
      </c>
      <c r="DA41">
        <v>0.5</v>
      </c>
      <c r="DB41" t="s">
        <v>418</v>
      </c>
      <c r="DC41">
        <v>2</v>
      </c>
      <c r="DD41">
        <v>1700241177</v>
      </c>
      <c r="DE41">
        <v>99.668599999999998</v>
      </c>
      <c r="DF41">
        <v>120.005</v>
      </c>
      <c r="DG41">
        <v>27.9209</v>
      </c>
      <c r="DH41">
        <v>20.954899999999999</v>
      </c>
      <c r="DI41">
        <v>99.822100000000006</v>
      </c>
      <c r="DJ41">
        <v>27.566800000000001</v>
      </c>
      <c r="DK41">
        <v>500.13499999999999</v>
      </c>
      <c r="DL41">
        <v>98.845699999999994</v>
      </c>
      <c r="DM41">
        <v>9.9863800000000003E-2</v>
      </c>
      <c r="DN41">
        <v>29.805199999999999</v>
      </c>
      <c r="DO41">
        <v>29.9983</v>
      </c>
      <c r="DP41">
        <v>999.9</v>
      </c>
      <c r="DQ41">
        <v>0</v>
      </c>
      <c r="DR41">
        <v>0</v>
      </c>
      <c r="DS41">
        <v>10003.799999999999</v>
      </c>
      <c r="DT41">
        <v>0</v>
      </c>
      <c r="DU41">
        <v>134.37899999999999</v>
      </c>
      <c r="DV41">
        <v>-20.336600000000001</v>
      </c>
      <c r="DW41">
        <v>102.53100000000001</v>
      </c>
      <c r="DX41">
        <v>122.574</v>
      </c>
      <c r="DY41">
        <v>6.9659399999999998</v>
      </c>
      <c r="DZ41">
        <v>120.005</v>
      </c>
      <c r="EA41">
        <v>20.954899999999999</v>
      </c>
      <c r="EB41">
        <v>2.7598600000000002</v>
      </c>
      <c r="EC41">
        <v>2.0712999999999999</v>
      </c>
      <c r="ED41">
        <v>22.645900000000001</v>
      </c>
      <c r="EE41">
        <v>18.0002</v>
      </c>
      <c r="EF41">
        <v>1799.96</v>
      </c>
      <c r="EG41">
        <v>0.97800699999999996</v>
      </c>
      <c r="EH41">
        <v>2.1993100000000002E-2</v>
      </c>
      <c r="EI41">
        <v>0</v>
      </c>
      <c r="EJ41">
        <v>650.851</v>
      </c>
      <c r="EK41">
        <v>4.9996700000000001</v>
      </c>
      <c r="EL41">
        <v>12943.4</v>
      </c>
      <c r="EM41">
        <v>15046.5</v>
      </c>
      <c r="EN41">
        <v>49.875</v>
      </c>
      <c r="EO41">
        <v>51.061999999999998</v>
      </c>
      <c r="EP41">
        <v>50.625</v>
      </c>
      <c r="EQ41">
        <v>50.875</v>
      </c>
      <c r="ER41">
        <v>51.311999999999998</v>
      </c>
      <c r="ES41">
        <v>1755.48</v>
      </c>
      <c r="ET41">
        <v>39.479999999999997</v>
      </c>
      <c r="EU41">
        <v>0</v>
      </c>
      <c r="EV41">
        <v>235.79999995231631</v>
      </c>
      <c r="EW41">
        <v>0</v>
      </c>
      <c r="EX41">
        <v>650.82757692307689</v>
      </c>
      <c r="EY41">
        <v>-1.285025643333527</v>
      </c>
      <c r="EZ41">
        <v>-51.107692399492038</v>
      </c>
      <c r="FA41">
        <v>12950.619230769231</v>
      </c>
      <c r="FB41">
        <v>15</v>
      </c>
      <c r="FC41">
        <v>1700241145</v>
      </c>
      <c r="FD41" t="s">
        <v>528</v>
      </c>
      <c r="FE41">
        <v>1700241135</v>
      </c>
      <c r="FF41">
        <v>1700241145</v>
      </c>
      <c r="FG41">
        <v>31</v>
      </c>
      <c r="FH41">
        <v>1.7000000000000001E-2</v>
      </c>
      <c r="FI41">
        <v>4.0000000000000001E-3</v>
      </c>
      <c r="FJ41">
        <v>-0.14499999999999999</v>
      </c>
      <c r="FK41">
        <v>0.25</v>
      </c>
      <c r="FL41">
        <v>120</v>
      </c>
      <c r="FM41">
        <v>21</v>
      </c>
      <c r="FN41">
        <v>0.04</v>
      </c>
      <c r="FO41">
        <v>0.01</v>
      </c>
      <c r="FP41">
        <v>17.752019047829691</v>
      </c>
      <c r="FQ41">
        <v>-0.3333356534384071</v>
      </c>
      <c r="FR41">
        <v>4.2287691691814247E-2</v>
      </c>
      <c r="FS41">
        <v>1</v>
      </c>
      <c r="FT41">
        <v>0.45133991580756022</v>
      </c>
      <c r="FU41">
        <v>2.4047456704321912E-2</v>
      </c>
      <c r="FV41">
        <v>5.6448556020166404E-3</v>
      </c>
      <c r="FW41">
        <v>1</v>
      </c>
      <c r="FX41">
        <v>2</v>
      </c>
      <c r="FY41">
        <v>2</v>
      </c>
      <c r="FZ41" t="s">
        <v>420</v>
      </c>
      <c r="GA41">
        <v>3.0131600000000001</v>
      </c>
      <c r="GB41">
        <v>2.77698</v>
      </c>
      <c r="GC41">
        <v>2.6083200000000001E-2</v>
      </c>
      <c r="GD41">
        <v>3.1294299999999997E-2</v>
      </c>
      <c r="GE41">
        <v>0.12593699999999999</v>
      </c>
      <c r="GF41">
        <v>0.104282</v>
      </c>
      <c r="GG41">
        <v>23297</v>
      </c>
      <c r="GH41">
        <v>23935.8</v>
      </c>
      <c r="GI41">
        <v>23697.200000000001</v>
      </c>
      <c r="GJ41">
        <v>24376.3</v>
      </c>
      <c r="GK41">
        <v>30644.400000000001</v>
      </c>
      <c r="GL41">
        <v>31315.200000000001</v>
      </c>
      <c r="GM41">
        <v>38816.6</v>
      </c>
      <c r="GN41">
        <v>38824.400000000001</v>
      </c>
      <c r="GO41">
        <v>2.01925</v>
      </c>
      <c r="GP41">
        <v>1.75783</v>
      </c>
      <c r="GQ41">
        <v>4.1797800000000003E-2</v>
      </c>
      <c r="GR41">
        <v>0</v>
      </c>
      <c r="GS41">
        <v>29.317699999999999</v>
      </c>
      <c r="GT41">
        <v>999.9</v>
      </c>
      <c r="GU41">
        <v>35.700000000000003</v>
      </c>
      <c r="GV41">
        <v>40.5</v>
      </c>
      <c r="GW41">
        <v>27.499600000000001</v>
      </c>
      <c r="GX41">
        <v>60.9041</v>
      </c>
      <c r="GY41">
        <v>30.8293</v>
      </c>
      <c r="GZ41">
        <v>1</v>
      </c>
      <c r="HA41">
        <v>0.71975900000000004</v>
      </c>
      <c r="HB41">
        <v>3.0645699999999998</v>
      </c>
      <c r="HC41">
        <v>20.297899999999998</v>
      </c>
      <c r="HD41">
        <v>5.2413999999999996</v>
      </c>
      <c r="HE41">
        <v>11.997999999999999</v>
      </c>
      <c r="HF41">
        <v>4.9637000000000002</v>
      </c>
      <c r="HG41">
        <v>3.3008999999999999</v>
      </c>
      <c r="HH41">
        <v>9999</v>
      </c>
      <c r="HI41">
        <v>9999</v>
      </c>
      <c r="HJ41">
        <v>9999</v>
      </c>
      <c r="HK41">
        <v>999.9</v>
      </c>
      <c r="HL41">
        <v>1.8751</v>
      </c>
      <c r="HM41">
        <v>1.88043</v>
      </c>
      <c r="HN41">
        <v>1.88049</v>
      </c>
      <c r="HO41">
        <v>1.87924</v>
      </c>
      <c r="HP41">
        <v>1.88154</v>
      </c>
      <c r="HQ41">
        <v>1.8774500000000001</v>
      </c>
      <c r="HR41">
        <v>1.8752</v>
      </c>
      <c r="HS41">
        <v>1.88239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-0.154</v>
      </c>
      <c r="IH41">
        <v>0.35410000000000003</v>
      </c>
      <c r="II41">
        <v>-0.21069851864544409</v>
      </c>
      <c r="IJ41">
        <v>7.0786345690369205E-4</v>
      </c>
      <c r="IK41">
        <v>-1.387476646623666E-6</v>
      </c>
      <c r="IL41">
        <v>3.6592443641472651E-10</v>
      </c>
      <c r="IM41">
        <v>0.35408254968761982</v>
      </c>
      <c r="IN41">
        <v>0</v>
      </c>
      <c r="IO41">
        <v>0</v>
      </c>
      <c r="IP41">
        <v>0</v>
      </c>
      <c r="IQ41">
        <v>2</v>
      </c>
      <c r="IR41">
        <v>2142</v>
      </c>
      <c r="IS41">
        <v>1</v>
      </c>
      <c r="IT41">
        <v>24</v>
      </c>
      <c r="IU41">
        <v>0.7</v>
      </c>
      <c r="IV41">
        <v>0.5</v>
      </c>
      <c r="IW41">
        <v>0.41870099999999999</v>
      </c>
      <c r="IX41">
        <v>2.6940900000000001</v>
      </c>
      <c r="IY41">
        <v>1.5490699999999999</v>
      </c>
      <c r="IZ41">
        <v>2.36328</v>
      </c>
      <c r="JA41">
        <v>1.5966800000000001</v>
      </c>
      <c r="JB41">
        <v>2.2155800000000001</v>
      </c>
      <c r="JC41">
        <v>44.922199999999997</v>
      </c>
      <c r="JD41">
        <v>24.017499999999998</v>
      </c>
      <c r="JE41">
        <v>18</v>
      </c>
      <c r="JF41">
        <v>538.34699999999998</v>
      </c>
      <c r="JG41">
        <v>434.86099999999999</v>
      </c>
      <c r="JH41">
        <v>26.361000000000001</v>
      </c>
      <c r="JI41">
        <v>35.999200000000002</v>
      </c>
      <c r="JJ41">
        <v>29.9985</v>
      </c>
      <c r="JK41">
        <v>35.975999999999999</v>
      </c>
      <c r="JL41">
        <v>35.961599999999997</v>
      </c>
      <c r="JM41">
        <v>8.3629099999999994</v>
      </c>
      <c r="JN41">
        <v>20.997699999999998</v>
      </c>
      <c r="JO41">
        <v>13.7188</v>
      </c>
      <c r="JP41">
        <v>26.388400000000001</v>
      </c>
      <c r="JQ41">
        <v>120</v>
      </c>
      <c r="JR41">
        <v>20.8294</v>
      </c>
      <c r="JS41">
        <v>98.298599999999993</v>
      </c>
      <c r="JT41">
        <v>99.167199999999994</v>
      </c>
    </row>
    <row r="42" spans="1:280" x14ac:dyDescent="0.25">
      <c r="A42">
        <v>26</v>
      </c>
      <c r="B42">
        <v>1700241290.5</v>
      </c>
      <c r="C42">
        <v>4156</v>
      </c>
      <c r="D42" t="s">
        <v>529</v>
      </c>
      <c r="E42" t="s">
        <v>530</v>
      </c>
      <c r="F42" t="s">
        <v>412</v>
      </c>
      <c r="G42" t="s">
        <v>484</v>
      </c>
      <c r="H42" t="s">
        <v>485</v>
      </c>
      <c r="I42">
        <v>1700241290.5</v>
      </c>
      <c r="J42">
        <f t="shared" si="0"/>
        <v>6.8934551067443032E-3</v>
      </c>
      <c r="K42">
        <f t="shared" si="1"/>
        <v>6.8934551067443035</v>
      </c>
      <c r="L42">
        <f t="shared" si="2"/>
        <v>10.867045228716847</v>
      </c>
      <c r="M42">
        <f t="shared" si="3"/>
        <v>57.597000000000001</v>
      </c>
      <c r="N42">
        <f t="shared" si="4"/>
        <v>17.929855262928363</v>
      </c>
      <c r="O42">
        <f t="shared" si="5"/>
        <v>1.7741275195213235</v>
      </c>
      <c r="P42">
        <f t="shared" si="6"/>
        <v>5.6991214509771</v>
      </c>
      <c r="Q42">
        <f t="shared" si="7"/>
        <v>0.48298160687816999</v>
      </c>
      <c r="R42">
        <f t="shared" si="8"/>
        <v>3.0019940888632641</v>
      </c>
      <c r="S42">
        <f t="shared" si="9"/>
        <v>0.44359679785273243</v>
      </c>
      <c r="T42">
        <f t="shared" si="10"/>
        <v>0.28051844405558779</v>
      </c>
      <c r="U42">
        <f t="shared" si="11"/>
        <v>289.55312441909888</v>
      </c>
      <c r="V42">
        <f t="shared" si="12"/>
        <v>29.854179767471031</v>
      </c>
      <c r="W42">
        <f t="shared" si="13"/>
        <v>30.043900000000001</v>
      </c>
      <c r="X42">
        <f t="shared" si="14"/>
        <v>4.2712046489862709</v>
      </c>
      <c r="Y42">
        <f t="shared" si="15"/>
        <v>65.684929720873001</v>
      </c>
      <c r="Z42">
        <f t="shared" si="16"/>
        <v>2.7884107166911498</v>
      </c>
      <c r="AA42">
        <f t="shared" si="17"/>
        <v>4.2451300907840723</v>
      </c>
      <c r="AB42">
        <f t="shared" si="18"/>
        <v>1.4827939322951211</v>
      </c>
      <c r="AC42">
        <f t="shared" si="19"/>
        <v>-304.00137020742375</v>
      </c>
      <c r="AD42">
        <f t="shared" si="20"/>
        <v>-17.252517666983728</v>
      </c>
      <c r="AE42">
        <f t="shared" si="21"/>
        <v>-1.2777365988826854</v>
      </c>
      <c r="AF42">
        <f t="shared" si="22"/>
        <v>-32.978500054191308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51767.399018686738</v>
      </c>
      <c r="AL42" t="s">
        <v>446</v>
      </c>
      <c r="AM42" t="s">
        <v>446</v>
      </c>
      <c r="AN42">
        <v>0</v>
      </c>
      <c r="AO42">
        <v>0</v>
      </c>
      <c r="AP42" t="e">
        <f t="shared" si="26"/>
        <v>#DIV/0!</v>
      </c>
      <c r="AQ42">
        <v>0</v>
      </c>
      <c r="AR42" t="s">
        <v>446</v>
      </c>
      <c r="AS42" t="s">
        <v>446</v>
      </c>
      <c r="AT42">
        <v>0</v>
      </c>
      <c r="AU42">
        <v>0</v>
      </c>
      <c r="AV42" t="e">
        <f t="shared" si="27"/>
        <v>#DIV/0!</v>
      </c>
      <c r="AW42">
        <v>0.5</v>
      </c>
      <c r="AX42">
        <f t="shared" si="28"/>
        <v>1513.1172002171495</v>
      </c>
      <c r="AY42">
        <f t="shared" si="29"/>
        <v>10.867045228716847</v>
      </c>
      <c r="AZ42" t="e">
        <f t="shared" si="30"/>
        <v>#DIV/0!</v>
      </c>
      <c r="BA42">
        <f t="shared" si="31"/>
        <v>7.1818926036643447E-3</v>
      </c>
      <c r="BB42" t="e">
        <f t="shared" si="32"/>
        <v>#DIV/0!</v>
      </c>
      <c r="BC42" t="e">
        <f t="shared" si="33"/>
        <v>#DIV/0!</v>
      </c>
      <c r="BD42" t="s">
        <v>446</v>
      </c>
      <c r="BE42">
        <v>0</v>
      </c>
      <c r="BF42" t="e">
        <f t="shared" si="34"/>
        <v>#DIV/0!</v>
      </c>
      <c r="BG42" t="e">
        <f t="shared" si="35"/>
        <v>#DIV/0!</v>
      </c>
      <c r="BH42" t="e">
        <f t="shared" si="36"/>
        <v>#DIV/0!</v>
      </c>
      <c r="BI42" t="e">
        <f t="shared" si="37"/>
        <v>#DIV/0!</v>
      </c>
      <c r="BJ42" t="e">
        <f t="shared" si="38"/>
        <v>#DIV/0!</v>
      </c>
      <c r="BK42" t="e">
        <f t="shared" si="39"/>
        <v>#DIV/0!</v>
      </c>
      <c r="BL42" t="e">
        <f t="shared" si="40"/>
        <v>#DIV/0!</v>
      </c>
      <c r="BM42" t="e">
        <f t="shared" si="41"/>
        <v>#DIV/0!</v>
      </c>
      <c r="BN42">
        <v>34553</v>
      </c>
      <c r="BO42">
        <v>290.00000000000011</v>
      </c>
      <c r="BP42">
        <v>744.11</v>
      </c>
      <c r="BQ42">
        <v>285</v>
      </c>
      <c r="BR42">
        <v>7098.85</v>
      </c>
      <c r="BS42">
        <v>744.86</v>
      </c>
      <c r="BT42">
        <v>-0.75</v>
      </c>
      <c r="BU42">
        <v>300.00000000000011</v>
      </c>
      <c r="BV42">
        <v>38.299999999999997</v>
      </c>
      <c r="BW42">
        <v>774.25729233670631</v>
      </c>
      <c r="BX42">
        <v>1.218553527190319</v>
      </c>
      <c r="BY42">
        <v>-20.871741975732512</v>
      </c>
      <c r="BZ42">
        <v>0.72519828166756506</v>
      </c>
      <c r="CA42">
        <v>0.96730235933911879</v>
      </c>
      <c r="CB42">
        <v>-6.9979826473859806E-3</v>
      </c>
      <c r="CC42">
        <v>289.99999999999989</v>
      </c>
      <c r="CD42">
        <v>748.56</v>
      </c>
      <c r="CE42">
        <v>765</v>
      </c>
      <c r="CF42">
        <v>7093.6</v>
      </c>
      <c r="CG42">
        <v>744.83</v>
      </c>
      <c r="CH42">
        <v>3.73</v>
      </c>
      <c r="CV42">
        <f t="shared" si="42"/>
        <v>1799.92</v>
      </c>
      <c r="CW42">
        <f t="shared" si="43"/>
        <v>1513.1172002171495</v>
      </c>
      <c r="CX42">
        <f t="shared" si="44"/>
        <v>0.84065802936638823</v>
      </c>
      <c r="CY42">
        <f t="shared" si="45"/>
        <v>0.16086999667712948</v>
      </c>
      <c r="CZ42">
        <v>5.52</v>
      </c>
      <c r="DA42">
        <v>0.5</v>
      </c>
      <c r="DB42" t="s">
        <v>418</v>
      </c>
      <c r="DC42">
        <v>2</v>
      </c>
      <c r="DD42">
        <v>1700241290.5</v>
      </c>
      <c r="DE42">
        <v>57.597000000000001</v>
      </c>
      <c r="DF42">
        <v>70.028499999999994</v>
      </c>
      <c r="DG42">
        <v>28.180499999999999</v>
      </c>
      <c r="DH42">
        <v>20.786999999999999</v>
      </c>
      <c r="DI42">
        <v>57.742800000000003</v>
      </c>
      <c r="DJ42">
        <v>27.8233</v>
      </c>
      <c r="DK42">
        <v>500.16300000000001</v>
      </c>
      <c r="DL42">
        <v>98.848399999999998</v>
      </c>
      <c r="DM42">
        <v>9.9834300000000001E-2</v>
      </c>
      <c r="DN42">
        <v>29.9373</v>
      </c>
      <c r="DO42">
        <v>30.043900000000001</v>
      </c>
      <c r="DP42">
        <v>999.9</v>
      </c>
      <c r="DQ42">
        <v>0</v>
      </c>
      <c r="DR42">
        <v>0</v>
      </c>
      <c r="DS42">
        <v>10001.200000000001</v>
      </c>
      <c r="DT42">
        <v>0</v>
      </c>
      <c r="DU42">
        <v>135.37299999999999</v>
      </c>
      <c r="DV42">
        <v>-12.4315</v>
      </c>
      <c r="DW42">
        <v>59.267099999999999</v>
      </c>
      <c r="DX42">
        <v>71.515000000000001</v>
      </c>
      <c r="DY42">
        <v>7.39358</v>
      </c>
      <c r="DZ42">
        <v>70.028499999999994</v>
      </c>
      <c r="EA42">
        <v>20.786999999999999</v>
      </c>
      <c r="EB42">
        <v>2.7856000000000001</v>
      </c>
      <c r="EC42">
        <v>2.0547599999999999</v>
      </c>
      <c r="ED42">
        <v>22.798999999999999</v>
      </c>
      <c r="EE42">
        <v>17.872699999999998</v>
      </c>
      <c r="EF42">
        <v>1799.92</v>
      </c>
      <c r="EG42">
        <v>0.97800699999999996</v>
      </c>
      <c r="EH42">
        <v>2.1993100000000002E-2</v>
      </c>
      <c r="EI42">
        <v>0</v>
      </c>
      <c r="EJ42">
        <v>668.25599999999997</v>
      </c>
      <c r="EK42">
        <v>4.9996700000000001</v>
      </c>
      <c r="EL42">
        <v>13266</v>
      </c>
      <c r="EM42">
        <v>15046.1</v>
      </c>
      <c r="EN42">
        <v>49.875</v>
      </c>
      <c r="EO42">
        <v>51</v>
      </c>
      <c r="EP42">
        <v>50.625</v>
      </c>
      <c r="EQ42">
        <v>50.811999999999998</v>
      </c>
      <c r="ER42">
        <v>51.311999999999998</v>
      </c>
      <c r="ES42">
        <v>1755.44</v>
      </c>
      <c r="ET42">
        <v>39.479999999999997</v>
      </c>
      <c r="EU42">
        <v>0</v>
      </c>
      <c r="EV42">
        <v>111.6000001430511</v>
      </c>
      <c r="EW42">
        <v>0</v>
      </c>
      <c r="EX42">
        <v>668.17038461538459</v>
      </c>
      <c r="EY42">
        <v>1.0666666631018811</v>
      </c>
      <c r="EZ42">
        <v>2.1025641519076159</v>
      </c>
      <c r="FA42">
        <v>13265.11153846154</v>
      </c>
      <c r="FB42">
        <v>15</v>
      </c>
      <c r="FC42">
        <v>1700241260.5</v>
      </c>
      <c r="FD42" t="s">
        <v>531</v>
      </c>
      <c r="FE42">
        <v>1700241243.5</v>
      </c>
      <c r="FF42">
        <v>1700241260.5</v>
      </c>
      <c r="FG42">
        <v>32</v>
      </c>
      <c r="FH42">
        <v>2.9000000000000001E-2</v>
      </c>
      <c r="FI42">
        <v>3.0000000000000001E-3</v>
      </c>
      <c r="FJ42">
        <v>-0.13900000000000001</v>
      </c>
      <c r="FK42">
        <v>0.24399999999999999</v>
      </c>
      <c r="FL42">
        <v>70</v>
      </c>
      <c r="FM42">
        <v>21</v>
      </c>
      <c r="FN42">
        <v>0.16</v>
      </c>
      <c r="FO42">
        <v>0.01</v>
      </c>
      <c r="FP42">
        <v>10.842253070603469</v>
      </c>
      <c r="FQ42">
        <v>-0.35718018687369868</v>
      </c>
      <c r="FR42">
        <v>3.7619081285727732E-2</v>
      </c>
      <c r="FS42">
        <v>1</v>
      </c>
      <c r="FT42">
        <v>0.48218881743950581</v>
      </c>
      <c r="FU42">
        <v>4.8789970236193629E-2</v>
      </c>
      <c r="FV42">
        <v>5.0931142637407681E-3</v>
      </c>
      <c r="FW42">
        <v>1</v>
      </c>
      <c r="FX42">
        <v>2</v>
      </c>
      <c r="FY42">
        <v>2</v>
      </c>
      <c r="FZ42" t="s">
        <v>420</v>
      </c>
      <c r="GA42">
        <v>3.01322</v>
      </c>
      <c r="GB42">
        <v>2.7769300000000001</v>
      </c>
      <c r="GC42">
        <v>1.53677E-2</v>
      </c>
      <c r="GD42">
        <v>1.8711599999999998E-2</v>
      </c>
      <c r="GE42">
        <v>0.126746</v>
      </c>
      <c r="GF42">
        <v>0.103699</v>
      </c>
      <c r="GG42">
        <v>23553.4</v>
      </c>
      <c r="GH42">
        <v>24246.7</v>
      </c>
      <c r="GI42">
        <v>23697.8</v>
      </c>
      <c r="GJ42">
        <v>24376.9</v>
      </c>
      <c r="GK42">
        <v>30616.9</v>
      </c>
      <c r="GL42">
        <v>31336.6</v>
      </c>
      <c r="GM42">
        <v>38817.699999999997</v>
      </c>
      <c r="GN42">
        <v>38825.599999999999</v>
      </c>
      <c r="GO42">
        <v>2.0176500000000002</v>
      </c>
      <c r="GP42">
        <v>1.7570699999999999</v>
      </c>
      <c r="GQ42">
        <v>4.3336300000000001E-2</v>
      </c>
      <c r="GR42">
        <v>0</v>
      </c>
      <c r="GS42">
        <v>29.3383</v>
      </c>
      <c r="GT42">
        <v>999.9</v>
      </c>
      <c r="GU42">
        <v>35.1</v>
      </c>
      <c r="GV42">
        <v>40.6</v>
      </c>
      <c r="GW42">
        <v>27.1782</v>
      </c>
      <c r="GX42">
        <v>60.824100000000001</v>
      </c>
      <c r="GY42">
        <v>30.677099999999999</v>
      </c>
      <c r="GZ42">
        <v>1</v>
      </c>
      <c r="HA42">
        <v>0.72138000000000002</v>
      </c>
      <c r="HB42">
        <v>3.661</v>
      </c>
      <c r="HC42">
        <v>20.284099999999999</v>
      </c>
      <c r="HD42">
        <v>5.2451400000000001</v>
      </c>
      <c r="HE42">
        <v>11.997999999999999</v>
      </c>
      <c r="HF42">
        <v>4.9634499999999999</v>
      </c>
      <c r="HG42">
        <v>3.3008999999999999</v>
      </c>
      <c r="HH42">
        <v>9999</v>
      </c>
      <c r="HI42">
        <v>9999</v>
      </c>
      <c r="HJ42">
        <v>9999</v>
      </c>
      <c r="HK42">
        <v>999.9</v>
      </c>
      <c r="HL42">
        <v>1.87504</v>
      </c>
      <c r="HM42">
        <v>1.88039</v>
      </c>
      <c r="HN42">
        <v>1.88049</v>
      </c>
      <c r="HO42">
        <v>1.8791599999999999</v>
      </c>
      <c r="HP42">
        <v>1.88147</v>
      </c>
      <c r="HQ42">
        <v>1.87744</v>
      </c>
      <c r="HR42">
        <v>1.8751500000000001</v>
      </c>
      <c r="HS42">
        <v>1.88232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-0.14599999999999999</v>
      </c>
      <c r="IH42">
        <v>0.35720000000000002</v>
      </c>
      <c r="II42">
        <v>-0.18214877233583149</v>
      </c>
      <c r="IJ42">
        <v>7.0786345690369205E-4</v>
      </c>
      <c r="IK42">
        <v>-1.387476646623666E-6</v>
      </c>
      <c r="IL42">
        <v>3.6592443641472651E-10</v>
      </c>
      <c r="IM42">
        <v>0.35723126932532429</v>
      </c>
      <c r="IN42">
        <v>0</v>
      </c>
      <c r="IO42">
        <v>0</v>
      </c>
      <c r="IP42">
        <v>0</v>
      </c>
      <c r="IQ42">
        <v>2</v>
      </c>
      <c r="IR42">
        <v>2142</v>
      </c>
      <c r="IS42">
        <v>1</v>
      </c>
      <c r="IT42">
        <v>24</v>
      </c>
      <c r="IU42">
        <v>0.8</v>
      </c>
      <c r="IV42">
        <v>0.5</v>
      </c>
      <c r="IW42">
        <v>0.306396</v>
      </c>
      <c r="IX42">
        <v>2.7014200000000002</v>
      </c>
      <c r="IY42">
        <v>1.5490699999999999</v>
      </c>
      <c r="IZ42">
        <v>2.36328</v>
      </c>
      <c r="JA42">
        <v>1.5966800000000001</v>
      </c>
      <c r="JB42">
        <v>2.32666</v>
      </c>
      <c r="JC42">
        <v>44.950400000000002</v>
      </c>
      <c r="JD42">
        <v>24.043700000000001</v>
      </c>
      <c r="JE42">
        <v>18</v>
      </c>
      <c r="JF42">
        <v>537.27200000000005</v>
      </c>
      <c r="JG42">
        <v>434.36399999999998</v>
      </c>
      <c r="JH42">
        <v>26.404199999999999</v>
      </c>
      <c r="JI42">
        <v>35.985300000000002</v>
      </c>
      <c r="JJ42">
        <v>30.0002</v>
      </c>
      <c r="JK42">
        <v>35.975999999999999</v>
      </c>
      <c r="JL42">
        <v>35.958199999999998</v>
      </c>
      <c r="JM42">
        <v>6.1262299999999996</v>
      </c>
      <c r="JN42">
        <v>20.168399999999998</v>
      </c>
      <c r="JO42">
        <v>12.4871</v>
      </c>
      <c r="JP42">
        <v>26.353200000000001</v>
      </c>
      <c r="JQ42">
        <v>70</v>
      </c>
      <c r="JR42">
        <v>20.684000000000001</v>
      </c>
      <c r="JS42">
        <v>98.301299999999998</v>
      </c>
      <c r="JT42">
        <v>99.170199999999994</v>
      </c>
    </row>
    <row r="43" spans="1:280" x14ac:dyDescent="0.25">
      <c r="A43">
        <v>27</v>
      </c>
      <c r="B43">
        <v>1700241430.0999999</v>
      </c>
      <c r="C43">
        <v>4295.5999999046326</v>
      </c>
      <c r="D43" t="s">
        <v>532</v>
      </c>
      <c r="E43" t="s">
        <v>533</v>
      </c>
      <c r="F43" t="s">
        <v>412</v>
      </c>
      <c r="G43" t="s">
        <v>484</v>
      </c>
      <c r="H43" t="s">
        <v>485</v>
      </c>
      <c r="I43">
        <v>1700241430.0999999</v>
      </c>
      <c r="J43">
        <f t="shared" si="0"/>
        <v>7.3289453808593015E-3</v>
      </c>
      <c r="K43">
        <f t="shared" si="1"/>
        <v>7.3289453808593015</v>
      </c>
      <c r="L43">
        <f t="shared" si="2"/>
        <v>4.8308923451894383</v>
      </c>
      <c r="M43">
        <f t="shared" si="3"/>
        <v>24.4727</v>
      </c>
      <c r="N43">
        <f t="shared" si="4"/>
        <v>8.0629630223242881</v>
      </c>
      <c r="O43">
        <f t="shared" si="5"/>
        <v>0.79786560359258241</v>
      </c>
      <c r="P43">
        <f t="shared" si="6"/>
        <v>2.4216811490984003</v>
      </c>
      <c r="Q43">
        <f t="shared" si="7"/>
        <v>0.52242896882029566</v>
      </c>
      <c r="R43">
        <f t="shared" si="8"/>
        <v>2.9967132267283203</v>
      </c>
      <c r="S43">
        <f t="shared" si="9"/>
        <v>0.47660103809673204</v>
      </c>
      <c r="T43">
        <f t="shared" si="10"/>
        <v>0.30165738796021252</v>
      </c>
      <c r="U43">
        <f t="shared" si="11"/>
        <v>289.55631641909429</v>
      </c>
      <c r="V43">
        <f t="shared" si="12"/>
        <v>29.899614888055851</v>
      </c>
      <c r="W43">
        <f t="shared" si="13"/>
        <v>30.026299999999999</v>
      </c>
      <c r="X43">
        <f t="shared" si="14"/>
        <v>4.2668900609685831</v>
      </c>
      <c r="Y43">
        <f t="shared" si="15"/>
        <v>65.358327100414897</v>
      </c>
      <c r="Z43">
        <f t="shared" si="16"/>
        <v>2.7995483903895999</v>
      </c>
      <c r="AA43">
        <f t="shared" si="17"/>
        <v>4.2833844050023551</v>
      </c>
      <c r="AB43">
        <f t="shared" si="18"/>
        <v>1.4673416705789832</v>
      </c>
      <c r="AC43">
        <f t="shared" si="19"/>
        <v>-323.2064912958952</v>
      </c>
      <c r="AD43">
        <f t="shared" si="20"/>
        <v>10.856751593814101</v>
      </c>
      <c r="AE43">
        <f t="shared" si="21"/>
        <v>0.80603027845430553</v>
      </c>
      <c r="AF43">
        <f t="shared" si="22"/>
        <v>-21.987393004532485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51598.517431292123</v>
      </c>
      <c r="AL43" t="s">
        <v>415</v>
      </c>
      <c r="AM43">
        <v>10238.9</v>
      </c>
      <c r="AN43">
        <v>302.21199999999999</v>
      </c>
      <c r="AO43">
        <v>4052.3</v>
      </c>
      <c r="AP43">
        <f t="shared" si="26"/>
        <v>0.92542210596451402</v>
      </c>
      <c r="AQ43">
        <v>-0.32343011824092421</v>
      </c>
      <c r="AR43" t="s">
        <v>534</v>
      </c>
      <c r="AS43">
        <v>7099.86</v>
      </c>
      <c r="AT43">
        <v>685.93687999999997</v>
      </c>
      <c r="AU43">
        <v>744.32305478017054</v>
      </c>
      <c r="AV43">
        <f t="shared" si="27"/>
        <v>7.8441980810891931E-2</v>
      </c>
      <c r="AW43">
        <v>0.5</v>
      </c>
      <c r="AX43">
        <f t="shared" si="28"/>
        <v>1513.1340002171473</v>
      </c>
      <c r="AY43">
        <f t="shared" si="29"/>
        <v>4.8308923451894383</v>
      </c>
      <c r="AZ43">
        <f t="shared" si="30"/>
        <v>59.346614104670806</v>
      </c>
      <c r="BA43">
        <f t="shared" si="31"/>
        <v>3.4063886362283012E-3</v>
      </c>
      <c r="BB43">
        <f t="shared" si="32"/>
        <v>4.444275807360035</v>
      </c>
      <c r="BC43">
        <f t="shared" si="33"/>
        <v>226.9805070682539</v>
      </c>
      <c r="BD43" t="s">
        <v>535</v>
      </c>
      <c r="BE43">
        <v>491.14</v>
      </c>
      <c r="BF43">
        <f t="shared" si="34"/>
        <v>491.14</v>
      </c>
      <c r="BG43">
        <f t="shared" si="35"/>
        <v>0.34015210620467207</v>
      </c>
      <c r="BH43">
        <f t="shared" si="36"/>
        <v>0.23060854065002537</v>
      </c>
      <c r="BI43">
        <f t="shared" si="37"/>
        <v>0.92890433039229614</v>
      </c>
      <c r="BJ43">
        <f t="shared" si="38"/>
        <v>0.13206223673642753</v>
      </c>
      <c r="BK43">
        <f t="shared" si="39"/>
        <v>0.88210648529309965</v>
      </c>
      <c r="BL43">
        <f t="shared" si="40"/>
        <v>0.16511880605523566</v>
      </c>
      <c r="BM43">
        <f t="shared" si="41"/>
        <v>0.83488119394476434</v>
      </c>
      <c r="BN43">
        <v>34555</v>
      </c>
      <c r="BO43">
        <v>290.00000000000011</v>
      </c>
      <c r="BP43">
        <v>727.55</v>
      </c>
      <c r="BQ43">
        <v>245</v>
      </c>
      <c r="BR43">
        <v>7099.86</v>
      </c>
      <c r="BS43">
        <v>727.05</v>
      </c>
      <c r="BT43">
        <v>0.5</v>
      </c>
      <c r="BU43">
        <v>300.00000000000011</v>
      </c>
      <c r="BV43">
        <v>38.299999999999997</v>
      </c>
      <c r="BW43">
        <v>744.32305478017054</v>
      </c>
      <c r="BX43">
        <v>1.260805639147722</v>
      </c>
      <c r="BY43">
        <v>-12.26657271095622</v>
      </c>
      <c r="BZ43">
        <v>0.75030318566869325</v>
      </c>
      <c r="CA43">
        <v>0.9051760205075382</v>
      </c>
      <c r="CB43">
        <v>-6.997489210233597E-3</v>
      </c>
      <c r="CC43">
        <v>289.99999999999989</v>
      </c>
      <c r="CD43">
        <v>726.89</v>
      </c>
      <c r="CE43">
        <v>795</v>
      </c>
      <c r="CF43">
        <v>7092.7</v>
      </c>
      <c r="CG43">
        <v>727.03</v>
      </c>
      <c r="CH43">
        <v>-0.14000000000000001</v>
      </c>
      <c r="CV43">
        <f t="shared" si="42"/>
        <v>1799.94</v>
      </c>
      <c r="CW43">
        <f t="shared" si="43"/>
        <v>1513.1340002171473</v>
      </c>
      <c r="CX43">
        <f t="shared" si="44"/>
        <v>0.84065802205470586</v>
      </c>
      <c r="CY43">
        <f t="shared" si="45"/>
        <v>0.16086998256558233</v>
      </c>
      <c r="CZ43">
        <v>5.52</v>
      </c>
      <c r="DA43">
        <v>0.5</v>
      </c>
      <c r="DB43" t="s">
        <v>418</v>
      </c>
      <c r="DC43">
        <v>2</v>
      </c>
      <c r="DD43">
        <v>1700241430.0999999</v>
      </c>
      <c r="DE43">
        <v>24.4727</v>
      </c>
      <c r="DF43">
        <v>30.003</v>
      </c>
      <c r="DG43">
        <v>28.2913</v>
      </c>
      <c r="DH43">
        <v>20.430499999999999</v>
      </c>
      <c r="DI43">
        <v>24.667100000000001</v>
      </c>
      <c r="DJ43">
        <v>27.931999999999999</v>
      </c>
      <c r="DK43">
        <v>500.09199999999998</v>
      </c>
      <c r="DL43">
        <v>98.854799999999997</v>
      </c>
      <c r="DM43">
        <v>9.9592E-2</v>
      </c>
      <c r="DN43">
        <v>30.093499999999999</v>
      </c>
      <c r="DO43">
        <v>30.026299999999999</v>
      </c>
      <c r="DP43">
        <v>999.9</v>
      </c>
      <c r="DQ43">
        <v>0</v>
      </c>
      <c r="DR43">
        <v>0</v>
      </c>
      <c r="DS43">
        <v>9971.8799999999992</v>
      </c>
      <c r="DT43">
        <v>0</v>
      </c>
      <c r="DU43">
        <v>133.66499999999999</v>
      </c>
      <c r="DV43">
        <v>-5.5303800000000001</v>
      </c>
      <c r="DW43">
        <v>25.185199999999998</v>
      </c>
      <c r="DX43">
        <v>30.628799999999998</v>
      </c>
      <c r="DY43">
        <v>7.8608000000000002</v>
      </c>
      <c r="DZ43">
        <v>30.003</v>
      </c>
      <c r="EA43">
        <v>20.430499999999999</v>
      </c>
      <c r="EB43">
        <v>2.7967300000000002</v>
      </c>
      <c r="EC43">
        <v>2.0196499999999999</v>
      </c>
      <c r="ED43">
        <v>22.864799999999999</v>
      </c>
      <c r="EE43">
        <v>17.5992</v>
      </c>
      <c r="EF43">
        <v>1799.94</v>
      </c>
      <c r="EG43">
        <v>0.97800699999999996</v>
      </c>
      <c r="EH43">
        <v>2.1993100000000002E-2</v>
      </c>
      <c r="EI43">
        <v>0</v>
      </c>
      <c r="EJ43">
        <v>685.94100000000003</v>
      </c>
      <c r="EK43">
        <v>4.9996700000000001</v>
      </c>
      <c r="EL43">
        <v>13571.9</v>
      </c>
      <c r="EM43">
        <v>15046.3</v>
      </c>
      <c r="EN43">
        <v>49.811999999999998</v>
      </c>
      <c r="EO43">
        <v>50.875</v>
      </c>
      <c r="EP43">
        <v>50.561999999999998</v>
      </c>
      <c r="EQ43">
        <v>50.686999999999998</v>
      </c>
      <c r="ER43">
        <v>51.25</v>
      </c>
      <c r="ES43">
        <v>1755.46</v>
      </c>
      <c r="ET43">
        <v>39.479999999999997</v>
      </c>
      <c r="EU43">
        <v>0</v>
      </c>
      <c r="EV43">
        <v>251.4000000953674</v>
      </c>
      <c r="EW43">
        <v>0</v>
      </c>
      <c r="EX43">
        <v>685.93687999999997</v>
      </c>
      <c r="EY43">
        <v>0.42876922151929009</v>
      </c>
      <c r="EZ43">
        <v>15.938461502425429</v>
      </c>
      <c r="FA43">
        <v>13570.24</v>
      </c>
      <c r="FB43">
        <v>15</v>
      </c>
      <c r="FC43">
        <v>1700241400.5999999</v>
      </c>
      <c r="FD43" t="s">
        <v>536</v>
      </c>
      <c r="FE43">
        <v>1700241385</v>
      </c>
      <c r="FF43">
        <v>1700241400.5999999</v>
      </c>
      <c r="FG43">
        <v>33</v>
      </c>
      <c r="FH43">
        <v>-2.9000000000000001E-2</v>
      </c>
      <c r="FI43">
        <v>2E-3</v>
      </c>
      <c r="FJ43">
        <v>-0.191</v>
      </c>
      <c r="FK43">
        <v>0.23599999999999999</v>
      </c>
      <c r="FL43">
        <v>30</v>
      </c>
      <c r="FM43">
        <v>20</v>
      </c>
      <c r="FN43">
        <v>0.32</v>
      </c>
      <c r="FO43">
        <v>0.01</v>
      </c>
      <c r="FP43">
        <v>4.8277359547585847</v>
      </c>
      <c r="FQ43">
        <v>-9.9883665598164736E-2</v>
      </c>
      <c r="FR43">
        <v>1.3804645614504139E-2</v>
      </c>
      <c r="FS43">
        <v>1</v>
      </c>
      <c r="FT43">
        <v>0.51527563900340501</v>
      </c>
      <c r="FU43">
        <v>3.7892110698105601E-2</v>
      </c>
      <c r="FV43">
        <v>4.7644950453359031E-3</v>
      </c>
      <c r="FW43">
        <v>1</v>
      </c>
      <c r="FX43">
        <v>2</v>
      </c>
      <c r="FY43">
        <v>2</v>
      </c>
      <c r="FZ43" t="s">
        <v>420</v>
      </c>
      <c r="GA43">
        <v>3.01302</v>
      </c>
      <c r="GB43">
        <v>2.77643</v>
      </c>
      <c r="GC43">
        <v>6.6352399999999997E-3</v>
      </c>
      <c r="GD43">
        <v>8.1338399999999998E-3</v>
      </c>
      <c r="GE43">
        <v>0.12710199999999999</v>
      </c>
      <c r="GF43">
        <v>0.10245799999999999</v>
      </c>
      <c r="GG43">
        <v>23764.3</v>
      </c>
      <c r="GH43">
        <v>24510.5</v>
      </c>
      <c r="GI43">
        <v>23700.2</v>
      </c>
      <c r="GJ43">
        <v>24379.9</v>
      </c>
      <c r="GK43">
        <v>30607.200000000001</v>
      </c>
      <c r="GL43">
        <v>31383.599999999999</v>
      </c>
      <c r="GM43">
        <v>38821.300000000003</v>
      </c>
      <c r="GN43">
        <v>38830</v>
      </c>
      <c r="GO43">
        <v>2.01715</v>
      </c>
      <c r="GP43">
        <v>1.75627</v>
      </c>
      <c r="GQ43">
        <v>4.1078799999999999E-2</v>
      </c>
      <c r="GR43">
        <v>0</v>
      </c>
      <c r="GS43">
        <v>29.357500000000002</v>
      </c>
      <c r="GT43">
        <v>999.9</v>
      </c>
      <c r="GU43">
        <v>34.5</v>
      </c>
      <c r="GV43">
        <v>40.700000000000003</v>
      </c>
      <c r="GW43">
        <v>26.8566</v>
      </c>
      <c r="GX43">
        <v>60.929600000000001</v>
      </c>
      <c r="GY43">
        <v>30.709099999999999</v>
      </c>
      <c r="GZ43">
        <v>1</v>
      </c>
      <c r="HA43">
        <v>0.71685200000000004</v>
      </c>
      <c r="HB43">
        <v>3.2644000000000002</v>
      </c>
      <c r="HC43">
        <v>20.2928</v>
      </c>
      <c r="HD43">
        <v>5.2446900000000003</v>
      </c>
      <c r="HE43">
        <v>11.997999999999999</v>
      </c>
      <c r="HF43">
        <v>4.9635499999999997</v>
      </c>
      <c r="HG43">
        <v>3.3008500000000001</v>
      </c>
      <c r="HH43">
        <v>9999</v>
      </c>
      <c r="HI43">
        <v>9999</v>
      </c>
      <c r="HJ43">
        <v>9999</v>
      </c>
      <c r="HK43">
        <v>999.9</v>
      </c>
      <c r="HL43">
        <v>1.8750599999999999</v>
      </c>
      <c r="HM43">
        <v>1.88042</v>
      </c>
      <c r="HN43">
        <v>1.88049</v>
      </c>
      <c r="HO43">
        <v>1.87921</v>
      </c>
      <c r="HP43">
        <v>1.8815500000000001</v>
      </c>
      <c r="HQ43">
        <v>1.87744</v>
      </c>
      <c r="HR43">
        <v>1.87517</v>
      </c>
      <c r="HS43">
        <v>1.88235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-0.19400000000000001</v>
      </c>
      <c r="IH43">
        <v>0.35930000000000001</v>
      </c>
      <c r="II43">
        <v>-0.21103322376845571</v>
      </c>
      <c r="IJ43">
        <v>7.0786345690369205E-4</v>
      </c>
      <c r="IK43">
        <v>-1.387476646623666E-6</v>
      </c>
      <c r="IL43">
        <v>3.6592443641472651E-10</v>
      </c>
      <c r="IM43">
        <v>0.35925459175127322</v>
      </c>
      <c r="IN43">
        <v>0</v>
      </c>
      <c r="IO43">
        <v>0</v>
      </c>
      <c r="IP43">
        <v>0</v>
      </c>
      <c r="IQ43">
        <v>2</v>
      </c>
      <c r="IR43">
        <v>2142</v>
      </c>
      <c r="IS43">
        <v>1</v>
      </c>
      <c r="IT43">
        <v>24</v>
      </c>
      <c r="IU43">
        <v>0.8</v>
      </c>
      <c r="IV43">
        <v>0.5</v>
      </c>
      <c r="IW43">
        <v>0.21728500000000001</v>
      </c>
      <c r="IX43">
        <v>2.7221700000000002</v>
      </c>
      <c r="IY43">
        <v>1.5490699999999999</v>
      </c>
      <c r="IZ43">
        <v>2.3645</v>
      </c>
      <c r="JA43">
        <v>1.5966800000000001</v>
      </c>
      <c r="JB43">
        <v>2.2692899999999998</v>
      </c>
      <c r="JC43">
        <v>44.922199999999997</v>
      </c>
      <c r="JD43">
        <v>24.035</v>
      </c>
      <c r="JE43">
        <v>18</v>
      </c>
      <c r="JF43">
        <v>536.74599999999998</v>
      </c>
      <c r="JG43">
        <v>433.72500000000002</v>
      </c>
      <c r="JH43">
        <v>26.7547</v>
      </c>
      <c r="JI43">
        <v>35.945900000000002</v>
      </c>
      <c r="JJ43">
        <v>29.999700000000001</v>
      </c>
      <c r="JK43">
        <v>35.951799999999999</v>
      </c>
      <c r="JL43">
        <v>35.938200000000002</v>
      </c>
      <c r="JM43">
        <v>4.3511499999999996</v>
      </c>
      <c r="JN43">
        <v>20.413699999999999</v>
      </c>
      <c r="JO43">
        <v>10.6577</v>
      </c>
      <c r="JP43">
        <v>26.726400000000002</v>
      </c>
      <c r="JQ43">
        <v>30</v>
      </c>
      <c r="JR43">
        <v>20.346499999999999</v>
      </c>
      <c r="JS43">
        <v>98.3108</v>
      </c>
      <c r="JT43">
        <v>99.181700000000006</v>
      </c>
    </row>
    <row r="44" spans="1:280" x14ac:dyDescent="0.25">
      <c r="A44">
        <v>28</v>
      </c>
      <c r="B44">
        <v>1700241558.5999999</v>
      </c>
      <c r="C44">
        <v>4424.0999999046326</v>
      </c>
      <c r="D44" t="s">
        <v>537</v>
      </c>
      <c r="E44" t="s">
        <v>538</v>
      </c>
      <c r="F44" t="s">
        <v>412</v>
      </c>
      <c r="G44" t="s">
        <v>484</v>
      </c>
      <c r="H44" t="s">
        <v>485</v>
      </c>
      <c r="I44">
        <v>1700241558.5999999</v>
      </c>
      <c r="J44">
        <f t="shared" si="0"/>
        <v>7.5077894898110962E-3</v>
      </c>
      <c r="K44">
        <f t="shared" si="1"/>
        <v>7.5077894898110964</v>
      </c>
      <c r="L44">
        <f t="shared" si="2"/>
        <v>1.5360813101921733</v>
      </c>
      <c r="M44">
        <f t="shared" si="3"/>
        <v>8.2583300000000008</v>
      </c>
      <c r="N44">
        <f t="shared" si="4"/>
        <v>3.1646014605098247</v>
      </c>
      <c r="O44">
        <f t="shared" si="5"/>
        <v>0.31313557082204246</v>
      </c>
      <c r="P44">
        <f t="shared" si="6"/>
        <v>0.81715720316017004</v>
      </c>
      <c r="Q44">
        <f t="shared" si="7"/>
        <v>0.53799810198896969</v>
      </c>
      <c r="R44">
        <f t="shared" si="8"/>
        <v>3.0008679585855678</v>
      </c>
      <c r="S44">
        <f t="shared" si="9"/>
        <v>0.48959417296995517</v>
      </c>
      <c r="T44">
        <f t="shared" si="10"/>
        <v>0.30998153520195904</v>
      </c>
      <c r="U44">
        <f t="shared" si="11"/>
        <v>289.56429641908261</v>
      </c>
      <c r="V44">
        <f t="shared" si="12"/>
        <v>29.831022092440058</v>
      </c>
      <c r="W44">
        <f t="shared" si="13"/>
        <v>30.009</v>
      </c>
      <c r="X44">
        <f t="shared" si="14"/>
        <v>4.2626527193021859</v>
      </c>
      <c r="Y44">
        <f t="shared" si="15"/>
        <v>65.443980167025686</v>
      </c>
      <c r="Z44">
        <f t="shared" si="16"/>
        <v>2.7994382313283999</v>
      </c>
      <c r="AA44">
        <f t="shared" si="17"/>
        <v>4.2776099867148858</v>
      </c>
      <c r="AB44">
        <f t="shared" si="18"/>
        <v>1.4632144879737861</v>
      </c>
      <c r="AC44">
        <f t="shared" si="19"/>
        <v>-331.09351650066935</v>
      </c>
      <c r="AD44">
        <f t="shared" si="20"/>
        <v>9.8687503963791645</v>
      </c>
      <c r="AE44">
        <f t="shared" si="21"/>
        <v>0.73151664552288964</v>
      </c>
      <c r="AF44">
        <f t="shared" si="22"/>
        <v>-30.928953039684679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51714.382425834825</v>
      </c>
      <c r="AL44" t="s">
        <v>446</v>
      </c>
      <c r="AM44" t="s">
        <v>446</v>
      </c>
      <c r="AN44">
        <v>0</v>
      </c>
      <c r="AO44">
        <v>0</v>
      </c>
      <c r="AP44" t="e">
        <f t="shared" si="26"/>
        <v>#DIV/0!</v>
      </c>
      <c r="AQ44">
        <v>0</v>
      </c>
      <c r="AR44" t="s">
        <v>446</v>
      </c>
      <c r="AS44" t="s">
        <v>446</v>
      </c>
      <c r="AT44">
        <v>0</v>
      </c>
      <c r="AU44">
        <v>0</v>
      </c>
      <c r="AV44" t="e">
        <f t="shared" si="27"/>
        <v>#DIV/0!</v>
      </c>
      <c r="AW44">
        <v>0.5</v>
      </c>
      <c r="AX44">
        <f t="shared" si="28"/>
        <v>1513.1760002171411</v>
      </c>
      <c r="AY44">
        <f t="shared" si="29"/>
        <v>1.5360813101921733</v>
      </c>
      <c r="AZ44" t="e">
        <f t="shared" si="30"/>
        <v>#DIV/0!</v>
      </c>
      <c r="BA44">
        <f t="shared" si="31"/>
        <v>1.0151372411218162E-3</v>
      </c>
      <c r="BB44" t="e">
        <f t="shared" si="32"/>
        <v>#DIV/0!</v>
      </c>
      <c r="BC44" t="e">
        <f t="shared" si="33"/>
        <v>#DIV/0!</v>
      </c>
      <c r="BD44" t="s">
        <v>446</v>
      </c>
      <c r="BE44">
        <v>0</v>
      </c>
      <c r="BF44" t="e">
        <f t="shared" si="34"/>
        <v>#DIV/0!</v>
      </c>
      <c r="BG44" t="e">
        <f t="shared" si="35"/>
        <v>#DIV/0!</v>
      </c>
      <c r="BH44" t="e">
        <f t="shared" si="36"/>
        <v>#DIV/0!</v>
      </c>
      <c r="BI44" t="e">
        <f t="shared" si="37"/>
        <v>#DIV/0!</v>
      </c>
      <c r="BJ44" t="e">
        <f t="shared" si="38"/>
        <v>#DIV/0!</v>
      </c>
      <c r="BK44" t="e">
        <f t="shared" si="39"/>
        <v>#DIV/0!</v>
      </c>
      <c r="BL44" t="e">
        <f t="shared" si="40"/>
        <v>#DIV/0!</v>
      </c>
      <c r="BM44" t="e">
        <f t="shared" si="41"/>
        <v>#DIV/0!</v>
      </c>
      <c r="BN44">
        <v>34555</v>
      </c>
      <c r="BO44">
        <v>290.00000000000011</v>
      </c>
      <c r="BP44">
        <v>727.55</v>
      </c>
      <c r="BQ44">
        <v>245</v>
      </c>
      <c r="BR44">
        <v>7099.86</v>
      </c>
      <c r="BS44">
        <v>727.05</v>
      </c>
      <c r="BT44">
        <v>0.5</v>
      </c>
      <c r="BU44">
        <v>300.00000000000011</v>
      </c>
      <c r="BV44">
        <v>38.299999999999997</v>
      </c>
      <c r="BW44">
        <v>744.32305478017054</v>
      </c>
      <c r="BX44">
        <v>1.260805639147722</v>
      </c>
      <c r="BY44">
        <v>-12.26657271095622</v>
      </c>
      <c r="BZ44">
        <v>0.75030318566869325</v>
      </c>
      <c r="CA44">
        <v>0.9051760205075382</v>
      </c>
      <c r="CB44">
        <v>-6.997489210233597E-3</v>
      </c>
      <c r="CC44">
        <v>289.99999999999989</v>
      </c>
      <c r="CD44">
        <v>726.89</v>
      </c>
      <c r="CE44">
        <v>795</v>
      </c>
      <c r="CF44">
        <v>7092.7</v>
      </c>
      <c r="CG44">
        <v>727.03</v>
      </c>
      <c r="CH44">
        <v>-0.14000000000000001</v>
      </c>
      <c r="CV44">
        <f t="shared" si="42"/>
        <v>1799.99</v>
      </c>
      <c r="CW44">
        <f t="shared" si="43"/>
        <v>1513.1760002171411</v>
      </c>
      <c r="CX44">
        <f t="shared" si="44"/>
        <v>0.84065800377621047</v>
      </c>
      <c r="CY44">
        <f t="shared" si="45"/>
        <v>0.16086994728808637</v>
      </c>
      <c r="CZ44">
        <v>5.52</v>
      </c>
      <c r="DA44">
        <v>0.5</v>
      </c>
      <c r="DB44" t="s">
        <v>418</v>
      </c>
      <c r="DC44">
        <v>2</v>
      </c>
      <c r="DD44">
        <v>1700241558.5999999</v>
      </c>
      <c r="DE44">
        <v>8.2583300000000008</v>
      </c>
      <c r="DF44">
        <v>10.022</v>
      </c>
      <c r="DG44">
        <v>28.291599999999999</v>
      </c>
      <c r="DH44">
        <v>20.240300000000001</v>
      </c>
      <c r="DI44">
        <v>8.4603400000000004</v>
      </c>
      <c r="DJ44">
        <v>27.930700000000002</v>
      </c>
      <c r="DK44">
        <v>500.17399999999998</v>
      </c>
      <c r="DL44">
        <v>98.849199999999996</v>
      </c>
      <c r="DM44">
        <v>0.100249</v>
      </c>
      <c r="DN44">
        <v>30.07</v>
      </c>
      <c r="DO44">
        <v>30.009</v>
      </c>
      <c r="DP44">
        <v>999.9</v>
      </c>
      <c r="DQ44">
        <v>0</v>
      </c>
      <c r="DR44">
        <v>0</v>
      </c>
      <c r="DS44">
        <v>9995</v>
      </c>
      <c r="DT44">
        <v>0</v>
      </c>
      <c r="DU44">
        <v>134.63499999999999</v>
      </c>
      <c r="DV44">
        <v>-1.7636799999999999</v>
      </c>
      <c r="DW44">
        <v>8.4987700000000004</v>
      </c>
      <c r="DX44">
        <v>10.229100000000001</v>
      </c>
      <c r="DY44">
        <v>8.0513200000000005</v>
      </c>
      <c r="DZ44">
        <v>10.022</v>
      </c>
      <c r="EA44">
        <v>20.240300000000001</v>
      </c>
      <c r="EB44">
        <v>2.7966000000000002</v>
      </c>
      <c r="EC44">
        <v>2.00074</v>
      </c>
      <c r="ED44">
        <v>22.864000000000001</v>
      </c>
      <c r="EE44">
        <v>17.450199999999999</v>
      </c>
      <c r="EF44">
        <v>1799.99</v>
      </c>
      <c r="EG44">
        <v>0.97800699999999996</v>
      </c>
      <c r="EH44">
        <v>2.1993100000000002E-2</v>
      </c>
      <c r="EI44">
        <v>0</v>
      </c>
      <c r="EJ44">
        <v>695.39499999999998</v>
      </c>
      <c r="EK44">
        <v>4.9996700000000001</v>
      </c>
      <c r="EL44">
        <v>13759.3</v>
      </c>
      <c r="EM44">
        <v>15046.7</v>
      </c>
      <c r="EN44">
        <v>49.75</v>
      </c>
      <c r="EO44">
        <v>50.686999999999998</v>
      </c>
      <c r="EP44">
        <v>50.436999999999998</v>
      </c>
      <c r="EQ44">
        <v>50.625</v>
      </c>
      <c r="ER44">
        <v>51.186999999999998</v>
      </c>
      <c r="ES44">
        <v>1755.51</v>
      </c>
      <c r="ET44">
        <v>39.479999999999997</v>
      </c>
      <c r="EU44">
        <v>0</v>
      </c>
      <c r="EV44">
        <v>126.5999999046326</v>
      </c>
      <c r="EW44">
        <v>0</v>
      </c>
      <c r="EX44">
        <v>695.61183999999992</v>
      </c>
      <c r="EY44">
        <v>-1.0127692369015691</v>
      </c>
      <c r="EZ44">
        <v>3.1461538645999201</v>
      </c>
      <c r="FA44">
        <v>13760.624</v>
      </c>
      <c r="FB44">
        <v>15</v>
      </c>
      <c r="FC44">
        <v>1700241526.0999999</v>
      </c>
      <c r="FD44" t="s">
        <v>539</v>
      </c>
      <c r="FE44">
        <v>1700241510.5999999</v>
      </c>
      <c r="FF44">
        <v>1700241526.0999999</v>
      </c>
      <c r="FG44">
        <v>34</v>
      </c>
      <c r="FH44">
        <v>3.0000000000000001E-3</v>
      </c>
      <c r="FI44">
        <v>2E-3</v>
      </c>
      <c r="FJ44">
        <v>-0.20100000000000001</v>
      </c>
      <c r="FK44">
        <v>0.23599999999999999</v>
      </c>
      <c r="FL44">
        <v>10</v>
      </c>
      <c r="FM44">
        <v>20</v>
      </c>
      <c r="FN44">
        <v>0.34</v>
      </c>
      <c r="FO44">
        <v>0.02</v>
      </c>
      <c r="FP44">
        <v>1.5600820503310531</v>
      </c>
      <c r="FQ44">
        <v>4.6660772492666022E-2</v>
      </c>
      <c r="FR44">
        <v>2.397164018282533E-2</v>
      </c>
      <c r="FS44">
        <v>1</v>
      </c>
      <c r="FT44">
        <v>0.54459096848824384</v>
      </c>
      <c r="FU44">
        <v>2.1439598966316441E-2</v>
      </c>
      <c r="FV44">
        <v>3.5532965237682931E-3</v>
      </c>
      <c r="FW44">
        <v>1</v>
      </c>
      <c r="FX44">
        <v>2</v>
      </c>
      <c r="FY44">
        <v>2</v>
      </c>
      <c r="FZ44" t="s">
        <v>420</v>
      </c>
      <c r="GA44">
        <v>3.0131800000000002</v>
      </c>
      <c r="GB44">
        <v>2.7772899999999998</v>
      </c>
      <c r="GC44">
        <v>2.2841200000000002E-3</v>
      </c>
      <c r="GD44">
        <v>2.7304500000000002E-3</v>
      </c>
      <c r="GE44">
        <v>0.12710199999999999</v>
      </c>
      <c r="GF44">
        <v>0.101789</v>
      </c>
      <c r="GG44">
        <v>23872.7</v>
      </c>
      <c r="GH44">
        <v>24647.8</v>
      </c>
      <c r="GI44">
        <v>23704.7</v>
      </c>
      <c r="GJ44">
        <v>24383.8</v>
      </c>
      <c r="GK44">
        <v>30612.5</v>
      </c>
      <c r="GL44">
        <v>31412.1</v>
      </c>
      <c r="GM44">
        <v>38828.300000000003</v>
      </c>
      <c r="GN44">
        <v>38836.400000000001</v>
      </c>
      <c r="GO44">
        <v>2.01837</v>
      </c>
      <c r="GP44">
        <v>1.7559199999999999</v>
      </c>
      <c r="GQ44">
        <v>3.9815900000000001E-2</v>
      </c>
      <c r="GR44">
        <v>0</v>
      </c>
      <c r="GS44">
        <v>29.360700000000001</v>
      </c>
      <c r="GT44">
        <v>999.9</v>
      </c>
      <c r="GU44">
        <v>34.1</v>
      </c>
      <c r="GV44">
        <v>40.9</v>
      </c>
      <c r="GW44">
        <v>26.8292</v>
      </c>
      <c r="GX44">
        <v>61.059600000000003</v>
      </c>
      <c r="GY44">
        <v>30.717099999999999</v>
      </c>
      <c r="GZ44">
        <v>1</v>
      </c>
      <c r="HA44">
        <v>0.70990799999999998</v>
      </c>
      <c r="HB44">
        <v>2.9288599999999998</v>
      </c>
      <c r="HC44">
        <v>20.3003</v>
      </c>
      <c r="HD44">
        <v>5.24125</v>
      </c>
      <c r="HE44">
        <v>11.997999999999999</v>
      </c>
      <c r="HF44">
        <v>4.9635999999999996</v>
      </c>
      <c r="HG44">
        <v>3.3008999999999999</v>
      </c>
      <c r="HH44">
        <v>9999</v>
      </c>
      <c r="HI44">
        <v>9999</v>
      </c>
      <c r="HJ44">
        <v>9999</v>
      </c>
      <c r="HK44">
        <v>999.9</v>
      </c>
      <c r="HL44">
        <v>1.87504</v>
      </c>
      <c r="HM44">
        <v>1.88039</v>
      </c>
      <c r="HN44">
        <v>1.88049</v>
      </c>
      <c r="HO44">
        <v>1.87923</v>
      </c>
      <c r="HP44">
        <v>1.88148</v>
      </c>
      <c r="HQ44">
        <v>1.87744</v>
      </c>
      <c r="HR44">
        <v>1.87517</v>
      </c>
      <c r="HS44">
        <v>1.8823399999999999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-0.20200000000000001</v>
      </c>
      <c r="IH44">
        <v>0.3609</v>
      </c>
      <c r="II44">
        <v>-0.20790376495965929</v>
      </c>
      <c r="IJ44">
        <v>7.0786345690369205E-4</v>
      </c>
      <c r="IK44">
        <v>-1.387476646623666E-6</v>
      </c>
      <c r="IL44">
        <v>3.6592443641472651E-10</v>
      </c>
      <c r="IM44">
        <v>0.3609399947506266</v>
      </c>
      <c r="IN44">
        <v>0</v>
      </c>
      <c r="IO44">
        <v>0</v>
      </c>
      <c r="IP44">
        <v>0</v>
      </c>
      <c r="IQ44">
        <v>2</v>
      </c>
      <c r="IR44">
        <v>2142</v>
      </c>
      <c r="IS44">
        <v>1</v>
      </c>
      <c r="IT44">
        <v>24</v>
      </c>
      <c r="IU44">
        <v>0.8</v>
      </c>
      <c r="IV44">
        <v>0.5</v>
      </c>
      <c r="IW44">
        <v>0.17456099999999999</v>
      </c>
      <c r="IX44">
        <v>2.7465799999999998</v>
      </c>
      <c r="IY44">
        <v>1.5490699999999999</v>
      </c>
      <c r="IZ44">
        <v>2.3645</v>
      </c>
      <c r="JA44">
        <v>1.5966800000000001</v>
      </c>
      <c r="JB44">
        <v>2.16675</v>
      </c>
      <c r="JC44">
        <v>44.922199999999997</v>
      </c>
      <c r="JD44">
        <v>24.061199999999999</v>
      </c>
      <c r="JE44">
        <v>18</v>
      </c>
      <c r="JF44">
        <v>537.23400000000004</v>
      </c>
      <c r="JG44">
        <v>433.23500000000001</v>
      </c>
      <c r="JH44">
        <v>26.917899999999999</v>
      </c>
      <c r="JI44">
        <v>35.892699999999998</v>
      </c>
      <c r="JJ44">
        <v>30</v>
      </c>
      <c r="JK44">
        <v>35.909700000000001</v>
      </c>
      <c r="JL44">
        <v>35.898299999999999</v>
      </c>
      <c r="JM44">
        <v>3.4801799999999998</v>
      </c>
      <c r="JN44">
        <v>20.9331</v>
      </c>
      <c r="JO44">
        <v>8.9076400000000007</v>
      </c>
      <c r="JP44">
        <v>26.92</v>
      </c>
      <c r="JQ44">
        <v>10</v>
      </c>
      <c r="JR44">
        <v>20.1661</v>
      </c>
      <c r="JS44">
        <v>98.328699999999998</v>
      </c>
      <c r="JT44">
        <v>99.197999999999993</v>
      </c>
    </row>
    <row r="45" spans="1:280" x14ac:dyDescent="0.25">
      <c r="A45">
        <v>29</v>
      </c>
      <c r="B45">
        <v>1700242472.0999999</v>
      </c>
      <c r="C45">
        <v>5337.5999999046326</v>
      </c>
      <c r="D45" t="s">
        <v>540</v>
      </c>
      <c r="E45" t="s">
        <v>541</v>
      </c>
      <c r="F45" t="s">
        <v>412</v>
      </c>
      <c r="G45" t="s">
        <v>542</v>
      </c>
      <c r="H45" t="s">
        <v>413</v>
      </c>
      <c r="I45">
        <v>1700242472.0999999</v>
      </c>
      <c r="J45">
        <f t="shared" si="0"/>
        <v>5.1206863773579419E-3</v>
      </c>
      <c r="K45">
        <f t="shared" si="1"/>
        <v>5.1206863773579423</v>
      </c>
      <c r="L45">
        <f t="shared" si="2"/>
        <v>50.325450664403199</v>
      </c>
      <c r="M45">
        <f t="shared" si="3"/>
        <v>395.815</v>
      </c>
      <c r="N45">
        <f t="shared" si="4"/>
        <v>125.4178278899595</v>
      </c>
      <c r="O45">
        <f t="shared" si="5"/>
        <v>12.40740956381442</v>
      </c>
      <c r="P45">
        <f t="shared" si="6"/>
        <v>39.157422027832503</v>
      </c>
      <c r="Q45">
        <f t="shared" si="7"/>
        <v>0.32078862612288922</v>
      </c>
      <c r="R45">
        <f t="shared" si="8"/>
        <v>3.0763550566689952</v>
      </c>
      <c r="S45">
        <f t="shared" si="9"/>
        <v>0.30329623542428136</v>
      </c>
      <c r="T45">
        <f t="shared" si="10"/>
        <v>0.19105224060547371</v>
      </c>
      <c r="U45">
        <f t="shared" si="11"/>
        <v>289.57387241906861</v>
      </c>
      <c r="V45">
        <f t="shared" si="12"/>
        <v>29.566766681239791</v>
      </c>
      <c r="W45">
        <f t="shared" si="13"/>
        <v>30.078900000000001</v>
      </c>
      <c r="X45">
        <f t="shared" si="14"/>
        <v>4.2797960954640457</v>
      </c>
      <c r="Y45">
        <f t="shared" si="15"/>
        <v>65.550210355759532</v>
      </c>
      <c r="Z45">
        <f t="shared" si="16"/>
        <v>2.6681932563709503</v>
      </c>
      <c r="AA45">
        <f t="shared" si="17"/>
        <v>4.0704571989775635</v>
      </c>
      <c r="AB45">
        <f t="shared" si="18"/>
        <v>1.6116028390930954</v>
      </c>
      <c r="AC45">
        <f t="shared" si="19"/>
        <v>-225.82226924148523</v>
      </c>
      <c r="AD45">
        <f t="shared" si="20"/>
        <v>-144.4243167822228</v>
      </c>
      <c r="AE45">
        <f t="shared" si="21"/>
        <v>-10.401836495340676</v>
      </c>
      <c r="AF45">
        <f t="shared" si="22"/>
        <v>-91.074550099980087</v>
      </c>
      <c r="AG45">
        <v>0</v>
      </c>
      <c r="AH45">
        <v>0</v>
      </c>
      <c r="AI45">
        <f t="shared" si="23"/>
        <v>1</v>
      </c>
      <c r="AJ45">
        <f t="shared" si="24"/>
        <v>0</v>
      </c>
      <c r="AK45">
        <f t="shared" si="25"/>
        <v>51844.896332691358</v>
      </c>
      <c r="AL45" t="s">
        <v>415</v>
      </c>
      <c r="AM45">
        <v>10238.9</v>
      </c>
      <c r="AN45">
        <v>302.21199999999999</v>
      </c>
      <c r="AO45">
        <v>4052.3</v>
      </c>
      <c r="AP45">
        <f t="shared" si="26"/>
        <v>0.92542210596451402</v>
      </c>
      <c r="AQ45">
        <v>-0.32343011824092421</v>
      </c>
      <c r="AR45" t="s">
        <v>543</v>
      </c>
      <c r="AS45">
        <v>7093.93</v>
      </c>
      <c r="AT45">
        <v>679.0222</v>
      </c>
      <c r="AU45">
        <v>1000.538632722398</v>
      </c>
      <c r="AV45">
        <f t="shared" si="27"/>
        <v>0.32134334668075082</v>
      </c>
      <c r="AW45">
        <v>0.5</v>
      </c>
      <c r="AX45">
        <f t="shared" si="28"/>
        <v>1513.2264002171339</v>
      </c>
      <c r="AY45">
        <f t="shared" si="29"/>
        <v>50.325450664403199</v>
      </c>
      <c r="AZ45">
        <f t="shared" si="30"/>
        <v>243.13261786571954</v>
      </c>
      <c r="BA45">
        <f t="shared" si="31"/>
        <v>3.3470788492307876E-2</v>
      </c>
      <c r="BB45">
        <f t="shared" si="32"/>
        <v>3.0501184736604983</v>
      </c>
      <c r="BC45">
        <f t="shared" si="33"/>
        <v>246.20695599560523</v>
      </c>
      <c r="BD45" t="s">
        <v>544</v>
      </c>
      <c r="BE45">
        <v>468.63</v>
      </c>
      <c r="BF45">
        <f t="shared" si="34"/>
        <v>468.63</v>
      </c>
      <c r="BG45">
        <f t="shared" si="35"/>
        <v>0.53162228356451413</v>
      </c>
      <c r="BH45">
        <f t="shared" si="36"/>
        <v>0.60445800828014906</v>
      </c>
      <c r="BI45">
        <f t="shared" si="37"/>
        <v>0.85157432667561528</v>
      </c>
      <c r="BJ45">
        <f t="shared" si="38"/>
        <v>0.46040981061967989</v>
      </c>
      <c r="BK45">
        <f t="shared" si="39"/>
        <v>0.81378393447769815</v>
      </c>
      <c r="BL45">
        <f t="shared" si="40"/>
        <v>0.4171692124651098</v>
      </c>
      <c r="BM45">
        <f t="shared" si="41"/>
        <v>0.58283078753489015</v>
      </c>
      <c r="BN45">
        <v>34557</v>
      </c>
      <c r="BO45">
        <v>290.00000000000011</v>
      </c>
      <c r="BP45">
        <v>906.36</v>
      </c>
      <c r="BQ45">
        <v>285</v>
      </c>
      <c r="BR45">
        <v>7093.93</v>
      </c>
      <c r="BS45">
        <v>907.59</v>
      </c>
      <c r="BT45">
        <v>-1.23</v>
      </c>
      <c r="BU45">
        <v>300.00000000000011</v>
      </c>
      <c r="BV45">
        <v>38.299999999999997</v>
      </c>
      <c r="BW45">
        <v>1000.538632722398</v>
      </c>
      <c r="BX45">
        <v>1.323466148786278</v>
      </c>
      <c r="BY45">
        <v>-65.93590118578264</v>
      </c>
      <c r="BZ45">
        <v>0.78709003747077422</v>
      </c>
      <c r="CA45">
        <v>0.99602594730227545</v>
      </c>
      <c r="CB45">
        <v>-6.9931314794215889E-3</v>
      </c>
      <c r="CC45">
        <v>289.99999999999989</v>
      </c>
      <c r="CD45">
        <v>916.26</v>
      </c>
      <c r="CE45">
        <v>825</v>
      </c>
      <c r="CF45">
        <v>7087.93</v>
      </c>
      <c r="CG45">
        <v>907.51</v>
      </c>
      <c r="CH45">
        <v>8.75</v>
      </c>
      <c r="CV45">
        <f t="shared" si="42"/>
        <v>1800.05</v>
      </c>
      <c r="CW45">
        <f t="shared" si="43"/>
        <v>1513.2264002171339</v>
      </c>
      <c r="CX45">
        <f t="shared" si="44"/>
        <v>0.84065798184335661</v>
      </c>
      <c r="CY45">
        <f t="shared" si="45"/>
        <v>0.16086990495767819</v>
      </c>
      <c r="CZ45">
        <v>5.18</v>
      </c>
      <c r="DA45">
        <v>0.5</v>
      </c>
      <c r="DB45" t="s">
        <v>418</v>
      </c>
      <c r="DC45">
        <v>2</v>
      </c>
      <c r="DD45">
        <v>1700242472.0999999</v>
      </c>
      <c r="DE45">
        <v>395.815</v>
      </c>
      <c r="DF45">
        <v>450.04199999999997</v>
      </c>
      <c r="DG45">
        <v>26.9709</v>
      </c>
      <c r="DH45">
        <v>21.809899999999999</v>
      </c>
      <c r="DI45">
        <v>395.928</v>
      </c>
      <c r="DJ45">
        <v>26.615400000000001</v>
      </c>
      <c r="DK45">
        <v>500.09199999999998</v>
      </c>
      <c r="DL45">
        <v>98.828699999999998</v>
      </c>
      <c r="DM45">
        <v>9.9895499999999998E-2</v>
      </c>
      <c r="DN45">
        <v>29.208100000000002</v>
      </c>
      <c r="DO45">
        <v>30.078900000000001</v>
      </c>
      <c r="DP45">
        <v>999.9</v>
      </c>
      <c r="DQ45">
        <v>0</v>
      </c>
      <c r="DR45">
        <v>0</v>
      </c>
      <c r="DS45">
        <v>9993.75</v>
      </c>
      <c r="DT45">
        <v>0</v>
      </c>
      <c r="DU45">
        <v>151.239</v>
      </c>
      <c r="DV45">
        <v>-54.2271</v>
      </c>
      <c r="DW45">
        <v>406.786</v>
      </c>
      <c r="DX45">
        <v>460.07600000000002</v>
      </c>
      <c r="DY45">
        <v>5.16099</v>
      </c>
      <c r="DZ45">
        <v>450.04199999999997</v>
      </c>
      <c r="EA45">
        <v>21.809899999999999</v>
      </c>
      <c r="EB45">
        <v>2.6655000000000002</v>
      </c>
      <c r="EC45">
        <v>2.15544</v>
      </c>
      <c r="ED45">
        <v>22.073899999999998</v>
      </c>
      <c r="EE45">
        <v>18.634899999999998</v>
      </c>
      <c r="EF45">
        <v>1800.05</v>
      </c>
      <c r="EG45">
        <v>0.97800399999999998</v>
      </c>
      <c r="EH45">
        <v>2.1996100000000001E-2</v>
      </c>
      <c r="EI45">
        <v>0</v>
      </c>
      <c r="EJ45">
        <v>679.46100000000001</v>
      </c>
      <c r="EK45">
        <v>4.9996700000000001</v>
      </c>
      <c r="EL45">
        <v>14573.7</v>
      </c>
      <c r="EM45">
        <v>15047.2</v>
      </c>
      <c r="EN45">
        <v>49.25</v>
      </c>
      <c r="EO45">
        <v>50.811999999999998</v>
      </c>
      <c r="EP45">
        <v>50.125</v>
      </c>
      <c r="EQ45">
        <v>50.311999999999998</v>
      </c>
      <c r="ER45">
        <v>50.625</v>
      </c>
      <c r="ES45">
        <v>1755.57</v>
      </c>
      <c r="ET45">
        <v>39.479999999999997</v>
      </c>
      <c r="EU45">
        <v>0</v>
      </c>
      <c r="EV45">
        <v>1039.7999999523161</v>
      </c>
      <c r="EW45">
        <v>0</v>
      </c>
      <c r="EX45">
        <v>679.0222</v>
      </c>
      <c r="EY45">
        <v>-0.34192307570073932</v>
      </c>
      <c r="EZ45">
        <v>116.0999999993919</v>
      </c>
      <c r="FA45">
        <v>14564.291999999999</v>
      </c>
      <c r="FB45">
        <v>15</v>
      </c>
      <c r="FC45">
        <v>1700242440.5999999</v>
      </c>
      <c r="FD45" t="s">
        <v>545</v>
      </c>
      <c r="FE45">
        <v>1700242435.5999999</v>
      </c>
      <c r="FF45">
        <v>1700242440.5999999</v>
      </c>
      <c r="FG45">
        <v>36</v>
      </c>
      <c r="FH45">
        <v>-2.1999999999999999E-2</v>
      </c>
      <c r="FI45">
        <v>1.0999999999999999E-2</v>
      </c>
      <c r="FJ45">
        <v>-0.127</v>
      </c>
      <c r="FK45">
        <v>0.27500000000000002</v>
      </c>
      <c r="FL45">
        <v>450</v>
      </c>
      <c r="FM45">
        <v>22</v>
      </c>
      <c r="FN45">
        <v>0.03</v>
      </c>
      <c r="FO45">
        <v>0.01</v>
      </c>
      <c r="FP45">
        <v>50.365741687227398</v>
      </c>
      <c r="FQ45">
        <v>-0.56561305461377986</v>
      </c>
      <c r="FR45">
        <v>7.5736482045482723E-2</v>
      </c>
      <c r="FS45">
        <v>1</v>
      </c>
      <c r="FT45">
        <v>0.32320103257813421</v>
      </c>
      <c r="FU45">
        <v>3.7289106287073152E-2</v>
      </c>
      <c r="FV45">
        <v>3.9799956435830602E-3</v>
      </c>
      <c r="FW45">
        <v>1</v>
      </c>
      <c r="FX45">
        <v>2</v>
      </c>
      <c r="FY45">
        <v>2</v>
      </c>
      <c r="FZ45" t="s">
        <v>420</v>
      </c>
      <c r="GA45">
        <v>3.0127199999999998</v>
      </c>
      <c r="GB45">
        <v>2.7769300000000001</v>
      </c>
      <c r="GC45">
        <v>8.6910399999999999E-2</v>
      </c>
      <c r="GD45">
        <v>9.6351500000000007E-2</v>
      </c>
      <c r="GE45">
        <v>0.12300700000000001</v>
      </c>
      <c r="GF45">
        <v>0.10731499999999999</v>
      </c>
      <c r="GG45">
        <v>21871.4</v>
      </c>
      <c r="GH45">
        <v>22355.9</v>
      </c>
      <c r="GI45">
        <v>23725.3</v>
      </c>
      <c r="GJ45">
        <v>24402.799999999999</v>
      </c>
      <c r="GK45">
        <v>30780.2</v>
      </c>
      <c r="GL45">
        <v>31241.8</v>
      </c>
      <c r="GM45">
        <v>38860.9</v>
      </c>
      <c r="GN45">
        <v>38866.400000000001</v>
      </c>
      <c r="GO45">
        <v>2.02467</v>
      </c>
      <c r="GP45">
        <v>1.7620800000000001</v>
      </c>
      <c r="GQ45">
        <v>6.5706700000000007E-2</v>
      </c>
      <c r="GR45">
        <v>0</v>
      </c>
      <c r="GS45">
        <v>29.008800000000001</v>
      </c>
      <c r="GT45">
        <v>999.9</v>
      </c>
      <c r="GU45">
        <v>35.200000000000003</v>
      </c>
      <c r="GV45">
        <v>41.3</v>
      </c>
      <c r="GW45">
        <v>28.296800000000001</v>
      </c>
      <c r="GX45">
        <v>61.099699999999999</v>
      </c>
      <c r="GY45">
        <v>31.366199999999999</v>
      </c>
      <c r="GZ45">
        <v>1</v>
      </c>
      <c r="HA45">
        <v>0.68730199999999997</v>
      </c>
      <c r="HB45">
        <v>3.89201</v>
      </c>
      <c r="HC45">
        <v>20.280100000000001</v>
      </c>
      <c r="HD45">
        <v>5.2413999999999996</v>
      </c>
      <c r="HE45">
        <v>11.9986</v>
      </c>
      <c r="HF45">
        <v>4.9636500000000003</v>
      </c>
      <c r="HG45">
        <v>3.3008999999999999</v>
      </c>
      <c r="HH45">
        <v>9999</v>
      </c>
      <c r="HI45">
        <v>9999</v>
      </c>
      <c r="HJ45">
        <v>9999</v>
      </c>
      <c r="HK45">
        <v>999.9</v>
      </c>
      <c r="HL45">
        <v>1.875</v>
      </c>
      <c r="HM45">
        <v>1.8803399999999999</v>
      </c>
      <c r="HN45">
        <v>1.8804099999999999</v>
      </c>
      <c r="HO45">
        <v>1.8791199999999999</v>
      </c>
      <c r="HP45">
        <v>1.88144</v>
      </c>
      <c r="HQ45">
        <v>1.87741</v>
      </c>
      <c r="HR45">
        <v>1.8751199999999999</v>
      </c>
      <c r="HS45">
        <v>1.88232</v>
      </c>
      <c r="HT45">
        <v>5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423</v>
      </c>
      <c r="IB45" t="s">
        <v>423</v>
      </c>
      <c r="IC45" t="s">
        <v>423</v>
      </c>
      <c r="ID45">
        <v>0</v>
      </c>
      <c r="IE45">
        <v>100</v>
      </c>
      <c r="IF45">
        <v>100</v>
      </c>
      <c r="IG45">
        <v>-0.113</v>
      </c>
      <c r="IH45">
        <v>0.35549999999999998</v>
      </c>
      <c r="II45">
        <v>-0.19813858520528629</v>
      </c>
      <c r="IJ45">
        <v>7.0786345690369205E-4</v>
      </c>
      <c r="IK45">
        <v>-1.387476646623666E-6</v>
      </c>
      <c r="IL45">
        <v>3.6592443641472651E-10</v>
      </c>
      <c r="IM45">
        <v>0.3555121521593288</v>
      </c>
      <c r="IN45">
        <v>0</v>
      </c>
      <c r="IO45">
        <v>0</v>
      </c>
      <c r="IP45">
        <v>0</v>
      </c>
      <c r="IQ45">
        <v>2</v>
      </c>
      <c r="IR45">
        <v>2142</v>
      </c>
      <c r="IS45">
        <v>1</v>
      </c>
      <c r="IT45">
        <v>24</v>
      </c>
      <c r="IU45">
        <v>0.6</v>
      </c>
      <c r="IV45">
        <v>0.5</v>
      </c>
      <c r="IW45">
        <v>1.1230500000000001</v>
      </c>
      <c r="IX45">
        <v>2.6879900000000001</v>
      </c>
      <c r="IY45">
        <v>1.5490699999999999</v>
      </c>
      <c r="IZ45">
        <v>2.36206</v>
      </c>
      <c r="JA45">
        <v>1.5966800000000001</v>
      </c>
      <c r="JB45">
        <v>2.3889200000000002</v>
      </c>
      <c r="JC45">
        <v>44.5852</v>
      </c>
      <c r="JD45">
        <v>24.148800000000001</v>
      </c>
      <c r="JE45">
        <v>18</v>
      </c>
      <c r="JF45">
        <v>538.84699999999998</v>
      </c>
      <c r="JG45">
        <v>434.96100000000001</v>
      </c>
      <c r="JH45">
        <v>25.494299999999999</v>
      </c>
      <c r="JI45">
        <v>35.5443</v>
      </c>
      <c r="JJ45">
        <v>30.000900000000001</v>
      </c>
      <c r="JK45">
        <v>35.581699999999998</v>
      </c>
      <c r="JL45">
        <v>35.581099999999999</v>
      </c>
      <c r="JM45">
        <v>22.455300000000001</v>
      </c>
      <c r="JN45">
        <v>19.682400000000001</v>
      </c>
      <c r="JO45">
        <v>17.681000000000001</v>
      </c>
      <c r="JP45">
        <v>25.432099999999998</v>
      </c>
      <c r="JQ45">
        <v>450</v>
      </c>
      <c r="JR45">
        <v>21.773199999999999</v>
      </c>
      <c r="JS45">
        <v>98.412499999999994</v>
      </c>
      <c r="JT45">
        <v>99.274699999999996</v>
      </c>
    </row>
    <row r="46" spans="1:280" x14ac:dyDescent="0.25">
      <c r="A46">
        <v>30</v>
      </c>
      <c r="B46">
        <v>1700242592.5999999</v>
      </c>
      <c r="C46">
        <v>5458.0999999046326</v>
      </c>
      <c r="D46" t="s">
        <v>546</v>
      </c>
      <c r="E46" t="s">
        <v>547</v>
      </c>
      <c r="F46" t="s">
        <v>412</v>
      </c>
      <c r="G46" t="s">
        <v>542</v>
      </c>
      <c r="H46" t="s">
        <v>413</v>
      </c>
      <c r="I46">
        <v>1700242592.5999999</v>
      </c>
      <c r="J46">
        <f t="shared" si="0"/>
        <v>3.7822010017158083E-3</v>
      </c>
      <c r="K46">
        <f t="shared" si="1"/>
        <v>3.7822010017158081</v>
      </c>
      <c r="L46">
        <f t="shared" si="2"/>
        <v>55.089058641148959</v>
      </c>
      <c r="M46">
        <f t="shared" si="3"/>
        <v>1437.35</v>
      </c>
      <c r="N46">
        <f t="shared" si="4"/>
        <v>1002.4977367104539</v>
      </c>
      <c r="O46">
        <f t="shared" si="5"/>
        <v>99.171662041294667</v>
      </c>
      <c r="P46">
        <f t="shared" si="6"/>
        <v>142.18923715757498</v>
      </c>
      <c r="Q46">
        <f t="shared" si="7"/>
        <v>0.22737326855047013</v>
      </c>
      <c r="R46">
        <f t="shared" si="8"/>
        <v>3.0767586337036432</v>
      </c>
      <c r="S46">
        <f t="shared" si="9"/>
        <v>0.21843383261364541</v>
      </c>
      <c r="T46">
        <f t="shared" si="10"/>
        <v>0.13729503318304204</v>
      </c>
      <c r="U46">
        <f t="shared" si="11"/>
        <v>289.55472041909661</v>
      </c>
      <c r="V46">
        <f t="shared" si="12"/>
        <v>29.76172441883719</v>
      </c>
      <c r="W46">
        <f t="shared" si="13"/>
        <v>30.0322</v>
      </c>
      <c r="X46">
        <f t="shared" si="14"/>
        <v>4.2683360051220216</v>
      </c>
      <c r="Y46">
        <f t="shared" si="15"/>
        <v>64.755211742147907</v>
      </c>
      <c r="Z46">
        <f t="shared" si="16"/>
        <v>2.6150414495351497</v>
      </c>
      <c r="AA46">
        <f t="shared" si="17"/>
        <v>4.0383490057111038</v>
      </c>
      <c r="AB46">
        <f t="shared" si="18"/>
        <v>1.6532945555868719</v>
      </c>
      <c r="AC46">
        <f t="shared" si="19"/>
        <v>-166.79506417566714</v>
      </c>
      <c r="AD46">
        <f t="shared" si="20"/>
        <v>-159.42170463442756</v>
      </c>
      <c r="AE46">
        <f t="shared" si="21"/>
        <v>-11.470039177541377</v>
      </c>
      <c r="AF46">
        <f t="shared" si="22"/>
        <v>-48.132087568539447</v>
      </c>
      <c r="AG46">
        <v>0</v>
      </c>
      <c r="AH46">
        <v>0</v>
      </c>
      <c r="AI46">
        <f t="shared" si="23"/>
        <v>1</v>
      </c>
      <c r="AJ46">
        <f t="shared" si="24"/>
        <v>0</v>
      </c>
      <c r="AK46">
        <f t="shared" si="25"/>
        <v>51878.808884381346</v>
      </c>
      <c r="AL46" t="s">
        <v>446</v>
      </c>
      <c r="AM46" t="s">
        <v>446</v>
      </c>
      <c r="AN46">
        <v>0</v>
      </c>
      <c r="AO46">
        <v>0</v>
      </c>
      <c r="AP46" t="e">
        <f t="shared" si="26"/>
        <v>#DIV/0!</v>
      </c>
      <c r="AQ46">
        <v>0</v>
      </c>
      <c r="AR46" t="s">
        <v>446</v>
      </c>
      <c r="AS46" t="s">
        <v>446</v>
      </c>
      <c r="AT46">
        <v>0</v>
      </c>
      <c r="AU46">
        <v>0</v>
      </c>
      <c r="AV46" t="e">
        <f t="shared" si="27"/>
        <v>#DIV/0!</v>
      </c>
      <c r="AW46">
        <v>0.5</v>
      </c>
      <c r="AX46">
        <f t="shared" si="28"/>
        <v>1513.1256002171485</v>
      </c>
      <c r="AY46">
        <f t="shared" si="29"/>
        <v>55.089058641148959</v>
      </c>
      <c r="AZ46" t="e">
        <f t="shared" si="30"/>
        <v>#DIV/0!</v>
      </c>
      <c r="BA46">
        <f t="shared" si="31"/>
        <v>3.6407459257343296E-2</v>
      </c>
      <c r="BB46" t="e">
        <f t="shared" si="32"/>
        <v>#DIV/0!</v>
      </c>
      <c r="BC46" t="e">
        <f t="shared" si="33"/>
        <v>#DIV/0!</v>
      </c>
      <c r="BD46" t="s">
        <v>446</v>
      </c>
      <c r="BE46">
        <v>0</v>
      </c>
      <c r="BF46" t="e">
        <f t="shared" si="34"/>
        <v>#DIV/0!</v>
      </c>
      <c r="BG46" t="e">
        <f t="shared" si="35"/>
        <v>#DIV/0!</v>
      </c>
      <c r="BH46" t="e">
        <f t="shared" si="36"/>
        <v>#DIV/0!</v>
      </c>
      <c r="BI46" t="e">
        <f t="shared" si="37"/>
        <v>#DIV/0!</v>
      </c>
      <c r="BJ46" t="e">
        <f t="shared" si="38"/>
        <v>#DIV/0!</v>
      </c>
      <c r="BK46" t="e">
        <f t="shared" si="39"/>
        <v>#DIV/0!</v>
      </c>
      <c r="BL46" t="e">
        <f t="shared" si="40"/>
        <v>#DIV/0!</v>
      </c>
      <c r="BM46" t="e">
        <f t="shared" si="41"/>
        <v>#DIV/0!</v>
      </c>
      <c r="BN46">
        <v>34557</v>
      </c>
      <c r="BO46">
        <v>290.00000000000011</v>
      </c>
      <c r="BP46">
        <v>906.36</v>
      </c>
      <c r="BQ46">
        <v>285</v>
      </c>
      <c r="BR46">
        <v>7093.93</v>
      </c>
      <c r="BS46">
        <v>907.59</v>
      </c>
      <c r="BT46">
        <v>-1.23</v>
      </c>
      <c r="BU46">
        <v>300.00000000000011</v>
      </c>
      <c r="BV46">
        <v>38.299999999999997</v>
      </c>
      <c r="BW46">
        <v>1000.538632722398</v>
      </c>
      <c r="BX46">
        <v>1.323466148786278</v>
      </c>
      <c r="BY46">
        <v>-65.93590118578264</v>
      </c>
      <c r="BZ46">
        <v>0.78709003747077422</v>
      </c>
      <c r="CA46">
        <v>0.99602594730227545</v>
      </c>
      <c r="CB46">
        <v>-6.9931314794215889E-3</v>
      </c>
      <c r="CC46">
        <v>289.99999999999989</v>
      </c>
      <c r="CD46">
        <v>916.26</v>
      </c>
      <c r="CE46">
        <v>825</v>
      </c>
      <c r="CF46">
        <v>7087.93</v>
      </c>
      <c r="CG46">
        <v>907.51</v>
      </c>
      <c r="CH46">
        <v>8.75</v>
      </c>
      <c r="CV46">
        <f t="shared" si="42"/>
        <v>1799.93</v>
      </c>
      <c r="CW46">
        <f t="shared" si="43"/>
        <v>1513.1256002171485</v>
      </c>
      <c r="CX46">
        <f t="shared" si="44"/>
        <v>0.84065802571052684</v>
      </c>
      <c r="CY46">
        <f t="shared" si="45"/>
        <v>0.16086998962131671</v>
      </c>
      <c r="CZ46">
        <v>5.18</v>
      </c>
      <c r="DA46">
        <v>0.5</v>
      </c>
      <c r="DB46" t="s">
        <v>418</v>
      </c>
      <c r="DC46">
        <v>2</v>
      </c>
      <c r="DD46">
        <v>1700242592.5999999</v>
      </c>
      <c r="DE46">
        <v>1437.35</v>
      </c>
      <c r="DF46">
        <v>1500.03</v>
      </c>
      <c r="DG46">
        <v>26.434699999999999</v>
      </c>
      <c r="DH46">
        <v>22.621400000000001</v>
      </c>
      <c r="DI46">
        <v>1438</v>
      </c>
      <c r="DJ46">
        <v>26.1357</v>
      </c>
      <c r="DK46">
        <v>500.19400000000002</v>
      </c>
      <c r="DL46">
        <v>98.824799999999996</v>
      </c>
      <c r="DM46">
        <v>9.9774500000000002E-2</v>
      </c>
      <c r="DN46">
        <v>29.071100000000001</v>
      </c>
      <c r="DO46">
        <v>30.0322</v>
      </c>
      <c r="DP46">
        <v>999.9</v>
      </c>
      <c r="DQ46">
        <v>0</v>
      </c>
      <c r="DR46">
        <v>0</v>
      </c>
      <c r="DS46">
        <v>9996.25</v>
      </c>
      <c r="DT46">
        <v>0</v>
      </c>
      <c r="DU46">
        <v>147.05799999999999</v>
      </c>
      <c r="DV46">
        <v>-62.991500000000002</v>
      </c>
      <c r="DW46">
        <v>1476.14</v>
      </c>
      <c r="DX46">
        <v>1534.75</v>
      </c>
      <c r="DY46">
        <v>3.8697900000000001</v>
      </c>
      <c r="DZ46">
        <v>1500.03</v>
      </c>
      <c r="EA46">
        <v>22.621400000000001</v>
      </c>
      <c r="EB46">
        <v>2.6179899999999998</v>
      </c>
      <c r="EC46">
        <v>2.23556</v>
      </c>
      <c r="ED46">
        <v>21.779199999999999</v>
      </c>
      <c r="EE46">
        <v>19.2194</v>
      </c>
      <c r="EF46">
        <v>1799.93</v>
      </c>
      <c r="EG46">
        <v>0.97800399999999998</v>
      </c>
      <c r="EH46">
        <v>2.1996000000000002E-2</v>
      </c>
      <c r="EI46">
        <v>0</v>
      </c>
      <c r="EJ46">
        <v>670.51099999999997</v>
      </c>
      <c r="EK46">
        <v>4.9996700000000001</v>
      </c>
      <c r="EL46">
        <v>14515.2</v>
      </c>
      <c r="EM46">
        <v>15046.2</v>
      </c>
      <c r="EN46">
        <v>49.375</v>
      </c>
      <c r="EO46">
        <v>50.936999999999998</v>
      </c>
      <c r="EP46">
        <v>50.25</v>
      </c>
      <c r="EQ46">
        <v>50.436999999999998</v>
      </c>
      <c r="ER46">
        <v>50.75</v>
      </c>
      <c r="ES46">
        <v>1755.45</v>
      </c>
      <c r="ET46">
        <v>39.479999999999997</v>
      </c>
      <c r="EU46">
        <v>0</v>
      </c>
      <c r="EV46">
        <v>118.7999999523163</v>
      </c>
      <c r="EW46">
        <v>0</v>
      </c>
      <c r="EX46">
        <v>670.36669230769235</v>
      </c>
      <c r="EY46">
        <v>-2.7076918363700121E-2</v>
      </c>
      <c r="EZ46">
        <v>17.945299158784721</v>
      </c>
      <c r="FA46">
        <v>14512.49615384615</v>
      </c>
      <c r="FB46">
        <v>15</v>
      </c>
      <c r="FC46">
        <v>1700242623.0999999</v>
      </c>
      <c r="FD46" t="s">
        <v>548</v>
      </c>
      <c r="FE46">
        <v>1700242623.0999999</v>
      </c>
      <c r="FF46">
        <v>1700242617.5999999</v>
      </c>
      <c r="FG46">
        <v>37</v>
      </c>
      <c r="FH46">
        <v>0.374</v>
      </c>
      <c r="FI46">
        <v>-5.0000000000000001E-3</v>
      </c>
      <c r="FJ46">
        <v>-0.65</v>
      </c>
      <c r="FK46">
        <v>0.29899999999999999</v>
      </c>
      <c r="FL46">
        <v>1500</v>
      </c>
      <c r="FM46">
        <v>23</v>
      </c>
      <c r="FN46">
        <v>0.06</v>
      </c>
      <c r="FO46">
        <v>0.02</v>
      </c>
      <c r="FP46">
        <v>55.369864697371867</v>
      </c>
      <c r="FQ46">
        <v>0.67657052369982962</v>
      </c>
      <c r="FR46">
        <v>7.9614931006893055E-2</v>
      </c>
      <c r="FS46">
        <v>1</v>
      </c>
      <c r="FT46">
        <v>0.2347194055675324</v>
      </c>
      <c r="FU46">
        <v>-3.8462247098203707E-2</v>
      </c>
      <c r="FV46">
        <v>3.0316043094876688E-3</v>
      </c>
      <c r="FW46">
        <v>1</v>
      </c>
      <c r="FX46">
        <v>2</v>
      </c>
      <c r="FY46">
        <v>2</v>
      </c>
      <c r="FZ46" t="s">
        <v>420</v>
      </c>
      <c r="GA46">
        <v>3.01302</v>
      </c>
      <c r="GB46">
        <v>2.7768299999999999</v>
      </c>
      <c r="GC46">
        <v>0.20829900000000001</v>
      </c>
      <c r="GD46">
        <v>0.21451600000000001</v>
      </c>
      <c r="GE46">
        <v>0.121459</v>
      </c>
      <c r="GF46">
        <v>0.110073</v>
      </c>
      <c r="GG46">
        <v>18955.900000000001</v>
      </c>
      <c r="GH46">
        <v>19424.099999999999</v>
      </c>
      <c r="GI46">
        <v>23720.400000000001</v>
      </c>
      <c r="GJ46">
        <v>24398</v>
      </c>
      <c r="GK46">
        <v>30828.400000000001</v>
      </c>
      <c r="GL46">
        <v>31139.4</v>
      </c>
      <c r="GM46">
        <v>38853.800000000003</v>
      </c>
      <c r="GN46">
        <v>38859.9</v>
      </c>
      <c r="GO46">
        <v>2.0235500000000002</v>
      </c>
      <c r="GP46">
        <v>1.76572</v>
      </c>
      <c r="GQ46">
        <v>5.4579200000000001E-2</v>
      </c>
      <c r="GR46">
        <v>0</v>
      </c>
      <c r="GS46">
        <v>29.1434</v>
      </c>
      <c r="GT46">
        <v>999.9</v>
      </c>
      <c r="GU46">
        <v>34.700000000000003</v>
      </c>
      <c r="GV46">
        <v>41.3</v>
      </c>
      <c r="GW46">
        <v>27.895900000000001</v>
      </c>
      <c r="GX46">
        <v>61.369700000000002</v>
      </c>
      <c r="GY46">
        <v>31.330100000000002</v>
      </c>
      <c r="GZ46">
        <v>1</v>
      </c>
      <c r="HA46">
        <v>0.70569099999999996</v>
      </c>
      <c r="HB46">
        <v>6.2282999999999999</v>
      </c>
      <c r="HC46">
        <v>20.202400000000001</v>
      </c>
      <c r="HD46">
        <v>5.24275</v>
      </c>
      <c r="HE46">
        <v>12.004</v>
      </c>
      <c r="HF46">
        <v>4.9631999999999996</v>
      </c>
      <c r="HG46">
        <v>3.3001800000000001</v>
      </c>
      <c r="HH46">
        <v>9999</v>
      </c>
      <c r="HI46">
        <v>9999</v>
      </c>
      <c r="HJ46">
        <v>9999</v>
      </c>
      <c r="HK46">
        <v>999.9</v>
      </c>
      <c r="HL46">
        <v>1.875</v>
      </c>
      <c r="HM46">
        <v>1.8803399999999999</v>
      </c>
      <c r="HN46">
        <v>1.88039</v>
      </c>
      <c r="HO46">
        <v>1.8791199999999999</v>
      </c>
      <c r="HP46">
        <v>1.88141</v>
      </c>
      <c r="HQ46">
        <v>1.8774200000000001</v>
      </c>
      <c r="HR46">
        <v>1.8751500000000001</v>
      </c>
      <c r="HS46">
        <v>1.88232</v>
      </c>
      <c r="HT46">
        <v>5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423</v>
      </c>
      <c r="IB46" t="s">
        <v>423</v>
      </c>
      <c r="IC46" t="s">
        <v>423</v>
      </c>
      <c r="ID46">
        <v>0</v>
      </c>
      <c r="IE46">
        <v>100</v>
      </c>
      <c r="IF46">
        <v>100</v>
      </c>
      <c r="IG46">
        <v>-0.65</v>
      </c>
      <c r="IH46">
        <v>0.29899999999999999</v>
      </c>
      <c r="II46">
        <v>-0.19813858520528629</v>
      </c>
      <c r="IJ46">
        <v>7.0786345690369205E-4</v>
      </c>
      <c r="IK46">
        <v>-1.387476646623666E-6</v>
      </c>
      <c r="IL46">
        <v>3.6592443641472651E-10</v>
      </c>
      <c r="IM46">
        <v>0.3555121521593288</v>
      </c>
      <c r="IN46">
        <v>0</v>
      </c>
      <c r="IO46">
        <v>0</v>
      </c>
      <c r="IP46">
        <v>0</v>
      </c>
      <c r="IQ46">
        <v>2</v>
      </c>
      <c r="IR46">
        <v>2142</v>
      </c>
      <c r="IS46">
        <v>1</v>
      </c>
      <c r="IT46">
        <v>24</v>
      </c>
      <c r="IU46">
        <v>2.6</v>
      </c>
      <c r="IV46">
        <v>2.5</v>
      </c>
      <c r="IW46">
        <v>2.9956100000000001</v>
      </c>
      <c r="IX46">
        <v>2.6355</v>
      </c>
      <c r="IY46">
        <v>1.5490699999999999</v>
      </c>
      <c r="IZ46">
        <v>2.36206</v>
      </c>
      <c r="JA46">
        <v>1.5966800000000001</v>
      </c>
      <c r="JB46">
        <v>2.3791500000000001</v>
      </c>
      <c r="JC46">
        <v>44.613199999999999</v>
      </c>
      <c r="JD46">
        <v>24.14</v>
      </c>
      <c r="JE46">
        <v>18</v>
      </c>
      <c r="JF46">
        <v>538.24800000000005</v>
      </c>
      <c r="JG46">
        <v>437.38</v>
      </c>
      <c r="JH46">
        <v>23.932300000000001</v>
      </c>
      <c r="JI46">
        <v>35.603700000000003</v>
      </c>
      <c r="JJ46">
        <v>30.000499999999999</v>
      </c>
      <c r="JK46">
        <v>35.601300000000002</v>
      </c>
      <c r="JL46">
        <v>35.597499999999997</v>
      </c>
      <c r="JM46">
        <v>59.886800000000001</v>
      </c>
      <c r="JN46">
        <v>14.321099999999999</v>
      </c>
      <c r="JO46">
        <v>16.541899999999998</v>
      </c>
      <c r="JP46">
        <v>23.912099999999999</v>
      </c>
      <c r="JQ46">
        <v>1500</v>
      </c>
      <c r="JR46">
        <v>22.676500000000001</v>
      </c>
      <c r="JS46">
        <v>98.393600000000006</v>
      </c>
      <c r="JT46">
        <v>99.257000000000005</v>
      </c>
    </row>
    <row r="47" spans="1:280" x14ac:dyDescent="0.25">
      <c r="A47">
        <v>31</v>
      </c>
      <c r="B47">
        <v>1700242732.5999999</v>
      </c>
      <c r="C47">
        <v>5598.0999999046326</v>
      </c>
      <c r="D47" t="s">
        <v>549</v>
      </c>
      <c r="E47" t="s">
        <v>550</v>
      </c>
      <c r="F47" t="s">
        <v>412</v>
      </c>
      <c r="G47" t="s">
        <v>542</v>
      </c>
      <c r="H47" t="s">
        <v>413</v>
      </c>
      <c r="I47">
        <v>1700242732.5999999</v>
      </c>
      <c r="J47">
        <f t="shared" si="0"/>
        <v>3.2117481299403141E-3</v>
      </c>
      <c r="K47">
        <f t="shared" si="1"/>
        <v>3.2117481299403141</v>
      </c>
      <c r="L47">
        <f t="shared" si="2"/>
        <v>53.218624297145659</v>
      </c>
      <c r="M47">
        <f t="shared" si="3"/>
        <v>1190.98</v>
      </c>
      <c r="N47">
        <f t="shared" si="4"/>
        <v>696.00171582122539</v>
      </c>
      <c r="O47">
        <f t="shared" si="5"/>
        <v>68.855145384643507</v>
      </c>
      <c r="P47">
        <f t="shared" si="6"/>
        <v>117.82313058444602</v>
      </c>
      <c r="Q47">
        <f t="shared" si="7"/>
        <v>0.18706713643284992</v>
      </c>
      <c r="R47">
        <f t="shared" si="8"/>
        <v>3.0780667779291502</v>
      </c>
      <c r="S47">
        <f t="shared" si="9"/>
        <v>0.180972934117302</v>
      </c>
      <c r="T47">
        <f t="shared" si="10"/>
        <v>0.11363908497315023</v>
      </c>
      <c r="U47">
        <f t="shared" si="11"/>
        <v>289.56748841907796</v>
      </c>
      <c r="V47">
        <f t="shared" si="12"/>
        <v>29.598562879763264</v>
      </c>
      <c r="W47">
        <f t="shared" si="13"/>
        <v>30.093900000000001</v>
      </c>
      <c r="X47">
        <f t="shared" si="14"/>
        <v>4.2834827517406753</v>
      </c>
      <c r="Y47">
        <f t="shared" si="15"/>
        <v>65.244745591255537</v>
      </c>
      <c r="Z47">
        <f t="shared" si="16"/>
        <v>2.5887492249085202</v>
      </c>
      <c r="AA47">
        <f t="shared" si="17"/>
        <v>3.9677512747562598</v>
      </c>
      <c r="AB47">
        <f t="shared" si="18"/>
        <v>1.6947335268321551</v>
      </c>
      <c r="AC47">
        <f t="shared" si="19"/>
        <v>-141.63809253036786</v>
      </c>
      <c r="AD47">
        <f t="shared" si="20"/>
        <v>-220.27504274124041</v>
      </c>
      <c r="AE47">
        <f t="shared" si="21"/>
        <v>-15.822533580722931</v>
      </c>
      <c r="AF47">
        <f t="shared" si="22"/>
        <v>-88.168180433253212</v>
      </c>
      <c r="AG47">
        <v>0</v>
      </c>
      <c r="AH47">
        <v>0</v>
      </c>
      <c r="AI47">
        <f t="shared" si="23"/>
        <v>1</v>
      </c>
      <c r="AJ47">
        <f t="shared" si="24"/>
        <v>0</v>
      </c>
      <c r="AK47">
        <f t="shared" si="25"/>
        <v>51965.314042631515</v>
      </c>
      <c r="AL47" t="s">
        <v>415</v>
      </c>
      <c r="AM47">
        <v>10238.9</v>
      </c>
      <c r="AN47">
        <v>302.21199999999999</v>
      </c>
      <c r="AO47">
        <v>4052.3</v>
      </c>
      <c r="AP47">
        <f t="shared" si="26"/>
        <v>0.92542210596451402</v>
      </c>
      <c r="AQ47">
        <v>-0.32343011824092421</v>
      </c>
      <c r="AR47" t="s">
        <v>551</v>
      </c>
      <c r="AS47">
        <v>7093.09</v>
      </c>
      <c r="AT47">
        <v>669.03652</v>
      </c>
      <c r="AU47">
        <v>1013.4722752982181</v>
      </c>
      <c r="AV47">
        <f t="shared" si="27"/>
        <v>0.33985710679344094</v>
      </c>
      <c r="AW47">
        <v>0.5</v>
      </c>
      <c r="AX47">
        <f t="shared" si="28"/>
        <v>1513.1928002171387</v>
      </c>
      <c r="AY47">
        <f t="shared" si="29"/>
        <v>53.218624297145659</v>
      </c>
      <c r="AZ47">
        <f t="shared" si="30"/>
        <v>257.13466355123103</v>
      </c>
      <c r="BA47">
        <f t="shared" si="31"/>
        <v>3.5383497996886754E-2</v>
      </c>
      <c r="BB47">
        <f t="shared" si="32"/>
        <v>2.998432023024602</v>
      </c>
      <c r="BC47">
        <f t="shared" si="33"/>
        <v>246.98256301701312</v>
      </c>
      <c r="BD47" t="s">
        <v>552</v>
      </c>
      <c r="BE47">
        <v>471.73</v>
      </c>
      <c r="BF47">
        <f t="shared" si="34"/>
        <v>471.73</v>
      </c>
      <c r="BG47">
        <f t="shared" si="35"/>
        <v>0.53454079455583359</v>
      </c>
      <c r="BH47">
        <f t="shared" si="36"/>
        <v>0.63579264717455031</v>
      </c>
      <c r="BI47">
        <f t="shared" si="37"/>
        <v>0.84869943185073382</v>
      </c>
      <c r="BJ47">
        <f t="shared" si="38"/>
        <v>0.48426120122314242</v>
      </c>
      <c r="BK47">
        <f t="shared" si="39"/>
        <v>0.81033504405810797</v>
      </c>
      <c r="BL47">
        <f t="shared" si="40"/>
        <v>0.44829012540548702</v>
      </c>
      <c r="BM47">
        <f t="shared" si="41"/>
        <v>0.55170987459451304</v>
      </c>
      <c r="BN47">
        <v>34559</v>
      </c>
      <c r="BO47">
        <v>290.00000000000011</v>
      </c>
      <c r="BP47">
        <v>910.93</v>
      </c>
      <c r="BQ47">
        <v>275</v>
      </c>
      <c r="BR47">
        <v>7093.09</v>
      </c>
      <c r="BS47">
        <v>912.06</v>
      </c>
      <c r="BT47">
        <v>-1.1299999999999999</v>
      </c>
      <c r="BU47">
        <v>300.00000000000011</v>
      </c>
      <c r="BV47">
        <v>38.299999999999997</v>
      </c>
      <c r="BW47">
        <v>1013.4722752982181</v>
      </c>
      <c r="BX47">
        <v>1.3297557461362499</v>
      </c>
      <c r="BY47">
        <v>-71.933745229660488</v>
      </c>
      <c r="BZ47">
        <v>0.79069863739269397</v>
      </c>
      <c r="CA47">
        <v>0.99662830807449143</v>
      </c>
      <c r="CB47">
        <v>-6.9920171301446022E-3</v>
      </c>
      <c r="CC47">
        <v>289.99999999999989</v>
      </c>
      <c r="CD47">
        <v>920.03</v>
      </c>
      <c r="CE47">
        <v>805</v>
      </c>
      <c r="CF47">
        <v>7087.02</v>
      </c>
      <c r="CG47">
        <v>911.97</v>
      </c>
      <c r="CH47">
        <v>8.06</v>
      </c>
      <c r="CV47">
        <f t="shared" si="42"/>
        <v>1800.01</v>
      </c>
      <c r="CW47">
        <f t="shared" si="43"/>
        <v>1513.1928002171387</v>
      </c>
      <c r="CX47">
        <f t="shared" si="44"/>
        <v>0.84065799646509676</v>
      </c>
      <c r="CY47">
        <f t="shared" si="45"/>
        <v>0.16086993317763676</v>
      </c>
      <c r="CZ47">
        <v>5.18</v>
      </c>
      <c r="DA47">
        <v>0.5</v>
      </c>
      <c r="DB47" t="s">
        <v>418</v>
      </c>
      <c r="DC47">
        <v>2</v>
      </c>
      <c r="DD47">
        <v>1700242732.5999999</v>
      </c>
      <c r="DE47">
        <v>1190.98</v>
      </c>
      <c r="DF47">
        <v>1250.07</v>
      </c>
      <c r="DG47">
        <v>26.1676</v>
      </c>
      <c r="DH47">
        <v>22.927700000000002</v>
      </c>
      <c r="DI47">
        <v>1191.3</v>
      </c>
      <c r="DJ47">
        <v>25.753399999999999</v>
      </c>
      <c r="DK47">
        <v>500.06200000000001</v>
      </c>
      <c r="DL47">
        <v>98.830500000000001</v>
      </c>
      <c r="DM47">
        <v>9.9062700000000004E-2</v>
      </c>
      <c r="DN47">
        <v>28.766500000000001</v>
      </c>
      <c r="DO47">
        <v>30.093900000000001</v>
      </c>
      <c r="DP47">
        <v>999.9</v>
      </c>
      <c r="DQ47">
        <v>0</v>
      </c>
      <c r="DR47">
        <v>0</v>
      </c>
      <c r="DS47">
        <v>10002.5</v>
      </c>
      <c r="DT47">
        <v>0</v>
      </c>
      <c r="DU47">
        <v>124.49299999999999</v>
      </c>
      <c r="DV47">
        <v>-59.084200000000003</v>
      </c>
      <c r="DW47">
        <v>1222.98</v>
      </c>
      <c r="DX47">
        <v>1279.4000000000001</v>
      </c>
      <c r="DY47">
        <v>3.2399300000000002</v>
      </c>
      <c r="DZ47">
        <v>1250.07</v>
      </c>
      <c r="EA47">
        <v>22.927700000000002</v>
      </c>
      <c r="EB47">
        <v>2.58616</v>
      </c>
      <c r="EC47">
        <v>2.2659500000000001</v>
      </c>
      <c r="ED47">
        <v>21.5791</v>
      </c>
      <c r="EE47">
        <v>19.436399999999999</v>
      </c>
      <c r="EF47">
        <v>1800.01</v>
      </c>
      <c r="EG47">
        <v>0.97800699999999996</v>
      </c>
      <c r="EH47">
        <v>2.1992500000000002E-2</v>
      </c>
      <c r="EI47">
        <v>0</v>
      </c>
      <c r="EJ47">
        <v>669.32399999999996</v>
      </c>
      <c r="EK47">
        <v>4.9996700000000001</v>
      </c>
      <c r="EL47">
        <v>14068.7</v>
      </c>
      <c r="EM47">
        <v>15046.9</v>
      </c>
      <c r="EN47">
        <v>49.5</v>
      </c>
      <c r="EO47">
        <v>51.061999999999998</v>
      </c>
      <c r="EP47">
        <v>50.375</v>
      </c>
      <c r="EQ47">
        <v>50.561999999999998</v>
      </c>
      <c r="ER47">
        <v>50.875</v>
      </c>
      <c r="ES47">
        <v>1755.53</v>
      </c>
      <c r="ET47">
        <v>39.479999999999997</v>
      </c>
      <c r="EU47">
        <v>0</v>
      </c>
      <c r="EV47">
        <v>258.59999990463263</v>
      </c>
      <c r="EW47">
        <v>0</v>
      </c>
      <c r="EX47">
        <v>669.03652</v>
      </c>
      <c r="EY47">
        <v>1.3229230407870229</v>
      </c>
      <c r="EZ47">
        <v>-2946.3307639051659</v>
      </c>
      <c r="FA47">
        <v>14277.603999999999</v>
      </c>
      <c r="FB47">
        <v>15</v>
      </c>
      <c r="FC47">
        <v>1700242698.5999999</v>
      </c>
      <c r="FD47" t="s">
        <v>553</v>
      </c>
      <c r="FE47">
        <v>1700242698.5999999</v>
      </c>
      <c r="FF47">
        <v>1700242689.0999999</v>
      </c>
      <c r="FG47">
        <v>38</v>
      </c>
      <c r="FH47">
        <v>1.7999999999999999E-2</v>
      </c>
      <c r="FI47">
        <v>1E-3</v>
      </c>
      <c r="FJ47">
        <v>-0.377</v>
      </c>
      <c r="FK47">
        <v>0.29299999999999998</v>
      </c>
      <c r="FL47">
        <v>1250</v>
      </c>
      <c r="FM47">
        <v>22</v>
      </c>
      <c r="FN47">
        <v>0.08</v>
      </c>
      <c r="FO47">
        <v>0.02</v>
      </c>
      <c r="FP47">
        <v>53.046469177865433</v>
      </c>
      <c r="FQ47">
        <v>-0.36123495476046419</v>
      </c>
      <c r="FR47">
        <v>0.1304628628244818</v>
      </c>
      <c r="FS47">
        <v>1</v>
      </c>
      <c r="FT47">
        <v>0.18606660201139569</v>
      </c>
      <c r="FU47">
        <v>-2.1669106331844389E-2</v>
      </c>
      <c r="FV47">
        <v>1.6408380668761599E-3</v>
      </c>
      <c r="FW47">
        <v>1</v>
      </c>
      <c r="FX47">
        <v>2</v>
      </c>
      <c r="FY47">
        <v>2</v>
      </c>
      <c r="FZ47" t="s">
        <v>420</v>
      </c>
      <c r="GA47">
        <v>3.0127600000000001</v>
      </c>
      <c r="GB47">
        <v>2.77617</v>
      </c>
      <c r="GC47">
        <v>0.18568200000000001</v>
      </c>
      <c r="GD47">
        <v>0.19215499999999999</v>
      </c>
      <c r="GE47">
        <v>0.120211</v>
      </c>
      <c r="GF47">
        <v>0.111097</v>
      </c>
      <c r="GG47">
        <v>19494.3</v>
      </c>
      <c r="GH47">
        <v>19974</v>
      </c>
      <c r="GI47">
        <v>23715</v>
      </c>
      <c r="GJ47">
        <v>24392.5</v>
      </c>
      <c r="GK47">
        <v>30865.8</v>
      </c>
      <c r="GL47">
        <v>31097.200000000001</v>
      </c>
      <c r="GM47">
        <v>38845.199999999997</v>
      </c>
      <c r="GN47">
        <v>38851.4</v>
      </c>
      <c r="GO47">
        <v>2.0219200000000002</v>
      </c>
      <c r="GP47">
        <v>1.7633799999999999</v>
      </c>
      <c r="GQ47">
        <v>7.1674600000000005E-2</v>
      </c>
      <c r="GR47">
        <v>0</v>
      </c>
      <c r="GS47">
        <v>28.926600000000001</v>
      </c>
      <c r="GT47">
        <v>999.9</v>
      </c>
      <c r="GU47">
        <v>34.5</v>
      </c>
      <c r="GV47">
        <v>41.3</v>
      </c>
      <c r="GW47">
        <v>27.731400000000001</v>
      </c>
      <c r="GX47">
        <v>61.469799999999999</v>
      </c>
      <c r="GY47">
        <v>30.749199999999998</v>
      </c>
      <c r="GZ47">
        <v>1</v>
      </c>
      <c r="HA47">
        <v>0.714812</v>
      </c>
      <c r="HB47">
        <v>6.3080299999999996</v>
      </c>
      <c r="HC47">
        <v>20.198699999999999</v>
      </c>
      <c r="HD47">
        <v>5.2421499999999996</v>
      </c>
      <c r="HE47">
        <v>12.004</v>
      </c>
      <c r="HF47">
        <v>4.9631499999999997</v>
      </c>
      <c r="HG47">
        <v>3.3001499999999999</v>
      </c>
      <c r="HH47">
        <v>9999</v>
      </c>
      <c r="HI47">
        <v>9999</v>
      </c>
      <c r="HJ47">
        <v>9999</v>
      </c>
      <c r="HK47">
        <v>999.9</v>
      </c>
      <c r="HL47">
        <v>1.8750100000000001</v>
      </c>
      <c r="HM47">
        <v>1.8803399999999999</v>
      </c>
      <c r="HN47">
        <v>1.8804099999999999</v>
      </c>
      <c r="HO47">
        <v>1.87913</v>
      </c>
      <c r="HP47">
        <v>1.88141</v>
      </c>
      <c r="HQ47">
        <v>1.8774200000000001</v>
      </c>
      <c r="HR47">
        <v>1.8751500000000001</v>
      </c>
      <c r="HS47">
        <v>1.88232</v>
      </c>
      <c r="HT47">
        <v>5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423</v>
      </c>
      <c r="IB47" t="s">
        <v>423</v>
      </c>
      <c r="IC47" t="s">
        <v>423</v>
      </c>
      <c r="ID47">
        <v>0</v>
      </c>
      <c r="IE47">
        <v>100</v>
      </c>
      <c r="IF47">
        <v>100</v>
      </c>
      <c r="IG47">
        <v>-0.32</v>
      </c>
      <c r="IH47">
        <v>0.41420000000000001</v>
      </c>
      <c r="II47">
        <v>0.19165874173680439</v>
      </c>
      <c r="IJ47">
        <v>7.0786345690369205E-4</v>
      </c>
      <c r="IK47">
        <v>-1.387476646623666E-6</v>
      </c>
      <c r="IL47">
        <v>3.6592443641472651E-10</v>
      </c>
      <c r="IM47">
        <v>-7.1472606789279039E-2</v>
      </c>
      <c r="IN47">
        <v>-1.92785045113246E-3</v>
      </c>
      <c r="IO47">
        <v>9.94469593919068E-4</v>
      </c>
      <c r="IP47">
        <v>-7.2714521965658074E-6</v>
      </c>
      <c r="IQ47">
        <v>2</v>
      </c>
      <c r="IR47">
        <v>2142</v>
      </c>
      <c r="IS47">
        <v>1</v>
      </c>
      <c r="IT47">
        <v>24</v>
      </c>
      <c r="IU47">
        <v>0.6</v>
      </c>
      <c r="IV47">
        <v>0.7</v>
      </c>
      <c r="IW47">
        <v>2.5842299999999998</v>
      </c>
      <c r="IX47">
        <v>2.6452599999999999</v>
      </c>
      <c r="IY47">
        <v>1.5490699999999999</v>
      </c>
      <c r="IZ47">
        <v>2.36206</v>
      </c>
      <c r="JA47">
        <v>1.5966800000000001</v>
      </c>
      <c r="JB47">
        <v>2.32178</v>
      </c>
      <c r="JC47">
        <v>44.641199999999998</v>
      </c>
      <c r="JD47">
        <v>24.122499999999999</v>
      </c>
      <c r="JE47">
        <v>18</v>
      </c>
      <c r="JF47">
        <v>537.73699999999997</v>
      </c>
      <c r="JG47">
        <v>436.30700000000002</v>
      </c>
      <c r="JH47">
        <v>23.8568</v>
      </c>
      <c r="JI47">
        <v>35.718600000000002</v>
      </c>
      <c r="JJ47">
        <v>30.0017</v>
      </c>
      <c r="JK47">
        <v>35.673900000000003</v>
      </c>
      <c r="JL47">
        <v>35.658299999999997</v>
      </c>
      <c r="JM47">
        <v>51.684899999999999</v>
      </c>
      <c r="JN47">
        <v>12.4847</v>
      </c>
      <c r="JO47">
        <v>16.517499999999998</v>
      </c>
      <c r="JP47">
        <v>23.767499999999998</v>
      </c>
      <c r="JQ47">
        <v>1250</v>
      </c>
      <c r="JR47">
        <v>22.831399999999999</v>
      </c>
      <c r="JS47">
        <v>98.371600000000001</v>
      </c>
      <c r="JT47">
        <v>99.235100000000003</v>
      </c>
    </row>
    <row r="48" spans="1:280" x14ac:dyDescent="0.25">
      <c r="A48">
        <v>32</v>
      </c>
      <c r="B48">
        <v>1700242839.5999999</v>
      </c>
      <c r="C48">
        <v>5705.0999999046326</v>
      </c>
      <c r="D48" t="s">
        <v>554</v>
      </c>
      <c r="E48" t="s">
        <v>555</v>
      </c>
      <c r="F48" t="s">
        <v>412</v>
      </c>
      <c r="G48" t="s">
        <v>542</v>
      </c>
      <c r="H48" t="s">
        <v>413</v>
      </c>
      <c r="I48">
        <v>1700242839.5999999</v>
      </c>
      <c r="J48">
        <f t="shared" si="0"/>
        <v>3.0174965231711398E-3</v>
      </c>
      <c r="K48">
        <f t="shared" si="1"/>
        <v>3.0174965231711397</v>
      </c>
      <c r="L48">
        <f t="shared" si="2"/>
        <v>50.522764855604372</v>
      </c>
      <c r="M48">
        <f t="shared" si="3"/>
        <v>944.80600000000004</v>
      </c>
      <c r="N48">
        <f t="shared" si="4"/>
        <v>447.09501117701154</v>
      </c>
      <c r="O48">
        <f t="shared" si="5"/>
        <v>44.232170859298286</v>
      </c>
      <c r="P48">
        <f t="shared" si="6"/>
        <v>93.471900549444001</v>
      </c>
      <c r="Q48">
        <f t="shared" si="7"/>
        <v>0.17371308842138067</v>
      </c>
      <c r="R48">
        <f t="shared" si="8"/>
        <v>3.0687382179908669</v>
      </c>
      <c r="S48">
        <f t="shared" si="9"/>
        <v>0.16842923758977515</v>
      </c>
      <c r="T48">
        <f t="shared" si="10"/>
        <v>0.1057296187310669</v>
      </c>
      <c r="U48">
        <f t="shared" si="11"/>
        <v>289.57227641907093</v>
      </c>
      <c r="V48">
        <f t="shared" si="12"/>
        <v>29.47007626991293</v>
      </c>
      <c r="W48">
        <f t="shared" si="13"/>
        <v>30.084399999999999</v>
      </c>
      <c r="X48">
        <f t="shared" si="14"/>
        <v>4.2811475482405479</v>
      </c>
      <c r="Y48">
        <f t="shared" si="15"/>
        <v>65.451778721626354</v>
      </c>
      <c r="Z48">
        <f t="shared" si="16"/>
        <v>2.5700948914842003</v>
      </c>
      <c r="AA48">
        <f t="shared" si="17"/>
        <v>3.9266998417492944</v>
      </c>
      <c r="AB48">
        <f t="shared" si="18"/>
        <v>1.7110526567563475</v>
      </c>
      <c r="AC48">
        <f t="shared" si="19"/>
        <v>-133.07159667184726</v>
      </c>
      <c r="AD48">
        <f t="shared" si="20"/>
        <v>-247.69948513102207</v>
      </c>
      <c r="AE48">
        <f t="shared" si="21"/>
        <v>-17.829856961499967</v>
      </c>
      <c r="AF48">
        <f t="shared" si="22"/>
        <v>-109.02866234529836</v>
      </c>
      <c r="AG48">
        <v>0</v>
      </c>
      <c r="AH48">
        <v>0</v>
      </c>
      <c r="AI48">
        <f t="shared" si="23"/>
        <v>1</v>
      </c>
      <c r="AJ48">
        <f t="shared" si="24"/>
        <v>0</v>
      </c>
      <c r="AK48">
        <f t="shared" si="25"/>
        <v>51753.671203699174</v>
      </c>
      <c r="AL48" t="s">
        <v>446</v>
      </c>
      <c r="AM48" t="s">
        <v>446</v>
      </c>
      <c r="AN48">
        <v>0</v>
      </c>
      <c r="AO48">
        <v>0</v>
      </c>
      <c r="AP48" t="e">
        <f t="shared" si="26"/>
        <v>#DIV/0!</v>
      </c>
      <c r="AQ48">
        <v>0</v>
      </c>
      <c r="AR48" t="s">
        <v>446</v>
      </c>
      <c r="AS48" t="s">
        <v>446</v>
      </c>
      <c r="AT48">
        <v>0</v>
      </c>
      <c r="AU48">
        <v>0</v>
      </c>
      <c r="AV48" t="e">
        <f t="shared" si="27"/>
        <v>#DIV/0!</v>
      </c>
      <c r="AW48">
        <v>0.5</v>
      </c>
      <c r="AX48">
        <f t="shared" si="28"/>
        <v>1513.2180002171351</v>
      </c>
      <c r="AY48">
        <f t="shared" si="29"/>
        <v>50.522764855604372</v>
      </c>
      <c r="AZ48" t="e">
        <f t="shared" si="30"/>
        <v>#DIV/0!</v>
      </c>
      <c r="BA48">
        <f t="shared" si="31"/>
        <v>3.3387631424127089E-2</v>
      </c>
      <c r="BB48" t="e">
        <f t="shared" si="32"/>
        <v>#DIV/0!</v>
      </c>
      <c r="BC48" t="e">
        <f t="shared" si="33"/>
        <v>#DIV/0!</v>
      </c>
      <c r="BD48" t="s">
        <v>446</v>
      </c>
      <c r="BE48">
        <v>0</v>
      </c>
      <c r="BF48" t="e">
        <f t="shared" si="34"/>
        <v>#DIV/0!</v>
      </c>
      <c r="BG48" t="e">
        <f t="shared" si="35"/>
        <v>#DIV/0!</v>
      </c>
      <c r="BH48" t="e">
        <f t="shared" si="36"/>
        <v>#DIV/0!</v>
      </c>
      <c r="BI48" t="e">
        <f t="shared" si="37"/>
        <v>#DIV/0!</v>
      </c>
      <c r="BJ48" t="e">
        <f t="shared" si="38"/>
        <v>#DIV/0!</v>
      </c>
      <c r="BK48" t="e">
        <f t="shared" si="39"/>
        <v>#DIV/0!</v>
      </c>
      <c r="BL48" t="e">
        <f t="shared" si="40"/>
        <v>#DIV/0!</v>
      </c>
      <c r="BM48" t="e">
        <f t="shared" si="41"/>
        <v>#DIV/0!</v>
      </c>
      <c r="BN48">
        <v>34559</v>
      </c>
      <c r="BO48">
        <v>290.00000000000011</v>
      </c>
      <c r="BP48">
        <v>910.93</v>
      </c>
      <c r="BQ48">
        <v>275</v>
      </c>
      <c r="BR48">
        <v>7093.09</v>
      </c>
      <c r="BS48">
        <v>912.06</v>
      </c>
      <c r="BT48">
        <v>-1.1299999999999999</v>
      </c>
      <c r="BU48">
        <v>300.00000000000011</v>
      </c>
      <c r="BV48">
        <v>38.299999999999997</v>
      </c>
      <c r="BW48">
        <v>1013.4722752982181</v>
      </c>
      <c r="BX48">
        <v>1.3297557461362499</v>
      </c>
      <c r="BY48">
        <v>-71.933745229660488</v>
      </c>
      <c r="BZ48">
        <v>0.79069863739269397</v>
      </c>
      <c r="CA48">
        <v>0.99662830807449143</v>
      </c>
      <c r="CB48">
        <v>-6.9920171301446022E-3</v>
      </c>
      <c r="CC48">
        <v>289.99999999999989</v>
      </c>
      <c r="CD48">
        <v>920.03</v>
      </c>
      <c r="CE48">
        <v>805</v>
      </c>
      <c r="CF48">
        <v>7087.02</v>
      </c>
      <c r="CG48">
        <v>911.97</v>
      </c>
      <c r="CH48">
        <v>8.06</v>
      </c>
      <c r="CV48">
        <f t="shared" si="42"/>
        <v>1800.04</v>
      </c>
      <c r="CW48">
        <f t="shared" si="43"/>
        <v>1513.2180002171351</v>
      </c>
      <c r="CX48">
        <f t="shared" si="44"/>
        <v>0.84065798549873061</v>
      </c>
      <c r="CY48">
        <f t="shared" si="45"/>
        <v>0.16086991201255024</v>
      </c>
      <c r="CZ48">
        <v>5.18</v>
      </c>
      <c r="DA48">
        <v>0.5</v>
      </c>
      <c r="DB48" t="s">
        <v>418</v>
      </c>
      <c r="DC48">
        <v>2</v>
      </c>
      <c r="DD48">
        <v>1700242839.5999999</v>
      </c>
      <c r="DE48">
        <v>944.80600000000004</v>
      </c>
      <c r="DF48">
        <v>1000.09</v>
      </c>
      <c r="DG48">
        <v>25.978300000000001</v>
      </c>
      <c r="DH48">
        <v>22.934000000000001</v>
      </c>
      <c r="DI48">
        <v>944.803</v>
      </c>
      <c r="DJ48">
        <v>25.571999999999999</v>
      </c>
      <c r="DK48">
        <v>500.101</v>
      </c>
      <c r="DL48">
        <v>98.831800000000001</v>
      </c>
      <c r="DM48">
        <v>0.100574</v>
      </c>
      <c r="DN48">
        <v>28.587199999999999</v>
      </c>
      <c r="DO48">
        <v>30.084399999999999</v>
      </c>
      <c r="DP48">
        <v>999.9</v>
      </c>
      <c r="DQ48">
        <v>0</v>
      </c>
      <c r="DR48">
        <v>0</v>
      </c>
      <c r="DS48">
        <v>9953.75</v>
      </c>
      <c r="DT48">
        <v>0</v>
      </c>
      <c r="DU48">
        <v>152.46299999999999</v>
      </c>
      <c r="DV48">
        <v>-55.287700000000001</v>
      </c>
      <c r="DW48">
        <v>970.005</v>
      </c>
      <c r="DX48">
        <v>1023.57</v>
      </c>
      <c r="DY48">
        <v>3.04427</v>
      </c>
      <c r="DZ48">
        <v>1000.09</v>
      </c>
      <c r="EA48">
        <v>22.934000000000001</v>
      </c>
      <c r="EB48">
        <v>2.5674800000000002</v>
      </c>
      <c r="EC48">
        <v>2.26661</v>
      </c>
      <c r="ED48">
        <v>21.460699999999999</v>
      </c>
      <c r="EE48">
        <v>19.440999999999999</v>
      </c>
      <c r="EF48">
        <v>1800.04</v>
      </c>
      <c r="EG48">
        <v>0.97800699999999996</v>
      </c>
      <c r="EH48">
        <v>2.1992500000000002E-2</v>
      </c>
      <c r="EI48">
        <v>0</v>
      </c>
      <c r="EJ48">
        <v>668.28</v>
      </c>
      <c r="EK48">
        <v>4.9996700000000001</v>
      </c>
      <c r="EL48">
        <v>14709.4</v>
      </c>
      <c r="EM48">
        <v>15047.1</v>
      </c>
      <c r="EN48">
        <v>49.561999999999998</v>
      </c>
      <c r="EO48">
        <v>51.186999999999998</v>
      </c>
      <c r="EP48">
        <v>50.5</v>
      </c>
      <c r="EQ48">
        <v>50.625</v>
      </c>
      <c r="ER48">
        <v>50.875</v>
      </c>
      <c r="ES48">
        <v>1755.56</v>
      </c>
      <c r="ET48">
        <v>39.479999999999997</v>
      </c>
      <c r="EU48">
        <v>0</v>
      </c>
      <c r="EV48">
        <v>105.2000000476837</v>
      </c>
      <c r="EW48">
        <v>0</v>
      </c>
      <c r="EX48">
        <v>669.11950000000002</v>
      </c>
      <c r="EY48">
        <v>-4.273196600458177</v>
      </c>
      <c r="EZ48">
        <v>-81.319658105427891</v>
      </c>
      <c r="FA48">
        <v>14716.85384615385</v>
      </c>
      <c r="FB48">
        <v>15</v>
      </c>
      <c r="FC48">
        <v>1700242811.5999999</v>
      </c>
      <c r="FD48" t="s">
        <v>556</v>
      </c>
      <c r="FE48">
        <v>1700242811.5999999</v>
      </c>
      <c r="FF48">
        <v>1700242807.0999999</v>
      </c>
      <c r="FG48">
        <v>39</v>
      </c>
      <c r="FH48">
        <v>7.1999999999999995E-2</v>
      </c>
      <c r="FI48">
        <v>-2E-3</v>
      </c>
      <c r="FJ48">
        <v>-4.9000000000000002E-2</v>
      </c>
      <c r="FK48">
        <v>0.29799999999999999</v>
      </c>
      <c r="FL48">
        <v>1000</v>
      </c>
      <c r="FM48">
        <v>23</v>
      </c>
      <c r="FN48">
        <v>0.08</v>
      </c>
      <c r="FO48">
        <v>0.04</v>
      </c>
      <c r="FP48">
        <v>50.464941770707377</v>
      </c>
      <c r="FQ48">
        <v>-0.13273211840486659</v>
      </c>
      <c r="FR48">
        <v>4.1338670297280701E-2</v>
      </c>
      <c r="FS48">
        <v>1</v>
      </c>
      <c r="FT48">
        <v>0.17189518797684389</v>
      </c>
      <c r="FU48">
        <v>8.0315953679561836E-3</v>
      </c>
      <c r="FV48">
        <v>6.9370519516668498E-4</v>
      </c>
      <c r="FW48">
        <v>1</v>
      </c>
      <c r="FX48">
        <v>2</v>
      </c>
      <c r="FY48">
        <v>2</v>
      </c>
      <c r="FZ48" t="s">
        <v>420</v>
      </c>
      <c r="GA48">
        <v>3.0129100000000002</v>
      </c>
      <c r="GB48">
        <v>2.7772600000000001</v>
      </c>
      <c r="GC48">
        <v>0.16031400000000001</v>
      </c>
      <c r="GD48">
        <v>0.16709099999999999</v>
      </c>
      <c r="GE48">
        <v>0.119606</v>
      </c>
      <c r="GF48">
        <v>0.111105</v>
      </c>
      <c r="GG48">
        <v>20100.7</v>
      </c>
      <c r="GH48">
        <v>20593.2</v>
      </c>
      <c r="GI48">
        <v>23712.7</v>
      </c>
      <c r="GJ48">
        <v>24390.5</v>
      </c>
      <c r="GK48">
        <v>30884.6</v>
      </c>
      <c r="GL48">
        <v>31094.6</v>
      </c>
      <c r="GM48">
        <v>38841.599999999999</v>
      </c>
      <c r="GN48">
        <v>38848.1</v>
      </c>
      <c r="GO48">
        <v>2.0216500000000002</v>
      </c>
      <c r="GP48">
        <v>1.7608699999999999</v>
      </c>
      <c r="GQ48">
        <v>7.8845799999999994E-2</v>
      </c>
      <c r="GR48">
        <v>0</v>
      </c>
      <c r="GS48">
        <v>28.8001</v>
      </c>
      <c r="GT48">
        <v>999.9</v>
      </c>
      <c r="GU48">
        <v>34.200000000000003</v>
      </c>
      <c r="GV48">
        <v>41.4</v>
      </c>
      <c r="GW48">
        <v>27.6371</v>
      </c>
      <c r="GX48">
        <v>61.389800000000001</v>
      </c>
      <c r="GY48">
        <v>30.629000000000001</v>
      </c>
      <c r="GZ48">
        <v>1</v>
      </c>
      <c r="HA48">
        <v>0.712005</v>
      </c>
      <c r="HB48">
        <v>5.1322599999999996</v>
      </c>
      <c r="HC48">
        <v>20.2438</v>
      </c>
      <c r="HD48">
        <v>5.24559</v>
      </c>
      <c r="HE48">
        <v>12.0022</v>
      </c>
      <c r="HF48">
        <v>4.9636500000000003</v>
      </c>
      <c r="HG48">
        <v>3.30078</v>
      </c>
      <c r="HH48">
        <v>9999</v>
      </c>
      <c r="HI48">
        <v>9999</v>
      </c>
      <c r="HJ48">
        <v>9999</v>
      </c>
      <c r="HK48">
        <v>999.9</v>
      </c>
      <c r="HL48">
        <v>1.875</v>
      </c>
      <c r="HM48">
        <v>1.8803399999999999</v>
      </c>
      <c r="HN48">
        <v>1.88043</v>
      </c>
      <c r="HO48">
        <v>1.8791199999999999</v>
      </c>
      <c r="HP48">
        <v>1.88144</v>
      </c>
      <c r="HQ48">
        <v>1.8774</v>
      </c>
      <c r="HR48">
        <v>1.87513</v>
      </c>
      <c r="HS48">
        <v>1.88232</v>
      </c>
      <c r="HT48">
        <v>5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423</v>
      </c>
      <c r="IB48" t="s">
        <v>423</v>
      </c>
      <c r="IC48" t="s">
        <v>423</v>
      </c>
      <c r="ID48">
        <v>0</v>
      </c>
      <c r="IE48">
        <v>100</v>
      </c>
      <c r="IF48">
        <v>100</v>
      </c>
      <c r="IG48">
        <v>3.0000000000000001E-3</v>
      </c>
      <c r="IH48">
        <v>0.40629999999999999</v>
      </c>
      <c r="II48">
        <v>0.26428298405428718</v>
      </c>
      <c r="IJ48">
        <v>7.0786345690369205E-4</v>
      </c>
      <c r="IK48">
        <v>-1.387476646623666E-6</v>
      </c>
      <c r="IL48">
        <v>3.6592443641472651E-10</v>
      </c>
      <c r="IM48">
        <v>-7.3119306876142667E-2</v>
      </c>
      <c r="IN48">
        <v>-1.92785045113246E-3</v>
      </c>
      <c r="IO48">
        <v>9.94469593919068E-4</v>
      </c>
      <c r="IP48">
        <v>-7.2714521965658074E-6</v>
      </c>
      <c r="IQ48">
        <v>2</v>
      </c>
      <c r="IR48">
        <v>2142</v>
      </c>
      <c r="IS48">
        <v>1</v>
      </c>
      <c r="IT48">
        <v>24</v>
      </c>
      <c r="IU48">
        <v>0.5</v>
      </c>
      <c r="IV48">
        <v>0.5</v>
      </c>
      <c r="IW48">
        <v>2.1545399999999999</v>
      </c>
      <c r="IX48">
        <v>2.65015</v>
      </c>
      <c r="IY48">
        <v>1.5490699999999999</v>
      </c>
      <c r="IZ48">
        <v>2.36328</v>
      </c>
      <c r="JA48">
        <v>1.5966800000000001</v>
      </c>
      <c r="JB48">
        <v>2.3095699999999999</v>
      </c>
      <c r="JC48">
        <v>44.669199999999996</v>
      </c>
      <c r="JD48">
        <v>24.148800000000001</v>
      </c>
      <c r="JE48">
        <v>18</v>
      </c>
      <c r="JF48">
        <v>538.07299999999998</v>
      </c>
      <c r="JG48">
        <v>435.14400000000001</v>
      </c>
      <c r="JH48">
        <v>24.634599999999999</v>
      </c>
      <c r="JI48">
        <v>35.799500000000002</v>
      </c>
      <c r="JJ48">
        <v>30.004100000000001</v>
      </c>
      <c r="JK48">
        <v>35.739100000000001</v>
      </c>
      <c r="JL48">
        <v>35.719299999999997</v>
      </c>
      <c r="JM48">
        <v>43.067799999999998</v>
      </c>
      <c r="JN48">
        <v>12.283200000000001</v>
      </c>
      <c r="JO48">
        <v>16.496200000000002</v>
      </c>
      <c r="JP48">
        <v>24.442299999999999</v>
      </c>
      <c r="JQ48">
        <v>1000</v>
      </c>
      <c r="JR48">
        <v>22.793900000000001</v>
      </c>
      <c r="JS48">
        <v>98.362300000000005</v>
      </c>
      <c r="JT48">
        <v>99.226799999999997</v>
      </c>
    </row>
    <row r="49" spans="1:280" x14ac:dyDescent="0.25">
      <c r="A49">
        <v>33</v>
      </c>
      <c r="B49">
        <v>1700242967.0999999</v>
      </c>
      <c r="C49">
        <v>5832.5999999046326</v>
      </c>
      <c r="D49" t="s">
        <v>557</v>
      </c>
      <c r="E49" t="s">
        <v>558</v>
      </c>
      <c r="F49" t="s">
        <v>412</v>
      </c>
      <c r="G49" t="s">
        <v>542</v>
      </c>
      <c r="H49" t="s">
        <v>413</v>
      </c>
      <c r="I49">
        <v>1700242967.0999999</v>
      </c>
      <c r="J49">
        <f t="shared" ref="J49:J80" si="46">(K49)/1000</f>
        <v>3.2466720433153178E-3</v>
      </c>
      <c r="K49">
        <f t="shared" ref="K49:K80" si="47">1000*DK49*AI49*(DG49-DH49)/(100*CZ49*(1000-AI49*DG49))</f>
        <v>3.2466720433153178</v>
      </c>
      <c r="L49">
        <f t="shared" ref="L49:L80" si="48">DK49*AI49*(DF49-DE49*(1000-AI49*DH49)/(1000-AI49*DG49))/(100*CZ49)</f>
        <v>50.455956906499871</v>
      </c>
      <c r="M49">
        <f t="shared" ref="M49:M80" si="49">DE49 - IF(AI49&gt;1, L49*CZ49*100/(AK49*DS49), 0)</f>
        <v>695.33</v>
      </c>
      <c r="N49">
        <f t="shared" ref="N49:N80" si="50">((T49-J49/2)*M49-L49)/(T49+J49/2)</f>
        <v>260.14261175914112</v>
      </c>
      <c r="O49">
        <f t="shared" ref="O49:O80" si="51">N49*(DL49+DM49)/1000</f>
        <v>25.735596410197722</v>
      </c>
      <c r="P49">
        <f t="shared" ref="P49:P80" si="52">(DE49 - IF(AI49&gt;1, L49*CZ49*100/(AK49*DS49), 0))*(DL49+DM49)/1000</f>
        <v>68.788162504000013</v>
      </c>
      <c r="Q49">
        <f t="shared" ref="Q49:Q80" si="53">2/((1/S49-1/R49)+SIGN(S49)*SQRT((1/S49-1/R49)*(1/S49-1/R49) + 4*DA49/((DA49+1)*(DA49+1))*(2*1/S49*1/R49-1/R49*1/R49)))</f>
        <v>0.19701580515614317</v>
      </c>
      <c r="R49">
        <f t="shared" ref="R49:R80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3.0780279972267257</v>
      </c>
      <c r="S49">
        <f t="shared" ref="S49:S80" si="55">J49*(1000-(1000*0.61365*EXP(17.502*W49/(240.97+W49))/(DL49+DM49)+DG49)/2)/(1000*0.61365*EXP(17.502*W49/(240.97+W49))/(DL49+DM49)-DG49)</f>
        <v>0.1902686562815474</v>
      </c>
      <c r="T49">
        <f t="shared" ref="T49:T80" si="56">1/((DA49+1)/(Q49/1.6)+1/(R49/1.37)) + DA49/((DA49+1)/(Q49/1.6) + DA49/(R49/1.37))</f>
        <v>0.11950486484707595</v>
      </c>
      <c r="U49">
        <f t="shared" ref="U49:U80" si="57">(CV49*CY49)</f>
        <v>289.5611044190872</v>
      </c>
      <c r="V49">
        <f t="shared" ref="V49:V80" si="58">(DN49+(U49+2*0.95*0.0000000567*(((DN49+$B$7)+273)^4-(DN49+273)^4)-44100*J49)/(1.84*29.3*R49+8*0.95*0.0000000567*(DN49+273)^3))</f>
        <v>29.692217912509399</v>
      </c>
      <c r="W49">
        <f t="shared" ref="W49:W80" si="59">($C$7*DO49+$D$7*DP49+$E$7*V49)</f>
        <v>29.863</v>
      </c>
      <c r="X49">
        <f t="shared" ref="X49:X80" si="60">0.61365*EXP(17.502*W49/(240.97+W49))</f>
        <v>4.2270383187453326</v>
      </c>
      <c r="Y49">
        <f t="shared" ref="Y49:Y80" si="61">(Z49/AA49*100)</f>
        <v>65.069936197176048</v>
      </c>
      <c r="Z49">
        <f t="shared" ref="Z49:Z80" si="62">DG49*(DL49+DM49)/1000</f>
        <v>2.5971777864000001</v>
      </c>
      <c r="AA49">
        <f t="shared" ref="AA49:AA80" si="63">0.61365*EXP(17.502*DN49/(240.97+DN49))</f>
        <v>3.9913636591405086</v>
      </c>
      <c r="AB49">
        <f t="shared" ref="AB49:AB80" si="64">(X49-DG49*(DL49+DM49)/1000)</f>
        <v>1.6298605323453326</v>
      </c>
      <c r="AC49">
        <f t="shared" ref="AC49:AC80" si="65">(-J49*44100)</f>
        <v>-143.17823711020552</v>
      </c>
      <c r="AD49">
        <f t="shared" ref="AD49:AD80" si="66">2*29.3*R49*0.92*(DN49-W49)</f>
        <v>-164.96358377870689</v>
      </c>
      <c r="AE49">
        <f t="shared" ref="AE49:AE80" si="67">2*0.95*0.0000000567*(((DN49+$B$7)+273)^4-(W49+273)^4)</f>
        <v>-11.842040639271053</v>
      </c>
      <c r="AF49">
        <f t="shared" ref="AF49:AF80" si="68">U49+AE49+AC49+AD49</f>
        <v>-30.422757109096239</v>
      </c>
      <c r="AG49">
        <v>0</v>
      </c>
      <c r="AH49">
        <v>0</v>
      </c>
      <c r="AI49">
        <f t="shared" ref="AI49:AI80" si="69">IF(AG49*$H$13&gt;=AK49,1,(AK49/(AK49-AG49*$H$13)))</f>
        <v>1</v>
      </c>
      <c r="AJ49">
        <f t="shared" ref="AJ49:AJ80" si="70">(AI49-1)*100</f>
        <v>0</v>
      </c>
      <c r="AK49">
        <f t="shared" ref="AK49:AK80" si="71">MAX(0,($B$13+$C$13*DS49)/(1+$D$13*DS49)*DL49/(DN49+273)*$E$13)</f>
        <v>51946.635115264267</v>
      </c>
      <c r="AL49" t="s">
        <v>415</v>
      </c>
      <c r="AM49">
        <v>10238.9</v>
      </c>
      <c r="AN49">
        <v>302.21199999999999</v>
      </c>
      <c r="AO49">
        <v>4052.3</v>
      </c>
      <c r="AP49">
        <f t="shared" ref="AP49:AP80" si="72">1-AN49/AO49</f>
        <v>0.92542210596451402</v>
      </c>
      <c r="AQ49">
        <v>-0.32343011824092421</v>
      </c>
      <c r="AR49" t="s">
        <v>559</v>
      </c>
      <c r="AS49">
        <v>7091.94</v>
      </c>
      <c r="AT49">
        <v>666.70942307692303</v>
      </c>
      <c r="AU49">
        <v>978.60080970443437</v>
      </c>
      <c r="AV49">
        <f t="shared" ref="AV49:AV80" si="73">1-AT49/AU49</f>
        <v>0.31871155586077182</v>
      </c>
      <c r="AW49">
        <v>0.5</v>
      </c>
      <c r="AX49">
        <f t="shared" ref="AX49:AX80" si="74">CW49</f>
        <v>1513.1592002171435</v>
      </c>
      <c r="AY49">
        <f t="shared" ref="AY49:AY80" si="75">L49</f>
        <v>50.455956906499871</v>
      </c>
      <c r="AZ49">
        <f t="shared" ref="AZ49:AZ80" si="76">AV49*AW49*AX49</f>
        <v>241.13066148312348</v>
      </c>
      <c r="BA49">
        <f t="shared" ref="BA49:BA80" si="77">(AY49-AQ49)/AX49</f>
        <v>3.3558522472357022E-2</v>
      </c>
      <c r="BB49">
        <f t="shared" ref="BB49:BB80" si="78">(AO49-AU49)/AU49</f>
        <v>3.1409121674688905</v>
      </c>
      <c r="BC49">
        <f t="shared" ref="BC49:BC80" si="79">AN49/(AP49+AN49/AU49)</f>
        <v>244.85623521345249</v>
      </c>
      <c r="BD49" t="s">
        <v>560</v>
      </c>
      <c r="BE49">
        <v>465.97</v>
      </c>
      <c r="BF49">
        <f t="shared" ref="BF49:BF80" si="80">IF(BE49&lt;&gt;0, BE49, BC49)</f>
        <v>465.97</v>
      </c>
      <c r="BG49">
        <f t="shared" ref="BG49:BG80" si="81">1-BF49/AU49</f>
        <v>0.52384057382832494</v>
      </c>
      <c r="BH49">
        <f t="shared" ref="BH49:BH80" si="82">(AU49-AT49)/(AU49-BF49)</f>
        <v>0.60841326881491464</v>
      </c>
      <c r="BI49">
        <f t="shared" ref="BI49:BI80" si="83">(AO49-AU49)/(AO49-BF49)</f>
        <v>0.85705977706891612</v>
      </c>
      <c r="BJ49">
        <f t="shared" ref="BJ49:BJ80" si="84">(AU49-AT49)/(AU49-AN49)</f>
        <v>0.46111257630622299</v>
      </c>
      <c r="BK49">
        <f t="shared" ref="BK49:BK80" si="85">(AO49-AU49)/(AO49-AN49)</f>
        <v>0.81963388333702192</v>
      </c>
      <c r="BL49">
        <f t="shared" ref="BL49:BL80" si="86">(BH49*BF49/AT49)</f>
        <v>0.42522622458416359</v>
      </c>
      <c r="BM49">
        <f t="shared" ref="BM49:BM80" si="87">(1-BL49)</f>
        <v>0.57477377541583641</v>
      </c>
      <c r="BN49">
        <v>34561</v>
      </c>
      <c r="BO49">
        <v>290.00000000000011</v>
      </c>
      <c r="BP49">
        <v>888.15</v>
      </c>
      <c r="BQ49">
        <v>285</v>
      </c>
      <c r="BR49">
        <v>7091.94</v>
      </c>
      <c r="BS49">
        <v>889.4</v>
      </c>
      <c r="BT49">
        <v>-1.25</v>
      </c>
      <c r="BU49">
        <v>300.00000000000011</v>
      </c>
      <c r="BV49">
        <v>38.299999999999997</v>
      </c>
      <c r="BW49">
        <v>978.60080970443437</v>
      </c>
      <c r="BX49">
        <v>1.4718315782183391</v>
      </c>
      <c r="BY49">
        <v>-63.260586429170431</v>
      </c>
      <c r="BZ49">
        <v>0.87508226944838408</v>
      </c>
      <c r="CA49">
        <v>0.99467071794497008</v>
      </c>
      <c r="CB49">
        <v>-6.9910796440489382E-3</v>
      </c>
      <c r="CC49">
        <v>289.99999999999989</v>
      </c>
      <c r="CD49">
        <v>897.63</v>
      </c>
      <c r="CE49">
        <v>825</v>
      </c>
      <c r="CF49">
        <v>7085.9</v>
      </c>
      <c r="CG49">
        <v>889.32</v>
      </c>
      <c r="CH49">
        <v>8.31</v>
      </c>
      <c r="CV49">
        <f t="shared" ref="CV49:CV80" si="88">$B$11*DT49+$C$11*DU49+$F$11*EF49*(1-EI49)</f>
        <v>1799.97</v>
      </c>
      <c r="CW49">
        <f t="shared" ref="CW49:CW80" si="89">CV49*CX49</f>
        <v>1513.1592002171435</v>
      </c>
      <c r="CX49">
        <f t="shared" ref="CX49:CX80" si="90">($B$11*$D$9+$C$11*$D$9+$F$11*((ES49+EK49)/MAX(ES49+EK49+ET49, 0.1)*$I$9+ET49/MAX(ES49+EK49+ET49, 0.1)*$J$9))/($B$11+$C$11+$F$11)</f>
        <v>0.84065801108748672</v>
      </c>
      <c r="CY49">
        <f t="shared" ref="CY49:CY80" si="91">($B$11*$K$9+$C$11*$K$9+$F$11*((ES49+EK49)/MAX(ES49+EK49+ET49, 0.1)*$P$9+ET49/MAX(ES49+EK49+ET49, 0.1)*$Q$9))/($B$11+$C$11+$F$11)</f>
        <v>0.16086996139884954</v>
      </c>
      <c r="CZ49">
        <v>5.18</v>
      </c>
      <c r="DA49">
        <v>0.5</v>
      </c>
      <c r="DB49" t="s">
        <v>418</v>
      </c>
      <c r="DC49">
        <v>2</v>
      </c>
      <c r="DD49">
        <v>1700242967.0999999</v>
      </c>
      <c r="DE49">
        <v>695.33</v>
      </c>
      <c r="DF49">
        <v>749.93700000000001</v>
      </c>
      <c r="DG49">
        <v>26.253</v>
      </c>
      <c r="DH49">
        <v>22.978000000000002</v>
      </c>
      <c r="DI49">
        <v>695.55399999999997</v>
      </c>
      <c r="DJ49">
        <v>25.8432</v>
      </c>
      <c r="DK49">
        <v>500.03800000000001</v>
      </c>
      <c r="DL49">
        <v>98.828500000000005</v>
      </c>
      <c r="DM49">
        <v>0.1003</v>
      </c>
      <c r="DN49">
        <v>28.8689</v>
      </c>
      <c r="DO49">
        <v>29.863</v>
      </c>
      <c r="DP49">
        <v>999.9</v>
      </c>
      <c r="DQ49">
        <v>0</v>
      </c>
      <c r="DR49">
        <v>0</v>
      </c>
      <c r="DS49">
        <v>10002.5</v>
      </c>
      <c r="DT49">
        <v>0</v>
      </c>
      <c r="DU49">
        <v>180.31</v>
      </c>
      <c r="DV49">
        <v>-54.6068</v>
      </c>
      <c r="DW49">
        <v>714.077</v>
      </c>
      <c r="DX49">
        <v>767.57399999999996</v>
      </c>
      <c r="DY49">
        <v>3.2750699999999999</v>
      </c>
      <c r="DZ49">
        <v>749.93700000000001</v>
      </c>
      <c r="EA49">
        <v>22.978000000000002</v>
      </c>
      <c r="EB49">
        <v>2.5945499999999999</v>
      </c>
      <c r="EC49">
        <v>2.27088</v>
      </c>
      <c r="ED49">
        <v>21.632100000000001</v>
      </c>
      <c r="EE49">
        <v>19.471299999999999</v>
      </c>
      <c r="EF49">
        <v>1799.97</v>
      </c>
      <c r="EG49">
        <v>0.97800699999999996</v>
      </c>
      <c r="EH49">
        <v>2.1992500000000002E-2</v>
      </c>
      <c r="EI49">
        <v>0</v>
      </c>
      <c r="EJ49">
        <v>666.73</v>
      </c>
      <c r="EK49">
        <v>4.9996700000000001</v>
      </c>
      <c r="EL49">
        <v>14847</v>
      </c>
      <c r="EM49">
        <v>15046.6</v>
      </c>
      <c r="EN49">
        <v>49.625</v>
      </c>
      <c r="EO49">
        <v>51.311999999999998</v>
      </c>
      <c r="EP49">
        <v>50.625</v>
      </c>
      <c r="EQ49">
        <v>50.75</v>
      </c>
      <c r="ER49">
        <v>51</v>
      </c>
      <c r="ES49">
        <v>1755.49</v>
      </c>
      <c r="ET49">
        <v>39.479999999999997</v>
      </c>
      <c r="EU49">
        <v>0</v>
      </c>
      <c r="EV49">
        <v>232.4000000953674</v>
      </c>
      <c r="EW49">
        <v>0</v>
      </c>
      <c r="EX49">
        <v>666.70942307692303</v>
      </c>
      <c r="EY49">
        <v>-0.4450940233983724</v>
      </c>
      <c r="EZ49">
        <v>-138.9025639593082</v>
      </c>
      <c r="FA49">
        <v>14859.81923076923</v>
      </c>
      <c r="FB49">
        <v>15</v>
      </c>
      <c r="FC49">
        <v>1700242902.0999999</v>
      </c>
      <c r="FD49" t="s">
        <v>561</v>
      </c>
      <c r="FE49">
        <v>1700242900.0999999</v>
      </c>
      <c r="FF49">
        <v>1700242902.0999999</v>
      </c>
      <c r="FG49">
        <v>40</v>
      </c>
      <c r="FH49">
        <v>-0.433</v>
      </c>
      <c r="FI49">
        <v>-6.0000000000000001E-3</v>
      </c>
      <c r="FJ49">
        <v>-0.26400000000000001</v>
      </c>
      <c r="FK49">
        <v>0.29799999999999999</v>
      </c>
      <c r="FL49">
        <v>750</v>
      </c>
      <c r="FM49">
        <v>23</v>
      </c>
      <c r="FN49">
        <v>0.05</v>
      </c>
      <c r="FO49">
        <v>0.03</v>
      </c>
      <c r="FP49">
        <v>50.506786733316481</v>
      </c>
      <c r="FQ49">
        <v>0.67022810550680989</v>
      </c>
      <c r="FR49">
        <v>7.6865476250608994E-2</v>
      </c>
      <c r="FS49">
        <v>1</v>
      </c>
      <c r="FT49">
        <v>0.19532909878352869</v>
      </c>
      <c r="FU49">
        <v>2.088481783665758E-2</v>
      </c>
      <c r="FV49">
        <v>1.5660552317468539E-3</v>
      </c>
      <c r="FW49">
        <v>1</v>
      </c>
      <c r="FX49">
        <v>2</v>
      </c>
      <c r="FY49">
        <v>2</v>
      </c>
      <c r="FZ49" t="s">
        <v>420</v>
      </c>
      <c r="GA49">
        <v>3.0128200000000001</v>
      </c>
      <c r="GB49">
        <v>2.7774100000000002</v>
      </c>
      <c r="GC49">
        <v>0.13075200000000001</v>
      </c>
      <c r="GD49">
        <v>0.13833200000000001</v>
      </c>
      <c r="GE49">
        <v>0.12045699999999999</v>
      </c>
      <c r="GF49">
        <v>0.11122600000000001</v>
      </c>
      <c r="GG49">
        <v>20804.2</v>
      </c>
      <c r="GH49">
        <v>21300.3</v>
      </c>
      <c r="GI49">
        <v>23707.200000000001</v>
      </c>
      <c r="GJ49">
        <v>24385.1</v>
      </c>
      <c r="GK49">
        <v>30848.3</v>
      </c>
      <c r="GL49">
        <v>31084.400000000001</v>
      </c>
      <c r="GM49">
        <v>38832.800000000003</v>
      </c>
      <c r="GN49">
        <v>38840.300000000003</v>
      </c>
      <c r="GO49">
        <v>2.0207000000000002</v>
      </c>
      <c r="GP49">
        <v>1.7591699999999999</v>
      </c>
      <c r="GQ49">
        <v>5.4538200000000002E-2</v>
      </c>
      <c r="GR49">
        <v>0</v>
      </c>
      <c r="GS49">
        <v>28.974599999999999</v>
      </c>
      <c r="GT49">
        <v>999.9</v>
      </c>
      <c r="GU49">
        <v>34.1</v>
      </c>
      <c r="GV49">
        <v>41.4</v>
      </c>
      <c r="GW49">
        <v>27.5594</v>
      </c>
      <c r="GX49">
        <v>60.8598</v>
      </c>
      <c r="GY49">
        <v>30.713100000000001</v>
      </c>
      <c r="GZ49">
        <v>1</v>
      </c>
      <c r="HA49">
        <v>0.71534299999999995</v>
      </c>
      <c r="HB49">
        <v>3.53688</v>
      </c>
      <c r="HC49">
        <v>20.2895</v>
      </c>
      <c r="HD49">
        <v>5.2430500000000002</v>
      </c>
      <c r="HE49">
        <v>11.998699999999999</v>
      </c>
      <c r="HF49">
        <v>4.9635499999999997</v>
      </c>
      <c r="HG49">
        <v>3.3008000000000002</v>
      </c>
      <c r="HH49">
        <v>9999</v>
      </c>
      <c r="HI49">
        <v>9999</v>
      </c>
      <c r="HJ49">
        <v>9999</v>
      </c>
      <c r="HK49">
        <v>999.9</v>
      </c>
      <c r="HL49">
        <v>1.875</v>
      </c>
      <c r="HM49">
        <v>1.88032</v>
      </c>
      <c r="HN49">
        <v>1.8803700000000001</v>
      </c>
      <c r="HO49">
        <v>1.8791199999999999</v>
      </c>
      <c r="HP49">
        <v>1.88141</v>
      </c>
      <c r="HQ49">
        <v>1.8773899999999999</v>
      </c>
      <c r="HR49">
        <v>1.87507</v>
      </c>
      <c r="HS49">
        <v>1.88232</v>
      </c>
      <c r="HT49">
        <v>5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423</v>
      </c>
      <c r="IB49" t="s">
        <v>423</v>
      </c>
      <c r="IC49" t="s">
        <v>423</v>
      </c>
      <c r="ID49">
        <v>0</v>
      </c>
      <c r="IE49">
        <v>100</v>
      </c>
      <c r="IF49">
        <v>100</v>
      </c>
      <c r="IG49">
        <v>-0.224</v>
      </c>
      <c r="IH49">
        <v>0.4098</v>
      </c>
      <c r="II49">
        <v>-0.16823807583127451</v>
      </c>
      <c r="IJ49">
        <v>7.0786345690369205E-4</v>
      </c>
      <c r="IK49">
        <v>-1.387476646623666E-6</v>
      </c>
      <c r="IL49">
        <v>3.6592443641472651E-10</v>
      </c>
      <c r="IM49">
        <v>-7.8999979411888591E-2</v>
      </c>
      <c r="IN49">
        <v>-1.92785045113246E-3</v>
      </c>
      <c r="IO49">
        <v>9.94469593919068E-4</v>
      </c>
      <c r="IP49">
        <v>-7.2714521965658074E-6</v>
      </c>
      <c r="IQ49">
        <v>2</v>
      </c>
      <c r="IR49">
        <v>2142</v>
      </c>
      <c r="IS49">
        <v>1</v>
      </c>
      <c r="IT49">
        <v>24</v>
      </c>
      <c r="IU49">
        <v>1.1000000000000001</v>
      </c>
      <c r="IV49">
        <v>1.1000000000000001</v>
      </c>
      <c r="IW49">
        <v>1.7028799999999999</v>
      </c>
      <c r="IX49">
        <v>2.64893</v>
      </c>
      <c r="IY49">
        <v>1.5490699999999999</v>
      </c>
      <c r="IZ49">
        <v>2.36206</v>
      </c>
      <c r="JA49">
        <v>1.5966800000000001</v>
      </c>
      <c r="JB49">
        <v>2.323</v>
      </c>
      <c r="JC49">
        <v>44.669199999999996</v>
      </c>
      <c r="JD49">
        <v>24.1751</v>
      </c>
      <c r="JE49">
        <v>18</v>
      </c>
      <c r="JF49">
        <v>538.16499999999996</v>
      </c>
      <c r="JG49">
        <v>434.69099999999997</v>
      </c>
      <c r="JH49">
        <v>24.881499999999999</v>
      </c>
      <c r="JI49">
        <v>35.900199999999998</v>
      </c>
      <c r="JJ49">
        <v>29.999300000000002</v>
      </c>
      <c r="JK49">
        <v>35.8307</v>
      </c>
      <c r="JL49">
        <v>35.810600000000001</v>
      </c>
      <c r="JM49">
        <v>34.0473</v>
      </c>
      <c r="JN49">
        <v>11.4754</v>
      </c>
      <c r="JO49">
        <v>16.842500000000001</v>
      </c>
      <c r="JP49">
        <v>24.9634</v>
      </c>
      <c r="JQ49">
        <v>750</v>
      </c>
      <c r="JR49">
        <v>22.939900000000002</v>
      </c>
      <c r="JS49">
        <v>98.3399</v>
      </c>
      <c r="JT49">
        <v>99.206000000000003</v>
      </c>
    </row>
    <row r="50" spans="1:280" x14ac:dyDescent="0.25">
      <c r="A50">
        <v>34</v>
      </c>
      <c r="B50">
        <v>1700243090.5999999</v>
      </c>
      <c r="C50">
        <v>5956.0999999046326</v>
      </c>
      <c r="D50" t="s">
        <v>562</v>
      </c>
      <c r="E50" t="s">
        <v>563</v>
      </c>
      <c r="F50" t="s">
        <v>412</v>
      </c>
      <c r="G50" t="s">
        <v>542</v>
      </c>
      <c r="H50" t="s">
        <v>413</v>
      </c>
      <c r="I50">
        <v>1700243090.5999999</v>
      </c>
      <c r="J50">
        <f t="shared" si="46"/>
        <v>3.7592873400706479E-3</v>
      </c>
      <c r="K50">
        <f t="shared" si="47"/>
        <v>3.7592873400706477</v>
      </c>
      <c r="L50">
        <f t="shared" si="48"/>
        <v>48.503704506566237</v>
      </c>
      <c r="M50">
        <f t="shared" si="49"/>
        <v>547.64</v>
      </c>
      <c r="N50">
        <f t="shared" si="50"/>
        <v>189.74678642242932</v>
      </c>
      <c r="O50">
        <f t="shared" si="51"/>
        <v>18.771547478025155</v>
      </c>
      <c r="P50">
        <f t="shared" si="52"/>
        <v>54.177730514915993</v>
      </c>
      <c r="Q50">
        <f t="shared" si="53"/>
        <v>0.23096986560801572</v>
      </c>
      <c r="R50">
        <f t="shared" si="54"/>
        <v>3.0806729605504466</v>
      </c>
      <c r="S50">
        <f t="shared" si="55"/>
        <v>0.22176276054265529</v>
      </c>
      <c r="T50">
        <f t="shared" si="56"/>
        <v>0.13939836526467025</v>
      </c>
      <c r="U50">
        <f t="shared" si="57"/>
        <v>289.56052541898111</v>
      </c>
      <c r="V50">
        <f t="shared" si="58"/>
        <v>29.326019183020236</v>
      </c>
      <c r="W50">
        <f t="shared" si="59"/>
        <v>29.7835</v>
      </c>
      <c r="X50">
        <f t="shared" si="60"/>
        <v>4.2077548210693001</v>
      </c>
      <c r="Y50">
        <f t="shared" si="61"/>
        <v>65.751275962441582</v>
      </c>
      <c r="Z50">
        <f t="shared" si="62"/>
        <v>2.5883211905282697</v>
      </c>
      <c r="AA50">
        <f t="shared" si="63"/>
        <v>3.9365337822596316</v>
      </c>
      <c r="AB50">
        <f t="shared" si="64"/>
        <v>1.6194336305410304</v>
      </c>
      <c r="AC50">
        <f t="shared" si="65"/>
        <v>-165.78457169711558</v>
      </c>
      <c r="AD50">
        <f t="shared" si="66"/>
        <v>-191.52949951665278</v>
      </c>
      <c r="AE50">
        <f t="shared" si="67"/>
        <v>-13.71563735375538</v>
      </c>
      <c r="AF50">
        <f t="shared" si="68"/>
        <v>-81.469183148542612</v>
      </c>
      <c r="AG50">
        <v>0</v>
      </c>
      <c r="AH50">
        <v>0</v>
      </c>
      <c r="AI50">
        <f t="shared" si="69"/>
        <v>1</v>
      </c>
      <c r="AJ50">
        <f t="shared" si="70"/>
        <v>0</v>
      </c>
      <c r="AK50">
        <f t="shared" si="71"/>
        <v>52056.583193000224</v>
      </c>
      <c r="AL50" t="s">
        <v>446</v>
      </c>
      <c r="AM50" t="s">
        <v>446</v>
      </c>
      <c r="AN50">
        <v>0</v>
      </c>
      <c r="AO50">
        <v>0</v>
      </c>
      <c r="AP50" t="e">
        <f t="shared" si="72"/>
        <v>#DIV/0!</v>
      </c>
      <c r="AQ50">
        <v>0</v>
      </c>
      <c r="AR50" t="s">
        <v>446</v>
      </c>
      <c r="AS50" t="s">
        <v>446</v>
      </c>
      <c r="AT50">
        <v>0</v>
      </c>
      <c r="AU50">
        <v>0</v>
      </c>
      <c r="AV50" t="e">
        <f t="shared" si="73"/>
        <v>#DIV/0!</v>
      </c>
      <c r="AW50">
        <v>0.5</v>
      </c>
      <c r="AX50">
        <f t="shared" si="74"/>
        <v>1513.1589002170886</v>
      </c>
      <c r="AY50">
        <f t="shared" si="75"/>
        <v>48.503704506566237</v>
      </c>
      <c r="AZ50" t="e">
        <f t="shared" si="76"/>
        <v>#DIV/0!</v>
      </c>
      <c r="BA50">
        <f t="shared" si="77"/>
        <v>3.2054600808684101E-2</v>
      </c>
      <c r="BB50" t="e">
        <f t="shared" si="78"/>
        <v>#DIV/0!</v>
      </c>
      <c r="BC50" t="e">
        <f t="shared" si="79"/>
        <v>#DIV/0!</v>
      </c>
      <c r="BD50" t="s">
        <v>446</v>
      </c>
      <c r="BE50">
        <v>0</v>
      </c>
      <c r="BF50" t="e">
        <f t="shared" si="80"/>
        <v>#DIV/0!</v>
      </c>
      <c r="BG50" t="e">
        <f t="shared" si="81"/>
        <v>#DIV/0!</v>
      </c>
      <c r="BH50" t="e">
        <f t="shared" si="82"/>
        <v>#DIV/0!</v>
      </c>
      <c r="BI50" t="e">
        <f t="shared" si="83"/>
        <v>#DIV/0!</v>
      </c>
      <c r="BJ50" t="e">
        <f t="shared" si="84"/>
        <v>#DIV/0!</v>
      </c>
      <c r="BK50" t="e">
        <f t="shared" si="85"/>
        <v>#DIV/0!</v>
      </c>
      <c r="BL50" t="e">
        <f t="shared" si="86"/>
        <v>#DIV/0!</v>
      </c>
      <c r="BM50" t="e">
        <f t="shared" si="87"/>
        <v>#DIV/0!</v>
      </c>
      <c r="BN50">
        <v>34561</v>
      </c>
      <c r="BO50">
        <v>290.00000000000011</v>
      </c>
      <c r="BP50">
        <v>888.15</v>
      </c>
      <c r="BQ50">
        <v>285</v>
      </c>
      <c r="BR50">
        <v>7091.94</v>
      </c>
      <c r="BS50">
        <v>889.4</v>
      </c>
      <c r="BT50">
        <v>-1.25</v>
      </c>
      <c r="BU50">
        <v>300.00000000000011</v>
      </c>
      <c r="BV50">
        <v>38.299999999999997</v>
      </c>
      <c r="BW50">
        <v>978.60080970443437</v>
      </c>
      <c r="BX50">
        <v>1.4718315782183391</v>
      </c>
      <c r="BY50">
        <v>-63.260586429170431</v>
      </c>
      <c r="BZ50">
        <v>0.87508226944838408</v>
      </c>
      <c r="CA50">
        <v>0.99467071794497008</v>
      </c>
      <c r="CB50">
        <v>-6.9910796440489382E-3</v>
      </c>
      <c r="CC50">
        <v>289.99999999999989</v>
      </c>
      <c r="CD50">
        <v>897.63</v>
      </c>
      <c r="CE50">
        <v>825</v>
      </c>
      <c r="CF50">
        <v>7085.9</v>
      </c>
      <c r="CG50">
        <v>889.32</v>
      </c>
      <c r="CH50">
        <v>8.31</v>
      </c>
      <c r="CV50">
        <f t="shared" si="88"/>
        <v>1799.97</v>
      </c>
      <c r="CW50">
        <f t="shared" si="89"/>
        <v>1513.1589002170886</v>
      </c>
      <c r="CX50">
        <f t="shared" si="90"/>
        <v>0.84065784441801172</v>
      </c>
      <c r="CY50">
        <f t="shared" si="91"/>
        <v>0.16086963972676271</v>
      </c>
      <c r="CZ50">
        <v>5.18</v>
      </c>
      <c r="DA50">
        <v>0.5</v>
      </c>
      <c r="DB50" t="s">
        <v>418</v>
      </c>
      <c r="DC50">
        <v>2</v>
      </c>
      <c r="DD50">
        <v>1700243090.5999999</v>
      </c>
      <c r="DE50">
        <v>547.64</v>
      </c>
      <c r="DF50">
        <v>600.00300000000004</v>
      </c>
      <c r="DG50">
        <v>26.1633</v>
      </c>
      <c r="DH50">
        <v>22.372</v>
      </c>
      <c r="DI50">
        <v>547.90099999999995</v>
      </c>
      <c r="DJ50">
        <v>25.761399999999998</v>
      </c>
      <c r="DK50">
        <v>500.18799999999999</v>
      </c>
      <c r="DL50">
        <v>98.829599999999999</v>
      </c>
      <c r="DM50">
        <v>9.9861900000000003E-2</v>
      </c>
      <c r="DN50">
        <v>28.630299999999998</v>
      </c>
      <c r="DO50">
        <v>29.7835</v>
      </c>
      <c r="DP50">
        <v>999.9</v>
      </c>
      <c r="DQ50">
        <v>0</v>
      </c>
      <c r="DR50">
        <v>0</v>
      </c>
      <c r="DS50">
        <v>10016.200000000001</v>
      </c>
      <c r="DT50">
        <v>0</v>
      </c>
      <c r="DU50">
        <v>203.63</v>
      </c>
      <c r="DV50">
        <v>-52.362499999999997</v>
      </c>
      <c r="DW50">
        <v>562.35299999999995</v>
      </c>
      <c r="DX50">
        <v>613.73299999999995</v>
      </c>
      <c r="DY50">
        <v>3.7913199999999998</v>
      </c>
      <c r="DZ50">
        <v>600.00300000000004</v>
      </c>
      <c r="EA50">
        <v>22.372</v>
      </c>
      <c r="EB50">
        <v>2.5857100000000002</v>
      </c>
      <c r="EC50">
        <v>2.2110099999999999</v>
      </c>
      <c r="ED50">
        <v>21.5763</v>
      </c>
      <c r="EE50">
        <v>19.042300000000001</v>
      </c>
      <c r="EF50">
        <v>1799.97</v>
      </c>
      <c r="EG50">
        <v>0.97801099999999996</v>
      </c>
      <c r="EH50">
        <v>2.1989000000000002E-2</v>
      </c>
      <c r="EI50">
        <v>0</v>
      </c>
      <c r="EJ50">
        <v>666.44100000000003</v>
      </c>
      <c r="EK50">
        <v>4.9996700000000001</v>
      </c>
      <c r="EL50">
        <v>13568.7</v>
      </c>
      <c r="EM50">
        <v>15046.6</v>
      </c>
      <c r="EN50">
        <v>49.75</v>
      </c>
      <c r="EO50">
        <v>51.375</v>
      </c>
      <c r="EP50">
        <v>50.686999999999998</v>
      </c>
      <c r="EQ50">
        <v>50.875</v>
      </c>
      <c r="ER50">
        <v>51.061999999999998</v>
      </c>
      <c r="ES50">
        <v>1755.5</v>
      </c>
      <c r="ET50">
        <v>39.47</v>
      </c>
      <c r="EU50">
        <v>0</v>
      </c>
      <c r="EV50">
        <v>121.3999998569489</v>
      </c>
      <c r="EW50">
        <v>0</v>
      </c>
      <c r="EX50">
        <v>666.96803846153841</v>
      </c>
      <c r="EY50">
        <v>-2.352307688338148</v>
      </c>
      <c r="EZ50">
        <v>-3255.497438616238</v>
      </c>
      <c r="FA50">
        <v>13852.65</v>
      </c>
      <c r="FB50">
        <v>15</v>
      </c>
      <c r="FC50">
        <v>1700243038.0999999</v>
      </c>
      <c r="FD50" t="s">
        <v>564</v>
      </c>
      <c r="FE50">
        <v>1700243038.0999999</v>
      </c>
      <c r="FF50">
        <v>1700243037.0999999</v>
      </c>
      <c r="FG50">
        <v>41</v>
      </c>
      <c r="FH50">
        <v>-0.124</v>
      </c>
      <c r="FI50">
        <v>-5.0000000000000001E-3</v>
      </c>
      <c r="FJ50">
        <v>-0.28799999999999998</v>
      </c>
      <c r="FK50">
        <v>0.29799999999999999</v>
      </c>
      <c r="FL50">
        <v>600</v>
      </c>
      <c r="FM50">
        <v>23</v>
      </c>
      <c r="FN50">
        <v>0.05</v>
      </c>
      <c r="FO50">
        <v>0.03</v>
      </c>
      <c r="FP50">
        <v>48.352971664964279</v>
      </c>
      <c r="FQ50">
        <v>0.67614381043158178</v>
      </c>
      <c r="FR50">
        <v>9.1396554667523472E-2</v>
      </c>
      <c r="FS50">
        <v>1</v>
      </c>
      <c r="FT50">
        <v>0.23141563774645041</v>
      </c>
      <c r="FU50">
        <v>7.8713968331969707E-3</v>
      </c>
      <c r="FV50">
        <v>2.9339799512865918E-3</v>
      </c>
      <c r="FW50">
        <v>1</v>
      </c>
      <c r="FX50">
        <v>2</v>
      </c>
      <c r="FY50">
        <v>2</v>
      </c>
      <c r="FZ50" t="s">
        <v>420</v>
      </c>
      <c r="GA50">
        <v>3.01328</v>
      </c>
      <c r="GB50">
        <v>2.7770899999999998</v>
      </c>
      <c r="GC50">
        <v>0.110579</v>
      </c>
      <c r="GD50">
        <v>0.118616</v>
      </c>
      <c r="GE50">
        <v>0.120169</v>
      </c>
      <c r="GF50">
        <v>0.10915800000000001</v>
      </c>
      <c r="GG50">
        <v>21282.400000000001</v>
      </c>
      <c r="GH50">
        <v>21783.4</v>
      </c>
      <c r="GI50">
        <v>23702.2</v>
      </c>
      <c r="GJ50">
        <v>24380.2</v>
      </c>
      <c r="GK50">
        <v>30853</v>
      </c>
      <c r="GL50">
        <v>31151.200000000001</v>
      </c>
      <c r="GM50">
        <v>38825.5</v>
      </c>
      <c r="GN50">
        <v>38833</v>
      </c>
      <c r="GO50">
        <v>2.0206499999999998</v>
      </c>
      <c r="GP50">
        <v>1.75613</v>
      </c>
      <c r="GQ50">
        <v>5.6344999999999999E-2</v>
      </c>
      <c r="GR50">
        <v>0</v>
      </c>
      <c r="GS50">
        <v>28.865500000000001</v>
      </c>
      <c r="GT50">
        <v>999.9</v>
      </c>
      <c r="GU50">
        <v>33.9</v>
      </c>
      <c r="GV50">
        <v>41.4</v>
      </c>
      <c r="GW50">
        <v>27.395700000000001</v>
      </c>
      <c r="GX50">
        <v>60.889800000000001</v>
      </c>
      <c r="GY50">
        <v>30.681100000000001</v>
      </c>
      <c r="GZ50">
        <v>1</v>
      </c>
      <c r="HA50">
        <v>0.723387</v>
      </c>
      <c r="HB50">
        <v>3.5224199999999999</v>
      </c>
      <c r="HC50">
        <v>20.290299999999998</v>
      </c>
      <c r="HD50">
        <v>5.2464899999999997</v>
      </c>
      <c r="HE50">
        <v>11.997999999999999</v>
      </c>
      <c r="HF50">
        <v>4.9637000000000002</v>
      </c>
      <c r="HG50">
        <v>3.30078</v>
      </c>
      <c r="HH50">
        <v>9999</v>
      </c>
      <c r="HI50">
        <v>9999</v>
      </c>
      <c r="HJ50">
        <v>9999</v>
      </c>
      <c r="HK50">
        <v>999.9</v>
      </c>
      <c r="HL50">
        <v>1.875</v>
      </c>
      <c r="HM50">
        <v>1.8803399999999999</v>
      </c>
      <c r="HN50">
        <v>1.88039</v>
      </c>
      <c r="HO50">
        <v>1.8791199999999999</v>
      </c>
      <c r="HP50">
        <v>1.88141</v>
      </c>
      <c r="HQ50">
        <v>1.8773899999999999</v>
      </c>
      <c r="HR50">
        <v>1.87514</v>
      </c>
      <c r="HS50">
        <v>1.88232</v>
      </c>
      <c r="HT50">
        <v>5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423</v>
      </c>
      <c r="IB50" t="s">
        <v>423</v>
      </c>
      <c r="IC50" t="s">
        <v>423</v>
      </c>
      <c r="ID50">
        <v>0</v>
      </c>
      <c r="IE50">
        <v>100</v>
      </c>
      <c r="IF50">
        <v>100</v>
      </c>
      <c r="IG50">
        <v>-0.26100000000000001</v>
      </c>
      <c r="IH50">
        <v>0.40189999999999998</v>
      </c>
      <c r="II50">
        <v>-0.2922002188019146</v>
      </c>
      <c r="IJ50">
        <v>7.0786345690369205E-4</v>
      </c>
      <c r="IK50">
        <v>-1.387476646623666E-6</v>
      </c>
      <c r="IL50">
        <v>3.6592443641472651E-10</v>
      </c>
      <c r="IM50">
        <v>-8.4116551969193501E-2</v>
      </c>
      <c r="IN50">
        <v>-1.92785045113246E-3</v>
      </c>
      <c r="IO50">
        <v>9.94469593919068E-4</v>
      </c>
      <c r="IP50">
        <v>-7.2714521965658074E-6</v>
      </c>
      <c r="IQ50">
        <v>2</v>
      </c>
      <c r="IR50">
        <v>2142</v>
      </c>
      <c r="IS50">
        <v>1</v>
      </c>
      <c r="IT50">
        <v>24</v>
      </c>
      <c r="IU50">
        <v>0.9</v>
      </c>
      <c r="IV50">
        <v>0.9</v>
      </c>
      <c r="IW50">
        <v>1.4196800000000001</v>
      </c>
      <c r="IX50">
        <v>2.65991</v>
      </c>
      <c r="IY50">
        <v>1.5490699999999999</v>
      </c>
      <c r="IZ50">
        <v>2.36206</v>
      </c>
      <c r="JA50">
        <v>1.5966800000000001</v>
      </c>
      <c r="JB50">
        <v>2.2424300000000001</v>
      </c>
      <c r="JC50">
        <v>44.669199999999996</v>
      </c>
      <c r="JD50">
        <v>24.1751</v>
      </c>
      <c r="JE50">
        <v>18</v>
      </c>
      <c r="JF50">
        <v>538.85799999999995</v>
      </c>
      <c r="JG50">
        <v>433.37099999999998</v>
      </c>
      <c r="JH50">
        <v>24.634899999999998</v>
      </c>
      <c r="JI50">
        <v>35.997199999999999</v>
      </c>
      <c r="JJ50">
        <v>29.9985</v>
      </c>
      <c r="JK50">
        <v>35.921799999999998</v>
      </c>
      <c r="JL50">
        <v>35.899900000000002</v>
      </c>
      <c r="JM50">
        <v>28.378</v>
      </c>
      <c r="JN50">
        <v>14.213900000000001</v>
      </c>
      <c r="JO50">
        <v>16.917400000000001</v>
      </c>
      <c r="JP50">
        <v>24.825600000000001</v>
      </c>
      <c r="JQ50">
        <v>600</v>
      </c>
      <c r="JR50">
        <v>22.263500000000001</v>
      </c>
      <c r="JS50">
        <v>98.320499999999996</v>
      </c>
      <c r="JT50">
        <v>99.186899999999994</v>
      </c>
    </row>
    <row r="51" spans="1:280" x14ac:dyDescent="0.25">
      <c r="A51">
        <v>35</v>
      </c>
      <c r="B51">
        <v>1700243200</v>
      </c>
      <c r="C51">
        <v>6065.5</v>
      </c>
      <c r="D51" t="s">
        <v>565</v>
      </c>
      <c r="E51" t="s">
        <v>566</v>
      </c>
      <c r="F51" t="s">
        <v>412</v>
      </c>
      <c r="G51" t="s">
        <v>542</v>
      </c>
      <c r="H51" t="s">
        <v>413</v>
      </c>
      <c r="I51">
        <v>1700243200</v>
      </c>
      <c r="J51">
        <f t="shared" si="46"/>
        <v>3.7736922927067407E-3</v>
      </c>
      <c r="K51">
        <f t="shared" si="47"/>
        <v>3.7736922927067407</v>
      </c>
      <c r="L51">
        <f t="shared" si="48"/>
        <v>46.30545570949127</v>
      </c>
      <c r="M51">
        <f t="shared" si="49"/>
        <v>450.31200000000001</v>
      </c>
      <c r="N51">
        <f t="shared" si="50"/>
        <v>110.32565619223537</v>
      </c>
      <c r="O51">
        <f t="shared" si="51"/>
        <v>10.914994987514815</v>
      </c>
      <c r="P51">
        <f t="shared" si="52"/>
        <v>44.551316461272002</v>
      </c>
      <c r="Q51">
        <f t="shared" si="53"/>
        <v>0.23083353330195555</v>
      </c>
      <c r="R51">
        <f t="shared" si="54"/>
        <v>3.0745461034616204</v>
      </c>
      <c r="S51">
        <f t="shared" si="55"/>
        <v>0.22161952174781083</v>
      </c>
      <c r="T51">
        <f t="shared" si="56"/>
        <v>0.13930939748967791</v>
      </c>
      <c r="U51">
        <f t="shared" si="57"/>
        <v>289.55486141941736</v>
      </c>
      <c r="V51">
        <f t="shared" si="58"/>
        <v>29.756205121406772</v>
      </c>
      <c r="W51">
        <f t="shared" si="59"/>
        <v>29.9574</v>
      </c>
      <c r="X51">
        <f t="shared" si="60"/>
        <v>4.2500359480126608</v>
      </c>
      <c r="Y51">
        <f t="shared" si="61"/>
        <v>65.005673575094391</v>
      </c>
      <c r="Z51">
        <f t="shared" si="62"/>
        <v>2.6239264333488999</v>
      </c>
      <c r="AA51">
        <f t="shared" si="63"/>
        <v>4.0364575721498319</v>
      </c>
      <c r="AB51">
        <f t="shared" si="64"/>
        <v>1.626109514663761</v>
      </c>
      <c r="AC51">
        <f t="shared" si="65"/>
        <v>-166.41983010836728</v>
      </c>
      <c r="AD51">
        <f t="shared" si="66"/>
        <v>-148.25120897147374</v>
      </c>
      <c r="AE51">
        <f t="shared" si="67"/>
        <v>-10.669632449127313</v>
      </c>
      <c r="AF51">
        <f t="shared" si="68"/>
        <v>-35.785810109550994</v>
      </c>
      <c r="AG51">
        <v>0</v>
      </c>
      <c r="AH51">
        <v>0</v>
      </c>
      <c r="AI51">
        <f t="shared" si="69"/>
        <v>1</v>
      </c>
      <c r="AJ51">
        <f t="shared" si="70"/>
        <v>0</v>
      </c>
      <c r="AK51">
        <f t="shared" si="71"/>
        <v>51822.94109876416</v>
      </c>
      <c r="AL51" t="s">
        <v>415</v>
      </c>
      <c r="AM51">
        <v>10238.9</v>
      </c>
      <c r="AN51">
        <v>302.21199999999999</v>
      </c>
      <c r="AO51">
        <v>4052.3</v>
      </c>
      <c r="AP51">
        <f t="shared" si="72"/>
        <v>0.92542210596451402</v>
      </c>
      <c r="AQ51">
        <v>-0.32343011824092421</v>
      </c>
      <c r="AR51" t="s">
        <v>567</v>
      </c>
      <c r="AS51">
        <v>7091.15</v>
      </c>
      <c r="AT51">
        <v>667.03839999999991</v>
      </c>
      <c r="AU51">
        <v>948.39413154505064</v>
      </c>
      <c r="AV51">
        <f t="shared" si="73"/>
        <v>0.29666540754178605</v>
      </c>
      <c r="AW51">
        <v>0.5</v>
      </c>
      <c r="AX51">
        <f t="shared" si="74"/>
        <v>1513.1181002173148</v>
      </c>
      <c r="AY51">
        <f t="shared" si="75"/>
        <v>46.30545570949127</v>
      </c>
      <c r="AZ51">
        <f t="shared" si="76"/>
        <v>224.44489892991137</v>
      </c>
      <c r="BA51">
        <f t="shared" si="77"/>
        <v>3.0816421944219241E-2</v>
      </c>
      <c r="BB51">
        <f t="shared" si="78"/>
        <v>3.2728016393335388</v>
      </c>
      <c r="BC51">
        <f t="shared" si="79"/>
        <v>242.92033229809351</v>
      </c>
      <c r="BD51" t="s">
        <v>568</v>
      </c>
      <c r="BE51">
        <v>465.6</v>
      </c>
      <c r="BF51">
        <f t="shared" si="80"/>
        <v>465.6</v>
      </c>
      <c r="BG51">
        <f t="shared" si="81"/>
        <v>0.50906486605786938</v>
      </c>
      <c r="BH51">
        <f t="shared" si="82"/>
        <v>0.58276543388099733</v>
      </c>
      <c r="BI51">
        <f t="shared" si="83"/>
        <v>0.86539322175117772</v>
      </c>
      <c r="BJ51">
        <f t="shared" si="84"/>
        <v>0.43541242911238737</v>
      </c>
      <c r="BK51">
        <f t="shared" si="85"/>
        <v>0.82768880849061388</v>
      </c>
      <c r="BL51">
        <f t="shared" si="86"/>
        <v>0.40677656041240268</v>
      </c>
      <c r="BM51">
        <f t="shared" si="87"/>
        <v>0.59322343958759727</v>
      </c>
      <c r="BN51">
        <v>34563</v>
      </c>
      <c r="BO51">
        <v>290.00000000000011</v>
      </c>
      <c r="BP51">
        <v>867.97</v>
      </c>
      <c r="BQ51">
        <v>295</v>
      </c>
      <c r="BR51">
        <v>7091.15</v>
      </c>
      <c r="BS51">
        <v>869.4</v>
      </c>
      <c r="BT51">
        <v>-1.43</v>
      </c>
      <c r="BU51">
        <v>300.00000000000011</v>
      </c>
      <c r="BV51">
        <v>38.299999999999997</v>
      </c>
      <c r="BW51">
        <v>948.39413154505064</v>
      </c>
      <c r="BX51">
        <v>1.653779361978992</v>
      </c>
      <c r="BY51">
        <v>-56.017213259199487</v>
      </c>
      <c r="BZ51">
        <v>0.98314454272412344</v>
      </c>
      <c r="CA51">
        <v>0.99144893655333677</v>
      </c>
      <c r="CB51">
        <v>-6.990513904338155E-3</v>
      </c>
      <c r="CC51">
        <v>289.99999999999989</v>
      </c>
      <c r="CD51">
        <v>878.95</v>
      </c>
      <c r="CE51">
        <v>875</v>
      </c>
      <c r="CF51">
        <v>7084.44</v>
      </c>
      <c r="CG51">
        <v>869.32</v>
      </c>
      <c r="CH51">
        <v>9.6300000000000008</v>
      </c>
      <c r="CV51">
        <f t="shared" si="88"/>
        <v>1799.92</v>
      </c>
      <c r="CW51">
        <f t="shared" si="89"/>
        <v>1513.1181002173148</v>
      </c>
      <c r="CX51">
        <f t="shared" si="90"/>
        <v>0.84065852938870322</v>
      </c>
      <c r="CY51">
        <f t="shared" si="91"/>
        <v>0.16087096172019721</v>
      </c>
      <c r="CZ51">
        <v>5.18</v>
      </c>
      <c r="DA51">
        <v>0.5</v>
      </c>
      <c r="DB51" t="s">
        <v>418</v>
      </c>
      <c r="DC51">
        <v>2</v>
      </c>
      <c r="DD51">
        <v>1700243200</v>
      </c>
      <c r="DE51">
        <v>450.31200000000001</v>
      </c>
      <c r="DF51">
        <v>500.03899999999999</v>
      </c>
      <c r="DG51">
        <v>26.521899999999999</v>
      </c>
      <c r="DH51">
        <v>22.7165</v>
      </c>
      <c r="DI51">
        <v>450.483</v>
      </c>
      <c r="DJ51">
        <v>26.174199999999999</v>
      </c>
      <c r="DK51">
        <v>500.06</v>
      </c>
      <c r="DL51">
        <v>98.834299999999999</v>
      </c>
      <c r="DM51">
        <v>0.10003099999999999</v>
      </c>
      <c r="DN51">
        <v>29.062999999999999</v>
      </c>
      <c r="DO51">
        <v>29.9574</v>
      </c>
      <c r="DP51">
        <v>999.9</v>
      </c>
      <c r="DQ51">
        <v>0</v>
      </c>
      <c r="DR51">
        <v>0</v>
      </c>
      <c r="DS51">
        <v>9983.75</v>
      </c>
      <c r="DT51">
        <v>0</v>
      </c>
      <c r="DU51">
        <v>142.376</v>
      </c>
      <c r="DV51">
        <v>-49.726900000000001</v>
      </c>
      <c r="DW51">
        <v>462.58</v>
      </c>
      <c r="DX51">
        <v>511.66199999999998</v>
      </c>
      <c r="DY51">
        <v>3.8053499999999998</v>
      </c>
      <c r="DZ51">
        <v>500.03899999999999</v>
      </c>
      <c r="EA51">
        <v>22.7165</v>
      </c>
      <c r="EB51">
        <v>2.62127</v>
      </c>
      <c r="EC51">
        <v>2.2451699999999999</v>
      </c>
      <c r="ED51">
        <v>21.799700000000001</v>
      </c>
      <c r="EE51">
        <v>19.2883</v>
      </c>
      <c r="EF51">
        <v>1799.92</v>
      </c>
      <c r="EG51">
        <v>0.97799000000000003</v>
      </c>
      <c r="EH51">
        <v>2.2009500000000001E-2</v>
      </c>
      <c r="EI51">
        <v>0</v>
      </c>
      <c r="EJ51">
        <v>666.779</v>
      </c>
      <c r="EK51">
        <v>4.9996700000000001</v>
      </c>
      <c r="EL51">
        <v>13170.3</v>
      </c>
      <c r="EM51">
        <v>15046.1</v>
      </c>
      <c r="EN51">
        <v>49.75</v>
      </c>
      <c r="EO51">
        <v>51.375</v>
      </c>
      <c r="EP51">
        <v>50.686999999999998</v>
      </c>
      <c r="EQ51">
        <v>50.811999999999998</v>
      </c>
      <c r="ER51">
        <v>51.125</v>
      </c>
      <c r="ES51">
        <v>1755.41</v>
      </c>
      <c r="ET51">
        <v>39.51</v>
      </c>
      <c r="EU51">
        <v>0</v>
      </c>
      <c r="EV51">
        <v>231.19999980926511</v>
      </c>
      <c r="EW51">
        <v>0</v>
      </c>
      <c r="EX51">
        <v>667.03839999999991</v>
      </c>
      <c r="EY51">
        <v>-0.66830769755248953</v>
      </c>
      <c r="EZ51">
        <v>-754.3692318707491</v>
      </c>
      <c r="FA51">
        <v>13237.768</v>
      </c>
      <c r="FB51">
        <v>15</v>
      </c>
      <c r="FC51">
        <v>1700243170</v>
      </c>
      <c r="FD51" t="s">
        <v>569</v>
      </c>
      <c r="FE51">
        <v>1700243164.5</v>
      </c>
      <c r="FF51">
        <v>1700243170</v>
      </c>
      <c r="FG51">
        <v>42</v>
      </c>
      <c r="FH51">
        <v>0.05</v>
      </c>
      <c r="FI51">
        <v>8.0000000000000002E-3</v>
      </c>
      <c r="FJ51">
        <v>-0.189</v>
      </c>
      <c r="FK51">
        <v>0.27800000000000002</v>
      </c>
      <c r="FL51">
        <v>500</v>
      </c>
      <c r="FM51">
        <v>22</v>
      </c>
      <c r="FN51">
        <v>7.0000000000000007E-2</v>
      </c>
      <c r="FO51">
        <v>0.06</v>
      </c>
      <c r="FP51">
        <v>46.34710056821428</v>
      </c>
      <c r="FQ51">
        <v>0.56299163616934411</v>
      </c>
      <c r="FR51">
        <v>6.6202545654280798E-2</v>
      </c>
      <c r="FS51">
        <v>1</v>
      </c>
      <c r="FT51">
        <v>0.22592137668164061</v>
      </c>
      <c r="FU51">
        <v>4.8349367208425698E-2</v>
      </c>
      <c r="FV51">
        <v>3.845609006313882E-3</v>
      </c>
      <c r="FW51">
        <v>1</v>
      </c>
      <c r="FX51">
        <v>2</v>
      </c>
      <c r="FY51">
        <v>2</v>
      </c>
      <c r="FZ51" t="s">
        <v>420</v>
      </c>
      <c r="GA51">
        <v>3.0129800000000002</v>
      </c>
      <c r="GB51">
        <v>2.77698</v>
      </c>
      <c r="GC51">
        <v>9.5773399999999995E-2</v>
      </c>
      <c r="GD51">
        <v>0.104076</v>
      </c>
      <c r="GE51">
        <v>0.12149</v>
      </c>
      <c r="GF51">
        <v>0.110315</v>
      </c>
      <c r="GG51">
        <v>21633</v>
      </c>
      <c r="GH51">
        <v>22140.1</v>
      </c>
      <c r="GI51">
        <v>23698.400000000001</v>
      </c>
      <c r="GJ51">
        <v>24377.3</v>
      </c>
      <c r="GK51">
        <v>30802.2</v>
      </c>
      <c r="GL51">
        <v>31107.4</v>
      </c>
      <c r="GM51">
        <v>38819.599999999999</v>
      </c>
      <c r="GN51">
        <v>38828.6</v>
      </c>
      <c r="GO51">
        <v>2.0196800000000001</v>
      </c>
      <c r="GP51">
        <v>1.7559800000000001</v>
      </c>
      <c r="GQ51">
        <v>7.0780499999999996E-2</v>
      </c>
      <c r="GR51">
        <v>0</v>
      </c>
      <c r="GS51">
        <v>28.804300000000001</v>
      </c>
      <c r="GT51">
        <v>999.9</v>
      </c>
      <c r="GU51">
        <v>33.700000000000003</v>
      </c>
      <c r="GV51">
        <v>41.4</v>
      </c>
      <c r="GW51">
        <v>27.232700000000001</v>
      </c>
      <c r="GX51">
        <v>61.079799999999999</v>
      </c>
      <c r="GY51">
        <v>31.105799999999999</v>
      </c>
      <c r="GZ51">
        <v>1</v>
      </c>
      <c r="HA51">
        <v>0.73216999999999999</v>
      </c>
      <c r="HB51">
        <v>4.3958500000000003</v>
      </c>
      <c r="HC51">
        <v>20.264600000000002</v>
      </c>
      <c r="HD51">
        <v>5.2421499999999996</v>
      </c>
      <c r="HE51">
        <v>11.9984</v>
      </c>
      <c r="HF51">
        <v>4.9629000000000003</v>
      </c>
      <c r="HG51">
        <v>3.30023</v>
      </c>
      <c r="HH51">
        <v>9999</v>
      </c>
      <c r="HI51">
        <v>9999</v>
      </c>
      <c r="HJ51">
        <v>9999</v>
      </c>
      <c r="HK51">
        <v>999.9</v>
      </c>
      <c r="HL51">
        <v>1.875</v>
      </c>
      <c r="HM51">
        <v>1.8803300000000001</v>
      </c>
      <c r="HN51">
        <v>1.8803700000000001</v>
      </c>
      <c r="HO51">
        <v>1.8791199999999999</v>
      </c>
      <c r="HP51">
        <v>1.88141</v>
      </c>
      <c r="HQ51">
        <v>1.87738</v>
      </c>
      <c r="HR51">
        <v>1.8750899999999999</v>
      </c>
      <c r="HS51">
        <v>1.88232</v>
      </c>
      <c r="HT51">
        <v>5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423</v>
      </c>
      <c r="IB51" t="s">
        <v>423</v>
      </c>
      <c r="IC51" t="s">
        <v>423</v>
      </c>
      <c r="ID51">
        <v>0</v>
      </c>
      <c r="IE51">
        <v>100</v>
      </c>
      <c r="IF51">
        <v>100</v>
      </c>
      <c r="IG51">
        <v>-0.17100000000000001</v>
      </c>
      <c r="IH51">
        <v>0.34770000000000001</v>
      </c>
      <c r="II51">
        <v>-0.24195789749480781</v>
      </c>
      <c r="IJ51">
        <v>7.0786345690369205E-4</v>
      </c>
      <c r="IK51">
        <v>-1.387476646623666E-6</v>
      </c>
      <c r="IL51">
        <v>3.6592443641472651E-10</v>
      </c>
      <c r="IM51">
        <v>0.34765881118051489</v>
      </c>
      <c r="IN51">
        <v>0</v>
      </c>
      <c r="IO51">
        <v>0</v>
      </c>
      <c r="IP51">
        <v>0</v>
      </c>
      <c r="IQ51">
        <v>2</v>
      </c>
      <c r="IR51">
        <v>2142</v>
      </c>
      <c r="IS51">
        <v>1</v>
      </c>
      <c r="IT51">
        <v>24</v>
      </c>
      <c r="IU51">
        <v>0.6</v>
      </c>
      <c r="IV51">
        <v>0.5</v>
      </c>
      <c r="IW51">
        <v>1.22437</v>
      </c>
      <c r="IX51">
        <v>2.65259</v>
      </c>
      <c r="IY51">
        <v>1.5490699999999999</v>
      </c>
      <c r="IZ51">
        <v>2.36206</v>
      </c>
      <c r="JA51">
        <v>1.5966800000000001</v>
      </c>
      <c r="JB51">
        <v>2.36694</v>
      </c>
      <c r="JC51">
        <v>44.641199999999998</v>
      </c>
      <c r="JD51">
        <v>24.183800000000002</v>
      </c>
      <c r="JE51">
        <v>18</v>
      </c>
      <c r="JF51">
        <v>538.68700000000001</v>
      </c>
      <c r="JG51">
        <v>433.69299999999998</v>
      </c>
      <c r="JH51">
        <v>25.143699999999999</v>
      </c>
      <c r="JI51">
        <v>36.035899999999998</v>
      </c>
      <c r="JJ51">
        <v>30.0014</v>
      </c>
      <c r="JK51">
        <v>35.982700000000001</v>
      </c>
      <c r="JL51">
        <v>35.961599999999997</v>
      </c>
      <c r="JM51">
        <v>24.49</v>
      </c>
      <c r="JN51">
        <v>11.125</v>
      </c>
      <c r="JO51">
        <v>17.0792</v>
      </c>
      <c r="JP51">
        <v>25.262</v>
      </c>
      <c r="JQ51">
        <v>500</v>
      </c>
      <c r="JR51">
        <v>22.676300000000001</v>
      </c>
      <c r="JS51">
        <v>98.305199999999999</v>
      </c>
      <c r="JT51">
        <v>99.175600000000003</v>
      </c>
    </row>
    <row r="52" spans="1:280" x14ac:dyDescent="0.25">
      <c r="A52">
        <v>36</v>
      </c>
      <c r="B52">
        <v>1700243408</v>
      </c>
      <c r="C52">
        <v>6273.5</v>
      </c>
      <c r="D52" t="s">
        <v>570</v>
      </c>
      <c r="E52" t="s">
        <v>571</v>
      </c>
      <c r="F52" t="s">
        <v>412</v>
      </c>
      <c r="G52" t="s">
        <v>542</v>
      </c>
      <c r="H52" t="s">
        <v>413</v>
      </c>
      <c r="I52">
        <v>1700243408</v>
      </c>
      <c r="J52">
        <f t="shared" si="46"/>
        <v>4.5642247279827075E-3</v>
      </c>
      <c r="K52">
        <f t="shared" si="47"/>
        <v>4.5642247279827073</v>
      </c>
      <c r="L52">
        <f t="shared" si="48"/>
        <v>42.176102561811831</v>
      </c>
      <c r="M52">
        <f t="shared" si="49"/>
        <v>354.55200000000002</v>
      </c>
      <c r="N52">
        <f t="shared" si="50"/>
        <v>98.136456577247472</v>
      </c>
      <c r="O52">
        <f t="shared" si="51"/>
        <v>9.7096026622354863</v>
      </c>
      <c r="P52">
        <f t="shared" si="52"/>
        <v>35.079308578776001</v>
      </c>
      <c r="Q52">
        <f t="shared" si="53"/>
        <v>0.28130285213508588</v>
      </c>
      <c r="R52">
        <f t="shared" si="54"/>
        <v>3.0777583873733514</v>
      </c>
      <c r="S52">
        <f t="shared" si="55"/>
        <v>0.26775987995950373</v>
      </c>
      <c r="T52">
        <f t="shared" si="56"/>
        <v>0.16851236047872453</v>
      </c>
      <c r="U52">
        <f t="shared" si="57"/>
        <v>289.56603341940104</v>
      </c>
      <c r="V52">
        <f t="shared" si="58"/>
        <v>29.87171798855265</v>
      </c>
      <c r="W52">
        <f t="shared" si="59"/>
        <v>30.032900000000001</v>
      </c>
      <c r="X52">
        <f t="shared" si="60"/>
        <v>4.2685075861522712</v>
      </c>
      <c r="Y52">
        <f t="shared" si="61"/>
        <v>64.255653634511461</v>
      </c>
      <c r="Z52">
        <f t="shared" si="62"/>
        <v>2.6408718066521</v>
      </c>
      <c r="AA52">
        <f t="shared" si="63"/>
        <v>4.1099446621047182</v>
      </c>
      <c r="AB52">
        <f t="shared" si="64"/>
        <v>1.6276357795001712</v>
      </c>
      <c r="AC52">
        <f t="shared" si="65"/>
        <v>-201.28231050403741</v>
      </c>
      <c r="AD52">
        <f t="shared" si="66"/>
        <v>-109.11432525441579</v>
      </c>
      <c r="AE52">
        <f t="shared" si="67"/>
        <v>-7.8598431265558339</v>
      </c>
      <c r="AF52">
        <f t="shared" si="68"/>
        <v>-28.690445465608022</v>
      </c>
      <c r="AG52">
        <v>0</v>
      </c>
      <c r="AH52">
        <v>0</v>
      </c>
      <c r="AI52">
        <f t="shared" si="69"/>
        <v>1</v>
      </c>
      <c r="AJ52">
        <f t="shared" si="70"/>
        <v>0</v>
      </c>
      <c r="AK52">
        <f t="shared" si="71"/>
        <v>51852.872319359849</v>
      </c>
      <c r="AL52" t="s">
        <v>415</v>
      </c>
      <c r="AM52">
        <v>10238.9</v>
      </c>
      <c r="AN52">
        <v>302.21199999999999</v>
      </c>
      <c r="AO52">
        <v>4052.3</v>
      </c>
      <c r="AP52">
        <f t="shared" si="72"/>
        <v>0.92542210596451402</v>
      </c>
      <c r="AQ52">
        <v>-0.32343011824092421</v>
      </c>
      <c r="AR52" t="s">
        <v>572</v>
      </c>
      <c r="AS52">
        <v>7092.19</v>
      </c>
      <c r="AT52">
        <v>671.30465384615377</v>
      </c>
      <c r="AU52">
        <v>921.82926330342605</v>
      </c>
      <c r="AV52">
        <f t="shared" si="73"/>
        <v>0.27176899175396485</v>
      </c>
      <c r="AW52">
        <v>0.5</v>
      </c>
      <c r="AX52">
        <f t="shared" si="74"/>
        <v>1513.1769002173062</v>
      </c>
      <c r="AY52">
        <f t="shared" si="75"/>
        <v>42.176102561811831</v>
      </c>
      <c r="AZ52">
        <f t="shared" si="76"/>
        <v>205.61728025872358</v>
      </c>
      <c r="BA52">
        <f t="shared" si="77"/>
        <v>2.8086294916311125E-2</v>
      </c>
      <c r="BB52">
        <f t="shared" si="78"/>
        <v>3.3959333483061269</v>
      </c>
      <c r="BC52">
        <f t="shared" si="79"/>
        <v>241.14040538081443</v>
      </c>
      <c r="BD52" t="s">
        <v>573</v>
      </c>
      <c r="BE52">
        <v>467.37</v>
      </c>
      <c r="BF52">
        <f t="shared" si="80"/>
        <v>467.37</v>
      </c>
      <c r="BG52">
        <f t="shared" si="81"/>
        <v>0.4929972191106694</v>
      </c>
      <c r="BH52">
        <f t="shared" si="82"/>
        <v>0.55125867087894753</v>
      </c>
      <c r="BI52">
        <f t="shared" si="83"/>
        <v>0.87323064514413773</v>
      </c>
      <c r="BJ52">
        <f t="shared" si="84"/>
        <v>0.40432154540308635</v>
      </c>
      <c r="BK52">
        <f t="shared" si="85"/>
        <v>0.83477260712190593</v>
      </c>
      <c r="BL52">
        <f t="shared" si="86"/>
        <v>0.38379260970792967</v>
      </c>
      <c r="BM52">
        <f t="shared" si="87"/>
        <v>0.61620739029207039</v>
      </c>
      <c r="BN52">
        <v>34565</v>
      </c>
      <c r="BO52">
        <v>290.00000000000011</v>
      </c>
      <c r="BP52">
        <v>849.01</v>
      </c>
      <c r="BQ52">
        <v>265</v>
      </c>
      <c r="BR52">
        <v>7092.19</v>
      </c>
      <c r="BS52">
        <v>851.59</v>
      </c>
      <c r="BT52">
        <v>-2.58</v>
      </c>
      <c r="BU52">
        <v>300.00000000000011</v>
      </c>
      <c r="BV52">
        <v>38.299999999999997</v>
      </c>
      <c r="BW52">
        <v>921.82926330342605</v>
      </c>
      <c r="BX52">
        <v>1.1771064489376759</v>
      </c>
      <c r="BY52">
        <v>-49.818543078064913</v>
      </c>
      <c r="BZ52">
        <v>0.6998084527702001</v>
      </c>
      <c r="CA52">
        <v>0.99450533183321532</v>
      </c>
      <c r="CB52">
        <v>-6.9908678531701886E-3</v>
      </c>
      <c r="CC52">
        <v>289.99999999999989</v>
      </c>
      <c r="CD52">
        <v>859.36</v>
      </c>
      <c r="CE52">
        <v>815</v>
      </c>
      <c r="CF52">
        <v>7085.6</v>
      </c>
      <c r="CG52">
        <v>851.52</v>
      </c>
      <c r="CH52">
        <v>7.84</v>
      </c>
      <c r="CV52">
        <f t="shared" si="88"/>
        <v>1799.99</v>
      </c>
      <c r="CW52">
        <f t="shared" si="89"/>
        <v>1513.1769002173062</v>
      </c>
      <c r="CX52">
        <f t="shared" si="90"/>
        <v>0.84065850377908002</v>
      </c>
      <c r="CY52">
        <f t="shared" si="91"/>
        <v>0.16087091229362444</v>
      </c>
      <c r="CZ52">
        <v>5.18</v>
      </c>
      <c r="DA52">
        <v>0.5</v>
      </c>
      <c r="DB52" t="s">
        <v>418</v>
      </c>
      <c r="DC52">
        <v>2</v>
      </c>
      <c r="DD52">
        <v>1700243408</v>
      </c>
      <c r="DE52">
        <v>354.55200000000002</v>
      </c>
      <c r="DF52">
        <v>399.90300000000002</v>
      </c>
      <c r="DG52">
        <v>26.691700000000001</v>
      </c>
      <c r="DH52">
        <v>22.0914</v>
      </c>
      <c r="DI52">
        <v>354.73200000000003</v>
      </c>
      <c r="DJ52">
        <v>26.3504</v>
      </c>
      <c r="DK52">
        <v>500.22</v>
      </c>
      <c r="DL52">
        <v>98.839299999999994</v>
      </c>
      <c r="DM52">
        <v>0.10051300000000001</v>
      </c>
      <c r="DN52">
        <v>29.375299999999999</v>
      </c>
      <c r="DO52">
        <v>30.032900000000001</v>
      </c>
      <c r="DP52">
        <v>999.9</v>
      </c>
      <c r="DQ52">
        <v>0</v>
      </c>
      <c r="DR52">
        <v>0</v>
      </c>
      <c r="DS52">
        <v>10000</v>
      </c>
      <c r="DT52">
        <v>0</v>
      </c>
      <c r="DU52">
        <v>100.624</v>
      </c>
      <c r="DV52">
        <v>-45.351100000000002</v>
      </c>
      <c r="DW52">
        <v>364.27499999999998</v>
      </c>
      <c r="DX52">
        <v>408.93700000000001</v>
      </c>
      <c r="DY52">
        <v>4.6002799999999997</v>
      </c>
      <c r="DZ52">
        <v>399.90300000000002</v>
      </c>
      <c r="EA52">
        <v>22.0914</v>
      </c>
      <c r="EB52">
        <v>2.6381899999999998</v>
      </c>
      <c r="EC52">
        <v>2.1835</v>
      </c>
      <c r="ED52">
        <v>21.905100000000001</v>
      </c>
      <c r="EE52">
        <v>18.841799999999999</v>
      </c>
      <c r="EF52">
        <v>1799.99</v>
      </c>
      <c r="EG52">
        <v>0.97799000000000003</v>
      </c>
      <c r="EH52">
        <v>2.2009500000000001E-2</v>
      </c>
      <c r="EI52">
        <v>0</v>
      </c>
      <c r="EJ52">
        <v>670.947</v>
      </c>
      <c r="EK52">
        <v>4.9996700000000001</v>
      </c>
      <c r="EL52">
        <v>12745.9</v>
      </c>
      <c r="EM52">
        <v>15046.7</v>
      </c>
      <c r="EN52">
        <v>49.5</v>
      </c>
      <c r="EO52">
        <v>51.061999999999998</v>
      </c>
      <c r="EP52">
        <v>50.436999999999998</v>
      </c>
      <c r="EQ52">
        <v>50.5</v>
      </c>
      <c r="ER52">
        <v>50.875</v>
      </c>
      <c r="ES52">
        <v>1755.48</v>
      </c>
      <c r="ET52">
        <v>39.51</v>
      </c>
      <c r="EU52">
        <v>0</v>
      </c>
      <c r="EV52">
        <v>206</v>
      </c>
      <c r="EW52">
        <v>0</v>
      </c>
      <c r="EX52">
        <v>671.30465384615377</v>
      </c>
      <c r="EY52">
        <v>-3.8955555401311002</v>
      </c>
      <c r="EZ52">
        <v>-68.943589599173762</v>
      </c>
      <c r="FA52">
        <v>12750.06923076923</v>
      </c>
      <c r="FB52">
        <v>15</v>
      </c>
      <c r="FC52">
        <v>1700243285</v>
      </c>
      <c r="FD52" t="s">
        <v>574</v>
      </c>
      <c r="FE52">
        <v>1700243282</v>
      </c>
      <c r="FF52">
        <v>1700243285</v>
      </c>
      <c r="FG52">
        <v>43</v>
      </c>
      <c r="FH52">
        <v>-3.1E-2</v>
      </c>
      <c r="FI52">
        <v>-6.0000000000000001E-3</v>
      </c>
      <c r="FJ52">
        <v>-0.189</v>
      </c>
      <c r="FK52">
        <v>0.29099999999999998</v>
      </c>
      <c r="FL52">
        <v>400</v>
      </c>
      <c r="FM52">
        <v>23</v>
      </c>
      <c r="FN52">
        <v>0.06</v>
      </c>
      <c r="FO52">
        <v>0.02</v>
      </c>
      <c r="FP52">
        <v>42.139265411971657</v>
      </c>
      <c r="FQ52">
        <v>0.64136822006390148</v>
      </c>
      <c r="FR52">
        <v>6.3982278065403436E-2</v>
      </c>
      <c r="FS52">
        <v>1</v>
      </c>
      <c r="FT52">
        <v>0.28392456234017238</v>
      </c>
      <c r="FU52">
        <v>-2.3134222070344969E-2</v>
      </c>
      <c r="FV52">
        <v>1.7699680595200269E-3</v>
      </c>
      <c r="FW52">
        <v>1</v>
      </c>
      <c r="FX52">
        <v>2</v>
      </c>
      <c r="FY52">
        <v>2</v>
      </c>
      <c r="FZ52" t="s">
        <v>420</v>
      </c>
      <c r="GA52">
        <v>3.0133100000000002</v>
      </c>
      <c r="GB52">
        <v>2.7776000000000001</v>
      </c>
      <c r="GC52">
        <v>7.9710900000000001E-2</v>
      </c>
      <c r="GD52">
        <v>8.8044399999999995E-2</v>
      </c>
      <c r="GE52">
        <v>0.122072</v>
      </c>
      <c r="GF52">
        <v>0.108205</v>
      </c>
      <c r="GG52">
        <v>22024.400000000001</v>
      </c>
      <c r="GH52">
        <v>22543.3</v>
      </c>
      <c r="GI52">
        <v>23705.8</v>
      </c>
      <c r="GJ52">
        <v>24384.7</v>
      </c>
      <c r="GK52">
        <v>30790.7</v>
      </c>
      <c r="GL52">
        <v>31190.7</v>
      </c>
      <c r="GM52">
        <v>38831.199999999997</v>
      </c>
      <c r="GN52">
        <v>38840.6</v>
      </c>
      <c r="GO52">
        <v>2.0230800000000002</v>
      </c>
      <c r="GP52">
        <v>1.75793</v>
      </c>
      <c r="GQ52">
        <v>0.101544</v>
      </c>
      <c r="GR52">
        <v>0</v>
      </c>
      <c r="GS52">
        <v>28.378299999999999</v>
      </c>
      <c r="GT52">
        <v>999.9</v>
      </c>
      <c r="GU52">
        <v>33.1</v>
      </c>
      <c r="GV52">
        <v>41.4</v>
      </c>
      <c r="GW52">
        <v>26.746400000000001</v>
      </c>
      <c r="GX52">
        <v>60.829799999999999</v>
      </c>
      <c r="GY52">
        <v>30.9175</v>
      </c>
      <c r="GZ52">
        <v>1</v>
      </c>
      <c r="HA52">
        <v>0.70693300000000003</v>
      </c>
      <c r="HB52">
        <v>0.80149199999999998</v>
      </c>
      <c r="HC52">
        <v>20.326799999999999</v>
      </c>
      <c r="HD52">
        <v>5.2406499999999996</v>
      </c>
      <c r="HE52">
        <v>11.997999999999999</v>
      </c>
      <c r="HF52">
        <v>4.9634</v>
      </c>
      <c r="HG52">
        <v>3.3007499999999999</v>
      </c>
      <c r="HH52">
        <v>9999</v>
      </c>
      <c r="HI52">
        <v>9999</v>
      </c>
      <c r="HJ52">
        <v>9999</v>
      </c>
      <c r="HK52">
        <v>999.9</v>
      </c>
      <c r="HL52">
        <v>1.875</v>
      </c>
      <c r="HM52">
        <v>1.8803300000000001</v>
      </c>
      <c r="HN52">
        <v>1.8804099999999999</v>
      </c>
      <c r="HO52">
        <v>1.8791199999999999</v>
      </c>
      <c r="HP52">
        <v>1.88141</v>
      </c>
      <c r="HQ52">
        <v>1.8773599999999999</v>
      </c>
      <c r="HR52">
        <v>1.87507</v>
      </c>
      <c r="HS52">
        <v>1.88232</v>
      </c>
      <c r="HT52">
        <v>5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423</v>
      </c>
      <c r="IB52" t="s">
        <v>423</v>
      </c>
      <c r="IC52" t="s">
        <v>423</v>
      </c>
      <c r="ID52">
        <v>0</v>
      </c>
      <c r="IE52">
        <v>100</v>
      </c>
      <c r="IF52">
        <v>100</v>
      </c>
      <c r="IG52">
        <v>-0.18</v>
      </c>
      <c r="IH52">
        <v>0.34129999999999999</v>
      </c>
      <c r="II52">
        <v>-0.27349525233802702</v>
      </c>
      <c r="IJ52">
        <v>7.0786345690369205E-4</v>
      </c>
      <c r="IK52">
        <v>-1.387476646623666E-6</v>
      </c>
      <c r="IL52">
        <v>3.6592443641472651E-10</v>
      </c>
      <c r="IM52">
        <v>0.3412848107284166</v>
      </c>
      <c r="IN52">
        <v>0</v>
      </c>
      <c r="IO52">
        <v>0</v>
      </c>
      <c r="IP52">
        <v>0</v>
      </c>
      <c r="IQ52">
        <v>2</v>
      </c>
      <c r="IR52">
        <v>2142</v>
      </c>
      <c r="IS52">
        <v>1</v>
      </c>
      <c r="IT52">
        <v>24</v>
      </c>
      <c r="IU52">
        <v>2.1</v>
      </c>
      <c r="IV52">
        <v>2</v>
      </c>
      <c r="IW52">
        <v>1.02417</v>
      </c>
      <c r="IX52">
        <v>2.66357</v>
      </c>
      <c r="IY52">
        <v>1.5490699999999999</v>
      </c>
      <c r="IZ52">
        <v>2.36206</v>
      </c>
      <c r="JA52">
        <v>1.5966800000000001</v>
      </c>
      <c r="JB52">
        <v>2.1997100000000001</v>
      </c>
      <c r="JC52">
        <v>44.417700000000004</v>
      </c>
      <c r="JD52">
        <v>24.2013</v>
      </c>
      <c r="JE52">
        <v>18</v>
      </c>
      <c r="JF52">
        <v>540.67999999999995</v>
      </c>
      <c r="JG52">
        <v>434.74599999999998</v>
      </c>
      <c r="JH52">
        <v>27.948399999999999</v>
      </c>
      <c r="JI52">
        <v>35.921700000000001</v>
      </c>
      <c r="JJ52">
        <v>29.999600000000001</v>
      </c>
      <c r="JK52">
        <v>35.945399999999999</v>
      </c>
      <c r="JL52">
        <v>35.935299999999998</v>
      </c>
      <c r="JM52">
        <v>20.489799999999999</v>
      </c>
      <c r="JN52">
        <v>10.6778</v>
      </c>
      <c r="JO52">
        <v>17.242599999999999</v>
      </c>
      <c r="JP52">
        <v>26.533000000000001</v>
      </c>
      <c r="JQ52">
        <v>400</v>
      </c>
      <c r="JR52">
        <v>22.328700000000001</v>
      </c>
      <c r="JS52">
        <v>98.334999999999994</v>
      </c>
      <c r="JT52">
        <v>99.2059</v>
      </c>
    </row>
    <row r="53" spans="1:280" x14ac:dyDescent="0.25">
      <c r="A53">
        <v>37</v>
      </c>
      <c r="B53">
        <v>1700243609</v>
      </c>
      <c r="C53">
        <v>6474.5</v>
      </c>
      <c r="D53" t="s">
        <v>575</v>
      </c>
      <c r="E53" t="s">
        <v>576</v>
      </c>
      <c r="F53" t="s">
        <v>412</v>
      </c>
      <c r="G53" t="s">
        <v>542</v>
      </c>
      <c r="H53" t="s">
        <v>413</v>
      </c>
      <c r="I53">
        <v>1700243609</v>
      </c>
      <c r="J53">
        <f t="shared" si="46"/>
        <v>5.9620315885820898E-3</v>
      </c>
      <c r="K53">
        <f t="shared" si="47"/>
        <v>5.9620315885820894</v>
      </c>
      <c r="L53">
        <f t="shared" si="48"/>
        <v>39.796610504351762</v>
      </c>
      <c r="M53">
        <f t="shared" si="49"/>
        <v>257.18799999999999</v>
      </c>
      <c r="N53">
        <f t="shared" si="50"/>
        <v>81.462740069792943</v>
      </c>
      <c r="O53">
        <f t="shared" si="51"/>
        <v>8.0596341957302293</v>
      </c>
      <c r="P53">
        <f t="shared" si="52"/>
        <v>25.445267342536802</v>
      </c>
      <c r="Q53">
        <f t="shared" si="53"/>
        <v>0.39404010784580917</v>
      </c>
      <c r="R53">
        <f t="shared" si="54"/>
        <v>3.0815458191777325</v>
      </c>
      <c r="S53">
        <f t="shared" si="55"/>
        <v>0.3680356700021119</v>
      </c>
      <c r="T53">
        <f t="shared" si="56"/>
        <v>0.23221552624508951</v>
      </c>
      <c r="U53">
        <f t="shared" si="57"/>
        <v>289.56589241908023</v>
      </c>
      <c r="V53">
        <f t="shared" si="58"/>
        <v>29.861892688029535</v>
      </c>
      <c r="W53">
        <f t="shared" si="59"/>
        <v>29.955400000000001</v>
      </c>
      <c r="X53">
        <f t="shared" si="60"/>
        <v>4.2495475817543511</v>
      </c>
      <c r="Y53">
        <f t="shared" si="61"/>
        <v>64.505421684412141</v>
      </c>
      <c r="Z53">
        <f t="shared" si="62"/>
        <v>2.7031317550043399</v>
      </c>
      <c r="AA53">
        <f t="shared" si="63"/>
        <v>4.190549700192963</v>
      </c>
      <c r="AB53">
        <f t="shared" si="64"/>
        <v>1.5464158267500112</v>
      </c>
      <c r="AC53">
        <f t="shared" si="65"/>
        <v>-262.92559305647018</v>
      </c>
      <c r="AD53">
        <f t="shared" si="66"/>
        <v>-40.38676169327357</v>
      </c>
      <c r="AE53">
        <f t="shared" si="67"/>
        <v>-2.9093430519357395</v>
      </c>
      <c r="AF53">
        <f t="shared" si="68"/>
        <v>-16.655805382599283</v>
      </c>
      <c r="AG53">
        <v>0</v>
      </c>
      <c r="AH53">
        <v>0</v>
      </c>
      <c r="AI53">
        <f t="shared" si="69"/>
        <v>1</v>
      </c>
      <c r="AJ53">
        <f t="shared" si="70"/>
        <v>0</v>
      </c>
      <c r="AK53">
        <f t="shared" si="71"/>
        <v>51893.318356765478</v>
      </c>
      <c r="AL53" t="s">
        <v>415</v>
      </c>
      <c r="AM53">
        <v>10238.9</v>
      </c>
      <c r="AN53">
        <v>302.21199999999999</v>
      </c>
      <c r="AO53">
        <v>4052.3</v>
      </c>
      <c r="AP53">
        <f t="shared" si="72"/>
        <v>0.92542210596451402</v>
      </c>
      <c r="AQ53">
        <v>-0.32343011824092421</v>
      </c>
      <c r="AR53" t="s">
        <v>577</v>
      </c>
      <c r="AS53">
        <v>7092.85</v>
      </c>
      <c r="AT53">
        <v>674.70044000000007</v>
      </c>
      <c r="AU53">
        <v>906.08028274519916</v>
      </c>
      <c r="AV53">
        <f t="shared" si="73"/>
        <v>0.25536351154687464</v>
      </c>
      <c r="AW53">
        <v>0.5</v>
      </c>
      <c r="AX53">
        <f t="shared" si="74"/>
        <v>1513.1844002171399</v>
      </c>
      <c r="AY53">
        <f t="shared" si="75"/>
        <v>39.796610504351762</v>
      </c>
      <c r="AZ53">
        <f t="shared" si="76"/>
        <v>193.2060410287001</v>
      </c>
      <c r="BA53">
        <f t="shared" si="77"/>
        <v>2.6513649372036555E-2</v>
      </c>
      <c r="BB53">
        <f t="shared" si="78"/>
        <v>3.4723410024137524</v>
      </c>
      <c r="BC53">
        <f t="shared" si="79"/>
        <v>240.04895228280984</v>
      </c>
      <c r="BD53" t="s">
        <v>578</v>
      </c>
      <c r="BE53">
        <v>464.27</v>
      </c>
      <c r="BF53">
        <f t="shared" si="80"/>
        <v>464.27</v>
      </c>
      <c r="BG53">
        <f t="shared" si="81"/>
        <v>0.48760611080358496</v>
      </c>
      <c r="BH53">
        <f t="shared" si="82"/>
        <v>0.52370859570654327</v>
      </c>
      <c r="BI53">
        <f t="shared" si="83"/>
        <v>0.8768654992446554</v>
      </c>
      <c r="BJ53">
        <f t="shared" si="84"/>
        <v>0.38316276803501081</v>
      </c>
      <c r="BK53">
        <f t="shared" si="85"/>
        <v>0.83897223671945864</v>
      </c>
      <c r="BL53">
        <f t="shared" si="86"/>
        <v>0.36037058124443616</v>
      </c>
      <c r="BM53">
        <f t="shared" si="87"/>
        <v>0.63962941875556378</v>
      </c>
      <c r="BN53">
        <v>34567</v>
      </c>
      <c r="BO53">
        <v>290.00000000000011</v>
      </c>
      <c r="BP53">
        <v>839.17</v>
      </c>
      <c r="BQ53">
        <v>285</v>
      </c>
      <c r="BR53">
        <v>7092.85</v>
      </c>
      <c r="BS53">
        <v>840.69</v>
      </c>
      <c r="BT53">
        <v>-1.52</v>
      </c>
      <c r="BU53">
        <v>300.00000000000011</v>
      </c>
      <c r="BV53">
        <v>38.299999999999997</v>
      </c>
      <c r="BW53">
        <v>906.08028274519916</v>
      </c>
      <c r="BX53">
        <v>1.2975652572770899</v>
      </c>
      <c r="BY53">
        <v>-46.379367527925993</v>
      </c>
      <c r="BZ53">
        <v>0.77157172096642213</v>
      </c>
      <c r="CA53">
        <v>0.99231031592531771</v>
      </c>
      <c r="CB53">
        <v>-6.9920071190211434E-3</v>
      </c>
      <c r="CC53">
        <v>289.99999999999989</v>
      </c>
      <c r="CD53">
        <v>847.25</v>
      </c>
      <c r="CE53">
        <v>785</v>
      </c>
      <c r="CF53">
        <v>7087.43</v>
      </c>
      <c r="CG53">
        <v>840.64</v>
      </c>
      <c r="CH53">
        <v>6.61</v>
      </c>
      <c r="CV53">
        <f t="shared" si="88"/>
        <v>1800</v>
      </c>
      <c r="CW53">
        <f t="shared" si="89"/>
        <v>1513.1844002171399</v>
      </c>
      <c r="CX53">
        <f t="shared" si="90"/>
        <v>0.8406580001206333</v>
      </c>
      <c r="CY53">
        <f t="shared" si="91"/>
        <v>0.16086994023282236</v>
      </c>
      <c r="CZ53">
        <v>5.18</v>
      </c>
      <c r="DA53">
        <v>0.5</v>
      </c>
      <c r="DB53" t="s">
        <v>418</v>
      </c>
      <c r="DC53">
        <v>2</v>
      </c>
      <c r="DD53">
        <v>1700243609</v>
      </c>
      <c r="DE53">
        <v>257.18799999999999</v>
      </c>
      <c r="DF53">
        <v>299.983</v>
      </c>
      <c r="DG53">
        <v>27.321899999999999</v>
      </c>
      <c r="DH53">
        <v>21.3172</v>
      </c>
      <c r="DI53">
        <v>257.315</v>
      </c>
      <c r="DJ53">
        <v>26.984000000000002</v>
      </c>
      <c r="DK53">
        <v>500.267</v>
      </c>
      <c r="DL53">
        <v>98.837100000000007</v>
      </c>
      <c r="DM53">
        <v>9.9348599999999995E-2</v>
      </c>
      <c r="DN53">
        <v>29.712299999999999</v>
      </c>
      <c r="DO53">
        <v>29.955400000000001</v>
      </c>
      <c r="DP53">
        <v>999.9</v>
      </c>
      <c r="DQ53">
        <v>0</v>
      </c>
      <c r="DR53">
        <v>0</v>
      </c>
      <c r="DS53">
        <v>10020</v>
      </c>
      <c r="DT53">
        <v>0</v>
      </c>
      <c r="DU53">
        <v>155.78399999999999</v>
      </c>
      <c r="DV53">
        <v>-42.7956</v>
      </c>
      <c r="DW53">
        <v>264.41199999999998</v>
      </c>
      <c r="DX53">
        <v>306.517</v>
      </c>
      <c r="DY53">
        <v>6.00474</v>
      </c>
      <c r="DZ53">
        <v>299.983</v>
      </c>
      <c r="EA53">
        <v>21.3172</v>
      </c>
      <c r="EB53">
        <v>2.7004199999999998</v>
      </c>
      <c r="EC53">
        <v>2.1069300000000002</v>
      </c>
      <c r="ED53">
        <v>22.287700000000001</v>
      </c>
      <c r="EE53">
        <v>18.271599999999999</v>
      </c>
      <c r="EF53">
        <v>1800</v>
      </c>
      <c r="EG53">
        <v>0.97800699999999996</v>
      </c>
      <c r="EH53">
        <v>2.1992500000000002E-2</v>
      </c>
      <c r="EI53">
        <v>0</v>
      </c>
      <c r="EJ53">
        <v>674.30200000000002</v>
      </c>
      <c r="EK53">
        <v>4.9996700000000001</v>
      </c>
      <c r="EL53">
        <v>13063.4</v>
      </c>
      <c r="EM53">
        <v>15046.8</v>
      </c>
      <c r="EN53">
        <v>49.25</v>
      </c>
      <c r="EO53">
        <v>50.625</v>
      </c>
      <c r="EP53">
        <v>50.125</v>
      </c>
      <c r="EQ53">
        <v>50.125</v>
      </c>
      <c r="ER53">
        <v>50.625</v>
      </c>
      <c r="ES53">
        <v>1755.52</v>
      </c>
      <c r="ET53">
        <v>39.479999999999997</v>
      </c>
      <c r="EU53">
        <v>0</v>
      </c>
      <c r="EV53">
        <v>198.79999995231631</v>
      </c>
      <c r="EW53">
        <v>0</v>
      </c>
      <c r="EX53">
        <v>674.70044000000007</v>
      </c>
      <c r="EY53">
        <v>-4.1289230543836277</v>
      </c>
      <c r="EZ53">
        <v>12.561538525169601</v>
      </c>
      <c r="FA53">
        <v>13063.712</v>
      </c>
      <c r="FB53">
        <v>15</v>
      </c>
      <c r="FC53">
        <v>1700243521</v>
      </c>
      <c r="FD53" t="s">
        <v>579</v>
      </c>
      <c r="FE53">
        <v>1700243521</v>
      </c>
      <c r="FF53">
        <v>1700243514.5</v>
      </c>
      <c r="FG53">
        <v>44</v>
      </c>
      <c r="FH53">
        <v>0.05</v>
      </c>
      <c r="FI53">
        <v>-3.0000000000000001E-3</v>
      </c>
      <c r="FJ53">
        <v>-0.126</v>
      </c>
      <c r="FK53">
        <v>0.309</v>
      </c>
      <c r="FL53">
        <v>300</v>
      </c>
      <c r="FM53">
        <v>23</v>
      </c>
      <c r="FN53">
        <v>0.13</v>
      </c>
      <c r="FO53">
        <v>0.02</v>
      </c>
      <c r="FP53">
        <v>39.486413928004602</v>
      </c>
      <c r="FQ53">
        <v>0.6742129882616591</v>
      </c>
      <c r="FR53">
        <v>7.0793791354932328E-2</v>
      </c>
      <c r="FS53">
        <v>1</v>
      </c>
      <c r="FT53">
        <v>0.39335641782974468</v>
      </c>
      <c r="FU53">
        <v>-4.5472179226616278E-3</v>
      </c>
      <c r="FV53">
        <v>1.7827627715905269E-3</v>
      </c>
      <c r="FW53">
        <v>1</v>
      </c>
      <c r="FX53">
        <v>2</v>
      </c>
      <c r="FY53">
        <v>2</v>
      </c>
      <c r="FZ53" t="s">
        <v>420</v>
      </c>
      <c r="GA53">
        <v>3.0132099999999999</v>
      </c>
      <c r="GB53">
        <v>2.7766099999999998</v>
      </c>
      <c r="GC53">
        <v>6.1396300000000001E-2</v>
      </c>
      <c r="GD53">
        <v>7.0178500000000005E-2</v>
      </c>
      <c r="GE53">
        <v>0.124154</v>
      </c>
      <c r="GF53">
        <v>0.10559</v>
      </c>
      <c r="GG53">
        <v>22480.7</v>
      </c>
      <c r="GH53">
        <v>23002.400000000001</v>
      </c>
      <c r="GI53">
        <v>23724.2</v>
      </c>
      <c r="GJ53">
        <v>24402.400000000001</v>
      </c>
      <c r="GK53">
        <v>30739.4</v>
      </c>
      <c r="GL53">
        <v>31302.799999999999</v>
      </c>
      <c r="GM53">
        <v>38859.599999999999</v>
      </c>
      <c r="GN53">
        <v>38866.800000000003</v>
      </c>
      <c r="GO53">
        <v>2.0265</v>
      </c>
      <c r="GP53">
        <v>1.7630300000000001</v>
      </c>
      <c r="GQ53">
        <v>0.100657</v>
      </c>
      <c r="GR53">
        <v>0</v>
      </c>
      <c r="GS53">
        <v>28.315000000000001</v>
      </c>
      <c r="GT53">
        <v>999.9</v>
      </c>
      <c r="GU53">
        <v>32.9</v>
      </c>
      <c r="GV53">
        <v>41.3</v>
      </c>
      <c r="GW53">
        <v>26.4453</v>
      </c>
      <c r="GX53">
        <v>60.6798</v>
      </c>
      <c r="GY53">
        <v>30.640999999999998</v>
      </c>
      <c r="GZ53">
        <v>1</v>
      </c>
      <c r="HA53">
        <v>0.68154199999999998</v>
      </c>
      <c r="HB53">
        <v>0.46908</v>
      </c>
      <c r="HC53">
        <v>20.3292</v>
      </c>
      <c r="HD53">
        <v>5.2454400000000003</v>
      </c>
      <c r="HE53">
        <v>11.997999999999999</v>
      </c>
      <c r="HF53">
        <v>4.9634</v>
      </c>
      <c r="HG53">
        <v>3.3008799999999998</v>
      </c>
      <c r="HH53">
        <v>9999</v>
      </c>
      <c r="HI53">
        <v>9999</v>
      </c>
      <c r="HJ53">
        <v>9999</v>
      </c>
      <c r="HK53">
        <v>999.9</v>
      </c>
      <c r="HL53">
        <v>1.875</v>
      </c>
      <c r="HM53">
        <v>1.8803300000000001</v>
      </c>
      <c r="HN53">
        <v>1.8804000000000001</v>
      </c>
      <c r="HO53">
        <v>1.8791199999999999</v>
      </c>
      <c r="HP53">
        <v>1.88144</v>
      </c>
      <c r="HQ53">
        <v>1.8774</v>
      </c>
      <c r="HR53">
        <v>1.8750500000000001</v>
      </c>
      <c r="HS53">
        <v>1.88232</v>
      </c>
      <c r="HT53">
        <v>5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423</v>
      </c>
      <c r="IB53" t="s">
        <v>423</v>
      </c>
      <c r="IC53" t="s">
        <v>423</v>
      </c>
      <c r="ID53">
        <v>0</v>
      </c>
      <c r="IE53">
        <v>100</v>
      </c>
      <c r="IF53">
        <v>100</v>
      </c>
      <c r="IG53">
        <v>-0.127</v>
      </c>
      <c r="IH53">
        <v>0.33789999999999998</v>
      </c>
      <c r="II53">
        <v>-0.22369836653735489</v>
      </c>
      <c r="IJ53">
        <v>7.0786345690369205E-4</v>
      </c>
      <c r="IK53">
        <v>-1.387476646623666E-6</v>
      </c>
      <c r="IL53">
        <v>3.6592443641472651E-10</v>
      </c>
      <c r="IM53">
        <v>0.3378708141219483</v>
      </c>
      <c r="IN53">
        <v>0</v>
      </c>
      <c r="IO53">
        <v>0</v>
      </c>
      <c r="IP53">
        <v>0</v>
      </c>
      <c r="IQ53">
        <v>2</v>
      </c>
      <c r="IR53">
        <v>2142</v>
      </c>
      <c r="IS53">
        <v>1</v>
      </c>
      <c r="IT53">
        <v>24</v>
      </c>
      <c r="IU53">
        <v>1.5</v>
      </c>
      <c r="IV53">
        <v>1.6</v>
      </c>
      <c r="IW53">
        <v>0.81542999999999999</v>
      </c>
      <c r="IX53">
        <v>2.67334</v>
      </c>
      <c r="IY53">
        <v>1.5490699999999999</v>
      </c>
      <c r="IZ53">
        <v>2.36084</v>
      </c>
      <c r="JA53">
        <v>1.5966800000000001</v>
      </c>
      <c r="JB53">
        <v>2.2375500000000001</v>
      </c>
      <c r="JC53">
        <v>44.001899999999999</v>
      </c>
      <c r="JD53">
        <v>24.2364</v>
      </c>
      <c r="JE53">
        <v>18</v>
      </c>
      <c r="JF53">
        <v>541.18899999999996</v>
      </c>
      <c r="JG53">
        <v>436.53500000000003</v>
      </c>
      <c r="JH53">
        <v>28.418900000000001</v>
      </c>
      <c r="JI53">
        <v>35.619300000000003</v>
      </c>
      <c r="JJ53">
        <v>29.999500000000001</v>
      </c>
      <c r="JK53">
        <v>35.720500000000001</v>
      </c>
      <c r="JL53">
        <v>35.7239</v>
      </c>
      <c r="JM53">
        <v>16.320499999999999</v>
      </c>
      <c r="JN53">
        <v>14.225</v>
      </c>
      <c r="JO53">
        <v>19.2196</v>
      </c>
      <c r="JP53">
        <v>28.429600000000001</v>
      </c>
      <c r="JQ53">
        <v>300</v>
      </c>
      <c r="JR53">
        <v>21.374400000000001</v>
      </c>
      <c r="JS53">
        <v>98.408699999999996</v>
      </c>
      <c r="JT53">
        <v>99.274799999999999</v>
      </c>
    </row>
    <row r="54" spans="1:280" x14ac:dyDescent="0.25">
      <c r="A54">
        <v>38</v>
      </c>
      <c r="B54">
        <v>1700243772</v>
      </c>
      <c r="C54">
        <v>6637.5</v>
      </c>
      <c r="D54" t="s">
        <v>580</v>
      </c>
      <c r="E54" t="s">
        <v>581</v>
      </c>
      <c r="F54" t="s">
        <v>412</v>
      </c>
      <c r="G54" t="s">
        <v>542</v>
      </c>
      <c r="H54" t="s">
        <v>413</v>
      </c>
      <c r="I54">
        <v>1700243772</v>
      </c>
      <c r="J54">
        <f t="shared" si="46"/>
        <v>7.0391174667029576E-3</v>
      </c>
      <c r="K54">
        <f t="shared" si="47"/>
        <v>7.0391174667029572</v>
      </c>
      <c r="L54">
        <f t="shared" si="48"/>
        <v>30.418099913280084</v>
      </c>
      <c r="M54">
        <f t="shared" si="49"/>
        <v>167.24100000000001</v>
      </c>
      <c r="N54">
        <f t="shared" si="50"/>
        <v>57.925128142567281</v>
      </c>
      <c r="O54">
        <f t="shared" si="51"/>
        <v>5.7313640368827707</v>
      </c>
      <c r="P54">
        <f t="shared" si="52"/>
        <v>16.547551703868002</v>
      </c>
      <c r="Q54">
        <f t="shared" si="53"/>
        <v>0.49134185437896905</v>
      </c>
      <c r="R54">
        <f t="shared" si="54"/>
        <v>3.0744981363409303</v>
      </c>
      <c r="S54">
        <f t="shared" si="55"/>
        <v>0.45151976234225033</v>
      </c>
      <c r="T54">
        <f t="shared" si="56"/>
        <v>0.28550826879689828</v>
      </c>
      <c r="U54">
        <f t="shared" si="57"/>
        <v>289.56270041908493</v>
      </c>
      <c r="V54">
        <f t="shared" si="58"/>
        <v>29.56839938693183</v>
      </c>
      <c r="W54">
        <f t="shared" si="59"/>
        <v>29.835599999999999</v>
      </c>
      <c r="X54">
        <f t="shared" si="60"/>
        <v>4.2203835020984473</v>
      </c>
      <c r="Y54">
        <f t="shared" si="61"/>
        <v>65.295069288611941</v>
      </c>
      <c r="Z54">
        <f t="shared" si="62"/>
        <v>2.7320513369760002</v>
      </c>
      <c r="AA54">
        <f t="shared" si="63"/>
        <v>4.1841617854787927</v>
      </c>
      <c r="AB54">
        <f t="shared" si="64"/>
        <v>1.488332165122447</v>
      </c>
      <c r="AC54">
        <f t="shared" si="65"/>
        <v>-310.42508028160046</v>
      </c>
      <c r="AD54">
        <f t="shared" si="66"/>
        <v>-24.829701060256394</v>
      </c>
      <c r="AE54">
        <f t="shared" si="67"/>
        <v>-1.7914594948607598</v>
      </c>
      <c r="AF54">
        <f t="shared" si="68"/>
        <v>-47.483540417632682</v>
      </c>
      <c r="AG54">
        <v>0</v>
      </c>
      <c r="AH54">
        <v>0</v>
      </c>
      <c r="AI54">
        <f t="shared" si="69"/>
        <v>1</v>
      </c>
      <c r="AJ54">
        <f t="shared" si="70"/>
        <v>0</v>
      </c>
      <c r="AK54">
        <f t="shared" si="71"/>
        <v>51715.27791648393</v>
      </c>
      <c r="AL54" t="s">
        <v>446</v>
      </c>
      <c r="AM54" t="s">
        <v>446</v>
      </c>
      <c r="AN54">
        <v>0</v>
      </c>
      <c r="AO54">
        <v>0</v>
      </c>
      <c r="AP54" t="e">
        <f t="shared" si="72"/>
        <v>#DIV/0!</v>
      </c>
      <c r="AQ54">
        <v>0</v>
      </c>
      <c r="AR54" t="s">
        <v>446</v>
      </c>
      <c r="AS54" t="s">
        <v>446</v>
      </c>
      <c r="AT54">
        <v>0</v>
      </c>
      <c r="AU54">
        <v>0</v>
      </c>
      <c r="AV54" t="e">
        <f t="shared" si="73"/>
        <v>#DIV/0!</v>
      </c>
      <c r="AW54">
        <v>0.5</v>
      </c>
      <c r="AX54">
        <f t="shared" si="74"/>
        <v>1513.1676002171425</v>
      </c>
      <c r="AY54">
        <f t="shared" si="75"/>
        <v>30.418099913280084</v>
      </c>
      <c r="AZ54" t="e">
        <f t="shared" si="76"/>
        <v>#DIV/0!</v>
      </c>
      <c r="BA54">
        <f t="shared" si="77"/>
        <v>2.0102267527347947E-2</v>
      </c>
      <c r="BB54" t="e">
        <f t="shared" si="78"/>
        <v>#DIV/0!</v>
      </c>
      <c r="BC54" t="e">
        <f t="shared" si="79"/>
        <v>#DIV/0!</v>
      </c>
      <c r="BD54" t="s">
        <v>446</v>
      </c>
      <c r="BE54">
        <v>0</v>
      </c>
      <c r="BF54" t="e">
        <f t="shared" si="80"/>
        <v>#DIV/0!</v>
      </c>
      <c r="BG54" t="e">
        <f t="shared" si="81"/>
        <v>#DIV/0!</v>
      </c>
      <c r="BH54" t="e">
        <f t="shared" si="82"/>
        <v>#DIV/0!</v>
      </c>
      <c r="BI54" t="e">
        <f t="shared" si="83"/>
        <v>#DIV/0!</v>
      </c>
      <c r="BJ54" t="e">
        <f t="shared" si="84"/>
        <v>#DIV/0!</v>
      </c>
      <c r="BK54" t="e">
        <f t="shared" si="85"/>
        <v>#DIV/0!</v>
      </c>
      <c r="BL54" t="e">
        <f t="shared" si="86"/>
        <v>#DIV/0!</v>
      </c>
      <c r="BM54" t="e">
        <f t="shared" si="87"/>
        <v>#DIV/0!</v>
      </c>
      <c r="BN54">
        <v>34567</v>
      </c>
      <c r="BO54">
        <v>290.00000000000011</v>
      </c>
      <c r="BP54">
        <v>839.17</v>
      </c>
      <c r="BQ54">
        <v>285</v>
      </c>
      <c r="BR54">
        <v>7092.85</v>
      </c>
      <c r="BS54">
        <v>840.69</v>
      </c>
      <c r="BT54">
        <v>-1.52</v>
      </c>
      <c r="BU54">
        <v>300.00000000000011</v>
      </c>
      <c r="BV54">
        <v>38.299999999999997</v>
      </c>
      <c r="BW54">
        <v>906.08028274519916</v>
      </c>
      <c r="BX54">
        <v>1.2975652572770899</v>
      </c>
      <c r="BY54">
        <v>-46.379367527925993</v>
      </c>
      <c r="BZ54">
        <v>0.77157172096642213</v>
      </c>
      <c r="CA54">
        <v>0.99231031592531771</v>
      </c>
      <c r="CB54">
        <v>-6.9920071190211434E-3</v>
      </c>
      <c r="CC54">
        <v>289.99999999999989</v>
      </c>
      <c r="CD54">
        <v>847.25</v>
      </c>
      <c r="CE54">
        <v>785</v>
      </c>
      <c r="CF54">
        <v>7087.43</v>
      </c>
      <c r="CG54">
        <v>840.64</v>
      </c>
      <c r="CH54">
        <v>6.61</v>
      </c>
      <c r="CV54">
        <f t="shared" si="88"/>
        <v>1799.98</v>
      </c>
      <c r="CW54">
        <f t="shared" si="89"/>
        <v>1513.1676002171425</v>
      </c>
      <c r="CX54">
        <f t="shared" si="90"/>
        <v>0.84065800743182839</v>
      </c>
      <c r="CY54">
        <f t="shared" si="91"/>
        <v>0.16086995434342877</v>
      </c>
      <c r="CZ54">
        <v>5.18</v>
      </c>
      <c r="DA54">
        <v>0.5</v>
      </c>
      <c r="DB54" t="s">
        <v>418</v>
      </c>
      <c r="DC54">
        <v>2</v>
      </c>
      <c r="DD54">
        <v>1700243772</v>
      </c>
      <c r="DE54">
        <v>167.24100000000001</v>
      </c>
      <c r="DF54">
        <v>199.96100000000001</v>
      </c>
      <c r="DG54">
        <v>27.611999999999998</v>
      </c>
      <c r="DH54">
        <v>20.523599999999998</v>
      </c>
      <c r="DI54">
        <v>167.315</v>
      </c>
      <c r="DJ54">
        <v>27.2578</v>
      </c>
      <c r="DK54">
        <v>500.19499999999999</v>
      </c>
      <c r="DL54">
        <v>98.844200000000001</v>
      </c>
      <c r="DM54">
        <v>0.100148</v>
      </c>
      <c r="DN54">
        <v>29.6858</v>
      </c>
      <c r="DO54">
        <v>29.835599999999999</v>
      </c>
      <c r="DP54">
        <v>999.9</v>
      </c>
      <c r="DQ54">
        <v>0</v>
      </c>
      <c r="DR54">
        <v>0</v>
      </c>
      <c r="DS54">
        <v>9982.5</v>
      </c>
      <c r="DT54">
        <v>0</v>
      </c>
      <c r="DU54">
        <v>131.81800000000001</v>
      </c>
      <c r="DV54">
        <v>-32.7196</v>
      </c>
      <c r="DW54">
        <v>171.99</v>
      </c>
      <c r="DX54">
        <v>204.15100000000001</v>
      </c>
      <c r="DY54">
        <v>7.0884</v>
      </c>
      <c r="DZ54">
        <v>199.96100000000001</v>
      </c>
      <c r="EA54">
        <v>20.523599999999998</v>
      </c>
      <c r="EB54">
        <v>2.7292800000000002</v>
      </c>
      <c r="EC54">
        <v>2.0286300000000002</v>
      </c>
      <c r="ED54">
        <v>22.462499999999999</v>
      </c>
      <c r="EE54">
        <v>17.669599999999999</v>
      </c>
      <c r="EF54">
        <v>1799.98</v>
      </c>
      <c r="EG54">
        <v>0.97800399999999998</v>
      </c>
      <c r="EH54">
        <v>2.1996000000000002E-2</v>
      </c>
      <c r="EI54">
        <v>0</v>
      </c>
      <c r="EJ54">
        <v>689.3</v>
      </c>
      <c r="EK54">
        <v>4.9996700000000001</v>
      </c>
      <c r="EL54">
        <v>13302.4</v>
      </c>
      <c r="EM54">
        <v>15046.6</v>
      </c>
      <c r="EN54">
        <v>49.061999999999998</v>
      </c>
      <c r="EO54">
        <v>50.375</v>
      </c>
      <c r="EP54">
        <v>49.875</v>
      </c>
      <c r="EQ54">
        <v>49.875</v>
      </c>
      <c r="ER54">
        <v>50.5</v>
      </c>
      <c r="ES54">
        <v>1755.5</v>
      </c>
      <c r="ET54">
        <v>39.479999999999997</v>
      </c>
      <c r="EU54">
        <v>0</v>
      </c>
      <c r="EV54">
        <v>160.79999995231631</v>
      </c>
      <c r="EW54">
        <v>0</v>
      </c>
      <c r="EX54">
        <v>689.35123076923071</v>
      </c>
      <c r="EY54">
        <v>1.4632462963007201E-2</v>
      </c>
      <c r="EZ54">
        <v>181.74017133110451</v>
      </c>
      <c r="FA54">
        <v>13344.49615384615</v>
      </c>
      <c r="FB54">
        <v>15</v>
      </c>
      <c r="FC54">
        <v>1700243733.5</v>
      </c>
      <c r="FD54" t="s">
        <v>582</v>
      </c>
      <c r="FE54">
        <v>1700243733.5</v>
      </c>
      <c r="FF54">
        <v>1700243730.5</v>
      </c>
      <c r="FG54">
        <v>45</v>
      </c>
      <c r="FH54">
        <v>6.8000000000000005E-2</v>
      </c>
      <c r="FI54">
        <v>1.6E-2</v>
      </c>
      <c r="FJ54">
        <v>-6.6000000000000003E-2</v>
      </c>
      <c r="FK54">
        <v>0.28799999999999998</v>
      </c>
      <c r="FL54">
        <v>200</v>
      </c>
      <c r="FM54">
        <v>22</v>
      </c>
      <c r="FN54">
        <v>0.08</v>
      </c>
      <c r="FO54">
        <v>0.06</v>
      </c>
      <c r="FP54">
        <v>30.307218400685429</v>
      </c>
      <c r="FQ54">
        <v>0.57766148646441695</v>
      </c>
      <c r="FR54">
        <v>8.6250710937482364E-2</v>
      </c>
      <c r="FS54">
        <v>1</v>
      </c>
      <c r="FT54">
        <v>0.50701336657546026</v>
      </c>
      <c r="FU54">
        <v>-2.078505844162376E-2</v>
      </c>
      <c r="FV54">
        <v>5.6328174530399034E-3</v>
      </c>
      <c r="FW54">
        <v>1</v>
      </c>
      <c r="FX54">
        <v>2</v>
      </c>
      <c r="FY54">
        <v>2</v>
      </c>
      <c r="FZ54" t="s">
        <v>420</v>
      </c>
      <c r="GA54">
        <v>3.0128499999999998</v>
      </c>
      <c r="GB54">
        <v>2.7770800000000002</v>
      </c>
      <c r="GC54">
        <v>4.2200399999999999E-2</v>
      </c>
      <c r="GD54">
        <v>4.98223E-2</v>
      </c>
      <c r="GE54">
        <v>0.12509300000000001</v>
      </c>
      <c r="GF54">
        <v>0.102876</v>
      </c>
      <c r="GG54">
        <v>22954.799999999999</v>
      </c>
      <c r="GH54">
        <v>23520.1</v>
      </c>
      <c r="GI54">
        <v>23738.9</v>
      </c>
      <c r="GJ54">
        <v>24416.9</v>
      </c>
      <c r="GK54">
        <v>30723.9</v>
      </c>
      <c r="GL54">
        <v>31414.7</v>
      </c>
      <c r="GM54">
        <v>38882.699999999997</v>
      </c>
      <c r="GN54">
        <v>38888.1</v>
      </c>
      <c r="GO54">
        <v>2.0296799999999999</v>
      </c>
      <c r="GP54">
        <v>1.7674700000000001</v>
      </c>
      <c r="GQ54">
        <v>8.03508E-2</v>
      </c>
      <c r="GR54">
        <v>0</v>
      </c>
      <c r="GS54">
        <v>28.526199999999999</v>
      </c>
      <c r="GT54">
        <v>999.9</v>
      </c>
      <c r="GU54">
        <v>32.5</v>
      </c>
      <c r="GV54">
        <v>41.1</v>
      </c>
      <c r="GW54">
        <v>25.845199999999998</v>
      </c>
      <c r="GX54">
        <v>60.909799999999997</v>
      </c>
      <c r="GY54">
        <v>30.645</v>
      </c>
      <c r="GZ54">
        <v>1</v>
      </c>
      <c r="HA54">
        <v>0.66233699999999995</v>
      </c>
      <c r="HB54">
        <v>1.0966499999999999</v>
      </c>
      <c r="HC54">
        <v>20.3262</v>
      </c>
      <c r="HD54">
        <v>5.2409499999999998</v>
      </c>
      <c r="HE54">
        <v>11.998100000000001</v>
      </c>
      <c r="HF54">
        <v>4.9629500000000002</v>
      </c>
      <c r="HG54">
        <v>3.30023</v>
      </c>
      <c r="HH54">
        <v>9999</v>
      </c>
      <c r="HI54">
        <v>9999</v>
      </c>
      <c r="HJ54">
        <v>9999</v>
      </c>
      <c r="HK54">
        <v>999.9</v>
      </c>
      <c r="HL54">
        <v>1.875</v>
      </c>
      <c r="HM54">
        <v>1.8803399999999999</v>
      </c>
      <c r="HN54">
        <v>1.8804099999999999</v>
      </c>
      <c r="HO54">
        <v>1.8791199999999999</v>
      </c>
      <c r="HP54">
        <v>1.8814500000000001</v>
      </c>
      <c r="HQ54">
        <v>1.8774</v>
      </c>
      <c r="HR54">
        <v>1.8750800000000001</v>
      </c>
      <c r="HS54">
        <v>1.88232</v>
      </c>
      <c r="HT54">
        <v>5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423</v>
      </c>
      <c r="IB54" t="s">
        <v>423</v>
      </c>
      <c r="IC54" t="s">
        <v>423</v>
      </c>
      <c r="ID54">
        <v>0</v>
      </c>
      <c r="IE54">
        <v>100</v>
      </c>
      <c r="IF54">
        <v>100</v>
      </c>
      <c r="IG54">
        <v>-7.3999999999999996E-2</v>
      </c>
      <c r="IH54">
        <v>0.35420000000000001</v>
      </c>
      <c r="II54">
        <v>-0.15524667151620219</v>
      </c>
      <c r="IJ54">
        <v>7.0786345690369205E-4</v>
      </c>
      <c r="IK54">
        <v>-1.387476646623666E-6</v>
      </c>
      <c r="IL54">
        <v>3.6592443641472651E-10</v>
      </c>
      <c r="IM54">
        <v>0.35413706832589747</v>
      </c>
      <c r="IN54">
        <v>0</v>
      </c>
      <c r="IO54">
        <v>0</v>
      </c>
      <c r="IP54">
        <v>0</v>
      </c>
      <c r="IQ54">
        <v>2</v>
      </c>
      <c r="IR54">
        <v>2142</v>
      </c>
      <c r="IS54">
        <v>1</v>
      </c>
      <c r="IT54">
        <v>24</v>
      </c>
      <c r="IU54">
        <v>0.6</v>
      </c>
      <c r="IV54">
        <v>0.7</v>
      </c>
      <c r="IW54">
        <v>0.59936500000000004</v>
      </c>
      <c r="IX54">
        <v>2.67822</v>
      </c>
      <c r="IY54">
        <v>1.5490699999999999</v>
      </c>
      <c r="IZ54">
        <v>2.3596200000000001</v>
      </c>
      <c r="JA54">
        <v>1.5966800000000001</v>
      </c>
      <c r="JB54">
        <v>2.2753899999999998</v>
      </c>
      <c r="JC54">
        <v>43.6447</v>
      </c>
      <c r="JD54">
        <v>24.2364</v>
      </c>
      <c r="JE54">
        <v>18</v>
      </c>
      <c r="JF54">
        <v>541.54700000000003</v>
      </c>
      <c r="JG54">
        <v>437.86</v>
      </c>
      <c r="JH54">
        <v>27.705500000000001</v>
      </c>
      <c r="JI54">
        <v>35.375300000000003</v>
      </c>
      <c r="JJ54">
        <v>29.999300000000002</v>
      </c>
      <c r="JK54">
        <v>35.499200000000002</v>
      </c>
      <c r="JL54">
        <v>35.505800000000001</v>
      </c>
      <c r="JM54">
        <v>11.9862</v>
      </c>
      <c r="JN54">
        <v>15.6496</v>
      </c>
      <c r="JO54">
        <v>19.3794</v>
      </c>
      <c r="JP54">
        <v>27.829499999999999</v>
      </c>
      <c r="JQ54">
        <v>200</v>
      </c>
      <c r="JR54">
        <v>20.699300000000001</v>
      </c>
      <c r="JS54">
        <v>98.468100000000007</v>
      </c>
      <c r="JT54">
        <v>99.330799999999996</v>
      </c>
    </row>
    <row r="55" spans="1:280" x14ac:dyDescent="0.25">
      <c r="A55">
        <v>39</v>
      </c>
      <c r="B55">
        <v>1700243862.5</v>
      </c>
      <c r="C55">
        <v>6728</v>
      </c>
      <c r="D55" t="s">
        <v>583</v>
      </c>
      <c r="E55" t="s">
        <v>584</v>
      </c>
      <c r="F55" t="s">
        <v>412</v>
      </c>
      <c r="G55" t="s">
        <v>542</v>
      </c>
      <c r="H55" t="s">
        <v>413</v>
      </c>
      <c r="I55">
        <v>1700243862.5</v>
      </c>
      <c r="J55">
        <f t="shared" si="46"/>
        <v>6.8290978169487718E-3</v>
      </c>
      <c r="K55">
        <f t="shared" si="47"/>
        <v>6.8290978169487717</v>
      </c>
      <c r="L55">
        <f t="shared" si="48"/>
        <v>19.227778414993281</v>
      </c>
      <c r="M55">
        <f t="shared" si="49"/>
        <v>99.419499999999999</v>
      </c>
      <c r="N55">
        <f t="shared" si="50"/>
        <v>27.511007215634383</v>
      </c>
      <c r="O55">
        <f t="shared" si="51"/>
        <v>2.7221147832245567</v>
      </c>
      <c r="P55">
        <f t="shared" si="52"/>
        <v>9.8372003819981995</v>
      </c>
      <c r="Q55">
        <f t="shared" si="53"/>
        <v>0.46903161861196746</v>
      </c>
      <c r="R55">
        <f t="shared" si="54"/>
        <v>3.0757414187365715</v>
      </c>
      <c r="S55">
        <f t="shared" si="55"/>
        <v>0.43261373459891678</v>
      </c>
      <c r="T55">
        <f t="shared" si="56"/>
        <v>0.27341956531917838</v>
      </c>
      <c r="U55">
        <f t="shared" si="57"/>
        <v>289.57387241906861</v>
      </c>
      <c r="V55">
        <f t="shared" si="58"/>
        <v>29.957021546447443</v>
      </c>
      <c r="W55">
        <f t="shared" si="59"/>
        <v>30.0625</v>
      </c>
      <c r="X55">
        <f t="shared" si="60"/>
        <v>4.2757685158615413</v>
      </c>
      <c r="Y55">
        <f t="shared" si="61"/>
        <v>64.920638963005885</v>
      </c>
      <c r="Z55">
        <f t="shared" si="62"/>
        <v>2.7694401264526802</v>
      </c>
      <c r="AA55">
        <f t="shared" si="63"/>
        <v>4.2658855037314201</v>
      </c>
      <c r="AB55">
        <f t="shared" si="64"/>
        <v>1.506328389408861</v>
      </c>
      <c r="AC55">
        <f t="shared" si="65"/>
        <v>-301.16321372744085</v>
      </c>
      <c r="AD55">
        <f t="shared" si="66"/>
        <v>-6.6825206660868632</v>
      </c>
      <c r="AE55">
        <f t="shared" si="67"/>
        <v>-0.48329430181093325</v>
      </c>
      <c r="AF55">
        <f t="shared" si="68"/>
        <v>-18.755156276270032</v>
      </c>
      <c r="AG55">
        <v>0</v>
      </c>
      <c r="AH55">
        <v>0</v>
      </c>
      <c r="AI55">
        <f t="shared" si="69"/>
        <v>1</v>
      </c>
      <c r="AJ55">
        <f t="shared" si="70"/>
        <v>0</v>
      </c>
      <c r="AK55">
        <f t="shared" si="71"/>
        <v>51690.100603479717</v>
      </c>
      <c r="AL55" t="s">
        <v>415</v>
      </c>
      <c r="AM55">
        <v>10238.9</v>
      </c>
      <c r="AN55">
        <v>302.21199999999999</v>
      </c>
      <c r="AO55">
        <v>4052.3</v>
      </c>
      <c r="AP55">
        <f t="shared" si="72"/>
        <v>0.92542210596451402</v>
      </c>
      <c r="AQ55">
        <v>-0.32343011824092421</v>
      </c>
      <c r="AR55" t="s">
        <v>585</v>
      </c>
      <c r="AS55">
        <v>7093.89</v>
      </c>
      <c r="AT55">
        <v>712.16323999999997</v>
      </c>
      <c r="AU55">
        <v>841.06033011435204</v>
      </c>
      <c r="AV55">
        <f t="shared" si="73"/>
        <v>0.15325546277616853</v>
      </c>
      <c r="AW55">
        <v>0.5</v>
      </c>
      <c r="AX55">
        <f t="shared" si="74"/>
        <v>1513.2264002171339</v>
      </c>
      <c r="AY55">
        <f t="shared" si="75"/>
        <v>19.227778414993281</v>
      </c>
      <c r="AZ55">
        <f t="shared" si="76"/>
        <v>115.95510612519624</v>
      </c>
      <c r="BA55">
        <f t="shared" si="77"/>
        <v>1.2920213743580464E-2</v>
      </c>
      <c r="BB55">
        <f t="shared" si="78"/>
        <v>3.8180848090279595</v>
      </c>
      <c r="BC55">
        <f t="shared" si="79"/>
        <v>235.23116638070388</v>
      </c>
      <c r="BD55" t="s">
        <v>586</v>
      </c>
      <c r="BE55">
        <v>478.28</v>
      </c>
      <c r="BF55">
        <f t="shared" si="80"/>
        <v>478.28</v>
      </c>
      <c r="BG55">
        <f t="shared" si="81"/>
        <v>0.43133686981173847</v>
      </c>
      <c r="BH55">
        <f t="shared" si="82"/>
        <v>0.35530341480675753</v>
      </c>
      <c r="BI55">
        <f t="shared" si="83"/>
        <v>0.89849515948026248</v>
      </c>
      <c r="BJ55">
        <f t="shared" si="84"/>
        <v>0.23920848021742611</v>
      </c>
      <c r="BK55">
        <f t="shared" si="85"/>
        <v>0.85631048388348441</v>
      </c>
      <c r="BL55">
        <f t="shared" si="86"/>
        <v>0.23861736704323011</v>
      </c>
      <c r="BM55">
        <f t="shared" si="87"/>
        <v>0.76138263295676989</v>
      </c>
      <c r="BN55">
        <v>34569</v>
      </c>
      <c r="BO55">
        <v>290.00000000000011</v>
      </c>
      <c r="BP55">
        <v>808.78</v>
      </c>
      <c r="BQ55">
        <v>295</v>
      </c>
      <c r="BR55">
        <v>7093.89</v>
      </c>
      <c r="BS55">
        <v>810.37</v>
      </c>
      <c r="BT55">
        <v>-1.59</v>
      </c>
      <c r="BU55">
        <v>300.00000000000011</v>
      </c>
      <c r="BV55">
        <v>38.299999999999997</v>
      </c>
      <c r="BW55">
        <v>841.06033011435204</v>
      </c>
      <c r="BX55">
        <v>1.2660805827519579</v>
      </c>
      <c r="BY55">
        <v>-21.77082690819622</v>
      </c>
      <c r="BZ55">
        <v>0.75296725039416779</v>
      </c>
      <c r="CA55">
        <v>0.96759197147129095</v>
      </c>
      <c r="CB55">
        <v>-6.9928342602892102E-3</v>
      </c>
      <c r="CC55">
        <v>289.99999999999989</v>
      </c>
      <c r="CD55">
        <v>814.91</v>
      </c>
      <c r="CE55">
        <v>845</v>
      </c>
      <c r="CF55">
        <v>7087.71</v>
      </c>
      <c r="CG55">
        <v>810.34</v>
      </c>
      <c r="CH55">
        <v>4.57</v>
      </c>
      <c r="CV55">
        <f t="shared" si="88"/>
        <v>1800.05</v>
      </c>
      <c r="CW55">
        <f t="shared" si="89"/>
        <v>1513.2264002171339</v>
      </c>
      <c r="CX55">
        <f t="shared" si="90"/>
        <v>0.84065798184335661</v>
      </c>
      <c r="CY55">
        <f t="shared" si="91"/>
        <v>0.16086990495767819</v>
      </c>
      <c r="CZ55">
        <v>5.18</v>
      </c>
      <c r="DA55">
        <v>0.5</v>
      </c>
      <c r="DB55" t="s">
        <v>418</v>
      </c>
      <c r="DC55">
        <v>2</v>
      </c>
      <c r="DD55">
        <v>1700243862.5</v>
      </c>
      <c r="DE55">
        <v>99.419499999999999</v>
      </c>
      <c r="DF55">
        <v>120.038</v>
      </c>
      <c r="DG55">
        <v>27.9893</v>
      </c>
      <c r="DH55">
        <v>21.114000000000001</v>
      </c>
      <c r="DI55">
        <v>99.494500000000002</v>
      </c>
      <c r="DJ55">
        <v>27.7273</v>
      </c>
      <c r="DK55">
        <v>500.11799999999999</v>
      </c>
      <c r="DL55">
        <v>98.846500000000006</v>
      </c>
      <c r="DM55">
        <v>9.9887599999999993E-2</v>
      </c>
      <c r="DN55">
        <v>30.022200000000002</v>
      </c>
      <c r="DO55">
        <v>30.0625</v>
      </c>
      <c r="DP55">
        <v>999.9</v>
      </c>
      <c r="DQ55">
        <v>0</v>
      </c>
      <c r="DR55">
        <v>0</v>
      </c>
      <c r="DS55">
        <v>9988.75</v>
      </c>
      <c r="DT55">
        <v>0</v>
      </c>
      <c r="DU55">
        <v>114.255</v>
      </c>
      <c r="DV55">
        <v>-20.641200000000001</v>
      </c>
      <c r="DW55">
        <v>102.268</v>
      </c>
      <c r="DX55">
        <v>122.627</v>
      </c>
      <c r="DY55">
        <v>6.9674500000000004</v>
      </c>
      <c r="DZ55">
        <v>120.038</v>
      </c>
      <c r="EA55">
        <v>21.114000000000001</v>
      </c>
      <c r="EB55">
        <v>2.77576</v>
      </c>
      <c r="EC55">
        <v>2.0870500000000001</v>
      </c>
      <c r="ED55">
        <v>22.740600000000001</v>
      </c>
      <c r="EE55">
        <v>18.120699999999999</v>
      </c>
      <c r="EF55">
        <v>1800.05</v>
      </c>
      <c r="EG55">
        <v>0.97800399999999998</v>
      </c>
      <c r="EH55">
        <v>2.1996000000000002E-2</v>
      </c>
      <c r="EI55">
        <v>0</v>
      </c>
      <c r="EJ55">
        <v>711.548</v>
      </c>
      <c r="EK55">
        <v>4.9996700000000001</v>
      </c>
      <c r="EL55">
        <v>13533.5</v>
      </c>
      <c r="EM55">
        <v>15047.2</v>
      </c>
      <c r="EN55">
        <v>48.936999999999998</v>
      </c>
      <c r="EO55">
        <v>50.25</v>
      </c>
      <c r="EP55">
        <v>49.75</v>
      </c>
      <c r="EQ55">
        <v>49.75</v>
      </c>
      <c r="ER55">
        <v>50.375</v>
      </c>
      <c r="ES55">
        <v>1755.57</v>
      </c>
      <c r="ET55">
        <v>39.479999999999997</v>
      </c>
      <c r="EU55">
        <v>0</v>
      </c>
      <c r="EV55">
        <v>251.39999985694891</v>
      </c>
      <c r="EW55">
        <v>0</v>
      </c>
      <c r="EX55">
        <v>712.16323999999997</v>
      </c>
      <c r="EY55">
        <v>-2.3511538495933411</v>
      </c>
      <c r="EZ55">
        <v>-1512.6538470513919</v>
      </c>
      <c r="FA55">
        <v>13726.34</v>
      </c>
      <c r="FB55">
        <v>15</v>
      </c>
      <c r="FC55">
        <v>1700243890.5</v>
      </c>
      <c r="FD55" t="s">
        <v>587</v>
      </c>
      <c r="FE55">
        <v>1700243880.5</v>
      </c>
      <c r="FF55">
        <v>1700243890.5</v>
      </c>
      <c r="FG55">
        <v>46</v>
      </c>
      <c r="FH55">
        <v>1.4999999999999999E-2</v>
      </c>
      <c r="FI55">
        <v>8.0000000000000002E-3</v>
      </c>
      <c r="FJ55">
        <v>-7.4999999999999997E-2</v>
      </c>
      <c r="FK55">
        <v>0.26200000000000001</v>
      </c>
      <c r="FL55">
        <v>120</v>
      </c>
      <c r="FM55">
        <v>21</v>
      </c>
      <c r="FN55">
        <v>0.1</v>
      </c>
      <c r="FO55">
        <v>0.01</v>
      </c>
      <c r="FP55">
        <v>19.134657594165489</v>
      </c>
      <c r="FQ55">
        <v>0.66946773469259402</v>
      </c>
      <c r="FR55">
        <v>7.8949682924361428E-2</v>
      </c>
      <c r="FS55">
        <v>1</v>
      </c>
      <c r="FT55">
        <v>0.47333395535124678</v>
      </c>
      <c r="FU55">
        <v>2.6600177617348019E-2</v>
      </c>
      <c r="FV55">
        <v>2.1675695728010369E-3</v>
      </c>
      <c r="FW55">
        <v>1</v>
      </c>
      <c r="FX55">
        <v>2</v>
      </c>
      <c r="FY55">
        <v>2</v>
      </c>
      <c r="FZ55" t="s">
        <v>420</v>
      </c>
      <c r="GA55">
        <v>3.0125600000000001</v>
      </c>
      <c r="GB55">
        <v>2.7768700000000002</v>
      </c>
      <c r="GC55">
        <v>2.6049900000000001E-2</v>
      </c>
      <c r="GD55">
        <v>3.1356799999999997E-2</v>
      </c>
      <c r="GE55">
        <v>0.126611</v>
      </c>
      <c r="GF55">
        <v>0.104974</v>
      </c>
      <c r="GG55">
        <v>23348.5</v>
      </c>
      <c r="GH55">
        <v>23983.1</v>
      </c>
      <c r="GI55">
        <v>23745.9</v>
      </c>
      <c r="GJ55">
        <v>24423.1</v>
      </c>
      <c r="GK55">
        <v>30678.400000000001</v>
      </c>
      <c r="GL55">
        <v>31348.9</v>
      </c>
      <c r="GM55">
        <v>38893.1</v>
      </c>
      <c r="GN55">
        <v>38897.599999999999</v>
      </c>
      <c r="GO55">
        <v>2.0308000000000002</v>
      </c>
      <c r="GP55">
        <v>1.77125</v>
      </c>
      <c r="GQ55">
        <v>8.4210199999999999E-2</v>
      </c>
      <c r="GR55">
        <v>0</v>
      </c>
      <c r="GS55">
        <v>28.6907</v>
      </c>
      <c r="GT55">
        <v>999.9</v>
      </c>
      <c r="GU55">
        <v>32.200000000000003</v>
      </c>
      <c r="GV55">
        <v>41.1</v>
      </c>
      <c r="GW55">
        <v>25.605499999999999</v>
      </c>
      <c r="GX55">
        <v>61.089799999999997</v>
      </c>
      <c r="GY55">
        <v>30.865400000000001</v>
      </c>
      <c r="GZ55">
        <v>1</v>
      </c>
      <c r="HA55">
        <v>0.65785099999999996</v>
      </c>
      <c r="HB55">
        <v>2.7202299999999999</v>
      </c>
      <c r="HC55">
        <v>20.305499999999999</v>
      </c>
      <c r="HD55">
        <v>5.2411000000000003</v>
      </c>
      <c r="HE55">
        <v>11.9984</v>
      </c>
      <c r="HF55">
        <v>4.9631999999999996</v>
      </c>
      <c r="HG55">
        <v>3.3001800000000001</v>
      </c>
      <c r="HH55">
        <v>9999</v>
      </c>
      <c r="HI55">
        <v>9999</v>
      </c>
      <c r="HJ55">
        <v>9999</v>
      </c>
      <c r="HK55">
        <v>999.9</v>
      </c>
      <c r="HL55">
        <v>1.875</v>
      </c>
      <c r="HM55">
        <v>1.8803300000000001</v>
      </c>
      <c r="HN55">
        <v>1.8804000000000001</v>
      </c>
      <c r="HO55">
        <v>1.8791199999999999</v>
      </c>
      <c r="HP55">
        <v>1.88147</v>
      </c>
      <c r="HQ55">
        <v>1.87737</v>
      </c>
      <c r="HR55">
        <v>1.87507</v>
      </c>
      <c r="HS55">
        <v>1.88232</v>
      </c>
      <c r="HT55">
        <v>5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423</v>
      </c>
      <c r="IB55" t="s">
        <v>423</v>
      </c>
      <c r="IC55" t="s">
        <v>423</v>
      </c>
      <c r="ID55">
        <v>0</v>
      </c>
      <c r="IE55">
        <v>100</v>
      </c>
      <c r="IF55">
        <v>100</v>
      </c>
      <c r="IG55">
        <v>-7.4999999999999997E-2</v>
      </c>
      <c r="IH55">
        <v>0.26200000000000001</v>
      </c>
      <c r="II55">
        <v>-0.15524667151620219</v>
      </c>
      <c r="IJ55">
        <v>7.0786345690369205E-4</v>
      </c>
      <c r="IK55">
        <v>-1.387476646623666E-6</v>
      </c>
      <c r="IL55">
        <v>3.6592443641472651E-10</v>
      </c>
      <c r="IM55">
        <v>0.35413706832589747</v>
      </c>
      <c r="IN55">
        <v>0</v>
      </c>
      <c r="IO55">
        <v>0</v>
      </c>
      <c r="IP55">
        <v>0</v>
      </c>
      <c r="IQ55">
        <v>2</v>
      </c>
      <c r="IR55">
        <v>2142</v>
      </c>
      <c r="IS55">
        <v>1</v>
      </c>
      <c r="IT55">
        <v>24</v>
      </c>
      <c r="IU55">
        <v>2.1</v>
      </c>
      <c r="IV55">
        <v>2.2000000000000002</v>
      </c>
      <c r="IW55">
        <v>0.42114299999999999</v>
      </c>
      <c r="IX55">
        <v>2.6989700000000001</v>
      </c>
      <c r="IY55">
        <v>1.5490699999999999</v>
      </c>
      <c r="IZ55">
        <v>2.3596200000000001</v>
      </c>
      <c r="JA55">
        <v>1.5966800000000001</v>
      </c>
      <c r="JB55">
        <v>2.2033700000000001</v>
      </c>
      <c r="JC55">
        <v>43.480800000000002</v>
      </c>
      <c r="JD55">
        <v>24.227599999999999</v>
      </c>
      <c r="JE55">
        <v>18</v>
      </c>
      <c r="JF55">
        <v>541.33100000000002</v>
      </c>
      <c r="JG55">
        <v>439.45600000000002</v>
      </c>
      <c r="JH55">
        <v>27.006399999999999</v>
      </c>
      <c r="JI55">
        <v>35.247300000000003</v>
      </c>
      <c r="JJ55">
        <v>29.9998</v>
      </c>
      <c r="JK55">
        <v>35.378500000000003</v>
      </c>
      <c r="JL55">
        <v>35.39</v>
      </c>
      <c r="JM55">
        <v>8.4104799999999997</v>
      </c>
      <c r="JN55">
        <v>10.521599999999999</v>
      </c>
      <c r="JO55">
        <v>19.3794</v>
      </c>
      <c r="JP55">
        <v>26.958200000000001</v>
      </c>
      <c r="JQ55">
        <v>120</v>
      </c>
      <c r="JR55">
        <v>21.196999999999999</v>
      </c>
      <c r="JS55">
        <v>98.495500000000007</v>
      </c>
      <c r="JT55">
        <v>99.355699999999999</v>
      </c>
    </row>
    <row r="56" spans="1:280" x14ac:dyDescent="0.25">
      <c r="A56">
        <v>40</v>
      </c>
      <c r="B56">
        <v>1700243981.5</v>
      </c>
      <c r="C56">
        <v>6847</v>
      </c>
      <c r="D56" t="s">
        <v>588</v>
      </c>
      <c r="E56" t="s">
        <v>589</v>
      </c>
      <c r="F56" t="s">
        <v>412</v>
      </c>
      <c r="G56" t="s">
        <v>542</v>
      </c>
      <c r="H56" t="s">
        <v>413</v>
      </c>
      <c r="I56">
        <v>1700243981.5</v>
      </c>
      <c r="J56">
        <f t="shared" si="46"/>
        <v>7.2650493594100104E-3</v>
      </c>
      <c r="K56">
        <f t="shared" si="47"/>
        <v>7.2650493594100105</v>
      </c>
      <c r="L56">
        <f t="shared" si="48"/>
        <v>11.556671489850645</v>
      </c>
      <c r="M56">
        <f t="shared" si="49"/>
        <v>57.5886</v>
      </c>
      <c r="N56">
        <f t="shared" si="50"/>
        <v>16.979730554313505</v>
      </c>
      <c r="O56">
        <f t="shared" si="51"/>
        <v>1.6801932722348059</v>
      </c>
      <c r="P56">
        <f t="shared" si="52"/>
        <v>5.69855793458634</v>
      </c>
      <c r="Q56">
        <f t="shared" si="53"/>
        <v>0.50194690975555512</v>
      </c>
      <c r="R56">
        <f t="shared" si="54"/>
        <v>3.0780278591041488</v>
      </c>
      <c r="S56">
        <f t="shared" si="55"/>
        <v>0.46050828955164841</v>
      </c>
      <c r="T56">
        <f t="shared" si="56"/>
        <v>0.291255160568621</v>
      </c>
      <c r="U56">
        <f t="shared" si="57"/>
        <v>289.58025641905925</v>
      </c>
      <c r="V56">
        <f t="shared" si="58"/>
        <v>29.69553575947732</v>
      </c>
      <c r="W56">
        <f t="shared" si="59"/>
        <v>29.9434</v>
      </c>
      <c r="X56">
        <f t="shared" si="60"/>
        <v>4.2466184111365326</v>
      </c>
      <c r="Y56">
        <f t="shared" si="61"/>
        <v>64.814661129450883</v>
      </c>
      <c r="Z56">
        <f t="shared" si="62"/>
        <v>2.7406385982551602</v>
      </c>
      <c r="AA56">
        <f t="shared" si="63"/>
        <v>4.2284238635166638</v>
      </c>
      <c r="AB56">
        <f t="shared" si="64"/>
        <v>1.5059798128813724</v>
      </c>
      <c r="AC56">
        <f t="shared" si="65"/>
        <v>-320.38867674998147</v>
      </c>
      <c r="AD56">
        <f t="shared" si="66"/>
        <v>-12.395915054119707</v>
      </c>
      <c r="AE56">
        <f t="shared" si="67"/>
        <v>-0.89462514907242618</v>
      </c>
      <c r="AF56">
        <f t="shared" si="68"/>
        <v>-44.098960534114376</v>
      </c>
      <c r="AG56">
        <v>0</v>
      </c>
      <c r="AH56">
        <v>0</v>
      </c>
      <c r="AI56">
        <f t="shared" si="69"/>
        <v>1</v>
      </c>
      <c r="AJ56">
        <f t="shared" si="70"/>
        <v>0</v>
      </c>
      <c r="AK56">
        <f t="shared" si="71"/>
        <v>51775.679697095758</v>
      </c>
      <c r="AL56" t="s">
        <v>446</v>
      </c>
      <c r="AM56" t="s">
        <v>446</v>
      </c>
      <c r="AN56">
        <v>0</v>
      </c>
      <c r="AO56">
        <v>0</v>
      </c>
      <c r="AP56" t="e">
        <f t="shared" si="72"/>
        <v>#DIV/0!</v>
      </c>
      <c r="AQ56">
        <v>0</v>
      </c>
      <c r="AR56" t="s">
        <v>446</v>
      </c>
      <c r="AS56" t="s">
        <v>446</v>
      </c>
      <c r="AT56">
        <v>0</v>
      </c>
      <c r="AU56">
        <v>0</v>
      </c>
      <c r="AV56" t="e">
        <f t="shared" si="73"/>
        <v>#DIV/0!</v>
      </c>
      <c r="AW56">
        <v>0.5</v>
      </c>
      <c r="AX56">
        <f t="shared" si="74"/>
        <v>1513.2600002171291</v>
      </c>
      <c r="AY56">
        <f t="shared" si="75"/>
        <v>11.556671489850645</v>
      </c>
      <c r="AZ56" t="e">
        <f t="shared" si="76"/>
        <v>#DIV/0!</v>
      </c>
      <c r="BA56">
        <f t="shared" si="77"/>
        <v>7.636937134525755E-3</v>
      </c>
      <c r="BB56" t="e">
        <f t="shared" si="78"/>
        <v>#DIV/0!</v>
      </c>
      <c r="BC56" t="e">
        <f t="shared" si="79"/>
        <v>#DIV/0!</v>
      </c>
      <c r="BD56" t="s">
        <v>446</v>
      </c>
      <c r="BE56">
        <v>0</v>
      </c>
      <c r="BF56" t="e">
        <f t="shared" si="80"/>
        <v>#DIV/0!</v>
      </c>
      <c r="BG56" t="e">
        <f t="shared" si="81"/>
        <v>#DIV/0!</v>
      </c>
      <c r="BH56" t="e">
        <f t="shared" si="82"/>
        <v>#DIV/0!</v>
      </c>
      <c r="BI56" t="e">
        <f t="shared" si="83"/>
        <v>#DIV/0!</v>
      </c>
      <c r="BJ56" t="e">
        <f t="shared" si="84"/>
        <v>#DIV/0!</v>
      </c>
      <c r="BK56" t="e">
        <f t="shared" si="85"/>
        <v>#DIV/0!</v>
      </c>
      <c r="BL56" t="e">
        <f t="shared" si="86"/>
        <v>#DIV/0!</v>
      </c>
      <c r="BM56" t="e">
        <f t="shared" si="87"/>
        <v>#DIV/0!</v>
      </c>
      <c r="BN56">
        <v>34569</v>
      </c>
      <c r="BO56">
        <v>290.00000000000011</v>
      </c>
      <c r="BP56">
        <v>808.78</v>
      </c>
      <c r="BQ56">
        <v>295</v>
      </c>
      <c r="BR56">
        <v>7093.89</v>
      </c>
      <c r="BS56">
        <v>810.37</v>
      </c>
      <c r="BT56">
        <v>-1.59</v>
      </c>
      <c r="BU56">
        <v>300.00000000000011</v>
      </c>
      <c r="BV56">
        <v>38.299999999999997</v>
      </c>
      <c r="BW56">
        <v>841.06033011435204</v>
      </c>
      <c r="BX56">
        <v>1.2660805827519579</v>
      </c>
      <c r="BY56">
        <v>-21.77082690819622</v>
      </c>
      <c r="BZ56">
        <v>0.75296725039416779</v>
      </c>
      <c r="CA56">
        <v>0.96759197147129095</v>
      </c>
      <c r="CB56">
        <v>-6.9928342602892102E-3</v>
      </c>
      <c r="CC56">
        <v>289.99999999999989</v>
      </c>
      <c r="CD56">
        <v>814.91</v>
      </c>
      <c r="CE56">
        <v>845</v>
      </c>
      <c r="CF56">
        <v>7087.71</v>
      </c>
      <c r="CG56">
        <v>810.34</v>
      </c>
      <c r="CH56">
        <v>4.57</v>
      </c>
      <c r="CV56">
        <f t="shared" si="88"/>
        <v>1800.09</v>
      </c>
      <c r="CW56">
        <f t="shared" si="89"/>
        <v>1513.2600002171291</v>
      </c>
      <c r="CX56">
        <f t="shared" si="90"/>
        <v>0.84065796722226616</v>
      </c>
      <c r="CY56">
        <f t="shared" si="91"/>
        <v>0.16086987673897377</v>
      </c>
      <c r="CZ56">
        <v>5.18</v>
      </c>
      <c r="DA56">
        <v>0.5</v>
      </c>
      <c r="DB56" t="s">
        <v>418</v>
      </c>
      <c r="DC56">
        <v>2</v>
      </c>
      <c r="DD56">
        <v>1700243981.5</v>
      </c>
      <c r="DE56">
        <v>57.5886</v>
      </c>
      <c r="DF56">
        <v>69.992500000000007</v>
      </c>
      <c r="DG56">
        <v>27.696400000000001</v>
      </c>
      <c r="DH56">
        <v>20.3796</v>
      </c>
      <c r="DI56">
        <v>57.689599999999999</v>
      </c>
      <c r="DJ56">
        <v>27.452400000000001</v>
      </c>
      <c r="DK56">
        <v>500.09100000000001</v>
      </c>
      <c r="DL56">
        <v>98.853200000000001</v>
      </c>
      <c r="DM56">
        <v>9.9681900000000004E-2</v>
      </c>
      <c r="DN56">
        <v>29.8687</v>
      </c>
      <c r="DO56">
        <v>29.9434</v>
      </c>
      <c r="DP56">
        <v>999.9</v>
      </c>
      <c r="DQ56">
        <v>0</v>
      </c>
      <c r="DR56">
        <v>0</v>
      </c>
      <c r="DS56">
        <v>10000</v>
      </c>
      <c r="DT56">
        <v>0</v>
      </c>
      <c r="DU56">
        <v>92.327299999999994</v>
      </c>
      <c r="DV56">
        <v>-12.407400000000001</v>
      </c>
      <c r="DW56">
        <v>59.232599999999998</v>
      </c>
      <c r="DX56">
        <v>71.448599999999999</v>
      </c>
      <c r="DY56">
        <v>7.43445</v>
      </c>
      <c r="DZ56">
        <v>69.992500000000007</v>
      </c>
      <c r="EA56">
        <v>20.3796</v>
      </c>
      <c r="EB56">
        <v>2.7495099999999999</v>
      </c>
      <c r="EC56">
        <v>2.0145900000000001</v>
      </c>
      <c r="ED56">
        <v>22.584099999999999</v>
      </c>
      <c r="EE56">
        <v>17.5595</v>
      </c>
      <c r="EF56">
        <v>1800.09</v>
      </c>
      <c r="EG56">
        <v>0.97800399999999998</v>
      </c>
      <c r="EH56">
        <v>2.1996100000000001E-2</v>
      </c>
      <c r="EI56">
        <v>0</v>
      </c>
      <c r="EJ56">
        <v>730.11099999999999</v>
      </c>
      <c r="EK56">
        <v>4.9996700000000001</v>
      </c>
      <c r="EL56">
        <v>13673.5</v>
      </c>
      <c r="EM56">
        <v>15047.6</v>
      </c>
      <c r="EN56">
        <v>48.811999999999998</v>
      </c>
      <c r="EO56">
        <v>50.125</v>
      </c>
      <c r="EP56">
        <v>49.686999999999998</v>
      </c>
      <c r="EQ56">
        <v>49.686999999999998</v>
      </c>
      <c r="ER56">
        <v>50.311999999999998</v>
      </c>
      <c r="ES56">
        <v>1755.61</v>
      </c>
      <c r="ET56">
        <v>39.479999999999997</v>
      </c>
      <c r="EU56">
        <v>0</v>
      </c>
      <c r="EV56">
        <v>117.19999980926509</v>
      </c>
      <c r="EW56">
        <v>0</v>
      </c>
      <c r="EX56">
        <v>730.46895999999992</v>
      </c>
      <c r="EY56">
        <v>-2.3880769097561112</v>
      </c>
      <c r="EZ56">
        <v>-84.515384766717688</v>
      </c>
      <c r="FA56">
        <v>13681.031999999999</v>
      </c>
      <c r="FB56">
        <v>15</v>
      </c>
      <c r="FC56">
        <v>1700244014.5</v>
      </c>
      <c r="FD56" t="s">
        <v>590</v>
      </c>
      <c r="FE56">
        <v>1700244005</v>
      </c>
      <c r="FF56">
        <v>1700244014.5</v>
      </c>
      <c r="FG56">
        <v>47</v>
      </c>
      <c r="FH56">
        <v>-3.0000000000000001E-3</v>
      </c>
      <c r="FI56">
        <v>3.0000000000000001E-3</v>
      </c>
      <c r="FJ56">
        <v>-0.10100000000000001</v>
      </c>
      <c r="FK56">
        <v>0.24399999999999999</v>
      </c>
      <c r="FL56">
        <v>70</v>
      </c>
      <c r="FM56">
        <v>20</v>
      </c>
      <c r="FN56">
        <v>0.09</v>
      </c>
      <c r="FO56">
        <v>0.01</v>
      </c>
      <c r="FP56">
        <v>11.58144652539154</v>
      </c>
      <c r="FQ56">
        <v>-0.1113457901045154</v>
      </c>
      <c r="FR56">
        <v>2.406960103847116E-2</v>
      </c>
      <c r="FS56">
        <v>1</v>
      </c>
      <c r="FT56">
        <v>0.51467148471480584</v>
      </c>
      <c r="FU56">
        <v>-7.3625107935662839E-3</v>
      </c>
      <c r="FV56">
        <v>1.3463204354854489E-3</v>
      </c>
      <c r="FW56">
        <v>1</v>
      </c>
      <c r="FX56">
        <v>2</v>
      </c>
      <c r="FY56">
        <v>2</v>
      </c>
      <c r="FZ56" t="s">
        <v>420</v>
      </c>
      <c r="GA56">
        <v>3.0123899999999999</v>
      </c>
      <c r="GB56">
        <v>2.77677</v>
      </c>
      <c r="GC56">
        <v>1.5390900000000001E-2</v>
      </c>
      <c r="GD56">
        <v>1.8745399999999999E-2</v>
      </c>
      <c r="GE56">
        <v>0.12579599999999999</v>
      </c>
      <c r="GF56">
        <v>0.102439</v>
      </c>
      <c r="GG56">
        <v>23612.400000000001</v>
      </c>
      <c r="GH56">
        <v>24303.1</v>
      </c>
      <c r="GI56">
        <v>23754.400000000001</v>
      </c>
      <c r="GJ56">
        <v>24431</v>
      </c>
      <c r="GK56">
        <v>30716.799999999999</v>
      </c>
      <c r="GL56">
        <v>31446.6</v>
      </c>
      <c r="GM56">
        <v>38905.9</v>
      </c>
      <c r="GN56">
        <v>38908.9</v>
      </c>
      <c r="GO56">
        <v>2.0325500000000001</v>
      </c>
      <c r="GP56">
        <v>1.7738700000000001</v>
      </c>
      <c r="GQ56">
        <v>7.49528E-2</v>
      </c>
      <c r="GR56">
        <v>0</v>
      </c>
      <c r="GS56">
        <v>28.722300000000001</v>
      </c>
      <c r="GT56">
        <v>999.9</v>
      </c>
      <c r="GU56">
        <v>31.8</v>
      </c>
      <c r="GV56">
        <v>41</v>
      </c>
      <c r="GW56">
        <v>25.1523</v>
      </c>
      <c r="GX56">
        <v>61.159799999999997</v>
      </c>
      <c r="GY56">
        <v>31.149799999999999</v>
      </c>
      <c r="GZ56">
        <v>1</v>
      </c>
      <c r="HA56">
        <v>0.64244699999999999</v>
      </c>
      <c r="HB56">
        <v>1.8089999999999999</v>
      </c>
      <c r="HC56">
        <v>20.3203</v>
      </c>
      <c r="HD56">
        <v>5.2416999999999998</v>
      </c>
      <c r="HE56">
        <v>11.9983</v>
      </c>
      <c r="HF56">
        <v>4.9637500000000001</v>
      </c>
      <c r="HG56">
        <v>3.3010000000000002</v>
      </c>
      <c r="HH56">
        <v>9999</v>
      </c>
      <c r="HI56">
        <v>9999</v>
      </c>
      <c r="HJ56">
        <v>9999</v>
      </c>
      <c r="HK56">
        <v>999.9</v>
      </c>
      <c r="HL56">
        <v>1.875</v>
      </c>
      <c r="HM56">
        <v>1.88032</v>
      </c>
      <c r="HN56">
        <v>1.8804000000000001</v>
      </c>
      <c r="HO56">
        <v>1.8791199999999999</v>
      </c>
      <c r="HP56">
        <v>1.8814299999999999</v>
      </c>
      <c r="HQ56">
        <v>1.8773299999999999</v>
      </c>
      <c r="HR56">
        <v>1.87507</v>
      </c>
      <c r="HS56">
        <v>1.88232</v>
      </c>
      <c r="HT56">
        <v>5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423</v>
      </c>
      <c r="IB56" t="s">
        <v>423</v>
      </c>
      <c r="IC56" t="s">
        <v>423</v>
      </c>
      <c r="ID56">
        <v>0</v>
      </c>
      <c r="IE56">
        <v>100</v>
      </c>
      <c r="IF56">
        <v>100</v>
      </c>
      <c r="IG56">
        <v>-0.10100000000000001</v>
      </c>
      <c r="IH56">
        <v>0.24399999999999999</v>
      </c>
      <c r="II56">
        <v>-0.1407593352837154</v>
      </c>
      <c r="IJ56">
        <v>7.0786345690369205E-4</v>
      </c>
      <c r="IK56">
        <v>-1.387476646623666E-6</v>
      </c>
      <c r="IL56">
        <v>3.6592443641472651E-10</v>
      </c>
      <c r="IM56">
        <v>0.36167161732733633</v>
      </c>
      <c r="IN56">
        <v>0</v>
      </c>
      <c r="IO56">
        <v>0</v>
      </c>
      <c r="IP56">
        <v>0</v>
      </c>
      <c r="IQ56">
        <v>2</v>
      </c>
      <c r="IR56">
        <v>2142</v>
      </c>
      <c r="IS56">
        <v>1</v>
      </c>
      <c r="IT56">
        <v>24</v>
      </c>
      <c r="IU56">
        <v>1.7</v>
      </c>
      <c r="IV56">
        <v>1.5</v>
      </c>
      <c r="IW56">
        <v>0.30761699999999997</v>
      </c>
      <c r="IX56">
        <v>2.6953100000000001</v>
      </c>
      <c r="IY56">
        <v>1.5490699999999999</v>
      </c>
      <c r="IZ56">
        <v>2.3596200000000001</v>
      </c>
      <c r="JA56">
        <v>1.5966800000000001</v>
      </c>
      <c r="JB56">
        <v>2.3730500000000001</v>
      </c>
      <c r="JC56">
        <v>43.263300000000001</v>
      </c>
      <c r="JD56">
        <v>24.245100000000001</v>
      </c>
      <c r="JE56">
        <v>18</v>
      </c>
      <c r="JF56">
        <v>541.29300000000001</v>
      </c>
      <c r="JG56">
        <v>440.084</v>
      </c>
      <c r="JH56">
        <v>27.367599999999999</v>
      </c>
      <c r="JI56">
        <v>35.103099999999998</v>
      </c>
      <c r="JJ56">
        <v>29.999700000000001</v>
      </c>
      <c r="JK56">
        <v>35.228299999999997</v>
      </c>
      <c r="JL56">
        <v>35.239899999999999</v>
      </c>
      <c r="JM56">
        <v>6.1581099999999998</v>
      </c>
      <c r="JN56">
        <v>12.492100000000001</v>
      </c>
      <c r="JO56">
        <v>19.503299999999999</v>
      </c>
      <c r="JP56">
        <v>27.393000000000001</v>
      </c>
      <c r="JQ56">
        <v>70</v>
      </c>
      <c r="JR56">
        <v>20.428899999999999</v>
      </c>
      <c r="JS56">
        <v>98.528999999999996</v>
      </c>
      <c r="JT56">
        <v>99.385800000000003</v>
      </c>
    </row>
    <row r="57" spans="1:280" x14ac:dyDescent="0.25">
      <c r="A57">
        <v>41</v>
      </c>
      <c r="B57">
        <v>1700244167.5</v>
      </c>
      <c r="C57">
        <v>7033</v>
      </c>
      <c r="D57" t="s">
        <v>591</v>
      </c>
      <c r="E57" t="s">
        <v>592</v>
      </c>
      <c r="F57" t="s">
        <v>412</v>
      </c>
      <c r="G57" t="s">
        <v>542</v>
      </c>
      <c r="H57" t="s">
        <v>413</v>
      </c>
      <c r="I57">
        <v>1700244167.5</v>
      </c>
      <c r="J57">
        <f t="shared" si="46"/>
        <v>7.2209042131080089E-3</v>
      </c>
      <c r="K57">
        <f t="shared" si="47"/>
        <v>7.2209042131080086</v>
      </c>
      <c r="L57">
        <f t="shared" si="48"/>
        <v>4.7439356187391368</v>
      </c>
      <c r="M57">
        <f t="shared" si="49"/>
        <v>24.899000000000001</v>
      </c>
      <c r="N57">
        <f t="shared" si="50"/>
        <v>8.2465355905251041</v>
      </c>
      <c r="O57">
        <f t="shared" si="51"/>
        <v>0.81604293149378171</v>
      </c>
      <c r="P57">
        <f t="shared" si="52"/>
        <v>2.4639016867409005</v>
      </c>
      <c r="Q57">
        <f t="shared" si="53"/>
        <v>0.50346926067989362</v>
      </c>
      <c r="R57">
        <f t="shared" si="54"/>
        <v>3.0765237375297301</v>
      </c>
      <c r="S57">
        <f t="shared" si="55"/>
        <v>0.4617715024241153</v>
      </c>
      <c r="T57">
        <f t="shared" si="56"/>
        <v>0.29206523839003201</v>
      </c>
      <c r="U57">
        <f t="shared" si="57"/>
        <v>289.56647141918643</v>
      </c>
      <c r="V57">
        <f t="shared" si="58"/>
        <v>29.76373283066566</v>
      </c>
      <c r="W57">
        <f t="shared" si="59"/>
        <v>30.0168</v>
      </c>
      <c r="X57">
        <f t="shared" si="60"/>
        <v>4.2645627428492663</v>
      </c>
      <c r="Y57">
        <f t="shared" si="61"/>
        <v>65.344376985212278</v>
      </c>
      <c r="Z57">
        <f t="shared" si="62"/>
        <v>2.7721689478572205</v>
      </c>
      <c r="AA57">
        <f t="shared" si="63"/>
        <v>4.2423986205952726</v>
      </c>
      <c r="AB57">
        <f t="shared" si="64"/>
        <v>1.4923937949920458</v>
      </c>
      <c r="AC57">
        <f t="shared" si="65"/>
        <v>-318.44187579806317</v>
      </c>
      <c r="AD57">
        <f t="shared" si="66"/>
        <v>-15.04364237980935</v>
      </c>
      <c r="AE57">
        <f t="shared" si="67"/>
        <v>-1.0869487420139941</v>
      </c>
      <c r="AF57">
        <f t="shared" si="68"/>
        <v>-45.005995500700074</v>
      </c>
      <c r="AG57">
        <v>0</v>
      </c>
      <c r="AH57">
        <v>0</v>
      </c>
      <c r="AI57">
        <f t="shared" si="69"/>
        <v>1</v>
      </c>
      <c r="AJ57">
        <f t="shared" si="70"/>
        <v>0</v>
      </c>
      <c r="AK57">
        <f t="shared" si="71"/>
        <v>51726.961140851534</v>
      </c>
      <c r="AL57" t="s">
        <v>415</v>
      </c>
      <c r="AM57">
        <v>10238.9</v>
      </c>
      <c r="AN57">
        <v>302.21199999999999</v>
      </c>
      <c r="AO57">
        <v>4052.3</v>
      </c>
      <c r="AP57">
        <f t="shared" si="72"/>
        <v>0.92542210596451402</v>
      </c>
      <c r="AQ57">
        <v>-0.32343011824092421</v>
      </c>
      <c r="AR57" t="s">
        <v>593</v>
      </c>
      <c r="AS57">
        <v>7095.26</v>
      </c>
      <c r="AT57">
        <v>746.83827999999994</v>
      </c>
      <c r="AU57">
        <v>802.30354668927271</v>
      </c>
      <c r="AV57">
        <f t="shared" si="73"/>
        <v>6.9132520874613745E-2</v>
      </c>
      <c r="AW57">
        <v>0.5</v>
      </c>
      <c r="AX57">
        <f t="shared" si="74"/>
        <v>1513.1847002171949</v>
      </c>
      <c r="AY57">
        <f t="shared" si="75"/>
        <v>4.7439356187391368</v>
      </c>
      <c r="AZ57">
        <f t="shared" si="76"/>
        <v>52.30513643745568</v>
      </c>
      <c r="BA57">
        <f t="shared" si="77"/>
        <v>3.3488084675008388E-3</v>
      </c>
      <c r="BB57">
        <f t="shared" si="78"/>
        <v>4.0508314673690853</v>
      </c>
      <c r="BC57">
        <f t="shared" si="79"/>
        <v>232.09540313329558</v>
      </c>
      <c r="BD57" t="s">
        <v>594</v>
      </c>
      <c r="BE57">
        <v>502.17</v>
      </c>
      <c r="BF57">
        <f t="shared" si="80"/>
        <v>502.17</v>
      </c>
      <c r="BG57">
        <f t="shared" si="81"/>
        <v>0.3740897668068176</v>
      </c>
      <c r="BH57">
        <f t="shared" si="82"/>
        <v>0.18480195666596305</v>
      </c>
      <c r="BI57">
        <f t="shared" si="83"/>
        <v>0.91545843484906964</v>
      </c>
      <c r="BJ57">
        <f t="shared" si="84"/>
        <v>0.11091022645046948</v>
      </c>
      <c r="BK57">
        <f t="shared" si="85"/>
        <v>0.86664538360452548</v>
      </c>
      <c r="BL57">
        <f t="shared" si="86"/>
        <v>0.12425983116310893</v>
      </c>
      <c r="BM57">
        <f t="shared" si="87"/>
        <v>0.8757401688368911</v>
      </c>
      <c r="BN57">
        <v>34571</v>
      </c>
      <c r="BO57">
        <v>290.00000000000011</v>
      </c>
      <c r="BP57">
        <v>785.06</v>
      </c>
      <c r="BQ57">
        <v>265</v>
      </c>
      <c r="BR57">
        <v>7095.26</v>
      </c>
      <c r="BS57">
        <v>784.88</v>
      </c>
      <c r="BT57">
        <v>0.18</v>
      </c>
      <c r="BU57">
        <v>300.00000000000011</v>
      </c>
      <c r="BV57">
        <v>38.299999999999997</v>
      </c>
      <c r="BW57">
        <v>802.30354668927271</v>
      </c>
      <c r="BX57">
        <v>0.89836781287023681</v>
      </c>
      <c r="BY57">
        <v>-12.36369655673886</v>
      </c>
      <c r="BZ57">
        <v>0.53433864403776643</v>
      </c>
      <c r="CA57">
        <v>0.9503001234624987</v>
      </c>
      <c r="CB57">
        <v>-6.9934240266963307E-3</v>
      </c>
      <c r="CC57">
        <v>289.99999999999989</v>
      </c>
      <c r="CD57">
        <v>784.24</v>
      </c>
      <c r="CE57">
        <v>795</v>
      </c>
      <c r="CF57">
        <v>7089.16</v>
      </c>
      <c r="CG57">
        <v>784.86</v>
      </c>
      <c r="CH57">
        <v>-0.62</v>
      </c>
      <c r="CV57">
        <f t="shared" si="88"/>
        <v>1800</v>
      </c>
      <c r="CW57">
        <f t="shared" si="89"/>
        <v>1513.1847002171949</v>
      </c>
      <c r="CX57">
        <f t="shared" si="90"/>
        <v>0.84065816678733052</v>
      </c>
      <c r="CY57">
        <f t="shared" si="91"/>
        <v>0.16087026189954801</v>
      </c>
      <c r="CZ57">
        <v>5.18</v>
      </c>
      <c r="DA57">
        <v>0.5</v>
      </c>
      <c r="DB57" t="s">
        <v>418</v>
      </c>
      <c r="DC57">
        <v>2</v>
      </c>
      <c r="DD57">
        <v>1700244167.5</v>
      </c>
      <c r="DE57">
        <v>24.899000000000001</v>
      </c>
      <c r="DF57">
        <v>29.998799999999999</v>
      </c>
      <c r="DG57">
        <v>28.014199999999999</v>
      </c>
      <c r="DH57">
        <v>20.744599999999998</v>
      </c>
      <c r="DI57">
        <v>25.0153</v>
      </c>
      <c r="DJ57">
        <v>27.644100000000002</v>
      </c>
      <c r="DK57">
        <v>500.11599999999999</v>
      </c>
      <c r="DL57">
        <v>98.855900000000005</v>
      </c>
      <c r="DM57">
        <v>9.9949099999999999E-2</v>
      </c>
      <c r="DN57">
        <v>29.926100000000002</v>
      </c>
      <c r="DO57">
        <v>30.0168</v>
      </c>
      <c r="DP57">
        <v>999.9</v>
      </c>
      <c r="DQ57">
        <v>0</v>
      </c>
      <c r="DR57">
        <v>0</v>
      </c>
      <c r="DS57">
        <v>9991.8799999999992</v>
      </c>
      <c r="DT57">
        <v>0</v>
      </c>
      <c r="DU57">
        <v>113.08499999999999</v>
      </c>
      <c r="DV57">
        <v>-5.0998400000000004</v>
      </c>
      <c r="DW57">
        <v>25.616599999999998</v>
      </c>
      <c r="DX57">
        <v>30.6343</v>
      </c>
      <c r="DY57">
        <v>7.2696199999999997</v>
      </c>
      <c r="DZ57">
        <v>29.998799999999999</v>
      </c>
      <c r="EA57">
        <v>20.744599999999998</v>
      </c>
      <c r="EB57">
        <v>2.7693699999999999</v>
      </c>
      <c r="EC57">
        <v>2.0507200000000001</v>
      </c>
      <c r="ED57">
        <v>22.7026</v>
      </c>
      <c r="EE57">
        <v>17.8415</v>
      </c>
      <c r="EF57">
        <v>1800</v>
      </c>
      <c r="EG57">
        <v>0.97799999999999998</v>
      </c>
      <c r="EH57">
        <v>2.1999600000000001E-2</v>
      </c>
      <c r="EI57">
        <v>0</v>
      </c>
      <c r="EJ57">
        <v>747.24</v>
      </c>
      <c r="EK57">
        <v>4.9996700000000001</v>
      </c>
      <c r="EL57">
        <v>13989.8</v>
      </c>
      <c r="EM57">
        <v>15046.8</v>
      </c>
      <c r="EN57">
        <v>48.625</v>
      </c>
      <c r="EO57">
        <v>49.875</v>
      </c>
      <c r="EP57">
        <v>49.436999999999998</v>
      </c>
      <c r="EQ57">
        <v>49.436999999999998</v>
      </c>
      <c r="ER57">
        <v>50.125</v>
      </c>
      <c r="ES57">
        <v>1755.51</v>
      </c>
      <c r="ET57">
        <v>39.49</v>
      </c>
      <c r="EU57">
        <v>0</v>
      </c>
      <c r="EV57">
        <v>303.19999980926508</v>
      </c>
      <c r="EW57">
        <v>0</v>
      </c>
      <c r="EX57">
        <v>746.83827999999994</v>
      </c>
      <c r="EY57">
        <v>0.59884616175429595</v>
      </c>
      <c r="EZ57">
        <v>43.000000074559047</v>
      </c>
      <c r="FA57">
        <v>13984.544</v>
      </c>
      <c r="FB57">
        <v>15</v>
      </c>
      <c r="FC57">
        <v>1700244128.5</v>
      </c>
      <c r="FD57" t="s">
        <v>595</v>
      </c>
      <c r="FE57">
        <v>1700244106.5</v>
      </c>
      <c r="FF57">
        <v>1700244128.5</v>
      </c>
      <c r="FG57">
        <v>48</v>
      </c>
      <c r="FH57">
        <v>1.0999999999999999E-2</v>
      </c>
      <c r="FI57">
        <v>5.0000000000000001E-3</v>
      </c>
      <c r="FJ57">
        <v>-0.113</v>
      </c>
      <c r="FK57">
        <v>0.25</v>
      </c>
      <c r="FL57">
        <v>30</v>
      </c>
      <c r="FM57">
        <v>20</v>
      </c>
      <c r="FN57">
        <v>0.19</v>
      </c>
      <c r="FO57">
        <v>0.01</v>
      </c>
      <c r="FP57">
        <v>4.7847951392307513</v>
      </c>
      <c r="FQ57">
        <v>-0.22852934157493399</v>
      </c>
      <c r="FR57">
        <v>3.396473319038644E-2</v>
      </c>
      <c r="FS57">
        <v>1</v>
      </c>
      <c r="FT57">
        <v>0.50198147184547526</v>
      </c>
      <c r="FU57">
        <v>4.1807452958579343E-2</v>
      </c>
      <c r="FV57">
        <v>3.354760159121146E-3</v>
      </c>
      <c r="FW57">
        <v>1</v>
      </c>
      <c r="FX57">
        <v>2</v>
      </c>
      <c r="FY57">
        <v>2</v>
      </c>
      <c r="FZ57" t="s">
        <v>420</v>
      </c>
      <c r="GA57">
        <v>3.0122800000000001</v>
      </c>
      <c r="GB57">
        <v>2.7769699999999999</v>
      </c>
      <c r="GC57">
        <v>6.7492699999999999E-3</v>
      </c>
      <c r="GD57">
        <v>8.1574100000000004E-3</v>
      </c>
      <c r="GE57">
        <v>0.126471</v>
      </c>
      <c r="GF57">
        <v>0.103785</v>
      </c>
      <c r="GG57">
        <v>23833.8</v>
      </c>
      <c r="GH57">
        <v>24578.5</v>
      </c>
      <c r="GI57">
        <v>23768.1</v>
      </c>
      <c r="GJ57">
        <v>24443.7</v>
      </c>
      <c r="GK57">
        <v>30709</v>
      </c>
      <c r="GL57">
        <v>31414.6</v>
      </c>
      <c r="GM57">
        <v>38927.300000000003</v>
      </c>
      <c r="GN57">
        <v>38928</v>
      </c>
      <c r="GO57">
        <v>2.03363</v>
      </c>
      <c r="GP57">
        <v>1.7808299999999999</v>
      </c>
      <c r="GQ57">
        <v>8.8643299999999994E-2</v>
      </c>
      <c r="GR57">
        <v>0</v>
      </c>
      <c r="GS57">
        <v>28.572600000000001</v>
      </c>
      <c r="GT57">
        <v>999.9</v>
      </c>
      <c r="GU57">
        <v>31.6</v>
      </c>
      <c r="GV57">
        <v>40.799999999999997</v>
      </c>
      <c r="GW57">
        <v>24.731200000000001</v>
      </c>
      <c r="GX57">
        <v>61.129800000000003</v>
      </c>
      <c r="GY57">
        <v>30.993600000000001</v>
      </c>
      <c r="GZ57">
        <v>1</v>
      </c>
      <c r="HA57">
        <v>0.62436199999999997</v>
      </c>
      <c r="HB57">
        <v>2.1345499999999999</v>
      </c>
      <c r="HC57">
        <v>20.316299999999998</v>
      </c>
      <c r="HD57">
        <v>5.2379600000000002</v>
      </c>
      <c r="HE57">
        <v>11.9986</v>
      </c>
      <c r="HF57">
        <v>4.9628500000000004</v>
      </c>
      <c r="HG57">
        <v>3.30023</v>
      </c>
      <c r="HH57">
        <v>9999</v>
      </c>
      <c r="HI57">
        <v>9999</v>
      </c>
      <c r="HJ57">
        <v>9999</v>
      </c>
      <c r="HK57">
        <v>999.9</v>
      </c>
      <c r="HL57">
        <v>1.875</v>
      </c>
      <c r="HM57">
        <v>1.8803399999999999</v>
      </c>
      <c r="HN57">
        <v>1.8804700000000001</v>
      </c>
      <c r="HO57">
        <v>1.87913</v>
      </c>
      <c r="HP57">
        <v>1.8815299999999999</v>
      </c>
      <c r="HQ57">
        <v>1.8774200000000001</v>
      </c>
      <c r="HR57">
        <v>1.87514</v>
      </c>
      <c r="HS57">
        <v>1.8823300000000001</v>
      </c>
      <c r="HT57">
        <v>5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423</v>
      </c>
      <c r="IB57" t="s">
        <v>423</v>
      </c>
      <c r="IC57" t="s">
        <v>423</v>
      </c>
      <c r="ID57">
        <v>0</v>
      </c>
      <c r="IE57">
        <v>100</v>
      </c>
      <c r="IF57">
        <v>100</v>
      </c>
      <c r="IG57">
        <v>-0.11600000000000001</v>
      </c>
      <c r="IH57">
        <v>0.37009999999999998</v>
      </c>
      <c r="II57">
        <v>-0.13314906989213079</v>
      </c>
      <c r="IJ57">
        <v>7.0786345690369205E-4</v>
      </c>
      <c r="IK57">
        <v>-1.387476646623666E-6</v>
      </c>
      <c r="IL57">
        <v>3.6592443641472651E-10</v>
      </c>
      <c r="IM57">
        <v>0.37011064432538798</v>
      </c>
      <c r="IN57">
        <v>0</v>
      </c>
      <c r="IO57">
        <v>0</v>
      </c>
      <c r="IP57">
        <v>0</v>
      </c>
      <c r="IQ57">
        <v>2</v>
      </c>
      <c r="IR57">
        <v>2142</v>
      </c>
      <c r="IS57">
        <v>1</v>
      </c>
      <c r="IT57">
        <v>24</v>
      </c>
      <c r="IU57">
        <v>1</v>
      </c>
      <c r="IV57">
        <v>0.7</v>
      </c>
      <c r="IW57">
        <v>0.21850600000000001</v>
      </c>
      <c r="IX57">
        <v>2.7209500000000002</v>
      </c>
      <c r="IY57">
        <v>1.5490699999999999</v>
      </c>
      <c r="IZ57">
        <v>2.3596200000000001</v>
      </c>
      <c r="JA57">
        <v>1.5966800000000001</v>
      </c>
      <c r="JB57">
        <v>2.36938</v>
      </c>
      <c r="JC57">
        <v>42.912100000000002</v>
      </c>
      <c r="JD57">
        <v>24.245100000000001</v>
      </c>
      <c r="JE57">
        <v>18</v>
      </c>
      <c r="JF57">
        <v>540.077</v>
      </c>
      <c r="JG57">
        <v>442.81799999999998</v>
      </c>
      <c r="JH57">
        <v>27.232700000000001</v>
      </c>
      <c r="JI57">
        <v>34.8523</v>
      </c>
      <c r="JJ57">
        <v>29.999199999999998</v>
      </c>
      <c r="JK57">
        <v>34.989100000000001</v>
      </c>
      <c r="JL57">
        <v>34.997999999999998</v>
      </c>
      <c r="JM57">
        <v>4.3714899999999997</v>
      </c>
      <c r="JN57">
        <v>7.1638799999999998</v>
      </c>
      <c r="JO57">
        <v>20.144300000000001</v>
      </c>
      <c r="JP57">
        <v>27.243300000000001</v>
      </c>
      <c r="JQ57">
        <v>30</v>
      </c>
      <c r="JR57">
        <v>20.6797</v>
      </c>
      <c r="JS57">
        <v>98.584100000000007</v>
      </c>
      <c r="JT57">
        <v>99.435599999999994</v>
      </c>
    </row>
    <row r="58" spans="1:280" x14ac:dyDescent="0.25">
      <c r="A58">
        <v>42</v>
      </c>
      <c r="B58">
        <v>1700244282.5</v>
      </c>
      <c r="C58">
        <v>7148</v>
      </c>
      <c r="D58" t="s">
        <v>596</v>
      </c>
      <c r="E58" t="s">
        <v>597</v>
      </c>
      <c r="F58" t="s">
        <v>412</v>
      </c>
      <c r="G58" t="s">
        <v>542</v>
      </c>
      <c r="H58" t="s">
        <v>413</v>
      </c>
      <c r="I58">
        <v>1700244282.5</v>
      </c>
      <c r="J58">
        <f t="shared" si="46"/>
        <v>7.2152952628197946E-3</v>
      </c>
      <c r="K58">
        <f t="shared" si="47"/>
        <v>7.2152952628197946</v>
      </c>
      <c r="L58">
        <f t="shared" si="48"/>
        <v>1.5069664075798266</v>
      </c>
      <c r="M58">
        <f t="shared" si="49"/>
        <v>8.3747699999999998</v>
      </c>
      <c r="N58">
        <f t="shared" si="50"/>
        <v>3.1481137044774736</v>
      </c>
      <c r="O58">
        <f t="shared" si="51"/>
        <v>0.31152392847137123</v>
      </c>
      <c r="P58">
        <f t="shared" si="52"/>
        <v>0.82873158194177099</v>
      </c>
      <c r="Q58">
        <f t="shared" si="53"/>
        <v>0.51126376216583402</v>
      </c>
      <c r="R58">
        <f t="shared" si="54"/>
        <v>3.0790362907842512</v>
      </c>
      <c r="S58">
        <f t="shared" si="55"/>
        <v>0.46835574115817696</v>
      </c>
      <c r="T58">
        <f t="shared" si="56"/>
        <v>0.29627678273198643</v>
      </c>
      <c r="U58">
        <f t="shared" si="57"/>
        <v>289.5425314192214</v>
      </c>
      <c r="V58">
        <f t="shared" si="58"/>
        <v>29.768012029796779</v>
      </c>
      <c r="W58">
        <f t="shared" si="59"/>
        <v>30.0307</v>
      </c>
      <c r="X58">
        <f t="shared" si="60"/>
        <v>4.2679683517256528</v>
      </c>
      <c r="Y58">
        <f t="shared" si="61"/>
        <v>65.940476485455847</v>
      </c>
      <c r="Z58">
        <f t="shared" si="62"/>
        <v>2.7979241356613498</v>
      </c>
      <c r="AA58">
        <f t="shared" si="63"/>
        <v>4.2431057292685379</v>
      </c>
      <c r="AB58">
        <f t="shared" si="64"/>
        <v>1.470044216064303</v>
      </c>
      <c r="AC58">
        <f t="shared" si="65"/>
        <v>-318.19452109035296</v>
      </c>
      <c r="AD58">
        <f t="shared" si="66"/>
        <v>-16.881895358541119</v>
      </c>
      <c r="AE58">
        <f t="shared" si="67"/>
        <v>-1.218874117645643</v>
      </c>
      <c r="AF58">
        <f t="shared" si="68"/>
        <v>-46.752759147318343</v>
      </c>
      <c r="AG58">
        <v>0</v>
      </c>
      <c r="AH58">
        <v>0</v>
      </c>
      <c r="AI58">
        <f t="shared" si="69"/>
        <v>1</v>
      </c>
      <c r="AJ58">
        <f t="shared" si="70"/>
        <v>0</v>
      </c>
      <c r="AK58">
        <f t="shared" si="71"/>
        <v>51791.558555033713</v>
      </c>
      <c r="AL58" t="s">
        <v>446</v>
      </c>
      <c r="AM58" t="s">
        <v>446</v>
      </c>
      <c r="AN58">
        <v>0</v>
      </c>
      <c r="AO58">
        <v>0</v>
      </c>
      <c r="AP58" t="e">
        <f t="shared" si="72"/>
        <v>#DIV/0!</v>
      </c>
      <c r="AQ58">
        <v>0</v>
      </c>
      <c r="AR58" t="s">
        <v>446</v>
      </c>
      <c r="AS58" t="s">
        <v>446</v>
      </c>
      <c r="AT58">
        <v>0</v>
      </c>
      <c r="AU58">
        <v>0</v>
      </c>
      <c r="AV58" t="e">
        <f t="shared" si="73"/>
        <v>#DIV/0!</v>
      </c>
      <c r="AW58">
        <v>0.5</v>
      </c>
      <c r="AX58">
        <f t="shared" si="74"/>
        <v>1513.0587002172131</v>
      </c>
      <c r="AY58">
        <f t="shared" si="75"/>
        <v>1.5069664075798266</v>
      </c>
      <c r="AZ58" t="e">
        <f t="shared" si="76"/>
        <v>#DIV/0!</v>
      </c>
      <c r="BA58">
        <f t="shared" si="77"/>
        <v>9.959735252594549E-4</v>
      </c>
      <c r="BB58" t="e">
        <f t="shared" si="78"/>
        <v>#DIV/0!</v>
      </c>
      <c r="BC58" t="e">
        <f t="shared" si="79"/>
        <v>#DIV/0!</v>
      </c>
      <c r="BD58" t="s">
        <v>446</v>
      </c>
      <c r="BE58">
        <v>0</v>
      </c>
      <c r="BF58" t="e">
        <f t="shared" si="80"/>
        <v>#DIV/0!</v>
      </c>
      <c r="BG58" t="e">
        <f t="shared" si="81"/>
        <v>#DIV/0!</v>
      </c>
      <c r="BH58" t="e">
        <f t="shared" si="82"/>
        <v>#DIV/0!</v>
      </c>
      <c r="BI58" t="e">
        <f t="shared" si="83"/>
        <v>#DIV/0!</v>
      </c>
      <c r="BJ58" t="e">
        <f t="shared" si="84"/>
        <v>#DIV/0!</v>
      </c>
      <c r="BK58" t="e">
        <f t="shared" si="85"/>
        <v>#DIV/0!</v>
      </c>
      <c r="BL58" t="e">
        <f t="shared" si="86"/>
        <v>#DIV/0!</v>
      </c>
      <c r="BM58" t="e">
        <f t="shared" si="87"/>
        <v>#DIV/0!</v>
      </c>
      <c r="BN58">
        <v>34571</v>
      </c>
      <c r="BO58">
        <v>290.00000000000011</v>
      </c>
      <c r="BP58">
        <v>785.06</v>
      </c>
      <c r="BQ58">
        <v>265</v>
      </c>
      <c r="BR58">
        <v>7095.26</v>
      </c>
      <c r="BS58">
        <v>784.88</v>
      </c>
      <c r="BT58">
        <v>0.18</v>
      </c>
      <c r="BU58">
        <v>300.00000000000011</v>
      </c>
      <c r="BV58">
        <v>38.299999999999997</v>
      </c>
      <c r="BW58">
        <v>802.30354668927271</v>
      </c>
      <c r="BX58">
        <v>0.89836781287023681</v>
      </c>
      <c r="BY58">
        <v>-12.36369655673886</v>
      </c>
      <c r="BZ58">
        <v>0.53433864403776643</v>
      </c>
      <c r="CA58">
        <v>0.9503001234624987</v>
      </c>
      <c r="CB58">
        <v>-6.9934240266963307E-3</v>
      </c>
      <c r="CC58">
        <v>289.99999999999989</v>
      </c>
      <c r="CD58">
        <v>784.24</v>
      </c>
      <c r="CE58">
        <v>795</v>
      </c>
      <c r="CF58">
        <v>7089.16</v>
      </c>
      <c r="CG58">
        <v>784.86</v>
      </c>
      <c r="CH58">
        <v>-0.62</v>
      </c>
      <c r="CV58">
        <f t="shared" si="88"/>
        <v>1799.85</v>
      </c>
      <c r="CW58">
        <f t="shared" si="89"/>
        <v>1513.0587002172131</v>
      </c>
      <c r="CX58">
        <f t="shared" si="90"/>
        <v>0.84065822163914394</v>
      </c>
      <c r="CY58">
        <f t="shared" si="91"/>
        <v>0.16087036776354774</v>
      </c>
      <c r="CZ58">
        <v>5.18</v>
      </c>
      <c r="DA58">
        <v>0.5</v>
      </c>
      <c r="DB58" t="s">
        <v>418</v>
      </c>
      <c r="DC58">
        <v>2</v>
      </c>
      <c r="DD58">
        <v>1700244282.5</v>
      </c>
      <c r="DE58">
        <v>8.3747699999999998</v>
      </c>
      <c r="DF58">
        <v>9.9983000000000004</v>
      </c>
      <c r="DG58">
        <v>28.2745</v>
      </c>
      <c r="DH58">
        <v>21.0121</v>
      </c>
      <c r="DI58">
        <v>8.5083000000000002</v>
      </c>
      <c r="DJ58">
        <v>27.9068</v>
      </c>
      <c r="DK58">
        <v>500.089</v>
      </c>
      <c r="DL58">
        <v>98.855800000000002</v>
      </c>
      <c r="DM58">
        <v>9.9942299999999998E-2</v>
      </c>
      <c r="DN58">
        <v>29.928999999999998</v>
      </c>
      <c r="DO58">
        <v>30.0307</v>
      </c>
      <c r="DP58">
        <v>999.9</v>
      </c>
      <c r="DQ58">
        <v>0</v>
      </c>
      <c r="DR58">
        <v>0</v>
      </c>
      <c r="DS58">
        <v>10005</v>
      </c>
      <c r="DT58">
        <v>0</v>
      </c>
      <c r="DU58">
        <v>116.07299999999999</v>
      </c>
      <c r="DV58">
        <v>-1.6235299999999999</v>
      </c>
      <c r="DW58">
        <v>8.6184600000000007</v>
      </c>
      <c r="DX58">
        <v>10.212899999999999</v>
      </c>
      <c r="DY58">
        <v>7.2623699999999998</v>
      </c>
      <c r="DZ58">
        <v>9.9983000000000004</v>
      </c>
      <c r="EA58">
        <v>21.0121</v>
      </c>
      <c r="EB58">
        <v>2.7951000000000001</v>
      </c>
      <c r="EC58">
        <v>2.0771700000000002</v>
      </c>
      <c r="ED58">
        <v>22.8552</v>
      </c>
      <c r="EE58">
        <v>18.045200000000001</v>
      </c>
      <c r="EF58">
        <v>1799.85</v>
      </c>
      <c r="EG58">
        <v>0.97799700000000001</v>
      </c>
      <c r="EH58">
        <v>2.2003100000000001E-2</v>
      </c>
      <c r="EI58">
        <v>0</v>
      </c>
      <c r="EJ58">
        <v>755.524</v>
      </c>
      <c r="EK58">
        <v>4.9996700000000001</v>
      </c>
      <c r="EL58">
        <v>14245</v>
      </c>
      <c r="EM58">
        <v>15045.5</v>
      </c>
      <c r="EN58">
        <v>48.5</v>
      </c>
      <c r="EO58">
        <v>49.75</v>
      </c>
      <c r="EP58">
        <v>49.311999999999998</v>
      </c>
      <c r="EQ58">
        <v>49.375</v>
      </c>
      <c r="ER58">
        <v>50</v>
      </c>
      <c r="ES58">
        <v>1755.36</v>
      </c>
      <c r="ET58">
        <v>39.49</v>
      </c>
      <c r="EU58">
        <v>0</v>
      </c>
      <c r="EV58">
        <v>112.7999999523163</v>
      </c>
      <c r="EW58">
        <v>0</v>
      </c>
      <c r="EX58">
        <v>755.77188000000012</v>
      </c>
      <c r="EY58">
        <v>-0.7719230682128263</v>
      </c>
      <c r="EZ58">
        <v>42.338461541970688</v>
      </c>
      <c r="FA58">
        <v>14236.536</v>
      </c>
      <c r="FB58">
        <v>15</v>
      </c>
      <c r="FC58">
        <v>1700244246.5</v>
      </c>
      <c r="FD58" t="s">
        <v>598</v>
      </c>
      <c r="FE58">
        <v>1700244230.5</v>
      </c>
      <c r="FF58">
        <v>1700244246.5</v>
      </c>
      <c r="FG58">
        <v>49</v>
      </c>
      <c r="FH58">
        <v>-6.0000000000000001E-3</v>
      </c>
      <c r="FI58">
        <v>-2E-3</v>
      </c>
      <c r="FJ58">
        <v>-0.13200000000000001</v>
      </c>
      <c r="FK58">
        <v>0.25800000000000001</v>
      </c>
      <c r="FL58">
        <v>10</v>
      </c>
      <c r="FM58">
        <v>21</v>
      </c>
      <c r="FN58">
        <v>0.43</v>
      </c>
      <c r="FO58">
        <v>0.01</v>
      </c>
      <c r="FP58">
        <v>1.515659267585074</v>
      </c>
      <c r="FQ58">
        <v>-0.50810467468688847</v>
      </c>
      <c r="FR58">
        <v>4.4085692742441632E-2</v>
      </c>
      <c r="FS58">
        <v>1</v>
      </c>
      <c r="FT58">
        <v>0.50686012817088277</v>
      </c>
      <c r="FU58">
        <v>4.9586067644988352E-2</v>
      </c>
      <c r="FV58">
        <v>3.9307838555563976E-3</v>
      </c>
      <c r="FW58">
        <v>1</v>
      </c>
      <c r="FX58">
        <v>2</v>
      </c>
      <c r="FY58">
        <v>2</v>
      </c>
      <c r="FZ58" t="s">
        <v>420</v>
      </c>
      <c r="GA58">
        <v>3.0121099999999998</v>
      </c>
      <c r="GB58">
        <v>2.7770700000000001</v>
      </c>
      <c r="GC58">
        <v>2.30518E-3</v>
      </c>
      <c r="GD58">
        <v>2.7334600000000001E-3</v>
      </c>
      <c r="GE58">
        <v>0.12734000000000001</v>
      </c>
      <c r="GF58">
        <v>0.104757</v>
      </c>
      <c r="GG58">
        <v>23949.5</v>
      </c>
      <c r="GH58">
        <v>24721.599999999999</v>
      </c>
      <c r="GI58">
        <v>23776.799999999999</v>
      </c>
      <c r="GJ58">
        <v>24452.1</v>
      </c>
      <c r="GK58">
        <v>30688.3</v>
      </c>
      <c r="GL58">
        <v>31390.2</v>
      </c>
      <c r="GM58">
        <v>38940.5</v>
      </c>
      <c r="GN58">
        <v>38940.400000000001</v>
      </c>
      <c r="GO58">
        <v>2.03525</v>
      </c>
      <c r="GP58">
        <v>1.7853000000000001</v>
      </c>
      <c r="GQ58">
        <v>8.9071700000000004E-2</v>
      </c>
      <c r="GR58">
        <v>0</v>
      </c>
      <c r="GS58">
        <v>28.579499999999999</v>
      </c>
      <c r="GT58">
        <v>999.9</v>
      </c>
      <c r="GU58">
        <v>31.7</v>
      </c>
      <c r="GV58">
        <v>40.6</v>
      </c>
      <c r="GW58">
        <v>24.546399999999998</v>
      </c>
      <c r="GX58">
        <v>60.819899999999997</v>
      </c>
      <c r="GY58">
        <v>31.061699999999998</v>
      </c>
      <c r="GZ58">
        <v>1</v>
      </c>
      <c r="HA58">
        <v>0.61041400000000001</v>
      </c>
      <c r="HB58">
        <v>2.1556600000000001</v>
      </c>
      <c r="HC58">
        <v>20.3172</v>
      </c>
      <c r="HD58">
        <v>5.2445399999999998</v>
      </c>
      <c r="HE58">
        <v>11.998900000000001</v>
      </c>
      <c r="HF58">
        <v>4.9636500000000003</v>
      </c>
      <c r="HG58">
        <v>3.3010000000000002</v>
      </c>
      <c r="HH58">
        <v>9999</v>
      </c>
      <c r="HI58">
        <v>9999</v>
      </c>
      <c r="HJ58">
        <v>9999</v>
      </c>
      <c r="HK58">
        <v>999.9</v>
      </c>
      <c r="HL58">
        <v>1.875</v>
      </c>
      <c r="HM58">
        <v>1.8803399999999999</v>
      </c>
      <c r="HN58">
        <v>1.8804700000000001</v>
      </c>
      <c r="HO58">
        <v>1.8791199999999999</v>
      </c>
      <c r="HP58">
        <v>1.88154</v>
      </c>
      <c r="HQ58">
        <v>1.8774299999999999</v>
      </c>
      <c r="HR58">
        <v>1.87513</v>
      </c>
      <c r="HS58">
        <v>1.8823399999999999</v>
      </c>
      <c r="HT58">
        <v>5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423</v>
      </c>
      <c r="IB58" t="s">
        <v>423</v>
      </c>
      <c r="IC58" t="s">
        <v>423</v>
      </c>
      <c r="ID58">
        <v>0</v>
      </c>
      <c r="IE58">
        <v>100</v>
      </c>
      <c r="IF58">
        <v>100</v>
      </c>
      <c r="IG58">
        <v>-0.13400000000000001</v>
      </c>
      <c r="IH58">
        <v>0.36770000000000003</v>
      </c>
      <c r="II58">
        <v>-0.13944967878357309</v>
      </c>
      <c r="IJ58">
        <v>7.0786345690369205E-4</v>
      </c>
      <c r="IK58">
        <v>-1.387476646623666E-6</v>
      </c>
      <c r="IL58">
        <v>3.6592443641472651E-10</v>
      </c>
      <c r="IM58">
        <v>0.36765966052360383</v>
      </c>
      <c r="IN58">
        <v>0</v>
      </c>
      <c r="IO58">
        <v>0</v>
      </c>
      <c r="IP58">
        <v>0</v>
      </c>
      <c r="IQ58">
        <v>2</v>
      </c>
      <c r="IR58">
        <v>2142</v>
      </c>
      <c r="IS58">
        <v>1</v>
      </c>
      <c r="IT58">
        <v>24</v>
      </c>
      <c r="IU58">
        <v>0.9</v>
      </c>
      <c r="IV58">
        <v>0.6</v>
      </c>
      <c r="IW58">
        <v>0.17578099999999999</v>
      </c>
      <c r="IX58">
        <v>2.7477999999999998</v>
      </c>
      <c r="IY58">
        <v>1.5490699999999999</v>
      </c>
      <c r="IZ58">
        <v>2.36084</v>
      </c>
      <c r="JA58">
        <v>1.5966800000000001</v>
      </c>
      <c r="JB58">
        <v>2.19604</v>
      </c>
      <c r="JC58">
        <v>42.724200000000003</v>
      </c>
      <c r="JD58">
        <v>24.2364</v>
      </c>
      <c r="JE58">
        <v>18</v>
      </c>
      <c r="JF58">
        <v>539.93299999999999</v>
      </c>
      <c r="JG58">
        <v>444.61099999999999</v>
      </c>
      <c r="JH58">
        <v>27.2986</v>
      </c>
      <c r="JI58">
        <v>34.702100000000002</v>
      </c>
      <c r="JJ58">
        <v>29.9999</v>
      </c>
      <c r="JK58">
        <v>34.837299999999999</v>
      </c>
      <c r="JL58">
        <v>34.847099999999998</v>
      </c>
      <c r="JM58">
        <v>3.4925299999999999</v>
      </c>
      <c r="JN58">
        <v>6.9274100000000001</v>
      </c>
      <c r="JO58">
        <v>22.0014</v>
      </c>
      <c r="JP58">
        <v>27.280799999999999</v>
      </c>
      <c r="JQ58">
        <v>10</v>
      </c>
      <c r="JR58">
        <v>20.790099999999999</v>
      </c>
      <c r="JS58">
        <v>98.618600000000001</v>
      </c>
      <c r="JT58">
        <v>99.468199999999996</v>
      </c>
    </row>
    <row r="59" spans="1:280" x14ac:dyDescent="0.25">
      <c r="A59">
        <v>43</v>
      </c>
      <c r="B59">
        <v>1700246299.0999999</v>
      </c>
      <c r="C59">
        <v>9164.5999999046326</v>
      </c>
      <c r="D59" t="s">
        <v>599</v>
      </c>
      <c r="E59" t="s">
        <v>600</v>
      </c>
      <c r="F59" t="s">
        <v>412</v>
      </c>
      <c r="G59" t="s">
        <v>413</v>
      </c>
      <c r="H59" t="s">
        <v>601</v>
      </c>
      <c r="I59">
        <v>1700246299.0999999</v>
      </c>
      <c r="J59">
        <f t="shared" si="46"/>
        <v>4.5669138474176826E-3</v>
      </c>
      <c r="K59">
        <f t="shared" si="47"/>
        <v>4.5669138474176822</v>
      </c>
      <c r="L59">
        <f t="shared" si="48"/>
        <v>45.214808697318404</v>
      </c>
      <c r="M59">
        <f t="shared" si="49"/>
        <v>402.99799999999999</v>
      </c>
      <c r="N59">
        <f t="shared" si="50"/>
        <v>142.67309785276794</v>
      </c>
      <c r="O59">
        <f t="shared" si="51"/>
        <v>14.119405720964352</v>
      </c>
      <c r="P59">
        <f t="shared" si="52"/>
        <v>39.882026481327998</v>
      </c>
      <c r="Q59">
        <f t="shared" si="53"/>
        <v>0.29848366298642209</v>
      </c>
      <c r="R59">
        <f t="shared" si="54"/>
        <v>3.1253004729441449</v>
      </c>
      <c r="S59">
        <f t="shared" si="55"/>
        <v>0.2835026424348458</v>
      </c>
      <c r="T59">
        <f t="shared" si="56"/>
        <v>0.17847245791914768</v>
      </c>
      <c r="U59">
        <f t="shared" si="57"/>
        <v>289.5515284191012</v>
      </c>
      <c r="V59">
        <f t="shared" si="58"/>
        <v>30.255501867143622</v>
      </c>
      <c r="W59">
        <f t="shared" si="59"/>
        <v>30.0457</v>
      </c>
      <c r="X59">
        <f t="shared" si="60"/>
        <v>4.2716461279050506</v>
      </c>
      <c r="Y59">
        <f t="shared" si="61"/>
        <v>65.034172113259444</v>
      </c>
      <c r="Z59">
        <f t="shared" si="62"/>
        <v>2.7338819496671998</v>
      </c>
      <c r="AA59">
        <f t="shared" si="63"/>
        <v>4.2037622081296613</v>
      </c>
      <c r="AB59">
        <f t="shared" si="64"/>
        <v>1.5377641782378508</v>
      </c>
      <c r="AC59">
        <f t="shared" si="65"/>
        <v>-201.40090067111981</v>
      </c>
      <c r="AD59">
        <f t="shared" si="66"/>
        <v>-46.958497188435658</v>
      </c>
      <c r="AE59">
        <f t="shared" si="67"/>
        <v>-3.3377887395564803</v>
      </c>
      <c r="AF59">
        <f t="shared" si="68"/>
        <v>37.854341819989273</v>
      </c>
      <c r="AG59">
        <v>77</v>
      </c>
      <c r="AH59">
        <v>15</v>
      </c>
      <c r="AI59">
        <f t="shared" si="69"/>
        <v>1</v>
      </c>
      <c r="AJ59">
        <f t="shared" si="70"/>
        <v>0</v>
      </c>
      <c r="AK59">
        <f t="shared" si="71"/>
        <v>51878.932537198714</v>
      </c>
      <c r="AL59" t="s">
        <v>415</v>
      </c>
      <c r="AM59">
        <v>10238.9</v>
      </c>
      <c r="AN59">
        <v>302.21199999999999</v>
      </c>
      <c r="AO59">
        <v>4052.3</v>
      </c>
      <c r="AP59">
        <f t="shared" si="72"/>
        <v>0.92542210596451402</v>
      </c>
      <c r="AQ59">
        <v>-0.32343011824092421</v>
      </c>
      <c r="AR59" t="s">
        <v>602</v>
      </c>
      <c r="AS59">
        <v>7113.82</v>
      </c>
      <c r="AT59">
        <v>647.7991538461539</v>
      </c>
      <c r="AU59">
        <v>914.18469777628218</v>
      </c>
      <c r="AV59">
        <f t="shared" si="73"/>
        <v>0.2913913835771923</v>
      </c>
      <c r="AW59">
        <v>0.5</v>
      </c>
      <c r="AX59">
        <f t="shared" si="74"/>
        <v>1513.1088002171509</v>
      </c>
      <c r="AY59">
        <f t="shared" si="75"/>
        <v>45.214808697318404</v>
      </c>
      <c r="AZ59">
        <f t="shared" si="76"/>
        <v>220.45343339905054</v>
      </c>
      <c r="BA59">
        <f t="shared" si="77"/>
        <v>3.0095812547666096E-2</v>
      </c>
      <c r="BB59">
        <f t="shared" si="78"/>
        <v>3.4326928790834703</v>
      </c>
      <c r="BC59">
        <f t="shared" si="79"/>
        <v>240.61407385667533</v>
      </c>
      <c r="BD59" t="s">
        <v>603</v>
      </c>
      <c r="BE59">
        <v>466.8</v>
      </c>
      <c r="BF59">
        <f t="shared" si="80"/>
        <v>466.8</v>
      </c>
      <c r="BG59">
        <f t="shared" si="81"/>
        <v>0.48938108334620745</v>
      </c>
      <c r="BH59">
        <f t="shared" si="82"/>
        <v>0.59542837574506458</v>
      </c>
      <c r="BI59">
        <f t="shared" si="83"/>
        <v>0.87522390244699988</v>
      </c>
      <c r="BJ59">
        <f t="shared" si="84"/>
        <v>0.43528991554376562</v>
      </c>
      <c r="BK59">
        <f t="shared" si="85"/>
        <v>0.8368111100922746</v>
      </c>
      <c r="BL59">
        <f t="shared" si="86"/>
        <v>0.42906194635722794</v>
      </c>
      <c r="BM59">
        <f t="shared" si="87"/>
        <v>0.57093805364277206</v>
      </c>
      <c r="BN59">
        <v>34573</v>
      </c>
      <c r="BO59">
        <v>290.00000000000011</v>
      </c>
      <c r="BP59">
        <v>838.25</v>
      </c>
      <c r="BQ59">
        <v>295</v>
      </c>
      <c r="BR59">
        <v>7113.82</v>
      </c>
      <c r="BS59">
        <v>839.54</v>
      </c>
      <c r="BT59">
        <v>-1.29</v>
      </c>
      <c r="BU59">
        <v>300.00000000000011</v>
      </c>
      <c r="BV59">
        <v>38.200000000000003</v>
      </c>
      <c r="BW59">
        <v>914.18469777628218</v>
      </c>
      <c r="BX59">
        <v>1.315748121863243</v>
      </c>
      <c r="BY59">
        <v>-53.104391189753748</v>
      </c>
      <c r="BZ59">
        <v>0.78469348046175325</v>
      </c>
      <c r="CA59">
        <v>0.99392354577683339</v>
      </c>
      <c r="CB59">
        <v>-7.012964404894329E-3</v>
      </c>
      <c r="CC59">
        <v>289.99999999999989</v>
      </c>
      <c r="CD59">
        <v>849.8</v>
      </c>
      <c r="CE59">
        <v>875</v>
      </c>
      <c r="CF59">
        <v>7107.32</v>
      </c>
      <c r="CG59">
        <v>839.47</v>
      </c>
      <c r="CH59">
        <v>10.33</v>
      </c>
      <c r="CV59">
        <f t="shared" si="88"/>
        <v>1799.91</v>
      </c>
      <c r="CW59">
        <f t="shared" si="89"/>
        <v>1513.1088002171509</v>
      </c>
      <c r="CX59">
        <f t="shared" si="90"/>
        <v>0.84065803302229047</v>
      </c>
      <c r="CY59">
        <f t="shared" si="91"/>
        <v>0.16087000373302066</v>
      </c>
      <c r="CZ59">
        <v>5</v>
      </c>
      <c r="DA59">
        <v>0.5</v>
      </c>
      <c r="DB59" t="s">
        <v>418</v>
      </c>
      <c r="DC59">
        <v>2</v>
      </c>
      <c r="DD59">
        <v>1700246299.0999999</v>
      </c>
      <c r="DE59">
        <v>402.99799999999999</v>
      </c>
      <c r="DF59">
        <v>450.04</v>
      </c>
      <c r="DG59">
        <v>27.6252</v>
      </c>
      <c r="DH59">
        <v>23.185700000000001</v>
      </c>
      <c r="DI59">
        <v>403.05</v>
      </c>
      <c r="DJ59">
        <v>27.272300000000001</v>
      </c>
      <c r="DK59">
        <v>500.14100000000002</v>
      </c>
      <c r="DL59">
        <v>98.863500000000002</v>
      </c>
      <c r="DM59">
        <v>9.9835999999999994E-2</v>
      </c>
      <c r="DN59">
        <v>29.766999999999999</v>
      </c>
      <c r="DO59">
        <v>30.0457</v>
      </c>
      <c r="DP59">
        <v>999.9</v>
      </c>
      <c r="DQ59">
        <v>0</v>
      </c>
      <c r="DR59">
        <v>0</v>
      </c>
      <c r="DS59">
        <v>10016.200000000001</v>
      </c>
      <c r="DT59">
        <v>0</v>
      </c>
      <c r="DU59">
        <v>344.26400000000001</v>
      </c>
      <c r="DV59">
        <v>-47.042299999999997</v>
      </c>
      <c r="DW59">
        <v>414.447</v>
      </c>
      <c r="DX59">
        <v>460.72199999999998</v>
      </c>
      <c r="DY59">
        <v>4.4394900000000002</v>
      </c>
      <c r="DZ59">
        <v>450.04</v>
      </c>
      <c r="EA59">
        <v>23.185700000000001</v>
      </c>
      <c r="EB59">
        <v>2.7311299999999998</v>
      </c>
      <c r="EC59">
        <v>2.2922199999999999</v>
      </c>
      <c r="ED59">
        <v>22.473600000000001</v>
      </c>
      <c r="EE59">
        <v>19.6218</v>
      </c>
      <c r="EF59">
        <v>1799.91</v>
      </c>
      <c r="EG59">
        <v>0.97800600000000004</v>
      </c>
      <c r="EH59">
        <v>2.1994300000000001E-2</v>
      </c>
      <c r="EI59">
        <v>0</v>
      </c>
      <c r="EJ59">
        <v>647.53899999999999</v>
      </c>
      <c r="EK59">
        <v>4.9996700000000001</v>
      </c>
      <c r="EL59">
        <v>12460.5</v>
      </c>
      <c r="EM59">
        <v>15046.1</v>
      </c>
      <c r="EN59">
        <v>48.811999999999998</v>
      </c>
      <c r="EO59">
        <v>50.061999999999998</v>
      </c>
      <c r="EP59">
        <v>49.561999999999998</v>
      </c>
      <c r="EQ59">
        <v>49.75</v>
      </c>
      <c r="ER59">
        <v>50.25</v>
      </c>
      <c r="ES59">
        <v>1755.43</v>
      </c>
      <c r="ET59">
        <v>39.479999999999997</v>
      </c>
      <c r="EU59">
        <v>0</v>
      </c>
      <c r="EV59">
        <v>2129.400000095367</v>
      </c>
      <c r="EW59">
        <v>0</v>
      </c>
      <c r="EX59">
        <v>647.7991538461539</v>
      </c>
      <c r="EY59">
        <v>-0.48711111735548018</v>
      </c>
      <c r="EZ59">
        <v>-38.752136821326218</v>
      </c>
      <c r="FA59">
        <v>12467.165384615389</v>
      </c>
      <c r="FB59">
        <v>15</v>
      </c>
      <c r="FC59">
        <v>1700246264.0999999</v>
      </c>
      <c r="FD59" t="s">
        <v>604</v>
      </c>
      <c r="FE59">
        <v>1700246261.0999999</v>
      </c>
      <c r="FF59">
        <v>1700246264.0999999</v>
      </c>
      <c r="FG59">
        <v>51</v>
      </c>
      <c r="FH59">
        <v>7.2999999999999995E-2</v>
      </c>
      <c r="FI59">
        <v>-0.10100000000000001</v>
      </c>
      <c r="FJ59">
        <v>-6.5000000000000002E-2</v>
      </c>
      <c r="FK59">
        <v>0.313</v>
      </c>
      <c r="FL59">
        <v>450</v>
      </c>
      <c r="FM59">
        <v>23</v>
      </c>
      <c r="FN59">
        <v>0.03</v>
      </c>
      <c r="FO59">
        <v>0.01</v>
      </c>
      <c r="FP59">
        <v>45.180110310288299</v>
      </c>
      <c r="FQ59">
        <v>-0.6299106020496209</v>
      </c>
      <c r="FR59">
        <v>5.8905342606544557E-2</v>
      </c>
      <c r="FS59">
        <v>1</v>
      </c>
      <c r="FT59">
        <v>0.30397025808994921</v>
      </c>
      <c r="FU59">
        <v>-4.1987276138568459E-2</v>
      </c>
      <c r="FV59">
        <v>3.161207443806571E-3</v>
      </c>
      <c r="FW59">
        <v>1</v>
      </c>
      <c r="FX59">
        <v>2</v>
      </c>
      <c r="FY59">
        <v>2</v>
      </c>
      <c r="FZ59" t="s">
        <v>420</v>
      </c>
      <c r="GA59">
        <v>3.0121799999999999</v>
      </c>
      <c r="GB59">
        <v>2.7770600000000001</v>
      </c>
      <c r="GC59">
        <v>8.8347300000000004E-2</v>
      </c>
      <c r="GD59">
        <v>9.6613900000000003E-2</v>
      </c>
      <c r="GE59">
        <v>0.12539700000000001</v>
      </c>
      <c r="GF59">
        <v>0.112252</v>
      </c>
      <c r="GG59">
        <v>21893.9</v>
      </c>
      <c r="GH59">
        <v>22402.2</v>
      </c>
      <c r="GI59">
        <v>23784.1</v>
      </c>
      <c r="GJ59">
        <v>24457.200000000001</v>
      </c>
      <c r="GK59">
        <v>30765.5</v>
      </c>
      <c r="GL59">
        <v>31134.5</v>
      </c>
      <c r="GM59">
        <v>38952.6</v>
      </c>
      <c r="GN59">
        <v>38950.300000000003</v>
      </c>
      <c r="GO59">
        <v>1.8479000000000001</v>
      </c>
      <c r="GP59">
        <v>1.8068500000000001</v>
      </c>
      <c r="GQ59">
        <v>7.1085999999999996E-2</v>
      </c>
      <c r="GR59">
        <v>0</v>
      </c>
      <c r="GS59">
        <v>28.887799999999999</v>
      </c>
      <c r="GT59">
        <v>999.9</v>
      </c>
      <c r="GU59">
        <v>38.299999999999997</v>
      </c>
      <c r="GV59">
        <v>39.200000000000003</v>
      </c>
      <c r="GW59">
        <v>27.514900000000001</v>
      </c>
      <c r="GX59">
        <v>60.6736</v>
      </c>
      <c r="GY59">
        <v>30.849399999999999</v>
      </c>
      <c r="GZ59">
        <v>1</v>
      </c>
      <c r="HA59">
        <v>0.606707</v>
      </c>
      <c r="HB59">
        <v>2.8772899999999999</v>
      </c>
      <c r="HC59">
        <v>20.3064</v>
      </c>
      <c r="HD59">
        <v>5.2461900000000004</v>
      </c>
      <c r="HE59">
        <v>12.000999999999999</v>
      </c>
      <c r="HF59">
        <v>4.9636500000000003</v>
      </c>
      <c r="HG59">
        <v>3.3010000000000002</v>
      </c>
      <c r="HH59">
        <v>9999</v>
      </c>
      <c r="HI59">
        <v>9999</v>
      </c>
      <c r="HJ59">
        <v>9999</v>
      </c>
      <c r="HK59">
        <v>999.9</v>
      </c>
      <c r="HL59">
        <v>1.875</v>
      </c>
      <c r="HM59">
        <v>1.8803399999999999</v>
      </c>
      <c r="HN59">
        <v>1.88049</v>
      </c>
      <c r="HO59">
        <v>1.8791199999999999</v>
      </c>
      <c r="HP59">
        <v>1.8815599999999999</v>
      </c>
      <c r="HQ59">
        <v>1.87744</v>
      </c>
      <c r="HR59">
        <v>1.8751500000000001</v>
      </c>
      <c r="HS59">
        <v>1.8824700000000001</v>
      </c>
      <c r="HT59">
        <v>5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423</v>
      </c>
      <c r="IB59" t="s">
        <v>423</v>
      </c>
      <c r="IC59" t="s">
        <v>423</v>
      </c>
      <c r="ID59">
        <v>0</v>
      </c>
      <c r="IE59">
        <v>100</v>
      </c>
      <c r="IF59">
        <v>100</v>
      </c>
      <c r="IG59">
        <v>-5.1999999999999998E-2</v>
      </c>
      <c r="IH59">
        <v>0.35289999999999999</v>
      </c>
      <c r="II59">
        <v>-0.1361945931222055</v>
      </c>
      <c r="IJ59">
        <v>7.0786345690369205E-4</v>
      </c>
      <c r="IK59">
        <v>-1.387476646623666E-6</v>
      </c>
      <c r="IL59">
        <v>3.6592443641472651E-10</v>
      </c>
      <c r="IM59">
        <v>0.352896371742624</v>
      </c>
      <c r="IN59">
        <v>0</v>
      </c>
      <c r="IO59">
        <v>0</v>
      </c>
      <c r="IP59">
        <v>0</v>
      </c>
      <c r="IQ59">
        <v>2</v>
      </c>
      <c r="IR59">
        <v>2142</v>
      </c>
      <c r="IS59">
        <v>1</v>
      </c>
      <c r="IT59">
        <v>24</v>
      </c>
      <c r="IU59">
        <v>0.6</v>
      </c>
      <c r="IV59">
        <v>0.6</v>
      </c>
      <c r="IW59">
        <v>1.1303700000000001</v>
      </c>
      <c r="IX59">
        <v>2.66479</v>
      </c>
      <c r="IY59">
        <v>1.5490699999999999</v>
      </c>
      <c r="IZ59">
        <v>2.36328</v>
      </c>
      <c r="JA59">
        <v>1.5966800000000001</v>
      </c>
      <c r="JB59">
        <v>2.2375500000000001</v>
      </c>
      <c r="JC59">
        <v>41.848599999999998</v>
      </c>
      <c r="JD59">
        <v>24.227599999999999</v>
      </c>
      <c r="JE59">
        <v>18</v>
      </c>
      <c r="JF59">
        <v>423.93900000000002</v>
      </c>
      <c r="JG59">
        <v>457.15100000000001</v>
      </c>
      <c r="JH59">
        <v>26.589400000000001</v>
      </c>
      <c r="JI59">
        <v>34.628399999999999</v>
      </c>
      <c r="JJ59">
        <v>30.000499999999999</v>
      </c>
      <c r="JK59">
        <v>34.662700000000001</v>
      </c>
      <c r="JL59">
        <v>34.657499999999999</v>
      </c>
      <c r="JM59">
        <v>22.615300000000001</v>
      </c>
      <c r="JN59">
        <v>18.457000000000001</v>
      </c>
      <c r="JO59">
        <v>39.484900000000003</v>
      </c>
      <c r="JP59">
        <v>26.573899999999998</v>
      </c>
      <c r="JQ59">
        <v>450</v>
      </c>
      <c r="JR59">
        <v>23.208600000000001</v>
      </c>
      <c r="JS59">
        <v>98.649000000000001</v>
      </c>
      <c r="JT59">
        <v>99.491699999999994</v>
      </c>
    </row>
    <row r="60" spans="1:280" x14ac:dyDescent="0.25">
      <c r="A60">
        <v>44</v>
      </c>
      <c r="B60">
        <v>1700246492.0999999</v>
      </c>
      <c r="C60">
        <v>9357.5999999046326</v>
      </c>
      <c r="D60" t="s">
        <v>605</v>
      </c>
      <c r="E60" t="s">
        <v>606</v>
      </c>
      <c r="F60" t="s">
        <v>412</v>
      </c>
      <c r="G60" t="s">
        <v>413</v>
      </c>
      <c r="H60" t="s">
        <v>601</v>
      </c>
      <c r="I60">
        <v>1700246492.0999999</v>
      </c>
      <c r="J60">
        <f t="shared" si="46"/>
        <v>2.6998173699585132E-3</v>
      </c>
      <c r="K60">
        <f t="shared" si="47"/>
        <v>2.6998173699585131</v>
      </c>
      <c r="L60">
        <f t="shared" si="48"/>
        <v>46.398362744160778</v>
      </c>
      <c r="M60">
        <f t="shared" si="49"/>
        <v>1449.62</v>
      </c>
      <c r="N60">
        <f t="shared" si="50"/>
        <v>947.73138398767401</v>
      </c>
      <c r="O60">
        <f t="shared" si="51"/>
        <v>93.791422315081306</v>
      </c>
      <c r="P60">
        <f t="shared" si="52"/>
        <v>143.46039807641998</v>
      </c>
      <c r="Q60">
        <f t="shared" si="53"/>
        <v>0.16213419675976812</v>
      </c>
      <c r="R60">
        <f t="shared" si="54"/>
        <v>3.1221382033752558</v>
      </c>
      <c r="S60">
        <f t="shared" si="55"/>
        <v>0.15759771613869081</v>
      </c>
      <c r="T60">
        <f t="shared" si="56"/>
        <v>9.8895584826601837E-2</v>
      </c>
      <c r="U60">
        <f t="shared" si="57"/>
        <v>289.57010141896711</v>
      </c>
      <c r="V60">
        <f t="shared" si="58"/>
        <v>30.146845372072814</v>
      </c>
      <c r="W60">
        <f t="shared" si="59"/>
        <v>30.029499999999999</v>
      </c>
      <c r="X60">
        <f t="shared" si="60"/>
        <v>4.2676742488794872</v>
      </c>
      <c r="Y60">
        <f t="shared" si="61"/>
        <v>64.674119279144165</v>
      </c>
      <c r="Z60">
        <f t="shared" si="62"/>
        <v>2.6314070271195003</v>
      </c>
      <c r="AA60">
        <f t="shared" si="63"/>
        <v>4.0687172186480245</v>
      </c>
      <c r="AB60">
        <f t="shared" si="64"/>
        <v>1.636267221759987</v>
      </c>
      <c r="AC60">
        <f t="shared" si="65"/>
        <v>-119.06194601517043</v>
      </c>
      <c r="AD60">
        <f t="shared" si="66"/>
        <v>-139.50420844311961</v>
      </c>
      <c r="AE60">
        <f t="shared" si="67"/>
        <v>-9.8973514570036922</v>
      </c>
      <c r="AF60">
        <f t="shared" si="68"/>
        <v>21.106595503673361</v>
      </c>
      <c r="AG60">
        <v>76</v>
      </c>
      <c r="AH60">
        <v>15</v>
      </c>
      <c r="AI60">
        <f t="shared" si="69"/>
        <v>1</v>
      </c>
      <c r="AJ60">
        <f t="shared" si="70"/>
        <v>0</v>
      </c>
      <c r="AK60">
        <f t="shared" si="71"/>
        <v>51895.848967195583</v>
      </c>
      <c r="AL60" t="s">
        <v>415</v>
      </c>
      <c r="AM60">
        <v>10238.9</v>
      </c>
      <c r="AN60">
        <v>302.21199999999999</v>
      </c>
      <c r="AO60">
        <v>4052.3</v>
      </c>
      <c r="AP60">
        <f t="shared" si="72"/>
        <v>0.92542210596451402</v>
      </c>
      <c r="AQ60">
        <v>-0.32343011824092421</v>
      </c>
      <c r="AR60" t="s">
        <v>607</v>
      </c>
      <c r="AS60">
        <v>7113.56</v>
      </c>
      <c r="AT60">
        <v>646.30638461538467</v>
      </c>
      <c r="AU60">
        <v>935.41652696621691</v>
      </c>
      <c r="AV60">
        <f t="shared" si="73"/>
        <v>0.30907102239094142</v>
      </c>
      <c r="AW60">
        <v>0.5</v>
      </c>
      <c r="AX60">
        <f t="shared" si="74"/>
        <v>1513.2093002170814</v>
      </c>
      <c r="AY60">
        <f t="shared" si="75"/>
        <v>46.398362744160778</v>
      </c>
      <c r="AZ60">
        <f t="shared" si="76"/>
        <v>233.84457275478718</v>
      </c>
      <c r="BA60">
        <f t="shared" si="77"/>
        <v>3.0875962007171846E-2</v>
      </c>
      <c r="BB60">
        <f t="shared" si="78"/>
        <v>3.3320808251513299</v>
      </c>
      <c r="BC60">
        <f t="shared" si="79"/>
        <v>242.06015532033541</v>
      </c>
      <c r="BD60" t="s">
        <v>608</v>
      </c>
      <c r="BE60">
        <v>477.01</v>
      </c>
      <c r="BF60">
        <f t="shared" si="80"/>
        <v>477.01</v>
      </c>
      <c r="BG60">
        <f t="shared" si="81"/>
        <v>0.49005604856367102</v>
      </c>
      <c r="BH60">
        <f t="shared" si="82"/>
        <v>0.63068504775486911</v>
      </c>
      <c r="BI60">
        <f t="shared" si="83"/>
        <v>0.87178479872507775</v>
      </c>
      <c r="BJ60">
        <f t="shared" si="84"/>
        <v>0.45658255751266447</v>
      </c>
      <c r="BK60">
        <f t="shared" si="85"/>
        <v>0.83114942183590967</v>
      </c>
      <c r="BL60">
        <f t="shared" si="86"/>
        <v>0.46548058597406722</v>
      </c>
      <c r="BM60">
        <f t="shared" si="87"/>
        <v>0.53451941402593284</v>
      </c>
      <c r="BN60">
        <v>34575</v>
      </c>
      <c r="BO60">
        <v>290.00000000000011</v>
      </c>
      <c r="BP60">
        <v>848.18</v>
      </c>
      <c r="BQ60">
        <v>275</v>
      </c>
      <c r="BR60">
        <v>7113.56</v>
      </c>
      <c r="BS60">
        <v>849.92</v>
      </c>
      <c r="BT60">
        <v>-1.74</v>
      </c>
      <c r="BU60">
        <v>300.00000000000011</v>
      </c>
      <c r="BV60">
        <v>38.200000000000003</v>
      </c>
      <c r="BW60">
        <v>935.41652696621691</v>
      </c>
      <c r="BX60">
        <v>1.264111959212298</v>
      </c>
      <c r="BY60">
        <v>-60.817495861151293</v>
      </c>
      <c r="BZ60">
        <v>0.75383720949644095</v>
      </c>
      <c r="CA60">
        <v>0.99571656838800027</v>
      </c>
      <c r="CB60">
        <v>-7.0125655172413896E-3</v>
      </c>
      <c r="CC60">
        <v>289.99999999999989</v>
      </c>
      <c r="CD60">
        <v>858.85</v>
      </c>
      <c r="CE60">
        <v>865</v>
      </c>
      <c r="CF60">
        <v>7106.86</v>
      </c>
      <c r="CG60">
        <v>849.84</v>
      </c>
      <c r="CH60">
        <v>9.01</v>
      </c>
      <c r="CV60">
        <f t="shared" si="88"/>
        <v>1800.03</v>
      </c>
      <c r="CW60">
        <f t="shared" si="89"/>
        <v>1513.2093002170814</v>
      </c>
      <c r="CX60">
        <f t="shared" si="90"/>
        <v>0.84065782249022591</v>
      </c>
      <c r="CY60">
        <f t="shared" si="91"/>
        <v>0.16086959740613607</v>
      </c>
      <c r="CZ60">
        <v>5</v>
      </c>
      <c r="DA60">
        <v>0.5</v>
      </c>
      <c r="DB60" t="s">
        <v>418</v>
      </c>
      <c r="DC60">
        <v>2</v>
      </c>
      <c r="DD60">
        <v>1700246492.0999999</v>
      </c>
      <c r="DE60">
        <v>1449.62</v>
      </c>
      <c r="DF60">
        <v>1499.92</v>
      </c>
      <c r="DG60">
        <v>26.589500000000001</v>
      </c>
      <c r="DH60">
        <v>23.9621</v>
      </c>
      <c r="DI60">
        <v>1449.92</v>
      </c>
      <c r="DJ60">
        <v>26.2379</v>
      </c>
      <c r="DK60">
        <v>500.12</v>
      </c>
      <c r="DL60">
        <v>98.864099999999993</v>
      </c>
      <c r="DM60">
        <v>0.100041</v>
      </c>
      <c r="DN60">
        <v>29.200700000000001</v>
      </c>
      <c r="DO60">
        <v>30.029499999999999</v>
      </c>
      <c r="DP60">
        <v>999.9</v>
      </c>
      <c r="DQ60">
        <v>0</v>
      </c>
      <c r="DR60">
        <v>0</v>
      </c>
      <c r="DS60">
        <v>10000</v>
      </c>
      <c r="DT60">
        <v>0</v>
      </c>
      <c r="DU60">
        <v>327.423</v>
      </c>
      <c r="DV60">
        <v>-50.296399999999998</v>
      </c>
      <c r="DW60">
        <v>1489.22</v>
      </c>
      <c r="DX60">
        <v>1536.74</v>
      </c>
      <c r="DY60">
        <v>2.6274700000000002</v>
      </c>
      <c r="DZ60">
        <v>1499.92</v>
      </c>
      <c r="EA60">
        <v>23.9621</v>
      </c>
      <c r="EB60">
        <v>2.6287500000000001</v>
      </c>
      <c r="EC60">
        <v>2.3689900000000002</v>
      </c>
      <c r="ED60">
        <v>21.846399999999999</v>
      </c>
      <c r="EE60">
        <v>20.153300000000002</v>
      </c>
      <c r="EF60">
        <v>1800.03</v>
      </c>
      <c r="EG60">
        <v>0.97800900000000002</v>
      </c>
      <c r="EH60">
        <v>2.1990800000000001E-2</v>
      </c>
      <c r="EI60">
        <v>0</v>
      </c>
      <c r="EJ60">
        <v>647.13</v>
      </c>
      <c r="EK60">
        <v>4.9996700000000001</v>
      </c>
      <c r="EL60">
        <v>12319.2</v>
      </c>
      <c r="EM60">
        <v>15047.1</v>
      </c>
      <c r="EN60">
        <v>48.875</v>
      </c>
      <c r="EO60">
        <v>50.186999999999998</v>
      </c>
      <c r="EP60">
        <v>49.625</v>
      </c>
      <c r="EQ60">
        <v>49.875</v>
      </c>
      <c r="ER60">
        <v>50.311999999999998</v>
      </c>
      <c r="ES60">
        <v>1755.56</v>
      </c>
      <c r="ET60">
        <v>39.47</v>
      </c>
      <c r="EU60">
        <v>0</v>
      </c>
      <c r="EV60">
        <v>191</v>
      </c>
      <c r="EW60">
        <v>0</v>
      </c>
      <c r="EX60">
        <v>646.30638461538467</v>
      </c>
      <c r="EY60">
        <v>1.7407179401267929</v>
      </c>
      <c r="EZ60">
        <v>72.423931522841684</v>
      </c>
      <c r="FA60">
        <v>12308.69230769231</v>
      </c>
      <c r="FB60">
        <v>15</v>
      </c>
      <c r="FC60">
        <v>1700246363.5999999</v>
      </c>
      <c r="FD60" t="s">
        <v>609</v>
      </c>
      <c r="FE60">
        <v>1700246363.0999999</v>
      </c>
      <c r="FF60">
        <v>1700246363.5999999</v>
      </c>
      <c r="FG60">
        <v>52</v>
      </c>
      <c r="FH60">
        <v>0.61499999999999999</v>
      </c>
      <c r="FI60">
        <v>-1E-3</v>
      </c>
      <c r="FJ60">
        <v>-0.34599999999999997</v>
      </c>
      <c r="FK60">
        <v>0.315</v>
      </c>
      <c r="FL60">
        <v>1501</v>
      </c>
      <c r="FM60">
        <v>23</v>
      </c>
      <c r="FN60">
        <v>0.04</v>
      </c>
      <c r="FO60">
        <v>0.03</v>
      </c>
      <c r="FP60">
        <v>46.604216257888737</v>
      </c>
      <c r="FQ60">
        <v>0.1684618732360014</v>
      </c>
      <c r="FR60">
        <v>0.1003787241482991</v>
      </c>
      <c r="FS60">
        <v>1</v>
      </c>
      <c r="FT60">
        <v>0.16575666316001189</v>
      </c>
      <c r="FU60">
        <v>-4.7378921981980293E-2</v>
      </c>
      <c r="FV60">
        <v>4.4417492573797799E-3</v>
      </c>
      <c r="FW60">
        <v>1</v>
      </c>
      <c r="FX60">
        <v>2</v>
      </c>
      <c r="FY60">
        <v>2</v>
      </c>
      <c r="FZ60" t="s">
        <v>420</v>
      </c>
      <c r="GA60">
        <v>3.0122</v>
      </c>
      <c r="GB60">
        <v>2.7771300000000001</v>
      </c>
      <c r="GC60">
        <v>0.20977599999999999</v>
      </c>
      <c r="GD60">
        <v>0.215007</v>
      </c>
      <c r="GE60">
        <v>0.122076</v>
      </c>
      <c r="GF60">
        <v>0.114827</v>
      </c>
      <c r="GG60">
        <v>18969.5</v>
      </c>
      <c r="GH60">
        <v>19457.3</v>
      </c>
      <c r="GI60">
        <v>23778.400000000001</v>
      </c>
      <c r="GJ60">
        <v>24451.3</v>
      </c>
      <c r="GK60">
        <v>30875.599999999999</v>
      </c>
      <c r="GL60">
        <v>31037.5</v>
      </c>
      <c r="GM60">
        <v>38944.199999999997</v>
      </c>
      <c r="GN60">
        <v>38942.6</v>
      </c>
      <c r="GO60">
        <v>1.8475299999999999</v>
      </c>
      <c r="GP60">
        <v>1.8109500000000001</v>
      </c>
      <c r="GQ60">
        <v>8.2515199999999997E-2</v>
      </c>
      <c r="GR60">
        <v>0</v>
      </c>
      <c r="GS60">
        <v>28.685199999999998</v>
      </c>
      <c r="GT60">
        <v>999.9</v>
      </c>
      <c r="GU60">
        <v>39.4</v>
      </c>
      <c r="GV60">
        <v>39.1</v>
      </c>
      <c r="GW60">
        <v>28.152999999999999</v>
      </c>
      <c r="GX60">
        <v>61.1736</v>
      </c>
      <c r="GY60">
        <v>30.368600000000001</v>
      </c>
      <c r="GZ60">
        <v>1</v>
      </c>
      <c r="HA60">
        <v>0.61945399999999995</v>
      </c>
      <c r="HB60">
        <v>3.48251</v>
      </c>
      <c r="HC60">
        <v>20.294899999999998</v>
      </c>
      <c r="HD60">
        <v>5.24634</v>
      </c>
      <c r="HE60">
        <v>12.0023</v>
      </c>
      <c r="HF60">
        <v>4.9638</v>
      </c>
      <c r="HG60">
        <v>3.3010000000000002</v>
      </c>
      <c r="HH60">
        <v>9999</v>
      </c>
      <c r="HI60">
        <v>9999</v>
      </c>
      <c r="HJ60">
        <v>9999</v>
      </c>
      <c r="HK60">
        <v>999.9</v>
      </c>
      <c r="HL60">
        <v>1.87503</v>
      </c>
      <c r="HM60">
        <v>1.8803399999999999</v>
      </c>
      <c r="HN60">
        <v>1.88049</v>
      </c>
      <c r="HO60">
        <v>1.87917</v>
      </c>
      <c r="HP60">
        <v>1.8815599999999999</v>
      </c>
      <c r="HQ60">
        <v>1.87744</v>
      </c>
      <c r="HR60">
        <v>1.8751500000000001</v>
      </c>
      <c r="HS60">
        <v>1.8824799999999999</v>
      </c>
      <c r="HT60">
        <v>5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423</v>
      </c>
      <c r="IB60" t="s">
        <v>423</v>
      </c>
      <c r="IC60" t="s">
        <v>423</v>
      </c>
      <c r="ID60">
        <v>0</v>
      </c>
      <c r="IE60">
        <v>100</v>
      </c>
      <c r="IF60">
        <v>100</v>
      </c>
      <c r="IG60">
        <v>-0.3</v>
      </c>
      <c r="IH60">
        <v>0.35160000000000002</v>
      </c>
      <c r="II60">
        <v>0.48061626248135708</v>
      </c>
      <c r="IJ60">
        <v>7.0786345690369205E-4</v>
      </c>
      <c r="IK60">
        <v>-1.387476646623666E-6</v>
      </c>
      <c r="IL60">
        <v>3.6592443641472651E-10</v>
      </c>
      <c r="IM60">
        <v>0.35168704883273139</v>
      </c>
      <c r="IN60">
        <v>0</v>
      </c>
      <c r="IO60">
        <v>0</v>
      </c>
      <c r="IP60">
        <v>0</v>
      </c>
      <c r="IQ60">
        <v>2</v>
      </c>
      <c r="IR60">
        <v>2142</v>
      </c>
      <c r="IS60">
        <v>1</v>
      </c>
      <c r="IT60">
        <v>24</v>
      </c>
      <c r="IU60">
        <v>2.1</v>
      </c>
      <c r="IV60">
        <v>2.1</v>
      </c>
      <c r="IW60">
        <v>3.0163600000000002</v>
      </c>
      <c r="IX60">
        <v>2.6355</v>
      </c>
      <c r="IY60">
        <v>1.5490699999999999</v>
      </c>
      <c r="IZ60">
        <v>2.36328</v>
      </c>
      <c r="JA60">
        <v>1.5966800000000001</v>
      </c>
      <c r="JB60">
        <v>2.36816</v>
      </c>
      <c r="JC60">
        <v>41.822299999999998</v>
      </c>
      <c r="JD60">
        <v>24.227599999999999</v>
      </c>
      <c r="JE60">
        <v>18</v>
      </c>
      <c r="JF60">
        <v>424.07400000000001</v>
      </c>
      <c r="JG60">
        <v>460.17700000000002</v>
      </c>
      <c r="JH60">
        <v>25.733499999999999</v>
      </c>
      <c r="JI60">
        <v>34.743499999999997</v>
      </c>
      <c r="JJ60">
        <v>30.000599999999999</v>
      </c>
      <c r="JK60">
        <v>34.718400000000003</v>
      </c>
      <c r="JL60">
        <v>34.704900000000002</v>
      </c>
      <c r="JM60">
        <v>60.300699999999999</v>
      </c>
      <c r="JN60">
        <v>18.204499999999999</v>
      </c>
      <c r="JO60">
        <v>43.235100000000003</v>
      </c>
      <c r="JP60">
        <v>25.704499999999999</v>
      </c>
      <c r="JQ60">
        <v>1500</v>
      </c>
      <c r="JR60">
        <v>24.088899999999999</v>
      </c>
      <c r="JS60">
        <v>98.626900000000006</v>
      </c>
      <c r="JT60">
        <v>99.470500000000001</v>
      </c>
    </row>
    <row r="61" spans="1:280" x14ac:dyDescent="0.25">
      <c r="A61">
        <v>45</v>
      </c>
      <c r="B61">
        <v>1700246591.5999999</v>
      </c>
      <c r="C61">
        <v>9457.0999999046326</v>
      </c>
      <c r="D61" t="s">
        <v>610</v>
      </c>
      <c r="E61" t="s">
        <v>611</v>
      </c>
      <c r="F61" t="s">
        <v>412</v>
      </c>
      <c r="G61" t="s">
        <v>413</v>
      </c>
      <c r="H61" t="s">
        <v>601</v>
      </c>
      <c r="I61">
        <v>1700246591.5999999</v>
      </c>
      <c r="J61">
        <f t="shared" si="46"/>
        <v>2.0427223374921591E-3</v>
      </c>
      <c r="K61">
        <f t="shared" si="47"/>
        <v>2.042722337492159</v>
      </c>
      <c r="L61">
        <f t="shared" si="48"/>
        <v>43.675084205116583</v>
      </c>
      <c r="M61">
        <f t="shared" si="49"/>
        <v>1203.8900000000001</v>
      </c>
      <c r="N61">
        <f t="shared" si="50"/>
        <v>595.23440388693564</v>
      </c>
      <c r="O61">
        <f t="shared" si="51"/>
        <v>58.90820075172639</v>
      </c>
      <c r="P61">
        <f t="shared" si="52"/>
        <v>119.14464846099001</v>
      </c>
      <c r="Q61">
        <f t="shared" si="53"/>
        <v>0.12185880235669702</v>
      </c>
      <c r="R61">
        <f t="shared" si="54"/>
        <v>3.1226679055436204</v>
      </c>
      <c r="S61">
        <f t="shared" si="55"/>
        <v>0.11927728344688004</v>
      </c>
      <c r="T61">
        <f t="shared" si="56"/>
        <v>7.4775686446717032E-2</v>
      </c>
      <c r="U61">
        <f t="shared" si="57"/>
        <v>289.56690941897176</v>
      </c>
      <c r="V61">
        <f t="shared" si="58"/>
        <v>30.086609969858475</v>
      </c>
      <c r="W61">
        <f t="shared" si="59"/>
        <v>30.006699999999999</v>
      </c>
      <c r="X61">
        <f t="shared" si="60"/>
        <v>4.2620896495804983</v>
      </c>
      <c r="Y61">
        <f t="shared" si="61"/>
        <v>65.3761176148315</v>
      </c>
      <c r="Z61">
        <f t="shared" si="62"/>
        <v>2.6261919448542002</v>
      </c>
      <c r="AA61">
        <f t="shared" si="63"/>
        <v>4.0170509364392286</v>
      </c>
      <c r="AB61">
        <f t="shared" si="64"/>
        <v>1.6358977047262981</v>
      </c>
      <c r="AC61">
        <f t="shared" si="65"/>
        <v>-90.084055083404209</v>
      </c>
      <c r="AD61">
        <f t="shared" si="66"/>
        <v>-172.89470247100627</v>
      </c>
      <c r="AE61">
        <f t="shared" si="67"/>
        <v>-12.249410671273456</v>
      </c>
      <c r="AF61">
        <f t="shared" si="68"/>
        <v>14.338741193287831</v>
      </c>
      <c r="AG61">
        <v>77</v>
      </c>
      <c r="AH61">
        <v>15</v>
      </c>
      <c r="AI61">
        <f t="shared" si="69"/>
        <v>1</v>
      </c>
      <c r="AJ61">
        <f t="shared" si="70"/>
        <v>0</v>
      </c>
      <c r="AK61">
        <f t="shared" si="71"/>
        <v>51947.331479626351</v>
      </c>
      <c r="AL61" t="s">
        <v>446</v>
      </c>
      <c r="AM61" t="s">
        <v>446</v>
      </c>
      <c r="AN61">
        <v>0</v>
      </c>
      <c r="AO61">
        <v>0</v>
      </c>
      <c r="AP61" t="e">
        <f t="shared" si="72"/>
        <v>#DIV/0!</v>
      </c>
      <c r="AQ61">
        <v>0</v>
      </c>
      <c r="AR61" t="s">
        <v>446</v>
      </c>
      <c r="AS61" t="s">
        <v>446</v>
      </c>
      <c r="AT61">
        <v>0</v>
      </c>
      <c r="AU61">
        <v>0</v>
      </c>
      <c r="AV61" t="e">
        <f t="shared" si="73"/>
        <v>#DIV/0!</v>
      </c>
      <c r="AW61">
        <v>0.5</v>
      </c>
      <c r="AX61">
        <f t="shared" si="74"/>
        <v>1513.1925002170838</v>
      </c>
      <c r="AY61">
        <f t="shared" si="75"/>
        <v>43.675084205116583</v>
      </c>
      <c r="AZ61" t="e">
        <f t="shared" si="76"/>
        <v>#DIV/0!</v>
      </c>
      <c r="BA61">
        <f t="shared" si="77"/>
        <v>2.8862873823952289E-2</v>
      </c>
      <c r="BB61" t="e">
        <f t="shared" si="78"/>
        <v>#DIV/0!</v>
      </c>
      <c r="BC61" t="e">
        <f t="shared" si="79"/>
        <v>#DIV/0!</v>
      </c>
      <c r="BD61" t="s">
        <v>446</v>
      </c>
      <c r="BE61">
        <v>0</v>
      </c>
      <c r="BF61" t="e">
        <f t="shared" si="80"/>
        <v>#DIV/0!</v>
      </c>
      <c r="BG61" t="e">
        <f t="shared" si="81"/>
        <v>#DIV/0!</v>
      </c>
      <c r="BH61" t="e">
        <f t="shared" si="82"/>
        <v>#DIV/0!</v>
      </c>
      <c r="BI61" t="e">
        <f t="shared" si="83"/>
        <v>#DIV/0!</v>
      </c>
      <c r="BJ61" t="e">
        <f t="shared" si="84"/>
        <v>#DIV/0!</v>
      </c>
      <c r="BK61" t="e">
        <f t="shared" si="85"/>
        <v>#DIV/0!</v>
      </c>
      <c r="BL61" t="e">
        <f t="shared" si="86"/>
        <v>#DIV/0!</v>
      </c>
      <c r="BM61" t="e">
        <f t="shared" si="87"/>
        <v>#DIV/0!</v>
      </c>
      <c r="BN61">
        <v>34575</v>
      </c>
      <c r="BO61">
        <v>290.00000000000011</v>
      </c>
      <c r="BP61">
        <v>848.18</v>
      </c>
      <c r="BQ61">
        <v>275</v>
      </c>
      <c r="BR61">
        <v>7113.56</v>
      </c>
      <c r="BS61">
        <v>849.92</v>
      </c>
      <c r="BT61">
        <v>-1.74</v>
      </c>
      <c r="BU61">
        <v>300.00000000000011</v>
      </c>
      <c r="BV61">
        <v>38.200000000000003</v>
      </c>
      <c r="BW61">
        <v>935.41652696621691</v>
      </c>
      <c r="BX61">
        <v>1.264111959212298</v>
      </c>
      <c r="BY61">
        <v>-60.817495861151293</v>
      </c>
      <c r="BZ61">
        <v>0.75383720949644095</v>
      </c>
      <c r="CA61">
        <v>0.99571656838800027</v>
      </c>
      <c r="CB61">
        <v>-7.0125655172413896E-3</v>
      </c>
      <c r="CC61">
        <v>289.99999999999989</v>
      </c>
      <c r="CD61">
        <v>858.85</v>
      </c>
      <c r="CE61">
        <v>865</v>
      </c>
      <c r="CF61">
        <v>7106.86</v>
      </c>
      <c r="CG61">
        <v>849.84</v>
      </c>
      <c r="CH61">
        <v>9.01</v>
      </c>
      <c r="CV61">
        <f t="shared" si="88"/>
        <v>1800.01</v>
      </c>
      <c r="CW61">
        <f t="shared" si="89"/>
        <v>1513.1925002170838</v>
      </c>
      <c r="CX61">
        <f t="shared" si="90"/>
        <v>0.84065782979932546</v>
      </c>
      <c r="CY61">
        <f t="shared" si="91"/>
        <v>0.16086961151269813</v>
      </c>
      <c r="CZ61">
        <v>5</v>
      </c>
      <c r="DA61">
        <v>0.5</v>
      </c>
      <c r="DB61" t="s">
        <v>418</v>
      </c>
      <c r="DC61">
        <v>2</v>
      </c>
      <c r="DD61">
        <v>1700246591.5999999</v>
      </c>
      <c r="DE61">
        <v>1203.8900000000001</v>
      </c>
      <c r="DF61">
        <v>1250.01</v>
      </c>
      <c r="DG61">
        <v>26.536200000000001</v>
      </c>
      <c r="DH61">
        <v>24.548300000000001</v>
      </c>
      <c r="DI61">
        <v>1204.3399999999999</v>
      </c>
      <c r="DJ61">
        <v>26.192399999999999</v>
      </c>
      <c r="DK61">
        <v>500.15499999999997</v>
      </c>
      <c r="DL61">
        <v>98.866100000000003</v>
      </c>
      <c r="DM61">
        <v>0.10029100000000001</v>
      </c>
      <c r="DN61">
        <v>28.979700000000001</v>
      </c>
      <c r="DO61">
        <v>30.006699999999999</v>
      </c>
      <c r="DP61">
        <v>999.9</v>
      </c>
      <c r="DQ61">
        <v>0</v>
      </c>
      <c r="DR61">
        <v>0</v>
      </c>
      <c r="DS61">
        <v>10002.5</v>
      </c>
      <c r="DT61">
        <v>0</v>
      </c>
      <c r="DU61">
        <v>332.30799999999999</v>
      </c>
      <c r="DV61">
        <v>-46.118400000000001</v>
      </c>
      <c r="DW61">
        <v>1236.71</v>
      </c>
      <c r="DX61">
        <v>1281.47</v>
      </c>
      <c r="DY61">
        <v>1.9878499999999999</v>
      </c>
      <c r="DZ61">
        <v>1250.01</v>
      </c>
      <c r="EA61">
        <v>24.548300000000001</v>
      </c>
      <c r="EB61">
        <v>2.6235300000000001</v>
      </c>
      <c r="EC61">
        <v>2.427</v>
      </c>
      <c r="ED61">
        <v>21.813800000000001</v>
      </c>
      <c r="EE61">
        <v>20.545000000000002</v>
      </c>
      <c r="EF61">
        <v>1800.01</v>
      </c>
      <c r="EG61">
        <v>0.97800900000000002</v>
      </c>
      <c r="EH61">
        <v>2.1990800000000001E-2</v>
      </c>
      <c r="EI61">
        <v>0</v>
      </c>
      <c r="EJ61">
        <v>649.67399999999998</v>
      </c>
      <c r="EK61">
        <v>4.9996700000000001</v>
      </c>
      <c r="EL61">
        <v>12424.2</v>
      </c>
      <c r="EM61">
        <v>15046.9</v>
      </c>
      <c r="EN61">
        <v>48.875</v>
      </c>
      <c r="EO61">
        <v>50.186999999999998</v>
      </c>
      <c r="EP61">
        <v>49.625</v>
      </c>
      <c r="EQ61">
        <v>49.875</v>
      </c>
      <c r="ER61">
        <v>50.311999999999998</v>
      </c>
      <c r="ES61">
        <v>1755.54</v>
      </c>
      <c r="ET61">
        <v>39.47</v>
      </c>
      <c r="EU61">
        <v>0</v>
      </c>
      <c r="EV61">
        <v>97.400000095367432</v>
      </c>
      <c r="EW61">
        <v>0</v>
      </c>
      <c r="EX61">
        <v>649.31215384615393</v>
      </c>
      <c r="EY61">
        <v>0.1041367388594379</v>
      </c>
      <c r="EZ61">
        <v>13.035897447027491</v>
      </c>
      <c r="FA61">
        <v>12421.626923076919</v>
      </c>
      <c r="FB61">
        <v>15</v>
      </c>
      <c r="FC61">
        <v>1700246561.0999999</v>
      </c>
      <c r="FD61" t="s">
        <v>612</v>
      </c>
      <c r="FE61">
        <v>1700246561.0999999</v>
      </c>
      <c r="FF61">
        <v>1700246560.5999999</v>
      </c>
      <c r="FG61">
        <v>53</v>
      </c>
      <c r="FH61">
        <v>-0.41699999999999998</v>
      </c>
      <c r="FI61">
        <v>-8.0000000000000002E-3</v>
      </c>
      <c r="FJ61">
        <v>-0.504</v>
      </c>
      <c r="FK61">
        <v>0.34399999999999997</v>
      </c>
      <c r="FL61">
        <v>1250</v>
      </c>
      <c r="FM61">
        <v>24</v>
      </c>
      <c r="FN61">
        <v>0.05</v>
      </c>
      <c r="FO61">
        <v>0.04</v>
      </c>
      <c r="FP61">
        <v>43.878491234789593</v>
      </c>
      <c r="FQ61">
        <v>-0.47775692774609863</v>
      </c>
      <c r="FR61">
        <v>6.171823744360172E-2</v>
      </c>
      <c r="FS61">
        <v>1</v>
      </c>
      <c r="FT61">
        <v>0.1217885516791941</v>
      </c>
      <c r="FU61">
        <v>1.9145696242362661E-2</v>
      </c>
      <c r="FV61">
        <v>1.5440738466170399E-3</v>
      </c>
      <c r="FW61">
        <v>1</v>
      </c>
      <c r="FX61">
        <v>2</v>
      </c>
      <c r="FY61">
        <v>2</v>
      </c>
      <c r="FZ61" t="s">
        <v>420</v>
      </c>
      <c r="GA61">
        <v>3.0123199999999999</v>
      </c>
      <c r="GB61">
        <v>2.7774000000000001</v>
      </c>
      <c r="GC61">
        <v>0.18736</v>
      </c>
      <c r="GD61">
        <v>0.19261700000000001</v>
      </c>
      <c r="GE61">
        <v>0.12192</v>
      </c>
      <c r="GF61">
        <v>0.11675000000000001</v>
      </c>
      <c r="GG61">
        <v>19506.400000000001</v>
      </c>
      <c r="GH61">
        <v>20011.099999999999</v>
      </c>
      <c r="GI61">
        <v>23775.4</v>
      </c>
      <c r="GJ61">
        <v>24448.2</v>
      </c>
      <c r="GK61">
        <v>30877.599999999999</v>
      </c>
      <c r="GL61">
        <v>30966.5</v>
      </c>
      <c r="GM61">
        <v>38939.5</v>
      </c>
      <c r="GN61">
        <v>38937.9</v>
      </c>
      <c r="GO61">
        <v>1.8465</v>
      </c>
      <c r="GP61">
        <v>1.8102199999999999</v>
      </c>
      <c r="GQ61">
        <v>8.9161099999999993E-2</v>
      </c>
      <c r="GR61">
        <v>0</v>
      </c>
      <c r="GS61">
        <v>28.554099999999998</v>
      </c>
      <c r="GT61">
        <v>999.9</v>
      </c>
      <c r="GU61">
        <v>40.200000000000003</v>
      </c>
      <c r="GV61">
        <v>39.1</v>
      </c>
      <c r="GW61">
        <v>28.724699999999999</v>
      </c>
      <c r="GX61">
        <v>61.113599999999998</v>
      </c>
      <c r="GY61">
        <v>30.412700000000001</v>
      </c>
      <c r="GZ61">
        <v>1</v>
      </c>
      <c r="HA61">
        <v>0.63111799999999996</v>
      </c>
      <c r="HB61">
        <v>4.6168199999999997</v>
      </c>
      <c r="HC61">
        <v>20.265699999999999</v>
      </c>
      <c r="HD61">
        <v>5.2466400000000002</v>
      </c>
      <c r="HE61">
        <v>12.0017</v>
      </c>
      <c r="HF61">
        <v>4.9637500000000001</v>
      </c>
      <c r="HG61">
        <v>3.30098</v>
      </c>
      <c r="HH61">
        <v>9999</v>
      </c>
      <c r="HI61">
        <v>9999</v>
      </c>
      <c r="HJ61">
        <v>9999</v>
      </c>
      <c r="HK61">
        <v>999.9</v>
      </c>
      <c r="HL61">
        <v>1.875</v>
      </c>
      <c r="HM61">
        <v>1.8803399999999999</v>
      </c>
      <c r="HN61">
        <v>1.88049</v>
      </c>
      <c r="HO61">
        <v>1.87913</v>
      </c>
      <c r="HP61">
        <v>1.8815599999999999</v>
      </c>
      <c r="HQ61">
        <v>1.87744</v>
      </c>
      <c r="HR61">
        <v>1.87514</v>
      </c>
      <c r="HS61">
        <v>1.8824700000000001</v>
      </c>
      <c r="HT61">
        <v>5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423</v>
      </c>
      <c r="IB61" t="s">
        <v>423</v>
      </c>
      <c r="IC61" t="s">
        <v>423</v>
      </c>
      <c r="ID61">
        <v>0</v>
      </c>
      <c r="IE61">
        <v>100</v>
      </c>
      <c r="IF61">
        <v>100</v>
      </c>
      <c r="IG61">
        <v>-0.45</v>
      </c>
      <c r="IH61">
        <v>0.34379999999999999</v>
      </c>
      <c r="II61">
        <v>6.4972657370118481E-2</v>
      </c>
      <c r="IJ61">
        <v>7.0786345690369205E-4</v>
      </c>
      <c r="IK61">
        <v>-1.387476646623666E-6</v>
      </c>
      <c r="IL61">
        <v>3.6592443641472651E-10</v>
      </c>
      <c r="IM61">
        <v>0.34376999999999919</v>
      </c>
      <c r="IN61">
        <v>0</v>
      </c>
      <c r="IO61">
        <v>0</v>
      </c>
      <c r="IP61">
        <v>0</v>
      </c>
      <c r="IQ61">
        <v>2</v>
      </c>
      <c r="IR61">
        <v>2142</v>
      </c>
      <c r="IS61">
        <v>1</v>
      </c>
      <c r="IT61">
        <v>24</v>
      </c>
      <c r="IU61">
        <v>0.5</v>
      </c>
      <c r="IV61">
        <v>0.5</v>
      </c>
      <c r="IW61">
        <v>2.6025399999999999</v>
      </c>
      <c r="IX61">
        <v>2.6415999999999999</v>
      </c>
      <c r="IY61">
        <v>1.5490699999999999</v>
      </c>
      <c r="IZ61">
        <v>2.36328</v>
      </c>
      <c r="JA61">
        <v>1.5966800000000001</v>
      </c>
      <c r="JB61">
        <v>2.2839399999999999</v>
      </c>
      <c r="JC61">
        <v>41.796100000000003</v>
      </c>
      <c r="JD61">
        <v>24.218800000000002</v>
      </c>
      <c r="JE61">
        <v>18</v>
      </c>
      <c r="JF61">
        <v>423.78300000000002</v>
      </c>
      <c r="JG61">
        <v>460.00200000000001</v>
      </c>
      <c r="JH61">
        <v>24.5959</v>
      </c>
      <c r="JI61">
        <v>34.796199999999999</v>
      </c>
      <c r="JJ61">
        <v>29.9999</v>
      </c>
      <c r="JK61">
        <v>34.764099999999999</v>
      </c>
      <c r="JL61">
        <v>34.745800000000003</v>
      </c>
      <c r="JM61">
        <v>52.034799999999997</v>
      </c>
      <c r="JN61">
        <v>18.428000000000001</v>
      </c>
      <c r="JO61">
        <v>44.655299999999997</v>
      </c>
      <c r="JP61">
        <v>24.611699999999999</v>
      </c>
      <c r="JQ61">
        <v>1250</v>
      </c>
      <c r="JR61">
        <v>24.505400000000002</v>
      </c>
      <c r="JS61">
        <v>98.614699999999999</v>
      </c>
      <c r="JT61">
        <v>99.458200000000005</v>
      </c>
    </row>
    <row r="62" spans="1:280" x14ac:dyDescent="0.25">
      <c r="A62">
        <v>46</v>
      </c>
      <c r="B62">
        <v>1700246815</v>
      </c>
      <c r="C62">
        <v>9680.5</v>
      </c>
      <c r="D62" t="s">
        <v>613</v>
      </c>
      <c r="E62" t="s">
        <v>614</v>
      </c>
      <c r="F62" t="s">
        <v>412</v>
      </c>
      <c r="G62" t="s">
        <v>413</v>
      </c>
      <c r="H62" t="s">
        <v>601</v>
      </c>
      <c r="I62">
        <v>1700246815</v>
      </c>
      <c r="J62">
        <f t="shared" si="46"/>
        <v>2.1988832011091276E-3</v>
      </c>
      <c r="K62">
        <f t="shared" si="47"/>
        <v>2.1988832011091275</v>
      </c>
      <c r="L62">
        <f t="shared" si="48"/>
        <v>45.288794626156211</v>
      </c>
      <c r="M62">
        <f t="shared" si="49"/>
        <v>952.596</v>
      </c>
      <c r="N62">
        <f t="shared" si="50"/>
        <v>373.04353708720981</v>
      </c>
      <c r="O62">
        <f t="shared" si="51"/>
        <v>36.921802746743218</v>
      </c>
      <c r="P62">
        <f t="shared" si="52"/>
        <v>94.282726043084409</v>
      </c>
      <c r="Q62">
        <f t="shared" si="53"/>
        <v>0.1316370843233084</v>
      </c>
      <c r="R62">
        <f t="shared" si="54"/>
        <v>3.12454130653038</v>
      </c>
      <c r="S62">
        <f t="shared" si="55"/>
        <v>0.12863191306535754</v>
      </c>
      <c r="T62">
        <f t="shared" si="56"/>
        <v>8.0659234274713193E-2</v>
      </c>
      <c r="U62">
        <f t="shared" si="57"/>
        <v>289.57169741896479</v>
      </c>
      <c r="V62">
        <f t="shared" si="58"/>
        <v>30.154649692991658</v>
      </c>
      <c r="W62">
        <f t="shared" si="59"/>
        <v>30.002400000000002</v>
      </c>
      <c r="X62">
        <f t="shared" si="60"/>
        <v>4.2610371278870014</v>
      </c>
      <c r="Y62">
        <f t="shared" si="61"/>
        <v>65.018060803239749</v>
      </c>
      <c r="Z62">
        <f t="shared" si="62"/>
        <v>2.6280108828783599</v>
      </c>
      <c r="AA62">
        <f t="shared" si="63"/>
        <v>4.0419705700410713</v>
      </c>
      <c r="AB62">
        <f t="shared" si="64"/>
        <v>1.6330262450086415</v>
      </c>
      <c r="AC62">
        <f t="shared" si="65"/>
        <v>-96.970749168912533</v>
      </c>
      <c r="AD62">
        <f t="shared" si="66"/>
        <v>-154.26675810639853</v>
      </c>
      <c r="AE62">
        <f t="shared" si="67"/>
        <v>-10.928638786820791</v>
      </c>
      <c r="AF62">
        <f t="shared" si="68"/>
        <v>27.405551356832945</v>
      </c>
      <c r="AG62">
        <v>76</v>
      </c>
      <c r="AH62">
        <v>15</v>
      </c>
      <c r="AI62">
        <f t="shared" si="69"/>
        <v>1</v>
      </c>
      <c r="AJ62">
        <f t="shared" si="70"/>
        <v>0</v>
      </c>
      <c r="AK62">
        <f t="shared" si="71"/>
        <v>51976.729661935889</v>
      </c>
      <c r="AL62" t="s">
        <v>415</v>
      </c>
      <c r="AM62">
        <v>10238.9</v>
      </c>
      <c r="AN62">
        <v>302.21199999999999</v>
      </c>
      <c r="AO62">
        <v>4052.3</v>
      </c>
      <c r="AP62">
        <f t="shared" si="72"/>
        <v>0.92542210596451402</v>
      </c>
      <c r="AQ62">
        <v>-0.32343011824092421</v>
      </c>
      <c r="AR62" t="s">
        <v>615</v>
      </c>
      <c r="AS62">
        <v>7113.14</v>
      </c>
      <c r="AT62">
        <v>643.63832000000002</v>
      </c>
      <c r="AU62">
        <v>912.83437449227426</v>
      </c>
      <c r="AV62">
        <f t="shared" si="73"/>
        <v>0.29490131179821444</v>
      </c>
      <c r="AW62">
        <v>0.5</v>
      </c>
      <c r="AX62">
        <f t="shared" si="74"/>
        <v>1513.2177002170802</v>
      </c>
      <c r="AY62">
        <f t="shared" si="75"/>
        <v>45.288794626156211</v>
      </c>
      <c r="AZ62">
        <f t="shared" si="76"/>
        <v>223.12494241514707</v>
      </c>
      <c r="BA62">
        <f t="shared" si="77"/>
        <v>3.014253979308713E-2</v>
      </c>
      <c r="BB62">
        <f t="shared" si="78"/>
        <v>3.4392500033249975</v>
      </c>
      <c r="BC62">
        <f t="shared" si="79"/>
        <v>240.52042880822597</v>
      </c>
      <c r="BD62" t="s">
        <v>616</v>
      </c>
      <c r="BE62">
        <v>468.04</v>
      </c>
      <c r="BF62">
        <f t="shared" si="80"/>
        <v>468.04</v>
      </c>
      <c r="BG62">
        <f t="shared" si="81"/>
        <v>0.4872673366838014</v>
      </c>
      <c r="BH62">
        <f t="shared" si="82"/>
        <v>0.605214611357343</v>
      </c>
      <c r="BI62">
        <f t="shared" si="83"/>
        <v>0.87590342930136933</v>
      </c>
      <c r="BJ62">
        <f t="shared" si="84"/>
        <v>0.44085520894334695</v>
      </c>
      <c r="BK62">
        <f t="shared" si="85"/>
        <v>0.83717118785151867</v>
      </c>
      <c r="BL62">
        <f t="shared" si="86"/>
        <v>0.44009910208529973</v>
      </c>
      <c r="BM62">
        <f t="shared" si="87"/>
        <v>0.55990089791470021</v>
      </c>
      <c r="BN62">
        <v>34577</v>
      </c>
      <c r="BO62">
        <v>290.00000000000011</v>
      </c>
      <c r="BP62">
        <v>834.07</v>
      </c>
      <c r="BQ62">
        <v>285</v>
      </c>
      <c r="BR62">
        <v>7113.14</v>
      </c>
      <c r="BS62">
        <v>835.62</v>
      </c>
      <c r="BT62">
        <v>-1.55</v>
      </c>
      <c r="BU62">
        <v>300.00000000000011</v>
      </c>
      <c r="BV62">
        <v>38.200000000000003</v>
      </c>
      <c r="BW62">
        <v>912.83437449227426</v>
      </c>
      <c r="BX62">
        <v>1.134975505977134</v>
      </c>
      <c r="BY62">
        <v>-54.922619426147143</v>
      </c>
      <c r="BZ62">
        <v>0.6768167193161938</v>
      </c>
      <c r="CA62">
        <v>0.995765959767825</v>
      </c>
      <c r="CB62">
        <v>-7.0123417130144652E-3</v>
      </c>
      <c r="CC62">
        <v>289.99999999999989</v>
      </c>
      <c r="CD62">
        <v>845.29</v>
      </c>
      <c r="CE62">
        <v>895</v>
      </c>
      <c r="CF62">
        <v>7106.51</v>
      </c>
      <c r="CG62">
        <v>835.55</v>
      </c>
      <c r="CH62">
        <v>9.74</v>
      </c>
      <c r="CV62">
        <f t="shared" si="88"/>
        <v>1800.04</v>
      </c>
      <c r="CW62">
        <f t="shared" si="89"/>
        <v>1513.2177002170802</v>
      </c>
      <c r="CX62">
        <f t="shared" si="90"/>
        <v>0.84065781883573709</v>
      </c>
      <c r="CY62">
        <f t="shared" si="91"/>
        <v>0.1608695903529726</v>
      </c>
      <c r="CZ62">
        <v>5</v>
      </c>
      <c r="DA62">
        <v>0.5</v>
      </c>
      <c r="DB62" t="s">
        <v>418</v>
      </c>
      <c r="DC62">
        <v>2</v>
      </c>
      <c r="DD62">
        <v>1700246815</v>
      </c>
      <c r="DE62">
        <v>952.596</v>
      </c>
      <c r="DF62">
        <v>999.96400000000006</v>
      </c>
      <c r="DG62">
        <v>26.552399999999999</v>
      </c>
      <c r="DH62">
        <v>24.412600000000001</v>
      </c>
      <c r="DI62">
        <v>952.58199999999999</v>
      </c>
      <c r="DJ62">
        <v>26.212199999999999</v>
      </c>
      <c r="DK62">
        <v>500.16300000000001</v>
      </c>
      <c r="DL62">
        <v>98.874600000000001</v>
      </c>
      <c r="DM62">
        <v>9.99139E-2</v>
      </c>
      <c r="DN62">
        <v>29.086600000000001</v>
      </c>
      <c r="DO62">
        <v>30.002400000000002</v>
      </c>
      <c r="DP62">
        <v>999.9</v>
      </c>
      <c r="DQ62">
        <v>0</v>
      </c>
      <c r="DR62">
        <v>0</v>
      </c>
      <c r="DS62">
        <v>10011.200000000001</v>
      </c>
      <c r="DT62">
        <v>0</v>
      </c>
      <c r="DU62">
        <v>327.44200000000001</v>
      </c>
      <c r="DV62">
        <v>-47.367899999999999</v>
      </c>
      <c r="DW62">
        <v>978.58</v>
      </c>
      <c r="DX62">
        <v>1024.99</v>
      </c>
      <c r="DY62">
        <v>2.1397699999999999</v>
      </c>
      <c r="DZ62">
        <v>999.96400000000006</v>
      </c>
      <c r="EA62">
        <v>24.412600000000001</v>
      </c>
      <c r="EB62">
        <v>2.6253600000000001</v>
      </c>
      <c r="EC62">
        <v>2.4137900000000001</v>
      </c>
      <c r="ED62">
        <v>21.825199999999999</v>
      </c>
      <c r="EE62">
        <v>20.456600000000002</v>
      </c>
      <c r="EF62">
        <v>1800.04</v>
      </c>
      <c r="EG62">
        <v>0.97800900000000002</v>
      </c>
      <c r="EH62">
        <v>2.1990800000000001E-2</v>
      </c>
      <c r="EI62">
        <v>0</v>
      </c>
      <c r="EJ62">
        <v>643.476</v>
      </c>
      <c r="EK62">
        <v>4.9996700000000001</v>
      </c>
      <c r="EL62">
        <v>12307.6</v>
      </c>
      <c r="EM62">
        <v>15047.1</v>
      </c>
      <c r="EN62">
        <v>48.811999999999998</v>
      </c>
      <c r="EO62">
        <v>50.186999999999998</v>
      </c>
      <c r="EP62">
        <v>49.625</v>
      </c>
      <c r="EQ62">
        <v>49.875</v>
      </c>
      <c r="ER62">
        <v>50.25</v>
      </c>
      <c r="ES62">
        <v>1755.57</v>
      </c>
      <c r="ET62">
        <v>39.47</v>
      </c>
      <c r="EU62">
        <v>0</v>
      </c>
      <c r="EV62">
        <v>321.20000004768372</v>
      </c>
      <c r="EW62">
        <v>0</v>
      </c>
      <c r="EX62">
        <v>643.63832000000002</v>
      </c>
      <c r="EY62">
        <v>-0.27638460492518713</v>
      </c>
      <c r="EZ62">
        <v>10.538461562914391</v>
      </c>
      <c r="FA62">
        <v>12306.096</v>
      </c>
      <c r="FB62">
        <v>15</v>
      </c>
      <c r="FC62">
        <v>1700246652.5999999</v>
      </c>
      <c r="FD62" t="s">
        <v>617</v>
      </c>
      <c r="FE62">
        <v>1700246652.5999999</v>
      </c>
      <c r="FF62">
        <v>1700246650.0999999</v>
      </c>
      <c r="FG62">
        <v>54</v>
      </c>
      <c r="FH62">
        <v>0.219</v>
      </c>
      <c r="FI62">
        <v>-4.0000000000000001E-3</v>
      </c>
      <c r="FJ62">
        <v>-3.1E-2</v>
      </c>
      <c r="FK62">
        <v>0.34</v>
      </c>
      <c r="FL62">
        <v>1000</v>
      </c>
      <c r="FM62">
        <v>24</v>
      </c>
      <c r="FN62">
        <v>0.06</v>
      </c>
      <c r="FO62">
        <v>0.05</v>
      </c>
      <c r="FP62">
        <v>45.365447609067793</v>
      </c>
      <c r="FQ62">
        <v>-0.51830333107828119</v>
      </c>
      <c r="FR62">
        <v>6.2447956521874383E-2</v>
      </c>
      <c r="FS62">
        <v>1</v>
      </c>
      <c r="FT62">
        <v>0.1324368916280376</v>
      </c>
      <c r="FU62">
        <v>-2.3246072115439631E-3</v>
      </c>
      <c r="FV62">
        <v>2.1917042187012621E-4</v>
      </c>
      <c r="FW62">
        <v>1</v>
      </c>
      <c r="FX62">
        <v>2</v>
      </c>
      <c r="FY62">
        <v>2</v>
      </c>
      <c r="FZ62" t="s">
        <v>420</v>
      </c>
      <c r="GA62">
        <v>3.01241</v>
      </c>
      <c r="GB62">
        <v>2.7770999999999999</v>
      </c>
      <c r="GC62">
        <v>0.161551</v>
      </c>
      <c r="GD62">
        <v>0.167494</v>
      </c>
      <c r="GE62">
        <v>0.121973</v>
      </c>
      <c r="GF62">
        <v>0.11629299999999999</v>
      </c>
      <c r="GG62">
        <v>20123.900000000001</v>
      </c>
      <c r="GH62">
        <v>20632.7</v>
      </c>
      <c r="GI62">
        <v>23771.9</v>
      </c>
      <c r="GJ62">
        <v>24445.599999999999</v>
      </c>
      <c r="GK62">
        <v>30871.9</v>
      </c>
      <c r="GL62">
        <v>30979.1</v>
      </c>
      <c r="GM62">
        <v>38934.1</v>
      </c>
      <c r="GN62">
        <v>38933.300000000003</v>
      </c>
      <c r="GO62">
        <v>1.84737</v>
      </c>
      <c r="GP62">
        <v>1.8095699999999999</v>
      </c>
      <c r="GQ62">
        <v>9.4786300000000004E-2</v>
      </c>
      <c r="GR62">
        <v>0</v>
      </c>
      <c r="GS62">
        <v>28.457999999999998</v>
      </c>
      <c r="GT62">
        <v>999.9</v>
      </c>
      <c r="GU62">
        <v>40.799999999999997</v>
      </c>
      <c r="GV62">
        <v>39</v>
      </c>
      <c r="GW62">
        <v>28.996400000000001</v>
      </c>
      <c r="GX62">
        <v>60.883600000000001</v>
      </c>
      <c r="GY62">
        <v>30.757200000000001</v>
      </c>
      <c r="GZ62">
        <v>1</v>
      </c>
      <c r="HA62">
        <v>0.62826199999999999</v>
      </c>
      <c r="HB62">
        <v>3.0452499999999998</v>
      </c>
      <c r="HC62">
        <v>20.303799999999999</v>
      </c>
      <c r="HD62">
        <v>5.24559</v>
      </c>
      <c r="HE62">
        <v>11.9984</v>
      </c>
      <c r="HF62">
        <v>4.9640000000000004</v>
      </c>
      <c r="HG62">
        <v>3.3010000000000002</v>
      </c>
      <c r="HH62">
        <v>9999</v>
      </c>
      <c r="HI62">
        <v>9999</v>
      </c>
      <c r="HJ62">
        <v>9999</v>
      </c>
      <c r="HK62">
        <v>999.9</v>
      </c>
      <c r="HL62">
        <v>1.8750199999999999</v>
      </c>
      <c r="HM62">
        <v>1.88035</v>
      </c>
      <c r="HN62">
        <v>1.88049</v>
      </c>
      <c r="HO62">
        <v>1.8791500000000001</v>
      </c>
      <c r="HP62">
        <v>1.8815599999999999</v>
      </c>
      <c r="HQ62">
        <v>1.87744</v>
      </c>
      <c r="HR62">
        <v>1.87514</v>
      </c>
      <c r="HS62">
        <v>1.8824700000000001</v>
      </c>
      <c r="HT62">
        <v>5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423</v>
      </c>
      <c r="IB62" t="s">
        <v>423</v>
      </c>
      <c r="IC62" t="s">
        <v>423</v>
      </c>
      <c r="ID62">
        <v>0</v>
      </c>
      <c r="IE62">
        <v>100</v>
      </c>
      <c r="IF62">
        <v>100</v>
      </c>
      <c r="IG62">
        <v>1.4E-2</v>
      </c>
      <c r="IH62">
        <v>0.3402</v>
      </c>
      <c r="II62">
        <v>0.2828314604758676</v>
      </c>
      <c r="IJ62">
        <v>7.0786345690369205E-4</v>
      </c>
      <c r="IK62">
        <v>-1.387476646623666E-6</v>
      </c>
      <c r="IL62">
        <v>3.6592443641472651E-10</v>
      </c>
      <c r="IM62">
        <v>0.34015499999999932</v>
      </c>
      <c r="IN62">
        <v>0</v>
      </c>
      <c r="IO62">
        <v>0</v>
      </c>
      <c r="IP62">
        <v>0</v>
      </c>
      <c r="IQ62">
        <v>2</v>
      </c>
      <c r="IR62">
        <v>2142</v>
      </c>
      <c r="IS62">
        <v>1</v>
      </c>
      <c r="IT62">
        <v>24</v>
      </c>
      <c r="IU62">
        <v>2.7</v>
      </c>
      <c r="IV62">
        <v>2.7</v>
      </c>
      <c r="IW62">
        <v>2.16797</v>
      </c>
      <c r="IX62">
        <v>2.6428199999999999</v>
      </c>
      <c r="IY62">
        <v>1.5490699999999999</v>
      </c>
      <c r="IZ62">
        <v>2.3645</v>
      </c>
      <c r="JA62">
        <v>1.5966800000000001</v>
      </c>
      <c r="JB62">
        <v>2.2387700000000001</v>
      </c>
      <c r="JC62">
        <v>41.717399999999998</v>
      </c>
      <c r="JD62">
        <v>24.227599999999999</v>
      </c>
      <c r="JE62">
        <v>18</v>
      </c>
      <c r="JF62">
        <v>424.74599999999998</v>
      </c>
      <c r="JG62">
        <v>460.16</v>
      </c>
      <c r="JH62">
        <v>25.750599999999999</v>
      </c>
      <c r="JI62">
        <v>34.871099999999998</v>
      </c>
      <c r="JJ62">
        <v>30.0001</v>
      </c>
      <c r="JK62">
        <v>34.840699999999998</v>
      </c>
      <c r="JL62">
        <v>34.825400000000002</v>
      </c>
      <c r="JM62">
        <v>43.347200000000001</v>
      </c>
      <c r="JN62">
        <v>19.858599999999999</v>
      </c>
      <c r="JO62">
        <v>45.877600000000001</v>
      </c>
      <c r="JP62">
        <v>25.758800000000001</v>
      </c>
      <c r="JQ62">
        <v>1000</v>
      </c>
      <c r="JR62">
        <v>24.433499999999999</v>
      </c>
      <c r="JS62">
        <v>98.600899999999996</v>
      </c>
      <c r="JT62">
        <v>99.446799999999996</v>
      </c>
    </row>
    <row r="63" spans="1:280" x14ac:dyDescent="0.25">
      <c r="A63">
        <v>47</v>
      </c>
      <c r="B63">
        <v>1700247044.5</v>
      </c>
      <c r="C63">
        <v>9910</v>
      </c>
      <c r="D63" t="s">
        <v>618</v>
      </c>
      <c r="E63" t="s">
        <v>619</v>
      </c>
      <c r="F63" t="s">
        <v>412</v>
      </c>
      <c r="G63" t="s">
        <v>413</v>
      </c>
      <c r="H63" t="s">
        <v>601</v>
      </c>
      <c r="I63">
        <v>1700247044.5</v>
      </c>
      <c r="J63">
        <f t="shared" si="46"/>
        <v>2.5901618774575269E-3</v>
      </c>
      <c r="K63">
        <f t="shared" si="47"/>
        <v>2.5901618774575268</v>
      </c>
      <c r="L63">
        <f t="shared" si="48"/>
        <v>44.698496313777717</v>
      </c>
      <c r="M63">
        <f t="shared" si="49"/>
        <v>703.41</v>
      </c>
      <c r="N63">
        <f t="shared" si="50"/>
        <v>222.87218402736741</v>
      </c>
      <c r="O63">
        <f t="shared" si="51"/>
        <v>22.059705462657465</v>
      </c>
      <c r="P63">
        <f t="shared" si="52"/>
        <v>69.62294324527501</v>
      </c>
      <c r="Q63">
        <f t="shared" si="53"/>
        <v>0.15645773023752022</v>
      </c>
      <c r="R63">
        <f t="shared" si="54"/>
        <v>3.1229296527402175</v>
      </c>
      <c r="S63">
        <f t="shared" si="55"/>
        <v>0.15222992131592744</v>
      </c>
      <c r="T63">
        <f t="shared" si="56"/>
        <v>9.5514036957311144E-2</v>
      </c>
      <c r="U63">
        <f t="shared" si="57"/>
        <v>289.56922541939633</v>
      </c>
      <c r="V63">
        <f t="shared" si="58"/>
        <v>30.321649446188836</v>
      </c>
      <c r="W63">
        <f t="shared" si="59"/>
        <v>30.046600000000002</v>
      </c>
      <c r="X63">
        <f t="shared" si="60"/>
        <v>4.2718668822768082</v>
      </c>
      <c r="Y63">
        <f t="shared" si="61"/>
        <v>64.49318400162143</v>
      </c>
      <c r="Z63">
        <f t="shared" si="62"/>
        <v>2.6466141250902502</v>
      </c>
      <c r="AA63">
        <f t="shared" si="63"/>
        <v>4.1037113705282584</v>
      </c>
      <c r="AB63">
        <f t="shared" si="64"/>
        <v>1.625252757186558</v>
      </c>
      <c r="AC63">
        <f t="shared" si="65"/>
        <v>-114.22613879587693</v>
      </c>
      <c r="AD63">
        <f t="shared" si="66"/>
        <v>-117.45029628671918</v>
      </c>
      <c r="AE63">
        <f t="shared" si="67"/>
        <v>-8.3374164210891184</v>
      </c>
      <c r="AF63">
        <f t="shared" si="68"/>
        <v>49.555373915711101</v>
      </c>
      <c r="AG63">
        <v>76</v>
      </c>
      <c r="AH63">
        <v>15</v>
      </c>
      <c r="AI63">
        <f t="shared" si="69"/>
        <v>1</v>
      </c>
      <c r="AJ63">
        <f t="shared" si="70"/>
        <v>0</v>
      </c>
      <c r="AK63">
        <f t="shared" si="71"/>
        <v>51890.808350863685</v>
      </c>
      <c r="AL63" t="s">
        <v>415</v>
      </c>
      <c r="AM63">
        <v>10238.9</v>
      </c>
      <c r="AN63">
        <v>302.21199999999999</v>
      </c>
      <c r="AO63">
        <v>4052.3</v>
      </c>
      <c r="AP63">
        <f t="shared" si="72"/>
        <v>0.92542210596451402</v>
      </c>
      <c r="AQ63">
        <v>-0.32343011824092421</v>
      </c>
      <c r="AR63" t="s">
        <v>620</v>
      </c>
      <c r="AS63">
        <v>7112.92</v>
      </c>
      <c r="AT63">
        <v>643.46165384615392</v>
      </c>
      <c r="AU63">
        <v>900.22148680650741</v>
      </c>
      <c r="AV63">
        <f t="shared" si="73"/>
        <v>0.28521851202552018</v>
      </c>
      <c r="AW63">
        <v>0.5</v>
      </c>
      <c r="AX63">
        <f t="shared" si="74"/>
        <v>1513.1937002173036</v>
      </c>
      <c r="AY63">
        <f t="shared" si="75"/>
        <v>44.698496313777717</v>
      </c>
      <c r="AZ63">
        <f t="shared" si="76"/>
        <v>215.79542779118518</v>
      </c>
      <c r="BA63">
        <f t="shared" si="77"/>
        <v>2.9752916910474332E-2</v>
      </c>
      <c r="BB63">
        <f t="shared" si="78"/>
        <v>3.5014477652331317</v>
      </c>
      <c r="BC63">
        <f t="shared" si="79"/>
        <v>239.63576801849467</v>
      </c>
      <c r="BD63" t="s">
        <v>621</v>
      </c>
      <c r="BE63">
        <v>467.48</v>
      </c>
      <c r="BF63">
        <f t="shared" si="80"/>
        <v>467.48</v>
      </c>
      <c r="BG63">
        <f t="shared" si="81"/>
        <v>0.48070557429331873</v>
      </c>
      <c r="BH63">
        <f t="shared" si="82"/>
        <v>0.59333306555643239</v>
      </c>
      <c r="BI63">
        <f t="shared" si="83"/>
        <v>0.87928501659594971</v>
      </c>
      <c r="BJ63">
        <f t="shared" si="84"/>
        <v>0.42935745774118628</v>
      </c>
      <c r="BK63">
        <f t="shared" si="85"/>
        <v>0.840534545640927</v>
      </c>
      <c r="BL63">
        <f t="shared" si="86"/>
        <v>0.43106118263364002</v>
      </c>
      <c r="BM63">
        <f t="shared" si="87"/>
        <v>0.56893881736635998</v>
      </c>
      <c r="BN63">
        <v>34579</v>
      </c>
      <c r="BO63">
        <v>290.00000000000011</v>
      </c>
      <c r="BP63">
        <v>826.19</v>
      </c>
      <c r="BQ63">
        <v>295</v>
      </c>
      <c r="BR63">
        <v>7112.92</v>
      </c>
      <c r="BS63">
        <v>827.66</v>
      </c>
      <c r="BT63">
        <v>-1.47</v>
      </c>
      <c r="BU63">
        <v>300.00000000000011</v>
      </c>
      <c r="BV63">
        <v>38.200000000000003</v>
      </c>
      <c r="BW63">
        <v>900.22148680650741</v>
      </c>
      <c r="BX63">
        <v>1.311449913113738</v>
      </c>
      <c r="BY63">
        <v>-51.610737836829941</v>
      </c>
      <c r="BZ63">
        <v>0.78202984378197904</v>
      </c>
      <c r="CA63">
        <v>0.99361234388301978</v>
      </c>
      <c r="CB63">
        <v>-7.0121208008898806E-3</v>
      </c>
      <c r="CC63">
        <v>289.99999999999989</v>
      </c>
      <c r="CD63">
        <v>837.11</v>
      </c>
      <c r="CE63">
        <v>895</v>
      </c>
      <c r="CF63">
        <v>7106.29</v>
      </c>
      <c r="CG63">
        <v>827.59</v>
      </c>
      <c r="CH63">
        <v>9.52</v>
      </c>
      <c r="CV63">
        <f t="shared" si="88"/>
        <v>1800.01</v>
      </c>
      <c r="CW63">
        <f t="shared" si="89"/>
        <v>1513.1937002173036</v>
      </c>
      <c r="CX63">
        <f t="shared" si="90"/>
        <v>0.84065849646241053</v>
      </c>
      <c r="CY63">
        <f t="shared" si="91"/>
        <v>0.16087089817245256</v>
      </c>
      <c r="CZ63">
        <v>5</v>
      </c>
      <c r="DA63">
        <v>0.5</v>
      </c>
      <c r="DB63" t="s">
        <v>418</v>
      </c>
      <c r="DC63">
        <v>2</v>
      </c>
      <c r="DD63">
        <v>1700247044.5</v>
      </c>
      <c r="DE63">
        <v>703.41</v>
      </c>
      <c r="DF63">
        <v>749.923</v>
      </c>
      <c r="DG63">
        <v>26.739100000000001</v>
      </c>
      <c r="DH63">
        <v>24.218599999999999</v>
      </c>
      <c r="DI63">
        <v>703.58600000000001</v>
      </c>
      <c r="DJ63">
        <v>26.401700000000002</v>
      </c>
      <c r="DK63">
        <v>500.08</v>
      </c>
      <c r="DL63">
        <v>98.879300000000001</v>
      </c>
      <c r="DM63">
        <v>9.9877499999999994E-2</v>
      </c>
      <c r="DN63">
        <v>29.349</v>
      </c>
      <c r="DO63">
        <v>30.046600000000002</v>
      </c>
      <c r="DP63">
        <v>999.9</v>
      </c>
      <c r="DQ63">
        <v>0</v>
      </c>
      <c r="DR63">
        <v>0</v>
      </c>
      <c r="DS63">
        <v>10002.5</v>
      </c>
      <c r="DT63">
        <v>0</v>
      </c>
      <c r="DU63">
        <v>336.21800000000002</v>
      </c>
      <c r="DV63">
        <v>-46.512300000000003</v>
      </c>
      <c r="DW63">
        <v>722.73599999999999</v>
      </c>
      <c r="DX63">
        <v>768.53499999999997</v>
      </c>
      <c r="DY63">
        <v>2.52047</v>
      </c>
      <c r="DZ63">
        <v>749.923</v>
      </c>
      <c r="EA63">
        <v>24.218599999999999</v>
      </c>
      <c r="EB63">
        <v>2.6439400000000002</v>
      </c>
      <c r="EC63">
        <v>2.39472</v>
      </c>
      <c r="ED63">
        <v>21.940799999999999</v>
      </c>
      <c r="EE63">
        <v>20.328099999999999</v>
      </c>
      <c r="EF63">
        <v>1800.01</v>
      </c>
      <c r="EG63">
        <v>0.977989</v>
      </c>
      <c r="EH63">
        <v>2.20114E-2</v>
      </c>
      <c r="EI63">
        <v>0</v>
      </c>
      <c r="EJ63">
        <v>643.48500000000001</v>
      </c>
      <c r="EK63">
        <v>4.9996700000000001</v>
      </c>
      <c r="EL63">
        <v>12283.9</v>
      </c>
      <c r="EM63">
        <v>15046.9</v>
      </c>
      <c r="EN63">
        <v>48.811999999999998</v>
      </c>
      <c r="EO63">
        <v>50.186999999999998</v>
      </c>
      <c r="EP63">
        <v>49.625</v>
      </c>
      <c r="EQ63">
        <v>49.811999999999998</v>
      </c>
      <c r="ER63">
        <v>50.25</v>
      </c>
      <c r="ES63">
        <v>1755.5</v>
      </c>
      <c r="ET63">
        <v>39.51</v>
      </c>
      <c r="EU63">
        <v>0</v>
      </c>
      <c r="EV63">
        <v>227.4000000953674</v>
      </c>
      <c r="EW63">
        <v>0</v>
      </c>
      <c r="EX63">
        <v>643.46165384615392</v>
      </c>
      <c r="EY63">
        <v>-0.63586326086773992</v>
      </c>
      <c r="EZ63">
        <v>-20.854700841510631</v>
      </c>
      <c r="FA63">
        <v>12285.538461538459</v>
      </c>
      <c r="FB63">
        <v>15</v>
      </c>
      <c r="FC63">
        <v>1700246886</v>
      </c>
      <c r="FD63" t="s">
        <v>622</v>
      </c>
      <c r="FE63">
        <v>1700246882.5</v>
      </c>
      <c r="FF63">
        <v>1700246886</v>
      </c>
      <c r="FG63">
        <v>55</v>
      </c>
      <c r="FH63">
        <v>-0.39800000000000002</v>
      </c>
      <c r="FI63">
        <v>-3.0000000000000001E-3</v>
      </c>
      <c r="FJ63">
        <v>-0.21</v>
      </c>
      <c r="FK63">
        <v>0.33700000000000002</v>
      </c>
      <c r="FL63">
        <v>750</v>
      </c>
      <c r="FM63">
        <v>24</v>
      </c>
      <c r="FN63">
        <v>0.06</v>
      </c>
      <c r="FO63">
        <v>0.06</v>
      </c>
      <c r="FP63">
        <v>44.656829186879072</v>
      </c>
      <c r="FQ63">
        <v>0.63347621819337441</v>
      </c>
      <c r="FR63">
        <v>6.2128053108393769E-2</v>
      </c>
      <c r="FS63">
        <v>1</v>
      </c>
      <c r="FT63">
        <v>0.1607971203420907</v>
      </c>
      <c r="FU63">
        <v>-9.3657883644761766E-3</v>
      </c>
      <c r="FV63">
        <v>1.4435280903784199E-3</v>
      </c>
      <c r="FW63">
        <v>1</v>
      </c>
      <c r="FX63">
        <v>2</v>
      </c>
      <c r="FY63">
        <v>2</v>
      </c>
      <c r="FZ63" t="s">
        <v>420</v>
      </c>
      <c r="GA63">
        <v>3.0122100000000001</v>
      </c>
      <c r="GB63">
        <v>2.77698</v>
      </c>
      <c r="GC63">
        <v>0.132135</v>
      </c>
      <c r="GD63">
        <v>0.138706</v>
      </c>
      <c r="GE63">
        <v>0.12257700000000001</v>
      </c>
      <c r="GF63">
        <v>0.115649</v>
      </c>
      <c r="GG63">
        <v>20828.5</v>
      </c>
      <c r="GH63">
        <v>21344.9</v>
      </c>
      <c r="GI63">
        <v>23769.4</v>
      </c>
      <c r="GJ63">
        <v>24443.1</v>
      </c>
      <c r="GK63">
        <v>30847.7</v>
      </c>
      <c r="GL63">
        <v>30998.9</v>
      </c>
      <c r="GM63">
        <v>38930.1</v>
      </c>
      <c r="GN63">
        <v>38929.5</v>
      </c>
      <c r="GO63">
        <v>1.84623</v>
      </c>
      <c r="GP63">
        <v>1.8091699999999999</v>
      </c>
      <c r="GQ63">
        <v>9.7066200000000005E-2</v>
      </c>
      <c r="GR63">
        <v>0</v>
      </c>
      <c r="GS63">
        <v>28.4651</v>
      </c>
      <c r="GT63">
        <v>999.9</v>
      </c>
      <c r="GU63">
        <v>41.2</v>
      </c>
      <c r="GV63">
        <v>38.9</v>
      </c>
      <c r="GW63">
        <v>29.1206</v>
      </c>
      <c r="GX63">
        <v>60.933700000000002</v>
      </c>
      <c r="GY63">
        <v>30.3325</v>
      </c>
      <c r="GZ63">
        <v>1</v>
      </c>
      <c r="HA63">
        <v>0.63492400000000004</v>
      </c>
      <c r="HB63">
        <v>3.4854400000000001</v>
      </c>
      <c r="HC63">
        <v>20.292200000000001</v>
      </c>
      <c r="HD63">
        <v>5.2438000000000002</v>
      </c>
      <c r="HE63">
        <v>12.002800000000001</v>
      </c>
      <c r="HF63">
        <v>4.9637000000000002</v>
      </c>
      <c r="HG63">
        <v>3.30098</v>
      </c>
      <c r="HH63">
        <v>9999</v>
      </c>
      <c r="HI63">
        <v>9999</v>
      </c>
      <c r="HJ63">
        <v>9999</v>
      </c>
      <c r="HK63">
        <v>999.9</v>
      </c>
      <c r="HL63">
        <v>1.87503</v>
      </c>
      <c r="HM63">
        <v>1.8803399999999999</v>
      </c>
      <c r="HN63">
        <v>1.88049</v>
      </c>
      <c r="HO63">
        <v>1.87914</v>
      </c>
      <c r="HP63">
        <v>1.8815599999999999</v>
      </c>
      <c r="HQ63">
        <v>1.87744</v>
      </c>
      <c r="HR63">
        <v>1.8751199999999999</v>
      </c>
      <c r="HS63">
        <v>1.8824700000000001</v>
      </c>
      <c r="HT63">
        <v>5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423</v>
      </c>
      <c r="IB63" t="s">
        <v>423</v>
      </c>
      <c r="IC63" t="s">
        <v>423</v>
      </c>
      <c r="ID63">
        <v>0</v>
      </c>
      <c r="IE63">
        <v>100</v>
      </c>
      <c r="IF63">
        <v>100</v>
      </c>
      <c r="IG63">
        <v>-0.17599999999999999</v>
      </c>
      <c r="IH63">
        <v>0.33739999999999998</v>
      </c>
      <c r="II63">
        <v>-0.1147978943872003</v>
      </c>
      <c r="IJ63">
        <v>7.0786345690369205E-4</v>
      </c>
      <c r="IK63">
        <v>-1.387476646623666E-6</v>
      </c>
      <c r="IL63">
        <v>3.6592443641472651E-10</v>
      </c>
      <c r="IM63">
        <v>0.33739999999999881</v>
      </c>
      <c r="IN63">
        <v>0</v>
      </c>
      <c r="IO63">
        <v>0</v>
      </c>
      <c r="IP63">
        <v>0</v>
      </c>
      <c r="IQ63">
        <v>2</v>
      </c>
      <c r="IR63">
        <v>2142</v>
      </c>
      <c r="IS63">
        <v>1</v>
      </c>
      <c r="IT63">
        <v>24</v>
      </c>
      <c r="IU63">
        <v>2.7</v>
      </c>
      <c r="IV63">
        <v>2.6</v>
      </c>
      <c r="IW63">
        <v>1.71265</v>
      </c>
      <c r="IX63">
        <v>2.6428199999999999</v>
      </c>
      <c r="IY63">
        <v>1.5490699999999999</v>
      </c>
      <c r="IZ63">
        <v>2.3645</v>
      </c>
      <c r="JA63">
        <v>1.5966800000000001</v>
      </c>
      <c r="JB63">
        <v>2.35229</v>
      </c>
      <c r="JC63">
        <v>41.6389</v>
      </c>
      <c r="JD63">
        <v>24.2364</v>
      </c>
      <c r="JE63">
        <v>18</v>
      </c>
      <c r="JF63">
        <v>424.36200000000002</v>
      </c>
      <c r="JG63">
        <v>460.22500000000002</v>
      </c>
      <c r="JH63">
        <v>26.083500000000001</v>
      </c>
      <c r="JI63">
        <v>34.891199999999998</v>
      </c>
      <c r="JJ63">
        <v>30.0001</v>
      </c>
      <c r="JK63">
        <v>34.882800000000003</v>
      </c>
      <c r="JL63">
        <v>34.869900000000001</v>
      </c>
      <c r="JM63">
        <v>34.252299999999998</v>
      </c>
      <c r="JN63">
        <v>21.008199999999999</v>
      </c>
      <c r="JO63">
        <v>46.929099999999998</v>
      </c>
      <c r="JP63">
        <v>26.103300000000001</v>
      </c>
      <c r="JQ63">
        <v>750</v>
      </c>
      <c r="JR63">
        <v>24.329000000000001</v>
      </c>
      <c r="JS63">
        <v>98.590500000000006</v>
      </c>
      <c r="JT63">
        <v>99.436999999999998</v>
      </c>
    </row>
    <row r="64" spans="1:280" x14ac:dyDescent="0.25">
      <c r="A64">
        <v>48</v>
      </c>
      <c r="B64">
        <v>1700247223.5</v>
      </c>
      <c r="C64">
        <v>10089</v>
      </c>
      <c r="D64" t="s">
        <v>623</v>
      </c>
      <c r="E64" t="s">
        <v>624</v>
      </c>
      <c r="F64" t="s">
        <v>412</v>
      </c>
      <c r="G64" t="s">
        <v>413</v>
      </c>
      <c r="H64" t="s">
        <v>601</v>
      </c>
      <c r="I64">
        <v>1700247223.5</v>
      </c>
      <c r="J64">
        <f t="shared" si="46"/>
        <v>3.304322644315003E-3</v>
      </c>
      <c r="K64">
        <f t="shared" si="47"/>
        <v>3.3043226443150031</v>
      </c>
      <c r="L64">
        <f t="shared" si="48"/>
        <v>44.11915766130614</v>
      </c>
      <c r="M64">
        <f t="shared" si="49"/>
        <v>554.024</v>
      </c>
      <c r="N64">
        <f t="shared" si="50"/>
        <v>193.06624537091983</v>
      </c>
      <c r="O64">
        <f t="shared" si="51"/>
        <v>19.109771490384357</v>
      </c>
      <c r="P64">
        <f t="shared" si="52"/>
        <v>54.837509373264012</v>
      </c>
      <c r="Q64">
        <f t="shared" si="53"/>
        <v>0.20737119640280213</v>
      </c>
      <c r="R64">
        <f t="shared" si="54"/>
        <v>3.1226867208209956</v>
      </c>
      <c r="S64">
        <f t="shared" si="55"/>
        <v>0.20001320402846431</v>
      </c>
      <c r="T64">
        <f t="shared" si="56"/>
        <v>0.12564758808263954</v>
      </c>
      <c r="U64">
        <f t="shared" si="57"/>
        <v>289.57329341896246</v>
      </c>
      <c r="V64">
        <f t="shared" si="58"/>
        <v>30.176510784858436</v>
      </c>
      <c r="W64">
        <f t="shared" si="59"/>
        <v>29.933700000000002</v>
      </c>
      <c r="X64">
        <f t="shared" si="60"/>
        <v>4.2442519511189998</v>
      </c>
      <c r="Y64">
        <f t="shared" si="61"/>
        <v>64.858136399873899</v>
      </c>
      <c r="Z64">
        <f t="shared" si="62"/>
        <v>2.6661257792574</v>
      </c>
      <c r="AA64">
        <f t="shared" si="63"/>
        <v>4.1107036483746144</v>
      </c>
      <c r="AB64">
        <f t="shared" si="64"/>
        <v>1.5781261718615998</v>
      </c>
      <c r="AC64">
        <f t="shared" si="65"/>
        <v>-145.72062861429163</v>
      </c>
      <c r="AD64">
        <f t="shared" si="66"/>
        <v>-93.468079060859395</v>
      </c>
      <c r="AE64">
        <f t="shared" si="67"/>
        <v>-6.6327674133809902</v>
      </c>
      <c r="AF64">
        <f t="shared" si="68"/>
        <v>43.751818330430467</v>
      </c>
      <c r="AG64">
        <v>75</v>
      </c>
      <c r="AH64">
        <v>15</v>
      </c>
      <c r="AI64">
        <f t="shared" si="69"/>
        <v>1</v>
      </c>
      <c r="AJ64">
        <f t="shared" si="70"/>
        <v>0</v>
      </c>
      <c r="AK64">
        <f t="shared" si="71"/>
        <v>51879.593140882032</v>
      </c>
      <c r="AL64" t="s">
        <v>446</v>
      </c>
      <c r="AM64" t="s">
        <v>446</v>
      </c>
      <c r="AN64">
        <v>0</v>
      </c>
      <c r="AO64">
        <v>0</v>
      </c>
      <c r="AP64" t="e">
        <f t="shared" si="72"/>
        <v>#DIV/0!</v>
      </c>
      <c r="AQ64">
        <v>0</v>
      </c>
      <c r="AR64" t="s">
        <v>446</v>
      </c>
      <c r="AS64" t="s">
        <v>446</v>
      </c>
      <c r="AT64">
        <v>0</v>
      </c>
      <c r="AU64">
        <v>0</v>
      </c>
      <c r="AV64" t="e">
        <f t="shared" si="73"/>
        <v>#DIV/0!</v>
      </c>
      <c r="AW64">
        <v>0.5</v>
      </c>
      <c r="AX64">
        <f t="shared" si="74"/>
        <v>1513.226100217079</v>
      </c>
      <c r="AY64">
        <f t="shared" si="75"/>
        <v>44.11915766130614</v>
      </c>
      <c r="AZ64" t="e">
        <f t="shared" si="76"/>
        <v>#DIV/0!</v>
      </c>
      <c r="BA64">
        <f t="shared" si="77"/>
        <v>2.9155694350617566E-2</v>
      </c>
      <c r="BB64" t="e">
        <f t="shared" si="78"/>
        <v>#DIV/0!</v>
      </c>
      <c r="BC64" t="e">
        <f t="shared" si="79"/>
        <v>#DIV/0!</v>
      </c>
      <c r="BD64" t="s">
        <v>446</v>
      </c>
      <c r="BE64">
        <v>0</v>
      </c>
      <c r="BF64" t="e">
        <f t="shared" si="80"/>
        <v>#DIV/0!</v>
      </c>
      <c r="BG64" t="e">
        <f t="shared" si="81"/>
        <v>#DIV/0!</v>
      </c>
      <c r="BH64" t="e">
        <f t="shared" si="82"/>
        <v>#DIV/0!</v>
      </c>
      <c r="BI64" t="e">
        <f t="shared" si="83"/>
        <v>#DIV/0!</v>
      </c>
      <c r="BJ64" t="e">
        <f t="shared" si="84"/>
        <v>#DIV/0!</v>
      </c>
      <c r="BK64" t="e">
        <f t="shared" si="85"/>
        <v>#DIV/0!</v>
      </c>
      <c r="BL64" t="e">
        <f t="shared" si="86"/>
        <v>#DIV/0!</v>
      </c>
      <c r="BM64" t="e">
        <f t="shared" si="87"/>
        <v>#DIV/0!</v>
      </c>
      <c r="BN64">
        <v>34579</v>
      </c>
      <c r="BO64">
        <v>290.00000000000011</v>
      </c>
      <c r="BP64">
        <v>826.19</v>
      </c>
      <c r="BQ64">
        <v>295</v>
      </c>
      <c r="BR64">
        <v>7112.92</v>
      </c>
      <c r="BS64">
        <v>827.66</v>
      </c>
      <c r="BT64">
        <v>-1.47</v>
      </c>
      <c r="BU64">
        <v>300.00000000000011</v>
      </c>
      <c r="BV64">
        <v>38.200000000000003</v>
      </c>
      <c r="BW64">
        <v>900.22148680650741</v>
      </c>
      <c r="BX64">
        <v>1.311449913113738</v>
      </c>
      <c r="BY64">
        <v>-51.610737836829941</v>
      </c>
      <c r="BZ64">
        <v>0.78202984378197904</v>
      </c>
      <c r="CA64">
        <v>0.99361234388301978</v>
      </c>
      <c r="CB64">
        <v>-7.0121208008898806E-3</v>
      </c>
      <c r="CC64">
        <v>289.99999999999989</v>
      </c>
      <c r="CD64">
        <v>837.11</v>
      </c>
      <c r="CE64">
        <v>895</v>
      </c>
      <c r="CF64">
        <v>7106.29</v>
      </c>
      <c r="CG64">
        <v>827.59</v>
      </c>
      <c r="CH64">
        <v>9.52</v>
      </c>
      <c r="CV64">
        <f t="shared" si="88"/>
        <v>1800.05</v>
      </c>
      <c r="CW64">
        <f t="shared" si="89"/>
        <v>1513.226100217079</v>
      </c>
      <c r="CX64">
        <f t="shared" si="90"/>
        <v>0.84065781518128879</v>
      </c>
      <c r="CY64">
        <f t="shared" si="91"/>
        <v>0.16086958329988749</v>
      </c>
      <c r="CZ64">
        <v>5</v>
      </c>
      <c r="DA64">
        <v>0.5</v>
      </c>
      <c r="DB64" t="s">
        <v>418</v>
      </c>
      <c r="DC64">
        <v>2</v>
      </c>
      <c r="DD64">
        <v>1700247223.5</v>
      </c>
      <c r="DE64">
        <v>554.024</v>
      </c>
      <c r="DF64">
        <v>599.95500000000004</v>
      </c>
      <c r="DG64">
        <v>26.9359</v>
      </c>
      <c r="DH64">
        <v>23.721900000000002</v>
      </c>
      <c r="DI64">
        <v>554.14099999999996</v>
      </c>
      <c r="DJ64">
        <v>26.598600000000001</v>
      </c>
      <c r="DK64">
        <v>500.20499999999998</v>
      </c>
      <c r="DL64">
        <v>98.879900000000006</v>
      </c>
      <c r="DM64">
        <v>0.10048600000000001</v>
      </c>
      <c r="DN64">
        <v>29.378499999999999</v>
      </c>
      <c r="DO64">
        <v>29.933700000000002</v>
      </c>
      <c r="DP64">
        <v>999.9</v>
      </c>
      <c r="DQ64">
        <v>0</v>
      </c>
      <c r="DR64">
        <v>0</v>
      </c>
      <c r="DS64">
        <v>10001.200000000001</v>
      </c>
      <c r="DT64">
        <v>0</v>
      </c>
      <c r="DU64">
        <v>365.77199999999999</v>
      </c>
      <c r="DV64">
        <v>-45.930900000000001</v>
      </c>
      <c r="DW64">
        <v>569.36099999999999</v>
      </c>
      <c r="DX64">
        <v>614.53300000000002</v>
      </c>
      <c r="DY64">
        <v>3.2140300000000002</v>
      </c>
      <c r="DZ64">
        <v>599.95500000000004</v>
      </c>
      <c r="EA64">
        <v>23.721900000000002</v>
      </c>
      <c r="EB64">
        <v>2.6634199999999999</v>
      </c>
      <c r="EC64">
        <v>2.3456199999999998</v>
      </c>
      <c r="ED64">
        <v>22.0611</v>
      </c>
      <c r="EE64">
        <v>19.993099999999998</v>
      </c>
      <c r="EF64">
        <v>1800.05</v>
      </c>
      <c r="EG64">
        <v>0.97800900000000002</v>
      </c>
      <c r="EH64">
        <v>2.1990800000000001E-2</v>
      </c>
      <c r="EI64">
        <v>0</v>
      </c>
      <c r="EJ64">
        <v>642.63400000000001</v>
      </c>
      <c r="EK64">
        <v>4.9996700000000001</v>
      </c>
      <c r="EL64">
        <v>12445</v>
      </c>
      <c r="EM64">
        <v>15047.3</v>
      </c>
      <c r="EN64">
        <v>48.811999999999998</v>
      </c>
      <c r="EO64">
        <v>50.125</v>
      </c>
      <c r="EP64">
        <v>49.625</v>
      </c>
      <c r="EQ64">
        <v>49.875</v>
      </c>
      <c r="ER64">
        <v>50.25</v>
      </c>
      <c r="ES64">
        <v>1755.58</v>
      </c>
      <c r="ET64">
        <v>39.47</v>
      </c>
      <c r="EU64">
        <v>0</v>
      </c>
      <c r="EV64">
        <v>177.20000004768369</v>
      </c>
      <c r="EW64">
        <v>0</v>
      </c>
      <c r="EX64">
        <v>642.40815384615394</v>
      </c>
      <c r="EY64">
        <v>-1.471931625154798</v>
      </c>
      <c r="EZ64">
        <v>-20.283760747185489</v>
      </c>
      <c r="FA64">
        <v>12449.303846153851</v>
      </c>
      <c r="FB64">
        <v>15</v>
      </c>
      <c r="FC64">
        <v>1700247110</v>
      </c>
      <c r="FD64" t="s">
        <v>625</v>
      </c>
      <c r="FE64">
        <v>1700247107</v>
      </c>
      <c r="FF64">
        <v>1700247110</v>
      </c>
      <c r="FG64">
        <v>56</v>
      </c>
      <c r="FH64">
        <v>-3.1E-2</v>
      </c>
      <c r="FI64">
        <v>0</v>
      </c>
      <c r="FJ64">
        <v>-0.14099999999999999</v>
      </c>
      <c r="FK64">
        <v>0.33700000000000002</v>
      </c>
      <c r="FL64">
        <v>600</v>
      </c>
      <c r="FM64">
        <v>24</v>
      </c>
      <c r="FN64">
        <v>0.03</v>
      </c>
      <c r="FO64">
        <v>0.02</v>
      </c>
      <c r="FP64">
        <v>43.879775231076962</v>
      </c>
      <c r="FQ64">
        <v>0.19743654511363931</v>
      </c>
      <c r="FR64">
        <v>0.18924731836178749</v>
      </c>
      <c r="FS64">
        <v>1</v>
      </c>
      <c r="FT64">
        <v>0.20604196996599919</v>
      </c>
      <c r="FU64">
        <v>3.5611999851431508E-3</v>
      </c>
      <c r="FV64">
        <v>3.1949336203891909E-4</v>
      </c>
      <c r="FW64">
        <v>1</v>
      </c>
      <c r="FX64">
        <v>2</v>
      </c>
      <c r="FY64">
        <v>2</v>
      </c>
      <c r="FZ64" t="s">
        <v>420</v>
      </c>
      <c r="GA64">
        <v>3.01254</v>
      </c>
      <c r="GB64">
        <v>2.7775799999999999</v>
      </c>
      <c r="GC64">
        <v>0.111814</v>
      </c>
      <c r="GD64">
        <v>0.118963</v>
      </c>
      <c r="GE64">
        <v>0.123206</v>
      </c>
      <c r="GF64">
        <v>0.11400299999999999</v>
      </c>
      <c r="GG64">
        <v>21318</v>
      </c>
      <c r="GH64">
        <v>21836.2</v>
      </c>
      <c r="GI64">
        <v>23771.1</v>
      </c>
      <c r="GJ64">
        <v>24445</v>
      </c>
      <c r="GK64">
        <v>30828.2</v>
      </c>
      <c r="GL64">
        <v>31059.1</v>
      </c>
      <c r="GM64">
        <v>38933.199999999997</v>
      </c>
      <c r="GN64">
        <v>38932.400000000001</v>
      </c>
      <c r="GO64">
        <v>1.8480799999999999</v>
      </c>
      <c r="GP64">
        <v>1.80827</v>
      </c>
      <c r="GQ64">
        <v>8.55736E-2</v>
      </c>
      <c r="GR64">
        <v>0</v>
      </c>
      <c r="GS64">
        <v>28.539400000000001</v>
      </c>
      <c r="GT64">
        <v>999.9</v>
      </c>
      <c r="GU64">
        <v>41.4</v>
      </c>
      <c r="GV64">
        <v>38.799999999999997</v>
      </c>
      <c r="GW64">
        <v>29.105399999999999</v>
      </c>
      <c r="GX64">
        <v>61.273699999999998</v>
      </c>
      <c r="GY64">
        <v>30.837299999999999</v>
      </c>
      <c r="GZ64">
        <v>1</v>
      </c>
      <c r="HA64">
        <v>0.62625799999999998</v>
      </c>
      <c r="HB64">
        <v>1.9745900000000001</v>
      </c>
      <c r="HC64">
        <v>20.3203</v>
      </c>
      <c r="HD64">
        <v>5.2445399999999998</v>
      </c>
      <c r="HE64">
        <v>11.997999999999999</v>
      </c>
      <c r="HF64">
        <v>4.9635499999999997</v>
      </c>
      <c r="HG64">
        <v>3.3008500000000001</v>
      </c>
      <c r="HH64">
        <v>9999</v>
      </c>
      <c r="HI64">
        <v>9999</v>
      </c>
      <c r="HJ64">
        <v>9999</v>
      </c>
      <c r="HK64">
        <v>999.9</v>
      </c>
      <c r="HL64">
        <v>1.8750199999999999</v>
      </c>
      <c r="HM64">
        <v>1.8803399999999999</v>
      </c>
      <c r="HN64">
        <v>1.88049</v>
      </c>
      <c r="HO64">
        <v>1.87913</v>
      </c>
      <c r="HP64">
        <v>1.8815599999999999</v>
      </c>
      <c r="HQ64">
        <v>1.87744</v>
      </c>
      <c r="HR64">
        <v>1.8751500000000001</v>
      </c>
      <c r="HS64">
        <v>1.8824700000000001</v>
      </c>
      <c r="HT64">
        <v>5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423</v>
      </c>
      <c r="IB64" t="s">
        <v>423</v>
      </c>
      <c r="IC64" t="s">
        <v>423</v>
      </c>
      <c r="ID64">
        <v>0</v>
      </c>
      <c r="IE64">
        <v>100</v>
      </c>
      <c r="IF64">
        <v>100</v>
      </c>
      <c r="IG64">
        <v>-0.11700000000000001</v>
      </c>
      <c r="IH64">
        <v>0.33729999999999999</v>
      </c>
      <c r="II64">
        <v>-0.14557038720842841</v>
      </c>
      <c r="IJ64">
        <v>7.0786345690369205E-4</v>
      </c>
      <c r="IK64">
        <v>-1.387476646623666E-6</v>
      </c>
      <c r="IL64">
        <v>3.6592443641472651E-10</v>
      </c>
      <c r="IM64">
        <v>0.33734499999999562</v>
      </c>
      <c r="IN64">
        <v>0</v>
      </c>
      <c r="IO64">
        <v>0</v>
      </c>
      <c r="IP64">
        <v>0</v>
      </c>
      <c r="IQ64">
        <v>2</v>
      </c>
      <c r="IR64">
        <v>2142</v>
      </c>
      <c r="IS64">
        <v>1</v>
      </c>
      <c r="IT64">
        <v>24</v>
      </c>
      <c r="IU64">
        <v>1.9</v>
      </c>
      <c r="IV64">
        <v>1.9</v>
      </c>
      <c r="IW64">
        <v>1.42822</v>
      </c>
      <c r="IX64">
        <v>2.6428199999999999</v>
      </c>
      <c r="IY64">
        <v>1.5490699999999999</v>
      </c>
      <c r="IZ64">
        <v>2.3645</v>
      </c>
      <c r="JA64">
        <v>1.5966800000000001</v>
      </c>
      <c r="JB64">
        <v>2.2924799999999999</v>
      </c>
      <c r="JC64">
        <v>41.586599999999997</v>
      </c>
      <c r="JD64">
        <v>24.245100000000001</v>
      </c>
      <c r="JE64">
        <v>18</v>
      </c>
      <c r="JF64">
        <v>425.471</v>
      </c>
      <c r="JG64">
        <v>459.72800000000001</v>
      </c>
      <c r="JH64">
        <v>26.7606</v>
      </c>
      <c r="JI64">
        <v>34.897599999999997</v>
      </c>
      <c r="JJ64">
        <v>29.9999</v>
      </c>
      <c r="JK64">
        <v>34.8947</v>
      </c>
      <c r="JL64">
        <v>34.8827</v>
      </c>
      <c r="JM64">
        <v>28.547799999999999</v>
      </c>
      <c r="JN64">
        <v>23.254000000000001</v>
      </c>
      <c r="JO64">
        <v>47.123899999999999</v>
      </c>
      <c r="JP64">
        <v>26.795999999999999</v>
      </c>
      <c r="JQ64">
        <v>600</v>
      </c>
      <c r="JR64">
        <v>23.721299999999999</v>
      </c>
      <c r="JS64">
        <v>98.598299999999995</v>
      </c>
      <c r="JT64">
        <v>99.444500000000005</v>
      </c>
    </row>
    <row r="65" spans="1:280" x14ac:dyDescent="0.25">
      <c r="A65">
        <v>49</v>
      </c>
      <c r="B65">
        <v>1700247314</v>
      </c>
      <c r="C65">
        <v>10179.5</v>
      </c>
      <c r="D65" t="s">
        <v>626</v>
      </c>
      <c r="E65" t="s">
        <v>627</v>
      </c>
      <c r="F65" t="s">
        <v>412</v>
      </c>
      <c r="G65" t="s">
        <v>413</v>
      </c>
      <c r="H65" t="s">
        <v>601</v>
      </c>
      <c r="I65">
        <v>1700247314</v>
      </c>
      <c r="J65">
        <f t="shared" si="46"/>
        <v>3.5142894089353672E-3</v>
      </c>
      <c r="K65">
        <f t="shared" si="47"/>
        <v>3.5142894089353671</v>
      </c>
      <c r="L65">
        <f t="shared" si="48"/>
        <v>42.571663476042751</v>
      </c>
      <c r="M65">
        <f t="shared" si="49"/>
        <v>455.86</v>
      </c>
      <c r="N65">
        <f t="shared" si="50"/>
        <v>134.96088903367738</v>
      </c>
      <c r="O65">
        <f t="shared" si="51"/>
        <v>13.358304794488543</v>
      </c>
      <c r="P65">
        <f t="shared" si="52"/>
        <v>45.120603955831996</v>
      </c>
      <c r="Q65">
        <f t="shared" si="53"/>
        <v>0.22486756536960462</v>
      </c>
      <c r="R65">
        <f t="shared" si="54"/>
        <v>3.1223160488142461</v>
      </c>
      <c r="S65">
        <f t="shared" si="55"/>
        <v>0.21624236604512995</v>
      </c>
      <c r="T65">
        <f t="shared" si="56"/>
        <v>0.1358988535093632</v>
      </c>
      <c r="U65">
        <f t="shared" si="57"/>
        <v>289.57169741896479</v>
      </c>
      <c r="V65">
        <f t="shared" si="58"/>
        <v>30.183089851272296</v>
      </c>
      <c r="W65">
        <f t="shared" si="59"/>
        <v>29.988199999999999</v>
      </c>
      <c r="X65">
        <f t="shared" si="60"/>
        <v>4.2575629675634321</v>
      </c>
      <c r="Y65">
        <f t="shared" si="61"/>
        <v>65.598282223725661</v>
      </c>
      <c r="Z65">
        <f t="shared" si="62"/>
        <v>2.7055733887857598</v>
      </c>
      <c r="AA65">
        <f t="shared" si="63"/>
        <v>4.1244576794835721</v>
      </c>
      <c r="AB65">
        <f t="shared" si="64"/>
        <v>1.5519895787776723</v>
      </c>
      <c r="AC65">
        <f t="shared" si="65"/>
        <v>-154.9801629340497</v>
      </c>
      <c r="AD65">
        <f t="shared" si="66"/>
        <v>-92.884661098103123</v>
      </c>
      <c r="AE65">
        <f t="shared" si="67"/>
        <v>-6.5958217676815085</v>
      </c>
      <c r="AF65">
        <f t="shared" si="68"/>
        <v>35.11105161913045</v>
      </c>
      <c r="AG65">
        <v>75</v>
      </c>
      <c r="AH65">
        <v>15</v>
      </c>
      <c r="AI65">
        <f t="shared" si="69"/>
        <v>1</v>
      </c>
      <c r="AJ65">
        <f t="shared" si="70"/>
        <v>0</v>
      </c>
      <c r="AK65">
        <f t="shared" si="71"/>
        <v>51860.240594898474</v>
      </c>
      <c r="AL65" t="s">
        <v>415</v>
      </c>
      <c r="AM65">
        <v>10238.9</v>
      </c>
      <c r="AN65">
        <v>302.21199999999999</v>
      </c>
      <c r="AO65">
        <v>4052.3</v>
      </c>
      <c r="AP65">
        <f t="shared" si="72"/>
        <v>0.92542210596451402</v>
      </c>
      <c r="AQ65">
        <v>-0.32343011824092421</v>
      </c>
      <c r="AR65" t="s">
        <v>628</v>
      </c>
      <c r="AS65">
        <v>7112.97</v>
      </c>
      <c r="AT65">
        <v>642.74087999999995</v>
      </c>
      <c r="AU65">
        <v>887.81783813878576</v>
      </c>
      <c r="AV65">
        <f t="shared" si="73"/>
        <v>0.27604419241289768</v>
      </c>
      <c r="AW65">
        <v>0.5</v>
      </c>
      <c r="AX65">
        <f t="shared" si="74"/>
        <v>1513.2177002170802</v>
      </c>
      <c r="AY65">
        <f t="shared" si="75"/>
        <v>42.571663476042751</v>
      </c>
      <c r="AZ65">
        <f t="shared" si="76"/>
        <v>208.85747900066309</v>
      </c>
      <c r="BA65">
        <f t="shared" si="77"/>
        <v>2.8346941479821516E-2</v>
      </c>
      <c r="BB65">
        <f t="shared" si="78"/>
        <v>3.564337216399267</v>
      </c>
      <c r="BC65">
        <f t="shared" si="79"/>
        <v>238.74786129160881</v>
      </c>
      <c r="BD65" t="s">
        <v>629</v>
      </c>
      <c r="BE65">
        <v>466.7</v>
      </c>
      <c r="BF65">
        <f t="shared" si="80"/>
        <v>466.7</v>
      </c>
      <c r="BG65">
        <f t="shared" si="81"/>
        <v>0.4743291022645072</v>
      </c>
      <c r="BH65">
        <f t="shared" si="82"/>
        <v>0.58196764882236351</v>
      </c>
      <c r="BI65">
        <f t="shared" si="83"/>
        <v>0.88255303487874115</v>
      </c>
      <c r="BJ65">
        <f t="shared" si="84"/>
        <v>0.41850156227558605</v>
      </c>
      <c r="BK65">
        <f t="shared" si="85"/>
        <v>0.84384210766819723</v>
      </c>
      <c r="BL65">
        <f t="shared" si="86"/>
        <v>0.42257200398611194</v>
      </c>
      <c r="BM65">
        <f t="shared" si="87"/>
        <v>0.57742799601388806</v>
      </c>
      <c r="BN65">
        <v>34581</v>
      </c>
      <c r="BO65">
        <v>290.00000000000011</v>
      </c>
      <c r="BP65">
        <v>817.66</v>
      </c>
      <c r="BQ65">
        <v>285</v>
      </c>
      <c r="BR65">
        <v>7112.97</v>
      </c>
      <c r="BS65">
        <v>818.55</v>
      </c>
      <c r="BT65">
        <v>-0.89</v>
      </c>
      <c r="BU65">
        <v>300.00000000000011</v>
      </c>
      <c r="BV65">
        <v>38.200000000000003</v>
      </c>
      <c r="BW65">
        <v>887.81783813878576</v>
      </c>
      <c r="BX65">
        <v>1.093730615568282</v>
      </c>
      <c r="BY65">
        <v>-49.26682842037679</v>
      </c>
      <c r="BZ65">
        <v>0.65220669576433632</v>
      </c>
      <c r="CA65">
        <v>0.99511692449469813</v>
      </c>
      <c r="CB65">
        <v>-7.0120869855394927E-3</v>
      </c>
      <c r="CC65">
        <v>289.99999999999989</v>
      </c>
      <c r="CD65">
        <v>828.33</v>
      </c>
      <c r="CE65">
        <v>885</v>
      </c>
      <c r="CF65">
        <v>7106.32</v>
      </c>
      <c r="CG65">
        <v>818.49</v>
      </c>
      <c r="CH65">
        <v>9.84</v>
      </c>
      <c r="CV65">
        <f t="shared" si="88"/>
        <v>1800.04</v>
      </c>
      <c r="CW65">
        <f t="shared" si="89"/>
        <v>1513.2177002170802</v>
      </c>
      <c r="CX65">
        <f t="shared" si="90"/>
        <v>0.84065781883573709</v>
      </c>
      <c r="CY65">
        <f t="shared" si="91"/>
        <v>0.1608695903529726</v>
      </c>
      <c r="CZ65">
        <v>5</v>
      </c>
      <c r="DA65">
        <v>0.5</v>
      </c>
      <c r="DB65" t="s">
        <v>418</v>
      </c>
      <c r="DC65">
        <v>2</v>
      </c>
      <c r="DD65">
        <v>1700247314</v>
      </c>
      <c r="DE65">
        <v>455.86</v>
      </c>
      <c r="DF65">
        <v>500.02300000000002</v>
      </c>
      <c r="DG65">
        <v>27.334800000000001</v>
      </c>
      <c r="DH65">
        <v>23.917400000000001</v>
      </c>
      <c r="DI65">
        <v>455.97199999999998</v>
      </c>
      <c r="DJ65">
        <v>26.9955</v>
      </c>
      <c r="DK65">
        <v>500.12099999999998</v>
      </c>
      <c r="DL65">
        <v>98.879199999999997</v>
      </c>
      <c r="DM65">
        <v>9.9881200000000003E-2</v>
      </c>
      <c r="DN65">
        <v>29.436399999999999</v>
      </c>
      <c r="DO65">
        <v>29.988199999999999</v>
      </c>
      <c r="DP65">
        <v>999.9</v>
      </c>
      <c r="DQ65">
        <v>0</v>
      </c>
      <c r="DR65">
        <v>0</v>
      </c>
      <c r="DS65">
        <v>9999.3799999999992</v>
      </c>
      <c r="DT65">
        <v>0</v>
      </c>
      <c r="DU65">
        <v>359.85199999999998</v>
      </c>
      <c r="DV65">
        <v>-44.163699999999999</v>
      </c>
      <c r="DW65">
        <v>468.67099999999999</v>
      </c>
      <c r="DX65">
        <v>512.27599999999995</v>
      </c>
      <c r="DY65">
        <v>3.4173499999999999</v>
      </c>
      <c r="DZ65">
        <v>500.02300000000002</v>
      </c>
      <c r="EA65">
        <v>23.917400000000001</v>
      </c>
      <c r="EB65">
        <v>2.7028400000000001</v>
      </c>
      <c r="EC65">
        <v>2.3649399999999998</v>
      </c>
      <c r="ED65">
        <v>22.302399999999999</v>
      </c>
      <c r="EE65">
        <v>20.125699999999998</v>
      </c>
      <c r="EF65">
        <v>1800.04</v>
      </c>
      <c r="EG65">
        <v>0.97800900000000002</v>
      </c>
      <c r="EH65">
        <v>2.1990800000000001E-2</v>
      </c>
      <c r="EI65">
        <v>0</v>
      </c>
      <c r="EJ65">
        <v>642.67999999999995</v>
      </c>
      <c r="EK65">
        <v>4.9996700000000001</v>
      </c>
      <c r="EL65">
        <v>12464.1</v>
      </c>
      <c r="EM65">
        <v>15047.1</v>
      </c>
      <c r="EN65">
        <v>48.811999999999998</v>
      </c>
      <c r="EO65">
        <v>50.186999999999998</v>
      </c>
      <c r="EP65">
        <v>49.625</v>
      </c>
      <c r="EQ65">
        <v>49.875</v>
      </c>
      <c r="ER65">
        <v>50.311999999999998</v>
      </c>
      <c r="ES65">
        <v>1755.57</v>
      </c>
      <c r="ET65">
        <v>39.47</v>
      </c>
      <c r="EU65">
        <v>0</v>
      </c>
      <c r="EV65">
        <v>267.79999995231628</v>
      </c>
      <c r="EW65">
        <v>0</v>
      </c>
      <c r="EX65">
        <v>642.74087999999995</v>
      </c>
      <c r="EY65">
        <v>-0.22646154695437271</v>
      </c>
      <c r="EZ65">
        <v>-94.746153992705274</v>
      </c>
      <c r="FA65">
        <v>12476.5</v>
      </c>
      <c r="FB65">
        <v>15</v>
      </c>
      <c r="FC65">
        <v>1700247284.5</v>
      </c>
      <c r="FD65" t="s">
        <v>630</v>
      </c>
      <c r="FE65">
        <v>1700247284.5</v>
      </c>
      <c r="FF65">
        <v>1700247282.5</v>
      </c>
      <c r="FG65">
        <v>57</v>
      </c>
      <c r="FH65">
        <v>-3.5999999999999997E-2</v>
      </c>
      <c r="FI65">
        <v>2E-3</v>
      </c>
      <c r="FJ65">
        <v>-0.129</v>
      </c>
      <c r="FK65">
        <v>0.32400000000000001</v>
      </c>
      <c r="FL65">
        <v>500</v>
      </c>
      <c r="FM65">
        <v>24</v>
      </c>
      <c r="FN65">
        <v>0.06</v>
      </c>
      <c r="FO65">
        <v>0.03</v>
      </c>
      <c r="FP65">
        <v>42.416672427808422</v>
      </c>
      <c r="FQ65">
        <v>0.56432373840784245</v>
      </c>
      <c r="FR65">
        <v>4.699449423983787E-2</v>
      </c>
      <c r="FS65">
        <v>1</v>
      </c>
      <c r="FT65">
        <v>0.22465906243162689</v>
      </c>
      <c r="FU65">
        <v>2.5903833118105731E-2</v>
      </c>
      <c r="FV65">
        <v>3.53397499649838E-3</v>
      </c>
      <c r="FW65">
        <v>1</v>
      </c>
      <c r="FX65">
        <v>2</v>
      </c>
      <c r="FY65">
        <v>2</v>
      </c>
      <c r="FZ65" t="s">
        <v>420</v>
      </c>
      <c r="GA65">
        <v>3.0123199999999999</v>
      </c>
      <c r="GB65">
        <v>2.7769599999999999</v>
      </c>
      <c r="GC65">
        <v>9.6948400000000004E-2</v>
      </c>
      <c r="GD65">
        <v>0.104396</v>
      </c>
      <c r="GE65">
        <v>0.124469</v>
      </c>
      <c r="GF65">
        <v>0.114648</v>
      </c>
      <c r="GG65">
        <v>21674.1</v>
      </c>
      <c r="GH65">
        <v>22196.6</v>
      </c>
      <c r="GI65">
        <v>23770.400000000001</v>
      </c>
      <c r="GJ65">
        <v>24444.3</v>
      </c>
      <c r="GK65">
        <v>30782.9</v>
      </c>
      <c r="GL65">
        <v>31035.8</v>
      </c>
      <c r="GM65">
        <v>38932</v>
      </c>
      <c r="GN65">
        <v>38931.4</v>
      </c>
      <c r="GO65">
        <v>1.8483499999999999</v>
      </c>
      <c r="GP65">
        <v>1.8083499999999999</v>
      </c>
      <c r="GQ65">
        <v>7.7694700000000005E-2</v>
      </c>
      <c r="GR65">
        <v>0</v>
      </c>
      <c r="GS65">
        <v>28.7225</v>
      </c>
      <c r="GT65">
        <v>999.9</v>
      </c>
      <c r="GU65">
        <v>41.4</v>
      </c>
      <c r="GV65">
        <v>38.799999999999997</v>
      </c>
      <c r="GW65">
        <v>29.104900000000001</v>
      </c>
      <c r="GX65">
        <v>61.053699999999999</v>
      </c>
      <c r="GY65">
        <v>30.288499999999999</v>
      </c>
      <c r="GZ65">
        <v>1</v>
      </c>
      <c r="HA65">
        <v>0.63424499999999995</v>
      </c>
      <c r="HB65">
        <v>3.5257999999999998</v>
      </c>
      <c r="HC65">
        <v>20.293099999999999</v>
      </c>
      <c r="HD65">
        <v>5.2454400000000003</v>
      </c>
      <c r="HE65">
        <v>12.000400000000001</v>
      </c>
      <c r="HF65">
        <v>4.9635999999999996</v>
      </c>
      <c r="HG65">
        <v>3.3010000000000002</v>
      </c>
      <c r="HH65">
        <v>9999</v>
      </c>
      <c r="HI65">
        <v>9999</v>
      </c>
      <c r="HJ65">
        <v>9999</v>
      </c>
      <c r="HK65">
        <v>999.9</v>
      </c>
      <c r="HL65">
        <v>1.8750500000000001</v>
      </c>
      <c r="HM65">
        <v>1.88035</v>
      </c>
      <c r="HN65">
        <v>1.88049</v>
      </c>
      <c r="HO65">
        <v>1.87921</v>
      </c>
      <c r="HP65">
        <v>1.8815599999999999</v>
      </c>
      <c r="HQ65">
        <v>1.87744</v>
      </c>
      <c r="HR65">
        <v>1.8751199999999999</v>
      </c>
      <c r="HS65">
        <v>1.8824799999999999</v>
      </c>
      <c r="HT65">
        <v>5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423</v>
      </c>
      <c r="IB65" t="s">
        <v>423</v>
      </c>
      <c r="IC65" t="s">
        <v>423</v>
      </c>
      <c r="ID65">
        <v>0</v>
      </c>
      <c r="IE65">
        <v>100</v>
      </c>
      <c r="IF65">
        <v>100</v>
      </c>
      <c r="IG65">
        <v>-0.112</v>
      </c>
      <c r="IH65">
        <v>0.33929999999999999</v>
      </c>
      <c r="II65">
        <v>-0.18139015505347489</v>
      </c>
      <c r="IJ65">
        <v>7.0786345690369205E-4</v>
      </c>
      <c r="IK65">
        <v>-1.387476646623666E-6</v>
      </c>
      <c r="IL65">
        <v>3.6592443641472651E-10</v>
      </c>
      <c r="IM65">
        <v>0.33922260552921862</v>
      </c>
      <c r="IN65">
        <v>0</v>
      </c>
      <c r="IO65">
        <v>0</v>
      </c>
      <c r="IP65">
        <v>0</v>
      </c>
      <c r="IQ65">
        <v>2</v>
      </c>
      <c r="IR65">
        <v>2142</v>
      </c>
      <c r="IS65">
        <v>1</v>
      </c>
      <c r="IT65">
        <v>24</v>
      </c>
      <c r="IU65">
        <v>0.5</v>
      </c>
      <c r="IV65">
        <v>0.5</v>
      </c>
      <c r="IW65">
        <v>1.23169</v>
      </c>
      <c r="IX65">
        <v>2.65503</v>
      </c>
      <c r="IY65">
        <v>1.5490699999999999</v>
      </c>
      <c r="IZ65">
        <v>2.3645</v>
      </c>
      <c r="JA65">
        <v>1.5966800000000001</v>
      </c>
      <c r="JB65">
        <v>2.2790499999999998</v>
      </c>
      <c r="JC65">
        <v>41.560499999999998</v>
      </c>
      <c r="JD65">
        <v>24.227599999999999</v>
      </c>
      <c r="JE65">
        <v>18</v>
      </c>
      <c r="JF65">
        <v>425.70499999999998</v>
      </c>
      <c r="JG65">
        <v>459.87</v>
      </c>
      <c r="JH65">
        <v>25.743200000000002</v>
      </c>
      <c r="JI65">
        <v>34.910400000000003</v>
      </c>
      <c r="JJ65">
        <v>30</v>
      </c>
      <c r="JK65">
        <v>34.907600000000002</v>
      </c>
      <c r="JL65">
        <v>34.895400000000002</v>
      </c>
      <c r="JM65">
        <v>24.622199999999999</v>
      </c>
      <c r="JN65">
        <v>22.234100000000002</v>
      </c>
      <c r="JO65">
        <v>47.085099999999997</v>
      </c>
      <c r="JP65">
        <v>25.743600000000001</v>
      </c>
      <c r="JQ65">
        <v>500</v>
      </c>
      <c r="JR65">
        <v>23.842600000000001</v>
      </c>
      <c r="JS65">
        <v>98.595200000000006</v>
      </c>
      <c r="JT65">
        <v>99.441900000000004</v>
      </c>
    </row>
    <row r="66" spans="1:280" x14ac:dyDescent="0.25">
      <c r="A66">
        <v>50</v>
      </c>
      <c r="B66">
        <v>1700247450</v>
      </c>
      <c r="C66">
        <v>10315.5</v>
      </c>
      <c r="D66" t="s">
        <v>631</v>
      </c>
      <c r="E66" t="s">
        <v>632</v>
      </c>
      <c r="F66" t="s">
        <v>412</v>
      </c>
      <c r="G66" t="s">
        <v>413</v>
      </c>
      <c r="H66" t="s">
        <v>601</v>
      </c>
      <c r="I66">
        <v>1700247450</v>
      </c>
      <c r="J66">
        <f t="shared" si="46"/>
        <v>3.9735766548367633E-3</v>
      </c>
      <c r="K66">
        <f t="shared" si="47"/>
        <v>3.9735766548367635</v>
      </c>
      <c r="L66">
        <f t="shared" si="48"/>
        <v>39.107569059972953</v>
      </c>
      <c r="M66">
        <f t="shared" si="49"/>
        <v>359.50799999999998</v>
      </c>
      <c r="N66">
        <f t="shared" si="50"/>
        <v>100.43563247729973</v>
      </c>
      <c r="O66">
        <f t="shared" si="51"/>
        <v>9.9408727348679253</v>
      </c>
      <c r="P66">
        <f t="shared" si="52"/>
        <v>35.583220685891995</v>
      </c>
      <c r="Q66">
        <f t="shared" si="53"/>
        <v>0.25682548065498056</v>
      </c>
      <c r="R66">
        <f t="shared" si="54"/>
        <v>3.1170063404839352</v>
      </c>
      <c r="S66">
        <f t="shared" si="55"/>
        <v>0.24562186936673258</v>
      </c>
      <c r="T66">
        <f t="shared" si="56"/>
        <v>0.15447953821915239</v>
      </c>
      <c r="U66">
        <f t="shared" si="57"/>
        <v>289.57082141939401</v>
      </c>
      <c r="V66">
        <f t="shared" si="58"/>
        <v>30.193074527840963</v>
      </c>
      <c r="W66">
        <f t="shared" si="59"/>
        <v>30.010899999999999</v>
      </c>
      <c r="X66">
        <f t="shared" si="60"/>
        <v>4.2631179127510519</v>
      </c>
      <c r="Y66">
        <f t="shared" si="61"/>
        <v>65.448829186778781</v>
      </c>
      <c r="Z66">
        <f t="shared" si="62"/>
        <v>2.7183688945105002</v>
      </c>
      <c r="AA66">
        <f t="shared" si="63"/>
        <v>4.1534263153169348</v>
      </c>
      <c r="AB66">
        <f t="shared" si="64"/>
        <v>1.5447490182405517</v>
      </c>
      <c r="AC66">
        <f t="shared" si="65"/>
        <v>-175.23473047830126</v>
      </c>
      <c r="AD66">
        <f t="shared" si="66"/>
        <v>-76.140757164743647</v>
      </c>
      <c r="AE66">
        <f t="shared" si="67"/>
        <v>-5.4198994382429246</v>
      </c>
      <c r="AF66">
        <f t="shared" si="68"/>
        <v>32.775434338106194</v>
      </c>
      <c r="AG66">
        <v>74</v>
      </c>
      <c r="AH66">
        <v>15</v>
      </c>
      <c r="AI66">
        <f t="shared" si="69"/>
        <v>1</v>
      </c>
      <c r="AJ66">
        <f t="shared" si="70"/>
        <v>0</v>
      </c>
      <c r="AK66">
        <f t="shared" si="71"/>
        <v>51704.778811066186</v>
      </c>
      <c r="AL66" t="s">
        <v>446</v>
      </c>
      <c r="AM66" t="s">
        <v>446</v>
      </c>
      <c r="AN66">
        <v>0</v>
      </c>
      <c r="AO66">
        <v>0</v>
      </c>
      <c r="AP66" t="e">
        <f t="shared" si="72"/>
        <v>#DIV/0!</v>
      </c>
      <c r="AQ66">
        <v>0</v>
      </c>
      <c r="AR66" t="s">
        <v>446</v>
      </c>
      <c r="AS66" t="s">
        <v>446</v>
      </c>
      <c r="AT66">
        <v>0</v>
      </c>
      <c r="AU66">
        <v>0</v>
      </c>
      <c r="AV66" t="e">
        <f t="shared" si="73"/>
        <v>#DIV/0!</v>
      </c>
      <c r="AW66">
        <v>0.5</v>
      </c>
      <c r="AX66">
        <f t="shared" si="74"/>
        <v>1513.2021002173024</v>
      </c>
      <c r="AY66">
        <f t="shared" si="75"/>
        <v>39.107569059972953</v>
      </c>
      <c r="AZ66" t="e">
        <f t="shared" si="76"/>
        <v>#DIV/0!</v>
      </c>
      <c r="BA66">
        <f t="shared" si="77"/>
        <v>2.5844247146073175E-2</v>
      </c>
      <c r="BB66" t="e">
        <f t="shared" si="78"/>
        <v>#DIV/0!</v>
      </c>
      <c r="BC66" t="e">
        <f t="shared" si="79"/>
        <v>#DIV/0!</v>
      </c>
      <c r="BD66" t="s">
        <v>446</v>
      </c>
      <c r="BE66">
        <v>0</v>
      </c>
      <c r="BF66" t="e">
        <f t="shared" si="80"/>
        <v>#DIV/0!</v>
      </c>
      <c r="BG66" t="e">
        <f t="shared" si="81"/>
        <v>#DIV/0!</v>
      </c>
      <c r="BH66" t="e">
        <f t="shared" si="82"/>
        <v>#DIV/0!</v>
      </c>
      <c r="BI66" t="e">
        <f t="shared" si="83"/>
        <v>#DIV/0!</v>
      </c>
      <c r="BJ66" t="e">
        <f t="shared" si="84"/>
        <v>#DIV/0!</v>
      </c>
      <c r="BK66" t="e">
        <f t="shared" si="85"/>
        <v>#DIV/0!</v>
      </c>
      <c r="BL66" t="e">
        <f t="shared" si="86"/>
        <v>#DIV/0!</v>
      </c>
      <c r="BM66" t="e">
        <f t="shared" si="87"/>
        <v>#DIV/0!</v>
      </c>
      <c r="BN66">
        <v>34581</v>
      </c>
      <c r="BO66">
        <v>290.00000000000011</v>
      </c>
      <c r="BP66">
        <v>817.66</v>
      </c>
      <c r="BQ66">
        <v>285</v>
      </c>
      <c r="BR66">
        <v>7112.97</v>
      </c>
      <c r="BS66">
        <v>818.55</v>
      </c>
      <c r="BT66">
        <v>-0.89</v>
      </c>
      <c r="BU66">
        <v>300.00000000000011</v>
      </c>
      <c r="BV66">
        <v>38.200000000000003</v>
      </c>
      <c r="BW66">
        <v>887.81783813878576</v>
      </c>
      <c r="BX66">
        <v>1.093730615568282</v>
      </c>
      <c r="BY66">
        <v>-49.26682842037679</v>
      </c>
      <c r="BZ66">
        <v>0.65220669576433632</v>
      </c>
      <c r="CA66">
        <v>0.99511692449469813</v>
      </c>
      <c r="CB66">
        <v>-7.0120869855394927E-3</v>
      </c>
      <c r="CC66">
        <v>289.99999999999989</v>
      </c>
      <c r="CD66">
        <v>828.33</v>
      </c>
      <c r="CE66">
        <v>885</v>
      </c>
      <c r="CF66">
        <v>7106.32</v>
      </c>
      <c r="CG66">
        <v>818.49</v>
      </c>
      <c r="CH66">
        <v>9.84</v>
      </c>
      <c r="CV66">
        <f t="shared" si="88"/>
        <v>1800.02</v>
      </c>
      <c r="CW66">
        <f t="shared" si="89"/>
        <v>1513.2021002173024</v>
      </c>
      <c r="CX66">
        <f t="shared" si="90"/>
        <v>0.84065849280413685</v>
      </c>
      <c r="CY66">
        <f t="shared" si="91"/>
        <v>0.16087089111198433</v>
      </c>
      <c r="CZ66">
        <v>5</v>
      </c>
      <c r="DA66">
        <v>0.5</v>
      </c>
      <c r="DB66" t="s">
        <v>418</v>
      </c>
      <c r="DC66">
        <v>2</v>
      </c>
      <c r="DD66">
        <v>1700247450</v>
      </c>
      <c r="DE66">
        <v>359.50799999999998</v>
      </c>
      <c r="DF66">
        <v>400.03</v>
      </c>
      <c r="DG66">
        <v>27.464500000000001</v>
      </c>
      <c r="DH66">
        <v>23.601400000000002</v>
      </c>
      <c r="DI66">
        <v>359.73099999999999</v>
      </c>
      <c r="DJ66">
        <v>27.119800000000001</v>
      </c>
      <c r="DK66">
        <v>500.17399999999998</v>
      </c>
      <c r="DL66">
        <v>98.877399999999994</v>
      </c>
      <c r="DM66">
        <v>0.100149</v>
      </c>
      <c r="DN66">
        <v>29.5578</v>
      </c>
      <c r="DO66">
        <v>30.010899999999999</v>
      </c>
      <c r="DP66">
        <v>999.9</v>
      </c>
      <c r="DQ66">
        <v>0</v>
      </c>
      <c r="DR66">
        <v>0</v>
      </c>
      <c r="DS66">
        <v>9972.5</v>
      </c>
      <c r="DT66">
        <v>0</v>
      </c>
      <c r="DU66">
        <v>358.75200000000001</v>
      </c>
      <c r="DV66">
        <v>-40.522199999999998</v>
      </c>
      <c r="DW66">
        <v>369.661</v>
      </c>
      <c r="DX66">
        <v>409.7</v>
      </c>
      <c r="DY66">
        <v>3.8630900000000001</v>
      </c>
      <c r="DZ66">
        <v>400.03</v>
      </c>
      <c r="EA66">
        <v>23.601400000000002</v>
      </c>
      <c r="EB66">
        <v>2.7156199999999999</v>
      </c>
      <c r="EC66">
        <v>2.33365</v>
      </c>
      <c r="ED66">
        <v>22.379899999999999</v>
      </c>
      <c r="EE66">
        <v>19.910599999999999</v>
      </c>
      <c r="EF66">
        <v>1800.02</v>
      </c>
      <c r="EG66">
        <v>0.977989</v>
      </c>
      <c r="EH66">
        <v>2.20114E-2</v>
      </c>
      <c r="EI66">
        <v>0</v>
      </c>
      <c r="EJ66">
        <v>646.10799999999995</v>
      </c>
      <c r="EK66">
        <v>4.9996700000000001</v>
      </c>
      <c r="EL66">
        <v>12483.5</v>
      </c>
      <c r="EM66">
        <v>15046.9</v>
      </c>
      <c r="EN66">
        <v>48.875</v>
      </c>
      <c r="EO66">
        <v>50.25</v>
      </c>
      <c r="EP66">
        <v>49.686999999999998</v>
      </c>
      <c r="EQ66">
        <v>49.936999999999998</v>
      </c>
      <c r="ER66">
        <v>50.311999999999998</v>
      </c>
      <c r="ES66">
        <v>1755.51</v>
      </c>
      <c r="ET66">
        <v>39.51</v>
      </c>
      <c r="EU66">
        <v>0</v>
      </c>
      <c r="EV66">
        <v>133.79999995231631</v>
      </c>
      <c r="EW66">
        <v>0</v>
      </c>
      <c r="EX66">
        <v>645.88723076923077</v>
      </c>
      <c r="EY66">
        <v>-4.4444542374645294E-3</v>
      </c>
      <c r="EZ66">
        <v>89.035897498653043</v>
      </c>
      <c r="FA66">
        <v>12474.89615384615</v>
      </c>
      <c r="FB66">
        <v>15</v>
      </c>
      <c r="FC66">
        <v>1700247421.5</v>
      </c>
      <c r="FD66" t="s">
        <v>633</v>
      </c>
      <c r="FE66">
        <v>1700247421.5</v>
      </c>
      <c r="FF66">
        <v>1700247417.5</v>
      </c>
      <c r="FG66">
        <v>58</v>
      </c>
      <c r="FH66">
        <v>-0.13400000000000001</v>
      </c>
      <c r="FI66">
        <v>6.0000000000000001E-3</v>
      </c>
      <c r="FJ66">
        <v>-0.23100000000000001</v>
      </c>
      <c r="FK66">
        <v>0.317</v>
      </c>
      <c r="FL66">
        <v>400</v>
      </c>
      <c r="FM66">
        <v>23</v>
      </c>
      <c r="FN66">
        <v>0.09</v>
      </c>
      <c r="FO66">
        <v>0.11</v>
      </c>
      <c r="FP66">
        <v>39.050528085728651</v>
      </c>
      <c r="FQ66">
        <v>-0.39549156539122893</v>
      </c>
      <c r="FR66">
        <v>3.9602058313127082E-2</v>
      </c>
      <c r="FS66">
        <v>1</v>
      </c>
      <c r="FT66">
        <v>0.25680713280750522</v>
      </c>
      <c r="FU66">
        <v>3.9330019522692987E-2</v>
      </c>
      <c r="FV66">
        <v>4.4506323444580961E-3</v>
      </c>
      <c r="FW66">
        <v>1</v>
      </c>
      <c r="FX66">
        <v>2</v>
      </c>
      <c r="FY66">
        <v>2</v>
      </c>
      <c r="FZ66" t="s">
        <v>420</v>
      </c>
      <c r="GA66">
        <v>3.0124900000000001</v>
      </c>
      <c r="GB66">
        <v>2.7770000000000001</v>
      </c>
      <c r="GC66">
        <v>8.0836500000000006E-2</v>
      </c>
      <c r="GD66">
        <v>8.8333200000000001E-2</v>
      </c>
      <c r="GE66">
        <v>0.12485300000000001</v>
      </c>
      <c r="GF66">
        <v>0.113589</v>
      </c>
      <c r="GG66">
        <v>22059.5</v>
      </c>
      <c r="GH66">
        <v>22593.3</v>
      </c>
      <c r="GI66">
        <v>23769.3</v>
      </c>
      <c r="GJ66">
        <v>24443</v>
      </c>
      <c r="GK66">
        <v>30768.400000000001</v>
      </c>
      <c r="GL66">
        <v>31071.9</v>
      </c>
      <c r="GM66">
        <v>38930.400000000001</v>
      </c>
      <c r="GN66">
        <v>38929.9</v>
      </c>
      <c r="GO66">
        <v>1.8498000000000001</v>
      </c>
      <c r="GP66">
        <v>1.8072999999999999</v>
      </c>
      <c r="GQ66">
        <v>7.4118400000000001E-2</v>
      </c>
      <c r="GR66">
        <v>0</v>
      </c>
      <c r="GS66">
        <v>28.803599999999999</v>
      </c>
      <c r="GT66">
        <v>999.9</v>
      </c>
      <c r="GU66">
        <v>41.4</v>
      </c>
      <c r="GV66">
        <v>38.700000000000003</v>
      </c>
      <c r="GW66">
        <v>28.9467</v>
      </c>
      <c r="GX66">
        <v>60.983699999999999</v>
      </c>
      <c r="GY66">
        <v>30.532900000000001</v>
      </c>
      <c r="GZ66">
        <v>1</v>
      </c>
      <c r="HA66">
        <v>0.63478400000000001</v>
      </c>
      <c r="HB66">
        <v>3.1670099999999999</v>
      </c>
      <c r="HC66">
        <v>20.300899999999999</v>
      </c>
      <c r="HD66">
        <v>5.2441000000000004</v>
      </c>
      <c r="HE66">
        <v>11.9993</v>
      </c>
      <c r="HF66">
        <v>4.9636500000000003</v>
      </c>
      <c r="HG66">
        <v>3.3010000000000002</v>
      </c>
      <c r="HH66">
        <v>9999</v>
      </c>
      <c r="HI66">
        <v>9999</v>
      </c>
      <c r="HJ66">
        <v>9999</v>
      </c>
      <c r="HK66">
        <v>999.9</v>
      </c>
      <c r="HL66">
        <v>1.87504</v>
      </c>
      <c r="HM66">
        <v>1.88035</v>
      </c>
      <c r="HN66">
        <v>1.88049</v>
      </c>
      <c r="HO66">
        <v>1.87914</v>
      </c>
      <c r="HP66">
        <v>1.8815599999999999</v>
      </c>
      <c r="HQ66">
        <v>1.87744</v>
      </c>
      <c r="HR66">
        <v>1.87514</v>
      </c>
      <c r="HS66">
        <v>1.88246</v>
      </c>
      <c r="HT66">
        <v>5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423</v>
      </c>
      <c r="IB66" t="s">
        <v>423</v>
      </c>
      <c r="IC66" t="s">
        <v>423</v>
      </c>
      <c r="ID66">
        <v>0</v>
      </c>
      <c r="IE66">
        <v>100</v>
      </c>
      <c r="IF66">
        <v>100</v>
      </c>
      <c r="IG66">
        <v>-0.223</v>
      </c>
      <c r="IH66">
        <v>0.34470000000000001</v>
      </c>
      <c r="II66">
        <v>-0.31512840575087842</v>
      </c>
      <c r="IJ66">
        <v>7.0786345690369205E-4</v>
      </c>
      <c r="IK66">
        <v>-1.387476646623666E-6</v>
      </c>
      <c r="IL66">
        <v>3.6592443641472651E-10</v>
      </c>
      <c r="IM66">
        <v>0.34476357030115229</v>
      </c>
      <c r="IN66">
        <v>0</v>
      </c>
      <c r="IO66">
        <v>0</v>
      </c>
      <c r="IP66">
        <v>0</v>
      </c>
      <c r="IQ66">
        <v>2</v>
      </c>
      <c r="IR66">
        <v>2142</v>
      </c>
      <c r="IS66">
        <v>1</v>
      </c>
      <c r="IT66">
        <v>24</v>
      </c>
      <c r="IU66">
        <v>0.5</v>
      </c>
      <c r="IV66">
        <v>0.5</v>
      </c>
      <c r="IW66">
        <v>1.02905</v>
      </c>
      <c r="IX66">
        <v>2.64893</v>
      </c>
      <c r="IY66">
        <v>1.5490699999999999</v>
      </c>
      <c r="IZ66">
        <v>2.3645</v>
      </c>
      <c r="JA66">
        <v>1.5966800000000001</v>
      </c>
      <c r="JB66">
        <v>2.32178</v>
      </c>
      <c r="JC66">
        <v>41.534399999999998</v>
      </c>
      <c r="JD66">
        <v>24.2364</v>
      </c>
      <c r="JE66">
        <v>18</v>
      </c>
      <c r="JF66">
        <v>426.71600000000001</v>
      </c>
      <c r="JG66">
        <v>459.392</v>
      </c>
      <c r="JH66">
        <v>26.107700000000001</v>
      </c>
      <c r="JI66">
        <v>34.945900000000002</v>
      </c>
      <c r="JJ66">
        <v>29.9999</v>
      </c>
      <c r="JK66">
        <v>34.939500000000002</v>
      </c>
      <c r="JL66">
        <v>34.924100000000003</v>
      </c>
      <c r="JM66">
        <v>20.5884</v>
      </c>
      <c r="JN66">
        <v>23.091899999999999</v>
      </c>
      <c r="JO66">
        <v>46.779899999999998</v>
      </c>
      <c r="JP66">
        <v>26.113700000000001</v>
      </c>
      <c r="JQ66">
        <v>400</v>
      </c>
      <c r="JR66">
        <v>23.536000000000001</v>
      </c>
      <c r="JS66">
        <v>98.590900000000005</v>
      </c>
      <c r="JT66">
        <v>99.4375</v>
      </c>
    </row>
    <row r="67" spans="1:280" x14ac:dyDescent="0.25">
      <c r="A67">
        <v>51</v>
      </c>
      <c r="B67">
        <v>1700247639</v>
      </c>
      <c r="C67">
        <v>10504.5</v>
      </c>
      <c r="D67" t="s">
        <v>634</v>
      </c>
      <c r="E67" t="s">
        <v>635</v>
      </c>
      <c r="F67" t="s">
        <v>412</v>
      </c>
      <c r="G67" t="s">
        <v>413</v>
      </c>
      <c r="H67" t="s">
        <v>601</v>
      </c>
      <c r="I67">
        <v>1700247639</v>
      </c>
      <c r="J67">
        <f t="shared" si="46"/>
        <v>4.9350681091887795E-3</v>
      </c>
      <c r="K67">
        <f t="shared" si="47"/>
        <v>4.9350681091887791</v>
      </c>
      <c r="L67">
        <f t="shared" si="48"/>
        <v>34.829392515347294</v>
      </c>
      <c r="M67">
        <f t="shared" si="49"/>
        <v>263.88</v>
      </c>
      <c r="N67">
        <f t="shared" si="50"/>
        <v>80.688312749348299</v>
      </c>
      <c r="O67">
        <f t="shared" si="51"/>
        <v>7.9864346292279516</v>
      </c>
      <c r="P67">
        <f t="shared" si="52"/>
        <v>26.118533132639996</v>
      </c>
      <c r="Q67">
        <f t="shared" si="53"/>
        <v>0.32709105573626401</v>
      </c>
      <c r="R67">
        <f t="shared" si="54"/>
        <v>3.1234097365864368</v>
      </c>
      <c r="S67">
        <f t="shared" si="55"/>
        <v>0.30918305411131813</v>
      </c>
      <c r="T67">
        <f t="shared" si="56"/>
        <v>0.19476662449411175</v>
      </c>
      <c r="U67">
        <f t="shared" si="57"/>
        <v>289.55964941941039</v>
      </c>
      <c r="V67">
        <f t="shared" si="58"/>
        <v>30.214586969629899</v>
      </c>
      <c r="W67">
        <f t="shared" si="59"/>
        <v>29.992999999999999</v>
      </c>
      <c r="X67">
        <f t="shared" si="60"/>
        <v>4.2587370553178223</v>
      </c>
      <c r="Y67">
        <f t="shared" si="61"/>
        <v>64.870928510871167</v>
      </c>
      <c r="Z67">
        <f t="shared" si="62"/>
        <v>2.7346860388119998</v>
      </c>
      <c r="AA67">
        <f t="shared" si="63"/>
        <v>4.2155802322973024</v>
      </c>
      <c r="AB67">
        <f t="shared" si="64"/>
        <v>1.5240510165058225</v>
      </c>
      <c r="AC67">
        <f t="shared" si="65"/>
        <v>-217.63650361522517</v>
      </c>
      <c r="AD67">
        <f t="shared" si="66"/>
        <v>-29.838577885379717</v>
      </c>
      <c r="AE67">
        <f t="shared" si="67"/>
        <v>-2.1221552472847787</v>
      </c>
      <c r="AF67">
        <f t="shared" si="68"/>
        <v>39.962412671520752</v>
      </c>
      <c r="AG67">
        <v>74</v>
      </c>
      <c r="AH67">
        <v>15</v>
      </c>
      <c r="AI67">
        <f t="shared" si="69"/>
        <v>1</v>
      </c>
      <c r="AJ67">
        <f t="shared" si="70"/>
        <v>0</v>
      </c>
      <c r="AK67">
        <f t="shared" si="71"/>
        <v>51822.973952868488</v>
      </c>
      <c r="AL67" t="s">
        <v>415</v>
      </c>
      <c r="AM67">
        <v>10238.9</v>
      </c>
      <c r="AN67">
        <v>302.21199999999999</v>
      </c>
      <c r="AO67">
        <v>4052.3</v>
      </c>
      <c r="AP67">
        <f t="shared" si="72"/>
        <v>0.92542210596451402</v>
      </c>
      <c r="AQ67">
        <v>-0.32343011824092421</v>
      </c>
      <c r="AR67" t="s">
        <v>636</v>
      </c>
      <c r="AS67">
        <v>7112.68</v>
      </c>
      <c r="AT67">
        <v>652.24016000000006</v>
      </c>
      <c r="AU67">
        <v>846.4559426099546</v>
      </c>
      <c r="AV67">
        <f t="shared" si="73"/>
        <v>0.22944582562810223</v>
      </c>
      <c r="AW67">
        <v>0.5</v>
      </c>
      <c r="AX67">
        <f t="shared" si="74"/>
        <v>1513.1433002173112</v>
      </c>
      <c r="AY67">
        <f t="shared" si="75"/>
        <v>34.829392515347294</v>
      </c>
      <c r="AZ67">
        <f t="shared" si="76"/>
        <v>173.59220690599616</v>
      </c>
      <c r="BA67">
        <f t="shared" si="77"/>
        <v>2.3231654681046876E-2</v>
      </c>
      <c r="BB67">
        <f t="shared" si="78"/>
        <v>3.7873726156439695</v>
      </c>
      <c r="BC67">
        <f t="shared" si="79"/>
        <v>235.6512869274398</v>
      </c>
      <c r="BD67" t="s">
        <v>637</v>
      </c>
      <c r="BE67">
        <v>468.93</v>
      </c>
      <c r="BF67">
        <f t="shared" si="80"/>
        <v>468.93</v>
      </c>
      <c r="BG67">
        <f t="shared" si="81"/>
        <v>0.44600778800830976</v>
      </c>
      <c r="BH67">
        <f t="shared" si="82"/>
        <v>0.51444354066711351</v>
      </c>
      <c r="BI67">
        <f t="shared" si="83"/>
        <v>0.89464500104372291</v>
      </c>
      <c r="BJ67">
        <f t="shared" si="84"/>
        <v>0.35685428427293292</v>
      </c>
      <c r="BK67">
        <f t="shared" si="85"/>
        <v>0.85487168764840871</v>
      </c>
      <c r="BL67">
        <f t="shared" si="86"/>
        <v>0.36986071131380432</v>
      </c>
      <c r="BM67">
        <f t="shared" si="87"/>
        <v>0.63013928868619562</v>
      </c>
      <c r="BN67">
        <v>34583</v>
      </c>
      <c r="BO67">
        <v>290.00000000000011</v>
      </c>
      <c r="BP67">
        <v>791.91</v>
      </c>
      <c r="BQ67">
        <v>275</v>
      </c>
      <c r="BR67">
        <v>7112.68</v>
      </c>
      <c r="BS67">
        <v>792.95</v>
      </c>
      <c r="BT67">
        <v>-1.04</v>
      </c>
      <c r="BU67">
        <v>300.00000000000011</v>
      </c>
      <c r="BV67">
        <v>38.200000000000003</v>
      </c>
      <c r="BW67">
        <v>846.4559426099546</v>
      </c>
      <c r="BX67">
        <v>1.4003433433358461</v>
      </c>
      <c r="BY67">
        <v>-38.053572013485443</v>
      </c>
      <c r="BZ67">
        <v>0.83497751710464641</v>
      </c>
      <c r="CA67">
        <v>0.98669848231724022</v>
      </c>
      <c r="CB67">
        <v>-7.0113730812013386E-3</v>
      </c>
      <c r="CC67">
        <v>289.99999999999989</v>
      </c>
      <c r="CD67">
        <v>799.26</v>
      </c>
      <c r="CE67">
        <v>795</v>
      </c>
      <c r="CF67">
        <v>7106.85</v>
      </c>
      <c r="CG67">
        <v>792.91</v>
      </c>
      <c r="CH67">
        <v>6.35</v>
      </c>
      <c r="CV67">
        <f t="shared" si="88"/>
        <v>1799.95</v>
      </c>
      <c r="CW67">
        <f t="shared" si="89"/>
        <v>1513.1433002173112</v>
      </c>
      <c r="CX67">
        <f t="shared" si="90"/>
        <v>0.84065851841290651</v>
      </c>
      <c r="CY67">
        <f t="shared" si="91"/>
        <v>0.16087094053690956</v>
      </c>
      <c r="CZ67">
        <v>5</v>
      </c>
      <c r="DA67">
        <v>0.5</v>
      </c>
      <c r="DB67" t="s">
        <v>418</v>
      </c>
      <c r="DC67">
        <v>2</v>
      </c>
      <c r="DD67">
        <v>1700247639</v>
      </c>
      <c r="DE67">
        <v>263.88</v>
      </c>
      <c r="DF67">
        <v>300.00400000000002</v>
      </c>
      <c r="DG67">
        <v>27.629000000000001</v>
      </c>
      <c r="DH67">
        <v>22.831299999999999</v>
      </c>
      <c r="DI67">
        <v>263.976</v>
      </c>
      <c r="DJ67">
        <v>27.287199999999999</v>
      </c>
      <c r="DK67">
        <v>500.10599999999999</v>
      </c>
      <c r="DL67">
        <v>98.878799999999998</v>
      </c>
      <c r="DM67">
        <v>0.10002800000000001</v>
      </c>
      <c r="DN67">
        <v>29.815799999999999</v>
      </c>
      <c r="DO67">
        <v>29.992999999999999</v>
      </c>
      <c r="DP67">
        <v>999.9</v>
      </c>
      <c r="DQ67">
        <v>0</v>
      </c>
      <c r="DR67">
        <v>0</v>
      </c>
      <c r="DS67">
        <v>10005</v>
      </c>
      <c r="DT67">
        <v>0</v>
      </c>
      <c r="DU67">
        <v>336.21</v>
      </c>
      <c r="DV67">
        <v>-36.124400000000001</v>
      </c>
      <c r="DW67">
        <v>271.37799999999999</v>
      </c>
      <c r="DX67">
        <v>307.01400000000001</v>
      </c>
      <c r="DY67">
        <v>4.7977600000000002</v>
      </c>
      <c r="DZ67">
        <v>300.00400000000002</v>
      </c>
      <c r="EA67">
        <v>22.831299999999999</v>
      </c>
      <c r="EB67">
        <v>2.7319300000000002</v>
      </c>
      <c r="EC67">
        <v>2.25753</v>
      </c>
      <c r="ED67">
        <v>22.478400000000001</v>
      </c>
      <c r="EE67">
        <v>19.3765</v>
      </c>
      <c r="EF67">
        <v>1799.95</v>
      </c>
      <c r="EG67">
        <v>0.977989</v>
      </c>
      <c r="EH67">
        <v>2.20114E-2</v>
      </c>
      <c r="EI67">
        <v>0</v>
      </c>
      <c r="EJ67">
        <v>651.90499999999997</v>
      </c>
      <c r="EK67">
        <v>4.9996700000000001</v>
      </c>
      <c r="EL67">
        <v>12478.7</v>
      </c>
      <c r="EM67">
        <v>15046.3</v>
      </c>
      <c r="EN67">
        <v>48.936999999999998</v>
      </c>
      <c r="EO67">
        <v>50.25</v>
      </c>
      <c r="EP67">
        <v>49.686999999999998</v>
      </c>
      <c r="EQ67">
        <v>50</v>
      </c>
      <c r="ER67">
        <v>50.375</v>
      </c>
      <c r="ES67">
        <v>1755.44</v>
      </c>
      <c r="ET67">
        <v>39.51</v>
      </c>
      <c r="EU67">
        <v>0</v>
      </c>
      <c r="EV67">
        <v>322.79999995231628</v>
      </c>
      <c r="EW67">
        <v>0</v>
      </c>
      <c r="EX67">
        <v>652.24016000000006</v>
      </c>
      <c r="EY67">
        <v>-0.71946152859699042</v>
      </c>
      <c r="EZ67">
        <v>39.792307774160811</v>
      </c>
      <c r="FA67">
        <v>12471.688</v>
      </c>
      <c r="FB67">
        <v>15</v>
      </c>
      <c r="FC67">
        <v>1700247514</v>
      </c>
      <c r="FD67" t="s">
        <v>638</v>
      </c>
      <c r="FE67">
        <v>1700247512.5</v>
      </c>
      <c r="FF67">
        <v>1700247514</v>
      </c>
      <c r="FG67">
        <v>59</v>
      </c>
      <c r="FH67">
        <v>0.122</v>
      </c>
      <c r="FI67">
        <v>-3.0000000000000001E-3</v>
      </c>
      <c r="FJ67">
        <v>-9.6000000000000002E-2</v>
      </c>
      <c r="FK67">
        <v>0.317</v>
      </c>
      <c r="FL67">
        <v>300</v>
      </c>
      <c r="FM67">
        <v>23</v>
      </c>
      <c r="FN67">
        <v>0.09</v>
      </c>
      <c r="FO67">
        <v>0.02</v>
      </c>
      <c r="FP67">
        <v>34.714900548655017</v>
      </c>
      <c r="FQ67">
        <v>0.67628033780879759</v>
      </c>
      <c r="FR67">
        <v>5.6544372769967342E-2</v>
      </c>
      <c r="FS67">
        <v>1</v>
      </c>
      <c r="FT67">
        <v>0.32228544168966228</v>
      </c>
      <c r="FU67">
        <v>3.7859155057398501E-2</v>
      </c>
      <c r="FV67">
        <v>2.8735939181991168E-3</v>
      </c>
      <c r="FW67">
        <v>1</v>
      </c>
      <c r="FX67">
        <v>2</v>
      </c>
      <c r="FY67">
        <v>2</v>
      </c>
      <c r="FZ67" t="s">
        <v>420</v>
      </c>
      <c r="GA67">
        <v>3.01234</v>
      </c>
      <c r="GB67">
        <v>2.7771599999999999</v>
      </c>
      <c r="GC67">
        <v>6.2882099999999996E-2</v>
      </c>
      <c r="GD67">
        <v>7.0361699999999999E-2</v>
      </c>
      <c r="GE67">
        <v>0.12537799999999999</v>
      </c>
      <c r="GF67">
        <v>0.111001</v>
      </c>
      <c r="GG67">
        <v>22488.9</v>
      </c>
      <c r="GH67">
        <v>23036.6</v>
      </c>
      <c r="GI67">
        <v>23768.2</v>
      </c>
      <c r="GJ67">
        <v>24441.200000000001</v>
      </c>
      <c r="GK67">
        <v>30748.799999999999</v>
      </c>
      <c r="GL67">
        <v>31160.6</v>
      </c>
      <c r="GM67">
        <v>38928.800000000003</v>
      </c>
      <c r="GN67">
        <v>38927.1</v>
      </c>
      <c r="GO67">
        <v>1.8506499999999999</v>
      </c>
      <c r="GP67">
        <v>1.8057000000000001</v>
      </c>
      <c r="GQ67">
        <v>6.5296900000000005E-2</v>
      </c>
      <c r="GR67">
        <v>0</v>
      </c>
      <c r="GS67">
        <v>28.929500000000001</v>
      </c>
      <c r="GT67">
        <v>999.9</v>
      </c>
      <c r="GU67">
        <v>41</v>
      </c>
      <c r="GV67">
        <v>38.700000000000003</v>
      </c>
      <c r="GW67">
        <v>28.6676</v>
      </c>
      <c r="GX67">
        <v>60.803699999999999</v>
      </c>
      <c r="GY67">
        <v>30.637</v>
      </c>
      <c r="GZ67">
        <v>1</v>
      </c>
      <c r="HA67">
        <v>0.635938</v>
      </c>
      <c r="HB67">
        <v>2.76431</v>
      </c>
      <c r="HC67">
        <v>20.3078</v>
      </c>
      <c r="HD67">
        <v>5.2413999999999996</v>
      </c>
      <c r="HE67">
        <v>11.9983</v>
      </c>
      <c r="HF67">
        <v>4.9637500000000001</v>
      </c>
      <c r="HG67">
        <v>3.3010000000000002</v>
      </c>
      <c r="HH67">
        <v>9999</v>
      </c>
      <c r="HI67">
        <v>9999</v>
      </c>
      <c r="HJ67">
        <v>9999</v>
      </c>
      <c r="HK67">
        <v>999.9</v>
      </c>
      <c r="HL67">
        <v>1.8750100000000001</v>
      </c>
      <c r="HM67">
        <v>1.88035</v>
      </c>
      <c r="HN67">
        <v>1.88049</v>
      </c>
      <c r="HO67">
        <v>1.87913</v>
      </c>
      <c r="HP67">
        <v>1.8815599999999999</v>
      </c>
      <c r="HQ67">
        <v>1.87744</v>
      </c>
      <c r="HR67">
        <v>1.8751500000000001</v>
      </c>
      <c r="HS67">
        <v>1.8824799999999999</v>
      </c>
      <c r="HT67">
        <v>5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423</v>
      </c>
      <c r="IB67" t="s">
        <v>423</v>
      </c>
      <c r="IC67" t="s">
        <v>423</v>
      </c>
      <c r="ID67">
        <v>0</v>
      </c>
      <c r="IE67">
        <v>100</v>
      </c>
      <c r="IF67">
        <v>100</v>
      </c>
      <c r="IG67">
        <v>-9.6000000000000002E-2</v>
      </c>
      <c r="IH67">
        <v>0.34179999999999999</v>
      </c>
      <c r="II67">
        <v>-0.19311586616601939</v>
      </c>
      <c r="IJ67">
        <v>7.0786345690369205E-4</v>
      </c>
      <c r="IK67">
        <v>-1.387476646623666E-6</v>
      </c>
      <c r="IL67">
        <v>3.6592443641472651E-10</v>
      </c>
      <c r="IM67">
        <v>0.34184606930907091</v>
      </c>
      <c r="IN67">
        <v>0</v>
      </c>
      <c r="IO67">
        <v>0</v>
      </c>
      <c r="IP67">
        <v>0</v>
      </c>
      <c r="IQ67">
        <v>2</v>
      </c>
      <c r="IR67">
        <v>2142</v>
      </c>
      <c r="IS67">
        <v>1</v>
      </c>
      <c r="IT67">
        <v>24</v>
      </c>
      <c r="IU67">
        <v>2.1</v>
      </c>
      <c r="IV67">
        <v>2.1</v>
      </c>
      <c r="IW67">
        <v>0.81909200000000004</v>
      </c>
      <c r="IX67">
        <v>2.66113</v>
      </c>
      <c r="IY67">
        <v>1.5490699999999999</v>
      </c>
      <c r="IZ67">
        <v>2.3645</v>
      </c>
      <c r="JA67">
        <v>1.5966800000000001</v>
      </c>
      <c r="JB67">
        <v>2.32544</v>
      </c>
      <c r="JC67">
        <v>41.508299999999998</v>
      </c>
      <c r="JD67">
        <v>24.2364</v>
      </c>
      <c r="JE67">
        <v>18</v>
      </c>
      <c r="JF67">
        <v>427.37299999999999</v>
      </c>
      <c r="JG67">
        <v>458.57799999999997</v>
      </c>
      <c r="JH67">
        <v>26.630099999999999</v>
      </c>
      <c r="JI67">
        <v>34.977400000000003</v>
      </c>
      <c r="JJ67">
        <v>29.9999</v>
      </c>
      <c r="JK67">
        <v>34.968299999999999</v>
      </c>
      <c r="JL67">
        <v>34.956099999999999</v>
      </c>
      <c r="JM67">
        <v>16.385400000000001</v>
      </c>
      <c r="JN67">
        <v>23.933499999999999</v>
      </c>
      <c r="JO67">
        <v>45.612499999999997</v>
      </c>
      <c r="JP67">
        <v>26.638000000000002</v>
      </c>
      <c r="JQ67">
        <v>300</v>
      </c>
      <c r="JR67">
        <v>22.956099999999999</v>
      </c>
      <c r="JS67">
        <v>98.586600000000004</v>
      </c>
      <c r="JT67">
        <v>99.430300000000003</v>
      </c>
    </row>
    <row r="68" spans="1:280" x14ac:dyDescent="0.25">
      <c r="A68">
        <v>52</v>
      </c>
      <c r="B68">
        <v>1700247756.5</v>
      </c>
      <c r="C68">
        <v>10622</v>
      </c>
      <c r="D68" t="s">
        <v>639</v>
      </c>
      <c r="E68" t="s">
        <v>640</v>
      </c>
      <c r="F68" t="s">
        <v>412</v>
      </c>
      <c r="G68" t="s">
        <v>413</v>
      </c>
      <c r="H68" t="s">
        <v>601</v>
      </c>
      <c r="I68">
        <v>1700247756.5</v>
      </c>
      <c r="J68">
        <f t="shared" si="46"/>
        <v>5.3660803718247061E-3</v>
      </c>
      <c r="K68">
        <f t="shared" si="47"/>
        <v>5.3660803718247063</v>
      </c>
      <c r="L68">
        <f t="shared" si="48"/>
        <v>25.885415272715843</v>
      </c>
      <c r="M68">
        <f t="shared" si="49"/>
        <v>173.21100000000001</v>
      </c>
      <c r="N68">
        <f t="shared" si="50"/>
        <v>52.252239783311722</v>
      </c>
      <c r="O68">
        <f t="shared" si="51"/>
        <v>5.1717707469425607</v>
      </c>
      <c r="P68">
        <f t="shared" si="52"/>
        <v>17.143907831770498</v>
      </c>
      <c r="Q68">
        <f t="shared" si="53"/>
        <v>0.37005058261939855</v>
      </c>
      <c r="R68">
        <f t="shared" si="54"/>
        <v>3.1262029255503312</v>
      </c>
      <c r="S68">
        <f t="shared" si="55"/>
        <v>0.34732419431965189</v>
      </c>
      <c r="T68">
        <f t="shared" si="56"/>
        <v>0.21900308963191306</v>
      </c>
      <c r="U68">
        <f t="shared" si="57"/>
        <v>289.57082141939401</v>
      </c>
      <c r="V68">
        <f t="shared" si="58"/>
        <v>30.12841009479753</v>
      </c>
      <c r="W68">
        <f t="shared" si="59"/>
        <v>29.9482</v>
      </c>
      <c r="X68">
        <f t="shared" si="60"/>
        <v>4.2477898681563788</v>
      </c>
      <c r="Y68">
        <f t="shared" si="61"/>
        <v>65.702909981366403</v>
      </c>
      <c r="Z68">
        <f t="shared" si="62"/>
        <v>2.7728509869340496</v>
      </c>
      <c r="AA68">
        <f t="shared" si="63"/>
        <v>4.2202864191562304</v>
      </c>
      <c r="AB68">
        <f t="shared" si="64"/>
        <v>1.4749388812223292</v>
      </c>
      <c r="AC68">
        <f t="shared" si="65"/>
        <v>-236.64414439746955</v>
      </c>
      <c r="AD68">
        <f t="shared" si="66"/>
        <v>-19.045003289816375</v>
      </c>
      <c r="AE68">
        <f t="shared" si="67"/>
        <v>-1.3531228499151091</v>
      </c>
      <c r="AF68">
        <f t="shared" si="68"/>
        <v>32.528550882192974</v>
      </c>
      <c r="AG68">
        <v>74</v>
      </c>
      <c r="AH68">
        <v>15</v>
      </c>
      <c r="AI68">
        <f t="shared" si="69"/>
        <v>1</v>
      </c>
      <c r="AJ68">
        <f t="shared" si="70"/>
        <v>0</v>
      </c>
      <c r="AK68">
        <f t="shared" si="71"/>
        <v>51890.429989680852</v>
      </c>
      <c r="AL68" t="s">
        <v>446</v>
      </c>
      <c r="AM68" t="s">
        <v>446</v>
      </c>
      <c r="AN68">
        <v>0</v>
      </c>
      <c r="AO68">
        <v>0</v>
      </c>
      <c r="AP68" t="e">
        <f t="shared" si="72"/>
        <v>#DIV/0!</v>
      </c>
      <c r="AQ68">
        <v>0</v>
      </c>
      <c r="AR68" t="s">
        <v>446</v>
      </c>
      <c r="AS68" t="s">
        <v>446</v>
      </c>
      <c r="AT68">
        <v>0</v>
      </c>
      <c r="AU68">
        <v>0</v>
      </c>
      <c r="AV68" t="e">
        <f t="shared" si="73"/>
        <v>#DIV/0!</v>
      </c>
      <c r="AW68">
        <v>0.5</v>
      </c>
      <c r="AX68">
        <f t="shared" si="74"/>
        <v>1513.2021002173024</v>
      </c>
      <c r="AY68">
        <f t="shared" si="75"/>
        <v>25.885415272715843</v>
      </c>
      <c r="AZ68" t="e">
        <f t="shared" si="76"/>
        <v>#DIV/0!</v>
      </c>
      <c r="BA68">
        <f t="shared" si="77"/>
        <v>1.7106383389897877E-2</v>
      </c>
      <c r="BB68" t="e">
        <f t="shared" si="78"/>
        <v>#DIV/0!</v>
      </c>
      <c r="BC68" t="e">
        <f t="shared" si="79"/>
        <v>#DIV/0!</v>
      </c>
      <c r="BD68" t="s">
        <v>446</v>
      </c>
      <c r="BE68">
        <v>0</v>
      </c>
      <c r="BF68" t="e">
        <f t="shared" si="80"/>
        <v>#DIV/0!</v>
      </c>
      <c r="BG68" t="e">
        <f t="shared" si="81"/>
        <v>#DIV/0!</v>
      </c>
      <c r="BH68" t="e">
        <f t="shared" si="82"/>
        <v>#DIV/0!</v>
      </c>
      <c r="BI68" t="e">
        <f t="shared" si="83"/>
        <v>#DIV/0!</v>
      </c>
      <c r="BJ68" t="e">
        <f t="shared" si="84"/>
        <v>#DIV/0!</v>
      </c>
      <c r="BK68" t="e">
        <f t="shared" si="85"/>
        <v>#DIV/0!</v>
      </c>
      <c r="BL68" t="e">
        <f t="shared" si="86"/>
        <v>#DIV/0!</v>
      </c>
      <c r="BM68" t="e">
        <f t="shared" si="87"/>
        <v>#DIV/0!</v>
      </c>
      <c r="BN68">
        <v>34583</v>
      </c>
      <c r="BO68">
        <v>290.00000000000011</v>
      </c>
      <c r="BP68">
        <v>791.91</v>
      </c>
      <c r="BQ68">
        <v>275</v>
      </c>
      <c r="BR68">
        <v>7112.68</v>
      </c>
      <c r="BS68">
        <v>792.95</v>
      </c>
      <c r="BT68">
        <v>-1.04</v>
      </c>
      <c r="BU68">
        <v>300.00000000000011</v>
      </c>
      <c r="BV68">
        <v>38.200000000000003</v>
      </c>
      <c r="BW68">
        <v>846.4559426099546</v>
      </c>
      <c r="BX68">
        <v>1.4003433433358461</v>
      </c>
      <c r="BY68">
        <v>-38.053572013485443</v>
      </c>
      <c r="BZ68">
        <v>0.83497751710464641</v>
      </c>
      <c r="CA68">
        <v>0.98669848231724022</v>
      </c>
      <c r="CB68">
        <v>-7.0113730812013386E-3</v>
      </c>
      <c r="CC68">
        <v>289.99999999999989</v>
      </c>
      <c r="CD68">
        <v>799.26</v>
      </c>
      <c r="CE68">
        <v>795</v>
      </c>
      <c r="CF68">
        <v>7106.85</v>
      </c>
      <c r="CG68">
        <v>792.91</v>
      </c>
      <c r="CH68">
        <v>6.35</v>
      </c>
      <c r="CV68">
        <f t="shared" si="88"/>
        <v>1800.02</v>
      </c>
      <c r="CW68">
        <f t="shared" si="89"/>
        <v>1513.2021002173024</v>
      </c>
      <c r="CX68">
        <f t="shared" si="90"/>
        <v>0.84065849280413685</v>
      </c>
      <c r="CY68">
        <f t="shared" si="91"/>
        <v>0.16087089111198433</v>
      </c>
      <c r="CZ68">
        <v>5</v>
      </c>
      <c r="DA68">
        <v>0.5</v>
      </c>
      <c r="DB68" t="s">
        <v>418</v>
      </c>
      <c r="DC68">
        <v>2</v>
      </c>
      <c r="DD68">
        <v>1700247756.5</v>
      </c>
      <c r="DE68">
        <v>173.21100000000001</v>
      </c>
      <c r="DF68">
        <v>200.02099999999999</v>
      </c>
      <c r="DG68">
        <v>28.0151</v>
      </c>
      <c r="DH68">
        <v>22.8003</v>
      </c>
      <c r="DI68">
        <v>173.32300000000001</v>
      </c>
      <c r="DJ68">
        <v>27.6691</v>
      </c>
      <c r="DK68">
        <v>500.09100000000001</v>
      </c>
      <c r="DL68">
        <v>98.877399999999994</v>
      </c>
      <c r="DM68">
        <v>9.9615499999999996E-2</v>
      </c>
      <c r="DN68">
        <v>29.8352</v>
      </c>
      <c r="DO68">
        <v>29.9482</v>
      </c>
      <c r="DP68">
        <v>999.9</v>
      </c>
      <c r="DQ68">
        <v>0</v>
      </c>
      <c r="DR68">
        <v>0</v>
      </c>
      <c r="DS68">
        <v>10019.4</v>
      </c>
      <c r="DT68">
        <v>0</v>
      </c>
      <c r="DU68">
        <v>366.49299999999999</v>
      </c>
      <c r="DV68">
        <v>-26.8095</v>
      </c>
      <c r="DW68">
        <v>178.20400000000001</v>
      </c>
      <c r="DX68">
        <v>204.68799999999999</v>
      </c>
      <c r="DY68">
        <v>5.2148099999999999</v>
      </c>
      <c r="DZ68">
        <v>200.02099999999999</v>
      </c>
      <c r="EA68">
        <v>22.8003</v>
      </c>
      <c r="EB68">
        <v>2.77006</v>
      </c>
      <c r="EC68">
        <v>2.2544300000000002</v>
      </c>
      <c r="ED68">
        <v>22.706700000000001</v>
      </c>
      <c r="EE68">
        <v>19.354399999999998</v>
      </c>
      <c r="EF68">
        <v>1800.02</v>
      </c>
      <c r="EG68">
        <v>0.977989</v>
      </c>
      <c r="EH68">
        <v>2.20114E-2</v>
      </c>
      <c r="EI68">
        <v>0</v>
      </c>
      <c r="EJ68">
        <v>668.51599999999996</v>
      </c>
      <c r="EK68">
        <v>4.9996700000000001</v>
      </c>
      <c r="EL68">
        <v>13064.2</v>
      </c>
      <c r="EM68">
        <v>15046.9</v>
      </c>
      <c r="EN68">
        <v>48.936999999999998</v>
      </c>
      <c r="EO68">
        <v>50.25</v>
      </c>
      <c r="EP68">
        <v>49.75</v>
      </c>
      <c r="EQ68">
        <v>50</v>
      </c>
      <c r="ER68">
        <v>50.436999999999998</v>
      </c>
      <c r="ES68">
        <v>1755.51</v>
      </c>
      <c r="ET68">
        <v>39.51</v>
      </c>
      <c r="EU68">
        <v>0</v>
      </c>
      <c r="EV68">
        <v>115.7999999523163</v>
      </c>
      <c r="EW68">
        <v>0</v>
      </c>
      <c r="EX68">
        <v>668.9976153846153</v>
      </c>
      <c r="EY68">
        <v>-2.3902905996880728</v>
      </c>
      <c r="EZ68">
        <v>27.039316264137138</v>
      </c>
      <c r="FA68">
        <v>13060.51153846154</v>
      </c>
      <c r="FB68">
        <v>15</v>
      </c>
      <c r="FC68">
        <v>1700247713.5</v>
      </c>
      <c r="FD68" t="s">
        <v>641</v>
      </c>
      <c r="FE68">
        <v>1700247711.5</v>
      </c>
      <c r="FF68">
        <v>1700247713.5</v>
      </c>
      <c r="FG68">
        <v>60</v>
      </c>
      <c r="FH68">
        <v>-2E-3</v>
      </c>
      <c r="FI68">
        <v>4.0000000000000001E-3</v>
      </c>
      <c r="FJ68">
        <v>-0.106</v>
      </c>
      <c r="FK68">
        <v>0.30199999999999999</v>
      </c>
      <c r="FL68">
        <v>200</v>
      </c>
      <c r="FM68">
        <v>23</v>
      </c>
      <c r="FN68">
        <v>0.04</v>
      </c>
      <c r="FO68">
        <v>0.01</v>
      </c>
      <c r="FP68">
        <v>25.62502889800146</v>
      </c>
      <c r="FQ68">
        <v>0.58787886634586128</v>
      </c>
      <c r="FR68">
        <v>9.481851566442534E-2</v>
      </c>
      <c r="FS68">
        <v>1</v>
      </c>
      <c r="FT68">
        <v>0.36215500891866081</v>
      </c>
      <c r="FU68">
        <v>2.1842722107549381E-2</v>
      </c>
      <c r="FV68">
        <v>1.8870896859682371E-3</v>
      </c>
      <c r="FW68">
        <v>1</v>
      </c>
      <c r="FX68">
        <v>2</v>
      </c>
      <c r="FY68">
        <v>2</v>
      </c>
      <c r="FZ68" t="s">
        <v>420</v>
      </c>
      <c r="GA68">
        <v>3.0123199999999999</v>
      </c>
      <c r="GB68">
        <v>2.7768700000000002</v>
      </c>
      <c r="GC68">
        <v>4.36408E-2</v>
      </c>
      <c r="GD68">
        <v>4.9931999999999997E-2</v>
      </c>
      <c r="GE68">
        <v>0.12657599999999999</v>
      </c>
      <c r="GF68">
        <v>0.110889</v>
      </c>
      <c r="GG68">
        <v>22949.3</v>
      </c>
      <c r="GH68">
        <v>23542.2</v>
      </c>
      <c r="GI68">
        <v>23767.5</v>
      </c>
      <c r="GJ68">
        <v>24441.200000000001</v>
      </c>
      <c r="GK68">
        <v>30706</v>
      </c>
      <c r="GL68">
        <v>31163.7</v>
      </c>
      <c r="GM68">
        <v>38927.800000000003</v>
      </c>
      <c r="GN68">
        <v>38925.800000000003</v>
      </c>
      <c r="GO68">
        <v>1.8504</v>
      </c>
      <c r="GP68">
        <v>1.8049999999999999</v>
      </c>
      <c r="GQ68">
        <v>5.73322E-2</v>
      </c>
      <c r="GR68">
        <v>0</v>
      </c>
      <c r="GS68">
        <v>29.014399999999998</v>
      </c>
      <c r="GT68">
        <v>999.9</v>
      </c>
      <c r="GU68">
        <v>40.9</v>
      </c>
      <c r="GV68">
        <v>38.6</v>
      </c>
      <c r="GW68">
        <v>28.443000000000001</v>
      </c>
      <c r="GX68">
        <v>60.683799999999998</v>
      </c>
      <c r="GY68">
        <v>31.093800000000002</v>
      </c>
      <c r="GZ68">
        <v>1</v>
      </c>
      <c r="HA68">
        <v>0.63508600000000004</v>
      </c>
      <c r="HB68">
        <v>2.3474200000000001</v>
      </c>
      <c r="HC68">
        <v>20.314499999999999</v>
      </c>
      <c r="HD68">
        <v>5.2408000000000001</v>
      </c>
      <c r="HE68">
        <v>11.998100000000001</v>
      </c>
      <c r="HF68">
        <v>4.9630000000000001</v>
      </c>
      <c r="HG68">
        <v>3.3001999999999998</v>
      </c>
      <c r="HH68">
        <v>9999</v>
      </c>
      <c r="HI68">
        <v>9999</v>
      </c>
      <c r="HJ68">
        <v>9999</v>
      </c>
      <c r="HK68">
        <v>999.9</v>
      </c>
      <c r="HL68">
        <v>1.8750199999999999</v>
      </c>
      <c r="HM68">
        <v>1.8803399999999999</v>
      </c>
      <c r="HN68">
        <v>1.88049</v>
      </c>
      <c r="HO68">
        <v>1.8791599999999999</v>
      </c>
      <c r="HP68">
        <v>1.8815599999999999</v>
      </c>
      <c r="HQ68">
        <v>1.87744</v>
      </c>
      <c r="HR68">
        <v>1.87514</v>
      </c>
      <c r="HS68">
        <v>1.88246</v>
      </c>
      <c r="HT68">
        <v>5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423</v>
      </c>
      <c r="IB68" t="s">
        <v>423</v>
      </c>
      <c r="IC68" t="s">
        <v>423</v>
      </c>
      <c r="ID68">
        <v>0</v>
      </c>
      <c r="IE68">
        <v>100</v>
      </c>
      <c r="IF68">
        <v>100</v>
      </c>
      <c r="IG68">
        <v>-0.112</v>
      </c>
      <c r="IH68">
        <v>0.34599999999999997</v>
      </c>
      <c r="II68">
        <v>-0.194709342869233</v>
      </c>
      <c r="IJ68">
        <v>7.0786345690369205E-4</v>
      </c>
      <c r="IK68">
        <v>-1.387476646623666E-6</v>
      </c>
      <c r="IL68">
        <v>3.6592443641472651E-10</v>
      </c>
      <c r="IM68">
        <v>0.34602169540923272</v>
      </c>
      <c r="IN68">
        <v>0</v>
      </c>
      <c r="IO68">
        <v>0</v>
      </c>
      <c r="IP68">
        <v>0</v>
      </c>
      <c r="IQ68">
        <v>2</v>
      </c>
      <c r="IR68">
        <v>2142</v>
      </c>
      <c r="IS68">
        <v>1</v>
      </c>
      <c r="IT68">
        <v>24</v>
      </c>
      <c r="IU68">
        <v>0.8</v>
      </c>
      <c r="IV68">
        <v>0.7</v>
      </c>
      <c r="IW68">
        <v>0.60180699999999998</v>
      </c>
      <c r="IX68">
        <v>2.67334</v>
      </c>
      <c r="IY68">
        <v>1.5490699999999999</v>
      </c>
      <c r="IZ68">
        <v>2.3645</v>
      </c>
      <c r="JA68">
        <v>1.5966800000000001</v>
      </c>
      <c r="JB68">
        <v>2.2351100000000002</v>
      </c>
      <c r="JC68">
        <v>41.508299999999998</v>
      </c>
      <c r="JD68">
        <v>24.2364</v>
      </c>
      <c r="JE68">
        <v>18</v>
      </c>
      <c r="JF68">
        <v>427.35199999999998</v>
      </c>
      <c r="JG68">
        <v>458.25599999999997</v>
      </c>
      <c r="JH68">
        <v>26.739000000000001</v>
      </c>
      <c r="JI68">
        <v>34.996499999999997</v>
      </c>
      <c r="JJ68">
        <v>29.999600000000001</v>
      </c>
      <c r="JK68">
        <v>34.987499999999997</v>
      </c>
      <c r="JL68">
        <v>34.974800000000002</v>
      </c>
      <c r="JM68">
        <v>12.0297</v>
      </c>
      <c r="JN68">
        <v>24.903400000000001</v>
      </c>
      <c r="JO68">
        <v>45.444200000000002</v>
      </c>
      <c r="JP68">
        <v>26.7578</v>
      </c>
      <c r="JQ68">
        <v>200</v>
      </c>
      <c r="JR68">
        <v>22.573499999999999</v>
      </c>
      <c r="JS68">
        <v>98.584000000000003</v>
      </c>
      <c r="JT68">
        <v>99.428299999999993</v>
      </c>
    </row>
    <row r="69" spans="1:280" x14ac:dyDescent="0.25">
      <c r="A69">
        <v>53</v>
      </c>
      <c r="B69">
        <v>1700247887</v>
      </c>
      <c r="C69">
        <v>10752.5</v>
      </c>
      <c r="D69" t="s">
        <v>642</v>
      </c>
      <c r="E69" t="s">
        <v>643</v>
      </c>
      <c r="F69" t="s">
        <v>412</v>
      </c>
      <c r="G69" t="s">
        <v>413</v>
      </c>
      <c r="H69" t="s">
        <v>601</v>
      </c>
      <c r="I69">
        <v>1700247887</v>
      </c>
      <c r="J69">
        <f t="shared" si="46"/>
        <v>6.5480727071299131E-3</v>
      </c>
      <c r="K69">
        <f t="shared" si="47"/>
        <v>6.5480727071299132</v>
      </c>
      <c r="L69">
        <f t="shared" si="48"/>
        <v>18.07753719105747</v>
      </c>
      <c r="M69">
        <f t="shared" si="49"/>
        <v>101.241</v>
      </c>
      <c r="N69">
        <f t="shared" si="50"/>
        <v>33.093063816298873</v>
      </c>
      <c r="O69">
        <f t="shared" si="51"/>
        <v>3.2754944603534515</v>
      </c>
      <c r="P69">
        <f t="shared" si="52"/>
        <v>10.0206598126257</v>
      </c>
      <c r="Q69">
        <f t="shared" si="53"/>
        <v>0.46538944144962974</v>
      </c>
      <c r="R69">
        <f t="shared" si="54"/>
        <v>3.1251260142219239</v>
      </c>
      <c r="S69">
        <f t="shared" si="55"/>
        <v>0.43003259879993605</v>
      </c>
      <c r="T69">
        <f t="shared" si="56"/>
        <v>0.27172285525416867</v>
      </c>
      <c r="U69">
        <f t="shared" si="57"/>
        <v>289.60100441902904</v>
      </c>
      <c r="V69">
        <f t="shared" si="58"/>
        <v>30.101404360224887</v>
      </c>
      <c r="W69">
        <f t="shared" si="59"/>
        <v>30.012499999999999</v>
      </c>
      <c r="X69">
        <f t="shared" si="60"/>
        <v>4.2635096889186253</v>
      </c>
      <c r="Y69">
        <f t="shared" si="61"/>
        <v>65.595294121127495</v>
      </c>
      <c r="Z69">
        <f t="shared" si="62"/>
        <v>2.8102308517694796</v>
      </c>
      <c r="AA69">
        <f t="shared" si="63"/>
        <v>4.2841958244445708</v>
      </c>
      <c r="AB69">
        <f t="shared" si="64"/>
        <v>1.4532788371491456</v>
      </c>
      <c r="AC69">
        <f t="shared" si="65"/>
        <v>-288.77000638442917</v>
      </c>
      <c r="AD69">
        <f t="shared" si="66"/>
        <v>14.203015207117557</v>
      </c>
      <c r="AE69">
        <f t="shared" si="67"/>
        <v>1.011083656895102</v>
      </c>
      <c r="AF69">
        <f t="shared" si="68"/>
        <v>16.045096898612528</v>
      </c>
      <c r="AG69">
        <v>72</v>
      </c>
      <c r="AH69">
        <v>14</v>
      </c>
      <c r="AI69">
        <f t="shared" si="69"/>
        <v>1</v>
      </c>
      <c r="AJ69">
        <f t="shared" si="70"/>
        <v>0</v>
      </c>
      <c r="AK69">
        <f t="shared" si="71"/>
        <v>51818.38619680758</v>
      </c>
      <c r="AL69" t="s">
        <v>415</v>
      </c>
      <c r="AM69">
        <v>10238.9</v>
      </c>
      <c r="AN69">
        <v>302.21199999999999</v>
      </c>
      <c r="AO69">
        <v>4052.3</v>
      </c>
      <c r="AP69">
        <f t="shared" si="72"/>
        <v>0.92542210596451402</v>
      </c>
      <c r="AQ69">
        <v>-0.32343011824092421</v>
      </c>
      <c r="AR69" t="s">
        <v>644</v>
      </c>
      <c r="AS69">
        <v>7112.72</v>
      </c>
      <c r="AT69">
        <v>688.82420000000013</v>
      </c>
      <c r="AU69">
        <v>799.97334422676954</v>
      </c>
      <c r="AV69">
        <f t="shared" si="73"/>
        <v>0.13894105976018845</v>
      </c>
      <c r="AW69">
        <v>0.5</v>
      </c>
      <c r="AX69">
        <f t="shared" si="74"/>
        <v>1513.3692002171135</v>
      </c>
      <c r="AY69">
        <f t="shared" si="75"/>
        <v>18.07753719105747</v>
      </c>
      <c r="AZ69">
        <f t="shared" si="76"/>
        <v>105.13456024329729</v>
      </c>
      <c r="BA69">
        <f t="shared" si="77"/>
        <v>1.2158941325526199E-2</v>
      </c>
      <c r="BB69">
        <f t="shared" si="78"/>
        <v>4.0655437824829432</v>
      </c>
      <c r="BC69">
        <f t="shared" si="79"/>
        <v>231.89999316988767</v>
      </c>
      <c r="BD69" t="s">
        <v>645</v>
      </c>
      <c r="BE69">
        <v>488.41</v>
      </c>
      <c r="BF69">
        <f t="shared" si="80"/>
        <v>488.41</v>
      </c>
      <c r="BG69">
        <f t="shared" si="81"/>
        <v>0.38946715721874137</v>
      </c>
      <c r="BH69">
        <f t="shared" si="82"/>
        <v>0.35674653737786999</v>
      </c>
      <c r="BI69">
        <f t="shared" si="83"/>
        <v>0.91257773269467635</v>
      </c>
      <c r="BJ69">
        <f t="shared" si="84"/>
        <v>0.22329806345133182</v>
      </c>
      <c r="BK69">
        <f t="shared" si="85"/>
        <v>0.86726675634631245</v>
      </c>
      <c r="BL69">
        <f t="shared" si="86"/>
        <v>0.25295071851529816</v>
      </c>
      <c r="BM69">
        <f t="shared" si="87"/>
        <v>0.74704928148470184</v>
      </c>
      <c r="BN69">
        <v>34585</v>
      </c>
      <c r="BO69">
        <v>290.00000000000011</v>
      </c>
      <c r="BP69">
        <v>772.46</v>
      </c>
      <c r="BQ69">
        <v>295</v>
      </c>
      <c r="BR69">
        <v>7112.72</v>
      </c>
      <c r="BS69">
        <v>773.58</v>
      </c>
      <c r="BT69">
        <v>-1.1200000000000001</v>
      </c>
      <c r="BU69">
        <v>300.00000000000011</v>
      </c>
      <c r="BV69">
        <v>38.200000000000003</v>
      </c>
      <c r="BW69">
        <v>799.97334422676954</v>
      </c>
      <c r="BX69">
        <v>1.0787298389210209</v>
      </c>
      <c r="BY69">
        <v>-18.772318944397309</v>
      </c>
      <c r="BZ69">
        <v>0.64324813526455948</v>
      </c>
      <c r="CA69">
        <v>0.96817040891770312</v>
      </c>
      <c r="CB69">
        <v>-7.0114206896551724E-3</v>
      </c>
      <c r="CC69">
        <v>289.99999999999989</v>
      </c>
      <c r="CD69">
        <v>778.41</v>
      </c>
      <c r="CE69">
        <v>885</v>
      </c>
      <c r="CF69">
        <v>7106.04</v>
      </c>
      <c r="CG69">
        <v>773.56</v>
      </c>
      <c r="CH69">
        <v>4.8499999999999996</v>
      </c>
      <c r="CV69">
        <f t="shared" si="88"/>
        <v>1800.22</v>
      </c>
      <c r="CW69">
        <f t="shared" si="89"/>
        <v>1513.3692002171135</v>
      </c>
      <c r="CX69">
        <f t="shared" si="90"/>
        <v>0.8406579197082098</v>
      </c>
      <c r="CY69">
        <f t="shared" si="91"/>
        <v>0.16086978503684496</v>
      </c>
      <c r="CZ69">
        <v>5</v>
      </c>
      <c r="DA69">
        <v>0.5</v>
      </c>
      <c r="DB69" t="s">
        <v>418</v>
      </c>
      <c r="DC69">
        <v>2</v>
      </c>
      <c r="DD69">
        <v>1700247887</v>
      </c>
      <c r="DE69">
        <v>101.241</v>
      </c>
      <c r="DF69">
        <v>119.976</v>
      </c>
      <c r="DG69">
        <v>28.392399999999999</v>
      </c>
      <c r="DH69">
        <v>22.0321</v>
      </c>
      <c r="DI69">
        <v>101.34099999999999</v>
      </c>
      <c r="DJ69">
        <v>28.040500000000002</v>
      </c>
      <c r="DK69">
        <v>500.14600000000002</v>
      </c>
      <c r="DL69">
        <v>98.878399999999999</v>
      </c>
      <c r="DM69">
        <v>9.98777E-2</v>
      </c>
      <c r="DN69">
        <v>30.096800000000002</v>
      </c>
      <c r="DO69">
        <v>30.012499999999999</v>
      </c>
      <c r="DP69">
        <v>999.9</v>
      </c>
      <c r="DQ69">
        <v>0</v>
      </c>
      <c r="DR69">
        <v>0</v>
      </c>
      <c r="DS69">
        <v>10013.799999999999</v>
      </c>
      <c r="DT69">
        <v>0</v>
      </c>
      <c r="DU69">
        <v>372.90199999999999</v>
      </c>
      <c r="DV69">
        <v>-18.7346</v>
      </c>
      <c r="DW69">
        <v>104.2</v>
      </c>
      <c r="DX69">
        <v>122.679</v>
      </c>
      <c r="DY69">
        <v>6.3602999999999996</v>
      </c>
      <c r="DZ69">
        <v>119.976</v>
      </c>
      <c r="EA69">
        <v>22.0321</v>
      </c>
      <c r="EB69">
        <v>2.8073899999999998</v>
      </c>
      <c r="EC69">
        <v>2.17849</v>
      </c>
      <c r="ED69">
        <v>22.927600000000002</v>
      </c>
      <c r="EE69">
        <v>18.805</v>
      </c>
      <c r="EF69">
        <v>1800.22</v>
      </c>
      <c r="EG69">
        <v>0.97800900000000002</v>
      </c>
      <c r="EH69">
        <v>2.1990800000000001E-2</v>
      </c>
      <c r="EI69">
        <v>0</v>
      </c>
      <c r="EJ69">
        <v>689.27499999999998</v>
      </c>
      <c r="EK69">
        <v>4.9996700000000001</v>
      </c>
      <c r="EL69">
        <v>13958.5</v>
      </c>
      <c r="EM69">
        <v>15048.7</v>
      </c>
      <c r="EN69">
        <v>48.936999999999998</v>
      </c>
      <c r="EO69">
        <v>50.311999999999998</v>
      </c>
      <c r="EP69">
        <v>49.75</v>
      </c>
      <c r="EQ69">
        <v>50</v>
      </c>
      <c r="ER69">
        <v>50.436999999999998</v>
      </c>
      <c r="ES69">
        <v>1755.74</v>
      </c>
      <c r="ET69">
        <v>39.479999999999997</v>
      </c>
      <c r="EU69">
        <v>0</v>
      </c>
      <c r="EV69">
        <v>246</v>
      </c>
      <c r="EW69">
        <v>0</v>
      </c>
      <c r="EX69">
        <v>688.82420000000013</v>
      </c>
      <c r="EY69">
        <v>0.1441538510400738</v>
      </c>
      <c r="EZ69">
        <v>1828.584612703293</v>
      </c>
      <c r="FA69">
        <v>13502.224</v>
      </c>
      <c r="FB69">
        <v>15</v>
      </c>
      <c r="FC69">
        <v>1700247858.5</v>
      </c>
      <c r="FD69" t="s">
        <v>646</v>
      </c>
      <c r="FE69">
        <v>1700247850</v>
      </c>
      <c r="FF69">
        <v>1700247858.5</v>
      </c>
      <c r="FG69">
        <v>61</v>
      </c>
      <c r="FH69">
        <v>3.6999999999999998E-2</v>
      </c>
      <c r="FI69">
        <v>6.0000000000000001E-3</v>
      </c>
      <c r="FJ69">
        <v>-9.1999999999999998E-2</v>
      </c>
      <c r="FK69">
        <v>0.28399999999999997</v>
      </c>
      <c r="FL69">
        <v>120</v>
      </c>
      <c r="FM69">
        <v>22</v>
      </c>
      <c r="FN69">
        <v>0.09</v>
      </c>
      <c r="FO69">
        <v>0.03</v>
      </c>
      <c r="FP69">
        <v>18.01748094419488</v>
      </c>
      <c r="FQ69">
        <v>0.41153197198663832</v>
      </c>
      <c r="FR69">
        <v>4.5274525294351872E-2</v>
      </c>
      <c r="FS69">
        <v>1</v>
      </c>
      <c r="FT69">
        <v>0.46362719286740722</v>
      </c>
      <c r="FU69">
        <v>4.2923923825887438E-2</v>
      </c>
      <c r="FV69">
        <v>4.0365091557687241E-3</v>
      </c>
      <c r="FW69">
        <v>1</v>
      </c>
      <c r="FX69">
        <v>2</v>
      </c>
      <c r="FY69">
        <v>2</v>
      </c>
      <c r="FZ69" t="s">
        <v>420</v>
      </c>
      <c r="GA69">
        <v>3.01247</v>
      </c>
      <c r="GB69">
        <v>2.7770899999999998</v>
      </c>
      <c r="GC69">
        <v>2.6546899999999998E-2</v>
      </c>
      <c r="GD69">
        <v>3.1388699999999999E-2</v>
      </c>
      <c r="GE69">
        <v>0.12773499999999999</v>
      </c>
      <c r="GF69">
        <v>0.10827000000000001</v>
      </c>
      <c r="GG69">
        <v>23356.5</v>
      </c>
      <c r="GH69">
        <v>23998.7</v>
      </c>
      <c r="GI69">
        <v>23765.4</v>
      </c>
      <c r="GJ69">
        <v>24439</v>
      </c>
      <c r="GK69">
        <v>30663</v>
      </c>
      <c r="GL69">
        <v>31253.9</v>
      </c>
      <c r="GM69">
        <v>38924.6</v>
      </c>
      <c r="GN69">
        <v>38923.599999999999</v>
      </c>
      <c r="GO69">
        <v>1.8537300000000001</v>
      </c>
      <c r="GP69">
        <v>1.8029500000000001</v>
      </c>
      <c r="GQ69">
        <v>4.4748200000000002E-2</v>
      </c>
      <c r="GR69">
        <v>0</v>
      </c>
      <c r="GS69">
        <v>29.283799999999999</v>
      </c>
      <c r="GT69">
        <v>999.9</v>
      </c>
      <c r="GU69">
        <v>40.700000000000003</v>
      </c>
      <c r="GV69">
        <v>38.6</v>
      </c>
      <c r="GW69">
        <v>28.306999999999999</v>
      </c>
      <c r="GX69">
        <v>60.693800000000003</v>
      </c>
      <c r="GY69">
        <v>30.3325</v>
      </c>
      <c r="GZ69">
        <v>1</v>
      </c>
      <c r="HA69">
        <v>0.64058700000000002</v>
      </c>
      <c r="HB69">
        <v>2.8174199999999998</v>
      </c>
      <c r="HC69">
        <v>20.3064</v>
      </c>
      <c r="HD69">
        <v>5.24634</v>
      </c>
      <c r="HE69">
        <v>11.9998</v>
      </c>
      <c r="HF69">
        <v>4.9638</v>
      </c>
      <c r="HG69">
        <v>3.3010000000000002</v>
      </c>
      <c r="HH69">
        <v>9999</v>
      </c>
      <c r="HI69">
        <v>9999</v>
      </c>
      <c r="HJ69">
        <v>9999</v>
      </c>
      <c r="HK69">
        <v>999.9</v>
      </c>
      <c r="HL69">
        <v>1.875</v>
      </c>
      <c r="HM69">
        <v>1.8803399999999999</v>
      </c>
      <c r="HN69">
        <v>1.88049</v>
      </c>
      <c r="HO69">
        <v>1.8791500000000001</v>
      </c>
      <c r="HP69">
        <v>1.8815599999999999</v>
      </c>
      <c r="HQ69">
        <v>1.87744</v>
      </c>
      <c r="HR69">
        <v>1.87513</v>
      </c>
      <c r="HS69">
        <v>1.8824799999999999</v>
      </c>
      <c r="HT69">
        <v>5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423</v>
      </c>
      <c r="IB69" t="s">
        <v>423</v>
      </c>
      <c r="IC69" t="s">
        <v>423</v>
      </c>
      <c r="ID69">
        <v>0</v>
      </c>
      <c r="IE69">
        <v>100</v>
      </c>
      <c r="IF69">
        <v>100</v>
      </c>
      <c r="IG69">
        <v>-0.1</v>
      </c>
      <c r="IH69">
        <v>0.35189999999999999</v>
      </c>
      <c r="II69">
        <v>-0.15780148516436049</v>
      </c>
      <c r="IJ69">
        <v>7.0786345690369205E-4</v>
      </c>
      <c r="IK69">
        <v>-1.387476646623666E-6</v>
      </c>
      <c r="IL69">
        <v>3.6592443641472651E-10</v>
      </c>
      <c r="IM69">
        <v>0.35184645259138891</v>
      </c>
      <c r="IN69">
        <v>0</v>
      </c>
      <c r="IO69">
        <v>0</v>
      </c>
      <c r="IP69">
        <v>0</v>
      </c>
      <c r="IQ69">
        <v>2</v>
      </c>
      <c r="IR69">
        <v>2142</v>
      </c>
      <c r="IS69">
        <v>1</v>
      </c>
      <c r="IT69">
        <v>24</v>
      </c>
      <c r="IU69">
        <v>0.6</v>
      </c>
      <c r="IV69">
        <v>0.5</v>
      </c>
      <c r="IW69">
        <v>0.42114299999999999</v>
      </c>
      <c r="IX69">
        <v>2.67334</v>
      </c>
      <c r="IY69">
        <v>1.5490699999999999</v>
      </c>
      <c r="IZ69">
        <v>2.3645</v>
      </c>
      <c r="JA69">
        <v>1.5954600000000001</v>
      </c>
      <c r="JB69">
        <v>2.3791500000000001</v>
      </c>
      <c r="JC69">
        <v>41.508299999999998</v>
      </c>
      <c r="JD69">
        <v>24.245100000000001</v>
      </c>
      <c r="JE69">
        <v>18</v>
      </c>
      <c r="JF69">
        <v>429.44400000000002</v>
      </c>
      <c r="JG69">
        <v>457.14600000000002</v>
      </c>
      <c r="JH69">
        <v>26.924700000000001</v>
      </c>
      <c r="JI69">
        <v>35.039400000000001</v>
      </c>
      <c r="JJ69">
        <v>30.0002</v>
      </c>
      <c r="JK69">
        <v>35.022799999999997</v>
      </c>
      <c r="JL69">
        <v>35.006399999999999</v>
      </c>
      <c r="JM69">
        <v>8.4278499999999994</v>
      </c>
      <c r="JN69">
        <v>26.496500000000001</v>
      </c>
      <c r="JO69">
        <v>44.204999999999998</v>
      </c>
      <c r="JP69">
        <v>26.9206</v>
      </c>
      <c r="JQ69">
        <v>120</v>
      </c>
      <c r="JR69">
        <v>21.9298</v>
      </c>
      <c r="JS69">
        <v>98.575699999999998</v>
      </c>
      <c r="JT69">
        <v>99.421400000000006</v>
      </c>
    </row>
    <row r="70" spans="1:280" x14ac:dyDescent="0.25">
      <c r="A70">
        <v>54</v>
      </c>
      <c r="B70">
        <v>1700248009.5</v>
      </c>
      <c r="C70">
        <v>10875</v>
      </c>
      <c r="D70" t="s">
        <v>647</v>
      </c>
      <c r="E70" t="s">
        <v>648</v>
      </c>
      <c r="F70" t="s">
        <v>412</v>
      </c>
      <c r="G70" t="s">
        <v>413</v>
      </c>
      <c r="H70" t="s">
        <v>601</v>
      </c>
      <c r="I70">
        <v>1700248009.5</v>
      </c>
      <c r="J70">
        <f t="shared" si="46"/>
        <v>6.9820494848052105E-3</v>
      </c>
      <c r="K70">
        <f t="shared" si="47"/>
        <v>6.9820494848052101</v>
      </c>
      <c r="L70">
        <f t="shared" si="48"/>
        <v>11.161707225394167</v>
      </c>
      <c r="M70">
        <f t="shared" si="49"/>
        <v>58.442300000000003</v>
      </c>
      <c r="N70">
        <f t="shared" si="50"/>
        <v>19.549217744711129</v>
      </c>
      <c r="O70">
        <f t="shared" si="51"/>
        <v>1.9349569012587136</v>
      </c>
      <c r="P70">
        <f t="shared" si="52"/>
        <v>5.7845450998174002</v>
      </c>
      <c r="Q70">
        <f t="shared" si="53"/>
        <v>0.50648365525297834</v>
      </c>
      <c r="R70">
        <f t="shared" si="54"/>
        <v>3.1203450496263678</v>
      </c>
      <c r="S70">
        <f t="shared" si="55"/>
        <v>0.46484766773101627</v>
      </c>
      <c r="T70">
        <f t="shared" si="56"/>
        <v>0.29398486518726952</v>
      </c>
      <c r="U70">
        <f t="shared" si="57"/>
        <v>289.58983241904536</v>
      </c>
      <c r="V70">
        <f t="shared" si="58"/>
        <v>30.100863241895667</v>
      </c>
      <c r="W70">
        <f t="shared" si="59"/>
        <v>29.9922</v>
      </c>
      <c r="X70">
        <f t="shared" si="60"/>
        <v>4.2585413544325847</v>
      </c>
      <c r="Y70">
        <f t="shared" si="61"/>
        <v>65.542984348636082</v>
      </c>
      <c r="Z70">
        <f t="shared" si="62"/>
        <v>2.8250709357435997</v>
      </c>
      <c r="AA70">
        <f t="shared" si="63"/>
        <v>4.3102567937957925</v>
      </c>
      <c r="AB70">
        <f t="shared" si="64"/>
        <v>1.4334704186889851</v>
      </c>
      <c r="AC70">
        <f t="shared" si="65"/>
        <v>-307.9083822799098</v>
      </c>
      <c r="AD70">
        <f t="shared" si="66"/>
        <v>35.377516098940582</v>
      </c>
      <c r="AE70">
        <f t="shared" si="67"/>
        <v>2.5233784748742361</v>
      </c>
      <c r="AF70">
        <f t="shared" si="68"/>
        <v>19.582344712950366</v>
      </c>
      <c r="AG70">
        <v>78</v>
      </c>
      <c r="AH70">
        <v>16</v>
      </c>
      <c r="AI70">
        <f t="shared" si="69"/>
        <v>1</v>
      </c>
      <c r="AJ70">
        <f t="shared" si="70"/>
        <v>0</v>
      </c>
      <c r="AK70">
        <f t="shared" si="71"/>
        <v>51679.318314353251</v>
      </c>
      <c r="AL70" t="s">
        <v>446</v>
      </c>
      <c r="AM70" t="s">
        <v>446</v>
      </c>
      <c r="AN70">
        <v>0</v>
      </c>
      <c r="AO70">
        <v>0</v>
      </c>
      <c r="AP70" t="e">
        <f t="shared" si="72"/>
        <v>#DIV/0!</v>
      </c>
      <c r="AQ70">
        <v>0</v>
      </c>
      <c r="AR70" t="s">
        <v>446</v>
      </c>
      <c r="AS70" t="s">
        <v>446</v>
      </c>
      <c r="AT70">
        <v>0</v>
      </c>
      <c r="AU70">
        <v>0</v>
      </c>
      <c r="AV70" t="e">
        <f t="shared" si="73"/>
        <v>#DIV/0!</v>
      </c>
      <c r="AW70">
        <v>0.5</v>
      </c>
      <c r="AX70">
        <f t="shared" si="74"/>
        <v>1513.3104002171222</v>
      </c>
      <c r="AY70">
        <f t="shared" si="75"/>
        <v>11.161707225394167</v>
      </c>
      <c r="AZ70" t="e">
        <f t="shared" si="76"/>
        <v>#DIV/0!</v>
      </c>
      <c r="BA70">
        <f t="shared" si="77"/>
        <v>7.3756892332153016E-3</v>
      </c>
      <c r="BB70" t="e">
        <f t="shared" si="78"/>
        <v>#DIV/0!</v>
      </c>
      <c r="BC70" t="e">
        <f t="shared" si="79"/>
        <v>#DIV/0!</v>
      </c>
      <c r="BD70" t="s">
        <v>446</v>
      </c>
      <c r="BE70">
        <v>0</v>
      </c>
      <c r="BF70" t="e">
        <f t="shared" si="80"/>
        <v>#DIV/0!</v>
      </c>
      <c r="BG70" t="e">
        <f t="shared" si="81"/>
        <v>#DIV/0!</v>
      </c>
      <c r="BH70" t="e">
        <f t="shared" si="82"/>
        <v>#DIV/0!</v>
      </c>
      <c r="BI70" t="e">
        <f t="shared" si="83"/>
        <v>#DIV/0!</v>
      </c>
      <c r="BJ70" t="e">
        <f t="shared" si="84"/>
        <v>#DIV/0!</v>
      </c>
      <c r="BK70" t="e">
        <f t="shared" si="85"/>
        <v>#DIV/0!</v>
      </c>
      <c r="BL70" t="e">
        <f t="shared" si="86"/>
        <v>#DIV/0!</v>
      </c>
      <c r="BM70" t="e">
        <f t="shared" si="87"/>
        <v>#DIV/0!</v>
      </c>
      <c r="BN70">
        <v>34585</v>
      </c>
      <c r="BO70">
        <v>290.00000000000011</v>
      </c>
      <c r="BP70">
        <v>772.46</v>
      </c>
      <c r="BQ70">
        <v>295</v>
      </c>
      <c r="BR70">
        <v>7112.72</v>
      </c>
      <c r="BS70">
        <v>773.58</v>
      </c>
      <c r="BT70">
        <v>-1.1200000000000001</v>
      </c>
      <c r="BU70">
        <v>300.00000000000011</v>
      </c>
      <c r="BV70">
        <v>38.200000000000003</v>
      </c>
      <c r="BW70">
        <v>799.97334422676954</v>
      </c>
      <c r="BX70">
        <v>1.0787298389210209</v>
      </c>
      <c r="BY70">
        <v>-18.772318944397309</v>
      </c>
      <c r="BZ70">
        <v>0.64324813526455948</v>
      </c>
      <c r="CA70">
        <v>0.96817040891770312</v>
      </c>
      <c r="CB70">
        <v>-7.0114206896551724E-3</v>
      </c>
      <c r="CC70">
        <v>289.99999999999989</v>
      </c>
      <c r="CD70">
        <v>778.41</v>
      </c>
      <c r="CE70">
        <v>885</v>
      </c>
      <c r="CF70">
        <v>7106.04</v>
      </c>
      <c r="CG70">
        <v>773.56</v>
      </c>
      <c r="CH70">
        <v>4.8499999999999996</v>
      </c>
      <c r="CV70">
        <f t="shared" si="88"/>
        <v>1800.15</v>
      </c>
      <c r="CW70">
        <f t="shared" si="89"/>
        <v>1513.3104002171222</v>
      </c>
      <c r="CX70">
        <f t="shared" si="90"/>
        <v>0.84065794529184901</v>
      </c>
      <c r="CY70">
        <f t="shared" si="91"/>
        <v>0.16086983441326855</v>
      </c>
      <c r="CZ70">
        <v>5</v>
      </c>
      <c r="DA70">
        <v>0.5</v>
      </c>
      <c r="DB70" t="s">
        <v>418</v>
      </c>
      <c r="DC70">
        <v>2</v>
      </c>
      <c r="DD70">
        <v>1700248009.5</v>
      </c>
      <c r="DE70">
        <v>58.442300000000003</v>
      </c>
      <c r="DF70">
        <v>70.008700000000005</v>
      </c>
      <c r="DG70">
        <v>28.542200000000001</v>
      </c>
      <c r="DH70">
        <v>21.761399999999998</v>
      </c>
      <c r="DI70">
        <v>58.542200000000001</v>
      </c>
      <c r="DJ70">
        <v>28.1877</v>
      </c>
      <c r="DK70">
        <v>500.14499999999998</v>
      </c>
      <c r="DL70">
        <v>98.878699999999995</v>
      </c>
      <c r="DM70">
        <v>0.100038</v>
      </c>
      <c r="DN70">
        <v>30.202500000000001</v>
      </c>
      <c r="DO70">
        <v>29.9922</v>
      </c>
      <c r="DP70">
        <v>999.9</v>
      </c>
      <c r="DQ70">
        <v>0</v>
      </c>
      <c r="DR70">
        <v>0</v>
      </c>
      <c r="DS70">
        <v>9989.3799999999992</v>
      </c>
      <c r="DT70">
        <v>0</v>
      </c>
      <c r="DU70">
        <v>348.815</v>
      </c>
      <c r="DV70">
        <v>-11.5664</v>
      </c>
      <c r="DW70">
        <v>60.159399999999998</v>
      </c>
      <c r="DX70">
        <v>71.566100000000006</v>
      </c>
      <c r="DY70">
        <v>6.7808400000000004</v>
      </c>
      <c r="DZ70">
        <v>70.008700000000005</v>
      </c>
      <c r="EA70">
        <v>21.761399999999998</v>
      </c>
      <c r="EB70">
        <v>2.8222200000000002</v>
      </c>
      <c r="EC70">
        <v>2.1517400000000002</v>
      </c>
      <c r="ED70">
        <v>23.014600000000002</v>
      </c>
      <c r="EE70">
        <v>18.607500000000002</v>
      </c>
      <c r="EF70">
        <v>1800.15</v>
      </c>
      <c r="EG70">
        <v>0.97800900000000002</v>
      </c>
      <c r="EH70">
        <v>2.1990800000000001E-2</v>
      </c>
      <c r="EI70">
        <v>0</v>
      </c>
      <c r="EJ70">
        <v>704.84199999999998</v>
      </c>
      <c r="EK70">
        <v>4.9996700000000001</v>
      </c>
      <c r="EL70">
        <v>13879.6</v>
      </c>
      <c r="EM70">
        <v>15048.1</v>
      </c>
      <c r="EN70">
        <v>49.061999999999998</v>
      </c>
      <c r="EO70">
        <v>50.436999999999998</v>
      </c>
      <c r="EP70">
        <v>49.811999999999998</v>
      </c>
      <c r="EQ70">
        <v>50</v>
      </c>
      <c r="ER70">
        <v>50.5</v>
      </c>
      <c r="ES70">
        <v>1755.67</v>
      </c>
      <c r="ET70">
        <v>39.479999999999997</v>
      </c>
      <c r="EU70">
        <v>0</v>
      </c>
      <c r="EV70">
        <v>120.7999999523163</v>
      </c>
      <c r="EW70">
        <v>0</v>
      </c>
      <c r="EX70">
        <v>704.81446153846161</v>
      </c>
      <c r="EY70">
        <v>-0.28287177375310868</v>
      </c>
      <c r="EZ70">
        <v>351.14187989510168</v>
      </c>
      <c r="FA70">
        <v>13698.00384615385</v>
      </c>
      <c r="FB70">
        <v>15</v>
      </c>
      <c r="FC70">
        <v>1700247981.5</v>
      </c>
      <c r="FD70" t="s">
        <v>649</v>
      </c>
      <c r="FE70">
        <v>1700247968.5</v>
      </c>
      <c r="FF70">
        <v>1700247981.5</v>
      </c>
      <c r="FG70">
        <v>62</v>
      </c>
      <c r="FH70">
        <v>2.1000000000000001E-2</v>
      </c>
      <c r="FI70">
        <v>3.0000000000000001E-3</v>
      </c>
      <c r="FJ70">
        <v>-9.4E-2</v>
      </c>
      <c r="FK70">
        <v>0.27300000000000002</v>
      </c>
      <c r="FL70">
        <v>70</v>
      </c>
      <c r="FM70">
        <v>22</v>
      </c>
      <c r="FN70">
        <v>0.1</v>
      </c>
      <c r="FO70">
        <v>0.01</v>
      </c>
      <c r="FP70">
        <v>11.17383833495521</v>
      </c>
      <c r="FQ70">
        <v>-0.36332095947285342</v>
      </c>
      <c r="FR70">
        <v>4.0430665640870868E-2</v>
      </c>
      <c r="FS70">
        <v>1</v>
      </c>
      <c r="FT70">
        <v>0.50717658687124267</v>
      </c>
      <c r="FU70">
        <v>4.3485368252110863E-2</v>
      </c>
      <c r="FV70">
        <v>5.2471292803712407E-3</v>
      </c>
      <c r="FW70">
        <v>1</v>
      </c>
      <c r="FX70">
        <v>2</v>
      </c>
      <c r="FY70">
        <v>2</v>
      </c>
      <c r="FZ70" t="s">
        <v>420</v>
      </c>
      <c r="GA70">
        <v>3.0125000000000002</v>
      </c>
      <c r="GB70">
        <v>2.7770299999999999</v>
      </c>
      <c r="GC70">
        <v>1.5625300000000002E-2</v>
      </c>
      <c r="GD70">
        <v>1.8766000000000001E-2</v>
      </c>
      <c r="GE70">
        <v>0.12818299999999999</v>
      </c>
      <c r="GF70">
        <v>0.107332</v>
      </c>
      <c r="GG70">
        <v>23616</v>
      </c>
      <c r="GH70">
        <v>24308.799999999999</v>
      </c>
      <c r="GI70">
        <v>23763.599999999999</v>
      </c>
      <c r="GJ70">
        <v>24437.200000000001</v>
      </c>
      <c r="GK70">
        <v>30645</v>
      </c>
      <c r="GL70">
        <v>31284.7</v>
      </c>
      <c r="GM70">
        <v>38921.5</v>
      </c>
      <c r="GN70">
        <v>38920.800000000003</v>
      </c>
      <c r="GO70">
        <v>1.8406</v>
      </c>
      <c r="GP70">
        <v>1.8017000000000001</v>
      </c>
      <c r="GQ70">
        <v>3.7103900000000002E-2</v>
      </c>
      <c r="GR70">
        <v>0</v>
      </c>
      <c r="GS70">
        <v>29.388100000000001</v>
      </c>
      <c r="GT70">
        <v>999.9</v>
      </c>
      <c r="GU70">
        <v>40.5</v>
      </c>
      <c r="GV70">
        <v>38.6</v>
      </c>
      <c r="GW70">
        <v>28.165099999999999</v>
      </c>
      <c r="GX70">
        <v>61.063800000000001</v>
      </c>
      <c r="GY70">
        <v>30.4407</v>
      </c>
      <c r="GZ70">
        <v>1</v>
      </c>
      <c r="HA70">
        <v>0.64309400000000005</v>
      </c>
      <c r="HB70">
        <v>2.4644699999999999</v>
      </c>
      <c r="HC70">
        <v>20.311900000000001</v>
      </c>
      <c r="HD70">
        <v>5.2413999999999996</v>
      </c>
      <c r="HE70">
        <v>11.999599999999999</v>
      </c>
      <c r="HF70">
        <v>4.9635499999999997</v>
      </c>
      <c r="HG70">
        <v>3.3010000000000002</v>
      </c>
      <c r="HH70">
        <v>9999</v>
      </c>
      <c r="HI70">
        <v>9999</v>
      </c>
      <c r="HJ70">
        <v>9999</v>
      </c>
      <c r="HK70">
        <v>999.9</v>
      </c>
      <c r="HL70">
        <v>1.8750199999999999</v>
      </c>
      <c r="HM70">
        <v>1.88036</v>
      </c>
      <c r="HN70">
        <v>1.88049</v>
      </c>
      <c r="HO70">
        <v>1.87914</v>
      </c>
      <c r="HP70">
        <v>1.8815599999999999</v>
      </c>
      <c r="HQ70">
        <v>1.87744</v>
      </c>
      <c r="HR70">
        <v>1.87513</v>
      </c>
      <c r="HS70">
        <v>1.88245</v>
      </c>
      <c r="HT70">
        <v>5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423</v>
      </c>
      <c r="IB70" t="s">
        <v>423</v>
      </c>
      <c r="IC70" t="s">
        <v>423</v>
      </c>
      <c r="ID70">
        <v>0</v>
      </c>
      <c r="IE70">
        <v>100</v>
      </c>
      <c r="IF70">
        <v>100</v>
      </c>
      <c r="IG70">
        <v>-0.1</v>
      </c>
      <c r="IH70">
        <v>0.35449999999999998</v>
      </c>
      <c r="II70">
        <v>-0.13664133822901231</v>
      </c>
      <c r="IJ70">
        <v>7.0786345690369205E-4</v>
      </c>
      <c r="IK70">
        <v>-1.387476646623666E-6</v>
      </c>
      <c r="IL70">
        <v>3.6592443641472651E-10</v>
      </c>
      <c r="IM70">
        <v>0.35457189948339729</v>
      </c>
      <c r="IN70">
        <v>0</v>
      </c>
      <c r="IO70">
        <v>0</v>
      </c>
      <c r="IP70">
        <v>0</v>
      </c>
      <c r="IQ70">
        <v>2</v>
      </c>
      <c r="IR70">
        <v>2142</v>
      </c>
      <c r="IS70">
        <v>1</v>
      </c>
      <c r="IT70">
        <v>24</v>
      </c>
      <c r="IU70">
        <v>0.7</v>
      </c>
      <c r="IV70">
        <v>0.5</v>
      </c>
      <c r="IW70">
        <v>0.308838</v>
      </c>
      <c r="IX70">
        <v>2.6916500000000001</v>
      </c>
      <c r="IY70">
        <v>1.5490699999999999</v>
      </c>
      <c r="IZ70">
        <v>2.3645</v>
      </c>
      <c r="JA70">
        <v>1.5966800000000001</v>
      </c>
      <c r="JB70">
        <v>2.32666</v>
      </c>
      <c r="JC70">
        <v>41.560499999999998</v>
      </c>
      <c r="JD70">
        <v>24.245100000000001</v>
      </c>
      <c r="JE70">
        <v>18</v>
      </c>
      <c r="JF70">
        <v>422.358</v>
      </c>
      <c r="JG70">
        <v>456.61700000000002</v>
      </c>
      <c r="JH70">
        <v>27.274699999999999</v>
      </c>
      <c r="JI70">
        <v>35.082999999999998</v>
      </c>
      <c r="JJ70">
        <v>30.000299999999999</v>
      </c>
      <c r="JK70">
        <v>35.067799999999998</v>
      </c>
      <c r="JL70">
        <v>35.0458</v>
      </c>
      <c r="JM70">
        <v>6.1658600000000003</v>
      </c>
      <c r="JN70">
        <v>26.856100000000001</v>
      </c>
      <c r="JO70">
        <v>42.992199999999997</v>
      </c>
      <c r="JP70">
        <v>27.2956</v>
      </c>
      <c r="JQ70">
        <v>70</v>
      </c>
      <c r="JR70">
        <v>21.675999999999998</v>
      </c>
      <c r="JS70">
        <v>98.567999999999998</v>
      </c>
      <c r="JT70">
        <v>99.414100000000005</v>
      </c>
    </row>
    <row r="71" spans="1:280" x14ac:dyDescent="0.25">
      <c r="A71">
        <v>55</v>
      </c>
      <c r="B71">
        <v>1700248111</v>
      </c>
      <c r="C71">
        <v>10976.5</v>
      </c>
      <c r="D71" t="s">
        <v>650</v>
      </c>
      <c r="E71" t="s">
        <v>651</v>
      </c>
      <c r="F71" t="s">
        <v>412</v>
      </c>
      <c r="G71" t="s">
        <v>413</v>
      </c>
      <c r="H71" t="s">
        <v>601</v>
      </c>
      <c r="I71">
        <v>1700248111</v>
      </c>
      <c r="J71">
        <f t="shared" si="46"/>
        <v>7.1415982617586285E-3</v>
      </c>
      <c r="K71">
        <f t="shared" si="47"/>
        <v>7.1415982617586282</v>
      </c>
      <c r="L71">
        <f t="shared" si="48"/>
        <v>4.8142945802569015</v>
      </c>
      <c r="M71">
        <f t="shared" si="49"/>
        <v>25.000499999999999</v>
      </c>
      <c r="N71">
        <f t="shared" si="50"/>
        <v>8.6439906721648132</v>
      </c>
      <c r="O71">
        <f t="shared" si="51"/>
        <v>0.85562139290657624</v>
      </c>
      <c r="P71">
        <f t="shared" si="52"/>
        <v>2.4746628547672502</v>
      </c>
      <c r="Q71">
        <f t="shared" si="53"/>
        <v>0.52074260231414349</v>
      </c>
      <c r="R71">
        <f t="shared" si="54"/>
        <v>3.1232895565221259</v>
      </c>
      <c r="S71">
        <f t="shared" si="55"/>
        <v>0.47687569798845342</v>
      </c>
      <c r="T71">
        <f t="shared" si="56"/>
        <v>0.30168003449920855</v>
      </c>
      <c r="U71">
        <f t="shared" si="57"/>
        <v>289.58025641905925</v>
      </c>
      <c r="V71">
        <f t="shared" si="58"/>
        <v>30.117600731024204</v>
      </c>
      <c r="W71">
        <f t="shared" si="59"/>
        <v>29.991700000000002</v>
      </c>
      <c r="X71">
        <f t="shared" si="60"/>
        <v>4.2584190453593012</v>
      </c>
      <c r="Y71">
        <f t="shared" si="61"/>
        <v>65.427540037185679</v>
      </c>
      <c r="Z71">
        <f t="shared" si="62"/>
        <v>2.8291165743583</v>
      </c>
      <c r="AA71">
        <f t="shared" si="63"/>
        <v>4.3240454596800895</v>
      </c>
      <c r="AB71">
        <f t="shared" si="64"/>
        <v>1.4293024710010012</v>
      </c>
      <c r="AC71">
        <f t="shared" si="65"/>
        <v>-314.94448334355553</v>
      </c>
      <c r="AD71">
        <f t="shared" si="66"/>
        <v>44.874012621229866</v>
      </c>
      <c r="AE71">
        <f t="shared" si="67"/>
        <v>3.1985931393171705</v>
      </c>
      <c r="AF71">
        <f t="shared" si="68"/>
        <v>22.708378836050741</v>
      </c>
      <c r="AG71">
        <v>78</v>
      </c>
      <c r="AH71">
        <v>16</v>
      </c>
      <c r="AI71">
        <f t="shared" si="69"/>
        <v>1</v>
      </c>
      <c r="AJ71">
        <f t="shared" si="70"/>
        <v>0</v>
      </c>
      <c r="AK71">
        <f t="shared" si="71"/>
        <v>51744.456185149822</v>
      </c>
      <c r="AL71" t="s">
        <v>415</v>
      </c>
      <c r="AM71">
        <v>10238.9</v>
      </c>
      <c r="AN71">
        <v>302.21199999999999</v>
      </c>
      <c r="AO71">
        <v>4052.3</v>
      </c>
      <c r="AP71">
        <f t="shared" si="72"/>
        <v>0.92542210596451402</v>
      </c>
      <c r="AQ71">
        <v>-0.32343011824092421</v>
      </c>
      <c r="AR71" t="s">
        <v>652</v>
      </c>
      <c r="AS71">
        <v>7116.44</v>
      </c>
      <c r="AT71">
        <v>721.94484000000011</v>
      </c>
      <c r="AU71">
        <v>779.87396777494985</v>
      </c>
      <c r="AV71">
        <f t="shared" si="73"/>
        <v>7.4280114696258837E-2</v>
      </c>
      <c r="AW71">
        <v>0.5</v>
      </c>
      <c r="AX71">
        <f t="shared" si="74"/>
        <v>1513.2600002171291</v>
      </c>
      <c r="AY71">
        <f t="shared" si="75"/>
        <v>4.8142945802569015</v>
      </c>
      <c r="AZ71">
        <f t="shared" si="76"/>
        <v>56.202563190694512</v>
      </c>
      <c r="BA71">
        <f t="shared" si="77"/>
        <v>3.3951367892897733E-3</v>
      </c>
      <c r="BB71">
        <f t="shared" si="78"/>
        <v>4.19609599428171</v>
      </c>
      <c r="BC71">
        <f t="shared" si="79"/>
        <v>230.18029777687647</v>
      </c>
      <c r="BD71" t="s">
        <v>653</v>
      </c>
      <c r="BE71">
        <v>520.88</v>
      </c>
      <c r="BF71">
        <f t="shared" si="80"/>
        <v>520.88</v>
      </c>
      <c r="BG71">
        <f t="shared" si="81"/>
        <v>0.33209720862190439</v>
      </c>
      <c r="BH71">
        <f t="shared" si="82"/>
        <v>0.2236697953725573</v>
      </c>
      <c r="BI71">
        <f t="shared" si="83"/>
        <v>0.92666010619667161</v>
      </c>
      <c r="BJ71">
        <f t="shared" si="84"/>
        <v>0.12127640817793349</v>
      </c>
      <c r="BK71">
        <f t="shared" si="85"/>
        <v>0.87262646429231794</v>
      </c>
      <c r="BL71">
        <f t="shared" si="86"/>
        <v>0.16137676531306411</v>
      </c>
      <c r="BM71">
        <f t="shared" si="87"/>
        <v>0.83862323468693589</v>
      </c>
      <c r="BN71">
        <v>34587</v>
      </c>
      <c r="BO71">
        <v>290.00000000000011</v>
      </c>
      <c r="BP71">
        <v>761.76</v>
      </c>
      <c r="BQ71">
        <v>175</v>
      </c>
      <c r="BR71">
        <v>7116.44</v>
      </c>
      <c r="BS71">
        <v>762.73</v>
      </c>
      <c r="BT71">
        <v>-0.97</v>
      </c>
      <c r="BU71">
        <v>300.00000000000011</v>
      </c>
      <c r="BV71">
        <v>38.200000000000003</v>
      </c>
      <c r="BW71">
        <v>779.87396777494985</v>
      </c>
      <c r="BX71">
        <v>1.233690723250894</v>
      </c>
      <c r="BY71">
        <v>-12.19872673682644</v>
      </c>
      <c r="BZ71">
        <v>0.73559408202541687</v>
      </c>
      <c r="CA71">
        <v>0.90759459403519327</v>
      </c>
      <c r="CB71">
        <v>-7.0109492769744172E-3</v>
      </c>
      <c r="CC71">
        <v>289.99999999999989</v>
      </c>
      <c r="CD71">
        <v>762.96</v>
      </c>
      <c r="CE71">
        <v>735</v>
      </c>
      <c r="CF71">
        <v>7107.6</v>
      </c>
      <c r="CG71">
        <v>762.71</v>
      </c>
      <c r="CH71">
        <v>0.25</v>
      </c>
      <c r="CV71">
        <f t="shared" si="88"/>
        <v>1800.09</v>
      </c>
      <c r="CW71">
        <f t="shared" si="89"/>
        <v>1513.2600002171291</v>
      </c>
      <c r="CX71">
        <f t="shared" si="90"/>
        <v>0.84065796722226616</v>
      </c>
      <c r="CY71">
        <f t="shared" si="91"/>
        <v>0.16086987673897377</v>
      </c>
      <c r="CZ71">
        <v>5</v>
      </c>
      <c r="DA71">
        <v>0.5</v>
      </c>
      <c r="DB71" t="s">
        <v>418</v>
      </c>
      <c r="DC71">
        <v>2</v>
      </c>
      <c r="DD71">
        <v>1700248111</v>
      </c>
      <c r="DE71">
        <v>25.000499999999999</v>
      </c>
      <c r="DF71">
        <v>29.9922</v>
      </c>
      <c r="DG71">
        <v>28.581399999999999</v>
      </c>
      <c r="DH71">
        <v>21.645499999999998</v>
      </c>
      <c r="DI71">
        <v>25.1403</v>
      </c>
      <c r="DJ71">
        <v>28.228200000000001</v>
      </c>
      <c r="DK71">
        <v>500.11399999999998</v>
      </c>
      <c r="DL71">
        <v>98.884600000000006</v>
      </c>
      <c r="DM71">
        <v>9.9934499999999996E-2</v>
      </c>
      <c r="DN71">
        <v>30.258199999999999</v>
      </c>
      <c r="DO71">
        <v>29.991700000000002</v>
      </c>
      <c r="DP71">
        <v>999.9</v>
      </c>
      <c r="DQ71">
        <v>0</v>
      </c>
      <c r="DR71">
        <v>0</v>
      </c>
      <c r="DS71">
        <v>10003.799999999999</v>
      </c>
      <c r="DT71">
        <v>0</v>
      </c>
      <c r="DU71">
        <v>362.24599999999998</v>
      </c>
      <c r="DV71">
        <v>-4.9917699999999998</v>
      </c>
      <c r="DW71">
        <v>25.736000000000001</v>
      </c>
      <c r="DX71">
        <v>30.655799999999999</v>
      </c>
      <c r="DY71">
        <v>6.9359500000000001</v>
      </c>
      <c r="DZ71">
        <v>29.9922</v>
      </c>
      <c r="EA71">
        <v>21.645499999999998</v>
      </c>
      <c r="EB71">
        <v>2.82626</v>
      </c>
      <c r="EC71">
        <v>2.1404000000000001</v>
      </c>
      <c r="ED71">
        <v>23.0383</v>
      </c>
      <c r="EE71">
        <v>18.523099999999999</v>
      </c>
      <c r="EF71">
        <v>1800.09</v>
      </c>
      <c r="EG71">
        <v>0.97800900000000002</v>
      </c>
      <c r="EH71">
        <v>2.1990800000000001E-2</v>
      </c>
      <c r="EI71">
        <v>0</v>
      </c>
      <c r="EJ71">
        <v>721.77099999999996</v>
      </c>
      <c r="EK71">
        <v>4.9996700000000001</v>
      </c>
      <c r="EL71">
        <v>13935.1</v>
      </c>
      <c r="EM71">
        <v>15047.6</v>
      </c>
      <c r="EN71">
        <v>49.061999999999998</v>
      </c>
      <c r="EO71">
        <v>50.436999999999998</v>
      </c>
      <c r="EP71">
        <v>49.875</v>
      </c>
      <c r="EQ71">
        <v>50</v>
      </c>
      <c r="ER71">
        <v>50.561999999999998</v>
      </c>
      <c r="ES71">
        <v>1755.61</v>
      </c>
      <c r="ET71">
        <v>39.479999999999997</v>
      </c>
      <c r="EU71">
        <v>0</v>
      </c>
      <c r="EV71">
        <v>222.20000004768369</v>
      </c>
      <c r="EW71">
        <v>0</v>
      </c>
      <c r="EX71">
        <v>721.94484000000011</v>
      </c>
      <c r="EY71">
        <v>-0.3409230923652003</v>
      </c>
      <c r="EZ71">
        <v>17.3384615518716</v>
      </c>
      <c r="FA71">
        <v>13929.191999999999</v>
      </c>
      <c r="FB71">
        <v>15</v>
      </c>
      <c r="FC71">
        <v>1700248083</v>
      </c>
      <c r="FD71" t="s">
        <v>654</v>
      </c>
      <c r="FE71">
        <v>1700248072</v>
      </c>
      <c r="FF71">
        <v>1700248083</v>
      </c>
      <c r="FG71">
        <v>63</v>
      </c>
      <c r="FH71">
        <v>-0.02</v>
      </c>
      <c r="FI71">
        <v>-1E-3</v>
      </c>
      <c r="FJ71">
        <v>-0.13700000000000001</v>
      </c>
      <c r="FK71">
        <v>0.26700000000000002</v>
      </c>
      <c r="FL71">
        <v>30</v>
      </c>
      <c r="FM71">
        <v>21</v>
      </c>
      <c r="FN71">
        <v>0.26</v>
      </c>
      <c r="FO71">
        <v>0.01</v>
      </c>
      <c r="FP71">
        <v>4.8480078921289671</v>
      </c>
      <c r="FQ71">
        <v>-0.34100426210765072</v>
      </c>
      <c r="FR71">
        <v>3.7872644022683311E-2</v>
      </c>
      <c r="FS71">
        <v>1</v>
      </c>
      <c r="FT71">
        <v>0.5242790909846774</v>
      </c>
      <c r="FU71">
        <v>3.291287614405853E-2</v>
      </c>
      <c r="FV71">
        <v>5.9891558277899879E-3</v>
      </c>
      <c r="FW71">
        <v>1</v>
      </c>
      <c r="FX71">
        <v>2</v>
      </c>
      <c r="FY71">
        <v>2</v>
      </c>
      <c r="FZ71" t="s">
        <v>420</v>
      </c>
      <c r="GA71">
        <v>3.0124200000000001</v>
      </c>
      <c r="GB71">
        <v>2.77705</v>
      </c>
      <c r="GC71">
        <v>6.7825699999999999E-3</v>
      </c>
      <c r="GD71">
        <v>8.1561299999999993E-3</v>
      </c>
      <c r="GE71">
        <v>0.12831100000000001</v>
      </c>
      <c r="GF71">
        <v>0.106933</v>
      </c>
      <c r="GG71">
        <v>23827.5</v>
      </c>
      <c r="GH71">
        <v>24571.1</v>
      </c>
      <c r="GI71">
        <v>23763.5</v>
      </c>
      <c r="GJ71">
        <v>24437.3</v>
      </c>
      <c r="GK71">
        <v>30640.2</v>
      </c>
      <c r="GL71">
        <v>31298.7</v>
      </c>
      <c r="GM71">
        <v>38921.1</v>
      </c>
      <c r="GN71">
        <v>38920.800000000003</v>
      </c>
      <c r="GO71">
        <v>1.8401799999999999</v>
      </c>
      <c r="GP71">
        <v>1.8010299999999999</v>
      </c>
      <c r="GQ71">
        <v>4.6044599999999998E-2</v>
      </c>
      <c r="GR71">
        <v>0</v>
      </c>
      <c r="GS71">
        <v>29.241900000000001</v>
      </c>
      <c r="GT71">
        <v>999.9</v>
      </c>
      <c r="GU71">
        <v>40</v>
      </c>
      <c r="GV71">
        <v>38.6</v>
      </c>
      <c r="GW71">
        <v>27.817699999999999</v>
      </c>
      <c r="GX71">
        <v>60.973799999999997</v>
      </c>
      <c r="GY71">
        <v>30.4087</v>
      </c>
      <c r="GZ71">
        <v>1</v>
      </c>
      <c r="HA71">
        <v>0.643374</v>
      </c>
      <c r="HB71">
        <v>2.30111</v>
      </c>
      <c r="HC71">
        <v>20.3142</v>
      </c>
      <c r="HD71">
        <v>5.24559</v>
      </c>
      <c r="HE71">
        <v>11.999499999999999</v>
      </c>
      <c r="HF71">
        <v>4.9637000000000002</v>
      </c>
      <c r="HG71">
        <v>3.30098</v>
      </c>
      <c r="HH71">
        <v>9999</v>
      </c>
      <c r="HI71">
        <v>9999</v>
      </c>
      <c r="HJ71">
        <v>9999</v>
      </c>
      <c r="HK71">
        <v>999.9</v>
      </c>
      <c r="HL71">
        <v>1.87503</v>
      </c>
      <c r="HM71">
        <v>1.88036</v>
      </c>
      <c r="HN71">
        <v>1.88049</v>
      </c>
      <c r="HO71">
        <v>1.8791500000000001</v>
      </c>
      <c r="HP71">
        <v>1.8815599999999999</v>
      </c>
      <c r="HQ71">
        <v>1.87744</v>
      </c>
      <c r="HR71">
        <v>1.8751500000000001</v>
      </c>
      <c r="HS71">
        <v>1.8824799999999999</v>
      </c>
      <c r="HT71">
        <v>5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423</v>
      </c>
      <c r="IB71" t="s">
        <v>423</v>
      </c>
      <c r="IC71" t="s">
        <v>423</v>
      </c>
      <c r="ID71">
        <v>0</v>
      </c>
      <c r="IE71">
        <v>100</v>
      </c>
      <c r="IF71">
        <v>100</v>
      </c>
      <c r="IG71">
        <v>-0.14000000000000001</v>
      </c>
      <c r="IH71">
        <v>0.35320000000000001</v>
      </c>
      <c r="II71">
        <v>-0.15674925181041491</v>
      </c>
      <c r="IJ71">
        <v>7.0786345690369205E-4</v>
      </c>
      <c r="IK71">
        <v>-1.387476646623666E-6</v>
      </c>
      <c r="IL71">
        <v>3.6592443641472651E-10</v>
      </c>
      <c r="IM71">
        <v>0.35322896363414807</v>
      </c>
      <c r="IN71">
        <v>0</v>
      </c>
      <c r="IO71">
        <v>0</v>
      </c>
      <c r="IP71">
        <v>0</v>
      </c>
      <c r="IQ71">
        <v>2</v>
      </c>
      <c r="IR71">
        <v>2142</v>
      </c>
      <c r="IS71">
        <v>1</v>
      </c>
      <c r="IT71">
        <v>24</v>
      </c>
      <c r="IU71">
        <v>0.7</v>
      </c>
      <c r="IV71">
        <v>0.5</v>
      </c>
      <c r="IW71">
        <v>0.21850600000000001</v>
      </c>
      <c r="IX71">
        <v>2.7160600000000001</v>
      </c>
      <c r="IY71">
        <v>1.5490699999999999</v>
      </c>
      <c r="IZ71">
        <v>2.3645</v>
      </c>
      <c r="JA71">
        <v>1.5966800000000001</v>
      </c>
      <c r="JB71">
        <v>2.34619</v>
      </c>
      <c r="JC71">
        <v>41.560499999999998</v>
      </c>
      <c r="JD71">
        <v>24.245100000000001</v>
      </c>
      <c r="JE71">
        <v>18</v>
      </c>
      <c r="JF71">
        <v>422.19900000000001</v>
      </c>
      <c r="JG71">
        <v>456.29300000000001</v>
      </c>
      <c r="JH71">
        <v>27.501000000000001</v>
      </c>
      <c r="JI71">
        <v>35.083799999999997</v>
      </c>
      <c r="JJ71">
        <v>30.0001</v>
      </c>
      <c r="JK71">
        <v>35.0807</v>
      </c>
      <c r="JL71">
        <v>35.061799999999998</v>
      </c>
      <c r="JM71">
        <v>4.3705499999999997</v>
      </c>
      <c r="JN71">
        <v>26.433800000000002</v>
      </c>
      <c r="JO71">
        <v>42.128399999999999</v>
      </c>
      <c r="JP71">
        <v>27.523299999999999</v>
      </c>
      <c r="JQ71">
        <v>30</v>
      </c>
      <c r="JR71">
        <v>21.542300000000001</v>
      </c>
      <c r="JS71">
        <v>98.5672</v>
      </c>
      <c r="JT71">
        <v>99.414199999999994</v>
      </c>
    </row>
    <row r="72" spans="1:280" x14ac:dyDescent="0.25">
      <c r="A72">
        <v>56</v>
      </c>
      <c r="B72">
        <v>1700248220.5</v>
      </c>
      <c r="C72">
        <v>11086</v>
      </c>
      <c r="D72" t="s">
        <v>655</v>
      </c>
      <c r="E72" t="s">
        <v>656</v>
      </c>
      <c r="F72" t="s">
        <v>412</v>
      </c>
      <c r="G72" t="s">
        <v>413</v>
      </c>
      <c r="H72" t="s">
        <v>601</v>
      </c>
      <c r="I72">
        <v>1700248220.5</v>
      </c>
      <c r="J72">
        <f t="shared" si="46"/>
        <v>7.1206131191200832E-3</v>
      </c>
      <c r="K72">
        <f t="shared" si="47"/>
        <v>7.1206131191200832</v>
      </c>
      <c r="L72">
        <f t="shared" si="48"/>
        <v>1.4837014962819626</v>
      </c>
      <c r="M72">
        <f t="shared" si="49"/>
        <v>8.4642900000000001</v>
      </c>
      <c r="N72">
        <f t="shared" si="50"/>
        <v>3.4016295165103871</v>
      </c>
      <c r="O72">
        <f t="shared" si="51"/>
        <v>0.33671892150293098</v>
      </c>
      <c r="P72">
        <f t="shared" si="52"/>
        <v>0.83785920431800809</v>
      </c>
      <c r="Q72">
        <f t="shared" si="53"/>
        <v>0.52025629046222099</v>
      </c>
      <c r="R72">
        <f t="shared" si="54"/>
        <v>3.122359065027124</v>
      </c>
      <c r="S72">
        <f t="shared" si="55"/>
        <v>0.47645572026530275</v>
      </c>
      <c r="T72">
        <f t="shared" si="56"/>
        <v>0.30141223420931318</v>
      </c>
      <c r="U72">
        <f t="shared" si="57"/>
        <v>289.57866041906163</v>
      </c>
      <c r="V72">
        <f t="shared" si="58"/>
        <v>30.217292589801811</v>
      </c>
      <c r="W72">
        <f t="shared" si="59"/>
        <v>30.059699999999999</v>
      </c>
      <c r="X72">
        <f t="shared" si="60"/>
        <v>4.2750812105334308</v>
      </c>
      <c r="Y72">
        <f t="shared" si="61"/>
        <v>65.529989105253918</v>
      </c>
      <c r="Z72">
        <f t="shared" si="62"/>
        <v>2.8489503518376802</v>
      </c>
      <c r="AA72">
        <f t="shared" si="63"/>
        <v>4.3475519998358481</v>
      </c>
      <c r="AB72">
        <f t="shared" si="64"/>
        <v>1.4261308586957506</v>
      </c>
      <c r="AC72">
        <f t="shared" si="65"/>
        <v>-314.01903855319568</v>
      </c>
      <c r="AD72">
        <f t="shared" si="66"/>
        <v>49.338291482917711</v>
      </c>
      <c r="AE72">
        <f t="shared" si="67"/>
        <v>3.5206837730867919</v>
      </c>
      <c r="AF72">
        <f t="shared" si="68"/>
        <v>28.418597121870434</v>
      </c>
      <c r="AG72">
        <v>75</v>
      </c>
      <c r="AH72">
        <v>15</v>
      </c>
      <c r="AI72">
        <f t="shared" si="69"/>
        <v>1</v>
      </c>
      <c r="AJ72">
        <f t="shared" si="70"/>
        <v>0</v>
      </c>
      <c r="AK72">
        <f t="shared" si="71"/>
        <v>51704.843336679776</v>
      </c>
      <c r="AL72" t="s">
        <v>446</v>
      </c>
      <c r="AM72" t="s">
        <v>446</v>
      </c>
      <c r="AN72">
        <v>0</v>
      </c>
      <c r="AO72">
        <v>0</v>
      </c>
      <c r="AP72" t="e">
        <f t="shared" si="72"/>
        <v>#DIV/0!</v>
      </c>
      <c r="AQ72">
        <v>0</v>
      </c>
      <c r="AR72" t="s">
        <v>446</v>
      </c>
      <c r="AS72" t="s">
        <v>446</v>
      </c>
      <c r="AT72">
        <v>0</v>
      </c>
      <c r="AU72">
        <v>0</v>
      </c>
      <c r="AV72" t="e">
        <f t="shared" si="73"/>
        <v>#DIV/0!</v>
      </c>
      <c r="AW72">
        <v>0.5</v>
      </c>
      <c r="AX72">
        <f t="shared" si="74"/>
        <v>1513.2516002171303</v>
      </c>
      <c r="AY72">
        <f t="shared" si="75"/>
        <v>1.4837014962819626</v>
      </c>
      <c r="AZ72" t="e">
        <f t="shared" si="76"/>
        <v>#DIV/0!</v>
      </c>
      <c r="BA72">
        <f t="shared" si="77"/>
        <v>9.8047244494509187E-4</v>
      </c>
      <c r="BB72" t="e">
        <f t="shared" si="78"/>
        <v>#DIV/0!</v>
      </c>
      <c r="BC72" t="e">
        <f t="shared" si="79"/>
        <v>#DIV/0!</v>
      </c>
      <c r="BD72" t="s">
        <v>446</v>
      </c>
      <c r="BE72">
        <v>0</v>
      </c>
      <c r="BF72" t="e">
        <f t="shared" si="80"/>
        <v>#DIV/0!</v>
      </c>
      <c r="BG72" t="e">
        <f t="shared" si="81"/>
        <v>#DIV/0!</v>
      </c>
      <c r="BH72" t="e">
        <f t="shared" si="82"/>
        <v>#DIV/0!</v>
      </c>
      <c r="BI72" t="e">
        <f t="shared" si="83"/>
        <v>#DIV/0!</v>
      </c>
      <c r="BJ72" t="e">
        <f t="shared" si="84"/>
        <v>#DIV/0!</v>
      </c>
      <c r="BK72" t="e">
        <f t="shared" si="85"/>
        <v>#DIV/0!</v>
      </c>
      <c r="BL72" t="e">
        <f t="shared" si="86"/>
        <v>#DIV/0!</v>
      </c>
      <c r="BM72" t="e">
        <f t="shared" si="87"/>
        <v>#DIV/0!</v>
      </c>
      <c r="BN72">
        <v>34587</v>
      </c>
      <c r="BO72">
        <v>290.00000000000011</v>
      </c>
      <c r="BP72">
        <v>761.76</v>
      </c>
      <c r="BQ72">
        <v>175</v>
      </c>
      <c r="BR72">
        <v>7116.44</v>
      </c>
      <c r="BS72">
        <v>762.73</v>
      </c>
      <c r="BT72">
        <v>-0.97</v>
      </c>
      <c r="BU72">
        <v>300.00000000000011</v>
      </c>
      <c r="BV72">
        <v>38.200000000000003</v>
      </c>
      <c r="BW72">
        <v>779.87396777494985</v>
      </c>
      <c r="BX72">
        <v>1.233690723250894</v>
      </c>
      <c r="BY72">
        <v>-12.19872673682644</v>
      </c>
      <c r="BZ72">
        <v>0.73559408202541687</v>
      </c>
      <c r="CA72">
        <v>0.90759459403519327</v>
      </c>
      <c r="CB72">
        <v>-7.0109492769744172E-3</v>
      </c>
      <c r="CC72">
        <v>289.99999999999989</v>
      </c>
      <c r="CD72">
        <v>762.96</v>
      </c>
      <c r="CE72">
        <v>735</v>
      </c>
      <c r="CF72">
        <v>7107.6</v>
      </c>
      <c r="CG72">
        <v>762.71</v>
      </c>
      <c r="CH72">
        <v>0.25</v>
      </c>
      <c r="CV72">
        <f t="shared" si="88"/>
        <v>1800.08</v>
      </c>
      <c r="CW72">
        <f t="shared" si="89"/>
        <v>1513.2516002171303</v>
      </c>
      <c r="CX72">
        <f t="shared" si="90"/>
        <v>0.84065797087747784</v>
      </c>
      <c r="CY72">
        <f t="shared" si="91"/>
        <v>0.16086988379353231</v>
      </c>
      <c r="CZ72">
        <v>5</v>
      </c>
      <c r="DA72">
        <v>0.5</v>
      </c>
      <c r="DB72" t="s">
        <v>418</v>
      </c>
      <c r="DC72">
        <v>2</v>
      </c>
      <c r="DD72">
        <v>1700248220.5</v>
      </c>
      <c r="DE72">
        <v>8.4642900000000001</v>
      </c>
      <c r="DF72">
        <v>10.007999999999999</v>
      </c>
      <c r="DG72">
        <v>28.780899999999999</v>
      </c>
      <c r="DH72">
        <v>21.866399999999999</v>
      </c>
      <c r="DI72">
        <v>8.5646699999999996</v>
      </c>
      <c r="DJ72">
        <v>28.427099999999999</v>
      </c>
      <c r="DK72">
        <v>500.08499999999998</v>
      </c>
      <c r="DL72">
        <v>98.887600000000006</v>
      </c>
      <c r="DM72">
        <v>9.9935200000000002E-2</v>
      </c>
      <c r="DN72">
        <v>30.352799999999998</v>
      </c>
      <c r="DO72">
        <v>30.059699999999999</v>
      </c>
      <c r="DP72">
        <v>999.9</v>
      </c>
      <c r="DQ72">
        <v>0</v>
      </c>
      <c r="DR72">
        <v>0</v>
      </c>
      <c r="DS72">
        <v>9998.75</v>
      </c>
      <c r="DT72">
        <v>0</v>
      </c>
      <c r="DU72">
        <v>344.99700000000001</v>
      </c>
      <c r="DV72">
        <v>-1.5436799999999999</v>
      </c>
      <c r="DW72">
        <v>8.7151200000000006</v>
      </c>
      <c r="DX72">
        <v>10.2317</v>
      </c>
      <c r="DY72">
        <v>6.9144699999999997</v>
      </c>
      <c r="DZ72">
        <v>10.007999999999999</v>
      </c>
      <c r="EA72">
        <v>21.866399999999999</v>
      </c>
      <c r="EB72">
        <v>2.8460700000000001</v>
      </c>
      <c r="EC72">
        <v>2.1623199999999998</v>
      </c>
      <c r="ED72">
        <v>23.1538</v>
      </c>
      <c r="EE72">
        <v>18.6858</v>
      </c>
      <c r="EF72">
        <v>1800.08</v>
      </c>
      <c r="EG72">
        <v>0.97800900000000002</v>
      </c>
      <c r="EH72">
        <v>2.1990800000000001E-2</v>
      </c>
      <c r="EI72">
        <v>0</v>
      </c>
      <c r="EJ72">
        <v>731.10699999999997</v>
      </c>
      <c r="EK72">
        <v>4.9996700000000001</v>
      </c>
      <c r="EL72">
        <v>14006.4</v>
      </c>
      <c r="EM72">
        <v>15047.5</v>
      </c>
      <c r="EN72">
        <v>49.061999999999998</v>
      </c>
      <c r="EO72">
        <v>50.375</v>
      </c>
      <c r="EP72">
        <v>49.875</v>
      </c>
      <c r="EQ72">
        <v>50</v>
      </c>
      <c r="ER72">
        <v>50.561999999999998</v>
      </c>
      <c r="ES72">
        <v>1755.6</v>
      </c>
      <c r="ET72">
        <v>39.479999999999997</v>
      </c>
      <c r="EU72">
        <v>0</v>
      </c>
      <c r="EV72">
        <v>107.4000000953674</v>
      </c>
      <c r="EW72">
        <v>0</v>
      </c>
      <c r="EX72">
        <v>731.00840000000017</v>
      </c>
      <c r="EY72">
        <v>-4.8538462598314763E-2</v>
      </c>
      <c r="EZ72">
        <v>-53.715384412671092</v>
      </c>
      <c r="FA72">
        <v>14013.788</v>
      </c>
      <c r="FB72">
        <v>15</v>
      </c>
      <c r="FC72">
        <v>1700248191</v>
      </c>
      <c r="FD72" t="s">
        <v>657</v>
      </c>
      <c r="FE72">
        <v>1700248184</v>
      </c>
      <c r="FF72">
        <v>1700248191</v>
      </c>
      <c r="FG72">
        <v>64</v>
      </c>
      <c r="FH72">
        <v>0.05</v>
      </c>
      <c r="FI72">
        <v>1E-3</v>
      </c>
      <c r="FJ72">
        <v>-9.9000000000000005E-2</v>
      </c>
      <c r="FK72">
        <v>0.27</v>
      </c>
      <c r="FL72">
        <v>10</v>
      </c>
      <c r="FM72">
        <v>22</v>
      </c>
      <c r="FN72">
        <v>0.46</v>
      </c>
      <c r="FO72">
        <v>0.02</v>
      </c>
      <c r="FP72">
        <v>1.4660583026897871</v>
      </c>
      <c r="FQ72">
        <v>-8.4964819713633302E-2</v>
      </c>
      <c r="FR72">
        <v>2.0277470416731041E-2</v>
      </c>
      <c r="FS72">
        <v>1</v>
      </c>
      <c r="FT72">
        <v>0.52163856568848865</v>
      </c>
      <c r="FU72">
        <v>4.0249863082880991E-2</v>
      </c>
      <c r="FV72">
        <v>4.747739528250328E-3</v>
      </c>
      <c r="FW72">
        <v>1</v>
      </c>
      <c r="FX72">
        <v>2</v>
      </c>
      <c r="FY72">
        <v>2</v>
      </c>
      <c r="FZ72" t="s">
        <v>420</v>
      </c>
      <c r="GA72">
        <v>3.01233</v>
      </c>
      <c r="GB72">
        <v>2.7770100000000002</v>
      </c>
      <c r="GC72">
        <v>2.3194399999999999E-3</v>
      </c>
      <c r="GD72">
        <v>2.7351300000000001E-3</v>
      </c>
      <c r="GE72">
        <v>0.128942</v>
      </c>
      <c r="GF72">
        <v>0.10770100000000001</v>
      </c>
      <c r="GG72">
        <v>23936.9</v>
      </c>
      <c r="GH72">
        <v>24708</v>
      </c>
      <c r="GI72">
        <v>23765.9</v>
      </c>
      <c r="GJ72">
        <v>24440.1</v>
      </c>
      <c r="GK72">
        <v>30621.200000000001</v>
      </c>
      <c r="GL72">
        <v>31275.200000000001</v>
      </c>
      <c r="GM72">
        <v>38925.199999999997</v>
      </c>
      <c r="GN72">
        <v>38925</v>
      </c>
      <c r="GO72">
        <v>1.8462000000000001</v>
      </c>
      <c r="GP72">
        <v>1.8021499999999999</v>
      </c>
      <c r="GQ72">
        <v>5.0049299999999998E-2</v>
      </c>
      <c r="GR72">
        <v>0</v>
      </c>
      <c r="GS72">
        <v>29.244700000000002</v>
      </c>
      <c r="GT72">
        <v>999.9</v>
      </c>
      <c r="GU72">
        <v>39.799999999999997</v>
      </c>
      <c r="GV72">
        <v>38.6</v>
      </c>
      <c r="GW72">
        <v>27.6769</v>
      </c>
      <c r="GX72">
        <v>60.843800000000002</v>
      </c>
      <c r="GY72">
        <v>30.697099999999999</v>
      </c>
      <c r="GZ72">
        <v>1</v>
      </c>
      <c r="HA72">
        <v>0.64225100000000002</v>
      </c>
      <c r="HB72">
        <v>3.00135</v>
      </c>
      <c r="HC72">
        <v>20.3018</v>
      </c>
      <c r="HD72">
        <v>5.2424499999999998</v>
      </c>
      <c r="HE72">
        <v>12.0014</v>
      </c>
      <c r="HF72">
        <v>4.9637000000000002</v>
      </c>
      <c r="HG72">
        <v>3.30098</v>
      </c>
      <c r="HH72">
        <v>9999</v>
      </c>
      <c r="HI72">
        <v>9999</v>
      </c>
      <c r="HJ72">
        <v>9999</v>
      </c>
      <c r="HK72">
        <v>999.9</v>
      </c>
      <c r="HL72">
        <v>1.875</v>
      </c>
      <c r="HM72">
        <v>1.8803399999999999</v>
      </c>
      <c r="HN72">
        <v>1.88049</v>
      </c>
      <c r="HO72">
        <v>1.8791199999999999</v>
      </c>
      <c r="HP72">
        <v>1.8815599999999999</v>
      </c>
      <c r="HQ72">
        <v>1.87744</v>
      </c>
      <c r="HR72">
        <v>1.8751199999999999</v>
      </c>
      <c r="HS72">
        <v>1.88245</v>
      </c>
      <c r="HT72">
        <v>5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423</v>
      </c>
      <c r="IB72" t="s">
        <v>423</v>
      </c>
      <c r="IC72" t="s">
        <v>423</v>
      </c>
      <c r="ID72">
        <v>0</v>
      </c>
      <c r="IE72">
        <v>100</v>
      </c>
      <c r="IF72">
        <v>100</v>
      </c>
      <c r="IG72">
        <v>-0.1</v>
      </c>
      <c r="IH72">
        <v>0.3538</v>
      </c>
      <c r="II72">
        <v>-0.10634215171545749</v>
      </c>
      <c r="IJ72">
        <v>7.0786345690369205E-4</v>
      </c>
      <c r="IK72">
        <v>-1.387476646623666E-6</v>
      </c>
      <c r="IL72">
        <v>3.6592443641472651E-10</v>
      </c>
      <c r="IM72">
        <v>0.35380153031599149</v>
      </c>
      <c r="IN72">
        <v>0</v>
      </c>
      <c r="IO72">
        <v>0</v>
      </c>
      <c r="IP72">
        <v>0</v>
      </c>
      <c r="IQ72">
        <v>2</v>
      </c>
      <c r="IR72">
        <v>2142</v>
      </c>
      <c r="IS72">
        <v>1</v>
      </c>
      <c r="IT72">
        <v>24</v>
      </c>
      <c r="IU72">
        <v>0.6</v>
      </c>
      <c r="IV72">
        <v>0.5</v>
      </c>
      <c r="IW72">
        <v>0.17456099999999999</v>
      </c>
      <c r="IX72">
        <v>2.7368199999999998</v>
      </c>
      <c r="IY72">
        <v>1.5490699999999999</v>
      </c>
      <c r="IZ72">
        <v>2.3645</v>
      </c>
      <c r="JA72">
        <v>1.5966800000000001</v>
      </c>
      <c r="JB72">
        <v>2.2753899999999998</v>
      </c>
      <c r="JC72">
        <v>41.586599999999997</v>
      </c>
      <c r="JD72">
        <v>24.2364</v>
      </c>
      <c r="JE72">
        <v>18</v>
      </c>
      <c r="JF72">
        <v>425.47</v>
      </c>
      <c r="JG72">
        <v>456.95699999999999</v>
      </c>
      <c r="JH72">
        <v>27.157599999999999</v>
      </c>
      <c r="JI72">
        <v>35.047800000000002</v>
      </c>
      <c r="JJ72">
        <v>30.0001</v>
      </c>
      <c r="JK72">
        <v>35.064599999999999</v>
      </c>
      <c r="JL72">
        <v>35.052100000000003</v>
      </c>
      <c r="JM72">
        <v>3.4897999999999998</v>
      </c>
      <c r="JN72">
        <v>25.045500000000001</v>
      </c>
      <c r="JO72">
        <v>41.1614</v>
      </c>
      <c r="JP72">
        <v>27.104600000000001</v>
      </c>
      <c r="JQ72">
        <v>10</v>
      </c>
      <c r="JR72">
        <v>21.7837</v>
      </c>
      <c r="JS72">
        <v>98.577500000000001</v>
      </c>
      <c r="JT72">
        <v>99.425200000000004</v>
      </c>
    </row>
    <row r="73" spans="1:280" x14ac:dyDescent="0.25">
      <c r="A73">
        <v>57</v>
      </c>
      <c r="B73">
        <v>1700249782.5999999</v>
      </c>
      <c r="C73">
        <v>12648.099999904631</v>
      </c>
      <c r="D73" t="s">
        <v>658</v>
      </c>
      <c r="E73" t="s">
        <v>659</v>
      </c>
      <c r="F73" t="s">
        <v>412</v>
      </c>
      <c r="G73" t="s">
        <v>413</v>
      </c>
      <c r="H73">
        <v>1.1000000000000001</v>
      </c>
      <c r="I73">
        <v>1700249782.5999999</v>
      </c>
      <c r="J73">
        <f t="shared" si="46"/>
        <v>4.1447934590797039E-3</v>
      </c>
      <c r="K73">
        <f t="shared" si="47"/>
        <v>4.144793459079704</v>
      </c>
      <c r="L73">
        <f t="shared" si="48"/>
        <v>42.991543517626958</v>
      </c>
      <c r="M73">
        <f t="shared" si="49"/>
        <v>410.86500000000001</v>
      </c>
      <c r="N73">
        <f t="shared" si="50"/>
        <v>135.69720929494176</v>
      </c>
      <c r="O73">
        <f t="shared" si="51"/>
        <v>13.434691214771753</v>
      </c>
      <c r="P73">
        <f t="shared" si="52"/>
        <v>40.677656044934992</v>
      </c>
      <c r="Q73">
        <f t="shared" si="53"/>
        <v>0.2664068853537333</v>
      </c>
      <c r="R73">
        <f t="shared" si="54"/>
        <v>3.2942245671085333</v>
      </c>
      <c r="S73">
        <f t="shared" si="55"/>
        <v>0.25499035684392174</v>
      </c>
      <c r="T73">
        <f t="shared" si="56"/>
        <v>0.16035393219388436</v>
      </c>
      <c r="U73">
        <f t="shared" si="57"/>
        <v>289.55747441930657</v>
      </c>
      <c r="V73">
        <f t="shared" si="58"/>
        <v>30.115444333551128</v>
      </c>
      <c r="W73">
        <f t="shared" si="59"/>
        <v>29.997800000000002</v>
      </c>
      <c r="X73">
        <f t="shared" si="60"/>
        <v>4.2599114252313237</v>
      </c>
      <c r="Y73">
        <f t="shared" si="61"/>
        <v>65.202298686021365</v>
      </c>
      <c r="Z73">
        <f t="shared" si="62"/>
        <v>2.7072400075954999</v>
      </c>
      <c r="AA73">
        <f t="shared" si="63"/>
        <v>4.1520622158308989</v>
      </c>
      <c r="AB73">
        <f t="shared" si="64"/>
        <v>1.5526714176358238</v>
      </c>
      <c r="AC73">
        <f t="shared" si="65"/>
        <v>-182.78539154541494</v>
      </c>
      <c r="AD73">
        <f t="shared" si="66"/>
        <v>-79.155533277973859</v>
      </c>
      <c r="AE73">
        <f t="shared" si="67"/>
        <v>-5.3308853673863643</v>
      </c>
      <c r="AF73">
        <f t="shared" si="68"/>
        <v>22.285664228531402</v>
      </c>
      <c r="AG73">
        <v>0</v>
      </c>
      <c r="AH73">
        <v>0</v>
      </c>
      <c r="AI73">
        <f t="shared" si="69"/>
        <v>1</v>
      </c>
      <c r="AJ73">
        <f t="shared" si="70"/>
        <v>0</v>
      </c>
      <c r="AK73">
        <f t="shared" si="71"/>
        <v>51881.990559963109</v>
      </c>
      <c r="AL73" t="s">
        <v>415</v>
      </c>
      <c r="AM73">
        <v>10238.9</v>
      </c>
      <c r="AN73">
        <v>302.21199999999999</v>
      </c>
      <c r="AO73">
        <v>4052.3</v>
      </c>
      <c r="AP73">
        <f t="shared" si="72"/>
        <v>0.92542210596451402</v>
      </c>
      <c r="AQ73">
        <v>-0.32343011824092421</v>
      </c>
      <c r="AR73" t="s">
        <v>660</v>
      </c>
      <c r="AS73">
        <v>7111.5</v>
      </c>
      <c r="AT73">
        <v>581.99671999999987</v>
      </c>
      <c r="AU73">
        <v>795.46854215874225</v>
      </c>
      <c r="AV73">
        <f t="shared" si="73"/>
        <v>0.26835985440658994</v>
      </c>
      <c r="AW73">
        <v>0.5</v>
      </c>
      <c r="AX73">
        <f t="shared" si="74"/>
        <v>1513.1346002172572</v>
      </c>
      <c r="AY73">
        <f t="shared" si="75"/>
        <v>42.991543517626958</v>
      </c>
      <c r="AZ73">
        <f t="shared" si="76"/>
        <v>203.03229050593842</v>
      </c>
      <c r="BA73">
        <f t="shared" si="77"/>
        <v>2.8625988480898312E-2</v>
      </c>
      <c r="BB73">
        <f t="shared" si="78"/>
        <v>4.0942303626525192</v>
      </c>
      <c r="BC73">
        <f t="shared" si="79"/>
        <v>231.5199208086116</v>
      </c>
      <c r="BD73" t="s">
        <v>661</v>
      </c>
      <c r="BE73">
        <v>401.17</v>
      </c>
      <c r="BF73">
        <f t="shared" si="80"/>
        <v>401.17</v>
      </c>
      <c r="BG73">
        <f t="shared" si="81"/>
        <v>0.49568087392707572</v>
      </c>
      <c r="BH73">
        <f t="shared" si="82"/>
        <v>0.54139642766622231</v>
      </c>
      <c r="BI73">
        <f t="shared" si="83"/>
        <v>0.89200643577228356</v>
      </c>
      <c r="BJ73">
        <f t="shared" si="84"/>
        <v>0.43278051868198397</v>
      </c>
      <c r="BK73">
        <f t="shared" si="85"/>
        <v>0.86846800870839769</v>
      </c>
      <c r="BL73">
        <f t="shared" si="86"/>
        <v>0.3731842421497813</v>
      </c>
      <c r="BM73">
        <f t="shared" si="87"/>
        <v>0.6268157578502187</v>
      </c>
      <c r="BN73">
        <v>34589</v>
      </c>
      <c r="BO73">
        <v>290.00000000000011</v>
      </c>
      <c r="BP73">
        <v>736.9</v>
      </c>
      <c r="BQ73">
        <v>285</v>
      </c>
      <c r="BR73">
        <v>7111.5</v>
      </c>
      <c r="BS73">
        <v>738.08</v>
      </c>
      <c r="BT73">
        <v>-1.18</v>
      </c>
      <c r="BU73">
        <v>300.00000000000011</v>
      </c>
      <c r="BV73">
        <v>38.200000000000003</v>
      </c>
      <c r="BW73">
        <v>795.46854215874225</v>
      </c>
      <c r="BX73">
        <v>1.4219794087877291</v>
      </c>
      <c r="BY73">
        <v>-40.810753257566397</v>
      </c>
      <c r="BZ73">
        <v>0.84777881908944086</v>
      </c>
      <c r="CA73">
        <v>0.98806127870942762</v>
      </c>
      <c r="CB73">
        <v>-7.010489877641829E-3</v>
      </c>
      <c r="CC73">
        <v>289.99999999999989</v>
      </c>
      <c r="CD73">
        <v>746.33</v>
      </c>
      <c r="CE73">
        <v>865</v>
      </c>
      <c r="CF73">
        <v>7105.17</v>
      </c>
      <c r="CG73">
        <v>738.03</v>
      </c>
      <c r="CH73">
        <v>8.3000000000000007</v>
      </c>
      <c r="CV73">
        <f t="shared" si="88"/>
        <v>1799.94</v>
      </c>
      <c r="CW73">
        <f t="shared" si="89"/>
        <v>1513.1346002172572</v>
      </c>
      <c r="CX73">
        <f t="shared" si="90"/>
        <v>0.84065835539921174</v>
      </c>
      <c r="CY73">
        <f t="shared" si="91"/>
        <v>0.16087062592047877</v>
      </c>
      <c r="CZ73">
        <v>4.38</v>
      </c>
      <c r="DA73">
        <v>0.5</v>
      </c>
      <c r="DB73" t="s">
        <v>418</v>
      </c>
      <c r="DC73">
        <v>2</v>
      </c>
      <c r="DD73">
        <v>1700249782.5999999</v>
      </c>
      <c r="DE73">
        <v>410.86500000000001</v>
      </c>
      <c r="DF73">
        <v>450.00900000000001</v>
      </c>
      <c r="DG73">
        <v>27.3445</v>
      </c>
      <c r="DH73">
        <v>23.813700000000001</v>
      </c>
      <c r="DI73">
        <v>410.96899999999999</v>
      </c>
      <c r="DJ73">
        <v>26.997299999999999</v>
      </c>
      <c r="DK73">
        <v>500.10700000000003</v>
      </c>
      <c r="DL73">
        <v>98.905199999999994</v>
      </c>
      <c r="DM73">
        <v>9.9719000000000002E-2</v>
      </c>
      <c r="DN73">
        <v>29.552099999999999</v>
      </c>
      <c r="DO73">
        <v>29.997800000000002</v>
      </c>
      <c r="DP73">
        <v>999.9</v>
      </c>
      <c r="DQ73">
        <v>0</v>
      </c>
      <c r="DR73">
        <v>0</v>
      </c>
      <c r="DS73">
        <v>10005</v>
      </c>
      <c r="DT73">
        <v>0</v>
      </c>
      <c r="DU73">
        <v>300.005</v>
      </c>
      <c r="DV73">
        <v>-39.143999999999998</v>
      </c>
      <c r="DW73">
        <v>422.416</v>
      </c>
      <c r="DX73">
        <v>460.98700000000002</v>
      </c>
      <c r="DY73">
        <v>3.5308700000000002</v>
      </c>
      <c r="DZ73">
        <v>450.00900000000001</v>
      </c>
      <c r="EA73">
        <v>23.813700000000001</v>
      </c>
      <c r="EB73">
        <v>2.70452</v>
      </c>
      <c r="EC73">
        <v>2.3553000000000002</v>
      </c>
      <c r="ED73">
        <v>22.3126</v>
      </c>
      <c r="EE73">
        <v>20.059699999999999</v>
      </c>
      <c r="EF73">
        <v>1799.94</v>
      </c>
      <c r="EG73">
        <v>0.97799199999999997</v>
      </c>
      <c r="EH73">
        <v>2.20079E-2</v>
      </c>
      <c r="EI73">
        <v>0</v>
      </c>
      <c r="EJ73">
        <v>582.21</v>
      </c>
      <c r="EK73">
        <v>4.9996700000000001</v>
      </c>
      <c r="EL73">
        <v>11037</v>
      </c>
      <c r="EM73">
        <v>15046.2</v>
      </c>
      <c r="EN73">
        <v>48.436999999999998</v>
      </c>
      <c r="EO73">
        <v>49.75</v>
      </c>
      <c r="EP73">
        <v>49.25</v>
      </c>
      <c r="EQ73">
        <v>49.436999999999998</v>
      </c>
      <c r="ER73">
        <v>49.936999999999998</v>
      </c>
      <c r="ES73">
        <v>1755.44</v>
      </c>
      <c r="ET73">
        <v>39.5</v>
      </c>
      <c r="EU73">
        <v>0</v>
      </c>
      <c r="EV73">
        <v>1669.7999999523161</v>
      </c>
      <c r="EW73">
        <v>0</v>
      </c>
      <c r="EX73">
        <v>581.99671999999987</v>
      </c>
      <c r="EY73">
        <v>0.1802307839828679</v>
      </c>
      <c r="EZ73">
        <v>12.607692304648371</v>
      </c>
      <c r="FA73">
        <v>11039</v>
      </c>
      <c r="FB73">
        <v>15</v>
      </c>
      <c r="FC73">
        <v>1700249752.5999999</v>
      </c>
      <c r="FD73" t="s">
        <v>662</v>
      </c>
      <c r="FE73">
        <v>1700249751.0999999</v>
      </c>
      <c r="FF73">
        <v>1700249752.5999999</v>
      </c>
      <c r="FG73">
        <v>66</v>
      </c>
      <c r="FH73">
        <v>-0.107</v>
      </c>
      <c r="FI73">
        <v>-1.4E-2</v>
      </c>
      <c r="FJ73">
        <v>-0.115</v>
      </c>
      <c r="FK73">
        <v>0.32700000000000001</v>
      </c>
      <c r="FL73">
        <v>450</v>
      </c>
      <c r="FM73">
        <v>24</v>
      </c>
      <c r="FN73">
        <v>0.03</v>
      </c>
      <c r="FO73">
        <v>0.02</v>
      </c>
      <c r="FP73">
        <v>43.095243806368373</v>
      </c>
      <c r="FQ73">
        <v>-0.65803443308167975</v>
      </c>
      <c r="FR73">
        <v>8.3130133362308706E-2</v>
      </c>
      <c r="FS73">
        <v>1</v>
      </c>
      <c r="FT73">
        <v>0.26292616147385017</v>
      </c>
      <c r="FU73">
        <v>3.0965923860265528E-2</v>
      </c>
      <c r="FV73">
        <v>2.756722076313702E-3</v>
      </c>
      <c r="FW73">
        <v>1</v>
      </c>
      <c r="FX73">
        <v>2</v>
      </c>
      <c r="FY73">
        <v>2</v>
      </c>
      <c r="FZ73" t="s">
        <v>420</v>
      </c>
      <c r="GA73">
        <v>3.0120800000000001</v>
      </c>
      <c r="GB73">
        <v>2.77685</v>
      </c>
      <c r="GC73">
        <v>8.9716799999999999E-2</v>
      </c>
      <c r="GD73">
        <v>9.6664899999999998E-2</v>
      </c>
      <c r="GE73">
        <v>0.124587</v>
      </c>
      <c r="GF73">
        <v>0.11440500000000001</v>
      </c>
      <c r="GG73">
        <v>21868.3</v>
      </c>
      <c r="GH73">
        <v>22406.6</v>
      </c>
      <c r="GI73">
        <v>23791.9</v>
      </c>
      <c r="GJ73">
        <v>24463.3</v>
      </c>
      <c r="GK73">
        <v>30804.3</v>
      </c>
      <c r="GL73">
        <v>31067.599999999999</v>
      </c>
      <c r="GM73">
        <v>38965.699999999997</v>
      </c>
      <c r="GN73">
        <v>38961.300000000003</v>
      </c>
      <c r="GO73">
        <v>2.0450699999999999</v>
      </c>
      <c r="GP73">
        <v>1.8185</v>
      </c>
      <c r="GQ73">
        <v>7.7545600000000006E-2</v>
      </c>
      <c r="GR73">
        <v>0</v>
      </c>
      <c r="GS73">
        <v>28.7346</v>
      </c>
      <c r="GT73">
        <v>999.9</v>
      </c>
      <c r="GU73">
        <v>41.7</v>
      </c>
      <c r="GV73">
        <v>38.1</v>
      </c>
      <c r="GW73">
        <v>28.223700000000001</v>
      </c>
      <c r="GX73">
        <v>60.9985</v>
      </c>
      <c r="GY73">
        <v>30.617000000000001</v>
      </c>
      <c r="GZ73">
        <v>1</v>
      </c>
      <c r="HA73">
        <v>0.60181399999999996</v>
      </c>
      <c r="HB73">
        <v>2.4378199999999999</v>
      </c>
      <c r="HC73">
        <v>20.313800000000001</v>
      </c>
      <c r="HD73">
        <v>5.24559</v>
      </c>
      <c r="HE73">
        <v>12.002000000000001</v>
      </c>
      <c r="HF73">
        <v>4.9637000000000002</v>
      </c>
      <c r="HG73">
        <v>3.3010000000000002</v>
      </c>
      <c r="HH73">
        <v>9999</v>
      </c>
      <c r="HI73">
        <v>9999</v>
      </c>
      <c r="HJ73">
        <v>9999</v>
      </c>
      <c r="HK73">
        <v>999.9</v>
      </c>
      <c r="HL73">
        <v>1.8750199999999999</v>
      </c>
      <c r="HM73">
        <v>1.8803700000000001</v>
      </c>
      <c r="HN73">
        <v>1.88049</v>
      </c>
      <c r="HO73">
        <v>1.87917</v>
      </c>
      <c r="HP73">
        <v>1.8815599999999999</v>
      </c>
      <c r="HQ73">
        <v>1.87744</v>
      </c>
      <c r="HR73">
        <v>1.87514</v>
      </c>
      <c r="HS73">
        <v>1.8824799999999999</v>
      </c>
      <c r="HT73">
        <v>5</v>
      </c>
      <c r="HU73">
        <v>0</v>
      </c>
      <c r="HV73">
        <v>0</v>
      </c>
      <c r="HW73">
        <v>0</v>
      </c>
      <c r="HX73" t="s">
        <v>421</v>
      </c>
      <c r="HY73" t="s">
        <v>422</v>
      </c>
      <c r="HZ73" t="s">
        <v>423</v>
      </c>
      <c r="IA73" t="s">
        <v>423</v>
      </c>
      <c r="IB73" t="s">
        <v>423</v>
      </c>
      <c r="IC73" t="s">
        <v>423</v>
      </c>
      <c r="ID73">
        <v>0</v>
      </c>
      <c r="IE73">
        <v>100</v>
      </c>
      <c r="IF73">
        <v>100</v>
      </c>
      <c r="IG73">
        <v>-0.104</v>
      </c>
      <c r="IH73">
        <v>0.34720000000000001</v>
      </c>
      <c r="II73">
        <v>-0.18598098276685521</v>
      </c>
      <c r="IJ73">
        <v>7.0786345690369205E-4</v>
      </c>
      <c r="IK73">
        <v>-1.387476646623666E-6</v>
      </c>
      <c r="IL73">
        <v>3.6592443641472651E-10</v>
      </c>
      <c r="IM73">
        <v>0.34725529461297749</v>
      </c>
      <c r="IN73">
        <v>0</v>
      </c>
      <c r="IO73">
        <v>0</v>
      </c>
      <c r="IP73">
        <v>0</v>
      </c>
      <c r="IQ73">
        <v>2</v>
      </c>
      <c r="IR73">
        <v>2142</v>
      </c>
      <c r="IS73">
        <v>1</v>
      </c>
      <c r="IT73">
        <v>24</v>
      </c>
      <c r="IU73">
        <v>0.5</v>
      </c>
      <c r="IV73">
        <v>0.5</v>
      </c>
      <c r="IW73">
        <v>1.1303700000000001</v>
      </c>
      <c r="IX73">
        <v>2.6855500000000001</v>
      </c>
      <c r="IY73">
        <v>1.5490699999999999</v>
      </c>
      <c r="IZ73">
        <v>2.3645</v>
      </c>
      <c r="JA73">
        <v>1.5966800000000001</v>
      </c>
      <c r="JB73">
        <v>2.1777299999999999</v>
      </c>
      <c r="JC73">
        <v>40.989600000000003</v>
      </c>
      <c r="JD73">
        <v>24.2364</v>
      </c>
      <c r="JE73">
        <v>18</v>
      </c>
      <c r="JF73">
        <v>544.745</v>
      </c>
      <c r="JG73">
        <v>464.47399999999999</v>
      </c>
      <c r="JH73">
        <v>26.5702</v>
      </c>
      <c r="JI73">
        <v>34.597000000000001</v>
      </c>
      <c r="JJ73">
        <v>29.9999</v>
      </c>
      <c r="JK73">
        <v>34.619</v>
      </c>
      <c r="JL73">
        <v>34.614699999999999</v>
      </c>
      <c r="JM73">
        <v>22.612200000000001</v>
      </c>
      <c r="JN73">
        <v>20.190100000000001</v>
      </c>
      <c r="JO73">
        <v>48.2956</v>
      </c>
      <c r="JP73">
        <v>26.584099999999999</v>
      </c>
      <c r="JQ73">
        <v>450</v>
      </c>
      <c r="JR73">
        <v>23.805800000000001</v>
      </c>
      <c r="JS73">
        <v>98.681899999999999</v>
      </c>
      <c r="JT73">
        <v>99.518600000000006</v>
      </c>
    </row>
    <row r="74" spans="1:280" x14ac:dyDescent="0.25">
      <c r="A74">
        <v>58</v>
      </c>
      <c r="B74">
        <v>1700249896.0999999</v>
      </c>
      <c r="C74">
        <v>12761.599999904631</v>
      </c>
      <c r="D74" t="s">
        <v>663</v>
      </c>
      <c r="E74" t="s">
        <v>664</v>
      </c>
      <c r="F74" t="s">
        <v>412</v>
      </c>
      <c r="G74" t="s">
        <v>413</v>
      </c>
      <c r="H74">
        <v>1.1000000000000001</v>
      </c>
      <c r="I74">
        <v>1700249896.0999999</v>
      </c>
      <c r="J74">
        <f t="shared" si="46"/>
        <v>2.701212645400612E-3</v>
      </c>
      <c r="K74">
        <f t="shared" si="47"/>
        <v>2.701212645400612</v>
      </c>
      <c r="L74">
        <f t="shared" si="48"/>
        <v>49.356871464369853</v>
      </c>
      <c r="M74">
        <f t="shared" si="49"/>
        <v>1453.26</v>
      </c>
      <c r="N74">
        <f t="shared" si="50"/>
        <v>927.58979109187192</v>
      </c>
      <c r="O74">
        <f t="shared" si="51"/>
        <v>91.838624518465835</v>
      </c>
      <c r="P74">
        <f t="shared" si="52"/>
        <v>143.88407542800002</v>
      </c>
      <c r="Q74">
        <f t="shared" si="53"/>
        <v>0.16379704840721726</v>
      </c>
      <c r="R74">
        <f t="shared" si="54"/>
        <v>3.2918768183363056</v>
      </c>
      <c r="S74">
        <f t="shared" si="55"/>
        <v>0.15940023255653438</v>
      </c>
      <c r="T74">
        <f t="shared" si="56"/>
        <v>0.10001035127103114</v>
      </c>
      <c r="U74">
        <f t="shared" si="57"/>
        <v>289.55109041931587</v>
      </c>
      <c r="V74">
        <f t="shared" si="58"/>
        <v>30.389335829759951</v>
      </c>
      <c r="W74">
        <f t="shared" si="59"/>
        <v>30.1295</v>
      </c>
      <c r="X74">
        <f t="shared" si="60"/>
        <v>4.2922434963155078</v>
      </c>
      <c r="Y74">
        <f t="shared" si="61"/>
        <v>64.621683575444337</v>
      </c>
      <c r="Z74">
        <f t="shared" si="62"/>
        <v>2.6734680202800001</v>
      </c>
      <c r="AA74">
        <f t="shared" si="63"/>
        <v>4.1371067300634277</v>
      </c>
      <c r="AB74">
        <f t="shared" si="64"/>
        <v>1.6187754760355078</v>
      </c>
      <c r="AC74">
        <f t="shared" si="65"/>
        <v>-119.12347766216699</v>
      </c>
      <c r="AD74">
        <f t="shared" si="66"/>
        <v>-113.58186433929413</v>
      </c>
      <c r="AE74">
        <f t="shared" si="67"/>
        <v>-7.6574751915349548</v>
      </c>
      <c r="AF74">
        <f t="shared" si="68"/>
        <v>49.188273226319808</v>
      </c>
      <c r="AG74">
        <v>0</v>
      </c>
      <c r="AH74">
        <v>0</v>
      </c>
      <c r="AI74">
        <f t="shared" si="69"/>
        <v>1</v>
      </c>
      <c r="AJ74">
        <f t="shared" si="70"/>
        <v>0</v>
      </c>
      <c r="AK74">
        <f t="shared" si="71"/>
        <v>51837.965564942708</v>
      </c>
      <c r="AL74" t="s">
        <v>446</v>
      </c>
      <c r="AM74" t="s">
        <v>446</v>
      </c>
      <c r="AN74">
        <v>0</v>
      </c>
      <c r="AO74">
        <v>0</v>
      </c>
      <c r="AP74" t="e">
        <f t="shared" si="72"/>
        <v>#DIV/0!</v>
      </c>
      <c r="AQ74">
        <v>0</v>
      </c>
      <c r="AR74" t="s">
        <v>446</v>
      </c>
      <c r="AS74" t="s">
        <v>446</v>
      </c>
      <c r="AT74">
        <v>0</v>
      </c>
      <c r="AU74">
        <v>0</v>
      </c>
      <c r="AV74" t="e">
        <f t="shared" si="73"/>
        <v>#DIV/0!</v>
      </c>
      <c r="AW74">
        <v>0.5</v>
      </c>
      <c r="AX74">
        <f t="shared" si="74"/>
        <v>1513.1010002172623</v>
      </c>
      <c r="AY74">
        <f t="shared" si="75"/>
        <v>49.356871464369853</v>
      </c>
      <c r="AZ74" t="e">
        <f t="shared" si="76"/>
        <v>#DIV/0!</v>
      </c>
      <c r="BA74">
        <f t="shared" si="77"/>
        <v>3.2619680680458757E-2</v>
      </c>
      <c r="BB74" t="e">
        <f t="shared" si="78"/>
        <v>#DIV/0!</v>
      </c>
      <c r="BC74" t="e">
        <f t="shared" si="79"/>
        <v>#DIV/0!</v>
      </c>
      <c r="BD74" t="s">
        <v>446</v>
      </c>
      <c r="BE74">
        <v>0</v>
      </c>
      <c r="BF74" t="e">
        <f t="shared" si="80"/>
        <v>#DIV/0!</v>
      </c>
      <c r="BG74" t="e">
        <f t="shared" si="81"/>
        <v>#DIV/0!</v>
      </c>
      <c r="BH74" t="e">
        <f t="shared" si="82"/>
        <v>#DIV/0!</v>
      </c>
      <c r="BI74" t="e">
        <f t="shared" si="83"/>
        <v>#DIV/0!</v>
      </c>
      <c r="BJ74" t="e">
        <f t="shared" si="84"/>
        <v>#DIV/0!</v>
      </c>
      <c r="BK74" t="e">
        <f t="shared" si="85"/>
        <v>#DIV/0!</v>
      </c>
      <c r="BL74" t="e">
        <f t="shared" si="86"/>
        <v>#DIV/0!</v>
      </c>
      <c r="BM74" t="e">
        <f t="shared" si="87"/>
        <v>#DIV/0!</v>
      </c>
      <c r="BN74">
        <v>34589</v>
      </c>
      <c r="BO74">
        <v>290.00000000000011</v>
      </c>
      <c r="BP74">
        <v>736.9</v>
      </c>
      <c r="BQ74">
        <v>285</v>
      </c>
      <c r="BR74">
        <v>7111.5</v>
      </c>
      <c r="BS74">
        <v>738.08</v>
      </c>
      <c r="BT74">
        <v>-1.18</v>
      </c>
      <c r="BU74">
        <v>300.00000000000011</v>
      </c>
      <c r="BV74">
        <v>38.200000000000003</v>
      </c>
      <c r="BW74">
        <v>795.46854215874225</v>
      </c>
      <c r="BX74">
        <v>1.4219794087877291</v>
      </c>
      <c r="BY74">
        <v>-40.810753257566397</v>
      </c>
      <c r="BZ74">
        <v>0.84777881908944086</v>
      </c>
      <c r="CA74">
        <v>0.98806127870942762</v>
      </c>
      <c r="CB74">
        <v>-7.010489877641829E-3</v>
      </c>
      <c r="CC74">
        <v>289.99999999999989</v>
      </c>
      <c r="CD74">
        <v>746.33</v>
      </c>
      <c r="CE74">
        <v>865</v>
      </c>
      <c r="CF74">
        <v>7105.17</v>
      </c>
      <c r="CG74">
        <v>738.03</v>
      </c>
      <c r="CH74">
        <v>8.3000000000000007</v>
      </c>
      <c r="CV74">
        <f t="shared" si="88"/>
        <v>1799.9</v>
      </c>
      <c r="CW74">
        <f t="shared" si="89"/>
        <v>1513.1010002172623</v>
      </c>
      <c r="CX74">
        <f t="shared" si="90"/>
        <v>0.84065837003014732</v>
      </c>
      <c r="CY74">
        <f t="shared" si="91"/>
        <v>0.16087065415818427</v>
      </c>
      <c r="CZ74">
        <v>4.38</v>
      </c>
      <c r="DA74">
        <v>0.5</v>
      </c>
      <c r="DB74" t="s">
        <v>418</v>
      </c>
      <c r="DC74">
        <v>2</v>
      </c>
      <c r="DD74">
        <v>1700249896.0999999</v>
      </c>
      <c r="DE74">
        <v>1453.26</v>
      </c>
      <c r="DF74">
        <v>1499.93</v>
      </c>
      <c r="DG74">
        <v>27.002600000000001</v>
      </c>
      <c r="DH74">
        <v>24.700500000000002</v>
      </c>
      <c r="DI74">
        <v>1453.72</v>
      </c>
      <c r="DJ74">
        <v>26.6525</v>
      </c>
      <c r="DK74">
        <v>500.05799999999999</v>
      </c>
      <c r="DL74">
        <v>98.907499999999999</v>
      </c>
      <c r="DM74">
        <v>0.1003</v>
      </c>
      <c r="DN74">
        <v>29.4895</v>
      </c>
      <c r="DO74">
        <v>30.1295</v>
      </c>
      <c r="DP74">
        <v>999.9</v>
      </c>
      <c r="DQ74">
        <v>0</v>
      </c>
      <c r="DR74">
        <v>0</v>
      </c>
      <c r="DS74">
        <v>9993.75</v>
      </c>
      <c r="DT74">
        <v>0</v>
      </c>
      <c r="DU74">
        <v>296.59500000000003</v>
      </c>
      <c r="DV74">
        <v>-46.671399999999998</v>
      </c>
      <c r="DW74">
        <v>1493.59</v>
      </c>
      <c r="DX74">
        <v>1537.92</v>
      </c>
      <c r="DY74">
        <v>2.3020200000000002</v>
      </c>
      <c r="DZ74">
        <v>1499.93</v>
      </c>
      <c r="EA74">
        <v>24.700500000000002</v>
      </c>
      <c r="EB74">
        <v>2.67076</v>
      </c>
      <c r="EC74">
        <v>2.4430700000000001</v>
      </c>
      <c r="ED74">
        <v>22.106300000000001</v>
      </c>
      <c r="EE74">
        <v>20.652100000000001</v>
      </c>
      <c r="EF74">
        <v>1799.9</v>
      </c>
      <c r="EG74">
        <v>0.97799199999999997</v>
      </c>
      <c r="EH74">
        <v>2.20079E-2</v>
      </c>
      <c r="EI74">
        <v>0</v>
      </c>
      <c r="EJ74">
        <v>571.79999999999995</v>
      </c>
      <c r="EK74">
        <v>4.9996700000000001</v>
      </c>
      <c r="EL74">
        <v>10828.4</v>
      </c>
      <c r="EM74">
        <v>15045.9</v>
      </c>
      <c r="EN74">
        <v>48.375</v>
      </c>
      <c r="EO74">
        <v>49.686999999999998</v>
      </c>
      <c r="EP74">
        <v>49.186999999999998</v>
      </c>
      <c r="EQ74">
        <v>49.375</v>
      </c>
      <c r="ER74">
        <v>49.875</v>
      </c>
      <c r="ES74">
        <v>1755.4</v>
      </c>
      <c r="ET74">
        <v>39.5</v>
      </c>
      <c r="EU74">
        <v>0</v>
      </c>
      <c r="EV74">
        <v>111.6000001430511</v>
      </c>
      <c r="EW74">
        <v>0</v>
      </c>
      <c r="EX74">
        <v>572.13173076923067</v>
      </c>
      <c r="EY74">
        <v>-2.3736410205123541</v>
      </c>
      <c r="EZ74">
        <v>-69.459829144026244</v>
      </c>
      <c r="FA74">
        <v>10835.626923076919</v>
      </c>
      <c r="FB74">
        <v>15</v>
      </c>
      <c r="FC74">
        <v>1700249867.5999999</v>
      </c>
      <c r="FD74" t="s">
        <v>665</v>
      </c>
      <c r="FE74">
        <v>1700249864.0999999</v>
      </c>
      <c r="FF74">
        <v>1700249867.5999999</v>
      </c>
      <c r="FG74">
        <v>67</v>
      </c>
      <c r="FH74">
        <v>0.50800000000000001</v>
      </c>
      <c r="FI74">
        <v>3.0000000000000001E-3</v>
      </c>
      <c r="FJ74">
        <v>-0.504</v>
      </c>
      <c r="FK74">
        <v>0.34100000000000003</v>
      </c>
      <c r="FL74">
        <v>1500</v>
      </c>
      <c r="FM74">
        <v>24</v>
      </c>
      <c r="FN74">
        <v>0.06</v>
      </c>
      <c r="FO74">
        <v>0.01</v>
      </c>
      <c r="FP74">
        <v>49.504392509816768</v>
      </c>
      <c r="FQ74">
        <v>-0.40218538582269409</v>
      </c>
      <c r="FR74">
        <v>0.117556568992427</v>
      </c>
      <c r="FS74">
        <v>1</v>
      </c>
      <c r="FT74">
        <v>0.17489004040328979</v>
      </c>
      <c r="FU74">
        <v>-4.0816586223230873E-2</v>
      </c>
      <c r="FV74">
        <v>3.365970570083665E-3</v>
      </c>
      <c r="FW74">
        <v>1</v>
      </c>
      <c r="FX74">
        <v>2</v>
      </c>
      <c r="FY74">
        <v>2</v>
      </c>
      <c r="FZ74" t="s">
        <v>420</v>
      </c>
      <c r="GA74">
        <v>3.0119199999999999</v>
      </c>
      <c r="GB74">
        <v>2.7773300000000001</v>
      </c>
      <c r="GC74">
        <v>0.21026400000000001</v>
      </c>
      <c r="GD74">
        <v>0.21517800000000001</v>
      </c>
      <c r="GE74">
        <v>0.123498</v>
      </c>
      <c r="GF74">
        <v>0.117338</v>
      </c>
      <c r="GG74">
        <v>18970.2</v>
      </c>
      <c r="GH74">
        <v>19463.7</v>
      </c>
      <c r="GI74">
        <v>23793.3</v>
      </c>
      <c r="GJ74">
        <v>24463.9</v>
      </c>
      <c r="GK74">
        <v>30843.8</v>
      </c>
      <c r="GL74">
        <v>30965.3</v>
      </c>
      <c r="GM74">
        <v>38968.199999999997</v>
      </c>
      <c r="GN74">
        <v>38963.1</v>
      </c>
      <c r="GO74">
        <v>2.0443500000000001</v>
      </c>
      <c r="GP74">
        <v>1.8244800000000001</v>
      </c>
      <c r="GQ74">
        <v>8.8051000000000004E-2</v>
      </c>
      <c r="GR74">
        <v>0</v>
      </c>
      <c r="GS74">
        <v>28.6952</v>
      </c>
      <c r="GT74">
        <v>999.9</v>
      </c>
      <c r="GU74">
        <v>42.2</v>
      </c>
      <c r="GV74">
        <v>38.1</v>
      </c>
      <c r="GW74">
        <v>28.5579</v>
      </c>
      <c r="GX74">
        <v>61.148499999999999</v>
      </c>
      <c r="GY74">
        <v>30.02</v>
      </c>
      <c r="GZ74">
        <v>1</v>
      </c>
      <c r="HA74">
        <v>0.60613600000000001</v>
      </c>
      <c r="HB74">
        <v>3.867</v>
      </c>
      <c r="HC74">
        <v>20.283799999999999</v>
      </c>
      <c r="HD74">
        <v>5.2411000000000003</v>
      </c>
      <c r="HE74">
        <v>12.0037</v>
      </c>
      <c r="HF74">
        <v>4.9635499999999997</v>
      </c>
      <c r="HG74">
        <v>3.3008500000000001</v>
      </c>
      <c r="HH74">
        <v>9999</v>
      </c>
      <c r="HI74">
        <v>9999</v>
      </c>
      <c r="HJ74">
        <v>9999</v>
      </c>
      <c r="HK74">
        <v>999.9</v>
      </c>
      <c r="HL74">
        <v>1.875</v>
      </c>
      <c r="HM74">
        <v>1.88039</v>
      </c>
      <c r="HN74">
        <v>1.88049</v>
      </c>
      <c r="HO74">
        <v>1.87914</v>
      </c>
      <c r="HP74">
        <v>1.8815599999999999</v>
      </c>
      <c r="HQ74">
        <v>1.87744</v>
      </c>
      <c r="HR74">
        <v>1.8751500000000001</v>
      </c>
      <c r="HS74">
        <v>1.8824799999999999</v>
      </c>
      <c r="HT74">
        <v>5</v>
      </c>
      <c r="HU74">
        <v>0</v>
      </c>
      <c r="HV74">
        <v>0</v>
      </c>
      <c r="HW74">
        <v>0</v>
      </c>
      <c r="HX74" t="s">
        <v>421</v>
      </c>
      <c r="HY74" t="s">
        <v>422</v>
      </c>
      <c r="HZ74" t="s">
        <v>423</v>
      </c>
      <c r="IA74" t="s">
        <v>423</v>
      </c>
      <c r="IB74" t="s">
        <v>423</v>
      </c>
      <c r="IC74" t="s">
        <v>423</v>
      </c>
      <c r="ID74">
        <v>0</v>
      </c>
      <c r="IE74">
        <v>100</v>
      </c>
      <c r="IF74">
        <v>100</v>
      </c>
      <c r="IG74">
        <v>-0.46</v>
      </c>
      <c r="IH74">
        <v>0.35010000000000002</v>
      </c>
      <c r="II74">
        <v>0.32141972386535461</v>
      </c>
      <c r="IJ74">
        <v>7.0786345690369205E-4</v>
      </c>
      <c r="IK74">
        <v>-1.387476646623666E-6</v>
      </c>
      <c r="IL74">
        <v>3.6592443641472651E-10</v>
      </c>
      <c r="IM74">
        <v>0.35009584701512442</v>
      </c>
      <c r="IN74">
        <v>0</v>
      </c>
      <c r="IO74">
        <v>0</v>
      </c>
      <c r="IP74">
        <v>0</v>
      </c>
      <c r="IQ74">
        <v>2</v>
      </c>
      <c r="IR74">
        <v>2142</v>
      </c>
      <c r="IS74">
        <v>1</v>
      </c>
      <c r="IT74">
        <v>24</v>
      </c>
      <c r="IU74">
        <v>0.5</v>
      </c>
      <c r="IV74">
        <v>0.5</v>
      </c>
      <c r="IW74">
        <v>3.0163600000000002</v>
      </c>
      <c r="IX74">
        <v>2.63672</v>
      </c>
      <c r="IY74">
        <v>1.5490699999999999</v>
      </c>
      <c r="IZ74">
        <v>2.36328</v>
      </c>
      <c r="JA74">
        <v>1.5966800000000001</v>
      </c>
      <c r="JB74">
        <v>2.34375</v>
      </c>
      <c r="JC74">
        <v>40.938000000000002</v>
      </c>
      <c r="JD74">
        <v>24.227599999999999</v>
      </c>
      <c r="JE74">
        <v>18</v>
      </c>
      <c r="JF74">
        <v>543.96600000000001</v>
      </c>
      <c r="JG74">
        <v>468.17700000000002</v>
      </c>
      <c r="JH74">
        <v>25.7758</v>
      </c>
      <c r="JI74">
        <v>34.559199999999997</v>
      </c>
      <c r="JJ74">
        <v>30.000800000000002</v>
      </c>
      <c r="JK74">
        <v>34.583799999999997</v>
      </c>
      <c r="JL74">
        <v>34.581400000000002</v>
      </c>
      <c r="JM74">
        <v>60.281700000000001</v>
      </c>
      <c r="JN74">
        <v>17.747399999999999</v>
      </c>
      <c r="JO74">
        <v>50.270699999999998</v>
      </c>
      <c r="JP74">
        <v>25.658899999999999</v>
      </c>
      <c r="JQ74">
        <v>1500</v>
      </c>
      <c r="JR74">
        <v>24.750699999999998</v>
      </c>
      <c r="JS74">
        <v>98.688000000000002</v>
      </c>
      <c r="JT74">
        <v>99.522400000000005</v>
      </c>
    </row>
    <row r="75" spans="1:280" x14ac:dyDescent="0.25">
      <c r="A75">
        <v>59</v>
      </c>
      <c r="B75">
        <v>1700249989.0999999</v>
      </c>
      <c r="C75">
        <v>12854.599999904631</v>
      </c>
      <c r="D75" t="s">
        <v>666</v>
      </c>
      <c r="E75" t="s">
        <v>667</v>
      </c>
      <c r="F75" t="s">
        <v>412</v>
      </c>
      <c r="G75" t="s">
        <v>413</v>
      </c>
      <c r="H75">
        <v>1.1000000000000001</v>
      </c>
      <c r="I75">
        <v>1700249989.0999999</v>
      </c>
      <c r="J75">
        <f t="shared" si="46"/>
        <v>2.282748193959825E-3</v>
      </c>
      <c r="K75">
        <f t="shared" si="47"/>
        <v>2.2827481939598249</v>
      </c>
      <c r="L75">
        <f t="shared" si="48"/>
        <v>46.640464126358772</v>
      </c>
      <c r="M75">
        <f t="shared" si="49"/>
        <v>1206.77</v>
      </c>
      <c r="N75">
        <f t="shared" si="50"/>
        <v>634.4981281229733</v>
      </c>
      <c r="O75">
        <f t="shared" si="51"/>
        <v>62.819537269217015</v>
      </c>
      <c r="P75">
        <f t="shared" si="52"/>
        <v>119.47826105434999</v>
      </c>
      <c r="Q75">
        <f t="shared" si="53"/>
        <v>0.13901247459634961</v>
      </c>
      <c r="R75">
        <f t="shared" si="54"/>
        <v>3.2886565785720112</v>
      </c>
      <c r="S75">
        <f t="shared" si="55"/>
        <v>0.13582862563227321</v>
      </c>
      <c r="T75">
        <f t="shared" si="56"/>
        <v>8.5172873713889291E-2</v>
      </c>
      <c r="U75">
        <f t="shared" si="57"/>
        <v>289.55587841930884</v>
      </c>
      <c r="V75">
        <f t="shared" si="58"/>
        <v>30.207387239145564</v>
      </c>
      <c r="W75">
        <f t="shared" si="59"/>
        <v>29.982299999999999</v>
      </c>
      <c r="X75">
        <f t="shared" si="60"/>
        <v>4.2561202045082718</v>
      </c>
      <c r="Y75">
        <f t="shared" si="61"/>
        <v>65.105758601086308</v>
      </c>
      <c r="Z75">
        <f t="shared" si="62"/>
        <v>2.6502398430364997</v>
      </c>
      <c r="AA75">
        <f t="shared" si="63"/>
        <v>4.0706688624503329</v>
      </c>
      <c r="AB75">
        <f t="shared" si="64"/>
        <v>1.605880361471772</v>
      </c>
      <c r="AC75">
        <f t="shared" si="65"/>
        <v>-100.66919535362828</v>
      </c>
      <c r="AD75">
        <f t="shared" si="66"/>
        <v>-137.10458474369113</v>
      </c>
      <c r="AE75">
        <f t="shared" si="67"/>
        <v>-9.2327996566937376</v>
      </c>
      <c r="AF75">
        <f t="shared" si="68"/>
        <v>42.549298665295709</v>
      </c>
      <c r="AG75">
        <v>0</v>
      </c>
      <c r="AH75">
        <v>0</v>
      </c>
      <c r="AI75">
        <f t="shared" si="69"/>
        <v>1</v>
      </c>
      <c r="AJ75">
        <f t="shared" si="70"/>
        <v>0</v>
      </c>
      <c r="AK75">
        <f t="shared" si="71"/>
        <v>51810.833144178992</v>
      </c>
      <c r="AL75" t="s">
        <v>415</v>
      </c>
      <c r="AM75">
        <v>10238.9</v>
      </c>
      <c r="AN75">
        <v>302.21199999999999</v>
      </c>
      <c r="AO75">
        <v>4052.3</v>
      </c>
      <c r="AP75">
        <f t="shared" si="72"/>
        <v>0.92542210596451402</v>
      </c>
      <c r="AQ75">
        <v>-0.32343011824092421</v>
      </c>
      <c r="AR75" t="s">
        <v>668</v>
      </c>
      <c r="AS75">
        <v>7111.62</v>
      </c>
      <c r="AT75">
        <v>573.94672000000003</v>
      </c>
      <c r="AU75">
        <v>808.68659880577582</v>
      </c>
      <c r="AV75">
        <f t="shared" si="73"/>
        <v>0.29027299222273106</v>
      </c>
      <c r="AW75">
        <v>0.5</v>
      </c>
      <c r="AX75">
        <f t="shared" si="74"/>
        <v>1513.1262002172584</v>
      </c>
      <c r="AY75">
        <f t="shared" si="75"/>
        <v>46.640464126358772</v>
      </c>
      <c r="AZ75">
        <f t="shared" si="76"/>
        <v>219.60983487383743</v>
      </c>
      <c r="BA75">
        <f t="shared" si="77"/>
        <v>3.1037658483381293E-2</v>
      </c>
      <c r="BB75">
        <f t="shared" si="78"/>
        <v>4.0109647000262099</v>
      </c>
      <c r="BC75">
        <f t="shared" si="79"/>
        <v>232.62657528540126</v>
      </c>
      <c r="BD75" t="s">
        <v>669</v>
      </c>
      <c r="BE75">
        <v>402.8</v>
      </c>
      <c r="BF75">
        <f t="shared" si="80"/>
        <v>402.8</v>
      </c>
      <c r="BG75">
        <f t="shared" si="81"/>
        <v>0.50190840234667788</v>
      </c>
      <c r="BH75">
        <f t="shared" si="82"/>
        <v>0.57833857904262354</v>
      </c>
      <c r="BI75">
        <f t="shared" si="83"/>
        <v>0.88878295689662268</v>
      </c>
      <c r="BJ75">
        <f t="shared" si="84"/>
        <v>0.46347808825807363</v>
      </c>
      <c r="BK75">
        <f t="shared" si="85"/>
        <v>0.86494327631624224</v>
      </c>
      <c r="BL75">
        <f t="shared" si="86"/>
        <v>0.40588223875269946</v>
      </c>
      <c r="BM75">
        <f t="shared" si="87"/>
        <v>0.59411776124730054</v>
      </c>
      <c r="BN75">
        <v>34591</v>
      </c>
      <c r="BO75">
        <v>290.00000000000011</v>
      </c>
      <c r="BP75">
        <v>742.78</v>
      </c>
      <c r="BQ75">
        <v>295</v>
      </c>
      <c r="BR75">
        <v>7111.62</v>
      </c>
      <c r="BS75">
        <v>744.02</v>
      </c>
      <c r="BT75">
        <v>-1.24</v>
      </c>
      <c r="BU75">
        <v>300.00000000000011</v>
      </c>
      <c r="BV75">
        <v>38.200000000000003</v>
      </c>
      <c r="BW75">
        <v>808.68659880577582</v>
      </c>
      <c r="BX75">
        <v>1.6426072635794431</v>
      </c>
      <c r="BY75">
        <v>-45.985690359647997</v>
      </c>
      <c r="BZ75">
        <v>0.97933585742076246</v>
      </c>
      <c r="CA75">
        <v>0.98746005993794383</v>
      </c>
      <c r="CB75">
        <v>-7.0106460511679793E-3</v>
      </c>
      <c r="CC75">
        <v>289.99999999999989</v>
      </c>
      <c r="CD75">
        <v>752.2</v>
      </c>
      <c r="CE75">
        <v>865</v>
      </c>
      <c r="CF75">
        <v>7105.32</v>
      </c>
      <c r="CG75">
        <v>743.97</v>
      </c>
      <c r="CH75">
        <v>8.23</v>
      </c>
      <c r="CV75">
        <f t="shared" si="88"/>
        <v>1799.93</v>
      </c>
      <c r="CW75">
        <f t="shared" si="89"/>
        <v>1513.1262002172584</v>
      </c>
      <c r="CX75">
        <f t="shared" si="90"/>
        <v>0.84065835905688469</v>
      </c>
      <c r="CY75">
        <f t="shared" si="91"/>
        <v>0.16087063297978746</v>
      </c>
      <c r="CZ75">
        <v>4.38</v>
      </c>
      <c r="DA75">
        <v>0.5</v>
      </c>
      <c r="DB75" t="s">
        <v>418</v>
      </c>
      <c r="DC75">
        <v>2</v>
      </c>
      <c r="DD75">
        <v>1700249989.0999999</v>
      </c>
      <c r="DE75">
        <v>1206.77</v>
      </c>
      <c r="DF75">
        <v>1250.03</v>
      </c>
      <c r="DG75">
        <v>26.7683</v>
      </c>
      <c r="DH75">
        <v>24.822600000000001</v>
      </c>
      <c r="DI75">
        <v>1207.1500000000001</v>
      </c>
      <c r="DJ75">
        <v>26.4054</v>
      </c>
      <c r="DK75">
        <v>500.11799999999999</v>
      </c>
      <c r="DL75">
        <v>98.906499999999994</v>
      </c>
      <c r="DM75">
        <v>0.10015499999999999</v>
      </c>
      <c r="DN75">
        <v>29.209</v>
      </c>
      <c r="DO75">
        <v>29.982299999999999</v>
      </c>
      <c r="DP75">
        <v>999.9</v>
      </c>
      <c r="DQ75">
        <v>0</v>
      </c>
      <c r="DR75">
        <v>0</v>
      </c>
      <c r="DS75">
        <v>9978.75</v>
      </c>
      <c r="DT75">
        <v>0</v>
      </c>
      <c r="DU75">
        <v>309.73700000000002</v>
      </c>
      <c r="DV75">
        <v>-43.262599999999999</v>
      </c>
      <c r="DW75">
        <v>1239.96</v>
      </c>
      <c r="DX75">
        <v>1281.8499999999999</v>
      </c>
      <c r="DY75">
        <v>1.94577</v>
      </c>
      <c r="DZ75">
        <v>1250.03</v>
      </c>
      <c r="EA75">
        <v>24.822600000000001</v>
      </c>
      <c r="EB75">
        <v>2.6475599999999999</v>
      </c>
      <c r="EC75">
        <v>2.4551099999999999</v>
      </c>
      <c r="ED75">
        <v>21.963200000000001</v>
      </c>
      <c r="EE75">
        <v>20.7319</v>
      </c>
      <c r="EF75">
        <v>1799.93</v>
      </c>
      <c r="EG75">
        <v>0.97799199999999997</v>
      </c>
      <c r="EH75">
        <v>2.20079E-2</v>
      </c>
      <c r="EI75">
        <v>0</v>
      </c>
      <c r="EJ75">
        <v>574.06500000000005</v>
      </c>
      <c r="EK75">
        <v>4.9996700000000001</v>
      </c>
      <c r="EL75">
        <v>10882.8</v>
      </c>
      <c r="EM75">
        <v>15046.2</v>
      </c>
      <c r="EN75">
        <v>48.375</v>
      </c>
      <c r="EO75">
        <v>49.625</v>
      </c>
      <c r="EP75">
        <v>49.125</v>
      </c>
      <c r="EQ75">
        <v>49.311999999999998</v>
      </c>
      <c r="ER75">
        <v>49.811999999999998</v>
      </c>
      <c r="ES75">
        <v>1755.43</v>
      </c>
      <c r="ET75">
        <v>39.5</v>
      </c>
      <c r="EU75">
        <v>0</v>
      </c>
      <c r="EV75">
        <v>204.60000014305109</v>
      </c>
      <c r="EW75">
        <v>0</v>
      </c>
      <c r="EX75">
        <v>573.94672000000003</v>
      </c>
      <c r="EY75">
        <v>0.34476924321600277</v>
      </c>
      <c r="EZ75">
        <v>87.346153840039278</v>
      </c>
      <c r="FA75">
        <v>10906.067999999999</v>
      </c>
      <c r="FB75">
        <v>15</v>
      </c>
      <c r="FC75">
        <v>1700249960.5999999</v>
      </c>
      <c r="FD75" t="s">
        <v>670</v>
      </c>
      <c r="FE75">
        <v>1700249953.5999999</v>
      </c>
      <c r="FF75">
        <v>1700249960.5999999</v>
      </c>
      <c r="FG75">
        <v>68</v>
      </c>
      <c r="FH75">
        <v>-0.18</v>
      </c>
      <c r="FI75">
        <v>1.2999999999999999E-2</v>
      </c>
      <c r="FJ75">
        <v>-0.42899999999999999</v>
      </c>
      <c r="FK75">
        <v>0.36299999999999999</v>
      </c>
      <c r="FL75">
        <v>1250</v>
      </c>
      <c r="FM75">
        <v>25</v>
      </c>
      <c r="FN75">
        <v>0.21</v>
      </c>
      <c r="FO75">
        <v>0.05</v>
      </c>
      <c r="FP75">
        <v>46.529908403904351</v>
      </c>
      <c r="FQ75">
        <v>-0.51438568173749055</v>
      </c>
      <c r="FR75">
        <v>6.0211690778187908E-2</v>
      </c>
      <c r="FS75">
        <v>1</v>
      </c>
      <c r="FT75">
        <v>0.1413038243212783</v>
      </c>
      <c r="FU75">
        <v>-4.1424255380404064E-3</v>
      </c>
      <c r="FV75">
        <v>1.116786050372108E-3</v>
      </c>
      <c r="FW75">
        <v>1</v>
      </c>
      <c r="FX75">
        <v>2</v>
      </c>
      <c r="FY75">
        <v>2</v>
      </c>
      <c r="FZ75" t="s">
        <v>420</v>
      </c>
      <c r="GA75">
        <v>3.01207</v>
      </c>
      <c r="GB75">
        <v>2.7770600000000001</v>
      </c>
      <c r="GC75">
        <v>0.18779000000000001</v>
      </c>
      <c r="GD75">
        <v>0.19277900000000001</v>
      </c>
      <c r="GE75">
        <v>0.122713</v>
      </c>
      <c r="GF75">
        <v>0.117744</v>
      </c>
      <c r="GG75">
        <v>19513</v>
      </c>
      <c r="GH75">
        <v>20022.5</v>
      </c>
      <c r="GI75">
        <v>23795.1</v>
      </c>
      <c r="GJ75">
        <v>24465.9</v>
      </c>
      <c r="GK75">
        <v>30874</v>
      </c>
      <c r="GL75">
        <v>30953.599999999999</v>
      </c>
      <c r="GM75">
        <v>38971.199999999997</v>
      </c>
      <c r="GN75">
        <v>38966.199999999997</v>
      </c>
      <c r="GO75">
        <v>2.0442499999999999</v>
      </c>
      <c r="GP75">
        <v>1.8246</v>
      </c>
      <c r="GQ75">
        <v>9.0636300000000003E-2</v>
      </c>
      <c r="GR75">
        <v>0</v>
      </c>
      <c r="GS75">
        <v>28.505500000000001</v>
      </c>
      <c r="GT75">
        <v>999.9</v>
      </c>
      <c r="GU75">
        <v>43</v>
      </c>
      <c r="GV75">
        <v>38</v>
      </c>
      <c r="GW75">
        <v>28.946999999999999</v>
      </c>
      <c r="GX75">
        <v>61.1785</v>
      </c>
      <c r="GY75">
        <v>29.735600000000002</v>
      </c>
      <c r="GZ75">
        <v>1</v>
      </c>
      <c r="HA75">
        <v>0.59754600000000002</v>
      </c>
      <c r="HB75">
        <v>2.6795599999999999</v>
      </c>
      <c r="HC75">
        <v>20.310400000000001</v>
      </c>
      <c r="HD75">
        <v>5.2413999999999996</v>
      </c>
      <c r="HE75">
        <v>12.0025</v>
      </c>
      <c r="HF75">
        <v>4.9635499999999997</v>
      </c>
      <c r="HG75">
        <v>3.3010000000000002</v>
      </c>
      <c r="HH75">
        <v>9999</v>
      </c>
      <c r="HI75">
        <v>9999</v>
      </c>
      <c r="HJ75">
        <v>9999</v>
      </c>
      <c r="HK75">
        <v>999.9</v>
      </c>
      <c r="HL75">
        <v>1.8750100000000001</v>
      </c>
      <c r="HM75">
        <v>1.88036</v>
      </c>
      <c r="HN75">
        <v>1.88049</v>
      </c>
      <c r="HO75">
        <v>1.87913</v>
      </c>
      <c r="HP75">
        <v>1.8815599999999999</v>
      </c>
      <c r="HQ75">
        <v>1.87744</v>
      </c>
      <c r="HR75">
        <v>1.87514</v>
      </c>
      <c r="HS75">
        <v>1.8824799999999999</v>
      </c>
      <c r="HT75">
        <v>5</v>
      </c>
      <c r="HU75">
        <v>0</v>
      </c>
      <c r="HV75">
        <v>0</v>
      </c>
      <c r="HW75">
        <v>0</v>
      </c>
      <c r="HX75" t="s">
        <v>421</v>
      </c>
      <c r="HY75" t="s">
        <v>422</v>
      </c>
      <c r="HZ75" t="s">
        <v>423</v>
      </c>
      <c r="IA75" t="s">
        <v>423</v>
      </c>
      <c r="IB75" t="s">
        <v>423</v>
      </c>
      <c r="IC75" t="s">
        <v>423</v>
      </c>
      <c r="ID75">
        <v>0</v>
      </c>
      <c r="IE75">
        <v>100</v>
      </c>
      <c r="IF75">
        <v>100</v>
      </c>
      <c r="IG75">
        <v>-0.38</v>
      </c>
      <c r="IH75">
        <v>0.3629</v>
      </c>
      <c r="II75">
        <v>0.13976697065547661</v>
      </c>
      <c r="IJ75">
        <v>7.0786345690369205E-4</v>
      </c>
      <c r="IK75">
        <v>-1.387476646623666E-6</v>
      </c>
      <c r="IL75">
        <v>3.6592443641472651E-10</v>
      </c>
      <c r="IM75">
        <v>0.36292000000000257</v>
      </c>
      <c r="IN75">
        <v>0</v>
      </c>
      <c r="IO75">
        <v>0</v>
      </c>
      <c r="IP75">
        <v>0</v>
      </c>
      <c r="IQ75">
        <v>2</v>
      </c>
      <c r="IR75">
        <v>2142</v>
      </c>
      <c r="IS75">
        <v>1</v>
      </c>
      <c r="IT75">
        <v>24</v>
      </c>
      <c r="IU75">
        <v>0.6</v>
      </c>
      <c r="IV75">
        <v>0.5</v>
      </c>
      <c r="IW75">
        <v>2.6013199999999999</v>
      </c>
      <c r="IX75">
        <v>2.6293899999999999</v>
      </c>
      <c r="IY75">
        <v>1.5490699999999999</v>
      </c>
      <c r="IZ75">
        <v>2.3645</v>
      </c>
      <c r="JA75">
        <v>1.5966800000000001</v>
      </c>
      <c r="JB75">
        <v>2.3840300000000001</v>
      </c>
      <c r="JC75">
        <v>40.886499999999998</v>
      </c>
      <c r="JD75">
        <v>24.245100000000001</v>
      </c>
      <c r="JE75">
        <v>18</v>
      </c>
      <c r="JF75">
        <v>543.649</v>
      </c>
      <c r="JG75">
        <v>468.02699999999999</v>
      </c>
      <c r="JH75">
        <v>26.1096</v>
      </c>
      <c r="JI75">
        <v>34.534100000000002</v>
      </c>
      <c r="JJ75">
        <v>29.9999</v>
      </c>
      <c r="JK75">
        <v>34.5533</v>
      </c>
      <c r="JL75">
        <v>34.550400000000003</v>
      </c>
      <c r="JM75">
        <v>52.011899999999997</v>
      </c>
      <c r="JN75">
        <v>19.761299999999999</v>
      </c>
      <c r="JO75">
        <v>52.292999999999999</v>
      </c>
      <c r="JP75">
        <v>26.125499999999999</v>
      </c>
      <c r="JQ75">
        <v>1250</v>
      </c>
      <c r="JR75">
        <v>24.818200000000001</v>
      </c>
      <c r="JS75">
        <v>98.695599999999999</v>
      </c>
      <c r="JT75">
        <v>99.5304</v>
      </c>
    </row>
    <row r="76" spans="1:280" x14ac:dyDescent="0.25">
      <c r="A76">
        <v>60</v>
      </c>
      <c r="B76">
        <v>1700250167.0999999</v>
      </c>
      <c r="C76">
        <v>13032.599999904631</v>
      </c>
      <c r="D76" t="s">
        <v>671</v>
      </c>
      <c r="E76" t="s">
        <v>672</v>
      </c>
      <c r="F76" t="s">
        <v>412</v>
      </c>
      <c r="G76" t="s">
        <v>413</v>
      </c>
      <c r="H76">
        <v>1.1000000000000001</v>
      </c>
      <c r="I76">
        <v>1700250167.0999999</v>
      </c>
      <c r="J76">
        <f t="shared" si="46"/>
        <v>2.2365841818784604E-3</v>
      </c>
      <c r="K76">
        <f t="shared" si="47"/>
        <v>2.2365841818784604</v>
      </c>
      <c r="L76">
        <f t="shared" si="48"/>
        <v>45.906505726893485</v>
      </c>
      <c r="M76">
        <f t="shared" si="49"/>
        <v>957.94</v>
      </c>
      <c r="N76">
        <f t="shared" si="50"/>
        <v>388.1258377824492</v>
      </c>
      <c r="O76">
        <f t="shared" si="51"/>
        <v>38.429241591413138</v>
      </c>
      <c r="P76">
        <f t="shared" si="52"/>
        <v>94.84786661050002</v>
      </c>
      <c r="Q76">
        <f t="shared" si="53"/>
        <v>0.13573589658586607</v>
      </c>
      <c r="R76">
        <f t="shared" si="54"/>
        <v>3.2925130747489515</v>
      </c>
      <c r="S76">
        <f t="shared" si="55"/>
        <v>0.13270207324451733</v>
      </c>
      <c r="T76">
        <f t="shared" si="56"/>
        <v>8.320572504315471E-2</v>
      </c>
      <c r="U76">
        <f t="shared" si="57"/>
        <v>289.56705041929257</v>
      </c>
      <c r="V76">
        <f t="shared" si="58"/>
        <v>30.243082786819674</v>
      </c>
      <c r="W76">
        <f t="shared" si="59"/>
        <v>29.982900000000001</v>
      </c>
      <c r="X76">
        <f t="shared" si="60"/>
        <v>4.256266906709981</v>
      </c>
      <c r="Y76">
        <f t="shared" si="61"/>
        <v>64.895672910887356</v>
      </c>
      <c r="Z76">
        <f t="shared" si="62"/>
        <v>2.6456588301625001</v>
      </c>
      <c r="AA76">
        <f t="shared" si="63"/>
        <v>4.0767877294306407</v>
      </c>
      <c r="AB76">
        <f t="shared" si="64"/>
        <v>1.6106080765474808</v>
      </c>
      <c r="AC76">
        <f t="shared" si="65"/>
        <v>-98.633362420840101</v>
      </c>
      <c r="AD76">
        <f t="shared" si="66"/>
        <v>-132.75671113813902</v>
      </c>
      <c r="AE76">
        <f t="shared" si="67"/>
        <v>-8.9307134215513191</v>
      </c>
      <c r="AF76">
        <f t="shared" si="68"/>
        <v>49.246263438762099</v>
      </c>
      <c r="AG76">
        <v>0</v>
      </c>
      <c r="AH76">
        <v>0</v>
      </c>
      <c r="AI76">
        <f t="shared" si="69"/>
        <v>1</v>
      </c>
      <c r="AJ76">
        <f t="shared" si="70"/>
        <v>0</v>
      </c>
      <c r="AK76">
        <f t="shared" si="71"/>
        <v>51896.584218458163</v>
      </c>
      <c r="AL76" t="s">
        <v>446</v>
      </c>
      <c r="AM76" t="s">
        <v>446</v>
      </c>
      <c r="AN76">
        <v>0</v>
      </c>
      <c r="AO76">
        <v>0</v>
      </c>
      <c r="AP76" t="e">
        <f t="shared" si="72"/>
        <v>#DIV/0!</v>
      </c>
      <c r="AQ76">
        <v>0</v>
      </c>
      <c r="AR76" t="s">
        <v>446</v>
      </c>
      <c r="AS76" t="s">
        <v>446</v>
      </c>
      <c r="AT76">
        <v>0</v>
      </c>
      <c r="AU76">
        <v>0</v>
      </c>
      <c r="AV76" t="e">
        <f t="shared" si="73"/>
        <v>#DIV/0!</v>
      </c>
      <c r="AW76">
        <v>0.5</v>
      </c>
      <c r="AX76">
        <f t="shared" si="74"/>
        <v>1513.18500021725</v>
      </c>
      <c r="AY76">
        <f t="shared" si="75"/>
        <v>45.906505726893485</v>
      </c>
      <c r="AZ76" t="e">
        <f t="shared" si="76"/>
        <v>#DIV/0!</v>
      </c>
      <c r="BA76">
        <f t="shared" si="77"/>
        <v>3.0337669036041612E-2</v>
      </c>
      <c r="BB76" t="e">
        <f t="shared" si="78"/>
        <v>#DIV/0!</v>
      </c>
      <c r="BC76" t="e">
        <f t="shared" si="79"/>
        <v>#DIV/0!</v>
      </c>
      <c r="BD76" t="s">
        <v>446</v>
      </c>
      <c r="BE76">
        <v>0</v>
      </c>
      <c r="BF76" t="e">
        <f t="shared" si="80"/>
        <v>#DIV/0!</v>
      </c>
      <c r="BG76" t="e">
        <f t="shared" si="81"/>
        <v>#DIV/0!</v>
      </c>
      <c r="BH76" t="e">
        <f t="shared" si="82"/>
        <v>#DIV/0!</v>
      </c>
      <c r="BI76" t="e">
        <f t="shared" si="83"/>
        <v>#DIV/0!</v>
      </c>
      <c r="BJ76" t="e">
        <f t="shared" si="84"/>
        <v>#DIV/0!</v>
      </c>
      <c r="BK76" t="e">
        <f t="shared" si="85"/>
        <v>#DIV/0!</v>
      </c>
      <c r="BL76" t="e">
        <f t="shared" si="86"/>
        <v>#DIV/0!</v>
      </c>
      <c r="BM76" t="e">
        <f t="shared" si="87"/>
        <v>#DIV/0!</v>
      </c>
      <c r="BN76">
        <v>34591</v>
      </c>
      <c r="BO76">
        <v>290.00000000000011</v>
      </c>
      <c r="BP76">
        <v>742.78</v>
      </c>
      <c r="BQ76">
        <v>295</v>
      </c>
      <c r="BR76">
        <v>7111.62</v>
      </c>
      <c r="BS76">
        <v>744.02</v>
      </c>
      <c r="BT76">
        <v>-1.24</v>
      </c>
      <c r="BU76">
        <v>300.00000000000011</v>
      </c>
      <c r="BV76">
        <v>38.200000000000003</v>
      </c>
      <c r="BW76">
        <v>808.68659880577582</v>
      </c>
      <c r="BX76">
        <v>1.6426072635794431</v>
      </c>
      <c r="BY76">
        <v>-45.985690359647997</v>
      </c>
      <c r="BZ76">
        <v>0.97933585742076246</v>
      </c>
      <c r="CA76">
        <v>0.98746005993794383</v>
      </c>
      <c r="CB76">
        <v>-7.0106460511679793E-3</v>
      </c>
      <c r="CC76">
        <v>289.99999999999989</v>
      </c>
      <c r="CD76">
        <v>752.2</v>
      </c>
      <c r="CE76">
        <v>865</v>
      </c>
      <c r="CF76">
        <v>7105.32</v>
      </c>
      <c r="CG76">
        <v>743.97</v>
      </c>
      <c r="CH76">
        <v>8.23</v>
      </c>
      <c r="CV76">
        <f t="shared" si="88"/>
        <v>1800</v>
      </c>
      <c r="CW76">
        <f t="shared" si="89"/>
        <v>1513.18500021725</v>
      </c>
      <c r="CX76">
        <f t="shared" si="90"/>
        <v>0.84065833345402774</v>
      </c>
      <c r="CY76">
        <f t="shared" si="91"/>
        <v>0.16087058356627365</v>
      </c>
      <c r="CZ76">
        <v>4.38</v>
      </c>
      <c r="DA76">
        <v>0.5</v>
      </c>
      <c r="DB76" t="s">
        <v>418</v>
      </c>
      <c r="DC76">
        <v>2</v>
      </c>
      <c r="DD76">
        <v>1700250167.0999999</v>
      </c>
      <c r="DE76">
        <v>957.94</v>
      </c>
      <c r="DF76">
        <v>1000.02</v>
      </c>
      <c r="DG76">
        <v>26.720500000000001</v>
      </c>
      <c r="DH76">
        <v>24.8141</v>
      </c>
      <c r="DI76">
        <v>957.90300000000002</v>
      </c>
      <c r="DJ76">
        <v>26.359400000000001</v>
      </c>
      <c r="DK76">
        <v>500.13</v>
      </c>
      <c r="DL76">
        <v>98.912300000000002</v>
      </c>
      <c r="DM76">
        <v>0.100025</v>
      </c>
      <c r="DN76">
        <v>29.234999999999999</v>
      </c>
      <c r="DO76">
        <v>29.982900000000001</v>
      </c>
      <c r="DP76">
        <v>999.9</v>
      </c>
      <c r="DQ76">
        <v>0</v>
      </c>
      <c r="DR76">
        <v>0</v>
      </c>
      <c r="DS76">
        <v>9996.25</v>
      </c>
      <c r="DT76">
        <v>0</v>
      </c>
      <c r="DU76">
        <v>305.96499999999997</v>
      </c>
      <c r="DV76">
        <v>-42.080800000000004</v>
      </c>
      <c r="DW76">
        <v>984.23900000000003</v>
      </c>
      <c r="DX76">
        <v>1025.47</v>
      </c>
      <c r="DY76">
        <v>1.9063699999999999</v>
      </c>
      <c r="DZ76">
        <v>1000.02</v>
      </c>
      <c r="EA76">
        <v>24.8141</v>
      </c>
      <c r="EB76">
        <v>2.6429900000000002</v>
      </c>
      <c r="EC76">
        <v>2.4544199999999998</v>
      </c>
      <c r="ED76">
        <v>21.934899999999999</v>
      </c>
      <c r="EE76">
        <v>20.727399999999999</v>
      </c>
      <c r="EF76">
        <v>1800</v>
      </c>
      <c r="EG76">
        <v>0.97799199999999997</v>
      </c>
      <c r="EH76">
        <v>2.20079E-2</v>
      </c>
      <c r="EI76">
        <v>0</v>
      </c>
      <c r="EJ76">
        <v>573.33000000000004</v>
      </c>
      <c r="EK76">
        <v>4.9996700000000001</v>
      </c>
      <c r="EL76">
        <v>10928.8</v>
      </c>
      <c r="EM76">
        <v>15046.7</v>
      </c>
      <c r="EN76">
        <v>48.25</v>
      </c>
      <c r="EO76">
        <v>49.561999999999998</v>
      </c>
      <c r="EP76">
        <v>49.061999999999998</v>
      </c>
      <c r="EQ76">
        <v>49.25</v>
      </c>
      <c r="ER76">
        <v>49.686999999999998</v>
      </c>
      <c r="ES76">
        <v>1755.5</v>
      </c>
      <c r="ET76">
        <v>39.5</v>
      </c>
      <c r="EU76">
        <v>0</v>
      </c>
      <c r="EV76">
        <v>176</v>
      </c>
      <c r="EW76">
        <v>0</v>
      </c>
      <c r="EX76">
        <v>573.32669230769227</v>
      </c>
      <c r="EY76">
        <v>-1.9427692332344171</v>
      </c>
      <c r="EZ76">
        <v>-60.07863250356597</v>
      </c>
      <c r="FA76">
        <v>10935.457692307689</v>
      </c>
      <c r="FB76">
        <v>15</v>
      </c>
      <c r="FC76">
        <v>1700250073.0999999</v>
      </c>
      <c r="FD76" t="s">
        <v>673</v>
      </c>
      <c r="FE76">
        <v>1700250073.0999999</v>
      </c>
      <c r="FF76">
        <v>1700250070.0999999</v>
      </c>
      <c r="FG76">
        <v>69</v>
      </c>
      <c r="FH76">
        <v>0.17100000000000001</v>
      </c>
      <c r="FI76">
        <v>-2E-3</v>
      </c>
      <c r="FJ76">
        <v>-3.0000000000000001E-3</v>
      </c>
      <c r="FK76">
        <v>0.36099999999999999</v>
      </c>
      <c r="FL76">
        <v>1000</v>
      </c>
      <c r="FM76">
        <v>25</v>
      </c>
      <c r="FN76">
        <v>0.06</v>
      </c>
      <c r="FO76">
        <v>0.03</v>
      </c>
      <c r="FP76">
        <v>45.667659753943703</v>
      </c>
      <c r="FQ76">
        <v>0.64456949059331259</v>
      </c>
      <c r="FR76">
        <v>0.142826400326241</v>
      </c>
      <c r="FS76">
        <v>1</v>
      </c>
      <c r="FT76">
        <v>0.1349387116369532</v>
      </c>
      <c r="FU76">
        <v>3.870227677369545E-3</v>
      </c>
      <c r="FV76">
        <v>3.7751195129136461E-4</v>
      </c>
      <c r="FW76">
        <v>1</v>
      </c>
      <c r="FX76">
        <v>2</v>
      </c>
      <c r="FY76">
        <v>2</v>
      </c>
      <c r="FZ76" t="s">
        <v>420</v>
      </c>
      <c r="GA76">
        <v>3.0120499999999999</v>
      </c>
      <c r="GB76">
        <v>2.7770800000000002</v>
      </c>
      <c r="GC76">
        <v>0.16231599999999999</v>
      </c>
      <c r="GD76">
        <v>0.167689</v>
      </c>
      <c r="GE76">
        <v>0.122589</v>
      </c>
      <c r="GF76">
        <v>0.11774</v>
      </c>
      <c r="GG76">
        <v>20130.3</v>
      </c>
      <c r="GH76">
        <v>20649.8</v>
      </c>
      <c r="GI76">
        <v>23799.7</v>
      </c>
      <c r="GJ76">
        <v>24470.1</v>
      </c>
      <c r="GK76">
        <v>30883.7</v>
      </c>
      <c r="GL76">
        <v>30958</v>
      </c>
      <c r="GM76">
        <v>38978.1</v>
      </c>
      <c r="GN76">
        <v>38971.5</v>
      </c>
      <c r="GO76">
        <v>2.0451800000000002</v>
      </c>
      <c r="GP76">
        <v>1.82568</v>
      </c>
      <c r="GQ76">
        <v>9.4778799999999996E-2</v>
      </c>
      <c r="GR76">
        <v>0</v>
      </c>
      <c r="GS76">
        <v>28.438500000000001</v>
      </c>
      <c r="GT76">
        <v>999.9</v>
      </c>
      <c r="GU76">
        <v>43.8</v>
      </c>
      <c r="GV76">
        <v>37.9</v>
      </c>
      <c r="GW76">
        <v>29.32</v>
      </c>
      <c r="GX76">
        <v>61.0486</v>
      </c>
      <c r="GY76">
        <v>30.152200000000001</v>
      </c>
      <c r="GZ76">
        <v>1</v>
      </c>
      <c r="HA76">
        <v>0.58899100000000004</v>
      </c>
      <c r="HB76">
        <v>2.2338100000000001</v>
      </c>
      <c r="HC76">
        <v>20.317699999999999</v>
      </c>
      <c r="HD76">
        <v>5.2451400000000001</v>
      </c>
      <c r="HE76">
        <v>12.0037</v>
      </c>
      <c r="HF76">
        <v>4.9636500000000003</v>
      </c>
      <c r="HG76">
        <v>3.3010000000000002</v>
      </c>
      <c r="HH76">
        <v>9999</v>
      </c>
      <c r="HI76">
        <v>9999</v>
      </c>
      <c r="HJ76">
        <v>9999</v>
      </c>
      <c r="HK76">
        <v>999.9</v>
      </c>
      <c r="HL76">
        <v>1.8750199999999999</v>
      </c>
      <c r="HM76">
        <v>1.88039</v>
      </c>
      <c r="HN76">
        <v>1.88049</v>
      </c>
      <c r="HO76">
        <v>1.87921</v>
      </c>
      <c r="HP76">
        <v>1.88157</v>
      </c>
      <c r="HQ76">
        <v>1.87744</v>
      </c>
      <c r="HR76">
        <v>1.8751500000000001</v>
      </c>
      <c r="HS76">
        <v>1.8824799999999999</v>
      </c>
      <c r="HT76">
        <v>5</v>
      </c>
      <c r="HU76">
        <v>0</v>
      </c>
      <c r="HV76">
        <v>0</v>
      </c>
      <c r="HW76">
        <v>0</v>
      </c>
      <c r="HX76" t="s">
        <v>421</v>
      </c>
      <c r="HY76" t="s">
        <v>422</v>
      </c>
      <c r="HZ76" t="s">
        <v>423</v>
      </c>
      <c r="IA76" t="s">
        <v>423</v>
      </c>
      <c r="IB76" t="s">
        <v>423</v>
      </c>
      <c r="IC76" t="s">
        <v>423</v>
      </c>
      <c r="ID76">
        <v>0</v>
      </c>
      <c r="IE76">
        <v>100</v>
      </c>
      <c r="IF76">
        <v>100</v>
      </c>
      <c r="IG76">
        <v>3.6999999999999998E-2</v>
      </c>
      <c r="IH76">
        <v>0.36109999999999998</v>
      </c>
      <c r="II76">
        <v>0.31043167730971732</v>
      </c>
      <c r="IJ76">
        <v>7.0786345690369205E-4</v>
      </c>
      <c r="IK76">
        <v>-1.387476646623666E-6</v>
      </c>
      <c r="IL76">
        <v>3.6592443641472651E-10</v>
      </c>
      <c r="IM76">
        <v>0.3611049999999949</v>
      </c>
      <c r="IN76">
        <v>0</v>
      </c>
      <c r="IO76">
        <v>0</v>
      </c>
      <c r="IP76">
        <v>0</v>
      </c>
      <c r="IQ76">
        <v>2</v>
      </c>
      <c r="IR76">
        <v>2142</v>
      </c>
      <c r="IS76">
        <v>1</v>
      </c>
      <c r="IT76">
        <v>24</v>
      </c>
      <c r="IU76">
        <v>1.6</v>
      </c>
      <c r="IV76">
        <v>1.6</v>
      </c>
      <c r="IW76">
        <v>2.16675</v>
      </c>
      <c r="IX76">
        <v>2.63672</v>
      </c>
      <c r="IY76">
        <v>1.5490699999999999</v>
      </c>
      <c r="IZ76">
        <v>2.3645</v>
      </c>
      <c r="JA76">
        <v>1.5966800000000001</v>
      </c>
      <c r="JB76">
        <v>2.2546400000000002</v>
      </c>
      <c r="JC76">
        <v>40.8093</v>
      </c>
      <c r="JD76">
        <v>24.2364</v>
      </c>
      <c r="JE76">
        <v>18</v>
      </c>
      <c r="JF76">
        <v>543.74400000000003</v>
      </c>
      <c r="JG76">
        <v>468.26799999999997</v>
      </c>
      <c r="JH76">
        <v>26.439800000000002</v>
      </c>
      <c r="JI76">
        <v>34.465200000000003</v>
      </c>
      <c r="JJ76">
        <v>29.9999</v>
      </c>
      <c r="JK76">
        <v>34.4895</v>
      </c>
      <c r="JL76">
        <v>34.4876</v>
      </c>
      <c r="JM76">
        <v>43.3294</v>
      </c>
      <c r="JN76">
        <v>21.670100000000001</v>
      </c>
      <c r="JO76">
        <v>54.115699999999997</v>
      </c>
      <c r="JP76">
        <v>26.449300000000001</v>
      </c>
      <c r="JQ76">
        <v>1000</v>
      </c>
      <c r="JR76">
        <v>24.746600000000001</v>
      </c>
      <c r="JS76">
        <v>98.713800000000006</v>
      </c>
      <c r="JT76">
        <v>99.545199999999994</v>
      </c>
    </row>
    <row r="77" spans="1:280" x14ac:dyDescent="0.25">
      <c r="A77">
        <v>61</v>
      </c>
      <c r="B77">
        <v>1700250336.5</v>
      </c>
      <c r="C77">
        <v>13202</v>
      </c>
      <c r="D77" t="s">
        <v>674</v>
      </c>
      <c r="E77" t="s">
        <v>675</v>
      </c>
      <c r="F77" t="s">
        <v>412</v>
      </c>
      <c r="G77" t="s">
        <v>413</v>
      </c>
      <c r="H77">
        <v>1.1000000000000001</v>
      </c>
      <c r="I77">
        <v>1700250336.5</v>
      </c>
      <c r="J77">
        <f t="shared" si="46"/>
        <v>2.7421349753706343E-3</v>
      </c>
      <c r="K77">
        <f t="shared" si="47"/>
        <v>2.7421349753706341</v>
      </c>
      <c r="L77">
        <f t="shared" si="48"/>
        <v>45.103400553262766</v>
      </c>
      <c r="M77">
        <f t="shared" si="49"/>
        <v>708.78499999999997</v>
      </c>
      <c r="N77">
        <f t="shared" si="50"/>
        <v>259.79992407579368</v>
      </c>
      <c r="O77">
        <f t="shared" si="51"/>
        <v>25.722664168021247</v>
      </c>
      <c r="P77">
        <f t="shared" si="52"/>
        <v>70.176458238732991</v>
      </c>
      <c r="Q77">
        <f t="shared" si="53"/>
        <v>0.16950704907988995</v>
      </c>
      <c r="R77">
        <f t="shared" si="54"/>
        <v>3.292454916711586</v>
      </c>
      <c r="S77">
        <f t="shared" si="55"/>
        <v>0.16480388347724964</v>
      </c>
      <c r="T77">
        <f t="shared" si="56"/>
        <v>0.10341411851195556</v>
      </c>
      <c r="U77">
        <f t="shared" si="57"/>
        <v>289.57560941938709</v>
      </c>
      <c r="V77">
        <f t="shared" si="58"/>
        <v>30.227475024777419</v>
      </c>
      <c r="W77">
        <f t="shared" si="59"/>
        <v>29.9755</v>
      </c>
      <c r="X77">
        <f t="shared" si="60"/>
        <v>4.2544578875115198</v>
      </c>
      <c r="Y77">
        <f t="shared" si="61"/>
        <v>64.976647588555096</v>
      </c>
      <c r="Z77">
        <f t="shared" si="62"/>
        <v>2.6646232429966399</v>
      </c>
      <c r="AA77">
        <f t="shared" si="63"/>
        <v>4.100893693176598</v>
      </c>
      <c r="AB77">
        <f t="shared" si="64"/>
        <v>1.5898346445148799</v>
      </c>
      <c r="AC77">
        <f t="shared" si="65"/>
        <v>-120.92815241384497</v>
      </c>
      <c r="AD77">
        <f t="shared" si="66"/>
        <v>-113.31780633349175</v>
      </c>
      <c r="AE77">
        <f t="shared" si="67"/>
        <v>-7.6267439819040197</v>
      </c>
      <c r="AF77">
        <f t="shared" si="68"/>
        <v>47.702906690146335</v>
      </c>
      <c r="AG77">
        <v>0</v>
      </c>
      <c r="AH77">
        <v>0</v>
      </c>
      <c r="AI77">
        <f t="shared" si="69"/>
        <v>1</v>
      </c>
      <c r="AJ77">
        <f t="shared" si="70"/>
        <v>0</v>
      </c>
      <c r="AK77">
        <f t="shared" si="71"/>
        <v>51877.642473369633</v>
      </c>
      <c r="AL77" t="s">
        <v>415</v>
      </c>
      <c r="AM77">
        <v>10238.9</v>
      </c>
      <c r="AN77">
        <v>302.21199999999999</v>
      </c>
      <c r="AO77">
        <v>4052.3</v>
      </c>
      <c r="AP77">
        <f t="shared" si="72"/>
        <v>0.92542210596451402</v>
      </c>
      <c r="AQ77">
        <v>-0.32343011824092421</v>
      </c>
      <c r="AR77" t="s">
        <v>676</v>
      </c>
      <c r="AS77">
        <v>7112.09</v>
      </c>
      <c r="AT77">
        <v>573.89272000000005</v>
      </c>
      <c r="AU77">
        <v>791.35518541014949</v>
      </c>
      <c r="AV77">
        <f t="shared" si="73"/>
        <v>0.27479754908971921</v>
      </c>
      <c r="AW77">
        <v>0.5</v>
      </c>
      <c r="AX77">
        <f t="shared" si="74"/>
        <v>1513.227300217299</v>
      </c>
      <c r="AY77">
        <f t="shared" si="75"/>
        <v>45.103400553262766</v>
      </c>
      <c r="AZ77">
        <f t="shared" si="76"/>
        <v>207.91557665768323</v>
      </c>
      <c r="BA77">
        <f t="shared" si="77"/>
        <v>3.0019832886295672E-2</v>
      </c>
      <c r="BB77">
        <f t="shared" si="78"/>
        <v>4.1207094800291779</v>
      </c>
      <c r="BC77">
        <f t="shared" si="79"/>
        <v>231.17019947314219</v>
      </c>
      <c r="BD77" t="s">
        <v>677</v>
      </c>
      <c r="BE77">
        <v>402.94</v>
      </c>
      <c r="BF77">
        <f t="shared" si="80"/>
        <v>402.94</v>
      </c>
      <c r="BG77">
        <f t="shared" si="81"/>
        <v>0.49082282212991224</v>
      </c>
      <c r="BH77">
        <f t="shared" si="82"/>
        <v>0.55987117285468269</v>
      </c>
      <c r="BI77">
        <f t="shared" si="83"/>
        <v>0.89356621834783367</v>
      </c>
      <c r="BJ77">
        <f t="shared" si="84"/>
        <v>0.44457834003719349</v>
      </c>
      <c r="BK77">
        <f t="shared" si="85"/>
        <v>0.8695648781014873</v>
      </c>
      <c r="BL77">
        <f t="shared" si="86"/>
        <v>0.39309522934890306</v>
      </c>
      <c r="BM77">
        <f t="shared" si="87"/>
        <v>0.60690477065109694</v>
      </c>
      <c r="BN77">
        <v>34593</v>
      </c>
      <c r="BO77">
        <v>290.00000000000011</v>
      </c>
      <c r="BP77">
        <v>732.09</v>
      </c>
      <c r="BQ77">
        <v>295</v>
      </c>
      <c r="BR77">
        <v>7112.09</v>
      </c>
      <c r="BS77">
        <v>733.37</v>
      </c>
      <c r="BT77">
        <v>-1.28</v>
      </c>
      <c r="BU77">
        <v>300.00000000000011</v>
      </c>
      <c r="BV77">
        <v>38.200000000000003</v>
      </c>
      <c r="BW77">
        <v>791.35518541014949</v>
      </c>
      <c r="BX77">
        <v>1.179449815354463</v>
      </c>
      <c r="BY77">
        <v>-41.239043126476773</v>
      </c>
      <c r="BZ77">
        <v>0.70324400314379532</v>
      </c>
      <c r="CA77">
        <v>0.99192335374057883</v>
      </c>
      <c r="CB77">
        <v>-7.011050278086765E-3</v>
      </c>
      <c r="CC77">
        <v>289.99999999999989</v>
      </c>
      <c r="CD77">
        <v>741.77</v>
      </c>
      <c r="CE77">
        <v>865</v>
      </c>
      <c r="CF77">
        <v>7105.82</v>
      </c>
      <c r="CG77">
        <v>733.32</v>
      </c>
      <c r="CH77">
        <v>8.4499999999999993</v>
      </c>
      <c r="CV77">
        <f t="shared" si="88"/>
        <v>1800.05</v>
      </c>
      <c r="CW77">
        <f t="shared" si="89"/>
        <v>1513.227300217299</v>
      </c>
      <c r="CX77">
        <f t="shared" si="90"/>
        <v>0.84065848182955971</v>
      </c>
      <c r="CY77">
        <f t="shared" si="91"/>
        <v>0.16087086993105029</v>
      </c>
      <c r="CZ77">
        <v>4.38</v>
      </c>
      <c r="DA77">
        <v>0.5</v>
      </c>
      <c r="DB77" t="s">
        <v>418</v>
      </c>
      <c r="DC77">
        <v>2</v>
      </c>
      <c r="DD77">
        <v>1700250336.5</v>
      </c>
      <c r="DE77">
        <v>708.78499999999997</v>
      </c>
      <c r="DF77">
        <v>749.99</v>
      </c>
      <c r="DG77">
        <v>26.912800000000001</v>
      </c>
      <c r="DH77">
        <v>24.575800000000001</v>
      </c>
      <c r="DI77">
        <v>708.87599999999998</v>
      </c>
      <c r="DJ77">
        <v>26.555</v>
      </c>
      <c r="DK77">
        <v>500.09899999999999</v>
      </c>
      <c r="DL77">
        <v>98.909599999999998</v>
      </c>
      <c r="DM77">
        <v>9.9913799999999997E-2</v>
      </c>
      <c r="DN77">
        <v>29.3371</v>
      </c>
      <c r="DO77">
        <v>29.9755</v>
      </c>
      <c r="DP77">
        <v>999.9</v>
      </c>
      <c r="DQ77">
        <v>0</v>
      </c>
      <c r="DR77">
        <v>0</v>
      </c>
      <c r="DS77">
        <v>9996.25</v>
      </c>
      <c r="DT77">
        <v>0</v>
      </c>
      <c r="DU77">
        <v>294.57900000000001</v>
      </c>
      <c r="DV77">
        <v>-41.204999999999998</v>
      </c>
      <c r="DW77">
        <v>728.38800000000003</v>
      </c>
      <c r="DX77">
        <v>768.88599999999997</v>
      </c>
      <c r="DY77">
        <v>2.3370299999999999</v>
      </c>
      <c r="DZ77">
        <v>749.99</v>
      </c>
      <c r="EA77">
        <v>24.575800000000001</v>
      </c>
      <c r="EB77">
        <v>2.6619299999999999</v>
      </c>
      <c r="EC77">
        <v>2.4307799999999999</v>
      </c>
      <c r="ED77">
        <v>22.052</v>
      </c>
      <c r="EE77">
        <v>20.5703</v>
      </c>
      <c r="EF77">
        <v>1800.05</v>
      </c>
      <c r="EG77">
        <v>0.97799199999999997</v>
      </c>
      <c r="EH77">
        <v>2.20079E-2</v>
      </c>
      <c r="EI77">
        <v>0</v>
      </c>
      <c r="EJ77">
        <v>573.56299999999999</v>
      </c>
      <c r="EK77">
        <v>4.9996700000000001</v>
      </c>
      <c r="EL77">
        <v>10934</v>
      </c>
      <c r="EM77">
        <v>15047.2</v>
      </c>
      <c r="EN77">
        <v>48.186999999999998</v>
      </c>
      <c r="EO77">
        <v>49.5</v>
      </c>
      <c r="EP77">
        <v>48.936999999999998</v>
      </c>
      <c r="EQ77">
        <v>49.125</v>
      </c>
      <c r="ER77">
        <v>49.625</v>
      </c>
      <c r="ES77">
        <v>1755.54</v>
      </c>
      <c r="ET77">
        <v>39.51</v>
      </c>
      <c r="EU77">
        <v>0</v>
      </c>
      <c r="EV77">
        <v>345.80000019073492</v>
      </c>
      <c r="EW77">
        <v>0</v>
      </c>
      <c r="EX77">
        <v>573.89272000000005</v>
      </c>
      <c r="EY77">
        <v>-2.321461530289755</v>
      </c>
      <c r="EZ77">
        <v>-120.76153823912161</v>
      </c>
      <c r="FA77">
        <v>10947.828</v>
      </c>
      <c r="FB77">
        <v>15</v>
      </c>
      <c r="FC77">
        <v>1700250242.5999999</v>
      </c>
      <c r="FD77" t="s">
        <v>678</v>
      </c>
      <c r="FE77">
        <v>1700250239.0999999</v>
      </c>
      <c r="FF77">
        <v>1700250242.5999999</v>
      </c>
      <c r="FG77">
        <v>70</v>
      </c>
      <c r="FH77">
        <v>-0.33600000000000002</v>
      </c>
      <c r="FI77">
        <v>-3.0000000000000001E-3</v>
      </c>
      <c r="FJ77">
        <v>-0.121</v>
      </c>
      <c r="FK77">
        <v>0.35799999999999998</v>
      </c>
      <c r="FL77">
        <v>750</v>
      </c>
      <c r="FM77">
        <v>25</v>
      </c>
      <c r="FN77">
        <v>7.0000000000000007E-2</v>
      </c>
      <c r="FO77">
        <v>0.05</v>
      </c>
      <c r="FP77">
        <v>45.109333125781077</v>
      </c>
      <c r="FQ77">
        <v>0.60582091244118852</v>
      </c>
      <c r="FR77">
        <v>5.4231964456310629E-2</v>
      </c>
      <c r="FS77">
        <v>1</v>
      </c>
      <c r="FT77">
        <v>0.16477057397480879</v>
      </c>
      <c r="FU77">
        <v>1.656561397729675E-2</v>
      </c>
      <c r="FV77">
        <v>1.48167712799375E-3</v>
      </c>
      <c r="FW77">
        <v>1</v>
      </c>
      <c r="FX77">
        <v>2</v>
      </c>
      <c r="FY77">
        <v>2</v>
      </c>
      <c r="FZ77" t="s">
        <v>420</v>
      </c>
      <c r="GA77">
        <v>3.0119199999999999</v>
      </c>
      <c r="GB77">
        <v>2.7769699999999999</v>
      </c>
      <c r="GC77">
        <v>0.132989</v>
      </c>
      <c r="GD77">
        <v>0.13889899999999999</v>
      </c>
      <c r="GE77">
        <v>0.123233</v>
      </c>
      <c r="GF77">
        <v>0.11697399999999999</v>
      </c>
      <c r="GG77">
        <v>20839.900000000001</v>
      </c>
      <c r="GH77">
        <v>21369.200000000001</v>
      </c>
      <c r="GI77">
        <v>23804.1</v>
      </c>
      <c r="GJ77">
        <v>24474.6</v>
      </c>
      <c r="GK77">
        <v>30866.3</v>
      </c>
      <c r="GL77">
        <v>30990.3</v>
      </c>
      <c r="GM77">
        <v>38984.800000000003</v>
      </c>
      <c r="GN77">
        <v>38978.300000000003</v>
      </c>
      <c r="GO77">
        <v>2.0464000000000002</v>
      </c>
      <c r="GP77">
        <v>1.8263</v>
      </c>
      <c r="GQ77">
        <v>9.2349899999999999E-2</v>
      </c>
      <c r="GR77">
        <v>0</v>
      </c>
      <c r="GS77">
        <v>28.470800000000001</v>
      </c>
      <c r="GT77">
        <v>999.9</v>
      </c>
      <c r="GU77">
        <v>44.2</v>
      </c>
      <c r="GV77">
        <v>37.9</v>
      </c>
      <c r="GW77">
        <v>29.5885</v>
      </c>
      <c r="GX77">
        <v>60.828600000000002</v>
      </c>
      <c r="GY77">
        <v>30.512799999999999</v>
      </c>
      <c r="GZ77">
        <v>1</v>
      </c>
      <c r="HA77">
        <v>0.58203300000000002</v>
      </c>
      <c r="HB77">
        <v>2.0536300000000001</v>
      </c>
      <c r="HC77">
        <v>20.3203</v>
      </c>
      <c r="HD77">
        <v>5.2449899999999996</v>
      </c>
      <c r="HE77">
        <v>12.001300000000001</v>
      </c>
      <c r="HF77">
        <v>4.9638</v>
      </c>
      <c r="HG77">
        <v>3.3010000000000002</v>
      </c>
      <c r="HH77">
        <v>9999</v>
      </c>
      <c r="HI77">
        <v>9999</v>
      </c>
      <c r="HJ77">
        <v>9999</v>
      </c>
      <c r="HK77">
        <v>999.9</v>
      </c>
      <c r="HL77">
        <v>1.8750100000000001</v>
      </c>
      <c r="HM77">
        <v>1.8803700000000001</v>
      </c>
      <c r="HN77">
        <v>1.88049</v>
      </c>
      <c r="HO77">
        <v>1.8791800000000001</v>
      </c>
      <c r="HP77">
        <v>1.8815599999999999</v>
      </c>
      <c r="HQ77">
        <v>1.87744</v>
      </c>
      <c r="HR77">
        <v>1.8751500000000001</v>
      </c>
      <c r="HS77">
        <v>1.8824799999999999</v>
      </c>
      <c r="HT77">
        <v>5</v>
      </c>
      <c r="HU77">
        <v>0</v>
      </c>
      <c r="HV77">
        <v>0</v>
      </c>
      <c r="HW77">
        <v>0</v>
      </c>
      <c r="HX77" t="s">
        <v>421</v>
      </c>
      <c r="HY77" t="s">
        <v>422</v>
      </c>
      <c r="HZ77" t="s">
        <v>423</v>
      </c>
      <c r="IA77" t="s">
        <v>423</v>
      </c>
      <c r="IB77" t="s">
        <v>423</v>
      </c>
      <c r="IC77" t="s">
        <v>423</v>
      </c>
      <c r="ID77">
        <v>0</v>
      </c>
      <c r="IE77">
        <v>100</v>
      </c>
      <c r="IF77">
        <v>100</v>
      </c>
      <c r="IG77">
        <v>-9.0999999999999998E-2</v>
      </c>
      <c r="IH77">
        <v>0.35780000000000001</v>
      </c>
      <c r="II77">
        <v>-2.587897284582974E-2</v>
      </c>
      <c r="IJ77">
        <v>7.0786345690369205E-4</v>
      </c>
      <c r="IK77">
        <v>-1.387476646623666E-6</v>
      </c>
      <c r="IL77">
        <v>3.6592443641472651E-10</v>
      </c>
      <c r="IM77">
        <v>0.35781500000000221</v>
      </c>
      <c r="IN77">
        <v>0</v>
      </c>
      <c r="IO77">
        <v>0</v>
      </c>
      <c r="IP77">
        <v>0</v>
      </c>
      <c r="IQ77">
        <v>2</v>
      </c>
      <c r="IR77">
        <v>2142</v>
      </c>
      <c r="IS77">
        <v>1</v>
      </c>
      <c r="IT77">
        <v>24</v>
      </c>
      <c r="IU77">
        <v>1.6</v>
      </c>
      <c r="IV77">
        <v>1.6</v>
      </c>
      <c r="IW77">
        <v>1.71265</v>
      </c>
      <c r="IX77">
        <v>2.6452599999999999</v>
      </c>
      <c r="IY77">
        <v>1.5490699999999999</v>
      </c>
      <c r="IZ77">
        <v>2.3645</v>
      </c>
      <c r="JA77">
        <v>1.5966800000000001</v>
      </c>
      <c r="JB77">
        <v>2.2692899999999998</v>
      </c>
      <c r="JC77">
        <v>40.732300000000002</v>
      </c>
      <c r="JD77">
        <v>24.2364</v>
      </c>
      <c r="JE77">
        <v>18</v>
      </c>
      <c r="JF77">
        <v>544.024</v>
      </c>
      <c r="JG77">
        <v>468.18900000000002</v>
      </c>
      <c r="JH77">
        <v>26.636199999999999</v>
      </c>
      <c r="JI77">
        <v>34.3934</v>
      </c>
      <c r="JJ77">
        <v>29.9998</v>
      </c>
      <c r="JK77">
        <v>34.4236</v>
      </c>
      <c r="JL77">
        <v>34.421900000000001</v>
      </c>
      <c r="JM77">
        <v>34.241399999999999</v>
      </c>
      <c r="JN77">
        <v>22.964200000000002</v>
      </c>
      <c r="JO77">
        <v>54.904800000000002</v>
      </c>
      <c r="JP77">
        <v>26.651199999999999</v>
      </c>
      <c r="JQ77">
        <v>750</v>
      </c>
      <c r="JR77">
        <v>24.5364</v>
      </c>
      <c r="JS77">
        <v>98.731300000000005</v>
      </c>
      <c r="JT77">
        <v>99.563000000000002</v>
      </c>
    </row>
    <row r="78" spans="1:280" x14ac:dyDescent="0.25">
      <c r="A78">
        <v>62</v>
      </c>
      <c r="B78">
        <v>1700250517</v>
      </c>
      <c r="C78">
        <v>13382.5</v>
      </c>
      <c r="D78" t="s">
        <v>679</v>
      </c>
      <c r="E78" t="s">
        <v>680</v>
      </c>
      <c r="F78" t="s">
        <v>412</v>
      </c>
      <c r="G78" t="s">
        <v>413</v>
      </c>
      <c r="H78">
        <v>1.1000000000000001</v>
      </c>
      <c r="I78">
        <v>1700250517</v>
      </c>
      <c r="J78">
        <f t="shared" si="46"/>
        <v>3.2371737671540754E-3</v>
      </c>
      <c r="K78">
        <f t="shared" si="47"/>
        <v>3.2371737671540752</v>
      </c>
      <c r="L78">
        <f t="shared" si="48"/>
        <v>44.43237399071112</v>
      </c>
      <c r="M78">
        <f t="shared" si="49"/>
        <v>559.55499999999995</v>
      </c>
      <c r="N78">
        <f t="shared" si="50"/>
        <v>188.52555154641604</v>
      </c>
      <c r="O78">
        <f t="shared" si="51"/>
        <v>18.666860879828313</v>
      </c>
      <c r="P78">
        <f t="shared" si="52"/>
        <v>55.404348396989995</v>
      </c>
      <c r="Q78">
        <f t="shared" si="53"/>
        <v>0.20256913599683016</v>
      </c>
      <c r="R78">
        <f t="shared" si="54"/>
        <v>3.2963078514694319</v>
      </c>
      <c r="S78">
        <f t="shared" si="55"/>
        <v>0.19589878665855967</v>
      </c>
      <c r="T78">
        <f t="shared" si="56"/>
        <v>0.12301774845511548</v>
      </c>
      <c r="U78">
        <f t="shared" si="57"/>
        <v>289.57880141938239</v>
      </c>
      <c r="V78">
        <f t="shared" si="58"/>
        <v>30.217433565478345</v>
      </c>
      <c r="W78">
        <f t="shared" si="59"/>
        <v>29.963799999999999</v>
      </c>
      <c r="X78">
        <f t="shared" si="60"/>
        <v>4.2515990487516921</v>
      </c>
      <c r="Y78">
        <f t="shared" si="61"/>
        <v>64.773736642126877</v>
      </c>
      <c r="Z78">
        <f t="shared" si="62"/>
        <v>2.6726133658560003</v>
      </c>
      <c r="AA78">
        <f t="shared" si="63"/>
        <v>4.1260756355961306</v>
      </c>
      <c r="AB78">
        <f t="shared" si="64"/>
        <v>1.5789856828956919</v>
      </c>
      <c r="AC78">
        <f t="shared" si="65"/>
        <v>-142.75936313149472</v>
      </c>
      <c r="AD78">
        <f t="shared" si="66"/>
        <v>-92.516111751311144</v>
      </c>
      <c r="AE78">
        <f t="shared" si="67"/>
        <v>-6.2223360675853154</v>
      </c>
      <c r="AF78">
        <f t="shared" si="68"/>
        <v>48.080990468991189</v>
      </c>
      <c r="AG78">
        <v>0</v>
      </c>
      <c r="AH78">
        <v>0</v>
      </c>
      <c r="AI78">
        <f t="shared" si="69"/>
        <v>1</v>
      </c>
      <c r="AJ78">
        <f t="shared" si="70"/>
        <v>0</v>
      </c>
      <c r="AK78">
        <f t="shared" si="71"/>
        <v>51949.538788862199</v>
      </c>
      <c r="AL78" t="s">
        <v>446</v>
      </c>
      <c r="AM78" t="s">
        <v>446</v>
      </c>
      <c r="AN78">
        <v>0</v>
      </c>
      <c r="AO78">
        <v>0</v>
      </c>
      <c r="AP78" t="e">
        <f t="shared" si="72"/>
        <v>#DIV/0!</v>
      </c>
      <c r="AQ78">
        <v>0</v>
      </c>
      <c r="AR78" t="s">
        <v>446</v>
      </c>
      <c r="AS78" t="s">
        <v>446</v>
      </c>
      <c r="AT78">
        <v>0</v>
      </c>
      <c r="AU78">
        <v>0</v>
      </c>
      <c r="AV78" t="e">
        <f t="shared" si="73"/>
        <v>#DIV/0!</v>
      </c>
      <c r="AW78">
        <v>0.5</v>
      </c>
      <c r="AX78">
        <f t="shared" si="74"/>
        <v>1513.2441002172964</v>
      </c>
      <c r="AY78">
        <f t="shared" si="75"/>
        <v>44.43237399071112</v>
      </c>
      <c r="AZ78" t="e">
        <f t="shared" si="76"/>
        <v>#DIV/0!</v>
      </c>
      <c r="BA78">
        <f t="shared" si="77"/>
        <v>2.936233089184408E-2</v>
      </c>
      <c r="BB78" t="e">
        <f t="shared" si="78"/>
        <v>#DIV/0!</v>
      </c>
      <c r="BC78" t="e">
        <f t="shared" si="79"/>
        <v>#DIV/0!</v>
      </c>
      <c r="BD78" t="s">
        <v>446</v>
      </c>
      <c r="BE78">
        <v>0</v>
      </c>
      <c r="BF78" t="e">
        <f t="shared" si="80"/>
        <v>#DIV/0!</v>
      </c>
      <c r="BG78" t="e">
        <f t="shared" si="81"/>
        <v>#DIV/0!</v>
      </c>
      <c r="BH78" t="e">
        <f t="shared" si="82"/>
        <v>#DIV/0!</v>
      </c>
      <c r="BI78" t="e">
        <f t="shared" si="83"/>
        <v>#DIV/0!</v>
      </c>
      <c r="BJ78" t="e">
        <f t="shared" si="84"/>
        <v>#DIV/0!</v>
      </c>
      <c r="BK78" t="e">
        <f t="shared" si="85"/>
        <v>#DIV/0!</v>
      </c>
      <c r="BL78" t="e">
        <f t="shared" si="86"/>
        <v>#DIV/0!</v>
      </c>
      <c r="BM78" t="e">
        <f t="shared" si="87"/>
        <v>#DIV/0!</v>
      </c>
      <c r="BN78">
        <v>34593</v>
      </c>
      <c r="BO78">
        <v>290.00000000000011</v>
      </c>
      <c r="BP78">
        <v>732.09</v>
      </c>
      <c r="BQ78">
        <v>295</v>
      </c>
      <c r="BR78">
        <v>7112.09</v>
      </c>
      <c r="BS78">
        <v>733.37</v>
      </c>
      <c r="BT78">
        <v>-1.28</v>
      </c>
      <c r="BU78">
        <v>300.00000000000011</v>
      </c>
      <c r="BV78">
        <v>38.200000000000003</v>
      </c>
      <c r="BW78">
        <v>791.35518541014949</v>
      </c>
      <c r="BX78">
        <v>1.179449815354463</v>
      </c>
      <c r="BY78">
        <v>-41.239043126476773</v>
      </c>
      <c r="BZ78">
        <v>0.70324400314379532</v>
      </c>
      <c r="CA78">
        <v>0.99192335374057883</v>
      </c>
      <c r="CB78">
        <v>-7.011050278086765E-3</v>
      </c>
      <c r="CC78">
        <v>289.99999999999989</v>
      </c>
      <c r="CD78">
        <v>741.77</v>
      </c>
      <c r="CE78">
        <v>865</v>
      </c>
      <c r="CF78">
        <v>7105.82</v>
      </c>
      <c r="CG78">
        <v>733.32</v>
      </c>
      <c r="CH78">
        <v>8.4499999999999993</v>
      </c>
      <c r="CV78">
        <f t="shared" si="88"/>
        <v>1800.07</v>
      </c>
      <c r="CW78">
        <f t="shared" si="89"/>
        <v>1513.2441002172964</v>
      </c>
      <c r="CX78">
        <f t="shared" si="90"/>
        <v>0.84065847451337805</v>
      </c>
      <c r="CY78">
        <f t="shared" si="91"/>
        <v>0.16087085581081981</v>
      </c>
      <c r="CZ78">
        <v>4.38</v>
      </c>
      <c r="DA78">
        <v>0.5</v>
      </c>
      <c r="DB78" t="s">
        <v>418</v>
      </c>
      <c r="DC78">
        <v>2</v>
      </c>
      <c r="DD78">
        <v>1700250517</v>
      </c>
      <c r="DE78">
        <v>559.55499999999995</v>
      </c>
      <c r="DF78">
        <v>600.05100000000004</v>
      </c>
      <c r="DG78">
        <v>26.992000000000001</v>
      </c>
      <c r="DH78">
        <v>24.233699999999999</v>
      </c>
      <c r="DI78">
        <v>559.68899999999996</v>
      </c>
      <c r="DJ78">
        <v>26.637799999999999</v>
      </c>
      <c r="DK78">
        <v>500.16699999999997</v>
      </c>
      <c r="DL78">
        <v>98.914900000000003</v>
      </c>
      <c r="DM78">
        <v>0.100118</v>
      </c>
      <c r="DN78">
        <v>29.443200000000001</v>
      </c>
      <c r="DO78">
        <v>29.963799999999999</v>
      </c>
      <c r="DP78">
        <v>999.9</v>
      </c>
      <c r="DQ78">
        <v>0</v>
      </c>
      <c r="DR78">
        <v>0</v>
      </c>
      <c r="DS78">
        <v>10013.799999999999</v>
      </c>
      <c r="DT78">
        <v>0</v>
      </c>
      <c r="DU78">
        <v>298.25599999999997</v>
      </c>
      <c r="DV78">
        <v>-40.495800000000003</v>
      </c>
      <c r="DW78">
        <v>575.07799999999997</v>
      </c>
      <c r="DX78">
        <v>614.95399999999995</v>
      </c>
      <c r="DY78">
        <v>2.7583600000000001</v>
      </c>
      <c r="DZ78">
        <v>600.05100000000004</v>
      </c>
      <c r="EA78">
        <v>24.233699999999999</v>
      </c>
      <c r="EB78">
        <v>2.6699099999999998</v>
      </c>
      <c r="EC78">
        <v>2.3970699999999998</v>
      </c>
      <c r="ED78">
        <v>22.101099999999999</v>
      </c>
      <c r="EE78">
        <v>20.344000000000001</v>
      </c>
      <c r="EF78">
        <v>1800.07</v>
      </c>
      <c r="EG78">
        <v>0.97799199999999997</v>
      </c>
      <c r="EH78">
        <v>2.20079E-2</v>
      </c>
      <c r="EI78">
        <v>0</v>
      </c>
      <c r="EJ78">
        <v>573.84100000000001</v>
      </c>
      <c r="EK78">
        <v>4.9996700000000001</v>
      </c>
      <c r="EL78">
        <v>10840.7</v>
      </c>
      <c r="EM78">
        <v>15047.3</v>
      </c>
      <c r="EN78">
        <v>48.061999999999998</v>
      </c>
      <c r="EO78">
        <v>49.375</v>
      </c>
      <c r="EP78">
        <v>48.875</v>
      </c>
      <c r="EQ78">
        <v>49.125</v>
      </c>
      <c r="ER78">
        <v>49.561999999999998</v>
      </c>
      <c r="ES78">
        <v>1755.56</v>
      </c>
      <c r="ET78">
        <v>39.51</v>
      </c>
      <c r="EU78">
        <v>0</v>
      </c>
      <c r="EV78">
        <v>178.80000019073489</v>
      </c>
      <c r="EW78">
        <v>0</v>
      </c>
      <c r="EX78">
        <v>573.89091999999994</v>
      </c>
      <c r="EY78">
        <v>-0.91223076591607866</v>
      </c>
      <c r="EZ78">
        <v>-16.523076928756431</v>
      </c>
      <c r="FA78">
        <v>10842.168</v>
      </c>
      <c r="FB78">
        <v>15</v>
      </c>
      <c r="FC78">
        <v>1700250423</v>
      </c>
      <c r="FD78" t="s">
        <v>681</v>
      </c>
      <c r="FE78">
        <v>1700250423</v>
      </c>
      <c r="FF78">
        <v>1700250422.5</v>
      </c>
      <c r="FG78">
        <v>71</v>
      </c>
      <c r="FH78">
        <v>-0.13300000000000001</v>
      </c>
      <c r="FI78">
        <v>-4.0000000000000001E-3</v>
      </c>
      <c r="FJ78">
        <v>-0.155</v>
      </c>
      <c r="FK78">
        <v>0.35399999999999998</v>
      </c>
      <c r="FL78">
        <v>600</v>
      </c>
      <c r="FM78">
        <v>25</v>
      </c>
      <c r="FN78">
        <v>0.06</v>
      </c>
      <c r="FO78">
        <v>0.06</v>
      </c>
      <c r="FP78">
        <v>44.18475583344641</v>
      </c>
      <c r="FQ78">
        <v>0.65726322639219126</v>
      </c>
      <c r="FR78">
        <v>7.4372884437260506E-2</v>
      </c>
      <c r="FS78">
        <v>1</v>
      </c>
      <c r="FT78">
        <v>0.20059251983301041</v>
      </c>
      <c r="FU78">
        <v>3.0987184150440751E-2</v>
      </c>
      <c r="FV78">
        <v>2.62211947481768E-3</v>
      </c>
      <c r="FW78">
        <v>1</v>
      </c>
      <c r="FX78">
        <v>2</v>
      </c>
      <c r="FY78">
        <v>2</v>
      </c>
      <c r="FZ78" t="s">
        <v>420</v>
      </c>
      <c r="GA78">
        <v>3.0120499999999999</v>
      </c>
      <c r="GB78">
        <v>2.77732</v>
      </c>
      <c r="GC78">
        <v>0.11279400000000001</v>
      </c>
      <c r="GD78">
        <v>0.119168</v>
      </c>
      <c r="GE78">
        <v>0.12352299999999999</v>
      </c>
      <c r="GF78">
        <v>0.115873</v>
      </c>
      <c r="GG78">
        <v>21328.6</v>
      </c>
      <c r="GH78">
        <v>21861.9</v>
      </c>
      <c r="GI78">
        <v>23807.200000000001</v>
      </c>
      <c r="GJ78">
        <v>24477.4</v>
      </c>
      <c r="GK78">
        <v>30859.599999999999</v>
      </c>
      <c r="GL78">
        <v>31032.2</v>
      </c>
      <c r="GM78">
        <v>38989.4</v>
      </c>
      <c r="GN78">
        <v>38982.199999999997</v>
      </c>
      <c r="GO78">
        <v>2.0477799999999999</v>
      </c>
      <c r="GP78">
        <v>1.82698</v>
      </c>
      <c r="GQ78">
        <v>8.8609800000000002E-2</v>
      </c>
      <c r="GR78">
        <v>0</v>
      </c>
      <c r="GS78">
        <v>28.52</v>
      </c>
      <c r="GT78">
        <v>999.9</v>
      </c>
      <c r="GU78">
        <v>44.3</v>
      </c>
      <c r="GV78">
        <v>37.700000000000003</v>
      </c>
      <c r="GW78">
        <v>29.3338</v>
      </c>
      <c r="GX78">
        <v>60.9086</v>
      </c>
      <c r="GY78">
        <v>30.02</v>
      </c>
      <c r="GZ78">
        <v>1</v>
      </c>
      <c r="HA78">
        <v>0.57526699999999997</v>
      </c>
      <c r="HB78">
        <v>1.7939099999999999</v>
      </c>
      <c r="HC78">
        <v>20.324200000000001</v>
      </c>
      <c r="HD78">
        <v>5.2448399999999999</v>
      </c>
      <c r="HE78">
        <v>12.0023</v>
      </c>
      <c r="HF78">
        <v>4.9635499999999997</v>
      </c>
      <c r="HG78">
        <v>3.3008999999999999</v>
      </c>
      <c r="HH78">
        <v>9999</v>
      </c>
      <c r="HI78">
        <v>9999</v>
      </c>
      <c r="HJ78">
        <v>9999</v>
      </c>
      <c r="HK78">
        <v>999.9</v>
      </c>
      <c r="HL78">
        <v>1.87503</v>
      </c>
      <c r="HM78">
        <v>1.8803700000000001</v>
      </c>
      <c r="HN78">
        <v>1.88049</v>
      </c>
      <c r="HO78">
        <v>1.8791899999999999</v>
      </c>
      <c r="HP78">
        <v>1.88158</v>
      </c>
      <c r="HQ78">
        <v>1.87744</v>
      </c>
      <c r="HR78">
        <v>1.8751500000000001</v>
      </c>
      <c r="HS78">
        <v>1.8824799999999999</v>
      </c>
      <c r="HT78">
        <v>5</v>
      </c>
      <c r="HU78">
        <v>0</v>
      </c>
      <c r="HV78">
        <v>0</v>
      </c>
      <c r="HW78">
        <v>0</v>
      </c>
      <c r="HX78" t="s">
        <v>421</v>
      </c>
      <c r="HY78" t="s">
        <v>422</v>
      </c>
      <c r="HZ78" t="s">
        <v>423</v>
      </c>
      <c r="IA78" t="s">
        <v>423</v>
      </c>
      <c r="IB78" t="s">
        <v>423</v>
      </c>
      <c r="IC78" t="s">
        <v>423</v>
      </c>
      <c r="ID78">
        <v>0</v>
      </c>
      <c r="IE78">
        <v>100</v>
      </c>
      <c r="IF78">
        <v>100</v>
      </c>
      <c r="IG78">
        <v>-0.13400000000000001</v>
      </c>
      <c r="IH78">
        <v>0.35420000000000001</v>
      </c>
      <c r="II78">
        <v>-0.15921333377396679</v>
      </c>
      <c r="IJ78">
        <v>7.0786345690369205E-4</v>
      </c>
      <c r="IK78">
        <v>-1.387476646623666E-6</v>
      </c>
      <c r="IL78">
        <v>3.6592443641472651E-10</v>
      </c>
      <c r="IM78">
        <v>0.35418095238094688</v>
      </c>
      <c r="IN78">
        <v>0</v>
      </c>
      <c r="IO78">
        <v>0</v>
      </c>
      <c r="IP78">
        <v>0</v>
      </c>
      <c r="IQ78">
        <v>2</v>
      </c>
      <c r="IR78">
        <v>2142</v>
      </c>
      <c r="IS78">
        <v>1</v>
      </c>
      <c r="IT78">
        <v>24</v>
      </c>
      <c r="IU78">
        <v>1.6</v>
      </c>
      <c r="IV78">
        <v>1.6</v>
      </c>
      <c r="IW78">
        <v>1.42822</v>
      </c>
      <c r="IX78">
        <v>2.6415999999999999</v>
      </c>
      <c r="IY78">
        <v>1.5490699999999999</v>
      </c>
      <c r="IZ78">
        <v>2.3645</v>
      </c>
      <c r="JA78">
        <v>1.5966800000000001</v>
      </c>
      <c r="JB78">
        <v>2.34009</v>
      </c>
      <c r="JC78">
        <v>40.6554</v>
      </c>
      <c r="JD78">
        <v>24.245100000000001</v>
      </c>
      <c r="JE78">
        <v>18</v>
      </c>
      <c r="JF78">
        <v>544.41499999999996</v>
      </c>
      <c r="JG78">
        <v>468.14600000000002</v>
      </c>
      <c r="JH78">
        <v>26.982700000000001</v>
      </c>
      <c r="JI78">
        <v>34.331099999999999</v>
      </c>
      <c r="JJ78">
        <v>30.0001</v>
      </c>
      <c r="JK78">
        <v>34.358899999999998</v>
      </c>
      <c r="JL78">
        <v>34.356699999999996</v>
      </c>
      <c r="JM78">
        <v>28.540800000000001</v>
      </c>
      <c r="JN78">
        <v>24.137</v>
      </c>
      <c r="JO78">
        <v>55.187800000000003</v>
      </c>
      <c r="JP78">
        <v>26.984100000000002</v>
      </c>
      <c r="JQ78">
        <v>600</v>
      </c>
      <c r="JR78">
        <v>24.286999999999999</v>
      </c>
      <c r="JS78">
        <v>98.743399999999994</v>
      </c>
      <c r="JT78">
        <v>99.573599999999999</v>
      </c>
    </row>
    <row r="79" spans="1:280" x14ac:dyDescent="0.25">
      <c r="A79">
        <v>63</v>
      </c>
      <c r="B79">
        <v>1700250646</v>
      </c>
      <c r="C79">
        <v>13511.5</v>
      </c>
      <c r="D79" t="s">
        <v>682</v>
      </c>
      <c r="E79" t="s">
        <v>683</v>
      </c>
      <c r="F79" t="s">
        <v>412</v>
      </c>
      <c r="G79" t="s">
        <v>413</v>
      </c>
      <c r="H79">
        <v>1.1000000000000001</v>
      </c>
      <c r="I79">
        <v>1700250646</v>
      </c>
      <c r="J79">
        <f t="shared" si="46"/>
        <v>3.5454195672105318E-3</v>
      </c>
      <c r="K79">
        <f t="shared" si="47"/>
        <v>3.5454195672105318</v>
      </c>
      <c r="L79">
        <f t="shared" si="48"/>
        <v>43.063622504565728</v>
      </c>
      <c r="M79">
        <f t="shared" si="49"/>
        <v>460.851</v>
      </c>
      <c r="N79">
        <f t="shared" si="50"/>
        <v>139.12339954154868</v>
      </c>
      <c r="O79">
        <f t="shared" si="51"/>
        <v>13.774864165209411</v>
      </c>
      <c r="P79">
        <f t="shared" si="52"/>
        <v>45.62970676622281</v>
      </c>
      <c r="Q79">
        <f t="shared" si="53"/>
        <v>0.22659899354944057</v>
      </c>
      <c r="R79">
        <f t="shared" si="54"/>
        <v>3.3010206713846308</v>
      </c>
      <c r="S79">
        <f t="shared" si="55"/>
        <v>0.21829856635694694</v>
      </c>
      <c r="T79">
        <f t="shared" si="56"/>
        <v>0.13715703262532003</v>
      </c>
      <c r="U79">
        <f t="shared" si="57"/>
        <v>289.54049741943834</v>
      </c>
      <c r="V79">
        <f t="shared" si="58"/>
        <v>30.198883750772982</v>
      </c>
      <c r="W79">
        <f t="shared" si="59"/>
        <v>29.956499999999998</v>
      </c>
      <c r="X79">
        <f t="shared" si="60"/>
        <v>4.2498161771437442</v>
      </c>
      <c r="Y79">
        <f t="shared" si="61"/>
        <v>65.188734465708947</v>
      </c>
      <c r="Z79">
        <f t="shared" si="62"/>
        <v>2.6981717281428006</v>
      </c>
      <c r="AA79">
        <f t="shared" si="63"/>
        <v>4.1390153532772018</v>
      </c>
      <c r="AB79">
        <f t="shared" si="64"/>
        <v>1.5516444490009436</v>
      </c>
      <c r="AC79">
        <f t="shared" si="65"/>
        <v>-156.35300291398445</v>
      </c>
      <c r="AD79">
        <f t="shared" si="66"/>
        <v>-81.685763533980833</v>
      </c>
      <c r="AE79">
        <f t="shared" si="67"/>
        <v>-5.4873550019161357</v>
      </c>
      <c r="AF79">
        <f t="shared" si="68"/>
        <v>46.014375969556937</v>
      </c>
      <c r="AG79">
        <v>0</v>
      </c>
      <c r="AH79">
        <v>0</v>
      </c>
      <c r="AI79">
        <f t="shared" si="69"/>
        <v>1</v>
      </c>
      <c r="AJ79">
        <f t="shared" si="70"/>
        <v>0</v>
      </c>
      <c r="AK79">
        <f t="shared" si="71"/>
        <v>52050.2599304959</v>
      </c>
      <c r="AL79" t="s">
        <v>415</v>
      </c>
      <c r="AM79">
        <v>10238.9</v>
      </c>
      <c r="AN79">
        <v>302.21199999999999</v>
      </c>
      <c r="AO79">
        <v>4052.3</v>
      </c>
      <c r="AP79">
        <f t="shared" si="72"/>
        <v>0.92542210596451402</v>
      </c>
      <c r="AQ79">
        <v>-0.32343011824092421</v>
      </c>
      <c r="AR79" t="s">
        <v>684</v>
      </c>
      <c r="AS79">
        <v>7112.25</v>
      </c>
      <c r="AT79">
        <v>574.9469230769231</v>
      </c>
      <c r="AU79">
        <v>778.51192730149955</v>
      </c>
      <c r="AV79">
        <f t="shared" si="73"/>
        <v>0.26147962168053007</v>
      </c>
      <c r="AW79">
        <v>0.5</v>
      </c>
      <c r="AX79">
        <f t="shared" si="74"/>
        <v>1513.0425002173256</v>
      </c>
      <c r="AY79">
        <f t="shared" si="75"/>
        <v>43.063622504565728</v>
      </c>
      <c r="AZ79">
        <f t="shared" si="76"/>
        <v>197.81489027169482</v>
      </c>
      <c r="BA79">
        <f t="shared" si="77"/>
        <v>2.8675369407385951E-2</v>
      </c>
      <c r="BB79">
        <f t="shared" si="78"/>
        <v>4.2051867901962643</v>
      </c>
      <c r="BC79">
        <f t="shared" si="79"/>
        <v>230.06149887916115</v>
      </c>
      <c r="BD79" t="s">
        <v>685</v>
      </c>
      <c r="BE79">
        <v>399.79</v>
      </c>
      <c r="BF79">
        <f t="shared" si="80"/>
        <v>399.79</v>
      </c>
      <c r="BG79">
        <f t="shared" si="81"/>
        <v>0.48646901096844641</v>
      </c>
      <c r="BH79">
        <f t="shared" si="82"/>
        <v>0.53750519721695145</v>
      </c>
      <c r="BI79">
        <f t="shared" si="83"/>
        <v>0.89631187120596523</v>
      </c>
      <c r="BJ79">
        <f t="shared" si="84"/>
        <v>0.42738827481642483</v>
      </c>
      <c r="BK79">
        <f t="shared" si="85"/>
        <v>0.87298966656209143</v>
      </c>
      <c r="BL79">
        <f t="shared" si="86"/>
        <v>0.37375485313557311</v>
      </c>
      <c r="BM79">
        <f t="shared" si="87"/>
        <v>0.62624514686442689</v>
      </c>
      <c r="BN79">
        <v>34595</v>
      </c>
      <c r="BO79">
        <v>290.00000000000011</v>
      </c>
      <c r="BP79">
        <v>724.56</v>
      </c>
      <c r="BQ79">
        <v>285</v>
      </c>
      <c r="BR79">
        <v>7112.25</v>
      </c>
      <c r="BS79">
        <v>725.23</v>
      </c>
      <c r="BT79">
        <v>-0.67</v>
      </c>
      <c r="BU79">
        <v>300.00000000000011</v>
      </c>
      <c r="BV79">
        <v>38.200000000000003</v>
      </c>
      <c r="BW79">
        <v>778.51192730149955</v>
      </c>
      <c r="BX79">
        <v>1.0779447945115299</v>
      </c>
      <c r="BY79">
        <v>-37.898696419560302</v>
      </c>
      <c r="BZ79">
        <v>0.64273844830220039</v>
      </c>
      <c r="CA79">
        <v>0.99201096142380074</v>
      </c>
      <c r="CB79">
        <v>-7.0111839822024468E-3</v>
      </c>
      <c r="CC79">
        <v>289.99999999999989</v>
      </c>
      <c r="CD79">
        <v>733.65</v>
      </c>
      <c r="CE79">
        <v>885</v>
      </c>
      <c r="CF79">
        <v>7105.8</v>
      </c>
      <c r="CG79">
        <v>725.18</v>
      </c>
      <c r="CH79">
        <v>8.4700000000000006</v>
      </c>
      <c r="CV79">
        <f t="shared" si="88"/>
        <v>1799.83</v>
      </c>
      <c r="CW79">
        <f t="shared" si="89"/>
        <v>1513.0425002173256</v>
      </c>
      <c r="CX79">
        <f t="shared" si="90"/>
        <v>0.84065856231828873</v>
      </c>
      <c r="CY79">
        <f t="shared" si="91"/>
        <v>0.1608710252742972</v>
      </c>
      <c r="CZ79">
        <v>4.38</v>
      </c>
      <c r="DA79">
        <v>0.5</v>
      </c>
      <c r="DB79" t="s">
        <v>418</v>
      </c>
      <c r="DC79">
        <v>2</v>
      </c>
      <c r="DD79">
        <v>1700250646</v>
      </c>
      <c r="DE79">
        <v>460.851</v>
      </c>
      <c r="DF79">
        <v>499.995</v>
      </c>
      <c r="DG79">
        <v>27.251000000000001</v>
      </c>
      <c r="DH79">
        <v>24.230699999999999</v>
      </c>
      <c r="DI79">
        <v>460.98099999999999</v>
      </c>
      <c r="DJ79">
        <v>26.9068</v>
      </c>
      <c r="DK79">
        <v>500.14100000000002</v>
      </c>
      <c r="DL79">
        <v>98.912400000000005</v>
      </c>
      <c r="DM79">
        <v>9.9442799999999998E-2</v>
      </c>
      <c r="DN79">
        <v>29.497499999999999</v>
      </c>
      <c r="DO79">
        <v>29.956499999999998</v>
      </c>
      <c r="DP79">
        <v>999.9</v>
      </c>
      <c r="DQ79">
        <v>0</v>
      </c>
      <c r="DR79">
        <v>0</v>
      </c>
      <c r="DS79">
        <v>10036.200000000001</v>
      </c>
      <c r="DT79">
        <v>0</v>
      </c>
      <c r="DU79">
        <v>315.98099999999999</v>
      </c>
      <c r="DV79">
        <v>-39.143700000000003</v>
      </c>
      <c r="DW79">
        <v>473.76100000000002</v>
      </c>
      <c r="DX79">
        <v>512.41099999999994</v>
      </c>
      <c r="DY79">
        <v>3.0202399999999998</v>
      </c>
      <c r="DZ79">
        <v>499.995</v>
      </c>
      <c r="EA79">
        <v>24.230699999999999</v>
      </c>
      <c r="EB79">
        <v>2.6954600000000002</v>
      </c>
      <c r="EC79">
        <v>2.3967200000000002</v>
      </c>
      <c r="ED79">
        <v>22.257400000000001</v>
      </c>
      <c r="EE79">
        <v>20.3416</v>
      </c>
      <c r="EF79">
        <v>1799.83</v>
      </c>
      <c r="EG79">
        <v>0.977989</v>
      </c>
      <c r="EH79">
        <v>2.20114E-2</v>
      </c>
      <c r="EI79">
        <v>0</v>
      </c>
      <c r="EJ79">
        <v>574.44000000000005</v>
      </c>
      <c r="EK79">
        <v>4.9996700000000001</v>
      </c>
      <c r="EL79">
        <v>11009</v>
      </c>
      <c r="EM79">
        <v>15045.3</v>
      </c>
      <c r="EN79">
        <v>48.061999999999998</v>
      </c>
      <c r="EO79">
        <v>49.375</v>
      </c>
      <c r="EP79">
        <v>48.875</v>
      </c>
      <c r="EQ79">
        <v>49.061999999999998</v>
      </c>
      <c r="ER79">
        <v>49.561999999999998</v>
      </c>
      <c r="ES79">
        <v>1755.32</v>
      </c>
      <c r="ET79">
        <v>39.51</v>
      </c>
      <c r="EU79">
        <v>0</v>
      </c>
      <c r="EV79">
        <v>307.80000019073492</v>
      </c>
      <c r="EW79">
        <v>0</v>
      </c>
      <c r="EX79">
        <v>574.9469230769231</v>
      </c>
      <c r="EY79">
        <v>-1.215589739719461</v>
      </c>
      <c r="EZ79">
        <v>49.914529861035717</v>
      </c>
      <c r="FA79">
        <v>11012.02307692308</v>
      </c>
      <c r="FB79">
        <v>15</v>
      </c>
      <c r="FC79">
        <v>1700250585</v>
      </c>
      <c r="FD79" t="s">
        <v>686</v>
      </c>
      <c r="FE79">
        <v>1700250585</v>
      </c>
      <c r="FF79">
        <v>1700250579.5</v>
      </c>
      <c r="FG79">
        <v>72</v>
      </c>
      <c r="FH79">
        <v>-3.7999999999999999E-2</v>
      </c>
      <c r="FI79">
        <v>-0.01</v>
      </c>
      <c r="FJ79">
        <v>-0.14399999999999999</v>
      </c>
      <c r="FK79">
        <v>0.34399999999999997</v>
      </c>
      <c r="FL79">
        <v>500</v>
      </c>
      <c r="FM79">
        <v>24</v>
      </c>
      <c r="FN79">
        <v>7.0000000000000007E-2</v>
      </c>
      <c r="FO79">
        <v>0.03</v>
      </c>
      <c r="FP79">
        <v>42.81790949206367</v>
      </c>
      <c r="FQ79">
        <v>0.56793248709735245</v>
      </c>
      <c r="FR79">
        <v>0.1626750924633541</v>
      </c>
      <c r="FS79">
        <v>1</v>
      </c>
      <c r="FT79">
        <v>0.22610113996387879</v>
      </c>
      <c r="FU79">
        <v>-4.9759356478936119E-3</v>
      </c>
      <c r="FV79">
        <v>6.8296716339290395E-4</v>
      </c>
      <c r="FW79">
        <v>1</v>
      </c>
      <c r="FX79">
        <v>2</v>
      </c>
      <c r="FY79">
        <v>2</v>
      </c>
      <c r="FZ79" t="s">
        <v>420</v>
      </c>
      <c r="GA79">
        <v>3.0119600000000002</v>
      </c>
      <c r="GB79">
        <v>2.77684</v>
      </c>
      <c r="GC79">
        <v>9.7911200000000004E-2</v>
      </c>
      <c r="GD79">
        <v>0.104572</v>
      </c>
      <c r="GE79">
        <v>0.12439</v>
      </c>
      <c r="GF79">
        <v>0.11587</v>
      </c>
      <c r="GG79">
        <v>21688.5</v>
      </c>
      <c r="GH79">
        <v>22226.2</v>
      </c>
      <c r="GI79">
        <v>23809.4</v>
      </c>
      <c r="GJ79">
        <v>24479.4</v>
      </c>
      <c r="GK79">
        <v>30831.7</v>
      </c>
      <c r="GL79">
        <v>31034.9</v>
      </c>
      <c r="GM79">
        <v>38992.9</v>
      </c>
      <c r="GN79">
        <v>38985.599999999999</v>
      </c>
      <c r="GO79">
        <v>2.0479799999999999</v>
      </c>
      <c r="GP79">
        <v>1.82782</v>
      </c>
      <c r="GQ79">
        <v>8.4526799999999999E-2</v>
      </c>
      <c r="GR79">
        <v>0</v>
      </c>
      <c r="GS79">
        <v>28.5793</v>
      </c>
      <c r="GT79">
        <v>999.9</v>
      </c>
      <c r="GU79">
        <v>44.4</v>
      </c>
      <c r="GV79">
        <v>37.700000000000003</v>
      </c>
      <c r="GW79">
        <v>29.401599999999998</v>
      </c>
      <c r="GX79">
        <v>60.608600000000003</v>
      </c>
      <c r="GY79">
        <v>30.380600000000001</v>
      </c>
      <c r="GZ79">
        <v>1</v>
      </c>
      <c r="HA79">
        <v>0.57363299999999995</v>
      </c>
      <c r="HB79">
        <v>2.00169</v>
      </c>
      <c r="HC79">
        <v>20.3215</v>
      </c>
      <c r="HD79">
        <v>5.2421499999999996</v>
      </c>
      <c r="HE79">
        <v>12.0038</v>
      </c>
      <c r="HF79">
        <v>4.9637500000000001</v>
      </c>
      <c r="HG79">
        <v>3.3010000000000002</v>
      </c>
      <c r="HH79">
        <v>9999</v>
      </c>
      <c r="HI79">
        <v>9999</v>
      </c>
      <c r="HJ79">
        <v>9999</v>
      </c>
      <c r="HK79">
        <v>999.9</v>
      </c>
      <c r="HL79">
        <v>1.8750100000000001</v>
      </c>
      <c r="HM79">
        <v>1.88035</v>
      </c>
      <c r="HN79">
        <v>1.88049</v>
      </c>
      <c r="HO79">
        <v>1.8791500000000001</v>
      </c>
      <c r="HP79">
        <v>1.88157</v>
      </c>
      <c r="HQ79">
        <v>1.87744</v>
      </c>
      <c r="HR79">
        <v>1.8751500000000001</v>
      </c>
      <c r="HS79">
        <v>1.8824799999999999</v>
      </c>
      <c r="HT79">
        <v>5</v>
      </c>
      <c r="HU79">
        <v>0</v>
      </c>
      <c r="HV79">
        <v>0</v>
      </c>
      <c r="HW79">
        <v>0</v>
      </c>
      <c r="HX79" t="s">
        <v>421</v>
      </c>
      <c r="HY79" t="s">
        <v>422</v>
      </c>
      <c r="HZ79" t="s">
        <v>423</v>
      </c>
      <c r="IA79" t="s">
        <v>423</v>
      </c>
      <c r="IB79" t="s">
        <v>423</v>
      </c>
      <c r="IC79" t="s">
        <v>423</v>
      </c>
      <c r="ID79">
        <v>0</v>
      </c>
      <c r="IE79">
        <v>100</v>
      </c>
      <c r="IF79">
        <v>100</v>
      </c>
      <c r="IG79">
        <v>-0.13</v>
      </c>
      <c r="IH79">
        <v>0.34420000000000001</v>
      </c>
      <c r="II79">
        <v>-0.197046669595864</v>
      </c>
      <c r="IJ79">
        <v>7.0786345690369205E-4</v>
      </c>
      <c r="IK79">
        <v>-1.387476646623666E-6</v>
      </c>
      <c r="IL79">
        <v>3.6592443641472651E-10</v>
      </c>
      <c r="IM79">
        <v>0.34416500000000377</v>
      </c>
      <c r="IN79">
        <v>0</v>
      </c>
      <c r="IO79">
        <v>0</v>
      </c>
      <c r="IP79">
        <v>0</v>
      </c>
      <c r="IQ79">
        <v>2</v>
      </c>
      <c r="IR79">
        <v>2142</v>
      </c>
      <c r="IS79">
        <v>1</v>
      </c>
      <c r="IT79">
        <v>24</v>
      </c>
      <c r="IU79">
        <v>1</v>
      </c>
      <c r="IV79">
        <v>1.1000000000000001</v>
      </c>
      <c r="IW79">
        <v>1.23047</v>
      </c>
      <c r="IX79">
        <v>2.65259</v>
      </c>
      <c r="IY79">
        <v>1.5490699999999999</v>
      </c>
      <c r="IZ79">
        <v>2.3645</v>
      </c>
      <c r="JA79">
        <v>1.5966800000000001</v>
      </c>
      <c r="JB79">
        <v>2.1972700000000001</v>
      </c>
      <c r="JC79">
        <v>40.578699999999998</v>
      </c>
      <c r="JD79">
        <v>24.2364</v>
      </c>
      <c r="JE79">
        <v>18</v>
      </c>
      <c r="JF79">
        <v>544.25300000000004</v>
      </c>
      <c r="JG79">
        <v>468.42399999999998</v>
      </c>
      <c r="JH79">
        <v>26.756699999999999</v>
      </c>
      <c r="JI79">
        <v>34.296900000000001</v>
      </c>
      <c r="JJ79">
        <v>29.9998</v>
      </c>
      <c r="JK79">
        <v>34.323099999999997</v>
      </c>
      <c r="JL79">
        <v>34.319000000000003</v>
      </c>
      <c r="JM79">
        <v>24.618099999999998</v>
      </c>
      <c r="JN79">
        <v>23.937899999999999</v>
      </c>
      <c r="JO79">
        <v>55.349600000000002</v>
      </c>
      <c r="JP79">
        <v>26.782399999999999</v>
      </c>
      <c r="JQ79">
        <v>500</v>
      </c>
      <c r="JR79">
        <v>24.204799999999999</v>
      </c>
      <c r="JS79">
        <v>98.752300000000005</v>
      </c>
      <c r="JT79">
        <v>99.582099999999997</v>
      </c>
    </row>
    <row r="80" spans="1:280" x14ac:dyDescent="0.25">
      <c r="A80">
        <v>64</v>
      </c>
      <c r="B80">
        <v>1700250817</v>
      </c>
      <c r="C80">
        <v>13682.5</v>
      </c>
      <c r="D80" t="s">
        <v>687</v>
      </c>
      <c r="E80" t="s">
        <v>688</v>
      </c>
      <c r="F80" t="s">
        <v>412</v>
      </c>
      <c r="G80" t="s">
        <v>413</v>
      </c>
      <c r="H80">
        <v>1.1000000000000001</v>
      </c>
      <c r="I80">
        <v>1700250817</v>
      </c>
      <c r="J80">
        <f t="shared" si="46"/>
        <v>4.449180060946154E-3</v>
      </c>
      <c r="K80">
        <f t="shared" si="47"/>
        <v>4.449180060946154</v>
      </c>
      <c r="L80">
        <f t="shared" si="48"/>
        <v>41.302862682518409</v>
      </c>
      <c r="M80">
        <f t="shared" si="49"/>
        <v>362.43099999999998</v>
      </c>
      <c r="N80">
        <f t="shared" si="50"/>
        <v>120.22815348870346</v>
      </c>
      <c r="O80">
        <f t="shared" si="51"/>
        <v>11.903593204455959</v>
      </c>
      <c r="P80">
        <f t="shared" si="52"/>
        <v>35.883701641392499</v>
      </c>
      <c r="Q80">
        <f t="shared" si="53"/>
        <v>0.29166978476440913</v>
      </c>
      <c r="R80">
        <f t="shared" si="54"/>
        <v>3.3008175444170949</v>
      </c>
      <c r="S80">
        <f t="shared" si="55"/>
        <v>0.2780707379038167</v>
      </c>
      <c r="T80">
        <f t="shared" si="56"/>
        <v>0.17496318492487029</v>
      </c>
      <c r="U80">
        <f t="shared" si="57"/>
        <v>289.58837741936844</v>
      </c>
      <c r="V80">
        <f t="shared" si="58"/>
        <v>30.167823160645934</v>
      </c>
      <c r="W80">
        <f t="shared" si="59"/>
        <v>29.941600000000001</v>
      </c>
      <c r="X80">
        <f t="shared" si="60"/>
        <v>4.2461791873493908</v>
      </c>
      <c r="Y80">
        <f t="shared" si="61"/>
        <v>64.989320110997355</v>
      </c>
      <c r="Z80">
        <f t="shared" si="62"/>
        <v>2.7177400845280002</v>
      </c>
      <c r="AA80">
        <f t="shared" si="63"/>
        <v>4.1818256905692879</v>
      </c>
      <c r="AB80">
        <f t="shared" si="64"/>
        <v>1.5284391028213906</v>
      </c>
      <c r="AC80">
        <f t="shared" si="65"/>
        <v>-196.2088406877254</v>
      </c>
      <c r="AD80">
        <f t="shared" si="66"/>
        <v>-47.246700833200023</v>
      </c>
      <c r="AE80">
        <f t="shared" si="67"/>
        <v>-3.1766323303208144</v>
      </c>
      <c r="AF80">
        <f t="shared" si="68"/>
        <v>42.956203568122177</v>
      </c>
      <c r="AG80">
        <v>0</v>
      </c>
      <c r="AH80">
        <v>0</v>
      </c>
      <c r="AI80">
        <f t="shared" si="69"/>
        <v>1</v>
      </c>
      <c r="AJ80">
        <f t="shared" si="70"/>
        <v>0</v>
      </c>
      <c r="AK80">
        <f t="shared" si="71"/>
        <v>52014.725924687482</v>
      </c>
      <c r="AL80" t="s">
        <v>446</v>
      </c>
      <c r="AM80" t="s">
        <v>446</v>
      </c>
      <c r="AN80">
        <v>0</v>
      </c>
      <c r="AO80">
        <v>0</v>
      </c>
      <c r="AP80" t="e">
        <f t="shared" si="72"/>
        <v>#DIV/0!</v>
      </c>
      <c r="AQ80">
        <v>0</v>
      </c>
      <c r="AR80" t="s">
        <v>446</v>
      </c>
      <c r="AS80" t="s">
        <v>446</v>
      </c>
      <c r="AT80">
        <v>0</v>
      </c>
      <c r="AU80">
        <v>0</v>
      </c>
      <c r="AV80" t="e">
        <f t="shared" si="73"/>
        <v>#DIV/0!</v>
      </c>
      <c r="AW80">
        <v>0.5</v>
      </c>
      <c r="AX80">
        <f t="shared" si="74"/>
        <v>1513.2945002172894</v>
      </c>
      <c r="AY80">
        <f t="shared" si="75"/>
        <v>41.302862682518409</v>
      </c>
      <c r="AZ80" t="e">
        <f t="shared" si="76"/>
        <v>#DIV/0!</v>
      </c>
      <c r="BA80">
        <f t="shared" si="77"/>
        <v>2.7293340903960104E-2</v>
      </c>
      <c r="BB80" t="e">
        <f t="shared" si="78"/>
        <v>#DIV/0!</v>
      </c>
      <c r="BC80" t="e">
        <f t="shared" si="79"/>
        <v>#DIV/0!</v>
      </c>
      <c r="BD80" t="s">
        <v>446</v>
      </c>
      <c r="BE80">
        <v>0</v>
      </c>
      <c r="BF80" t="e">
        <f t="shared" si="80"/>
        <v>#DIV/0!</v>
      </c>
      <c r="BG80" t="e">
        <f t="shared" si="81"/>
        <v>#DIV/0!</v>
      </c>
      <c r="BH80" t="e">
        <f t="shared" si="82"/>
        <v>#DIV/0!</v>
      </c>
      <c r="BI80" t="e">
        <f t="shared" si="83"/>
        <v>#DIV/0!</v>
      </c>
      <c r="BJ80" t="e">
        <f t="shared" si="84"/>
        <v>#DIV/0!</v>
      </c>
      <c r="BK80" t="e">
        <f t="shared" si="85"/>
        <v>#DIV/0!</v>
      </c>
      <c r="BL80" t="e">
        <f t="shared" si="86"/>
        <v>#DIV/0!</v>
      </c>
      <c r="BM80" t="e">
        <f t="shared" si="87"/>
        <v>#DIV/0!</v>
      </c>
      <c r="BN80">
        <v>34595</v>
      </c>
      <c r="BO80">
        <v>290.00000000000011</v>
      </c>
      <c r="BP80">
        <v>724.56</v>
      </c>
      <c r="BQ80">
        <v>285</v>
      </c>
      <c r="BR80">
        <v>7112.25</v>
      </c>
      <c r="BS80">
        <v>725.23</v>
      </c>
      <c r="BT80">
        <v>-0.67</v>
      </c>
      <c r="BU80">
        <v>300.00000000000011</v>
      </c>
      <c r="BV80">
        <v>38.200000000000003</v>
      </c>
      <c r="BW80">
        <v>778.51192730149955</v>
      </c>
      <c r="BX80">
        <v>1.0779447945115299</v>
      </c>
      <c r="BY80">
        <v>-37.898696419560302</v>
      </c>
      <c r="BZ80">
        <v>0.64273844830220039</v>
      </c>
      <c r="CA80">
        <v>0.99201096142380074</v>
      </c>
      <c r="CB80">
        <v>-7.0111839822024468E-3</v>
      </c>
      <c r="CC80">
        <v>289.99999999999989</v>
      </c>
      <c r="CD80">
        <v>733.65</v>
      </c>
      <c r="CE80">
        <v>885</v>
      </c>
      <c r="CF80">
        <v>7105.8</v>
      </c>
      <c r="CG80">
        <v>725.18</v>
      </c>
      <c r="CH80">
        <v>8.4700000000000006</v>
      </c>
      <c r="CV80">
        <f t="shared" si="88"/>
        <v>1800.13</v>
      </c>
      <c r="CW80">
        <f t="shared" si="89"/>
        <v>1513.2945002172894</v>
      </c>
      <c r="CX80">
        <f t="shared" si="90"/>
        <v>0.84065845256580873</v>
      </c>
      <c r="CY80">
        <f t="shared" si="91"/>
        <v>0.16087081345201093</v>
      </c>
      <c r="CZ80">
        <v>4.38</v>
      </c>
      <c r="DA80">
        <v>0.5</v>
      </c>
      <c r="DB80" t="s">
        <v>418</v>
      </c>
      <c r="DC80">
        <v>2</v>
      </c>
      <c r="DD80">
        <v>1700250817</v>
      </c>
      <c r="DE80">
        <v>362.43099999999998</v>
      </c>
      <c r="DF80">
        <v>400.01299999999998</v>
      </c>
      <c r="DG80">
        <v>27.4496</v>
      </c>
      <c r="DH80">
        <v>23.660299999999999</v>
      </c>
      <c r="DI80">
        <v>362.56200000000001</v>
      </c>
      <c r="DJ80">
        <v>27.1035</v>
      </c>
      <c r="DK80">
        <v>500.15800000000002</v>
      </c>
      <c r="DL80">
        <v>98.908900000000003</v>
      </c>
      <c r="DM80">
        <v>9.94675E-2</v>
      </c>
      <c r="DN80">
        <v>29.676100000000002</v>
      </c>
      <c r="DO80">
        <v>29.941600000000001</v>
      </c>
      <c r="DP80">
        <v>999.9</v>
      </c>
      <c r="DQ80">
        <v>0</v>
      </c>
      <c r="DR80">
        <v>0</v>
      </c>
      <c r="DS80">
        <v>10035.6</v>
      </c>
      <c r="DT80">
        <v>0</v>
      </c>
      <c r="DU80">
        <v>305.334</v>
      </c>
      <c r="DV80">
        <v>-37.582900000000002</v>
      </c>
      <c r="DW80">
        <v>372.66</v>
      </c>
      <c r="DX80">
        <v>409.70699999999999</v>
      </c>
      <c r="DY80">
        <v>3.7893400000000002</v>
      </c>
      <c r="DZ80">
        <v>400.01299999999998</v>
      </c>
      <c r="EA80">
        <v>23.660299999999999</v>
      </c>
      <c r="EB80">
        <v>2.7150099999999999</v>
      </c>
      <c r="EC80">
        <v>2.3402099999999999</v>
      </c>
      <c r="ED80">
        <v>22.376300000000001</v>
      </c>
      <c r="EE80">
        <v>19.9559</v>
      </c>
      <c r="EF80">
        <v>1800.13</v>
      </c>
      <c r="EG80">
        <v>0.97799199999999997</v>
      </c>
      <c r="EH80">
        <v>2.20079E-2</v>
      </c>
      <c r="EI80">
        <v>0</v>
      </c>
      <c r="EJ80">
        <v>576.19799999999998</v>
      </c>
      <c r="EK80">
        <v>4.9996700000000001</v>
      </c>
      <c r="EL80">
        <v>10932</v>
      </c>
      <c r="EM80">
        <v>15047.9</v>
      </c>
      <c r="EN80">
        <v>48.061999999999998</v>
      </c>
      <c r="EO80">
        <v>49.375</v>
      </c>
      <c r="EP80">
        <v>48.811999999999998</v>
      </c>
      <c r="EQ80">
        <v>49.061999999999998</v>
      </c>
      <c r="ER80">
        <v>49.561999999999998</v>
      </c>
      <c r="ES80">
        <v>1755.62</v>
      </c>
      <c r="ET80">
        <v>39.51</v>
      </c>
      <c r="EU80">
        <v>0</v>
      </c>
      <c r="EV80">
        <v>169.20000004768369</v>
      </c>
      <c r="EW80">
        <v>0</v>
      </c>
      <c r="EX80">
        <v>576.20092</v>
      </c>
      <c r="EY80">
        <v>-0.54900000490110967</v>
      </c>
      <c r="EZ80">
        <v>-33.900000036987961</v>
      </c>
      <c r="FA80">
        <v>10934.26</v>
      </c>
      <c r="FB80">
        <v>15</v>
      </c>
      <c r="FC80">
        <v>1700250718.5</v>
      </c>
      <c r="FD80" t="s">
        <v>689</v>
      </c>
      <c r="FE80">
        <v>1700250713.5</v>
      </c>
      <c r="FF80">
        <v>1700250718.5</v>
      </c>
      <c r="FG80">
        <v>73</v>
      </c>
      <c r="FH80">
        <v>-2.7E-2</v>
      </c>
      <c r="FI80">
        <v>2E-3</v>
      </c>
      <c r="FJ80">
        <v>-0.13900000000000001</v>
      </c>
      <c r="FK80">
        <v>0.33900000000000002</v>
      </c>
      <c r="FL80">
        <v>400</v>
      </c>
      <c r="FM80">
        <v>24</v>
      </c>
      <c r="FN80">
        <v>0.05</v>
      </c>
      <c r="FO80">
        <v>0.03</v>
      </c>
      <c r="FP80">
        <v>41.289903589774362</v>
      </c>
      <c r="FQ80">
        <v>0.69106882656470436</v>
      </c>
      <c r="FR80">
        <v>5.7708667403952071E-2</v>
      </c>
      <c r="FS80">
        <v>1</v>
      </c>
      <c r="FT80">
        <v>0.2899509929315241</v>
      </c>
      <c r="FU80">
        <v>3.6669778003905189E-2</v>
      </c>
      <c r="FV80">
        <v>2.9803361072313428E-3</v>
      </c>
      <c r="FW80">
        <v>1</v>
      </c>
      <c r="FX80">
        <v>2</v>
      </c>
      <c r="FY80">
        <v>2</v>
      </c>
      <c r="FZ80" t="s">
        <v>420</v>
      </c>
      <c r="GA80">
        <v>3.0119799999999999</v>
      </c>
      <c r="GB80">
        <v>2.7768600000000001</v>
      </c>
      <c r="GC80">
        <v>8.14975E-2</v>
      </c>
      <c r="GD80">
        <v>8.8500300000000004E-2</v>
      </c>
      <c r="GE80">
        <v>0.125025</v>
      </c>
      <c r="GF80">
        <v>0.113986</v>
      </c>
      <c r="GG80">
        <v>22085.200000000001</v>
      </c>
      <c r="GH80">
        <v>22627</v>
      </c>
      <c r="GI80">
        <v>23811.7</v>
      </c>
      <c r="GJ80">
        <v>24481.4</v>
      </c>
      <c r="GK80">
        <v>30812.2</v>
      </c>
      <c r="GL80">
        <v>31103.599999999999</v>
      </c>
      <c r="GM80">
        <v>38996.5</v>
      </c>
      <c r="GN80">
        <v>38988.6</v>
      </c>
      <c r="GO80">
        <v>2.0491799999999998</v>
      </c>
      <c r="GP80">
        <v>1.8279799999999999</v>
      </c>
      <c r="GQ80">
        <v>7.7374299999999993E-2</v>
      </c>
      <c r="GR80">
        <v>0</v>
      </c>
      <c r="GS80">
        <v>28.681000000000001</v>
      </c>
      <c r="GT80">
        <v>999.9</v>
      </c>
      <c r="GU80">
        <v>44.4</v>
      </c>
      <c r="GV80">
        <v>37.6</v>
      </c>
      <c r="GW80">
        <v>29.241700000000002</v>
      </c>
      <c r="GX80">
        <v>60.608600000000003</v>
      </c>
      <c r="GY80">
        <v>30.340499999999999</v>
      </c>
      <c r="GZ80">
        <v>1</v>
      </c>
      <c r="HA80">
        <v>0.56828800000000002</v>
      </c>
      <c r="HB80">
        <v>1.50441</v>
      </c>
      <c r="HC80">
        <v>20.327200000000001</v>
      </c>
      <c r="HD80">
        <v>5.2452899999999998</v>
      </c>
      <c r="HE80">
        <v>12.0022</v>
      </c>
      <c r="HF80">
        <v>4.9637000000000002</v>
      </c>
      <c r="HG80">
        <v>3.3010000000000002</v>
      </c>
      <c r="HH80">
        <v>9999</v>
      </c>
      <c r="HI80">
        <v>9999</v>
      </c>
      <c r="HJ80">
        <v>9999</v>
      </c>
      <c r="HK80">
        <v>999.9</v>
      </c>
      <c r="HL80">
        <v>1.8750100000000001</v>
      </c>
      <c r="HM80">
        <v>1.8803700000000001</v>
      </c>
      <c r="HN80">
        <v>1.88049</v>
      </c>
      <c r="HO80">
        <v>1.8791800000000001</v>
      </c>
      <c r="HP80">
        <v>1.88157</v>
      </c>
      <c r="HQ80">
        <v>1.87744</v>
      </c>
      <c r="HR80">
        <v>1.8751500000000001</v>
      </c>
      <c r="HS80">
        <v>1.8824799999999999</v>
      </c>
      <c r="HT80">
        <v>5</v>
      </c>
      <c r="HU80">
        <v>0</v>
      </c>
      <c r="HV80">
        <v>0</v>
      </c>
      <c r="HW80">
        <v>0</v>
      </c>
      <c r="HX80" t="s">
        <v>421</v>
      </c>
      <c r="HY80" t="s">
        <v>422</v>
      </c>
      <c r="HZ80" t="s">
        <v>423</v>
      </c>
      <c r="IA80" t="s">
        <v>423</v>
      </c>
      <c r="IB80" t="s">
        <v>423</v>
      </c>
      <c r="IC80" t="s">
        <v>423</v>
      </c>
      <c r="ID80">
        <v>0</v>
      </c>
      <c r="IE80">
        <v>100</v>
      </c>
      <c r="IF80">
        <v>100</v>
      </c>
      <c r="IG80">
        <v>-0.13100000000000001</v>
      </c>
      <c r="IH80">
        <v>0.34610000000000002</v>
      </c>
      <c r="II80">
        <v>-0.22354014051665419</v>
      </c>
      <c r="IJ80">
        <v>7.0786345690369205E-4</v>
      </c>
      <c r="IK80">
        <v>-1.387476646623666E-6</v>
      </c>
      <c r="IL80">
        <v>3.6592443641472651E-10</v>
      </c>
      <c r="IM80">
        <v>0.34612428882423718</v>
      </c>
      <c r="IN80">
        <v>0</v>
      </c>
      <c r="IO80">
        <v>0</v>
      </c>
      <c r="IP80">
        <v>0</v>
      </c>
      <c r="IQ80">
        <v>2</v>
      </c>
      <c r="IR80">
        <v>2142</v>
      </c>
      <c r="IS80">
        <v>1</v>
      </c>
      <c r="IT80">
        <v>24</v>
      </c>
      <c r="IU80">
        <v>1.7</v>
      </c>
      <c r="IV80">
        <v>1.6</v>
      </c>
      <c r="IW80">
        <v>1.02905</v>
      </c>
      <c r="IX80">
        <v>2.65381</v>
      </c>
      <c r="IY80">
        <v>1.5490699999999999</v>
      </c>
      <c r="IZ80">
        <v>2.3645</v>
      </c>
      <c r="JA80">
        <v>1.5966800000000001</v>
      </c>
      <c r="JB80">
        <v>2.18384</v>
      </c>
      <c r="JC80">
        <v>40.527500000000003</v>
      </c>
      <c r="JD80">
        <v>24.2364</v>
      </c>
      <c r="JE80">
        <v>18</v>
      </c>
      <c r="JF80">
        <v>544.70399999999995</v>
      </c>
      <c r="JG80">
        <v>468.21899999999999</v>
      </c>
      <c r="JH80">
        <v>27.317699999999999</v>
      </c>
      <c r="JI80">
        <v>34.263500000000001</v>
      </c>
      <c r="JJ80">
        <v>29.9999</v>
      </c>
      <c r="JK80">
        <v>34.280200000000001</v>
      </c>
      <c r="JL80">
        <v>34.278500000000001</v>
      </c>
      <c r="JM80">
        <v>20.5809</v>
      </c>
      <c r="JN80">
        <v>25.579699999999999</v>
      </c>
      <c r="JO80">
        <v>54.966200000000001</v>
      </c>
      <c r="JP80">
        <v>27.3277</v>
      </c>
      <c r="JQ80">
        <v>400</v>
      </c>
      <c r="JR80">
        <v>23.601800000000001</v>
      </c>
      <c r="JS80">
        <v>98.761700000000005</v>
      </c>
      <c r="JT80">
        <v>99.5899</v>
      </c>
    </row>
    <row r="81" spans="1:280" x14ac:dyDescent="0.25">
      <c r="A81">
        <v>65</v>
      </c>
      <c r="B81">
        <v>1700250926</v>
      </c>
      <c r="C81">
        <v>13791.5</v>
      </c>
      <c r="D81" t="s">
        <v>690</v>
      </c>
      <c r="E81" t="s">
        <v>691</v>
      </c>
      <c r="F81" t="s">
        <v>412</v>
      </c>
      <c r="G81" t="s">
        <v>413</v>
      </c>
      <c r="H81">
        <v>1.1000000000000001</v>
      </c>
      <c r="I81">
        <v>1700250926</v>
      </c>
      <c r="J81">
        <f t="shared" ref="J81:J86" si="92">(K81)/1000</f>
        <v>4.653589597921534E-3</v>
      </c>
      <c r="K81">
        <f t="shared" ref="K81:K86" si="93">1000*DK81*AI81*(DG81-DH81)/(100*CZ81*(1000-AI81*DG81))</f>
        <v>4.6535895979215338</v>
      </c>
      <c r="L81">
        <f t="shared" ref="L81:L86" si="94">DK81*AI81*(DF81-DE81*(1000-AI81*DH81)/(1000-AI81*DG81))/(100*CZ81)</f>
        <v>34.403433392058396</v>
      </c>
      <c r="M81">
        <f t="shared" ref="M81:M86" si="95">DE81 - IF(AI81&gt;1, L81*CZ81*100/(AK81*DS81), 0)</f>
        <v>268.738</v>
      </c>
      <c r="N81">
        <f t="shared" ref="N81:N86" si="96">((T81-J81/2)*M81-L81)/(T81+J81/2)</f>
        <v>78.040442532370065</v>
      </c>
      <c r="O81">
        <f t="shared" ref="O81:O86" si="97">N81*(DL81+DM81)/1000</f>
        <v>7.7269697172618601</v>
      </c>
      <c r="P81">
        <f t="shared" ref="P81:P86" si="98">(DE81 - IF(AI81&gt;1, L81*CZ81*100/(AK81*DS81), 0))*(DL81+DM81)/1000</f>
        <v>26.608388170226</v>
      </c>
      <c r="Q81">
        <f t="shared" ref="Q81:Q86" si="99">2/((1/S81-1/R81)+SIGN(S81)*SQRT((1/S81-1/R81)*(1/S81-1/R81) + 4*DA81/((DA81+1)*(DA81+1))*(2*1/S81*1/R81-1/R81*1/R81)))</f>
        <v>0.30853527397779107</v>
      </c>
      <c r="R81">
        <f t="shared" ref="R81:R86" si="100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3.2954404285448642</v>
      </c>
      <c r="S81">
        <f t="shared" ref="S81:S86" si="101">J81*(1000-(1000*0.61365*EXP(17.502*W81/(240.97+W81))/(DL81+DM81)+DG81)/2)/(1000*0.61365*EXP(17.502*W81/(240.97+W81))/(DL81+DM81)-DG81)</f>
        <v>0.29333856361050287</v>
      </c>
      <c r="T81">
        <f t="shared" ref="T81:T86" si="102">1/((DA81+1)/(Q81/1.6)+1/(R81/1.37)) + DA81/((DA81+1)/(Q81/1.6) + DA81/(R81/1.37))</f>
        <v>0.18463957344871201</v>
      </c>
      <c r="U81">
        <f t="shared" ref="U81:U86" si="103">(CV81*CY81)</f>
        <v>289.54296941900668</v>
      </c>
      <c r="V81">
        <f t="shared" ref="V81:V86" si="104">(DN81+(U81+2*0.95*0.0000000567*(((DN81+$B$7)+273)^4-(DN81+273)^4)-44100*J81)/(1.84*29.3*R81+8*0.95*0.0000000567*(DN81+273)^3))</f>
        <v>30.181577146402155</v>
      </c>
      <c r="W81">
        <f t="shared" ref="W81:W86" si="105">($C$7*DO81+$D$7*DP81+$E$7*V81)</f>
        <v>29.969000000000001</v>
      </c>
      <c r="X81">
        <f t="shared" ref="X81:X86" si="106">0.61365*EXP(17.502*W81/(240.97+W81))</f>
        <v>4.2528694369958311</v>
      </c>
      <c r="Y81">
        <f t="shared" ref="Y81:Y86" si="107">(Z81/AA81*100)</f>
        <v>65.234644226964292</v>
      </c>
      <c r="Z81">
        <f t="shared" ref="Z81:Z86" si="108">DG81*(DL81+DM81)/1000</f>
        <v>2.7375635079599001</v>
      </c>
      <c r="AA81">
        <f t="shared" ref="AA81:AA86" si="109">0.61365*EXP(17.502*DN81/(240.97+DN81))</f>
        <v>4.1964872199430916</v>
      </c>
      <c r="AB81">
        <f t="shared" ref="AB81:AB86" si="110">(X81-DG81*(DL81+DM81)/1000)</f>
        <v>1.515305929035931</v>
      </c>
      <c r="AC81">
        <f t="shared" ref="AC81:AC86" si="111">(-J81*44100)</f>
        <v>-205.22330126833964</v>
      </c>
      <c r="AD81">
        <f t="shared" ref="AD81:AD86" si="112">2*29.3*R81*0.92*(DN81-W81)</f>
        <v>-41.235764355459736</v>
      </c>
      <c r="AE81">
        <f t="shared" ref="AE81:AE86" si="113">2*0.95*0.0000000567*(((DN81+$B$7)+273)^4-(W81+273)^4)</f>
        <v>-2.7782241392083522</v>
      </c>
      <c r="AF81">
        <f t="shared" ref="AF81:AF86" si="114">U81+AE81+AC81+AD81</f>
        <v>40.305679655998944</v>
      </c>
      <c r="AG81">
        <v>0</v>
      </c>
      <c r="AH81">
        <v>0</v>
      </c>
      <c r="AI81">
        <f t="shared" ref="AI81:AI86" si="115">IF(AG81*$H$13&gt;=AK81,1,(AK81/(AK81-AG81*$H$13)))</f>
        <v>1</v>
      </c>
      <c r="AJ81">
        <f t="shared" ref="AJ81:AJ86" si="116">(AI81-1)*100</f>
        <v>0</v>
      </c>
      <c r="AK81">
        <f t="shared" ref="AK81:AK86" si="117">MAX(0,($B$13+$C$13*DS81)/(1+$D$13*DS81)*DL81/(DN81+273)*$E$13)</f>
        <v>51878.83980944832</v>
      </c>
      <c r="AL81" t="s">
        <v>415</v>
      </c>
      <c r="AM81">
        <v>10238.9</v>
      </c>
      <c r="AN81">
        <v>302.21199999999999</v>
      </c>
      <c r="AO81">
        <v>4052.3</v>
      </c>
      <c r="AP81">
        <f t="shared" ref="AP81:AP86" si="118">1-AN81/AO81</f>
        <v>0.92542210596451402</v>
      </c>
      <c r="AQ81">
        <v>-0.32343011824092421</v>
      </c>
      <c r="AR81" t="s">
        <v>692</v>
      </c>
      <c r="AS81">
        <v>7112.31</v>
      </c>
      <c r="AT81">
        <v>587.1286923076924</v>
      </c>
      <c r="AU81">
        <v>752.48133529170616</v>
      </c>
      <c r="AV81">
        <f t="shared" ref="AV81:AV86" si="119">1-AT81/AU81</f>
        <v>0.21974318196199949</v>
      </c>
      <c r="AW81">
        <v>0.5</v>
      </c>
      <c r="AX81">
        <f t="shared" ref="AX81:AX86" si="120">CW81</f>
        <v>1513.0665002171015</v>
      </c>
      <c r="AY81">
        <f t="shared" ref="AY81:AY86" si="121">L81</f>
        <v>34.403433392058396</v>
      </c>
      <c r="AZ81">
        <f t="shared" ref="AZ81:AZ86" si="122">AV81*AW81*AX81</f>
        <v>166.24302363890615</v>
      </c>
      <c r="BA81">
        <f t="shared" ref="BA81:BA86" si="123">(AY81-AQ81)/AX81</f>
        <v>2.2951313445454348E-2</v>
      </c>
      <c r="BB81">
        <f t="shared" ref="BB81:BB86" si="124">(AO81-AU81)/AU81</f>
        <v>4.3852498526479593</v>
      </c>
      <c r="BC81">
        <f t="shared" ref="BC81:BC86" si="125">AN81/(AP81+AN81/AU81)</f>
        <v>227.73344088059002</v>
      </c>
      <c r="BD81" t="s">
        <v>693</v>
      </c>
      <c r="BE81">
        <v>405.53</v>
      </c>
      <c r="BF81">
        <f t="shared" ref="BF81:BF86" si="126">IF(BE81&lt;&gt;0, BE81, BC81)</f>
        <v>405.53</v>
      </c>
      <c r="BG81">
        <f t="shared" ref="BG81:BG86" si="127">1-BF81/AU81</f>
        <v>0.46107633375013535</v>
      </c>
      <c r="BH81">
        <f t="shared" ref="BH81:BH86" si="128">(AU81-AT81)/(AU81-BF81)</f>
        <v>0.47658742355030931</v>
      </c>
      <c r="BI81">
        <f t="shared" ref="BI81:BI86" si="129">(AO81-AU81)/(AO81-BF81)</f>
        <v>0.90486064783583653</v>
      </c>
      <c r="BJ81">
        <f t="shared" ref="BJ81:BJ86" si="130">(AU81-AT81)/(AU81-AN81)</f>
        <v>0.36723052187617961</v>
      </c>
      <c r="BK81">
        <f t="shared" ref="BK81:BK86" si="131">(AO81-AU81)/(AO81-AN81)</f>
        <v>0.87993099487486526</v>
      </c>
      <c r="BL81">
        <f t="shared" ref="BL81:BL86" si="132">(BH81*BF81/AT81)</f>
        <v>0.32917910571311509</v>
      </c>
      <c r="BM81">
        <f t="shared" ref="BM81:BM86" si="133">(1-BL81)</f>
        <v>0.67082089428688496</v>
      </c>
      <c r="BN81">
        <v>34597</v>
      </c>
      <c r="BO81">
        <v>290.00000000000011</v>
      </c>
      <c r="BP81">
        <v>708.39</v>
      </c>
      <c r="BQ81">
        <v>295</v>
      </c>
      <c r="BR81">
        <v>7112.31</v>
      </c>
      <c r="BS81">
        <v>708.85</v>
      </c>
      <c r="BT81">
        <v>-0.46</v>
      </c>
      <c r="BU81">
        <v>300.00000000000011</v>
      </c>
      <c r="BV81">
        <v>38.200000000000003</v>
      </c>
      <c r="BW81">
        <v>752.48133529170616</v>
      </c>
      <c r="BX81">
        <v>1.078811555618689</v>
      </c>
      <c r="BY81">
        <v>-31.033782965049411</v>
      </c>
      <c r="BZ81">
        <v>0.64326277053787628</v>
      </c>
      <c r="CA81">
        <v>0.98811300599304352</v>
      </c>
      <c r="CB81">
        <v>-7.0111345939933263E-3</v>
      </c>
      <c r="CC81">
        <v>289.99999999999989</v>
      </c>
      <c r="CD81">
        <v>714.35</v>
      </c>
      <c r="CE81">
        <v>855</v>
      </c>
      <c r="CF81">
        <v>7106.19</v>
      </c>
      <c r="CG81">
        <v>708.81</v>
      </c>
      <c r="CH81">
        <v>5.54</v>
      </c>
      <c r="CV81">
        <f t="shared" ref="CV81:CV86" si="134">$B$11*DT81+$C$11*DU81+$F$11*EF81*(1-EI81)</f>
        <v>1799.86</v>
      </c>
      <c r="CW81">
        <f t="shared" ref="CW81:CW86" si="135">CV81*CX81</f>
        <v>1513.0665002171015</v>
      </c>
      <c r="CX81">
        <f t="shared" ref="CX81:CX86" si="136">($B$11*$D$9+$C$11*$D$9+$F$11*((ES81+EK81)/MAX(ES81+EK81+ET81, 0.1)*$I$9+ET81/MAX(ES81+EK81+ET81, 0.1)*$J$9))/($B$11+$C$11+$F$11)</f>
        <v>0.84065788462274937</v>
      </c>
      <c r="CY81">
        <f t="shared" ref="CY81:CY86" si="137">($B$11*$K$9+$C$11*$K$9+$F$11*((ES81+EK81)/MAX(ES81+EK81+ET81, 0.1)*$P$9+ET81/MAX(ES81+EK81+ET81, 0.1)*$Q$9))/($B$11+$C$11+$F$11)</f>
        <v>0.16086971732190652</v>
      </c>
      <c r="CZ81">
        <v>4.38</v>
      </c>
      <c r="DA81">
        <v>0.5</v>
      </c>
      <c r="DB81" t="s">
        <v>418</v>
      </c>
      <c r="DC81">
        <v>2</v>
      </c>
      <c r="DD81">
        <v>1700250926</v>
      </c>
      <c r="DE81">
        <v>268.738</v>
      </c>
      <c r="DF81">
        <v>299.96199999999999</v>
      </c>
      <c r="DG81">
        <v>27.648700000000002</v>
      </c>
      <c r="DH81">
        <v>23.686</v>
      </c>
      <c r="DI81">
        <v>268.95100000000002</v>
      </c>
      <c r="DJ81">
        <v>27.3111</v>
      </c>
      <c r="DK81">
        <v>500.14299999999997</v>
      </c>
      <c r="DL81">
        <v>98.912199999999999</v>
      </c>
      <c r="DM81">
        <v>0.100177</v>
      </c>
      <c r="DN81">
        <v>29.736899999999999</v>
      </c>
      <c r="DO81">
        <v>29.969000000000001</v>
      </c>
      <c r="DP81">
        <v>999.9</v>
      </c>
      <c r="DQ81">
        <v>0</v>
      </c>
      <c r="DR81">
        <v>0</v>
      </c>
      <c r="DS81">
        <v>10010</v>
      </c>
      <c r="DT81">
        <v>0</v>
      </c>
      <c r="DU81">
        <v>324.78199999999998</v>
      </c>
      <c r="DV81">
        <v>-31.2242</v>
      </c>
      <c r="DW81">
        <v>276.38</v>
      </c>
      <c r="DX81">
        <v>307.24</v>
      </c>
      <c r="DY81">
        <v>3.9626800000000002</v>
      </c>
      <c r="DZ81">
        <v>299.96199999999999</v>
      </c>
      <c r="EA81">
        <v>23.686</v>
      </c>
      <c r="EB81">
        <v>2.7347899999999998</v>
      </c>
      <c r="EC81">
        <v>2.3428399999999998</v>
      </c>
      <c r="ED81">
        <v>22.495699999999999</v>
      </c>
      <c r="EE81">
        <v>19.974</v>
      </c>
      <c r="EF81">
        <v>1799.86</v>
      </c>
      <c r="EG81">
        <v>0.97800900000000002</v>
      </c>
      <c r="EH81">
        <v>2.1990800000000001E-2</v>
      </c>
      <c r="EI81">
        <v>0</v>
      </c>
      <c r="EJ81">
        <v>586.84100000000001</v>
      </c>
      <c r="EK81">
        <v>4.9996700000000001</v>
      </c>
      <c r="EL81">
        <v>11243.9</v>
      </c>
      <c r="EM81">
        <v>15045.6</v>
      </c>
      <c r="EN81">
        <v>48</v>
      </c>
      <c r="EO81">
        <v>49.311999999999998</v>
      </c>
      <c r="EP81">
        <v>48.811999999999998</v>
      </c>
      <c r="EQ81">
        <v>49.061999999999998</v>
      </c>
      <c r="ER81">
        <v>49.561999999999998</v>
      </c>
      <c r="ES81">
        <v>1755.39</v>
      </c>
      <c r="ET81">
        <v>39.47</v>
      </c>
      <c r="EU81">
        <v>0</v>
      </c>
      <c r="EV81">
        <v>277.80000019073492</v>
      </c>
      <c r="EW81">
        <v>0</v>
      </c>
      <c r="EX81">
        <v>587.1286923076924</v>
      </c>
      <c r="EY81">
        <v>-1.854769238639584</v>
      </c>
      <c r="EZ81">
        <v>33.965811892646222</v>
      </c>
      <c r="FA81">
        <v>11240.380769230769</v>
      </c>
      <c r="FB81">
        <v>15</v>
      </c>
      <c r="FC81">
        <v>1700250886</v>
      </c>
      <c r="FD81" t="s">
        <v>694</v>
      </c>
      <c r="FE81">
        <v>1700250881.5</v>
      </c>
      <c r="FF81">
        <v>1700250886</v>
      </c>
      <c r="FG81">
        <v>74</v>
      </c>
      <c r="FH81">
        <v>-8.6999999999999994E-2</v>
      </c>
      <c r="FI81">
        <v>-8.9999999999999993E-3</v>
      </c>
      <c r="FJ81">
        <v>-0.21299999999999999</v>
      </c>
      <c r="FK81">
        <v>0.317</v>
      </c>
      <c r="FL81">
        <v>300</v>
      </c>
      <c r="FM81">
        <v>24</v>
      </c>
      <c r="FN81">
        <v>0.43</v>
      </c>
      <c r="FO81">
        <v>0.5</v>
      </c>
      <c r="FP81">
        <v>34.265996675714092</v>
      </c>
      <c r="FQ81">
        <v>-5.447963075754246E-2</v>
      </c>
      <c r="FR81">
        <v>0.18454891389561909</v>
      </c>
      <c r="FS81">
        <v>1</v>
      </c>
      <c r="FT81">
        <v>0.31063116604425711</v>
      </c>
      <c r="FU81">
        <v>-4.2399455068132781E-3</v>
      </c>
      <c r="FV81">
        <v>1.3578347664061209E-3</v>
      </c>
      <c r="FW81">
        <v>1</v>
      </c>
      <c r="FX81">
        <v>2</v>
      </c>
      <c r="FY81">
        <v>2</v>
      </c>
      <c r="FZ81" t="s">
        <v>420</v>
      </c>
      <c r="GA81">
        <v>3.0119199999999999</v>
      </c>
      <c r="GB81">
        <v>2.7773500000000002</v>
      </c>
      <c r="GC81">
        <v>6.4014500000000002E-2</v>
      </c>
      <c r="GD81">
        <v>7.0512599999999995E-2</v>
      </c>
      <c r="GE81">
        <v>0.125695</v>
      </c>
      <c r="GF81">
        <v>0.114082</v>
      </c>
      <c r="GG81">
        <v>22506.400000000001</v>
      </c>
      <c r="GH81">
        <v>23074</v>
      </c>
      <c r="GI81">
        <v>23812.799999999999</v>
      </c>
      <c r="GJ81">
        <v>24482.1</v>
      </c>
      <c r="GK81">
        <v>30789.9</v>
      </c>
      <c r="GL81">
        <v>31100.9</v>
      </c>
      <c r="GM81">
        <v>38998.300000000003</v>
      </c>
      <c r="GN81">
        <v>38989.5</v>
      </c>
      <c r="GO81">
        <v>2.0491999999999999</v>
      </c>
      <c r="GP81">
        <v>1.8284499999999999</v>
      </c>
      <c r="GQ81">
        <v>7.4259900000000004E-2</v>
      </c>
      <c r="GR81">
        <v>0</v>
      </c>
      <c r="GS81">
        <v>28.7592</v>
      </c>
      <c r="GT81">
        <v>999.9</v>
      </c>
      <c r="GU81">
        <v>44.4</v>
      </c>
      <c r="GV81">
        <v>37.5</v>
      </c>
      <c r="GW81">
        <v>29.082999999999998</v>
      </c>
      <c r="GX81">
        <v>60.778599999999997</v>
      </c>
      <c r="GY81">
        <v>29.727599999999999</v>
      </c>
      <c r="GZ81">
        <v>1</v>
      </c>
      <c r="HA81">
        <v>0.56740599999999997</v>
      </c>
      <c r="HB81">
        <v>1.8676699999999999</v>
      </c>
      <c r="HC81">
        <v>20.323399999999999</v>
      </c>
      <c r="HD81">
        <v>5.24559</v>
      </c>
      <c r="HE81">
        <v>11.999599999999999</v>
      </c>
      <c r="HF81">
        <v>4.9637000000000002</v>
      </c>
      <c r="HG81">
        <v>3.3010000000000002</v>
      </c>
      <c r="HH81">
        <v>9999</v>
      </c>
      <c r="HI81">
        <v>9999</v>
      </c>
      <c r="HJ81">
        <v>9999</v>
      </c>
      <c r="HK81">
        <v>999.9</v>
      </c>
      <c r="HL81">
        <v>1.87503</v>
      </c>
      <c r="HM81">
        <v>1.88036</v>
      </c>
      <c r="HN81">
        <v>1.88049</v>
      </c>
      <c r="HO81">
        <v>1.8791899999999999</v>
      </c>
      <c r="HP81">
        <v>1.8815900000000001</v>
      </c>
      <c r="HQ81">
        <v>1.87744</v>
      </c>
      <c r="HR81">
        <v>1.8751500000000001</v>
      </c>
      <c r="HS81">
        <v>1.8824799999999999</v>
      </c>
      <c r="HT81">
        <v>5</v>
      </c>
      <c r="HU81">
        <v>0</v>
      </c>
      <c r="HV81">
        <v>0</v>
      </c>
      <c r="HW81">
        <v>0</v>
      </c>
      <c r="HX81" t="s">
        <v>421</v>
      </c>
      <c r="HY81" t="s">
        <v>422</v>
      </c>
      <c r="HZ81" t="s">
        <v>423</v>
      </c>
      <c r="IA81" t="s">
        <v>423</v>
      </c>
      <c r="IB81" t="s">
        <v>423</v>
      </c>
      <c r="IC81" t="s">
        <v>423</v>
      </c>
      <c r="ID81">
        <v>0</v>
      </c>
      <c r="IE81">
        <v>100</v>
      </c>
      <c r="IF81">
        <v>100</v>
      </c>
      <c r="IG81">
        <v>-0.21299999999999999</v>
      </c>
      <c r="IH81">
        <v>0.33760000000000001</v>
      </c>
      <c r="II81">
        <v>-0.31007888061173572</v>
      </c>
      <c r="IJ81">
        <v>7.0786345690369205E-4</v>
      </c>
      <c r="IK81">
        <v>-1.387476646623666E-6</v>
      </c>
      <c r="IL81">
        <v>3.6592443641472651E-10</v>
      </c>
      <c r="IM81">
        <v>0.33756598136842458</v>
      </c>
      <c r="IN81">
        <v>0</v>
      </c>
      <c r="IO81">
        <v>0</v>
      </c>
      <c r="IP81">
        <v>0</v>
      </c>
      <c r="IQ81">
        <v>2</v>
      </c>
      <c r="IR81">
        <v>2142</v>
      </c>
      <c r="IS81">
        <v>1</v>
      </c>
      <c r="IT81">
        <v>24</v>
      </c>
      <c r="IU81">
        <v>0.7</v>
      </c>
      <c r="IV81">
        <v>0.7</v>
      </c>
      <c r="IW81">
        <v>0.81909200000000004</v>
      </c>
      <c r="IX81">
        <v>2.65259</v>
      </c>
      <c r="IY81">
        <v>1.5490699999999999</v>
      </c>
      <c r="IZ81">
        <v>2.3645</v>
      </c>
      <c r="JA81">
        <v>1.5966800000000001</v>
      </c>
      <c r="JB81">
        <v>2.34375</v>
      </c>
      <c r="JC81">
        <v>40.502000000000002</v>
      </c>
      <c r="JD81">
        <v>24.245100000000001</v>
      </c>
      <c r="JE81">
        <v>18</v>
      </c>
      <c r="JF81">
        <v>544.52800000000002</v>
      </c>
      <c r="JG81">
        <v>468.32900000000001</v>
      </c>
      <c r="JH81">
        <v>26.991299999999999</v>
      </c>
      <c r="JI81">
        <v>34.238700000000001</v>
      </c>
      <c r="JJ81">
        <v>29.999199999999998</v>
      </c>
      <c r="JK81">
        <v>34.256900000000002</v>
      </c>
      <c r="JL81">
        <v>34.251399999999997</v>
      </c>
      <c r="JM81">
        <v>16.388300000000001</v>
      </c>
      <c r="JN81">
        <v>24.6815</v>
      </c>
      <c r="JO81">
        <v>54.804099999999998</v>
      </c>
      <c r="JP81">
        <v>27.0122</v>
      </c>
      <c r="JQ81">
        <v>300</v>
      </c>
      <c r="JR81">
        <v>23.7834</v>
      </c>
      <c r="JS81">
        <v>98.766199999999998</v>
      </c>
      <c r="JT81">
        <v>99.592299999999994</v>
      </c>
    </row>
    <row r="82" spans="1:280" x14ac:dyDescent="0.25">
      <c r="A82">
        <v>66</v>
      </c>
      <c r="B82">
        <v>1700251117</v>
      </c>
      <c r="C82">
        <v>13982.5</v>
      </c>
      <c r="D82" t="s">
        <v>695</v>
      </c>
      <c r="E82" t="s">
        <v>696</v>
      </c>
      <c r="F82" t="s">
        <v>412</v>
      </c>
      <c r="G82" t="s">
        <v>413</v>
      </c>
      <c r="H82">
        <v>1.1000000000000001</v>
      </c>
      <c r="I82">
        <v>1700251117</v>
      </c>
      <c r="J82">
        <f t="shared" si="92"/>
        <v>5.8941156803377567E-3</v>
      </c>
      <c r="K82">
        <f t="shared" si="93"/>
        <v>5.894115680337757</v>
      </c>
      <c r="L82">
        <f t="shared" si="94"/>
        <v>27.272888882661668</v>
      </c>
      <c r="M82">
        <f t="shared" si="95"/>
        <v>175.21600000000001</v>
      </c>
      <c r="N82">
        <f t="shared" si="96"/>
        <v>57.916275538621662</v>
      </c>
      <c r="O82">
        <f t="shared" si="97"/>
        <v>5.7345913045470986</v>
      </c>
      <c r="P82">
        <f t="shared" si="98"/>
        <v>17.349046372076803</v>
      </c>
      <c r="Q82">
        <f t="shared" si="99"/>
        <v>0.40348576422438137</v>
      </c>
      <c r="R82">
        <f t="shared" si="100"/>
        <v>3.2968296363559864</v>
      </c>
      <c r="S82">
        <f t="shared" si="101"/>
        <v>0.37792253194562614</v>
      </c>
      <c r="T82">
        <f t="shared" si="102"/>
        <v>0.23836324689995461</v>
      </c>
      <c r="U82">
        <f t="shared" si="103"/>
        <v>289.55805341941266</v>
      </c>
      <c r="V82">
        <f t="shared" si="104"/>
        <v>30.123062860833514</v>
      </c>
      <c r="W82">
        <f t="shared" si="105"/>
        <v>29.967700000000001</v>
      </c>
      <c r="X82">
        <f t="shared" si="106"/>
        <v>4.252551808924161</v>
      </c>
      <c r="Y82">
        <f t="shared" si="107"/>
        <v>64.97595399370438</v>
      </c>
      <c r="Z82">
        <f t="shared" si="108"/>
        <v>2.7630091093745204</v>
      </c>
      <c r="AA82">
        <f t="shared" si="109"/>
        <v>4.2523563557716022</v>
      </c>
      <c r="AB82">
        <f t="shared" si="110"/>
        <v>1.4895426995496406</v>
      </c>
      <c r="AC82">
        <f t="shared" si="111"/>
        <v>-259.93050150289508</v>
      </c>
      <c r="AD82">
        <f t="shared" si="112"/>
        <v>-0.14219094348447919</v>
      </c>
      <c r="AE82">
        <f t="shared" si="113"/>
        <v>-9.5868053120799334E-3</v>
      </c>
      <c r="AF82">
        <f t="shared" si="114"/>
        <v>29.475774167720999</v>
      </c>
      <c r="AG82">
        <v>0</v>
      </c>
      <c r="AH82">
        <v>0</v>
      </c>
      <c r="AI82">
        <f t="shared" si="115"/>
        <v>1</v>
      </c>
      <c r="AJ82">
        <f t="shared" si="116"/>
        <v>0</v>
      </c>
      <c r="AK82">
        <f t="shared" si="117"/>
        <v>51871.919118352082</v>
      </c>
      <c r="AL82" t="s">
        <v>415</v>
      </c>
      <c r="AM82">
        <v>10238.9</v>
      </c>
      <c r="AN82">
        <v>302.21199999999999</v>
      </c>
      <c r="AO82">
        <v>4052.3</v>
      </c>
      <c r="AP82">
        <f t="shared" si="118"/>
        <v>0.92542210596451402</v>
      </c>
      <c r="AQ82">
        <v>-0.32343011824092421</v>
      </c>
      <c r="AR82" t="s">
        <v>697</v>
      </c>
      <c r="AS82">
        <v>7112.33</v>
      </c>
      <c r="AT82">
        <v>600.32530769230766</v>
      </c>
      <c r="AU82">
        <v>731.31953084342729</v>
      </c>
      <c r="AV82">
        <f t="shared" si="119"/>
        <v>0.17912036753625959</v>
      </c>
      <c r="AW82">
        <v>0.5</v>
      </c>
      <c r="AX82">
        <f t="shared" si="120"/>
        <v>1513.1349002173124</v>
      </c>
      <c r="AY82">
        <f t="shared" si="121"/>
        <v>27.272888882661668</v>
      </c>
      <c r="AZ82">
        <f t="shared" si="122"/>
        <v>135.51663972943325</v>
      </c>
      <c r="BA82">
        <f t="shared" si="123"/>
        <v>1.8237844488907952E-2</v>
      </c>
      <c r="BB82">
        <f t="shared" si="124"/>
        <v>4.5410799644944557</v>
      </c>
      <c r="BC82">
        <f t="shared" si="125"/>
        <v>225.75639538661801</v>
      </c>
      <c r="BD82" t="s">
        <v>698</v>
      </c>
      <c r="BE82">
        <v>409.36</v>
      </c>
      <c r="BF82">
        <f t="shared" si="126"/>
        <v>409.36</v>
      </c>
      <c r="BG82">
        <f t="shared" si="127"/>
        <v>0.44024467727822458</v>
      </c>
      <c r="BH82">
        <f t="shared" si="128"/>
        <v>0.40686549271567818</v>
      </c>
      <c r="BI82">
        <f t="shared" si="129"/>
        <v>0.91162096250736291</v>
      </c>
      <c r="BJ82">
        <f t="shared" si="130"/>
        <v>0.30527132183778144</v>
      </c>
      <c r="BK82">
        <f t="shared" si="131"/>
        <v>0.88557401030497751</v>
      </c>
      <c r="BL82">
        <f t="shared" si="132"/>
        <v>0.27744034103499149</v>
      </c>
      <c r="BM82">
        <f t="shared" si="133"/>
        <v>0.72255965896500851</v>
      </c>
      <c r="BN82">
        <v>34599</v>
      </c>
      <c r="BO82">
        <v>290.00000000000011</v>
      </c>
      <c r="BP82">
        <v>695.1</v>
      </c>
      <c r="BQ82">
        <v>285</v>
      </c>
      <c r="BR82">
        <v>7112.33</v>
      </c>
      <c r="BS82">
        <v>696.43</v>
      </c>
      <c r="BT82">
        <v>-1.33</v>
      </c>
      <c r="BU82">
        <v>300.00000000000011</v>
      </c>
      <c r="BV82">
        <v>38.200000000000003</v>
      </c>
      <c r="BW82">
        <v>731.31953084342729</v>
      </c>
      <c r="BX82">
        <v>0.96710675177698924</v>
      </c>
      <c r="BY82">
        <v>-24.815513765192751</v>
      </c>
      <c r="BZ82">
        <v>0.5766585483469685</v>
      </c>
      <c r="CA82">
        <v>0.98510530495354187</v>
      </c>
      <c r="CB82">
        <v>-7.0111419354838729E-3</v>
      </c>
      <c r="CC82">
        <v>289.99999999999989</v>
      </c>
      <c r="CD82">
        <v>700.68</v>
      </c>
      <c r="CE82">
        <v>865</v>
      </c>
      <c r="CF82">
        <v>7106.09</v>
      </c>
      <c r="CG82">
        <v>696.4</v>
      </c>
      <c r="CH82">
        <v>4.28</v>
      </c>
      <c r="CV82">
        <f t="shared" si="134"/>
        <v>1799.94</v>
      </c>
      <c r="CW82">
        <f t="shared" si="135"/>
        <v>1513.1349002173124</v>
      </c>
      <c r="CX82">
        <f t="shared" si="136"/>
        <v>0.84065852207146474</v>
      </c>
      <c r="CY82">
        <f t="shared" si="137"/>
        <v>0.16087094759792697</v>
      </c>
      <c r="CZ82">
        <v>4.38</v>
      </c>
      <c r="DA82">
        <v>0.5</v>
      </c>
      <c r="DB82" t="s">
        <v>418</v>
      </c>
      <c r="DC82">
        <v>2</v>
      </c>
      <c r="DD82">
        <v>1700251117</v>
      </c>
      <c r="DE82">
        <v>175.21600000000001</v>
      </c>
      <c r="DF82">
        <v>200.00399999999999</v>
      </c>
      <c r="DG82">
        <v>27.904900000000001</v>
      </c>
      <c r="DH82">
        <v>22.8873</v>
      </c>
      <c r="DI82">
        <v>175.30799999999999</v>
      </c>
      <c r="DJ82">
        <v>27.552499999999998</v>
      </c>
      <c r="DK82">
        <v>500.15600000000001</v>
      </c>
      <c r="DL82">
        <v>98.915400000000005</v>
      </c>
      <c r="DM82">
        <v>9.9794800000000003E-2</v>
      </c>
      <c r="DN82">
        <v>29.966899999999999</v>
      </c>
      <c r="DO82">
        <v>29.967700000000001</v>
      </c>
      <c r="DP82">
        <v>999.9</v>
      </c>
      <c r="DQ82">
        <v>0</v>
      </c>
      <c r="DR82">
        <v>0</v>
      </c>
      <c r="DS82">
        <v>10016.200000000001</v>
      </c>
      <c r="DT82">
        <v>0</v>
      </c>
      <c r="DU82">
        <v>334.596</v>
      </c>
      <c r="DV82">
        <v>-24.788599999999999</v>
      </c>
      <c r="DW82">
        <v>180.245</v>
      </c>
      <c r="DX82">
        <v>204.68899999999999</v>
      </c>
      <c r="DY82">
        <v>5.0176499999999997</v>
      </c>
      <c r="DZ82">
        <v>200.00399999999999</v>
      </c>
      <c r="EA82">
        <v>22.8873</v>
      </c>
      <c r="EB82">
        <v>2.76023</v>
      </c>
      <c r="EC82">
        <v>2.2639</v>
      </c>
      <c r="ED82">
        <v>22.648099999999999</v>
      </c>
      <c r="EE82">
        <v>19.421800000000001</v>
      </c>
      <c r="EF82">
        <v>1799.94</v>
      </c>
      <c r="EG82">
        <v>0.977989</v>
      </c>
      <c r="EH82">
        <v>2.20114E-2</v>
      </c>
      <c r="EI82">
        <v>0</v>
      </c>
      <c r="EJ82">
        <v>600.33000000000004</v>
      </c>
      <c r="EK82">
        <v>4.9996700000000001</v>
      </c>
      <c r="EL82">
        <v>11554.1</v>
      </c>
      <c r="EM82">
        <v>15046.2</v>
      </c>
      <c r="EN82">
        <v>48</v>
      </c>
      <c r="EO82">
        <v>49.311999999999998</v>
      </c>
      <c r="EP82">
        <v>48.811999999999998</v>
      </c>
      <c r="EQ82">
        <v>49</v>
      </c>
      <c r="ER82">
        <v>49.561999999999998</v>
      </c>
      <c r="ES82">
        <v>1755.43</v>
      </c>
      <c r="ET82">
        <v>39.51</v>
      </c>
      <c r="EU82">
        <v>0</v>
      </c>
      <c r="EV82">
        <v>189</v>
      </c>
      <c r="EW82">
        <v>0</v>
      </c>
      <c r="EX82">
        <v>600.32530769230766</v>
      </c>
      <c r="EY82">
        <v>-1.6782906152479591</v>
      </c>
      <c r="EZ82">
        <v>88.745299475532789</v>
      </c>
      <c r="FA82">
        <v>11585.13846153846</v>
      </c>
      <c r="FB82">
        <v>15</v>
      </c>
      <c r="FC82">
        <v>1700251008.5</v>
      </c>
      <c r="FD82" t="s">
        <v>699</v>
      </c>
      <c r="FE82">
        <v>1700251004</v>
      </c>
      <c r="FF82">
        <v>1700251008.5</v>
      </c>
      <c r="FG82">
        <v>75</v>
      </c>
      <c r="FH82">
        <v>0.13500000000000001</v>
      </c>
      <c r="FI82">
        <v>1.4999999999999999E-2</v>
      </c>
      <c r="FJ82">
        <v>-8.6999999999999994E-2</v>
      </c>
      <c r="FK82">
        <v>0.32900000000000001</v>
      </c>
      <c r="FL82">
        <v>200</v>
      </c>
      <c r="FM82">
        <v>24</v>
      </c>
      <c r="FN82">
        <v>0.2</v>
      </c>
      <c r="FO82">
        <v>0.02</v>
      </c>
      <c r="FP82">
        <v>27.17612946994463</v>
      </c>
      <c r="FQ82">
        <v>0.39098656030621992</v>
      </c>
      <c r="FR82">
        <v>3.3143981986794108E-2</v>
      </c>
      <c r="FS82">
        <v>1</v>
      </c>
      <c r="FT82">
        <v>0.40175045852772168</v>
      </c>
      <c r="FU82">
        <v>4.9351387779871921E-2</v>
      </c>
      <c r="FV82">
        <v>3.9834194182429006E-3</v>
      </c>
      <c r="FW82">
        <v>1</v>
      </c>
      <c r="FX82">
        <v>2</v>
      </c>
      <c r="FY82">
        <v>2</v>
      </c>
      <c r="FZ82" t="s">
        <v>420</v>
      </c>
      <c r="GA82">
        <v>3.01193</v>
      </c>
      <c r="GB82">
        <v>2.7770199999999998</v>
      </c>
      <c r="GC82">
        <v>4.42035E-2</v>
      </c>
      <c r="GD82">
        <v>5.0055700000000002E-2</v>
      </c>
      <c r="GE82">
        <v>0.126474</v>
      </c>
      <c r="GF82">
        <v>0.111416</v>
      </c>
      <c r="GG82">
        <v>22984.400000000001</v>
      </c>
      <c r="GH82">
        <v>23584.2</v>
      </c>
      <c r="GI82">
        <v>23815</v>
      </c>
      <c r="GJ82">
        <v>24485.1</v>
      </c>
      <c r="GK82">
        <v>30764.9</v>
      </c>
      <c r="GL82">
        <v>31198</v>
      </c>
      <c r="GM82">
        <v>39001.4</v>
      </c>
      <c r="GN82">
        <v>38993.599999999999</v>
      </c>
      <c r="GO82">
        <v>2.0508799999999998</v>
      </c>
      <c r="GP82">
        <v>1.82795</v>
      </c>
      <c r="GQ82">
        <v>6.6198400000000004E-2</v>
      </c>
      <c r="GR82">
        <v>0</v>
      </c>
      <c r="GS82">
        <v>28.889399999999998</v>
      </c>
      <c r="GT82">
        <v>999.9</v>
      </c>
      <c r="GU82">
        <v>44.2</v>
      </c>
      <c r="GV82">
        <v>37.5</v>
      </c>
      <c r="GW82">
        <v>28.9498</v>
      </c>
      <c r="GX82">
        <v>60.9086</v>
      </c>
      <c r="GY82">
        <v>30.460699999999999</v>
      </c>
      <c r="GZ82">
        <v>1</v>
      </c>
      <c r="HA82">
        <v>0.56286099999999994</v>
      </c>
      <c r="HB82">
        <v>1.3565199999999999</v>
      </c>
      <c r="HC82">
        <v>20.328499999999998</v>
      </c>
      <c r="HD82">
        <v>5.24634</v>
      </c>
      <c r="HE82">
        <v>11.998900000000001</v>
      </c>
      <c r="HF82">
        <v>4.9637500000000001</v>
      </c>
      <c r="HG82">
        <v>3.3010000000000002</v>
      </c>
      <c r="HH82">
        <v>9999</v>
      </c>
      <c r="HI82">
        <v>9999</v>
      </c>
      <c r="HJ82">
        <v>9999</v>
      </c>
      <c r="HK82">
        <v>999.9</v>
      </c>
      <c r="HL82">
        <v>1.87503</v>
      </c>
      <c r="HM82">
        <v>1.88036</v>
      </c>
      <c r="HN82">
        <v>1.88049</v>
      </c>
      <c r="HO82">
        <v>1.87914</v>
      </c>
      <c r="HP82">
        <v>1.88157</v>
      </c>
      <c r="HQ82">
        <v>1.87744</v>
      </c>
      <c r="HR82">
        <v>1.8751500000000001</v>
      </c>
      <c r="HS82">
        <v>1.8824799999999999</v>
      </c>
      <c r="HT82">
        <v>5</v>
      </c>
      <c r="HU82">
        <v>0</v>
      </c>
      <c r="HV82">
        <v>0</v>
      </c>
      <c r="HW82">
        <v>0</v>
      </c>
      <c r="HX82" t="s">
        <v>421</v>
      </c>
      <c r="HY82" t="s">
        <v>422</v>
      </c>
      <c r="HZ82" t="s">
        <v>423</v>
      </c>
      <c r="IA82" t="s">
        <v>423</v>
      </c>
      <c r="IB82" t="s">
        <v>423</v>
      </c>
      <c r="IC82" t="s">
        <v>423</v>
      </c>
      <c r="ID82">
        <v>0</v>
      </c>
      <c r="IE82">
        <v>100</v>
      </c>
      <c r="IF82">
        <v>100</v>
      </c>
      <c r="IG82">
        <v>-9.1999999999999998E-2</v>
      </c>
      <c r="IH82">
        <v>0.35239999999999999</v>
      </c>
      <c r="II82">
        <v>-0.1755356875613048</v>
      </c>
      <c r="IJ82">
        <v>7.0786345690369205E-4</v>
      </c>
      <c r="IK82">
        <v>-1.387476646623666E-6</v>
      </c>
      <c r="IL82">
        <v>3.6592443641472651E-10</v>
      </c>
      <c r="IM82">
        <v>0.35242790506011812</v>
      </c>
      <c r="IN82">
        <v>0</v>
      </c>
      <c r="IO82">
        <v>0</v>
      </c>
      <c r="IP82">
        <v>0</v>
      </c>
      <c r="IQ82">
        <v>2</v>
      </c>
      <c r="IR82">
        <v>2142</v>
      </c>
      <c r="IS82">
        <v>1</v>
      </c>
      <c r="IT82">
        <v>24</v>
      </c>
      <c r="IU82">
        <v>1.9</v>
      </c>
      <c r="IV82">
        <v>1.8</v>
      </c>
      <c r="IW82">
        <v>0.60058599999999995</v>
      </c>
      <c r="IX82">
        <v>2.67334</v>
      </c>
      <c r="IY82">
        <v>1.5490699999999999</v>
      </c>
      <c r="IZ82">
        <v>2.36572</v>
      </c>
      <c r="JA82">
        <v>1.5966800000000001</v>
      </c>
      <c r="JB82">
        <v>2.21069</v>
      </c>
      <c r="JC82">
        <v>40.451000000000001</v>
      </c>
      <c r="JD82">
        <v>24.2364</v>
      </c>
      <c r="JE82">
        <v>18</v>
      </c>
      <c r="JF82">
        <v>545.35500000000002</v>
      </c>
      <c r="JG82">
        <v>467.73200000000003</v>
      </c>
      <c r="JH82">
        <v>27.748699999999999</v>
      </c>
      <c r="JI82">
        <v>34.210099999999997</v>
      </c>
      <c r="JJ82">
        <v>30</v>
      </c>
      <c r="JK82">
        <v>34.2209</v>
      </c>
      <c r="JL82">
        <v>34.216099999999997</v>
      </c>
      <c r="JM82">
        <v>12.023199999999999</v>
      </c>
      <c r="JN82">
        <v>26.911000000000001</v>
      </c>
      <c r="JO82">
        <v>53.876300000000001</v>
      </c>
      <c r="JP82">
        <v>27.753599999999999</v>
      </c>
      <c r="JQ82">
        <v>200</v>
      </c>
      <c r="JR82">
        <v>22.8507</v>
      </c>
      <c r="JS82">
        <v>98.7744</v>
      </c>
      <c r="JT82">
        <v>99.603300000000004</v>
      </c>
    </row>
    <row r="83" spans="1:280" x14ac:dyDescent="0.25">
      <c r="A83">
        <v>67</v>
      </c>
      <c r="B83">
        <v>1700251224</v>
      </c>
      <c r="C83">
        <v>14089.5</v>
      </c>
      <c r="D83" t="s">
        <v>700</v>
      </c>
      <c r="E83" t="s">
        <v>701</v>
      </c>
      <c r="F83" t="s">
        <v>412</v>
      </c>
      <c r="G83" t="s">
        <v>413</v>
      </c>
      <c r="H83">
        <v>1.1000000000000001</v>
      </c>
      <c r="I83">
        <v>1700251224</v>
      </c>
      <c r="J83">
        <f t="shared" si="92"/>
        <v>5.9671180614297385E-3</v>
      </c>
      <c r="K83">
        <f t="shared" si="93"/>
        <v>5.9671180614297388</v>
      </c>
      <c r="L83">
        <f t="shared" si="94"/>
        <v>17.362919805501608</v>
      </c>
      <c r="M83">
        <f t="shared" si="95"/>
        <v>104.325</v>
      </c>
      <c r="N83">
        <f t="shared" si="96"/>
        <v>32.280074370292581</v>
      </c>
      <c r="O83">
        <f t="shared" si="97"/>
        <v>3.1962697034164682</v>
      </c>
      <c r="P83">
        <f t="shared" si="98"/>
        <v>10.3299277747575</v>
      </c>
      <c r="Q83">
        <f t="shared" si="99"/>
        <v>0.41838000910330886</v>
      </c>
      <c r="R83">
        <f t="shared" si="100"/>
        <v>3.2951478209944334</v>
      </c>
      <c r="S83">
        <f t="shared" si="101"/>
        <v>0.39095042895922516</v>
      </c>
      <c r="T83">
        <f t="shared" si="102"/>
        <v>0.24665844198544062</v>
      </c>
      <c r="U83">
        <f t="shared" si="103"/>
        <v>289.56212141897873</v>
      </c>
      <c r="V83">
        <f t="shared" si="104"/>
        <v>30.131679591319774</v>
      </c>
      <c r="W83">
        <f t="shared" si="105"/>
        <v>30.005600000000001</v>
      </c>
      <c r="X83">
        <f t="shared" si="106"/>
        <v>4.2618203782803237</v>
      </c>
      <c r="Y83">
        <f t="shared" si="107"/>
        <v>65.853786633519263</v>
      </c>
      <c r="Z83">
        <f t="shared" si="108"/>
        <v>2.80444295587519</v>
      </c>
      <c r="AA83">
        <f t="shared" si="109"/>
        <v>4.2585902789191197</v>
      </c>
      <c r="AB83">
        <f t="shared" si="110"/>
        <v>1.4573774224051337</v>
      </c>
      <c r="AC83">
        <f t="shared" si="111"/>
        <v>-263.14990650905145</v>
      </c>
      <c r="AD83">
        <f t="shared" si="112"/>
        <v>-2.3449537230961801</v>
      </c>
      <c r="AE83">
        <f t="shared" si="113"/>
        <v>-0.15823194559856965</v>
      </c>
      <c r="AF83">
        <f t="shared" si="114"/>
        <v>23.909029241232535</v>
      </c>
      <c r="AG83">
        <v>0</v>
      </c>
      <c r="AH83">
        <v>0</v>
      </c>
      <c r="AI83">
        <f t="shared" si="115"/>
        <v>1</v>
      </c>
      <c r="AJ83">
        <f t="shared" si="116"/>
        <v>0</v>
      </c>
      <c r="AK83">
        <f t="shared" si="117"/>
        <v>51828.38268273088</v>
      </c>
      <c r="AL83" t="s">
        <v>446</v>
      </c>
      <c r="AM83" t="s">
        <v>446</v>
      </c>
      <c r="AN83">
        <v>0</v>
      </c>
      <c r="AO83">
        <v>0</v>
      </c>
      <c r="AP83" t="e">
        <f t="shared" si="118"/>
        <v>#DIV/0!</v>
      </c>
      <c r="AQ83">
        <v>0</v>
      </c>
      <c r="AR83" t="s">
        <v>446</v>
      </c>
      <c r="AS83" t="s">
        <v>446</v>
      </c>
      <c r="AT83">
        <v>0</v>
      </c>
      <c r="AU83">
        <v>0</v>
      </c>
      <c r="AV83" t="e">
        <f t="shared" si="119"/>
        <v>#DIV/0!</v>
      </c>
      <c r="AW83">
        <v>0.5</v>
      </c>
      <c r="AX83">
        <f t="shared" si="120"/>
        <v>1513.1673002170874</v>
      </c>
      <c r="AY83">
        <f t="shared" si="121"/>
        <v>17.362919805501608</v>
      </c>
      <c r="AZ83" t="e">
        <f t="shared" si="122"/>
        <v>#DIV/0!</v>
      </c>
      <c r="BA83">
        <f t="shared" si="123"/>
        <v>1.147455393928393E-2</v>
      </c>
      <c r="BB83" t="e">
        <f t="shared" si="124"/>
        <v>#DIV/0!</v>
      </c>
      <c r="BC83" t="e">
        <f t="shared" si="125"/>
        <v>#DIV/0!</v>
      </c>
      <c r="BD83" t="s">
        <v>446</v>
      </c>
      <c r="BE83">
        <v>0</v>
      </c>
      <c r="BF83" t="e">
        <f t="shared" si="126"/>
        <v>#DIV/0!</v>
      </c>
      <c r="BG83" t="e">
        <f t="shared" si="127"/>
        <v>#DIV/0!</v>
      </c>
      <c r="BH83" t="e">
        <f t="shared" si="128"/>
        <v>#DIV/0!</v>
      </c>
      <c r="BI83" t="e">
        <f t="shared" si="129"/>
        <v>#DIV/0!</v>
      </c>
      <c r="BJ83" t="e">
        <f t="shared" si="130"/>
        <v>#DIV/0!</v>
      </c>
      <c r="BK83" t="e">
        <f t="shared" si="131"/>
        <v>#DIV/0!</v>
      </c>
      <c r="BL83" t="e">
        <f t="shared" si="132"/>
        <v>#DIV/0!</v>
      </c>
      <c r="BM83" t="e">
        <f t="shared" si="133"/>
        <v>#DIV/0!</v>
      </c>
      <c r="BN83">
        <v>34599</v>
      </c>
      <c r="BO83">
        <v>290.00000000000011</v>
      </c>
      <c r="BP83">
        <v>695.1</v>
      </c>
      <c r="BQ83">
        <v>285</v>
      </c>
      <c r="BR83">
        <v>7112.33</v>
      </c>
      <c r="BS83">
        <v>696.43</v>
      </c>
      <c r="BT83">
        <v>-1.33</v>
      </c>
      <c r="BU83">
        <v>300.00000000000011</v>
      </c>
      <c r="BV83">
        <v>38.200000000000003</v>
      </c>
      <c r="BW83">
        <v>731.31953084342729</v>
      </c>
      <c r="BX83">
        <v>0.96710675177698924</v>
      </c>
      <c r="BY83">
        <v>-24.815513765192751</v>
      </c>
      <c r="BZ83">
        <v>0.5766585483469685</v>
      </c>
      <c r="CA83">
        <v>0.98510530495354187</v>
      </c>
      <c r="CB83">
        <v>-7.0111419354838729E-3</v>
      </c>
      <c r="CC83">
        <v>289.99999999999989</v>
      </c>
      <c r="CD83">
        <v>700.68</v>
      </c>
      <c r="CE83">
        <v>865</v>
      </c>
      <c r="CF83">
        <v>7106.09</v>
      </c>
      <c r="CG83">
        <v>696.4</v>
      </c>
      <c r="CH83">
        <v>4.28</v>
      </c>
      <c r="CV83">
        <f t="shared" si="134"/>
        <v>1799.98</v>
      </c>
      <c r="CW83">
        <f t="shared" si="135"/>
        <v>1513.1673002170874</v>
      </c>
      <c r="CX83">
        <f t="shared" si="136"/>
        <v>0.84065784076327921</v>
      </c>
      <c r="CY83">
        <f t="shared" si="137"/>
        <v>0.16086963267312901</v>
      </c>
      <c r="CZ83">
        <v>4.38</v>
      </c>
      <c r="DA83">
        <v>0.5</v>
      </c>
      <c r="DB83" t="s">
        <v>418</v>
      </c>
      <c r="DC83">
        <v>2</v>
      </c>
      <c r="DD83">
        <v>1700251224</v>
      </c>
      <c r="DE83">
        <v>104.325</v>
      </c>
      <c r="DF83">
        <v>120.077</v>
      </c>
      <c r="DG83">
        <v>28.322900000000001</v>
      </c>
      <c r="DH83">
        <v>23.244800000000001</v>
      </c>
      <c r="DI83">
        <v>104.428</v>
      </c>
      <c r="DJ83">
        <v>27.9679</v>
      </c>
      <c r="DK83">
        <v>500.10300000000001</v>
      </c>
      <c r="DL83">
        <v>98.917400000000001</v>
      </c>
      <c r="DM83">
        <v>9.9401100000000006E-2</v>
      </c>
      <c r="DN83">
        <v>29.9924</v>
      </c>
      <c r="DO83">
        <v>30.005600000000001</v>
      </c>
      <c r="DP83">
        <v>999.9</v>
      </c>
      <c r="DQ83">
        <v>0</v>
      </c>
      <c r="DR83">
        <v>0</v>
      </c>
      <c r="DS83">
        <v>10008.1</v>
      </c>
      <c r="DT83">
        <v>0</v>
      </c>
      <c r="DU83">
        <v>374.923</v>
      </c>
      <c r="DV83">
        <v>-15.751099999999999</v>
      </c>
      <c r="DW83">
        <v>107.366</v>
      </c>
      <c r="DX83">
        <v>122.934</v>
      </c>
      <c r="DY83">
        <v>5.0780900000000004</v>
      </c>
      <c r="DZ83">
        <v>120.077</v>
      </c>
      <c r="EA83">
        <v>23.244800000000001</v>
      </c>
      <c r="EB83">
        <v>2.8016299999999998</v>
      </c>
      <c r="EC83">
        <v>2.2993199999999998</v>
      </c>
      <c r="ED83">
        <v>22.893699999999999</v>
      </c>
      <c r="EE83">
        <v>19.671600000000002</v>
      </c>
      <c r="EF83">
        <v>1799.98</v>
      </c>
      <c r="EG83">
        <v>0.97800900000000002</v>
      </c>
      <c r="EH83">
        <v>2.1990800000000001E-2</v>
      </c>
      <c r="EI83">
        <v>0</v>
      </c>
      <c r="EJ83">
        <v>619.98500000000001</v>
      </c>
      <c r="EK83">
        <v>4.9996700000000001</v>
      </c>
      <c r="EL83">
        <v>12194</v>
      </c>
      <c r="EM83">
        <v>15046.7</v>
      </c>
      <c r="EN83">
        <v>48.061999999999998</v>
      </c>
      <c r="EO83">
        <v>49.375</v>
      </c>
      <c r="EP83">
        <v>48.811999999999998</v>
      </c>
      <c r="EQ83">
        <v>49.061999999999998</v>
      </c>
      <c r="ER83">
        <v>49.625</v>
      </c>
      <c r="ES83">
        <v>1755.51</v>
      </c>
      <c r="ET83">
        <v>39.47</v>
      </c>
      <c r="EU83">
        <v>0</v>
      </c>
      <c r="EV83">
        <v>105.2000000476837</v>
      </c>
      <c r="EW83">
        <v>0</v>
      </c>
      <c r="EX83">
        <v>620.24211538461543</v>
      </c>
      <c r="EY83">
        <v>-2.1199658063647409</v>
      </c>
      <c r="EZ83">
        <v>-332.36923090482452</v>
      </c>
      <c r="FA83">
        <v>12250.74615384615</v>
      </c>
      <c r="FB83">
        <v>15</v>
      </c>
      <c r="FC83">
        <v>1700251193.5</v>
      </c>
      <c r="FD83" t="s">
        <v>702</v>
      </c>
      <c r="FE83">
        <v>1700251184.5</v>
      </c>
      <c r="FF83">
        <v>1700251193.5</v>
      </c>
      <c r="FG83">
        <v>76</v>
      </c>
      <c r="FH83">
        <v>1.4E-2</v>
      </c>
      <c r="FI83">
        <v>3.0000000000000001E-3</v>
      </c>
      <c r="FJ83">
        <v>-9.6000000000000002E-2</v>
      </c>
      <c r="FK83">
        <v>0.32</v>
      </c>
      <c r="FL83">
        <v>120</v>
      </c>
      <c r="FM83">
        <v>23</v>
      </c>
      <c r="FN83">
        <v>0.08</v>
      </c>
      <c r="FO83">
        <v>0.02</v>
      </c>
      <c r="FP83">
        <v>17.150227803627331</v>
      </c>
      <c r="FQ83">
        <v>0.46386673611878132</v>
      </c>
      <c r="FR83">
        <v>4.9508440402182052E-2</v>
      </c>
      <c r="FS83">
        <v>1</v>
      </c>
      <c r="FT83">
        <v>0.41078862894220891</v>
      </c>
      <c r="FU83">
        <v>3.9617395412297828E-2</v>
      </c>
      <c r="FV83">
        <v>3.1573026843267071E-3</v>
      </c>
      <c r="FW83">
        <v>1</v>
      </c>
      <c r="FX83">
        <v>2</v>
      </c>
      <c r="FY83">
        <v>2</v>
      </c>
      <c r="FZ83" t="s">
        <v>420</v>
      </c>
      <c r="GA83">
        <v>3.0118100000000001</v>
      </c>
      <c r="GB83">
        <v>2.7765599999999999</v>
      </c>
      <c r="GC83">
        <v>2.7392E-2</v>
      </c>
      <c r="GD83">
        <v>3.15029E-2</v>
      </c>
      <c r="GE83">
        <v>0.12778700000000001</v>
      </c>
      <c r="GF83">
        <v>0.112624</v>
      </c>
      <c r="GG83">
        <v>23387.5</v>
      </c>
      <c r="GH83">
        <v>24044</v>
      </c>
      <c r="GI83">
        <v>23814.5</v>
      </c>
      <c r="GJ83">
        <v>24484.9</v>
      </c>
      <c r="GK83">
        <v>30718.1</v>
      </c>
      <c r="GL83">
        <v>31155.5</v>
      </c>
      <c r="GM83">
        <v>39000.800000000003</v>
      </c>
      <c r="GN83">
        <v>38993.4</v>
      </c>
      <c r="GO83">
        <v>2.0500799999999999</v>
      </c>
      <c r="GP83">
        <v>1.8285199999999999</v>
      </c>
      <c r="GQ83">
        <v>5.4426500000000003E-2</v>
      </c>
      <c r="GR83">
        <v>0</v>
      </c>
      <c r="GS83">
        <v>29.119299999999999</v>
      </c>
      <c r="GT83">
        <v>999.9</v>
      </c>
      <c r="GU83">
        <v>44.1</v>
      </c>
      <c r="GV83">
        <v>37.4</v>
      </c>
      <c r="GW83">
        <v>28.727799999999998</v>
      </c>
      <c r="GX83">
        <v>60.678600000000003</v>
      </c>
      <c r="GY83">
        <v>30.584900000000001</v>
      </c>
      <c r="GZ83">
        <v>1</v>
      </c>
      <c r="HA83">
        <v>0.57389000000000001</v>
      </c>
      <c r="HB83">
        <v>3.6406000000000001</v>
      </c>
      <c r="HC83">
        <v>20.290199999999999</v>
      </c>
      <c r="HD83">
        <v>5.2426000000000004</v>
      </c>
      <c r="HE83">
        <v>12.0038</v>
      </c>
      <c r="HF83">
        <v>4.9631999999999996</v>
      </c>
      <c r="HG83">
        <v>3.3003200000000001</v>
      </c>
      <c r="HH83">
        <v>9999</v>
      </c>
      <c r="HI83">
        <v>9999</v>
      </c>
      <c r="HJ83">
        <v>9999</v>
      </c>
      <c r="HK83">
        <v>999.9</v>
      </c>
      <c r="HL83">
        <v>1.8750599999999999</v>
      </c>
      <c r="HM83">
        <v>1.88035</v>
      </c>
      <c r="HN83">
        <v>1.88049</v>
      </c>
      <c r="HO83">
        <v>1.8791599999999999</v>
      </c>
      <c r="HP83">
        <v>1.88158</v>
      </c>
      <c r="HQ83">
        <v>1.87744</v>
      </c>
      <c r="HR83">
        <v>1.8751500000000001</v>
      </c>
      <c r="HS83">
        <v>1.8824799999999999</v>
      </c>
      <c r="HT83">
        <v>5</v>
      </c>
      <c r="HU83">
        <v>0</v>
      </c>
      <c r="HV83">
        <v>0</v>
      </c>
      <c r="HW83">
        <v>0</v>
      </c>
      <c r="HX83" t="s">
        <v>421</v>
      </c>
      <c r="HY83" t="s">
        <v>422</v>
      </c>
      <c r="HZ83" t="s">
        <v>423</v>
      </c>
      <c r="IA83" t="s">
        <v>423</v>
      </c>
      <c r="IB83" t="s">
        <v>423</v>
      </c>
      <c r="IC83" t="s">
        <v>423</v>
      </c>
      <c r="ID83">
        <v>0</v>
      </c>
      <c r="IE83">
        <v>100</v>
      </c>
      <c r="IF83">
        <v>100</v>
      </c>
      <c r="IG83">
        <v>-0.10299999999999999</v>
      </c>
      <c r="IH83">
        <v>0.35499999999999998</v>
      </c>
      <c r="II83">
        <v>-0.1613240198048653</v>
      </c>
      <c r="IJ83">
        <v>7.0786345690369205E-4</v>
      </c>
      <c r="IK83">
        <v>-1.387476646623666E-6</v>
      </c>
      <c r="IL83">
        <v>3.6592443641472651E-10</v>
      </c>
      <c r="IM83">
        <v>0.35501596501229571</v>
      </c>
      <c r="IN83">
        <v>0</v>
      </c>
      <c r="IO83">
        <v>0</v>
      </c>
      <c r="IP83">
        <v>0</v>
      </c>
      <c r="IQ83">
        <v>2</v>
      </c>
      <c r="IR83">
        <v>2142</v>
      </c>
      <c r="IS83">
        <v>1</v>
      </c>
      <c r="IT83">
        <v>24</v>
      </c>
      <c r="IU83">
        <v>0.7</v>
      </c>
      <c r="IV83">
        <v>0.5</v>
      </c>
      <c r="IW83">
        <v>0.42236299999999999</v>
      </c>
      <c r="IX83">
        <v>2.6843300000000001</v>
      </c>
      <c r="IY83">
        <v>1.5490699999999999</v>
      </c>
      <c r="IZ83">
        <v>2.3645</v>
      </c>
      <c r="JA83">
        <v>1.5966800000000001</v>
      </c>
      <c r="JB83">
        <v>2.2583000000000002</v>
      </c>
      <c r="JC83">
        <v>40.476500000000001</v>
      </c>
      <c r="JD83">
        <v>24.227599999999999</v>
      </c>
      <c r="JE83">
        <v>18</v>
      </c>
      <c r="JF83">
        <v>544.76599999999996</v>
      </c>
      <c r="JG83">
        <v>468.04500000000002</v>
      </c>
      <c r="JH83">
        <v>26.127800000000001</v>
      </c>
      <c r="JI83">
        <v>34.214799999999997</v>
      </c>
      <c r="JJ83">
        <v>30</v>
      </c>
      <c r="JK83">
        <v>34.214700000000001</v>
      </c>
      <c r="JL83">
        <v>34.2072</v>
      </c>
      <c r="JM83">
        <v>8.4286700000000003</v>
      </c>
      <c r="JN83">
        <v>25.577100000000002</v>
      </c>
      <c r="JO83">
        <v>53.650300000000001</v>
      </c>
      <c r="JP83">
        <v>26.115200000000002</v>
      </c>
      <c r="JQ83">
        <v>120</v>
      </c>
      <c r="JR83">
        <v>23.111699999999999</v>
      </c>
      <c r="JS83">
        <v>98.7727</v>
      </c>
      <c r="JT83">
        <v>99.602900000000005</v>
      </c>
    </row>
    <row r="84" spans="1:280" x14ac:dyDescent="0.25">
      <c r="A84">
        <v>68</v>
      </c>
      <c r="B84">
        <v>1700251346.5</v>
      </c>
      <c r="C84">
        <v>14212</v>
      </c>
      <c r="D84" t="s">
        <v>703</v>
      </c>
      <c r="E84" t="s">
        <v>704</v>
      </c>
      <c r="F84" t="s">
        <v>412</v>
      </c>
      <c r="G84" t="s">
        <v>413</v>
      </c>
      <c r="H84">
        <v>1.1000000000000001</v>
      </c>
      <c r="I84">
        <v>1700251346.5</v>
      </c>
      <c r="J84">
        <f t="shared" si="92"/>
        <v>6.8710246579492765E-3</v>
      </c>
      <c r="K84">
        <f t="shared" si="93"/>
        <v>6.8710246579492766</v>
      </c>
      <c r="L84">
        <f t="shared" si="94"/>
        <v>11.117333452178233</v>
      </c>
      <c r="M84">
        <f t="shared" si="95"/>
        <v>59.9358</v>
      </c>
      <c r="N84">
        <f t="shared" si="96"/>
        <v>19.66558695538486</v>
      </c>
      <c r="O84">
        <f t="shared" si="97"/>
        <v>1.9473082491237292</v>
      </c>
      <c r="P84">
        <f t="shared" si="98"/>
        <v>5.9349094447379995</v>
      </c>
      <c r="Q84">
        <f t="shared" si="99"/>
        <v>0.48406585131732999</v>
      </c>
      <c r="R84">
        <f t="shared" si="100"/>
        <v>3.2917710693628761</v>
      </c>
      <c r="S84">
        <f t="shared" si="101"/>
        <v>0.44771369319052484</v>
      </c>
      <c r="T84">
        <f t="shared" si="102"/>
        <v>0.28285931802365022</v>
      </c>
      <c r="U84">
        <f t="shared" si="103"/>
        <v>289.56603341940104</v>
      </c>
      <c r="V84">
        <f t="shared" si="104"/>
        <v>30.093133869650242</v>
      </c>
      <c r="W84">
        <f t="shared" si="105"/>
        <v>30.026800000000001</v>
      </c>
      <c r="X84">
        <f t="shared" si="106"/>
        <v>4.2670125820512483</v>
      </c>
      <c r="Y84">
        <f t="shared" si="107"/>
        <v>65.141415013699756</v>
      </c>
      <c r="Z84">
        <f t="shared" si="108"/>
        <v>2.8015844610079998</v>
      </c>
      <c r="AA84">
        <f t="shared" si="109"/>
        <v>4.3007731109599083</v>
      </c>
      <c r="AB84">
        <f t="shared" si="110"/>
        <v>1.4654281210432485</v>
      </c>
      <c r="AC84">
        <f t="shared" si="111"/>
        <v>-303.01218741556312</v>
      </c>
      <c r="AD84">
        <f t="shared" si="112"/>
        <v>24.366076567701725</v>
      </c>
      <c r="AE84">
        <f t="shared" si="113"/>
        <v>1.6474242760320701</v>
      </c>
      <c r="AF84">
        <f t="shared" si="114"/>
        <v>12.567346847571741</v>
      </c>
      <c r="AG84">
        <v>0</v>
      </c>
      <c r="AH84">
        <v>0</v>
      </c>
      <c r="AI84">
        <f t="shared" si="115"/>
        <v>1</v>
      </c>
      <c r="AJ84">
        <f t="shared" si="116"/>
        <v>0</v>
      </c>
      <c r="AK84">
        <f t="shared" si="117"/>
        <v>51720.442235580304</v>
      </c>
      <c r="AL84" t="s">
        <v>415</v>
      </c>
      <c r="AM84">
        <v>10238.9</v>
      </c>
      <c r="AN84">
        <v>302.21199999999999</v>
      </c>
      <c r="AO84">
        <v>4052.3</v>
      </c>
      <c r="AP84">
        <f t="shared" si="118"/>
        <v>0.92542210596451402</v>
      </c>
      <c r="AQ84">
        <v>-0.32343011824092421</v>
      </c>
      <c r="AR84" t="s">
        <v>705</v>
      </c>
      <c r="AS84">
        <v>7112.62</v>
      </c>
      <c r="AT84">
        <v>633.67911538461544</v>
      </c>
      <c r="AU84">
        <v>701.45629746981388</v>
      </c>
      <c r="AV84">
        <f t="shared" si="119"/>
        <v>9.6623527837263579E-2</v>
      </c>
      <c r="AW84">
        <v>0.5</v>
      </c>
      <c r="AX84">
        <f t="shared" si="120"/>
        <v>1513.1769002173062</v>
      </c>
      <c r="AY84">
        <f t="shared" si="121"/>
        <v>11.117333452178233</v>
      </c>
      <c r="AZ84">
        <f t="shared" si="122"/>
        <v>73.104245170425543</v>
      </c>
      <c r="BA84">
        <f t="shared" si="123"/>
        <v>7.5607574823380918E-3</v>
      </c>
      <c r="BB84">
        <f t="shared" si="124"/>
        <v>4.7769814236707813</v>
      </c>
      <c r="BC84">
        <f t="shared" si="125"/>
        <v>222.82793911503569</v>
      </c>
      <c r="BD84" t="s">
        <v>706</v>
      </c>
      <c r="BE84">
        <v>435.93</v>
      </c>
      <c r="BF84">
        <f t="shared" si="126"/>
        <v>435.93</v>
      </c>
      <c r="BG84">
        <f t="shared" si="127"/>
        <v>0.37853576684332269</v>
      </c>
      <c r="BH84">
        <f t="shared" si="128"/>
        <v>0.25525600564254325</v>
      </c>
      <c r="BI84">
        <f t="shared" si="129"/>
        <v>0.92657656780976116</v>
      </c>
      <c r="BJ84">
        <f t="shared" si="130"/>
        <v>0.16976368232366035</v>
      </c>
      <c r="BK84">
        <f t="shared" si="131"/>
        <v>0.89353735233151499</v>
      </c>
      <c r="BL84">
        <f t="shared" si="132"/>
        <v>0.17559952322590841</v>
      </c>
      <c r="BM84">
        <f t="shared" si="133"/>
        <v>0.82440047677409156</v>
      </c>
      <c r="BN84">
        <v>34601</v>
      </c>
      <c r="BO84">
        <v>290.00000000000011</v>
      </c>
      <c r="BP84">
        <v>684.82</v>
      </c>
      <c r="BQ84">
        <v>275</v>
      </c>
      <c r="BR84">
        <v>7112.62</v>
      </c>
      <c r="BS84">
        <v>685.7</v>
      </c>
      <c r="BT84">
        <v>-0.88</v>
      </c>
      <c r="BU84">
        <v>300.00000000000011</v>
      </c>
      <c r="BV84">
        <v>38.200000000000003</v>
      </c>
      <c r="BW84">
        <v>701.45629746981388</v>
      </c>
      <c r="BX84">
        <v>1.557472125350061</v>
      </c>
      <c r="BY84">
        <v>-11.20410034823454</v>
      </c>
      <c r="BZ84">
        <v>0.92867501443563594</v>
      </c>
      <c r="CA84">
        <v>0.83866764831637419</v>
      </c>
      <c r="CB84">
        <v>-7.0110082313681894E-3</v>
      </c>
      <c r="CC84">
        <v>289.99999999999989</v>
      </c>
      <c r="CD84">
        <v>687.52</v>
      </c>
      <c r="CE84">
        <v>875</v>
      </c>
      <c r="CF84">
        <v>7105.93</v>
      </c>
      <c r="CG84">
        <v>685.69</v>
      </c>
      <c r="CH84">
        <v>1.83</v>
      </c>
      <c r="CV84">
        <f t="shared" si="134"/>
        <v>1799.99</v>
      </c>
      <c r="CW84">
        <f t="shared" si="135"/>
        <v>1513.1769002173062</v>
      </c>
      <c r="CX84">
        <f t="shared" si="136"/>
        <v>0.84065850377908002</v>
      </c>
      <c r="CY84">
        <f t="shared" si="137"/>
        <v>0.16087091229362444</v>
      </c>
      <c r="CZ84">
        <v>4.38</v>
      </c>
      <c r="DA84">
        <v>0.5</v>
      </c>
      <c r="DB84" t="s">
        <v>418</v>
      </c>
      <c r="DC84">
        <v>2</v>
      </c>
      <c r="DD84">
        <v>1700251346.5</v>
      </c>
      <c r="DE84">
        <v>59.9358</v>
      </c>
      <c r="DF84">
        <v>70.0334</v>
      </c>
      <c r="DG84">
        <v>28.2928</v>
      </c>
      <c r="DH84">
        <v>22.4452</v>
      </c>
      <c r="DI84">
        <v>60.024900000000002</v>
      </c>
      <c r="DJ84">
        <v>27.934799999999999</v>
      </c>
      <c r="DK84">
        <v>500.096</v>
      </c>
      <c r="DL84">
        <v>98.921099999999996</v>
      </c>
      <c r="DM84">
        <v>0.10001</v>
      </c>
      <c r="DN84">
        <v>30.164100000000001</v>
      </c>
      <c r="DO84">
        <v>30.026800000000001</v>
      </c>
      <c r="DP84">
        <v>999.9</v>
      </c>
      <c r="DQ84">
        <v>0</v>
      </c>
      <c r="DR84">
        <v>0</v>
      </c>
      <c r="DS84">
        <v>9991.8799999999992</v>
      </c>
      <c r="DT84">
        <v>0</v>
      </c>
      <c r="DU84">
        <v>315.435</v>
      </c>
      <c r="DV84">
        <v>-10.0976</v>
      </c>
      <c r="DW84">
        <v>61.680900000000001</v>
      </c>
      <c r="DX84">
        <v>71.641400000000004</v>
      </c>
      <c r="DY84">
        <v>5.8475900000000003</v>
      </c>
      <c r="DZ84">
        <v>70.0334</v>
      </c>
      <c r="EA84">
        <v>22.4452</v>
      </c>
      <c r="EB84">
        <v>2.7987500000000001</v>
      </c>
      <c r="EC84">
        <v>2.2202999999999999</v>
      </c>
      <c r="ED84">
        <v>22.8767</v>
      </c>
      <c r="EE84">
        <v>19.109500000000001</v>
      </c>
      <c r="EF84">
        <v>1799.99</v>
      </c>
      <c r="EG84">
        <v>0.977989</v>
      </c>
      <c r="EH84">
        <v>2.20114E-2</v>
      </c>
      <c r="EI84">
        <v>0</v>
      </c>
      <c r="EJ84">
        <v>634.19500000000005</v>
      </c>
      <c r="EK84">
        <v>4.9996700000000001</v>
      </c>
      <c r="EL84">
        <v>12052.4</v>
      </c>
      <c r="EM84">
        <v>15046.6</v>
      </c>
      <c r="EN84">
        <v>48.061999999999998</v>
      </c>
      <c r="EO84">
        <v>49.375</v>
      </c>
      <c r="EP84">
        <v>48.875</v>
      </c>
      <c r="EQ84">
        <v>49.125</v>
      </c>
      <c r="ER84">
        <v>49.625</v>
      </c>
      <c r="ES84">
        <v>1755.48</v>
      </c>
      <c r="ET84">
        <v>39.51</v>
      </c>
      <c r="EU84">
        <v>0</v>
      </c>
      <c r="EV84">
        <v>227.60000014305109</v>
      </c>
      <c r="EW84">
        <v>0</v>
      </c>
      <c r="EX84">
        <v>633.67911538461544</v>
      </c>
      <c r="EY84">
        <v>-0.17008548060018641</v>
      </c>
      <c r="EZ84">
        <v>-26.280341907728609</v>
      </c>
      <c r="FA84">
        <v>12058.573076923079</v>
      </c>
      <c r="FB84">
        <v>15</v>
      </c>
      <c r="FC84">
        <v>1700251317.5</v>
      </c>
      <c r="FD84" t="s">
        <v>707</v>
      </c>
      <c r="FE84">
        <v>1700251307</v>
      </c>
      <c r="FF84">
        <v>1700251317.5</v>
      </c>
      <c r="FG84">
        <v>77</v>
      </c>
      <c r="FH84">
        <v>3.5000000000000003E-2</v>
      </c>
      <c r="FI84">
        <v>3.0000000000000001E-3</v>
      </c>
      <c r="FJ84">
        <v>-8.4000000000000005E-2</v>
      </c>
      <c r="FK84">
        <v>0.29799999999999999</v>
      </c>
      <c r="FL84">
        <v>70</v>
      </c>
      <c r="FM84">
        <v>22</v>
      </c>
      <c r="FN84">
        <v>0.11</v>
      </c>
      <c r="FO84">
        <v>0.01</v>
      </c>
      <c r="FP84">
        <v>11.07860361498877</v>
      </c>
      <c r="FQ84">
        <v>-0.19860305542028189</v>
      </c>
      <c r="FR84">
        <v>2.9009839458323659E-2</v>
      </c>
      <c r="FS84">
        <v>1</v>
      </c>
      <c r="FT84">
        <v>0.48723733762047999</v>
      </c>
      <c r="FU84">
        <v>2.6727753973149922E-2</v>
      </c>
      <c r="FV84">
        <v>5.2176999342000161E-3</v>
      </c>
      <c r="FW84">
        <v>1</v>
      </c>
      <c r="FX84">
        <v>2</v>
      </c>
      <c r="FY84">
        <v>2</v>
      </c>
      <c r="FZ84" t="s">
        <v>420</v>
      </c>
      <c r="GA84">
        <v>3.0118200000000002</v>
      </c>
      <c r="GB84">
        <v>2.7770199999999998</v>
      </c>
      <c r="GC84">
        <v>1.6060600000000001E-2</v>
      </c>
      <c r="GD84">
        <v>1.88288E-2</v>
      </c>
      <c r="GE84">
        <v>0.12767999999999999</v>
      </c>
      <c r="GF84">
        <v>0.109919</v>
      </c>
      <c r="GG84">
        <v>23656.7</v>
      </c>
      <c r="GH84">
        <v>24355.200000000001</v>
      </c>
      <c r="GI84">
        <v>23812</v>
      </c>
      <c r="GJ84">
        <v>24482.2</v>
      </c>
      <c r="GK84">
        <v>30719.1</v>
      </c>
      <c r="GL84">
        <v>31247.3</v>
      </c>
      <c r="GM84">
        <v>38996.9</v>
      </c>
      <c r="GN84">
        <v>38989</v>
      </c>
      <c r="GO84">
        <v>2.0501499999999999</v>
      </c>
      <c r="GP84">
        <v>1.82605</v>
      </c>
      <c r="GQ84">
        <v>5.0719800000000002E-2</v>
      </c>
      <c r="GR84">
        <v>0</v>
      </c>
      <c r="GS84">
        <v>29.200900000000001</v>
      </c>
      <c r="GT84">
        <v>999.9</v>
      </c>
      <c r="GU84">
        <v>43.8</v>
      </c>
      <c r="GV84">
        <v>37.4</v>
      </c>
      <c r="GW84">
        <v>28.5307</v>
      </c>
      <c r="GX84">
        <v>61.078600000000002</v>
      </c>
      <c r="GY84">
        <v>29.895800000000001</v>
      </c>
      <c r="GZ84">
        <v>1</v>
      </c>
      <c r="HA84">
        <v>0.57260699999999998</v>
      </c>
      <c r="HB84">
        <v>2.3859599999999999</v>
      </c>
      <c r="HC84">
        <v>20.315000000000001</v>
      </c>
      <c r="HD84">
        <v>5.2415500000000002</v>
      </c>
      <c r="HE84">
        <v>12.0023</v>
      </c>
      <c r="HF84">
        <v>4.9638</v>
      </c>
      <c r="HG84">
        <v>3.30098</v>
      </c>
      <c r="HH84">
        <v>9999</v>
      </c>
      <c r="HI84">
        <v>9999</v>
      </c>
      <c r="HJ84">
        <v>9999</v>
      </c>
      <c r="HK84">
        <v>999.9</v>
      </c>
      <c r="HL84">
        <v>1.87504</v>
      </c>
      <c r="HM84">
        <v>1.8803399999999999</v>
      </c>
      <c r="HN84">
        <v>1.88049</v>
      </c>
      <c r="HO84">
        <v>1.87913</v>
      </c>
      <c r="HP84">
        <v>1.8815900000000001</v>
      </c>
      <c r="HQ84">
        <v>1.87744</v>
      </c>
      <c r="HR84">
        <v>1.87513</v>
      </c>
      <c r="HS84">
        <v>1.8824799999999999</v>
      </c>
      <c r="HT84">
        <v>5</v>
      </c>
      <c r="HU84">
        <v>0</v>
      </c>
      <c r="HV84">
        <v>0</v>
      </c>
      <c r="HW84">
        <v>0</v>
      </c>
      <c r="HX84" t="s">
        <v>421</v>
      </c>
      <c r="HY84" t="s">
        <v>422</v>
      </c>
      <c r="HZ84" t="s">
        <v>423</v>
      </c>
      <c r="IA84" t="s">
        <v>423</v>
      </c>
      <c r="IB84" t="s">
        <v>423</v>
      </c>
      <c r="IC84" t="s">
        <v>423</v>
      </c>
      <c r="ID84">
        <v>0</v>
      </c>
      <c r="IE84">
        <v>100</v>
      </c>
      <c r="IF84">
        <v>100</v>
      </c>
      <c r="IG84">
        <v>-8.8999999999999996E-2</v>
      </c>
      <c r="IH84">
        <v>0.35799999999999998</v>
      </c>
      <c r="II84">
        <v>-0.12671891095952839</v>
      </c>
      <c r="IJ84">
        <v>7.0786345690369205E-4</v>
      </c>
      <c r="IK84">
        <v>-1.387476646623666E-6</v>
      </c>
      <c r="IL84">
        <v>3.6592443641472651E-10</v>
      </c>
      <c r="IM84">
        <v>0.35799258430396902</v>
      </c>
      <c r="IN84">
        <v>0</v>
      </c>
      <c r="IO84">
        <v>0</v>
      </c>
      <c r="IP84">
        <v>0</v>
      </c>
      <c r="IQ84">
        <v>2</v>
      </c>
      <c r="IR84">
        <v>2142</v>
      </c>
      <c r="IS84">
        <v>1</v>
      </c>
      <c r="IT84">
        <v>24</v>
      </c>
      <c r="IU84">
        <v>0.7</v>
      </c>
      <c r="IV84">
        <v>0.5</v>
      </c>
      <c r="IW84">
        <v>0.308838</v>
      </c>
      <c r="IX84">
        <v>2.6879900000000001</v>
      </c>
      <c r="IY84">
        <v>1.5490699999999999</v>
      </c>
      <c r="IZ84">
        <v>2.3645</v>
      </c>
      <c r="JA84">
        <v>1.5966800000000001</v>
      </c>
      <c r="JB84">
        <v>2.36572</v>
      </c>
      <c r="JC84">
        <v>40.476500000000001</v>
      </c>
      <c r="JD84">
        <v>24.245100000000001</v>
      </c>
      <c r="JE84">
        <v>18</v>
      </c>
      <c r="JF84">
        <v>545.048</v>
      </c>
      <c r="JG84">
        <v>466.572</v>
      </c>
      <c r="JH84">
        <v>27.391300000000001</v>
      </c>
      <c r="JI84">
        <v>34.268599999999999</v>
      </c>
      <c r="JJ84">
        <v>29.9999</v>
      </c>
      <c r="JK84">
        <v>34.242699999999999</v>
      </c>
      <c r="JL84">
        <v>34.228900000000003</v>
      </c>
      <c r="JM84">
        <v>6.16892</v>
      </c>
      <c r="JN84">
        <v>26.994199999999999</v>
      </c>
      <c r="JO84">
        <v>52.666200000000003</v>
      </c>
      <c r="JP84">
        <v>27.396799999999999</v>
      </c>
      <c r="JQ84">
        <v>70</v>
      </c>
      <c r="JR84">
        <v>22.4331</v>
      </c>
      <c r="JS84">
        <v>98.762699999999995</v>
      </c>
      <c r="JT84">
        <v>99.591800000000006</v>
      </c>
    </row>
    <row r="85" spans="1:280" x14ac:dyDescent="0.25">
      <c r="A85">
        <v>69</v>
      </c>
      <c r="B85">
        <v>1700251453</v>
      </c>
      <c r="C85">
        <v>14318.5</v>
      </c>
      <c r="D85" t="s">
        <v>708</v>
      </c>
      <c r="E85" t="s">
        <v>709</v>
      </c>
      <c r="F85" t="s">
        <v>412</v>
      </c>
      <c r="G85" t="s">
        <v>413</v>
      </c>
      <c r="H85">
        <v>1.1000000000000001</v>
      </c>
      <c r="I85">
        <v>1700251453</v>
      </c>
      <c r="J85">
        <f t="shared" si="92"/>
        <v>6.7366725308830016E-3</v>
      </c>
      <c r="K85">
        <f t="shared" si="93"/>
        <v>6.736672530883002</v>
      </c>
      <c r="L85">
        <f t="shared" si="94"/>
        <v>4.6823384619524324</v>
      </c>
      <c r="M85">
        <f t="shared" si="95"/>
        <v>25.735700000000001</v>
      </c>
      <c r="N85">
        <f t="shared" si="96"/>
        <v>8.5629409805929857</v>
      </c>
      <c r="O85">
        <f t="shared" si="97"/>
        <v>0.8479234636072478</v>
      </c>
      <c r="P85">
        <f t="shared" si="98"/>
        <v>2.5484122723506002</v>
      </c>
      <c r="Q85">
        <f t="shared" si="99"/>
        <v>0.47776882897524647</v>
      </c>
      <c r="R85">
        <f t="shared" si="100"/>
        <v>3.2868582488787883</v>
      </c>
      <c r="S85">
        <f t="shared" si="101"/>
        <v>0.44227042892100527</v>
      </c>
      <c r="T85">
        <f t="shared" si="102"/>
        <v>0.27938829239964458</v>
      </c>
      <c r="U85">
        <f t="shared" si="103"/>
        <v>289.54456541900436</v>
      </c>
      <c r="V85">
        <f t="shared" si="104"/>
        <v>30.080934353693539</v>
      </c>
      <c r="W85">
        <f t="shared" si="105"/>
        <v>30.014199999999999</v>
      </c>
      <c r="X85">
        <f t="shared" si="106"/>
        <v>4.2639259854763552</v>
      </c>
      <c r="Y85">
        <f t="shared" si="107"/>
        <v>65.487617321805587</v>
      </c>
      <c r="Z85">
        <f t="shared" si="108"/>
        <v>2.8094849828676001</v>
      </c>
      <c r="AA85">
        <f t="shared" si="109"/>
        <v>4.2901010874495791</v>
      </c>
      <c r="AB85">
        <f t="shared" si="110"/>
        <v>1.4544410026087551</v>
      </c>
      <c r="AC85">
        <f t="shared" si="111"/>
        <v>-297.08725861194034</v>
      </c>
      <c r="AD85">
        <f t="shared" si="112"/>
        <v>18.889637463984823</v>
      </c>
      <c r="AE85">
        <f t="shared" si="113"/>
        <v>1.278709726919866</v>
      </c>
      <c r="AF85">
        <f t="shared" si="114"/>
        <v>12.625653997968723</v>
      </c>
      <c r="AG85">
        <v>0</v>
      </c>
      <c r="AH85">
        <v>0</v>
      </c>
      <c r="AI85">
        <f t="shared" si="115"/>
        <v>1</v>
      </c>
      <c r="AJ85">
        <f t="shared" si="116"/>
        <v>0</v>
      </c>
      <c r="AK85">
        <f t="shared" si="117"/>
        <v>51613.440447468092</v>
      </c>
      <c r="AL85" t="s">
        <v>446</v>
      </c>
      <c r="AM85" t="s">
        <v>446</v>
      </c>
      <c r="AN85">
        <v>0</v>
      </c>
      <c r="AO85">
        <v>0</v>
      </c>
      <c r="AP85" t="e">
        <f t="shared" si="118"/>
        <v>#DIV/0!</v>
      </c>
      <c r="AQ85">
        <v>0</v>
      </c>
      <c r="AR85" t="s">
        <v>446</v>
      </c>
      <c r="AS85" t="s">
        <v>446</v>
      </c>
      <c r="AT85">
        <v>0</v>
      </c>
      <c r="AU85">
        <v>0</v>
      </c>
      <c r="AV85" t="e">
        <f t="shared" si="119"/>
        <v>#DIV/0!</v>
      </c>
      <c r="AW85">
        <v>0.5</v>
      </c>
      <c r="AX85">
        <f t="shared" si="120"/>
        <v>1513.0749002171005</v>
      </c>
      <c r="AY85">
        <f t="shared" si="121"/>
        <v>4.6823384619524324</v>
      </c>
      <c r="AZ85" t="e">
        <f t="shared" si="122"/>
        <v>#DIV/0!</v>
      </c>
      <c r="BA85">
        <f t="shared" si="123"/>
        <v>3.0945847170424918E-3</v>
      </c>
      <c r="BB85" t="e">
        <f t="shared" si="124"/>
        <v>#DIV/0!</v>
      </c>
      <c r="BC85" t="e">
        <f t="shared" si="125"/>
        <v>#DIV/0!</v>
      </c>
      <c r="BD85" t="s">
        <v>446</v>
      </c>
      <c r="BE85">
        <v>0</v>
      </c>
      <c r="BF85" t="e">
        <f t="shared" si="126"/>
        <v>#DIV/0!</v>
      </c>
      <c r="BG85" t="e">
        <f t="shared" si="127"/>
        <v>#DIV/0!</v>
      </c>
      <c r="BH85" t="e">
        <f t="shared" si="128"/>
        <v>#DIV/0!</v>
      </c>
      <c r="BI85" t="e">
        <f t="shared" si="129"/>
        <v>#DIV/0!</v>
      </c>
      <c r="BJ85" t="e">
        <f t="shared" si="130"/>
        <v>#DIV/0!</v>
      </c>
      <c r="BK85" t="e">
        <f t="shared" si="131"/>
        <v>#DIV/0!</v>
      </c>
      <c r="BL85" t="e">
        <f t="shared" si="132"/>
        <v>#DIV/0!</v>
      </c>
      <c r="BM85" t="e">
        <f t="shared" si="133"/>
        <v>#DIV/0!</v>
      </c>
      <c r="BN85">
        <v>34601</v>
      </c>
      <c r="BO85">
        <v>290.00000000000011</v>
      </c>
      <c r="BP85">
        <v>684.82</v>
      </c>
      <c r="BQ85">
        <v>275</v>
      </c>
      <c r="BR85">
        <v>7112.62</v>
      </c>
      <c r="BS85">
        <v>685.7</v>
      </c>
      <c r="BT85">
        <v>-0.88</v>
      </c>
      <c r="BU85">
        <v>300.00000000000011</v>
      </c>
      <c r="BV85">
        <v>38.200000000000003</v>
      </c>
      <c r="BW85">
        <v>701.45629746981388</v>
      </c>
      <c r="BX85">
        <v>1.557472125350061</v>
      </c>
      <c r="BY85">
        <v>-11.20410034823454</v>
      </c>
      <c r="BZ85">
        <v>0.92867501443563594</v>
      </c>
      <c r="CA85">
        <v>0.83866764831637419</v>
      </c>
      <c r="CB85">
        <v>-7.0110082313681894E-3</v>
      </c>
      <c r="CC85">
        <v>289.99999999999989</v>
      </c>
      <c r="CD85">
        <v>687.52</v>
      </c>
      <c r="CE85">
        <v>875</v>
      </c>
      <c r="CF85">
        <v>7105.93</v>
      </c>
      <c r="CG85">
        <v>685.69</v>
      </c>
      <c r="CH85">
        <v>1.83</v>
      </c>
      <c r="CV85">
        <f t="shared" si="134"/>
        <v>1799.87</v>
      </c>
      <c r="CW85">
        <f t="shared" si="135"/>
        <v>1513.0749002171005</v>
      </c>
      <c r="CX85">
        <f t="shared" si="136"/>
        <v>0.84065788096757021</v>
      </c>
      <c r="CY85">
        <f t="shared" si="137"/>
        <v>0.16086971026741062</v>
      </c>
      <c r="CZ85">
        <v>4.38</v>
      </c>
      <c r="DA85">
        <v>0.5</v>
      </c>
      <c r="DB85" t="s">
        <v>418</v>
      </c>
      <c r="DC85">
        <v>2</v>
      </c>
      <c r="DD85">
        <v>1700251453</v>
      </c>
      <c r="DE85">
        <v>25.735700000000001</v>
      </c>
      <c r="DF85">
        <v>29.9879</v>
      </c>
      <c r="DG85">
        <v>28.372199999999999</v>
      </c>
      <c r="DH85">
        <v>22.6402</v>
      </c>
      <c r="DI85">
        <v>25.8477</v>
      </c>
      <c r="DJ85">
        <v>28.024899999999999</v>
      </c>
      <c r="DK85">
        <v>500.16500000000002</v>
      </c>
      <c r="DL85">
        <v>98.9221</v>
      </c>
      <c r="DM85">
        <v>0.100358</v>
      </c>
      <c r="DN85">
        <v>30.120799999999999</v>
      </c>
      <c r="DO85">
        <v>30.014199999999999</v>
      </c>
      <c r="DP85">
        <v>999.9</v>
      </c>
      <c r="DQ85">
        <v>0</v>
      </c>
      <c r="DR85">
        <v>0</v>
      </c>
      <c r="DS85">
        <v>9968.75</v>
      </c>
      <c r="DT85">
        <v>0</v>
      </c>
      <c r="DU85">
        <v>314.26799999999997</v>
      </c>
      <c r="DV85">
        <v>-4.2522599999999997</v>
      </c>
      <c r="DW85">
        <v>26.487200000000001</v>
      </c>
      <c r="DX85">
        <v>30.682600000000001</v>
      </c>
      <c r="DY85">
        <v>5.7319599999999999</v>
      </c>
      <c r="DZ85">
        <v>29.9879</v>
      </c>
      <c r="EA85">
        <v>22.6402</v>
      </c>
      <c r="EB85">
        <v>2.8066300000000002</v>
      </c>
      <c r="EC85">
        <v>2.2396199999999999</v>
      </c>
      <c r="ED85">
        <v>22.923100000000002</v>
      </c>
      <c r="EE85">
        <v>19.2485</v>
      </c>
      <c r="EF85">
        <v>1799.87</v>
      </c>
      <c r="EG85">
        <v>0.97800900000000002</v>
      </c>
      <c r="EH85">
        <v>2.1990800000000001E-2</v>
      </c>
      <c r="EI85">
        <v>0</v>
      </c>
      <c r="EJ85">
        <v>647.56399999999996</v>
      </c>
      <c r="EK85">
        <v>4.9996700000000001</v>
      </c>
      <c r="EL85">
        <v>12242.7</v>
      </c>
      <c r="EM85">
        <v>15045.7</v>
      </c>
      <c r="EN85">
        <v>48.125</v>
      </c>
      <c r="EO85">
        <v>49.436999999999998</v>
      </c>
      <c r="EP85">
        <v>48.936999999999998</v>
      </c>
      <c r="EQ85">
        <v>49.186999999999998</v>
      </c>
      <c r="ER85">
        <v>49.686999999999998</v>
      </c>
      <c r="ES85">
        <v>1755.4</v>
      </c>
      <c r="ET85">
        <v>39.47</v>
      </c>
      <c r="EU85">
        <v>0</v>
      </c>
      <c r="EV85">
        <v>104.6000001430511</v>
      </c>
      <c r="EW85">
        <v>0</v>
      </c>
      <c r="EX85">
        <v>647.80628000000002</v>
      </c>
      <c r="EY85">
        <v>-1.107999999309849</v>
      </c>
      <c r="EZ85">
        <v>-45.707692369465043</v>
      </c>
      <c r="FA85">
        <v>12247.8</v>
      </c>
      <c r="FB85">
        <v>15</v>
      </c>
      <c r="FC85">
        <v>1700251423</v>
      </c>
      <c r="FD85" t="s">
        <v>710</v>
      </c>
      <c r="FE85">
        <v>1700251419.5</v>
      </c>
      <c r="FF85">
        <v>1700251423</v>
      </c>
      <c r="FG85">
        <v>78</v>
      </c>
      <c r="FH85">
        <v>-3.0000000000000001E-3</v>
      </c>
      <c r="FI85">
        <v>-1.0999999999999999E-2</v>
      </c>
      <c r="FJ85">
        <v>-0.109</v>
      </c>
      <c r="FK85">
        <v>0.28599999999999998</v>
      </c>
      <c r="FL85">
        <v>30</v>
      </c>
      <c r="FM85">
        <v>22</v>
      </c>
      <c r="FN85">
        <v>1.0900000000000001</v>
      </c>
      <c r="FO85">
        <v>0.15</v>
      </c>
      <c r="FP85">
        <v>4.7049106827420877</v>
      </c>
      <c r="FQ85">
        <v>-0.38342067517932349</v>
      </c>
      <c r="FR85">
        <v>3.262138845097453E-2</v>
      </c>
      <c r="FS85">
        <v>1</v>
      </c>
      <c r="FT85">
        <v>0.479131831999911</v>
      </c>
      <c r="FU85">
        <v>2.453576874627468E-2</v>
      </c>
      <c r="FV85">
        <v>3.5463879928999248E-3</v>
      </c>
      <c r="FW85">
        <v>1</v>
      </c>
      <c r="FX85">
        <v>2</v>
      </c>
      <c r="FY85">
        <v>2</v>
      </c>
      <c r="FZ85" t="s">
        <v>420</v>
      </c>
      <c r="GA85">
        <v>3.0120300000000002</v>
      </c>
      <c r="GB85">
        <v>2.7771699999999999</v>
      </c>
      <c r="GC85">
        <v>6.9929900000000001E-3</v>
      </c>
      <c r="GD85">
        <v>8.1792400000000008E-3</v>
      </c>
      <c r="GE85">
        <v>0.12795599999999999</v>
      </c>
      <c r="GF85">
        <v>0.11057599999999999</v>
      </c>
      <c r="GG85">
        <v>23872.7</v>
      </c>
      <c r="GH85">
        <v>24617.4</v>
      </c>
      <c r="GI85">
        <v>23810.6</v>
      </c>
      <c r="GJ85">
        <v>24480.799999999999</v>
      </c>
      <c r="GK85">
        <v>30707.7</v>
      </c>
      <c r="GL85">
        <v>31222.5</v>
      </c>
      <c r="GM85">
        <v>38994.5</v>
      </c>
      <c r="GN85">
        <v>38986.800000000003</v>
      </c>
      <c r="GO85">
        <v>2.0499499999999999</v>
      </c>
      <c r="GP85">
        <v>1.8259300000000001</v>
      </c>
      <c r="GQ85">
        <v>4.8678399999999997E-2</v>
      </c>
      <c r="GR85">
        <v>0</v>
      </c>
      <c r="GS85">
        <v>29.221499999999999</v>
      </c>
      <c r="GT85">
        <v>999.9</v>
      </c>
      <c r="GU85">
        <v>43.6</v>
      </c>
      <c r="GV85">
        <v>37.4</v>
      </c>
      <c r="GW85">
        <v>28.404299999999999</v>
      </c>
      <c r="GX85">
        <v>60.908700000000003</v>
      </c>
      <c r="GY85">
        <v>30.180299999999999</v>
      </c>
      <c r="GZ85">
        <v>1</v>
      </c>
      <c r="HA85">
        <v>0.57609200000000005</v>
      </c>
      <c r="HB85">
        <v>2.5956600000000001</v>
      </c>
      <c r="HC85">
        <v>20.312000000000001</v>
      </c>
      <c r="HD85">
        <v>5.2442500000000001</v>
      </c>
      <c r="HE85">
        <v>12.001899999999999</v>
      </c>
      <c r="HF85">
        <v>4.9638</v>
      </c>
      <c r="HG85">
        <v>3.3010000000000002</v>
      </c>
      <c r="HH85">
        <v>9999</v>
      </c>
      <c r="HI85">
        <v>9999</v>
      </c>
      <c r="HJ85">
        <v>9999</v>
      </c>
      <c r="HK85">
        <v>999.9</v>
      </c>
      <c r="HL85">
        <v>1.87503</v>
      </c>
      <c r="HM85">
        <v>1.8803700000000001</v>
      </c>
      <c r="HN85">
        <v>1.88049</v>
      </c>
      <c r="HO85">
        <v>1.8791599999999999</v>
      </c>
      <c r="HP85">
        <v>1.88158</v>
      </c>
      <c r="HQ85">
        <v>1.87744</v>
      </c>
      <c r="HR85">
        <v>1.8751500000000001</v>
      </c>
      <c r="HS85">
        <v>1.8824799999999999</v>
      </c>
      <c r="HT85">
        <v>5</v>
      </c>
      <c r="HU85">
        <v>0</v>
      </c>
      <c r="HV85">
        <v>0</v>
      </c>
      <c r="HW85">
        <v>0</v>
      </c>
      <c r="HX85" t="s">
        <v>421</v>
      </c>
      <c r="HY85" t="s">
        <v>422</v>
      </c>
      <c r="HZ85" t="s">
        <v>423</v>
      </c>
      <c r="IA85" t="s">
        <v>423</v>
      </c>
      <c r="IB85" t="s">
        <v>423</v>
      </c>
      <c r="IC85" t="s">
        <v>423</v>
      </c>
      <c r="ID85">
        <v>0</v>
      </c>
      <c r="IE85">
        <v>100</v>
      </c>
      <c r="IF85">
        <v>100</v>
      </c>
      <c r="IG85">
        <v>-0.112</v>
      </c>
      <c r="IH85">
        <v>0.3473</v>
      </c>
      <c r="II85">
        <v>-0.12939699077787739</v>
      </c>
      <c r="IJ85">
        <v>7.0786345690369205E-4</v>
      </c>
      <c r="IK85">
        <v>-1.387476646623666E-6</v>
      </c>
      <c r="IL85">
        <v>3.6592443641472651E-10</v>
      </c>
      <c r="IM85">
        <v>0.34722391612718673</v>
      </c>
      <c r="IN85">
        <v>0</v>
      </c>
      <c r="IO85">
        <v>0</v>
      </c>
      <c r="IP85">
        <v>0</v>
      </c>
      <c r="IQ85">
        <v>2</v>
      </c>
      <c r="IR85">
        <v>2142</v>
      </c>
      <c r="IS85">
        <v>1</v>
      </c>
      <c r="IT85">
        <v>24</v>
      </c>
      <c r="IU85">
        <v>0.6</v>
      </c>
      <c r="IV85">
        <v>0.5</v>
      </c>
      <c r="IW85">
        <v>0.21972700000000001</v>
      </c>
      <c r="IX85">
        <v>2.7246100000000002</v>
      </c>
      <c r="IY85">
        <v>1.5490699999999999</v>
      </c>
      <c r="IZ85">
        <v>2.3645</v>
      </c>
      <c r="JA85">
        <v>1.5966800000000001</v>
      </c>
      <c r="JB85">
        <v>2.18994</v>
      </c>
      <c r="JC85">
        <v>40.502000000000002</v>
      </c>
      <c r="JD85">
        <v>24.227599999999999</v>
      </c>
      <c r="JE85">
        <v>18</v>
      </c>
      <c r="JF85">
        <v>545.17200000000003</v>
      </c>
      <c r="JG85">
        <v>466.71800000000002</v>
      </c>
      <c r="JH85">
        <v>27.1511</v>
      </c>
      <c r="JI85">
        <v>34.308700000000002</v>
      </c>
      <c r="JJ85">
        <v>30.000399999999999</v>
      </c>
      <c r="JK85">
        <v>34.273800000000001</v>
      </c>
      <c r="JL85">
        <v>34.259399999999999</v>
      </c>
      <c r="JM85">
        <v>4.3745599999999998</v>
      </c>
      <c r="JN85">
        <v>25.7623</v>
      </c>
      <c r="JO85">
        <v>52.212499999999999</v>
      </c>
      <c r="JP85">
        <v>27.1373</v>
      </c>
      <c r="JQ85">
        <v>30</v>
      </c>
      <c r="JR85">
        <v>22.5564</v>
      </c>
      <c r="JS85">
        <v>98.756699999999995</v>
      </c>
      <c r="JT85">
        <v>99.586100000000002</v>
      </c>
    </row>
    <row r="86" spans="1:280" x14ac:dyDescent="0.25">
      <c r="A86">
        <v>70</v>
      </c>
      <c r="B86">
        <v>1700251543.5</v>
      </c>
      <c r="C86">
        <v>14409</v>
      </c>
      <c r="D86" t="s">
        <v>711</v>
      </c>
      <c r="E86" t="s">
        <v>712</v>
      </c>
      <c r="F86" t="s">
        <v>412</v>
      </c>
      <c r="G86" t="s">
        <v>413</v>
      </c>
      <c r="H86">
        <v>1.1000000000000001</v>
      </c>
      <c r="I86">
        <v>1700251543.5</v>
      </c>
      <c r="J86">
        <f t="shared" si="92"/>
        <v>6.8701489972270583E-3</v>
      </c>
      <c r="K86">
        <f t="shared" si="93"/>
        <v>6.8701489972270586</v>
      </c>
      <c r="L86">
        <f t="shared" si="94"/>
        <v>1.4179534180842324</v>
      </c>
      <c r="M86">
        <f t="shared" si="95"/>
        <v>8.6914599999999993</v>
      </c>
      <c r="N86">
        <f t="shared" si="96"/>
        <v>3.5552593307682039</v>
      </c>
      <c r="O86">
        <f t="shared" si="97"/>
        <v>0.35205865574871076</v>
      </c>
      <c r="P86">
        <f t="shared" si="98"/>
        <v>0.86066962756062004</v>
      </c>
      <c r="Q86">
        <f t="shared" si="99"/>
        <v>0.48660073406037274</v>
      </c>
      <c r="R86">
        <f t="shared" si="100"/>
        <v>3.2947725790984275</v>
      </c>
      <c r="S86">
        <f t="shared" si="101"/>
        <v>0.44991307036918787</v>
      </c>
      <c r="T86">
        <f t="shared" si="102"/>
        <v>0.2842610531350992</v>
      </c>
      <c r="U86">
        <f t="shared" si="103"/>
        <v>289.55645741941504</v>
      </c>
      <c r="V86">
        <f t="shared" si="104"/>
        <v>30.046245478105302</v>
      </c>
      <c r="W86">
        <f t="shared" si="105"/>
        <v>29.9894</v>
      </c>
      <c r="X86">
        <f t="shared" si="106"/>
        <v>4.2578564630527342</v>
      </c>
      <c r="Y86">
        <f t="shared" si="107"/>
        <v>65.272311700944584</v>
      </c>
      <c r="Z86">
        <f t="shared" si="108"/>
        <v>2.7996375496586996</v>
      </c>
      <c r="AA86">
        <f t="shared" si="109"/>
        <v>4.2891656151013642</v>
      </c>
      <c r="AB86">
        <f t="shared" si="110"/>
        <v>1.4582189133940346</v>
      </c>
      <c r="AC86">
        <f t="shared" si="111"/>
        <v>-302.97357077771329</v>
      </c>
      <c r="AD86">
        <f t="shared" si="112"/>
        <v>22.66530463668381</v>
      </c>
      <c r="AE86">
        <f t="shared" si="113"/>
        <v>1.5303965124526189</v>
      </c>
      <c r="AF86">
        <f t="shared" si="114"/>
        <v>10.778587790838184</v>
      </c>
      <c r="AG86">
        <v>0</v>
      </c>
      <c r="AH86">
        <v>0</v>
      </c>
      <c r="AI86">
        <f t="shared" si="115"/>
        <v>1</v>
      </c>
      <c r="AJ86">
        <f t="shared" si="116"/>
        <v>0</v>
      </c>
      <c r="AK86">
        <f t="shared" si="117"/>
        <v>51798.490104024364</v>
      </c>
      <c r="AL86" t="s">
        <v>415</v>
      </c>
      <c r="AM86">
        <v>10238.9</v>
      </c>
      <c r="AN86">
        <v>302.21199999999999</v>
      </c>
      <c r="AO86">
        <v>4052.3</v>
      </c>
      <c r="AP86">
        <f t="shared" si="118"/>
        <v>0.92542210596451402</v>
      </c>
      <c r="AQ86">
        <v>-0.32343011824092421</v>
      </c>
      <c r="AR86" t="s">
        <v>713</v>
      </c>
      <c r="AS86">
        <v>7112.52</v>
      </c>
      <c r="AT86">
        <v>655.36330769230756</v>
      </c>
      <c r="AU86">
        <v>688.95437569398996</v>
      </c>
      <c r="AV86">
        <f t="shared" si="119"/>
        <v>4.8756592869949933E-2</v>
      </c>
      <c r="AW86">
        <v>0.5</v>
      </c>
      <c r="AX86">
        <f t="shared" si="120"/>
        <v>1513.1265002173134</v>
      </c>
      <c r="AY86">
        <f t="shared" si="121"/>
        <v>1.4179534180842324</v>
      </c>
      <c r="AZ86">
        <f t="shared" si="122"/>
        <v>36.887446365913881</v>
      </c>
      <c r="BA86">
        <f t="shared" si="123"/>
        <v>1.1508512580244027E-3</v>
      </c>
      <c r="BB86">
        <f t="shared" si="124"/>
        <v>4.881811833937598</v>
      </c>
      <c r="BC86">
        <f t="shared" si="125"/>
        <v>221.55082790569989</v>
      </c>
      <c r="BD86" t="s">
        <v>714</v>
      </c>
      <c r="BE86">
        <v>464.02</v>
      </c>
      <c r="BF86">
        <f t="shared" si="126"/>
        <v>464.02</v>
      </c>
      <c r="BG86">
        <f t="shared" si="127"/>
        <v>0.32648660583280509</v>
      </c>
      <c r="BH86">
        <f t="shared" si="128"/>
        <v>0.14933719178335408</v>
      </c>
      <c r="BI86">
        <f t="shared" si="129"/>
        <v>0.93731415171224375</v>
      </c>
      <c r="BJ86">
        <f t="shared" si="130"/>
        <v>8.6856445305236854E-2</v>
      </c>
      <c r="BK86">
        <f t="shared" si="131"/>
        <v>0.89687111990598878</v>
      </c>
      <c r="BL86">
        <f t="shared" si="132"/>
        <v>0.10573592222506011</v>
      </c>
      <c r="BM86">
        <f t="shared" si="133"/>
        <v>0.89426407777493988</v>
      </c>
      <c r="BN86">
        <v>34603</v>
      </c>
      <c r="BO86">
        <v>290.00000000000011</v>
      </c>
      <c r="BP86">
        <v>678.06</v>
      </c>
      <c r="BQ86">
        <v>265</v>
      </c>
      <c r="BR86">
        <v>7112.52</v>
      </c>
      <c r="BS86">
        <v>677.55</v>
      </c>
      <c r="BT86">
        <v>0.51</v>
      </c>
      <c r="BU86">
        <v>300.00000000000011</v>
      </c>
      <c r="BV86">
        <v>38.200000000000003</v>
      </c>
      <c r="BW86">
        <v>688.95437569398996</v>
      </c>
      <c r="BX86">
        <v>1.010096085978353</v>
      </c>
      <c r="BY86">
        <v>-8.1112106375122366</v>
      </c>
      <c r="BZ86">
        <v>0.60225374051341141</v>
      </c>
      <c r="CA86">
        <v>0.86627797175020327</v>
      </c>
      <c r="CB86">
        <v>-7.0105790878754147E-3</v>
      </c>
      <c r="CC86">
        <v>289.99999999999989</v>
      </c>
      <c r="CD86">
        <v>677.34</v>
      </c>
      <c r="CE86">
        <v>745</v>
      </c>
      <c r="CF86">
        <v>7107.26</v>
      </c>
      <c r="CG86">
        <v>677.54</v>
      </c>
      <c r="CH86">
        <v>-0.2</v>
      </c>
      <c r="CV86">
        <f t="shared" si="134"/>
        <v>1799.93</v>
      </c>
      <c r="CW86">
        <f t="shared" si="135"/>
        <v>1513.1265002173134</v>
      </c>
      <c r="CX86">
        <f t="shared" si="136"/>
        <v>0.84065852573006361</v>
      </c>
      <c r="CY86">
        <f t="shared" si="137"/>
        <v>0.16087095465902287</v>
      </c>
      <c r="CZ86">
        <v>4.38</v>
      </c>
      <c r="DA86">
        <v>0.5</v>
      </c>
      <c r="DB86" t="s">
        <v>418</v>
      </c>
      <c r="DC86">
        <v>2</v>
      </c>
      <c r="DD86">
        <v>1700251543.5</v>
      </c>
      <c r="DE86">
        <v>8.6914599999999993</v>
      </c>
      <c r="DF86">
        <v>9.9855400000000003</v>
      </c>
      <c r="DG86">
        <v>28.272099999999998</v>
      </c>
      <c r="DH86">
        <v>22.425599999999999</v>
      </c>
      <c r="DI86">
        <v>8.8041699999999992</v>
      </c>
      <c r="DJ86">
        <v>27.9191</v>
      </c>
      <c r="DK86">
        <v>500.137</v>
      </c>
      <c r="DL86">
        <v>98.924700000000001</v>
      </c>
      <c r="DM86">
        <v>0.100047</v>
      </c>
      <c r="DN86">
        <v>30.117000000000001</v>
      </c>
      <c r="DO86">
        <v>29.9894</v>
      </c>
      <c r="DP86">
        <v>999.9</v>
      </c>
      <c r="DQ86">
        <v>0</v>
      </c>
      <c r="DR86">
        <v>0</v>
      </c>
      <c r="DS86">
        <v>10005.6</v>
      </c>
      <c r="DT86">
        <v>0</v>
      </c>
      <c r="DU86">
        <v>322.23399999999998</v>
      </c>
      <c r="DV86">
        <v>-1.29409</v>
      </c>
      <c r="DW86">
        <v>8.9443300000000008</v>
      </c>
      <c r="DX86">
        <v>10.214600000000001</v>
      </c>
      <c r="DY86">
        <v>5.8464900000000002</v>
      </c>
      <c r="DZ86">
        <v>9.9855400000000003</v>
      </c>
      <c r="EA86">
        <v>22.425599999999999</v>
      </c>
      <c r="EB86">
        <v>2.7968099999999998</v>
      </c>
      <c r="EC86">
        <v>2.2184499999999998</v>
      </c>
      <c r="ED86">
        <v>22.865300000000001</v>
      </c>
      <c r="EE86">
        <v>19.0962</v>
      </c>
      <c r="EF86">
        <v>1799.93</v>
      </c>
      <c r="EG86">
        <v>0.977989</v>
      </c>
      <c r="EH86">
        <v>2.20114E-2</v>
      </c>
      <c r="EI86">
        <v>0</v>
      </c>
      <c r="EJ86">
        <v>655.154</v>
      </c>
      <c r="EK86">
        <v>4.9996700000000001</v>
      </c>
      <c r="EL86">
        <v>12460.1</v>
      </c>
      <c r="EM86">
        <v>15046.2</v>
      </c>
      <c r="EN86">
        <v>48.186999999999998</v>
      </c>
      <c r="EO86">
        <v>49.5</v>
      </c>
      <c r="EP86">
        <v>48.936999999999998</v>
      </c>
      <c r="EQ86">
        <v>49.186999999999998</v>
      </c>
      <c r="ER86">
        <v>49.686999999999998</v>
      </c>
      <c r="ES86">
        <v>1755.42</v>
      </c>
      <c r="ET86">
        <v>39.51</v>
      </c>
      <c r="EU86">
        <v>0</v>
      </c>
      <c r="EV86">
        <v>195.20000004768369</v>
      </c>
      <c r="EW86">
        <v>0</v>
      </c>
      <c r="EX86">
        <v>655.36330769230756</v>
      </c>
      <c r="EY86">
        <v>-1.4368547114735899</v>
      </c>
      <c r="EZ86">
        <v>-73.664957348399682</v>
      </c>
      <c r="FA86">
        <v>12467.065384615389</v>
      </c>
      <c r="FB86">
        <v>15</v>
      </c>
      <c r="FC86">
        <v>1700251510.5</v>
      </c>
      <c r="FD86" t="s">
        <v>715</v>
      </c>
      <c r="FE86">
        <v>1700251503</v>
      </c>
      <c r="FF86">
        <v>1700251510.5</v>
      </c>
      <c r="FG86">
        <v>79</v>
      </c>
      <c r="FH86">
        <v>1.0999999999999999E-2</v>
      </c>
      <c r="FI86">
        <v>6.0000000000000001E-3</v>
      </c>
      <c r="FJ86">
        <v>-0.112</v>
      </c>
      <c r="FK86">
        <v>0.29599999999999999</v>
      </c>
      <c r="FL86">
        <v>10</v>
      </c>
      <c r="FM86">
        <v>22</v>
      </c>
      <c r="FN86">
        <v>0.38</v>
      </c>
      <c r="FO86">
        <v>0.01</v>
      </c>
      <c r="FP86">
        <v>1.4502784772423909</v>
      </c>
      <c r="FQ86">
        <v>9.9293983265449637E-2</v>
      </c>
      <c r="FR86">
        <v>0.1116777465500081</v>
      </c>
      <c r="FS86">
        <v>1</v>
      </c>
      <c r="FT86">
        <v>0.49342350878896191</v>
      </c>
      <c r="FU86">
        <v>-2.555136110810825E-2</v>
      </c>
      <c r="FV86">
        <v>2.4113772011663251E-3</v>
      </c>
      <c r="FW86">
        <v>1</v>
      </c>
      <c r="FX86">
        <v>2</v>
      </c>
      <c r="FY86">
        <v>2</v>
      </c>
      <c r="FZ86" t="s">
        <v>420</v>
      </c>
      <c r="GA86">
        <v>3.0119799999999999</v>
      </c>
      <c r="GB86">
        <v>2.77718</v>
      </c>
      <c r="GC86">
        <v>2.39099E-3</v>
      </c>
      <c r="GD86">
        <v>2.7368399999999999E-3</v>
      </c>
      <c r="GE86">
        <v>0.12761900000000001</v>
      </c>
      <c r="GF86">
        <v>0.109844</v>
      </c>
      <c r="GG86">
        <v>23980.9</v>
      </c>
      <c r="GH86">
        <v>24750.9</v>
      </c>
      <c r="GI86">
        <v>23808.5</v>
      </c>
      <c r="GJ86">
        <v>24479.599999999999</v>
      </c>
      <c r="GK86">
        <v>30717.200000000001</v>
      </c>
      <c r="GL86">
        <v>31246.799999999999</v>
      </c>
      <c r="GM86">
        <v>38991.4</v>
      </c>
      <c r="GN86">
        <v>38984.9</v>
      </c>
      <c r="GO86">
        <v>2.0497000000000001</v>
      </c>
      <c r="GP86">
        <v>1.825</v>
      </c>
      <c r="GQ86">
        <v>4.9434600000000002E-2</v>
      </c>
      <c r="GR86">
        <v>0</v>
      </c>
      <c r="GS86">
        <v>29.1844</v>
      </c>
      <c r="GT86">
        <v>999.9</v>
      </c>
      <c r="GU86">
        <v>43.4</v>
      </c>
      <c r="GV86">
        <v>37.4</v>
      </c>
      <c r="GW86">
        <v>28.273299999999999</v>
      </c>
      <c r="GX86">
        <v>60.8187</v>
      </c>
      <c r="GY86">
        <v>30.540900000000001</v>
      </c>
      <c r="GZ86">
        <v>1</v>
      </c>
      <c r="HA86">
        <v>0.57654700000000003</v>
      </c>
      <c r="HB86">
        <v>2.0625200000000001</v>
      </c>
      <c r="HC86">
        <v>20.3203</v>
      </c>
      <c r="HD86">
        <v>5.2451400000000001</v>
      </c>
      <c r="HE86">
        <v>12.0001</v>
      </c>
      <c r="HF86">
        <v>4.9637500000000001</v>
      </c>
      <c r="HG86">
        <v>3.3010000000000002</v>
      </c>
      <c r="HH86">
        <v>9999</v>
      </c>
      <c r="HI86">
        <v>9999</v>
      </c>
      <c r="HJ86">
        <v>9999</v>
      </c>
      <c r="HK86">
        <v>999.9</v>
      </c>
      <c r="HL86">
        <v>1.8750500000000001</v>
      </c>
      <c r="HM86">
        <v>1.88036</v>
      </c>
      <c r="HN86">
        <v>1.88049</v>
      </c>
      <c r="HO86">
        <v>1.8791500000000001</v>
      </c>
      <c r="HP86">
        <v>1.88157</v>
      </c>
      <c r="HQ86">
        <v>1.8774500000000001</v>
      </c>
      <c r="HR86">
        <v>1.8751500000000001</v>
      </c>
      <c r="HS86">
        <v>1.88249</v>
      </c>
      <c r="HT86">
        <v>5</v>
      </c>
      <c r="HU86">
        <v>0</v>
      </c>
      <c r="HV86">
        <v>0</v>
      </c>
      <c r="HW86">
        <v>0</v>
      </c>
      <c r="HX86" t="s">
        <v>421</v>
      </c>
      <c r="HY86" t="s">
        <v>422</v>
      </c>
      <c r="HZ86" t="s">
        <v>423</v>
      </c>
      <c r="IA86" t="s">
        <v>423</v>
      </c>
      <c r="IB86" t="s">
        <v>423</v>
      </c>
      <c r="IC86" t="s">
        <v>423</v>
      </c>
      <c r="ID86">
        <v>0</v>
      </c>
      <c r="IE86">
        <v>100</v>
      </c>
      <c r="IF86">
        <v>100</v>
      </c>
      <c r="IG86">
        <v>-0.113</v>
      </c>
      <c r="IH86">
        <v>0.35299999999999998</v>
      </c>
      <c r="II86">
        <v>-0.11884134960232309</v>
      </c>
      <c r="IJ86">
        <v>7.0786345690369205E-4</v>
      </c>
      <c r="IK86">
        <v>-1.387476646623666E-6</v>
      </c>
      <c r="IL86">
        <v>3.6592443641472651E-10</v>
      </c>
      <c r="IM86">
        <v>0.35305219352787381</v>
      </c>
      <c r="IN86">
        <v>0</v>
      </c>
      <c r="IO86">
        <v>0</v>
      </c>
      <c r="IP86">
        <v>0</v>
      </c>
      <c r="IQ86">
        <v>2</v>
      </c>
      <c r="IR86">
        <v>2142</v>
      </c>
      <c r="IS86">
        <v>1</v>
      </c>
      <c r="IT86">
        <v>24</v>
      </c>
      <c r="IU86">
        <v>0.7</v>
      </c>
      <c r="IV86">
        <v>0.6</v>
      </c>
      <c r="IW86">
        <v>0.17578099999999999</v>
      </c>
      <c r="IX86">
        <v>2.7331500000000002</v>
      </c>
      <c r="IY86">
        <v>1.5490699999999999</v>
      </c>
      <c r="IZ86">
        <v>2.3645</v>
      </c>
      <c r="JA86">
        <v>1.5966800000000001</v>
      </c>
      <c r="JB86">
        <v>2.2985799999999998</v>
      </c>
      <c r="JC86">
        <v>40.502000000000002</v>
      </c>
      <c r="JD86">
        <v>24.2364</v>
      </c>
      <c r="JE86">
        <v>18</v>
      </c>
      <c r="JF86">
        <v>545.21</v>
      </c>
      <c r="JG86">
        <v>466.27499999999998</v>
      </c>
      <c r="JH86">
        <v>27.442</v>
      </c>
      <c r="JI86">
        <v>34.337299999999999</v>
      </c>
      <c r="JJ86">
        <v>30</v>
      </c>
      <c r="JK86">
        <v>34.298699999999997</v>
      </c>
      <c r="JL86">
        <v>34.281700000000001</v>
      </c>
      <c r="JM86">
        <v>3.4917600000000002</v>
      </c>
      <c r="JN86">
        <v>25.918600000000001</v>
      </c>
      <c r="JO86">
        <v>51.710900000000002</v>
      </c>
      <c r="JP86">
        <v>27.452500000000001</v>
      </c>
      <c r="JQ86">
        <v>10</v>
      </c>
      <c r="JR86">
        <v>22.359500000000001</v>
      </c>
      <c r="JS86">
        <v>98.748400000000004</v>
      </c>
      <c r="JT86">
        <v>99.581299999999999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2023-11-17T20:16:41Z</dcterms:created>
  <dcterms:modified xsi:type="dcterms:W3CDTF">2023-11-17T23:35:33Z</dcterms:modified>
</cp:coreProperties>
</file>